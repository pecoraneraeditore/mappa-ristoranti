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3D861AA-AB27-4A6A-B996-DE8D21C50F83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golose'!$A$7:$Q$514</definedName>
    <definedName name="_xlnm.Print_Area" localSheetId="0">'Tavole e pause golose'!$D$7:$I$193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6" i="6" l="1"/>
  <c r="AE186" i="6"/>
  <c r="AF186" i="6"/>
  <c r="AG186" i="6"/>
  <c r="AH186" i="6"/>
  <c r="AI186" i="6"/>
  <c r="AD187" i="6"/>
  <c r="AE187" i="6"/>
  <c r="AF187" i="6"/>
  <c r="AG187" i="6"/>
  <c r="AH187" i="6"/>
  <c r="AI187" i="6"/>
  <c r="AD188" i="6"/>
  <c r="AE188" i="6"/>
  <c r="AF188" i="6"/>
  <c r="AG188" i="6"/>
  <c r="AH188" i="6"/>
  <c r="AI188" i="6"/>
  <c r="S186" i="6"/>
  <c r="T186" i="6"/>
  <c r="U186" i="6"/>
  <c r="V186" i="6"/>
  <c r="W186" i="6"/>
  <c r="X186" i="6"/>
  <c r="Y186" i="6"/>
  <c r="Z186" i="6"/>
  <c r="AA186" i="6"/>
  <c r="AB186" i="6"/>
  <c r="AD152" i="6" l="1"/>
  <c r="AE152" i="6"/>
  <c r="AF152" i="6"/>
  <c r="AG152" i="6"/>
  <c r="AH152" i="6"/>
  <c r="AI152" i="6"/>
  <c r="AD153" i="6"/>
  <c r="AE153" i="6"/>
  <c r="AF153" i="6"/>
  <c r="AG153" i="6"/>
  <c r="AH153" i="6"/>
  <c r="AI153" i="6"/>
  <c r="AD154" i="6"/>
  <c r="AE154" i="6"/>
  <c r="AF154" i="6"/>
  <c r="AG154" i="6"/>
  <c r="AH154" i="6"/>
  <c r="AI154" i="6"/>
  <c r="S152" i="6"/>
  <c r="AD325" i="6"/>
  <c r="AE325" i="6"/>
  <c r="AF325" i="6"/>
  <c r="AG325" i="6"/>
  <c r="AH325" i="6"/>
  <c r="AI325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AD329" i="6"/>
  <c r="AE329" i="6"/>
  <c r="AF329" i="6"/>
  <c r="AG329" i="6"/>
  <c r="AH329" i="6"/>
  <c r="AI329" i="6"/>
  <c r="AD330" i="6"/>
  <c r="AE330" i="6"/>
  <c r="AF330" i="6"/>
  <c r="AG330" i="6"/>
  <c r="AH330" i="6"/>
  <c r="AI330" i="6"/>
  <c r="S327" i="6"/>
  <c r="AD173" i="6"/>
  <c r="AE173" i="6"/>
  <c r="AD174" i="6"/>
  <c r="AE174" i="6"/>
  <c r="AD175" i="6"/>
  <c r="AE175" i="6"/>
  <c r="S174" i="6"/>
  <c r="AF174" i="6"/>
  <c r="AG174" i="6"/>
  <c r="AH174" i="6"/>
  <c r="AI17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AD387" i="6"/>
  <c r="AE387" i="6"/>
  <c r="AF387" i="6"/>
  <c r="AG387" i="6"/>
  <c r="AH387" i="6"/>
  <c r="AI387" i="6"/>
  <c r="AD388" i="6"/>
  <c r="AE388" i="6"/>
  <c r="AF388" i="6"/>
  <c r="AG388" i="6"/>
  <c r="AH388" i="6"/>
  <c r="AI388" i="6"/>
  <c r="S385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AD457" i="6"/>
  <c r="AE457" i="6"/>
  <c r="AF457" i="6"/>
  <c r="AG457" i="6"/>
  <c r="AH457" i="6"/>
  <c r="AI457" i="6"/>
  <c r="S455" i="6"/>
  <c r="S233" i="6"/>
  <c r="S234" i="6"/>
  <c r="S235" i="6"/>
  <c r="AD234" i="6"/>
  <c r="AE234" i="6"/>
  <c r="AF234" i="6"/>
  <c r="AG234" i="6"/>
  <c r="AH234" i="6"/>
  <c r="AI23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3" i="6"/>
  <c r="S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F173" i="6"/>
  <c r="AG173" i="6"/>
  <c r="AH173" i="6"/>
  <c r="AI173" i="6"/>
  <c r="S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S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AD233" i="6"/>
  <c r="AE233" i="6"/>
  <c r="AF233" i="6"/>
  <c r="AG233" i="6"/>
  <c r="AH233" i="6"/>
  <c r="AI233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S326" i="6"/>
  <c r="S328" i="6"/>
  <c r="S329" i="6"/>
  <c r="S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6" i="6"/>
  <c r="S387" i="6"/>
  <c r="S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6" i="6"/>
  <c r="S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513" i="6"/>
  <c r="AD513" i="6"/>
  <c r="AE513" i="6"/>
  <c r="AF513" i="6"/>
  <c r="AG513" i="6"/>
  <c r="AH513" i="6"/>
  <c r="AI513" i="6"/>
  <c r="S514" i="6"/>
  <c r="AD514" i="6"/>
  <c r="AE514" i="6"/>
  <c r="AF514" i="6"/>
  <c r="AG514" i="6"/>
  <c r="AH514" i="6"/>
  <c r="AI514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52" i="6" s="1"/>
  <c r="T174" i="6" l="1"/>
  <c r="T327" i="6"/>
  <c r="T455" i="6"/>
  <c r="T385" i="6"/>
  <c r="T233" i="6"/>
  <c r="T235" i="6"/>
  <c r="T23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5" i="6"/>
  <c r="T176" i="6"/>
  <c r="T177" i="6"/>
  <c r="T178" i="6"/>
  <c r="T179" i="6"/>
  <c r="T180" i="6"/>
  <c r="T181" i="6"/>
  <c r="T182" i="6"/>
  <c r="T183" i="6"/>
  <c r="T184" i="6"/>
  <c r="T185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127" i="6"/>
  <c r="T136" i="6"/>
  <c r="T143" i="6"/>
  <c r="T226" i="6"/>
  <c r="T243" i="6"/>
  <c r="T225" i="6"/>
  <c r="T242" i="6"/>
  <c r="T122" i="6"/>
  <c r="T221" i="6"/>
  <c r="T224" i="6"/>
  <c r="T232" i="6"/>
  <c r="T241" i="6"/>
  <c r="T231" i="6"/>
  <c r="T240" i="6"/>
  <c r="T223" i="6"/>
  <c r="T230" i="6"/>
  <c r="T239" i="6"/>
  <c r="T144" i="6"/>
  <c r="T229" i="6"/>
  <c r="T238" i="6"/>
  <c r="T228" i="6"/>
  <c r="T237" i="6"/>
  <c r="T222" i="6"/>
  <c r="T227" i="6"/>
  <c r="T246" i="6"/>
  <c r="T262" i="6"/>
  <c r="T277" i="6"/>
  <c r="T293" i="6"/>
  <c r="T255" i="6"/>
  <c r="T271" i="6"/>
  <c r="T286" i="6"/>
  <c r="T302" i="6"/>
  <c r="T248" i="6"/>
  <c r="T264" i="6"/>
  <c r="T279" i="6"/>
  <c r="T295" i="6"/>
  <c r="T257" i="6"/>
  <c r="T272" i="6"/>
  <c r="T288" i="6"/>
  <c r="T304" i="6"/>
  <c r="T309" i="6"/>
  <c r="T313" i="6"/>
  <c r="T317" i="6"/>
  <c r="T321" i="6"/>
  <c r="T325" i="6"/>
  <c r="T250" i="6"/>
  <c r="T266" i="6"/>
  <c r="T281" i="6"/>
  <c r="T297" i="6"/>
  <c r="T259" i="6"/>
  <c r="T274" i="6"/>
  <c r="T290" i="6"/>
  <c r="T306" i="6"/>
  <c r="T252" i="6"/>
  <c r="T268" i="6"/>
  <c r="T283" i="6"/>
  <c r="T299" i="6"/>
  <c r="T245" i="6"/>
  <c r="T261" i="6"/>
  <c r="T276" i="6"/>
  <c r="T292" i="6"/>
  <c r="T308" i="6"/>
  <c r="T312" i="6"/>
  <c r="T316" i="6"/>
  <c r="T320" i="6"/>
  <c r="T324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6" i="6"/>
  <c r="T387" i="6"/>
  <c r="T388" i="6"/>
  <c r="T389" i="6"/>
  <c r="T130" i="6"/>
  <c r="T254" i="6"/>
  <c r="T270" i="6"/>
  <c r="T285" i="6"/>
  <c r="T301" i="6"/>
  <c r="T247" i="6"/>
  <c r="T263" i="6"/>
  <c r="T278" i="6"/>
  <c r="T294" i="6"/>
  <c r="T256" i="6"/>
  <c r="T287" i="6"/>
  <c r="T303" i="6"/>
  <c r="T249" i="6"/>
  <c r="T265" i="6"/>
  <c r="T280" i="6"/>
  <c r="T296" i="6"/>
  <c r="T311" i="6"/>
  <c r="T315" i="6"/>
  <c r="T319" i="6"/>
  <c r="T323" i="6"/>
  <c r="T328" i="6"/>
  <c r="T258" i="6"/>
  <c r="T273" i="6"/>
  <c r="T289" i="6"/>
  <c r="T305" i="6"/>
  <c r="T251" i="6"/>
  <c r="T267" i="6"/>
  <c r="T282" i="6"/>
  <c r="T298" i="6"/>
  <c r="T318" i="6"/>
  <c r="T395" i="6"/>
  <c r="T269" i="6"/>
  <c r="T314" i="6"/>
  <c r="T236" i="6"/>
  <c r="T310" i="6"/>
  <c r="T394" i="6"/>
  <c r="T275" i="6"/>
  <c r="T393" i="6"/>
  <c r="T284" i="6"/>
  <c r="T392" i="6"/>
  <c r="T291" i="6"/>
  <c r="T391" i="6"/>
  <c r="T300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398" i="6"/>
  <c r="T244" i="6"/>
  <c r="T307" i="6"/>
  <c r="T390" i="6"/>
  <c r="T397" i="6"/>
  <c r="T253" i="6"/>
  <c r="T326" i="6"/>
  <c r="T458" i="6"/>
  <c r="T396" i="6"/>
  <c r="T463" i="6"/>
  <c r="T451" i="6"/>
  <c r="T468" i="6"/>
  <c r="T322" i="6"/>
  <c r="T457" i="6"/>
  <c r="T462" i="6"/>
  <c r="T473" i="6"/>
  <c r="T478" i="6"/>
  <c r="T480" i="6"/>
  <c r="T484" i="6"/>
  <c r="T487" i="6"/>
  <c r="T490" i="6"/>
  <c r="T494" i="6"/>
  <c r="T496" i="6"/>
  <c r="T499" i="6"/>
  <c r="T503" i="6"/>
  <c r="T507" i="6"/>
  <c r="T509" i="6"/>
  <c r="T512" i="6"/>
  <c r="T450" i="6"/>
  <c r="T467" i="6"/>
  <c r="T475" i="6"/>
  <c r="T481" i="6"/>
  <c r="T486" i="6"/>
  <c r="T489" i="6"/>
  <c r="T493" i="6"/>
  <c r="T498" i="6"/>
  <c r="T501" i="6"/>
  <c r="T505" i="6"/>
  <c r="T508" i="6"/>
  <c r="T511" i="6"/>
  <c r="T513" i="6"/>
  <c r="T456" i="6"/>
  <c r="T474" i="6"/>
  <c r="T477" i="6"/>
  <c r="T479" i="6"/>
  <c r="T482" i="6"/>
  <c r="T485" i="6"/>
  <c r="T488" i="6"/>
  <c r="T491" i="6"/>
  <c r="T495" i="6"/>
  <c r="T497" i="6"/>
  <c r="T500" i="6"/>
  <c r="T504" i="6"/>
  <c r="T506" i="6"/>
  <c r="T510" i="6"/>
  <c r="T514" i="6"/>
  <c r="T461" i="6"/>
  <c r="T472" i="6"/>
  <c r="T476" i="6"/>
  <c r="T483" i="6"/>
  <c r="T492" i="6"/>
  <c r="T502" i="6"/>
  <c r="T469" i="6"/>
  <c r="T449" i="6"/>
  <c r="T466" i="6"/>
  <c r="T471" i="6"/>
  <c r="T260" i="6"/>
  <c r="T454" i="6"/>
  <c r="T460" i="6"/>
  <c r="T452" i="6"/>
  <c r="T448" i="6"/>
  <c r="T465" i="6"/>
  <c r="T453" i="6"/>
  <c r="T470" i="6"/>
  <c r="T459" i="6"/>
  <c r="T464" i="6"/>
  <c r="T13" i="6"/>
  <c r="T14" i="6"/>
  <c r="T9" i="6"/>
  <c r="T11" i="6"/>
  <c r="U7" i="6"/>
  <c r="U152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74" i="6" l="1"/>
  <c r="U327" i="6"/>
  <c r="U455" i="6"/>
  <c r="U385" i="6"/>
  <c r="U233" i="6"/>
  <c r="U235" i="6"/>
  <c r="U23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60" i="6"/>
  <c r="U177" i="6"/>
  <c r="U194" i="6"/>
  <c r="U210" i="6"/>
  <c r="U153" i="6"/>
  <c r="U169" i="6"/>
  <c r="U187" i="6"/>
  <c r="U203" i="6"/>
  <c r="U219" i="6"/>
  <c r="U226" i="6"/>
  <c r="U243" i="6"/>
  <c r="U145" i="6"/>
  <c r="U162" i="6"/>
  <c r="U179" i="6"/>
  <c r="U196" i="6"/>
  <c r="U212" i="6"/>
  <c r="U137" i="6"/>
  <c r="U155" i="6"/>
  <c r="U171" i="6"/>
  <c r="U189" i="6"/>
  <c r="U205" i="6"/>
  <c r="U225" i="6"/>
  <c r="U242" i="6"/>
  <c r="U122" i="6"/>
  <c r="U147" i="6"/>
  <c r="U164" i="6"/>
  <c r="U181" i="6"/>
  <c r="U198" i="6"/>
  <c r="U214" i="6"/>
  <c r="U221" i="6"/>
  <c r="U157" i="6"/>
  <c r="U173" i="6"/>
  <c r="U191" i="6"/>
  <c r="U207" i="6"/>
  <c r="U224" i="6"/>
  <c r="U232" i="6"/>
  <c r="U241" i="6"/>
  <c r="U149" i="6"/>
  <c r="U166" i="6"/>
  <c r="U183" i="6"/>
  <c r="U200" i="6"/>
  <c r="U216" i="6"/>
  <c r="U159" i="6"/>
  <c r="U176" i="6"/>
  <c r="U193" i="6"/>
  <c r="U209" i="6"/>
  <c r="U231" i="6"/>
  <c r="U240" i="6"/>
  <c r="U151" i="6"/>
  <c r="U168" i="6"/>
  <c r="U185" i="6"/>
  <c r="U202" i="6"/>
  <c r="U218" i="6"/>
  <c r="U161" i="6"/>
  <c r="U178" i="6"/>
  <c r="U195" i="6"/>
  <c r="U211" i="6"/>
  <c r="U223" i="6"/>
  <c r="U230" i="6"/>
  <c r="U239" i="6"/>
  <c r="U144" i="6"/>
  <c r="U154" i="6"/>
  <c r="U170" i="6"/>
  <c r="U188" i="6"/>
  <c r="U204" i="6"/>
  <c r="U220" i="6"/>
  <c r="U101" i="6"/>
  <c r="U146" i="6"/>
  <c r="U163" i="6"/>
  <c r="U180" i="6"/>
  <c r="U197" i="6"/>
  <c r="U213" i="6"/>
  <c r="U229" i="6"/>
  <c r="U238" i="6"/>
  <c r="U156" i="6"/>
  <c r="U172" i="6"/>
  <c r="U190" i="6"/>
  <c r="U206" i="6"/>
  <c r="U108" i="6"/>
  <c r="U148" i="6"/>
  <c r="U165" i="6"/>
  <c r="U182" i="6"/>
  <c r="U199" i="6"/>
  <c r="U215" i="6"/>
  <c r="U228" i="6"/>
  <c r="U237" i="6"/>
  <c r="U236" i="6"/>
  <c r="U253" i="6"/>
  <c r="U269" i="6"/>
  <c r="U284" i="6"/>
  <c r="U300" i="6"/>
  <c r="U310" i="6"/>
  <c r="U314" i="6"/>
  <c r="U318" i="6"/>
  <c r="U322" i="6"/>
  <c r="U326" i="6"/>
  <c r="U192" i="6"/>
  <c r="U227" i="6"/>
  <c r="U246" i="6"/>
  <c r="U262" i="6"/>
  <c r="U277" i="6"/>
  <c r="U293" i="6"/>
  <c r="U255" i="6"/>
  <c r="U271" i="6"/>
  <c r="U286" i="6"/>
  <c r="U302" i="6"/>
  <c r="U201" i="6"/>
  <c r="U248" i="6"/>
  <c r="U264" i="6"/>
  <c r="U279" i="6"/>
  <c r="U295" i="6"/>
  <c r="U257" i="6"/>
  <c r="U272" i="6"/>
  <c r="U288" i="6"/>
  <c r="U304" i="6"/>
  <c r="U309" i="6"/>
  <c r="U313" i="6"/>
  <c r="U317" i="6"/>
  <c r="U321" i="6"/>
  <c r="U325" i="6"/>
  <c r="U208" i="6"/>
  <c r="U250" i="6"/>
  <c r="U266" i="6"/>
  <c r="U281" i="6"/>
  <c r="U297" i="6"/>
  <c r="U259" i="6"/>
  <c r="U274" i="6"/>
  <c r="U290" i="6"/>
  <c r="U306" i="6"/>
  <c r="U150" i="6"/>
  <c r="U217" i="6"/>
  <c r="U252" i="6"/>
  <c r="U268" i="6"/>
  <c r="U283" i="6"/>
  <c r="U299" i="6"/>
  <c r="U245" i="6"/>
  <c r="U261" i="6"/>
  <c r="U276" i="6"/>
  <c r="U292" i="6"/>
  <c r="U308" i="6"/>
  <c r="U312" i="6"/>
  <c r="U316" i="6"/>
  <c r="U320" i="6"/>
  <c r="U324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3" i="6"/>
  <c r="U384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130" i="6"/>
  <c r="U158" i="6"/>
  <c r="U254" i="6"/>
  <c r="U270" i="6"/>
  <c r="U285" i="6"/>
  <c r="U301" i="6"/>
  <c r="U247" i="6"/>
  <c r="U263" i="6"/>
  <c r="U278" i="6"/>
  <c r="U294" i="6"/>
  <c r="U167" i="6"/>
  <c r="U222" i="6"/>
  <c r="U256" i="6"/>
  <c r="U287" i="6"/>
  <c r="U303" i="6"/>
  <c r="U117" i="6"/>
  <c r="U249" i="6"/>
  <c r="U265" i="6"/>
  <c r="U280" i="6"/>
  <c r="U296" i="6"/>
  <c r="U311" i="6"/>
  <c r="U315" i="6"/>
  <c r="U319" i="6"/>
  <c r="U323" i="6"/>
  <c r="U328" i="6"/>
  <c r="U175" i="6"/>
  <c r="U258" i="6"/>
  <c r="U273" i="6"/>
  <c r="U289" i="6"/>
  <c r="U305" i="6"/>
  <c r="U260" i="6"/>
  <c r="U267" i="6"/>
  <c r="U184" i="6"/>
  <c r="U275" i="6"/>
  <c r="U282" i="6"/>
  <c r="U291" i="6"/>
  <c r="U2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398" i="6"/>
  <c r="U244" i="6"/>
  <c r="U307" i="6"/>
  <c r="U447" i="6"/>
  <c r="U452" i="6"/>
  <c r="U469" i="6"/>
  <c r="U458" i="6"/>
  <c r="U463" i="6"/>
  <c r="U451" i="6"/>
  <c r="U468" i="6"/>
  <c r="U464" i="6"/>
  <c r="U443" i="6"/>
  <c r="U457" i="6"/>
  <c r="U446" i="6"/>
  <c r="U462" i="6"/>
  <c r="U450" i="6"/>
  <c r="U467" i="6"/>
  <c r="U456" i="6"/>
  <c r="U46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513" i="6"/>
  <c r="U514" i="6"/>
  <c r="U251" i="6"/>
  <c r="U449" i="6"/>
  <c r="U466" i="6"/>
  <c r="U445" i="6"/>
  <c r="U454" i="6"/>
  <c r="U471" i="6"/>
  <c r="U444" i="6"/>
  <c r="U460" i="6"/>
  <c r="U448" i="6"/>
  <c r="U465" i="6"/>
  <c r="U453" i="6"/>
  <c r="U470" i="6"/>
  <c r="U459" i="6"/>
  <c r="U13" i="6"/>
  <c r="U14" i="6"/>
  <c r="V7" i="6"/>
  <c r="V152" i="6" s="1"/>
  <c r="U9" i="6"/>
  <c r="U11" i="6"/>
  <c r="U10" i="6"/>
  <c r="U8" i="6"/>
  <c r="U12" i="6"/>
  <c r="F5" i="6"/>
  <c r="G5" i="6"/>
  <c r="E5" i="6"/>
  <c r="H4" i="6"/>
  <c r="H3" i="6"/>
  <c r="T5" i="6"/>
  <c r="V174" i="6" l="1"/>
  <c r="V327" i="6"/>
  <c r="V455" i="6"/>
  <c r="V385" i="6"/>
  <c r="V233" i="6"/>
  <c r="V235" i="6"/>
  <c r="V23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7" i="6"/>
  <c r="V184" i="6"/>
  <c r="V201" i="6"/>
  <c r="V217" i="6"/>
  <c r="V227" i="6"/>
  <c r="V236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8" i="6"/>
  <c r="V160" i="6"/>
  <c r="V177" i="6"/>
  <c r="V194" i="6"/>
  <c r="V210" i="6"/>
  <c r="V153" i="6"/>
  <c r="V169" i="6"/>
  <c r="V187" i="6"/>
  <c r="V203" i="6"/>
  <c r="V219" i="6"/>
  <c r="V226" i="6"/>
  <c r="V243" i="6"/>
  <c r="V145" i="6"/>
  <c r="V162" i="6"/>
  <c r="V179" i="6"/>
  <c r="V196" i="6"/>
  <c r="V212" i="6"/>
  <c r="V137" i="6"/>
  <c r="V155" i="6"/>
  <c r="V171" i="6"/>
  <c r="V189" i="6"/>
  <c r="V205" i="6"/>
  <c r="V225" i="6"/>
  <c r="V242" i="6"/>
  <c r="V133" i="6"/>
  <c r="V147" i="6"/>
  <c r="V164" i="6"/>
  <c r="V181" i="6"/>
  <c r="V198" i="6"/>
  <c r="V214" i="6"/>
  <c r="V221" i="6"/>
  <c r="V157" i="6"/>
  <c r="V173" i="6"/>
  <c r="V191" i="6"/>
  <c r="V207" i="6"/>
  <c r="V224" i="6"/>
  <c r="V232" i="6"/>
  <c r="V241" i="6"/>
  <c r="V149" i="6"/>
  <c r="V166" i="6"/>
  <c r="V183" i="6"/>
  <c r="V200" i="6"/>
  <c r="V216" i="6"/>
  <c r="V159" i="6"/>
  <c r="V176" i="6"/>
  <c r="V193" i="6"/>
  <c r="V209" i="6"/>
  <c r="V231" i="6"/>
  <c r="V240" i="6"/>
  <c r="V151" i="6"/>
  <c r="V168" i="6"/>
  <c r="V185" i="6"/>
  <c r="V202" i="6"/>
  <c r="V218" i="6"/>
  <c r="V125" i="6"/>
  <c r="V161" i="6"/>
  <c r="V178" i="6"/>
  <c r="V195" i="6"/>
  <c r="V211" i="6"/>
  <c r="V223" i="6"/>
  <c r="V230" i="6"/>
  <c r="V239" i="6"/>
  <c r="V154" i="6"/>
  <c r="V170" i="6"/>
  <c r="V188" i="6"/>
  <c r="V204" i="6"/>
  <c r="V220" i="6"/>
  <c r="V146" i="6"/>
  <c r="V163" i="6"/>
  <c r="V180" i="6"/>
  <c r="V197" i="6"/>
  <c r="V213" i="6"/>
  <c r="V229" i="6"/>
  <c r="V238" i="6"/>
  <c r="V156" i="6"/>
  <c r="V172" i="6"/>
  <c r="V190" i="6"/>
  <c r="V206" i="6"/>
  <c r="V182" i="6"/>
  <c r="V192" i="6"/>
  <c r="V199" i="6"/>
  <c r="V208" i="6"/>
  <c r="V148" i="6"/>
  <c r="V215" i="6"/>
  <c r="V237" i="6"/>
  <c r="V2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158" i="6"/>
  <c r="V108" i="6"/>
  <c r="V165" i="6"/>
  <c r="V222" i="6"/>
  <c r="V395" i="6"/>
  <c r="V175" i="6"/>
  <c r="V388" i="6"/>
  <c r="V394" i="6"/>
  <c r="V393" i="6"/>
  <c r="V387" i="6"/>
  <c r="V392" i="6"/>
  <c r="V391" i="6"/>
  <c r="V386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390" i="6"/>
  <c r="V398" i="6"/>
  <c r="V397" i="6"/>
  <c r="V441" i="6"/>
  <c r="V444" i="6"/>
  <c r="V464" i="6"/>
  <c r="V458" i="6"/>
  <c r="V447" i="6"/>
  <c r="V452" i="6"/>
  <c r="V469" i="6"/>
  <c r="V396" i="6"/>
  <c r="V463" i="6"/>
  <c r="V451" i="6"/>
  <c r="V468" i="6"/>
  <c r="V492" i="6"/>
  <c r="V498" i="6"/>
  <c r="V506" i="6"/>
  <c r="V512" i="6"/>
  <c r="V443" i="6"/>
  <c r="V457" i="6"/>
  <c r="V491" i="6"/>
  <c r="V502" i="6"/>
  <c r="V510" i="6"/>
  <c r="V459" i="6"/>
  <c r="V440" i="6"/>
  <c r="V446" i="6"/>
  <c r="V462" i="6"/>
  <c r="V493" i="6"/>
  <c r="V499" i="6"/>
  <c r="V505" i="6"/>
  <c r="V509" i="6"/>
  <c r="V450" i="6"/>
  <c r="V467" i="6"/>
  <c r="V501" i="6"/>
  <c r="V507" i="6"/>
  <c r="V513" i="6"/>
  <c r="V456" i="6"/>
  <c r="V473" i="6"/>
  <c r="V475" i="6"/>
  <c r="V476" i="6"/>
  <c r="V478" i="6"/>
  <c r="V480" i="6"/>
  <c r="V482" i="6"/>
  <c r="V483" i="6"/>
  <c r="V485" i="6"/>
  <c r="V487" i="6"/>
  <c r="V488" i="6"/>
  <c r="V490" i="6"/>
  <c r="V495" i="6"/>
  <c r="V496" i="6"/>
  <c r="V500" i="6"/>
  <c r="V503" i="6"/>
  <c r="V508" i="6"/>
  <c r="V511" i="6"/>
  <c r="V461" i="6"/>
  <c r="V472" i="6"/>
  <c r="V474" i="6"/>
  <c r="V477" i="6"/>
  <c r="V479" i="6"/>
  <c r="V481" i="6"/>
  <c r="V484" i="6"/>
  <c r="V486" i="6"/>
  <c r="V489" i="6"/>
  <c r="V494" i="6"/>
  <c r="V497" i="6"/>
  <c r="V504" i="6"/>
  <c r="V514" i="6"/>
  <c r="V442" i="6"/>
  <c r="V449" i="6"/>
  <c r="V466" i="6"/>
  <c r="V445" i="6"/>
  <c r="V454" i="6"/>
  <c r="V471" i="6"/>
  <c r="V389" i="6"/>
  <c r="V460" i="6"/>
  <c r="V384" i="6"/>
  <c r="V448" i="6"/>
  <c r="V465" i="6"/>
  <c r="V470" i="6"/>
  <c r="V453" i="6"/>
  <c r="V13" i="6"/>
  <c r="V14" i="6"/>
  <c r="V12" i="6"/>
  <c r="V9" i="6"/>
  <c r="W7" i="6"/>
  <c r="W152" i="6" s="1"/>
  <c r="V10" i="6"/>
  <c r="V11" i="6"/>
  <c r="V8" i="6"/>
  <c r="U5" i="6"/>
  <c r="H5" i="6"/>
  <c r="W174" i="6" l="1"/>
  <c r="W327" i="6"/>
  <c r="W455" i="6"/>
  <c r="W385" i="6"/>
  <c r="W233" i="6"/>
  <c r="W235" i="6"/>
  <c r="W234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5" i="6"/>
  <c r="W176" i="6"/>
  <c r="W177" i="6"/>
  <c r="W178" i="6"/>
  <c r="W179" i="6"/>
  <c r="W180" i="6"/>
  <c r="W181" i="6"/>
  <c r="W182" i="6"/>
  <c r="W183" i="6"/>
  <c r="W184" i="6"/>
  <c r="W185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7" i="6"/>
  <c r="W236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8" i="6"/>
  <c r="W226" i="6"/>
  <c r="W243" i="6"/>
  <c r="W225" i="6"/>
  <c r="W242" i="6"/>
  <c r="W224" i="6"/>
  <c r="W232" i="6"/>
  <c r="W241" i="6"/>
  <c r="W231" i="6"/>
  <c r="W240" i="6"/>
  <c r="W223" i="6"/>
  <c r="W230" i="6"/>
  <c r="W239" i="6"/>
  <c r="W229" i="6"/>
  <c r="W238" i="6"/>
  <c r="W237" i="6"/>
  <c r="W2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384" i="6"/>
  <c r="W389" i="6"/>
  <c r="W396" i="6"/>
  <c r="W395" i="6"/>
  <c r="W388" i="6"/>
  <c r="W394" i="6"/>
  <c r="W393" i="6"/>
  <c r="W387" i="6"/>
  <c r="W392" i="6"/>
  <c r="W391" i="6"/>
  <c r="W386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390" i="6"/>
  <c r="W398" i="6"/>
  <c r="W459" i="6"/>
  <c r="W464" i="6"/>
  <c r="W452" i="6"/>
  <c r="W469" i="6"/>
  <c r="W458" i="6"/>
  <c r="W463" i="6"/>
  <c r="W491" i="6"/>
  <c r="W501" i="6"/>
  <c r="W509" i="6"/>
  <c r="W451" i="6"/>
  <c r="W468" i="6"/>
  <c r="W492" i="6"/>
  <c r="W496" i="6"/>
  <c r="W502" i="6"/>
  <c r="W508" i="6"/>
  <c r="W513" i="6"/>
  <c r="W457" i="6"/>
  <c r="W489" i="6"/>
  <c r="W503" i="6"/>
  <c r="W510" i="6"/>
  <c r="W462" i="6"/>
  <c r="W494" i="6"/>
  <c r="W504" i="6"/>
  <c r="W512" i="6"/>
  <c r="W450" i="6"/>
  <c r="W467" i="6"/>
  <c r="W490" i="6"/>
  <c r="W498" i="6"/>
  <c r="W507" i="6"/>
  <c r="W514" i="6"/>
  <c r="W456" i="6"/>
  <c r="W495" i="6"/>
  <c r="W499" i="6"/>
  <c r="W505" i="6"/>
  <c r="W511" i="6"/>
  <c r="W397" i="6"/>
  <c r="W46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93" i="6"/>
  <c r="W497" i="6"/>
  <c r="W500" i="6"/>
  <c r="W506" i="6"/>
  <c r="W449" i="6"/>
  <c r="W466" i="6"/>
  <c r="W454" i="6"/>
  <c r="W471" i="6"/>
  <c r="W460" i="6"/>
  <c r="W448" i="6"/>
  <c r="W465" i="6"/>
  <c r="W453" i="6"/>
  <c r="W470" i="6"/>
  <c r="W13" i="6"/>
  <c r="W14" i="6"/>
  <c r="W12" i="6"/>
  <c r="W8" i="6"/>
  <c r="V5" i="6"/>
  <c r="X7" i="6"/>
  <c r="X152" i="6" s="1"/>
  <c r="W10" i="6"/>
  <c r="W9" i="6"/>
  <c r="W11" i="6"/>
  <c r="X174" i="6" l="1"/>
  <c r="X327" i="6"/>
  <c r="X455" i="6"/>
  <c r="X385" i="6"/>
  <c r="X233" i="6"/>
  <c r="X235" i="6"/>
  <c r="X23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5" i="6"/>
  <c r="X176" i="6"/>
  <c r="X177" i="6"/>
  <c r="X178" i="6"/>
  <c r="X179" i="6"/>
  <c r="X180" i="6"/>
  <c r="X181" i="6"/>
  <c r="X182" i="6"/>
  <c r="X183" i="6"/>
  <c r="X184" i="6"/>
  <c r="X185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6" i="6"/>
  <c r="X307" i="6"/>
  <c r="X310" i="6"/>
  <c r="X314" i="6"/>
  <c r="X318" i="6"/>
  <c r="X322" i="6"/>
  <c r="X326" i="6"/>
  <c r="X309" i="6"/>
  <c r="X313" i="6"/>
  <c r="X317" i="6"/>
  <c r="X321" i="6"/>
  <c r="X325" i="6"/>
  <c r="X308" i="6"/>
  <c r="X312" i="6"/>
  <c r="X316" i="6"/>
  <c r="X320" i="6"/>
  <c r="X324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3" i="6"/>
  <c r="X384" i="6"/>
  <c r="X386" i="6"/>
  <c r="X387" i="6"/>
  <c r="X388" i="6"/>
  <c r="X389" i="6"/>
  <c r="X390" i="6"/>
  <c r="X311" i="6"/>
  <c r="X315" i="6"/>
  <c r="X319" i="6"/>
  <c r="X323" i="6"/>
  <c r="X328" i="6"/>
  <c r="X396" i="6"/>
  <c r="X395" i="6"/>
  <c r="X394" i="6"/>
  <c r="X393" i="6"/>
  <c r="X392" i="6"/>
  <c r="X391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398" i="6"/>
  <c r="X501" i="6"/>
  <c r="X508" i="6"/>
  <c r="X500" i="6"/>
  <c r="X510" i="6"/>
  <c r="X499" i="6"/>
  <c r="X507" i="6"/>
  <c r="X506" i="6"/>
  <c r="X513" i="6"/>
  <c r="X502" i="6"/>
  <c r="X509" i="6"/>
  <c r="X503" i="6"/>
  <c r="X514" i="6"/>
  <c r="X504" i="6"/>
  <c r="X512" i="6"/>
  <c r="X397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505" i="6"/>
  <c r="X511" i="6"/>
  <c r="X471" i="6"/>
  <c r="X13" i="6"/>
  <c r="X14" i="6"/>
  <c r="W5" i="6"/>
  <c r="X10" i="6"/>
  <c r="Y7" i="6"/>
  <c r="Y152" i="6" s="1"/>
  <c r="X9" i="6"/>
  <c r="X11" i="6"/>
  <c r="X12" i="6"/>
  <c r="X8" i="6"/>
  <c r="Y174" i="6" l="1"/>
  <c r="Y327" i="6"/>
  <c r="Y455" i="6"/>
  <c r="Y385" i="6"/>
  <c r="Y234" i="6"/>
  <c r="Y233" i="6"/>
  <c r="Y235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5" i="6"/>
  <c r="Y176" i="6"/>
  <c r="Y177" i="6"/>
  <c r="Y178" i="6"/>
  <c r="Y179" i="6"/>
  <c r="Y180" i="6"/>
  <c r="Y181" i="6"/>
  <c r="Y182" i="6"/>
  <c r="Y183" i="6"/>
  <c r="Y184" i="6"/>
  <c r="Y185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6" i="6"/>
  <c r="Y237" i="6"/>
  <c r="Y238" i="6"/>
  <c r="Y239" i="6"/>
  <c r="Y240" i="6"/>
  <c r="Y241" i="6"/>
  <c r="Y242" i="6"/>
  <c r="Y243" i="6"/>
  <c r="Y136" i="6"/>
  <c r="Y143" i="6"/>
  <c r="Y142" i="6"/>
  <c r="Y135" i="6"/>
  <c r="Y141" i="6"/>
  <c r="Y140" i="6"/>
  <c r="Y134" i="6"/>
  <c r="Y139" i="6"/>
  <c r="Y138" i="6"/>
  <c r="Y137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306" i="6"/>
  <c r="Y307" i="6"/>
  <c r="Y133" i="6"/>
  <c r="Y310" i="6"/>
  <c r="Y314" i="6"/>
  <c r="Y318" i="6"/>
  <c r="Y322" i="6"/>
  <c r="Y326" i="6"/>
  <c r="Y309" i="6"/>
  <c r="Y313" i="6"/>
  <c r="Y317" i="6"/>
  <c r="Y321" i="6"/>
  <c r="Y325" i="6"/>
  <c r="Y308" i="6"/>
  <c r="Y312" i="6"/>
  <c r="Y316" i="6"/>
  <c r="Y320" i="6"/>
  <c r="Y324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81" i="6"/>
  <c r="Y382" i="6"/>
  <c r="Y397" i="6"/>
  <c r="Y384" i="6"/>
  <c r="Y389" i="6"/>
  <c r="Y396" i="6"/>
  <c r="Y395" i="6"/>
  <c r="Y383" i="6"/>
  <c r="Y388" i="6"/>
  <c r="Y328" i="6"/>
  <c r="Y394" i="6"/>
  <c r="Y323" i="6"/>
  <c r="Y319" i="6"/>
  <c r="Y393" i="6"/>
  <c r="Y315" i="6"/>
  <c r="Y387" i="6"/>
  <c r="Y311" i="6"/>
  <c r="Y392" i="6"/>
  <c r="Y391" i="6"/>
  <c r="Y386" i="6"/>
  <c r="Y403" i="6"/>
  <c r="Y418" i="6"/>
  <c r="Y434" i="6"/>
  <c r="Y453" i="6"/>
  <c r="Y470" i="6"/>
  <c r="Y412" i="6"/>
  <c r="Y427" i="6"/>
  <c r="Y441" i="6"/>
  <c r="Y444" i="6"/>
  <c r="Y459" i="6"/>
  <c r="Y405" i="6"/>
  <c r="Y420" i="6"/>
  <c r="Y436" i="6"/>
  <c r="Y447" i="6"/>
  <c r="Y464" i="6"/>
  <c r="Y414" i="6"/>
  <c r="Y429" i="6"/>
  <c r="Y452" i="6"/>
  <c r="Y469" i="6"/>
  <c r="Y390" i="6"/>
  <c r="Y398" i="6"/>
  <c r="Y407" i="6"/>
  <c r="Y422" i="6"/>
  <c r="Y438" i="6"/>
  <c r="Y458" i="6"/>
  <c r="Y501" i="6"/>
  <c r="Y504" i="6"/>
  <c r="Y513" i="6"/>
  <c r="Y400" i="6"/>
  <c r="Y431" i="6"/>
  <c r="Y463" i="6"/>
  <c r="Y499" i="6"/>
  <c r="Y507" i="6"/>
  <c r="Y409" i="6"/>
  <c r="Y424" i="6"/>
  <c r="Y443" i="6"/>
  <c r="Y451" i="6"/>
  <c r="Y468" i="6"/>
  <c r="Y500" i="6"/>
  <c r="Y505" i="6"/>
  <c r="Y402" i="6"/>
  <c r="Y417" i="6"/>
  <c r="Y433" i="6"/>
  <c r="Y440" i="6"/>
  <c r="Y446" i="6"/>
  <c r="Y457" i="6"/>
  <c r="Y494" i="6"/>
  <c r="Y510" i="6"/>
  <c r="Y411" i="6"/>
  <c r="Y426" i="6"/>
  <c r="Y462" i="6"/>
  <c r="Y498" i="6"/>
  <c r="Y506" i="6"/>
  <c r="Y404" i="6"/>
  <c r="Y419" i="6"/>
  <c r="Y435" i="6"/>
  <c r="Y450" i="6"/>
  <c r="Y467" i="6"/>
  <c r="Y497" i="6"/>
  <c r="Y509" i="6"/>
  <c r="Y413" i="6"/>
  <c r="Y428" i="6"/>
  <c r="Y456" i="6"/>
  <c r="Y496" i="6"/>
  <c r="Y508" i="6"/>
  <c r="Y406" i="6"/>
  <c r="Y421" i="6"/>
  <c r="Y437" i="6"/>
  <c r="Y442" i="6"/>
  <c r="Y461" i="6"/>
  <c r="Y502" i="6"/>
  <c r="Y511" i="6"/>
  <c r="Y514" i="6"/>
  <c r="Y399" i="6"/>
  <c r="Y415" i="6"/>
  <c r="Y430" i="6"/>
  <c r="Y445" i="6"/>
  <c r="Y449" i="6"/>
  <c r="Y466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5" i="6"/>
  <c r="Y503" i="6"/>
  <c r="Y512" i="6"/>
  <c r="Y425" i="6"/>
  <c r="Y408" i="6"/>
  <c r="Y423" i="6"/>
  <c r="Y439" i="6"/>
  <c r="Y454" i="6"/>
  <c r="Y448" i="6"/>
  <c r="Y401" i="6"/>
  <c r="Y416" i="6"/>
  <c r="Y432" i="6"/>
  <c r="Y460" i="6"/>
  <c r="Y471" i="6"/>
  <c r="Y410" i="6"/>
  <c r="Y465" i="6"/>
  <c r="Y13" i="6"/>
  <c r="Y14" i="6"/>
  <c r="Y12" i="6"/>
  <c r="Y9" i="6"/>
  <c r="Y8" i="6"/>
  <c r="Y10" i="6"/>
  <c r="Y11" i="6"/>
  <c r="Z7" i="6"/>
  <c r="Z152" i="6" s="1"/>
  <c r="X5" i="6"/>
  <c r="Z174" i="6" l="1"/>
  <c r="Z327" i="6"/>
  <c r="Z455" i="6"/>
  <c r="Z385" i="6"/>
  <c r="Z234" i="6"/>
  <c r="Z233" i="6"/>
  <c r="Z235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5" i="6"/>
  <c r="Z176" i="6"/>
  <c r="Z177" i="6"/>
  <c r="Z178" i="6"/>
  <c r="Z179" i="6"/>
  <c r="Z180" i="6"/>
  <c r="Z181" i="6"/>
  <c r="Z182" i="6"/>
  <c r="Z183" i="6"/>
  <c r="Z184" i="6"/>
  <c r="Z185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136" i="6"/>
  <c r="Z143" i="6"/>
  <c r="Z142" i="6"/>
  <c r="Z135" i="6"/>
  <c r="Z141" i="6"/>
  <c r="Z140" i="6"/>
  <c r="Z134" i="6"/>
  <c r="Z139" i="6"/>
  <c r="Z228" i="6"/>
  <c r="Z237" i="6"/>
  <c r="Z227" i="6"/>
  <c r="Z236" i="6"/>
  <c r="Z226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306" i="6"/>
  <c r="Z307" i="6"/>
  <c r="Z225" i="6"/>
  <c r="Z242" i="6"/>
  <c r="Z224" i="6"/>
  <c r="Z232" i="6"/>
  <c r="Z241" i="6"/>
  <c r="Z231" i="6"/>
  <c r="Z240" i="6"/>
  <c r="Z138" i="6"/>
  <c r="Z230" i="6"/>
  <c r="Z239" i="6"/>
  <c r="Z238" i="6"/>
  <c r="Z229" i="6"/>
  <c r="Z310" i="6"/>
  <c r="Z314" i="6"/>
  <c r="Z318" i="6"/>
  <c r="Z322" i="6"/>
  <c r="Z326" i="6"/>
  <c r="Z309" i="6"/>
  <c r="Z313" i="6"/>
  <c r="Z317" i="6"/>
  <c r="Z321" i="6"/>
  <c r="Z325" i="6"/>
  <c r="Z308" i="6"/>
  <c r="Z312" i="6"/>
  <c r="Z316" i="6"/>
  <c r="Z320" i="6"/>
  <c r="Z324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3" i="6"/>
  <c r="Z384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28" i="6"/>
  <c r="Z323" i="6"/>
  <c r="Z319" i="6"/>
  <c r="Z315" i="6"/>
  <c r="Z311" i="6"/>
  <c r="Z410" i="6"/>
  <c r="Z425" i="6"/>
  <c r="Z448" i="6"/>
  <c r="Z465" i="6"/>
  <c r="Z403" i="6"/>
  <c r="Z418" i="6"/>
  <c r="Z434" i="6"/>
  <c r="Z453" i="6"/>
  <c r="Z470" i="6"/>
  <c r="Z459" i="6"/>
  <c r="Z412" i="6"/>
  <c r="Z427" i="6"/>
  <c r="Z441" i="6"/>
  <c r="Z444" i="6"/>
  <c r="Z405" i="6"/>
  <c r="Z420" i="6"/>
  <c r="Z436" i="6"/>
  <c r="Z447" i="6"/>
  <c r="Z464" i="6"/>
  <c r="Z414" i="6"/>
  <c r="Z429" i="6"/>
  <c r="Z452" i="6"/>
  <c r="Z469" i="6"/>
  <c r="Z407" i="6"/>
  <c r="Z422" i="6"/>
  <c r="Z438" i="6"/>
  <c r="Z458" i="6"/>
  <c r="Z400" i="6"/>
  <c r="Z431" i="6"/>
  <c r="Z463" i="6"/>
  <c r="Z468" i="6"/>
  <c r="Z460" i="6"/>
  <c r="Z409" i="6"/>
  <c r="Z424" i="6"/>
  <c r="Z443" i="6"/>
  <c r="Z451" i="6"/>
  <c r="Z402" i="6"/>
  <c r="Z417" i="6"/>
  <c r="Z433" i="6"/>
  <c r="Z440" i="6"/>
  <c r="Z446" i="6"/>
  <c r="Z457" i="6"/>
  <c r="Z411" i="6"/>
  <c r="Z426" i="6"/>
  <c r="Z462" i="6"/>
  <c r="Z404" i="6"/>
  <c r="Z419" i="6"/>
  <c r="Z435" i="6"/>
  <c r="Z450" i="6"/>
  <c r="Z467" i="6"/>
  <c r="Z416" i="6"/>
  <c r="Z413" i="6"/>
  <c r="Z428" i="6"/>
  <c r="Z456" i="6"/>
  <c r="Z401" i="6"/>
  <c r="Z471" i="6"/>
  <c r="Z406" i="6"/>
  <c r="Z421" i="6"/>
  <c r="Z437" i="6"/>
  <c r="Z442" i="6"/>
  <c r="Z461" i="6"/>
  <c r="Z399" i="6"/>
  <c r="Z415" i="6"/>
  <c r="Z430" i="6"/>
  <c r="Z445" i="6"/>
  <c r="Z449" i="6"/>
  <c r="Z466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513" i="6"/>
  <c r="Z514" i="6"/>
  <c r="Z408" i="6"/>
  <c r="Z423" i="6"/>
  <c r="Z439" i="6"/>
  <c r="Z454" i="6"/>
  <c r="Z432" i="6"/>
  <c r="Z13" i="6"/>
  <c r="Z14" i="6"/>
  <c r="Z12" i="6"/>
  <c r="Z8" i="6"/>
  <c r="Y5" i="6"/>
  <c r="AA7" i="6"/>
  <c r="AA152" i="6" s="1"/>
  <c r="Z10" i="6"/>
  <c r="Z9" i="6"/>
  <c r="Z11" i="6"/>
  <c r="AA174" i="6" l="1"/>
  <c r="AA327" i="6"/>
  <c r="AA455" i="6"/>
  <c r="AA385" i="6"/>
  <c r="AA234" i="6"/>
  <c r="AA233" i="6"/>
  <c r="AA235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5" i="6"/>
  <c r="AA176" i="6"/>
  <c r="AA177" i="6"/>
  <c r="AA178" i="6"/>
  <c r="AA179" i="6"/>
  <c r="AA180" i="6"/>
  <c r="AA181" i="6"/>
  <c r="AA182" i="6"/>
  <c r="AA183" i="6"/>
  <c r="AA184" i="6"/>
  <c r="AA185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136" i="6"/>
  <c r="AA143" i="6"/>
  <c r="AA98" i="6"/>
  <c r="AA142" i="6"/>
  <c r="AA135" i="6"/>
  <c r="AA141" i="6"/>
  <c r="AA140" i="6"/>
  <c r="AA139" i="6"/>
  <c r="AA228" i="6"/>
  <c r="AA237" i="6"/>
  <c r="AA227" i="6"/>
  <c r="AA236" i="6"/>
  <c r="AA226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8" i="6"/>
  <c r="AA225" i="6"/>
  <c r="AA242" i="6"/>
  <c r="AA224" i="6"/>
  <c r="AA232" i="6"/>
  <c r="AA241" i="6"/>
  <c r="AA231" i="6"/>
  <c r="AA240" i="6"/>
  <c r="AA138" i="6"/>
  <c r="AA230" i="6"/>
  <c r="AA239" i="6"/>
  <c r="AA238" i="6"/>
  <c r="AA229" i="6"/>
  <c r="AA338" i="6"/>
  <c r="AA354" i="6"/>
  <c r="AA370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331" i="6"/>
  <c r="AA347" i="6"/>
  <c r="AA363" i="6"/>
  <c r="AA379" i="6"/>
  <c r="AA397" i="6"/>
  <c r="AA340" i="6"/>
  <c r="AA356" i="6"/>
  <c r="AA372" i="6"/>
  <c r="AA384" i="6"/>
  <c r="AA389" i="6"/>
  <c r="AA333" i="6"/>
  <c r="AA349" i="6"/>
  <c r="AA365" i="6"/>
  <c r="AA381" i="6"/>
  <c r="AA396" i="6"/>
  <c r="AA342" i="6"/>
  <c r="AA358" i="6"/>
  <c r="AA374" i="6"/>
  <c r="AA335" i="6"/>
  <c r="AA351" i="6"/>
  <c r="AA367" i="6"/>
  <c r="AA395" i="6"/>
  <c r="AA344" i="6"/>
  <c r="AA360" i="6"/>
  <c r="AA376" i="6"/>
  <c r="AA383" i="6"/>
  <c r="AA388" i="6"/>
  <c r="AA337" i="6"/>
  <c r="AA353" i="6"/>
  <c r="AA369" i="6"/>
  <c r="AA394" i="6"/>
  <c r="AA330" i="6"/>
  <c r="AA346" i="6"/>
  <c r="AA362" i="6"/>
  <c r="AA378" i="6"/>
  <c r="AA339" i="6"/>
  <c r="AA355" i="6"/>
  <c r="AA371" i="6"/>
  <c r="AA393" i="6"/>
  <c r="AA332" i="6"/>
  <c r="AA348" i="6"/>
  <c r="AA364" i="6"/>
  <c r="AA380" i="6"/>
  <c r="AA387" i="6"/>
  <c r="AA341" i="6"/>
  <c r="AA357" i="6"/>
  <c r="AA373" i="6"/>
  <c r="AA392" i="6"/>
  <c r="AA334" i="6"/>
  <c r="AA350" i="6"/>
  <c r="AA366" i="6"/>
  <c r="AA382" i="6"/>
  <c r="AA343" i="6"/>
  <c r="AA359" i="6"/>
  <c r="AA375" i="6"/>
  <c r="AA391" i="6"/>
  <c r="AA336" i="6"/>
  <c r="AA345" i="6"/>
  <c r="AA352" i="6"/>
  <c r="AA386" i="6"/>
  <c r="AA390" i="6"/>
  <c r="AA361" i="6"/>
  <c r="AA329" i="6"/>
  <c r="AA368" i="6"/>
  <c r="AA377" i="6"/>
  <c r="AA472" i="6"/>
  <c r="AA474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9" i="6"/>
  <c r="AA500" i="6"/>
  <c r="AA503" i="6"/>
  <c r="AA505" i="6"/>
  <c r="AA508" i="6"/>
  <c r="AA510" i="6"/>
  <c r="AA512" i="6"/>
  <c r="AA514" i="6"/>
  <c r="AA473" i="6"/>
  <c r="AA476" i="6"/>
  <c r="AA478" i="6"/>
  <c r="AA480" i="6"/>
  <c r="AA482" i="6"/>
  <c r="AA484" i="6"/>
  <c r="AA486" i="6"/>
  <c r="AA488" i="6"/>
  <c r="AA490" i="6"/>
  <c r="AA492" i="6"/>
  <c r="AA494" i="6"/>
  <c r="AA496" i="6"/>
  <c r="AA498" i="6"/>
  <c r="AA501" i="6"/>
  <c r="AA502" i="6"/>
  <c r="AA504" i="6"/>
  <c r="AA506" i="6"/>
  <c r="AA507" i="6"/>
  <c r="AA509" i="6"/>
  <c r="AA511" i="6"/>
  <c r="AA513" i="6"/>
  <c r="AA13" i="6"/>
  <c r="AA14" i="6"/>
  <c r="AA11" i="6"/>
  <c r="Z5" i="6"/>
  <c r="AA8" i="6"/>
  <c r="AA10" i="6"/>
  <c r="AA12" i="6"/>
  <c r="AA9" i="6"/>
  <c r="AB7" i="6"/>
  <c r="AB152" i="6" s="1"/>
  <c r="AB174" i="6" l="1"/>
  <c r="AB327" i="6"/>
  <c r="AB455" i="6"/>
  <c r="AB385" i="6"/>
  <c r="AB234" i="6"/>
  <c r="AB233" i="6"/>
  <c r="AB235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5" i="6"/>
  <c r="AB176" i="6"/>
  <c r="AB177" i="6"/>
  <c r="AB178" i="6"/>
  <c r="AB179" i="6"/>
  <c r="AB180" i="6"/>
  <c r="AB181" i="6"/>
  <c r="AB182" i="6"/>
  <c r="AB183" i="6"/>
  <c r="AB184" i="6"/>
  <c r="AB185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143" i="6"/>
  <c r="AB142" i="6"/>
  <c r="AB141" i="6"/>
  <c r="AB140" i="6"/>
  <c r="AB138" i="6"/>
  <c r="AB229" i="6"/>
  <c r="AB238" i="6"/>
  <c r="AB228" i="6"/>
  <c r="AB237" i="6"/>
  <c r="AB227" i="6"/>
  <c r="AB236" i="6"/>
  <c r="AB139" i="6"/>
  <c r="AB226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8" i="6"/>
  <c r="AB225" i="6"/>
  <c r="AB242" i="6"/>
  <c r="AB224" i="6"/>
  <c r="AB232" i="6"/>
  <c r="AB241" i="6"/>
  <c r="AB223" i="6"/>
  <c r="AB231" i="6"/>
  <c r="AB240" i="6"/>
  <c r="AB239" i="6"/>
  <c r="AB230" i="6"/>
  <c r="AB329" i="6"/>
  <c r="AB345" i="6"/>
  <c r="AB361" i="6"/>
  <c r="AB377" i="6"/>
  <c r="AB390" i="6"/>
  <c r="AB338" i="6"/>
  <c r="AB354" i="6"/>
  <c r="AB370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331" i="6"/>
  <c r="AB347" i="6"/>
  <c r="AB363" i="6"/>
  <c r="AB379" i="6"/>
  <c r="AB397" i="6"/>
  <c r="AB340" i="6"/>
  <c r="AB356" i="6"/>
  <c r="AB372" i="6"/>
  <c r="AB384" i="6"/>
  <c r="AB389" i="6"/>
  <c r="AB333" i="6"/>
  <c r="AB349" i="6"/>
  <c r="AB365" i="6"/>
  <c r="AB381" i="6"/>
  <c r="AB396" i="6"/>
  <c r="AB342" i="6"/>
  <c r="AB358" i="6"/>
  <c r="AB374" i="6"/>
  <c r="AB335" i="6"/>
  <c r="AB351" i="6"/>
  <c r="AB367" i="6"/>
  <c r="AB395" i="6"/>
  <c r="AB344" i="6"/>
  <c r="AB360" i="6"/>
  <c r="AB376" i="6"/>
  <c r="AB383" i="6"/>
  <c r="AB388" i="6"/>
  <c r="AB337" i="6"/>
  <c r="AB353" i="6"/>
  <c r="AB369" i="6"/>
  <c r="AB394" i="6"/>
  <c r="AB330" i="6"/>
  <c r="AB346" i="6"/>
  <c r="AB362" i="6"/>
  <c r="AB378" i="6"/>
  <c r="AB339" i="6"/>
  <c r="AB355" i="6"/>
  <c r="AB371" i="6"/>
  <c r="AB393" i="6"/>
  <c r="AB332" i="6"/>
  <c r="AB348" i="6"/>
  <c r="AB364" i="6"/>
  <c r="AB380" i="6"/>
  <c r="AB387" i="6"/>
  <c r="AB341" i="6"/>
  <c r="AB357" i="6"/>
  <c r="AB373" i="6"/>
  <c r="AB392" i="6"/>
  <c r="AB334" i="6"/>
  <c r="AB350" i="6"/>
  <c r="AB366" i="6"/>
  <c r="AB382" i="6"/>
  <c r="AB478" i="6"/>
  <c r="AB502" i="6"/>
  <c r="AB475" i="6"/>
  <c r="AB503" i="6"/>
  <c r="AB336" i="6"/>
  <c r="AB486" i="6"/>
  <c r="AB501" i="6"/>
  <c r="AB490" i="6"/>
  <c r="AB512" i="6"/>
  <c r="AB343" i="6"/>
  <c r="AB477" i="6"/>
  <c r="AB507" i="6"/>
  <c r="AB511" i="6"/>
  <c r="AB352" i="6"/>
  <c r="AB386" i="6"/>
  <c r="AB506" i="6"/>
  <c r="AB481" i="6"/>
  <c r="AB489" i="6"/>
  <c r="AB497" i="6"/>
  <c r="AB509" i="6"/>
  <c r="AB359" i="6"/>
  <c r="AB496" i="6"/>
  <c r="AB476" i="6"/>
  <c r="AB487" i="6"/>
  <c r="AB498" i="6"/>
  <c r="AB513" i="6"/>
  <c r="AB368" i="6"/>
  <c r="AB473" i="6"/>
  <c r="AB482" i="6"/>
  <c r="AB488" i="6"/>
  <c r="AB495" i="6"/>
  <c r="AB500" i="6"/>
  <c r="AB510" i="6"/>
  <c r="AB484" i="6"/>
  <c r="AB494" i="6"/>
  <c r="AB504" i="6"/>
  <c r="AB514" i="6"/>
  <c r="AB375" i="6"/>
  <c r="AB472" i="6"/>
  <c r="AB480" i="6"/>
  <c r="AB485" i="6"/>
  <c r="AB492" i="6"/>
  <c r="AB499" i="6"/>
  <c r="AB508" i="6"/>
  <c r="AB391" i="6"/>
  <c r="AB491" i="6"/>
  <c r="AB474" i="6"/>
  <c r="AB479" i="6"/>
  <c r="AB483" i="6"/>
  <c r="AB493" i="6"/>
  <c r="AB505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<sst xmlns="http://schemas.openxmlformats.org/spreadsheetml/2006/main" count="4933" uniqueCount="2161">
  <si>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</si>
  <si>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</si>
  <si>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</si>
  <si>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</si>
  <si>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</si>
  <si>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</si>
  <si>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</si>
  <si>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</si>
  <si>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</si>
  <si>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</si>
  <si>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</si>
  <si>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</si>
  <si>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</si>
  <si>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</si>
  <si>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</si>
  <si>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</si>
  <si>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</si>
  <si>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</si>
  <si>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</si>
  <si>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</si>
  <si>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</si>
  <si>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</si>
  <si>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</si>
  <si>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</si>
  <si>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</si>
  <si>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</si>
  <si>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</si>
  <si>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</si>
  <si>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</si>
  <si>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</si>
  <si>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</si>
  <si>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</si>
  <si>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</si>
  <si>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</si>
  <si>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</si>
  <si>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</si>
  <si>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</si>
  <si>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</si>
  <si>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</si>
  <si>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</si>
  <si>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</si>
  <si>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</si>
  <si>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</si>
  <si>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</si>
  <si>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</si>
  <si>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</si>
  <si>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</si>
  <si>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</si>
  <si>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</si>
  <si>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</si>
  <si>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</si>
  <si>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</si>
  <si>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</si>
  <si>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</si>
  <si>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</si>
  <si>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</si>
  <si>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</si>
  <si>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</si>
  <si>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</si>
  <si>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</si>
  <si>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</si>
  <si>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</si>
  <si>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</si>
  <si>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</si>
  <si>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</si>
  <si>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</si>
  <si>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</si>
  <si>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</si>
  <si>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</si>
  <si>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</si>
  <si>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</si>
  <si>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</si>
  <si>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</si>
  <si>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</si>
  <si>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</si>
  <si>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</si>
  <si>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</si>
  <si>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</si>
  <si>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</si>
  <si>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</si>
  <si>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</si>
  <si>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</si>
  <si>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</si>
  <si>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</si>
  <si>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</si>
  <si>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</si>
  <si>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</si>
  <si>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</si>
  <si>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</si>
  <si>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</si>
  <si>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</si>
  <si>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</si>
  <si>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</si>
  <si>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</si>
  <si>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</si>
  <si>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</si>
  <si>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</si>
  <si>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</si>
  <si>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</si>
  <si>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</si>
  <si>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</si>
  <si>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</si>
  <si>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</si>
  <si>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</si>
  <si>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</si>
  <si>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</si>
  <si>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</si>
  <si>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</si>
  <si>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</si>
  <si>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</si>
  <si>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</si>
  <si>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</si>
  <si>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</si>
  <si>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</si>
  <si>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</si>
  <si>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</si>
  <si>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</si>
  <si>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</si>
  <si>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</si>
  <si>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</si>
  <si>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</si>
  <si>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</si>
  <si>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</si>
  <si>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</si>
  <si>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</si>
  <si>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</si>
  <si>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</si>
  <si>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</si>
  <si>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</si>
  <si>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</si>
  <si>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</si>
  <si>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</si>
  <si>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</si>
  <si>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</si>
  <si>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</si>
  <si>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</si>
  <si>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</si>
  <si>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</si>
  <si>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</si>
  <si>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</si>
  <si>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</si>
  <si>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</si>
  <si>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</si>
  <si>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</si>
  <si>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</si>
  <si>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</si>
  <si>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</si>
  <si>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</si>
  <si>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</si>
  <si>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</si>
  <si>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</si>
  <si>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</si>
  <si>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</si>
  <si>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</si>
  <si>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</si>
  <si>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</si>
  <si>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</si>
  <si>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</si>
  <si>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</si>
  <si>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</si>
  <si>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</si>
  <si>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</si>
  <si>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</si>
  <si>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</si>
  <si>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</si>
  <si>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</si>
  <si>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</si>
  <si>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</si>
  <si>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</si>
  <si>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</si>
  <si>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</si>
  <si>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</si>
  <si>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</si>
  <si>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</si>
  <si>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</si>
  <si>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</si>
  <si>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</si>
  <si>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</si>
  <si>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</si>
  <si>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</si>
  <si>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</si>
  <si>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</si>
  <si>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</si>
  <si>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</si>
  <si>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</si>
  <si>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</si>
  <si>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</si>
  <si>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</si>
  <si>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</si>
  <si>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</si>
  <si>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</si>
  <si>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</si>
  <si>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</si>
  <si>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</si>
  <si>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</si>
  <si>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</si>
  <si>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</si>
  <si>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</si>
  <si>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</si>
  <si>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</si>
  <si>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</si>
  <si>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</si>
  <si>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</si>
  <si>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</si>
  <si>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</si>
  <si>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</si>
  <si>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</si>
  <si>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</si>
  <si>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</si>
  <si>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</si>
  <si>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</si>
  <si>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</si>
  <si>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</si>
  <si>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</si>
  <si>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</si>
  <si>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</si>
  <si>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</si>
  <si>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</si>
  <si>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</si>
  <si>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</si>
  <si>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</si>
  <si>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</si>
  <si>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</si>
  <si>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</si>
  <si>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</si>
  <si>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</si>
  <si>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</si>
  <si>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</si>
  <si>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</si>
  <si>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</si>
  <si>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</si>
  <si>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</si>
  <si>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</si>
  <si>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</si>
  <si>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</si>
  <si>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</si>
  <si>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</si>
  <si>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</si>
  <si>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</si>
  <si>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</si>
  <si>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</si>
  <si>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</si>
  <si>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</si>
  <si>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</si>
  <si>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</si>
  <si>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</si>
  <si>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</si>
  <si>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</si>
  <si>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</si>
  <si>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</si>
  <si>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</si>
  <si>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</si>
  <si>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</si>
  <si>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</si>
  <si>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</si>
  <si>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</si>
  <si>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</si>
  <si>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</si>
  <si>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</si>
  <si>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</si>
  <si>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</si>
  <si>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</si>
  <si>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</si>
  <si>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</si>
  <si>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</si>
  <si>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</si>
  <si>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</si>
  <si>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</si>
  <si>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</si>
  <si>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</si>
  <si>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</si>
  <si>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</si>
  <si>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</si>
  <si>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</si>
  <si>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</si>
  <si>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</si>
  <si>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</si>
  <si>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</si>
  <si>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</si>
  <si>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</si>
  <si>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</si>
  <si>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</si>
  <si>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</si>
  <si>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</si>
  <si>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</si>
  <si>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</si>
  <si>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</si>
  <si>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</si>
  <si>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</si>
  <si>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</si>
  <si>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</si>
  <si>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</si>
  <si>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</si>
  <si>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</si>
  <si>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</si>
  <si>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</si>
  <si>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</si>
  <si>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</si>
  <si>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</si>
  <si>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</si>
  <si>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</si>
  <si>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</si>
  <si>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</si>
  <si>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</si>
  <si>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</si>
  <si>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</si>
  <si>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</si>
  <si>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</si>
  <si>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</si>
  <si>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</si>
  <si>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</si>
  <si>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</si>
  <si>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</si>
  <si>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</si>
  <si>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</si>
  <si>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</si>
  <si>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</si>
  <si>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</si>
  <si>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</si>
  <si>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</si>
  <si>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</si>
  <si>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</si>
  <si>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</si>
  <si>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</si>
  <si>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</si>
  <si>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</si>
  <si>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</si>
  <si>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</si>
  <si>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</si>
  <si>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</si>
  <si>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</si>
  <si>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</si>
  <si>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</si>
  <si>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</si>
  <si>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</si>
  <si>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</si>
  <si>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</si>
  <si>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</si>
  <si>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</si>
  <si>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</si>
  <si>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</si>
  <si>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</si>
  <si>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</si>
  <si>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</si>
  <si>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</si>
  <si>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</si>
  <si>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</si>
  <si>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</si>
  <si>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</si>
  <si>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</si>
  <si>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</si>
  <si>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</si>
  <si>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</si>
  <si>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</si>
  <si>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</si>
  <si>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</si>
  <si>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</si>
  <si>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</si>
  <si>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</si>
  <si>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</si>
  <si>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</si>
  <si>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</si>
  <si>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</si>
  <si>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</si>
  <si>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</si>
  <si>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</si>
  <si>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</si>
  <si>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</si>
  <si>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</si>
  <si>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</si>
  <si>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</si>
  <si>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</si>
  <si>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</si>
  <si>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</si>
  <si>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</si>
  <si>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</si>
  <si>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</si>
  <si>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</si>
  <si>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</si>
  <si>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</si>
  <si>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</si>
  <si>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</si>
  <si>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</si>
  <si>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</si>
  <si>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</si>
  <si>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</si>
  <si>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</si>
  <si>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</si>
  <si>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</si>
  <si>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</si>
  <si>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</si>
  <si>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</si>
  <si>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</si>
  <si>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</si>
  <si>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</si>
  <si>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</si>
  <si>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</si>
  <si>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</si>
  <si>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</si>
  <si>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</si>
  <si>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</si>
  <si>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</si>
  <si>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</si>
  <si>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</si>
  <si>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</si>
  <si>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</si>
  <si>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</si>
  <si>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</si>
  <si>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</si>
  <si>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</si>
  <si>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</si>
  <si>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</si>
  <si>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</si>
  <si>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</si>
  <si>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</si>
  <si>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</si>
  <si>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</si>
  <si>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</si>
  <si>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</si>
  <si>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</si>
  <si>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</si>
  <si>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</si>
  <si>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</si>
  <si>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</si>
  <si>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</si>
  <si>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</si>
  <si>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</si>
  <si>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</si>
  <si>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</si>
  <si>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</si>
  <si>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</si>
  <si>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</si>
  <si>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</si>
  <si>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</si>
  <si>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</si>
  <si>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</si>
  <si>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</si>
  <si>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</si>
  <si>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</si>
  <si>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</si>
  <si>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</si>
  <si>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</si>
  <si>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</si>
  <si>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</si>
  <si>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</si>
  <si>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</si>
  <si>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</si>
  <si>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</si>
  <si>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</si>
  <si>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</si>
  <si>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</si>
  <si>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</si>
  <si>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</si>
  <si>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</si>
  <si>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</si>
  <si>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</si>
  <si>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</si>
  <si>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</si>
  <si>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</si>
  <si>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</si>
  <si>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</si>
  <si>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</si>
  <si>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</si>
  <si>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</si>
  <si>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</si>
  <si>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</si>
  <si>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</si>
  <si>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</si>
  <si>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</si>
  <si>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</si>
  <si>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</si>
  <si>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</si>
  <si>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</si>
  <si>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</si>
  <si>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</si>
  <si>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</si>
  <si>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</si>
  <si>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</si>
  <si>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</si>
  <si>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</si>
  <si>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</si>
  <si>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</si>
  <si>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</si>
  <si>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</si>
  <si>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</si>
  <si>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</si>
  <si>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</si>
  <si>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</si>
  <si>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</si>
  <si>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</si>
  <si>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</si>
  <si>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</si>
  <si>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</si>
  <si>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</si>
  <si>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</si>
  <si>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</si>
  <si>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</si>
  <si>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</si>
  <si>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</si>
  <si>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</si>
  <si>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</si>
  <si>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</si>
  <si>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</si>
  <si>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</si>
  <si>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</si>
  <si>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</si>
  <si>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</si>
  <si>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</si>
  <si>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</si>
  <si>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</si>
  <si>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</si>
  <si>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</si>
  <si>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</si>
  <si>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</si>
  <si>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</si>
  <si>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</si>
  <si>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</si>
  <si>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</si>
  <si>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</si>
  <si>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</si>
  <si>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</si>
  <si>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</si>
  <si>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</si>
  <si>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</si>
  <si>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</si>
  <si>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</si>
  <si>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</si>
  <si>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</si>
  <si>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</si>
  <si>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</si>
  <si>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</si>
  <si>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</si>
  <si>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</si>
  <si>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</si>
  <si>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</si>
  <si>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</si>
  <si>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</si>
  <si>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</si>
  <si>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</si>
  <si>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</si>
  <si>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</si>
  <si>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</si>
  <si>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</si>
  <si>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</si>
  <si>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</si>
  <si>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</si>
  <si>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</si>
  <si>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</si>
  <si>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</si>
  <si>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</si>
  <si>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</si>
  <si>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</si>
  <si>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</si>
  <si>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</si>
  <si>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</si>
  <si>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</si>
  <si>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</si>
  <si>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</si>
  <si>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</si>
  <si>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</si>
  <si>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</si>
  <si>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</si>
  <si>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</si>
  <si>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</si>
  <si>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</si>
  <si>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</si>
  <si>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</si>
  <si>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</si>
  <si>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</si>
  <si>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</si>
  <si>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</si>
  <si>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</si>
  <si>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</si>
  <si>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</si>
  <si>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</si>
  <si>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</si>
  <si>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</si>
  <si>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</si>
  <si>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</si>
  <si>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</si>
  <si>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</si>
  <si>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</si>
  <si>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</si>
  <si>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</si>
  <si>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</si>
  <si>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</si>
  <si>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</si>
  <si>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</si>
  <si>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</si>
  <si>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</si>
  <si>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</si>
  <si>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</si>
  <si>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</si>
  <si>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</si>
  <si>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</si>
  <si>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</si>
  <si>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</si>
  <si>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</si>
  <si>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</si>
  <si>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</si>
  <si>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</si>
  <si>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</si>
  <si>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</si>
  <si>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</si>
  <si>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</si>
  <si>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</si>
  <si>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</si>
  <si>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</si>
  <si>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</si>
  <si>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</si>
  <si>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</si>
  <si>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</si>
  <si>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</si>
  <si>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</si>
  <si>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</si>
  <si>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</si>
  <si>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</si>
  <si>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</si>
  <si>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</si>
  <si>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</si>
  <si>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</si>
  <si>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</si>
  <si>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</si>
  <si>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</si>
  <si>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</si>
  <si>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</si>
  <si>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</si>
  <si>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</si>
  <si>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</si>
  <si>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</si>
  <si>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</si>
  <si>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</si>
  <si>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</si>
  <si>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</si>
  <si>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</si>
  <si>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</si>
  <si>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</si>
  <si>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</si>
  <si>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</si>
  <si>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</si>
  <si>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</si>
  <si>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</si>
  <si>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</si>
  <si>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</si>
  <si>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</si>
  <si>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</si>
  <si>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</si>
  <si>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</si>
  <si>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</si>
  <si>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</si>
  <si>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</si>
  <si>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</si>
  <si>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</si>
  <si>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</si>
  <si>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</si>
  <si>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</si>
  <si>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</si>
  <si>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</si>
  <si>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</si>
  <si>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</si>
  <si>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</si>
  <si>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</si>
  <si>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</si>
  <si>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</si>
  <si>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</si>
  <si>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</si>
  <si>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</si>
  <si>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</si>
  <si>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</si>
  <si>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</si>
  <si>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</si>
  <si>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</si>
  <si>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</si>
  <si>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</si>
  <si>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</si>
  <si>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</si>
  <si>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</si>
  <si>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</si>
  <si>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</si>
  <si>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</si>
  <si>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</si>
  <si>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</si>
  <si>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</si>
  <si>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</si>
  <si>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</si>
  <si>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</si>
  <si>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</si>
  <si>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</si>
  <si>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</si>
  <si>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</si>
  <si>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</si>
  <si>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</si>
  <si>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</si>
  <si>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</si>
  <si>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</si>
  <si>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</si>
  <si>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</si>
  <si>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</si>
  <si>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</si>
  <si>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</si>
  <si>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</si>
  <si>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</si>
  <si>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</si>
  <si>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</si>
  <si>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</si>
  <si>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</si>
  <si>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</si>
  <si>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</si>
  <si>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</si>
  <si>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</si>
  <si>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</si>
  <si>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</si>
  <si>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</si>
  <si>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</si>
  <si>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</si>
  <si>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</si>
  <si>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</si>
  <si>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</si>
  <si>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</si>
  <si>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</si>
  <si>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</si>
  <si>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</si>
  <si>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</si>
  <si>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</si>
  <si>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</si>
  <si>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</si>
  <si>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</si>
  <si>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</si>
  <si>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</si>
  <si>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</si>
  <si>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</si>
  <si>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</si>
  <si>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</si>
  <si>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</si>
  <si>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</si>
  <si>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</si>
  <si>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</si>
  <si>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</si>
  <si>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</si>
  <si>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</si>
  <si>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</si>
  <si>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</si>
  <si>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</si>
  <si>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</si>
  <si>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</si>
  <si>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</si>
  <si>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</si>
  <si>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</si>
  <si>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</si>
  <si>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</si>
  <si>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</si>
  <si>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</si>
  <si>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</si>
  <si>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</si>
  <si>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</si>
  <si>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</si>
  <si>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</si>
  <si>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</si>
  <si>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</si>
  <si>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</si>
  <si>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</si>
  <si>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</si>
  <si>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</si>
  <si>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</si>
  <si>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</si>
  <si>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</si>
  <si>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</si>
  <si>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</si>
  <si>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</si>
  <si>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</si>
  <si>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</si>
  <si>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</si>
  <si>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</si>
  <si>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</si>
  <si>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</si>
  <si>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</si>
  <si>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</si>
  <si>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</si>
  <si>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</si>
  <si>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</si>
  <si>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</si>
  <si>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</si>
  <si>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</si>
  <si>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</si>
  <si>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</si>
  <si>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</si>
  <si>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</si>
  <si>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</si>
  <si>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</si>
  <si>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</si>
  <si>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</si>
  <si>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</si>
  <si>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</si>
  <si>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</si>
  <si>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</si>
  <si>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</si>
  <si>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</si>
  <si>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</si>
  <si>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</si>
  <si>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</si>
  <si>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</si>
  <si>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</si>
  <si>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</si>
  <si>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</si>
  <si>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</si>
  <si>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</si>
  <si>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</si>
  <si>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</si>
  <si>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</si>
  <si>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</si>
  <si>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</si>
  <si>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</si>
  <si>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</si>
  <si>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</si>
  <si>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</si>
  <si>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</si>
  <si>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</si>
  <si>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</si>
  <si>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</si>
  <si>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</si>
  <si>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</si>
  <si>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</si>
  <si>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</si>
  <si>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</si>
  <si>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</si>
  <si>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</si>
  <si>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</si>
  <si>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</si>
  <si>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</si>
  <si>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</si>
  <si>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</si>
  <si>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</si>
  <si>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</si>
  <si>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</si>
  <si>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</si>
  <si>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</si>
  <si>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</si>
  <si>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</si>
  <si>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</si>
  <si>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</si>
  <si>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</si>
  <si>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</si>
  <si>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</si>
  <si>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</si>
  <si>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</si>
  <si>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</si>
  <si>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</si>
  <si>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</si>
  <si>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</si>
  <si>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</si>
  <si>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</si>
  <si>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</si>
  <si>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</si>
  <si>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</si>
  <si>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</si>
  <si>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</si>
  <si>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</si>
  <si>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</si>
  <si>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</si>
  <si>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</si>
  <si>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</si>
  <si>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</si>
  <si>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</si>
  <si>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</si>
  <si>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</si>
  <si>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</si>
  <si>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</si>
  <si>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</si>
  <si>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</si>
  <si>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</si>
  <si>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</si>
  <si>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</si>
  <si>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</si>
  <si>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</si>
  <si>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</si>
  <si>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</si>
  <si>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</si>
  <si>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</si>
  <si>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</si>
  <si>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</si>
  <si>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</si>
  <si>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</si>
  <si>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</si>
  <si>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</si>
  <si>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</si>
  <si>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</si>
  <si>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</si>
  <si>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</si>
  <si>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</si>
  <si>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</si>
  <si>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</si>
  <si>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</si>
  <si>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</si>
  <si>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</si>
  <si>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</si>
  <si>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</si>
  <si>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</si>
  <si>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</si>
  <si>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</si>
  <si>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</si>
  <si>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</si>
  <si>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</si>
  <si>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</si>
  <si>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</si>
  <si>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</si>
  <si>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</si>
  <si>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</si>
  <si>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</si>
  <si>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</si>
  <si>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</si>
  <si>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</si>
  <si>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</si>
  <si>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</si>
  <si>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</si>
  <si>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</si>
  <si>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</si>
  <si>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</si>
  <si>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</si>
  <si>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</si>
  <si>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</si>
  <si>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</si>
  <si>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</si>
  <si>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</si>
  <si>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</si>
  <si>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</si>
  <si>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</si>
  <si>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</si>
  <si>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</si>
  <si>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</si>
  <si>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</si>
  <si>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</si>
  <si>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</si>
  <si>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</si>
  <si>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</si>
  <si>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</si>
  <si>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</si>
  <si>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</si>
  <si>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</si>
  <si>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</si>
  <si>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</si>
  <si>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</si>
  <si>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</si>
  <si>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</si>
  <si>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</si>
  <si>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</si>
  <si>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</si>
  <si>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</si>
  <si>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</si>
  <si>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</si>
  <si>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</si>
  <si>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</si>
  <si>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</si>
  <si>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</si>
  <si>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</si>
  <si>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</si>
  <si>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</si>
  <si>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</si>
  <si>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</si>
  <si>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</si>
  <si>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</si>
  <si>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</si>
  <si>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</si>
  <si>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</si>
  <si>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</si>
  <si>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</si>
  <si>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</si>
  <si>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</si>
  <si>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</si>
  <si>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</si>
  <si>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</si>
  <si>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</si>
  <si>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</si>
  <si>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</si>
  <si>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</si>
  <si>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</si>
  <si>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</si>
  <si>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</si>
  <si>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</si>
  <si>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</si>
  <si>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</si>
  <si>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</si>
  <si>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</si>
  <si>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</si>
  <si>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</si>
  <si>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</si>
  <si>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</si>
  <si>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</si>
  <si>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</si>
  <si>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</si>
  <si>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</si>
  <si>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</si>
  <si>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</si>
  <si>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</si>
  <si>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</si>
  <si>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</si>
  <si>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</si>
  <si>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</si>
  <si>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</si>
  <si>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</si>
  <si>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</si>
  <si>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</si>
  <si>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</si>
  <si>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</si>
  <si>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</si>
  <si>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</si>
  <si>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</si>
  <si>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</si>
  <si>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</si>
  <si>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</si>
  <si>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</si>
  <si>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</si>
  <si>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</si>
  <si>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</si>
  <si>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</si>
  <si>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</si>
  <si>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</si>
  <si>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</si>
  <si>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</si>
  <si>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</si>
  <si>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</si>
  <si>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</si>
  <si>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</si>
  <si>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</si>
  <si>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</si>
  <si>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</si>
  <si>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</si>
  <si>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</si>
  <si>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</si>
  <si>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</si>
  <si>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</si>
  <si>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</si>
  <si>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</si>
  <si>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</si>
  <si>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</si>
  <si>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</si>
  <si>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</si>
  <si>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</si>
  <si>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</si>
  <si>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</si>
  <si>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</si>
  <si>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</si>
  <si>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</si>
  <si>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</si>
  <si>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</si>
  <si>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</si>
  <si>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</si>
  <si>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</si>
  <si>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</si>
  <si>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</si>
  <si>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</si>
  <si>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</si>
  <si>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</si>
  <si>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</si>
  <si>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</si>
  <si>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</si>
  <si>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</si>
  <si>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</si>
  <si>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</si>
  <si>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</si>
  <si>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</si>
  <si>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</si>
  <si>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</si>
  <si>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</si>
  <si>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</si>
  <si>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</si>
  <si>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</si>
  <si>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</si>
  <si>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</si>
  <si>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</si>
  <si>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</si>
  <si>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</si>
  <si>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</si>
  <si>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</si>
  <si>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</si>
  <si>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</si>
  <si>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</si>
  <si>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</si>
  <si>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</si>
  <si>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</si>
  <si>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</si>
  <si>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</si>
  <si>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</si>
  <si>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</si>
  <si>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</si>
  <si>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</si>
  <si>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</si>
  <si>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</si>
  <si>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</si>
  <si>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</si>
  <si>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</si>
  <si>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</si>
  <si>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</si>
  <si>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</si>
  <si>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</si>
  <si>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</si>
  <si>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</si>
  <si>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</si>
  <si>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</si>
  <si>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</si>
  <si>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</si>
  <si>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</si>
  <si>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</si>
  <si>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</si>
  <si>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</si>
  <si>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</si>
  <si>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</si>
  <si>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</si>
  <si>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</si>
  <si>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</si>
  <si>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</si>
  <si>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</si>
  <si>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</si>
  <si>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</si>
  <si>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</si>
  <si>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</si>
  <si>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</si>
  <si>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</si>
  <si>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</si>
  <si>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</si>
  <si>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</si>
  <si>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</si>
  <si>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</si>
  <si>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</si>
  <si>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</si>
  <si>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</si>
  <si>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</si>
  <si>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</si>
  <si>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</si>
  <si>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</si>
  <si>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</si>
  <si>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</si>
  <si>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</si>
  <si>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</si>
  <si>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</si>
  <si>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</si>
  <si>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</si>
  <si>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</si>
  <si>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</si>
  <si>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</si>
  <si>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</si>
  <si>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</si>
  <si>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</si>
  <si>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</si>
  <si>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</si>
  <si>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</si>
  <si>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</si>
  <si>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</si>
  <si>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</si>
  <si>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</si>
  <si>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</si>
  <si>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</si>
  <si>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</si>
  <si>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</si>
  <si>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</si>
  <si>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</si>
  <si>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</si>
  <si>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</si>
  <si>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</si>
  <si>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</si>
  <si>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</si>
  <si>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</si>
  <si>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</si>
  <si>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</si>
  <si>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</si>
  <si>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</si>
  <si>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</si>
  <si>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</si>
  <si>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</si>
  <si>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</si>
  <si>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</si>
  <si>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</si>
  <si>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</si>
  <si>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</si>
  <si>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</si>
  <si>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</si>
  <si>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</si>
  <si>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</si>
  <si>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</si>
  <si>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</si>
  <si>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</si>
  <si>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</si>
  <si>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</si>
  <si>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</si>
  <si>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</si>
  <si>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</si>
  <si>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</si>
  <si>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</si>
  <si>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</si>
  <si>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</si>
  <si>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</si>
  <si>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</si>
  <si>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</si>
  <si>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</si>
  <si>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</si>
  <si>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</si>
  <si>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</si>
  <si>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</si>
  <si>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</si>
  <si>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</si>
  <si>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</si>
  <si>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</si>
  <si>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</si>
  <si>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</si>
  <si>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</si>
  <si>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</si>
  <si>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</si>
  <si>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</si>
  <si>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</si>
  <si>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</si>
  <si>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</si>
  <si>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</si>
  <si>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</si>
  <si>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</si>
  <si>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</si>
  <si>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</si>
  <si>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</si>
  <si>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</si>
  <si>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</si>
  <si>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</si>
  <si>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</si>
  <si>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</si>
  <si>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</si>
  <si>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</si>
  <si>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</si>
  <si>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</si>
  <si>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</si>
  <si>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</si>
  <si>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</si>
  <si>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</si>
  <si>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</si>
  <si>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</si>
  <si>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</si>
  <si>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</si>
  <si>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</si>
  <si>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</si>
  <si>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</si>
  <si>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</si>
  <si>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</si>
  <si>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</si>
  <si>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</si>
  <si>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</si>
  <si>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</si>
  <si>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</si>
  <si>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</si>
  <si>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</si>
  <si>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</si>
  <si>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</si>
  <si>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</si>
  <si>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</si>
  <si>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</si>
  <si>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</si>
  <si>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</si>
  <si>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</si>
  <si>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</si>
  <si>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</si>
  <si>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</si>
  <si>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</si>
  <si>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</si>
  <si>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</si>
  <si>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</si>
  <si>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</si>
  <si>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</si>
  <si>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</si>
  <si>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</si>
  <si>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</si>
  <si>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</si>
  <si>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</si>
  <si>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</si>
  <si>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</si>
  <si>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</si>
  <si>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</si>
  <si>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</si>
  <si>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</si>
  <si>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</si>
  <si>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</si>
  <si>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</si>
  <si>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</si>
  <si>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</si>
  <si>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</si>
  <si>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</si>
  <si>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</si>
  <si>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</si>
  <si>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</si>
  <si>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</si>
  <si>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</si>
  <si>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</si>
  <si>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</si>
  <si>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</si>
  <si>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</si>
  <si>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</si>
  <si>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</si>
  <si>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</si>
  <si>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</si>
  <si>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</si>
  <si>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</si>
  <si>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</si>
  <si>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</si>
  <si>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</si>
  <si>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</si>
  <si>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</si>
  <si>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</si>
  <si>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</si>
  <si>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</si>
  <si>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</si>
  <si>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</si>
  <si>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</si>
  <si>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</si>
  <si>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</si>
  <si>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</si>
  <si>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</si>
  <si>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</si>
  <si>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</si>
  <si>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</si>
  <si>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</si>
  <si>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</si>
  <si>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</si>
  <si>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</si>
  <si>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</si>
  <si>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</si>
  <si>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</si>
  <si>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</si>
  <si>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</si>
  <si>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</si>
  <si>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</si>
  <si>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</si>
  <si>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</si>
  <si>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</si>
  <si>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</si>
  <si>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</si>
  <si>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</si>
  <si>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</si>
  <si>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</si>
  <si>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</si>
  <si>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</si>
  <si>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</si>
  <si>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</si>
  <si>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</si>
  <si>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</si>
  <si>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</si>
  <si>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</si>
  <si>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</si>
  <si>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</si>
  <si>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</si>
  <si>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</si>
  <si>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</si>
  <si>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</si>
  <si>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</si>
  <si>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</si>
  <si>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</si>
  <si>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</si>
  <si>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</si>
  <si>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</si>
  <si>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</si>
  <si>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</si>
  <si>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</si>
  <si>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</si>
  <si>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</si>
  <si>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</si>
  <si>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</si>
  <si>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</si>
  <si>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</si>
  <si>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</si>
  <si>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</si>
  <si>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</si>
  <si>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</si>
  <si>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</si>
  <si>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</si>
  <si>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</si>
  <si>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</si>
  <si>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</si>
  <si>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</si>
  <si>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</si>
  <si>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</si>
  <si>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</si>
  <si>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</si>
  <si>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</si>
  <si>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</si>
  <si>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</si>
  <si>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</si>
  <si>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</si>
  <si>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</si>
  <si>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</si>
  <si>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</si>
  <si>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</si>
  <si>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</si>
  <si>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</si>
  <si>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</si>
  <si>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</si>
  <si>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</si>
  <si>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</si>
  <si>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</si>
  <si>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</si>
  <si>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</si>
  <si>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</si>
  <si>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</si>
  <si>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</si>
  <si>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</si>
  <si>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</si>
  <si>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</si>
  <si>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</si>
  <si>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</si>
  <si>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</si>
  <si>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</si>
  <si>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</si>
  <si>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</si>
  <si>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</si>
  <si>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</si>
  <si>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</si>
  <si>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</si>
  <si>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</si>
  <si>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</si>
  <si>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</si>
  <si>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</si>
  <si>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</si>
  <si>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</si>
  <si>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</si>
  <si>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</si>
  <si>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</si>
  <si>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</si>
  <si>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</si>
  <si>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</si>
  <si>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</si>
  <si>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</si>
  <si>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</si>
  <si>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</si>
  <si>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</si>
  <si>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</si>
  <si>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</si>
  <si>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</si>
  <si>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</si>
  <si>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</si>
  <si>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</si>
  <si>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</si>
  <si>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</si>
  <si>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</si>
  <si>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</si>
  <si>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</si>
  <si>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</si>
  <si>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</si>
  <si>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</si>
  <si>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</si>
  <si>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</si>
  <si>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</si>
  <si>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</si>
  <si>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</si>
  <si>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</si>
  <si>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</si>
  <si>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</si>
  <si>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</si>
  <si>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</si>
  <si>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</si>
  <si>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</si>
  <si>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</si>
  <si>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</si>
  <si>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</si>
  <si>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</si>
  <si>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</si>
  <si>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</si>
  <si>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</si>
  <si>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</si>
  <si>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</si>
  <si>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</si>
  <si>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</si>
  <si>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</si>
  <si>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</si>
  <si>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</si>
  <si>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</si>
  <si>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</si>
  <si>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</si>
  <si>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</si>
  <si>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</si>
  <si>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</si>
  <si>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</si>
  <si>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</si>
  <si>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</si>
  <si>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</si>
  <si>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</si>
  <si>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</si>
  <si>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</si>
  <si>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</si>
  <si>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</si>
  <si>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</si>
  <si>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</si>
  <si>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</si>
  <si>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</si>
  <si>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</si>
  <si>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</si>
  <si>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</si>
  <si>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</si>
  <si>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</si>
  <si>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</si>
  <si>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</si>
  <si>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</si>
  <si>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</si>
  <si>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</si>
  <si>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</si>
  <si>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</si>
  <si>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</si>
  <si>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</si>
  <si>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</si>
  <si>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</si>
  <si>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</si>
  <si>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</si>
  <si>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</si>
  <si>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</si>
  <si>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</si>
  <si>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</si>
  <si>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</si>
  <si>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</si>
  <si>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</si>
  <si>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</si>
  <si>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</si>
  <si>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</si>
  <si>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</si>
  <si>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</si>
  <si>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</si>
  <si>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</si>
  <si>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</si>
  <si>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</si>
  <si>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</si>
  <si>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</si>
  <si>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</si>
  <si>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</si>
  <si>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</si>
  <si>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</si>
  <si>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</si>
  <si>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</si>
  <si>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</si>
  <si>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</si>
  <si>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</si>
  <si>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</si>
  <si>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</si>
  <si>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</si>
  <si>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</si>
  <si>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</si>
  <si>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</si>
  <si>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</si>
  <si>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</si>
  <si>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</si>
  <si>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</si>
  <si>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</si>
  <si>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</si>
  <si>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</si>
  <si>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</si>
  <si>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</si>
  <si>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</si>
  <si>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</si>
  <si>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</si>
  <si>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</si>
  <si>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</si>
  <si>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</si>
  <si>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</si>
  <si>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</si>
  <si>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</si>
  <si>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</si>
  <si>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</si>
  <si>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</si>
  <si>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</si>
  <si>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</si>
  <si>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</si>
  <si>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</si>
  <si>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</si>
  <si>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</si>
  <si>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</si>
  <si>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</si>
  <si>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</si>
  <si>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</si>
  <si>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</si>
  <si>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</si>
  <si>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</si>
  <si>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</si>
  <si>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</si>
  <si>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</si>
  <si>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</si>
  <si>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</si>
  <si>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</si>
  <si>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</si>
  <si>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</si>
  <si>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</si>
  <si>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</si>
  <si>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</si>
  <si>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</si>
  <si>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</si>
  <si>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</si>
  <si>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</si>
  <si>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</si>
  <si>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</si>
  <si>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</si>
  <si>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</si>
  <si>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</si>
  <si>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</si>
  <si>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</si>
  <si>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</si>
  <si>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</si>
  <si>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</si>
  <si>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</si>
  <si>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</si>
  <si>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</si>
  <si>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</si>
  <si>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</si>
  <si>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</si>
  <si>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</si>
  <si>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</si>
  <si>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</si>
  <si>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</si>
  <si>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</si>
  <si>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</si>
  <si>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</si>
  <si>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</si>
  <si>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</si>
  <si>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</si>
  <si>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</si>
  <si>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</si>
  <si>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</si>
  <si>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</si>
  <si>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</si>
  <si>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</si>
  <si>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</si>
  <si>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</si>
  <si>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</si>
  <si>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</si>
  <si>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</si>
  <si>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</si>
  <si>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</si>
  <si>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</si>
  <si>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</si>
  <si>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</si>
  <si>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</si>
  <si>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</si>
  <si>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</si>
  <si>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</si>
  <si>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</si>
  <si>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</si>
  <si>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</si>
  <si>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</si>
  <si>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</si>
  <si>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</si>
  <si>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</si>
  <si>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</si>
  <si>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</si>
  <si>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</si>
  <si>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</si>
  <si>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</si>
  <si>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</si>
  <si>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</si>
  <si>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</si>
  <si>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</si>
  <si>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</si>
  <si>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</si>
  <si>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</si>
  <si>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</si>
  <si>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</si>
  <si>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</si>
  <si>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</si>
  <si>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</si>
  <si>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</si>
  <si>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</si>
  <si>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</si>
  <si>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</si>
  <si>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</si>
  <si>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</si>
  <si>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</si>
  <si>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</si>
  <si>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</si>
  <si>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</si>
  <si>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</si>
  <si>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</si>
  <si>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</si>
  <si>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</si>
  <si>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</si>
  <si>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</si>
  <si>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</si>
  <si>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</si>
  <si>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</si>
  <si>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</si>
  <si>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</si>
  <si>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</si>
  <si>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</si>
  <si>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</si>
  <si>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</si>
  <si>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</si>
  <si>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</si>
  <si>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</si>
  <si>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</si>
  <si>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</si>
  <si>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</si>
  <si>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</si>
  <si>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</si>
  <si>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</si>
  <si>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</si>
  <si>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</si>
  <si>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</si>
  <si>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</si>
  <si>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</si>
  <si>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</si>
  <si>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</si>
  <si>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</si>
  <si>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</si>
  <si>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</si>
  <si>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</si>
  <si>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</si>
  <si>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</si>
  <si>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</si>
  <si>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</si>
  <si>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</si>
  <si>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</si>
  <si>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</si>
  <si>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</si>
  <si>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</si>
  <si>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</si>
  <si>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</si>
  <si>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</si>
  <si>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</si>
  <si>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</si>
  <si>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</si>
  <si>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</si>
  <si>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</si>
  <si>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</si>
  <si>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</si>
  <si>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</si>
  <si>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</si>
  <si>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</si>
  <si>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</si>
  <si>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</si>
  <si>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</si>
  <si>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</si>
  <si>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</si>
  <si>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</si>
  <si>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</si>
  <si>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</si>
  <si>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</si>
  <si>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</si>
  <si>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</si>
  <si>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</si>
  <si>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</si>
  <si>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</si>
  <si>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</si>
  <si>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</si>
  <si>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</si>
  <si>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</si>
  <si>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</si>
  <si>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</si>
  <si>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</si>
  <si>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</si>
  <si>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</si>
  <si>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</si>
  <si>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</si>
  <si>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</si>
  <si>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</si>
  <si>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</si>
  <si>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</si>
  <si>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</si>
  <si>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</si>
  <si>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</si>
  <si>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</si>
  <si>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</si>
  <si>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</si>
  <si>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</si>
  <si>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</si>
  <si>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</si>
  <si>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</si>
  <si>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</si>
  <si>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</si>
  <si>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</si>
  <si>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</si>
  <si>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</si>
  <si>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</si>
  <si>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</si>
  <si>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</si>
  <si>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</si>
  <si>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</si>
  <si>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</si>
  <si>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</si>
  <si>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</si>
  <si>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</si>
  <si>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</si>
  <si>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</si>
  <si>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</si>
  <si>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</si>
  <si>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</si>
  <si>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</si>
  <si>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</si>
  <si>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</si>
  <si>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</si>
  <si>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</si>
  <si>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</si>
  <si>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</si>
  <si>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</si>
  <si>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</si>
  <si>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</si>
  <si>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</si>
  <si>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</si>
  <si>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</si>
  <si>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</si>
  <si>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</si>
  <si>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</si>
  <si>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</si>
  <si>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</si>
  <si>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</si>
  <si>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</si>
  <si>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</si>
  <si>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</si>
  <si>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</si>
  <si>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</si>
  <si>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</si>
  <si>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</si>
  <si>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</si>
  <si>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</si>
  <si>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</si>
  <si>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</si>
  <si>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</si>
  <si>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</si>
  <si>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</si>
  <si>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</si>
  <si>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</si>
  <si>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</si>
  <si>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</si>
  <si>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</si>
  <si>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</si>
  <si>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</si>
  <si>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</si>
  <si>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</si>
  <si>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</si>
  <si>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</si>
  <si>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</si>
  <si>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</si>
  <si>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</si>
  <si>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</si>
  <si>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</si>
  <si>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</si>
  <si>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</si>
  <si>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</si>
  <si>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</si>
  <si>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</si>
  <si>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</si>
  <si>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</si>
  <si>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</si>
  <si>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</si>
  <si>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</si>
  <si>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</si>
  <si>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</si>
  <si>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</si>
  <si>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</si>
  <si>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</si>
  <si>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</si>
  <si>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</si>
  <si>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</si>
  <si>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</si>
  <si>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</si>
  <si>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</si>
  <si>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</si>
  <si>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</si>
  <si>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</si>
  <si>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</si>
  <si>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</si>
  <si>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</si>
  <si>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</si>
  <si>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</si>
  <si>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</si>
  <si>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</si>
  <si>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</si>
  <si>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</si>
  <si>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</si>
  <si>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</si>
  <si>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</si>
  <si>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</si>
  <si>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</si>
  <si>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</si>
  <si>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</si>
  <si>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</si>
  <si>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</si>
  <si>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</si>
  <si>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</si>
  <si>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</si>
  <si>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</si>
  <si>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</si>
  <si>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</si>
  <si>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</si>
  <si>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</si>
  <si>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</si>
  <si>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</si>
  <si>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</si>
  <si>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</si>
  <si>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</si>
  <si>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</si>
  <si>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</si>
  <si>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</si>
  <si>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</si>
  <si>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</si>
  <si>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</si>
  <si>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</si>
  <si>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</si>
  <si>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</si>
  <si>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</si>
  <si>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</si>
  <si>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</si>
  <si>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</si>
  <si>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</si>
  <si>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</si>
  <si>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</si>
  <si>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</si>
  <si>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</si>
  <si>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</si>
  <si>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</si>
  <si>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</si>
  <si>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</si>
  <si>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</si>
  <si>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</si>
  <si>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</si>
  <si>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</si>
  <si>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</si>
  <si>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</si>
  <si>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</si>
  <si>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</si>
  <si>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</si>
  <si>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</si>
  <si>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</si>
  <si>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</si>
  <si>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</si>
  <si>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</si>
  <si>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</si>
  <si>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</si>
  <si>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</si>
  <si>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</si>
  <si>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</si>
  <si>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</si>
  <si>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</si>
  <si>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</si>
  <si>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</si>
  <si>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</si>
  <si>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</si>
  <si>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</si>
  <si>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</si>
  <si>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</si>
  <si>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</si>
  <si>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</si>
  <si>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</si>
  <si>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</si>
  <si>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</si>
  <si>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</si>
  <si>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</si>
  <si>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</si>
  <si>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</si>
  <si>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</si>
  <si>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</si>
  <si>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</si>
  <si>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</si>
  <si>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</si>
  <si>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</si>
  <si>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</si>
  <si>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</si>
  <si>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</si>
  <si>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</si>
  <si>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</si>
  <si>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</si>
  <si>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</si>
  <si>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</si>
  <si>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</si>
  <si>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</si>
  <si>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</si>
  <si>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</si>
  <si>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</si>
  <si>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</si>
  <si>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</si>
  <si>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</si>
  <si>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</si>
  <si>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</si>
  <si>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</si>
  <si>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</si>
  <si>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</si>
  <si>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</si>
  <si>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</si>
  <si>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</si>
  <si>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</si>
  <si>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</si>
  <si>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</si>
  <si>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</si>
  <si>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</si>
  <si>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</si>
  <si>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</si>
  <si>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</si>
  <si>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</si>
  <si>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</si>
  <si>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</si>
  <si>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</si>
  <si>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</si>
  <si>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</si>
  <si>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</si>
  <si>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</si>
  <si>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</si>
  <si>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</si>
  <si>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</si>
  <si>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</si>
  <si>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</si>
  <si>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</si>
  <si>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</si>
  <si>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</si>
  <si>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</si>
  <si>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</si>
  <si>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</si>
  <si>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</si>
  <si>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</si>
  <si>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</si>
  <si>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</si>
  <si>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</si>
  <si>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</si>
  <si>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</si>
  <si>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</si>
  <si>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</si>
  <si>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</si>
  <si>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</si>
  <si>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</si>
  <si>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</si>
  <si>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</si>
  <si>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</si>
  <si>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</si>
  <si>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</si>
  <si>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</si>
  <si>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</si>
  <si>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</si>
  <si>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</si>
  <si>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</si>
  <si>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</si>
  <si>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</si>
  <si>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</si>
  <si>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</si>
  <si>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</si>
  <si>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</si>
  <si>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</si>
  <si>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</si>
  <si>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</si>
  <si>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</si>
  <si>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</si>
  <si>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</si>
  <si>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</si>
  <si>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</si>
  <si>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</si>
  <si>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</si>
  <si>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</si>
  <si>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</si>
  <si>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</si>
  <si>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</si>
  <si>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</si>
  <si>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</si>
  <si>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</si>
  <si>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</si>
  <si>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</si>
  <si>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</si>
  <si>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</si>
  <si>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</si>
  <si>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</si>
  <si>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</si>
  <si>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</si>
  <si>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</si>
  <si>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</si>
  <si>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</si>
  <si>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</si>
  <si>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</si>
  <si>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</si>
  <si>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</si>
  <si>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</si>
  <si>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</si>
  <si>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</si>
  <si>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</si>
  <si>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</si>
  <si>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</si>
  <si>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</si>
  <si>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</si>
  <si>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</si>
  <si>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</si>
  <si>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</si>
  <si>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</si>
  <si>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</si>
  <si>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</si>
  <si>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</si>
  <si>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</si>
  <si>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</si>
  <si>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</si>
  <si>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</si>
  <si>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</si>
  <si>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</si>
  <si>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</si>
  <si>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</si>
  <si>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</si>
  <si>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</si>
  <si>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</si>
  <si>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</si>
  <si>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</si>
  <si>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</si>
  <si>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</si>
  <si>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</si>
  <si>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</si>
  <si>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</si>
  <si>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</si>
  <si>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</si>
  <si>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</si>
  <si>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</si>
  <si>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</si>
  <si>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</si>
  <si>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</si>
  <si>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</si>
  <si>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</si>
  <si>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</si>
  <si>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</si>
  <si>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</si>
  <si>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</si>
  <si>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</si>
  <si>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</si>
  <si>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</si>
  <si>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</si>
  <si>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</si>
  <si>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</si>
  <si>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</si>
  <si>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</si>
  <si>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</si>
  <si>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</si>
  <si>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</si>
  <si>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</si>
  <si>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</si>
  <si>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</si>
  <si>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</si>
  <si>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</si>
  <si>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</si>
  <si>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</si>
  <si>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</si>
  <si>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</si>
  <si>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</si>
  <si>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</si>
  <si>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</si>
  <si>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</si>
  <si>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</si>
  <si>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</si>
  <si>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</si>
  <si>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</si>
  <si>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</si>
  <si>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</si>
  <si>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</si>
  <si>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</si>
  <si>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</si>
  <si>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</si>
  <si>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</si>
  <si>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</si>
  <si>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</si>
  <si>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</si>
  <si>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</si>
  <si>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</si>
  <si>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</si>
  <si>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Viale Romania, 31</t>
  </si>
  <si>
    <t>379/3506384</t>
  </si>
  <si>
    <t>41.92438626568828, 12.492692774797485</t>
  </si>
  <si>
    <t>coffee specialty / brunch</t>
  </si>
  <si>
    <t>ØRA Specialty Coffee</t>
  </si>
  <si>
    <t>75+20</t>
  </si>
  <si>
    <t>Mensana masseria urbana</t>
  </si>
  <si>
    <t>pugliese</t>
  </si>
  <si>
    <t>Via di Pietralata, 138b</t>
  </si>
  <si>
    <t>334/9943965</t>
  </si>
  <si>
    <t>Tenuta del Duca</t>
  </si>
  <si>
    <t>Via Carlo del Prete, snc</t>
  </si>
  <si>
    <t>366/2386289</t>
  </si>
  <si>
    <t>41.78192952612999, 12.254367904456137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</si>
</sst>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6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3"/>
  <sheetViews>
    <sheetView tabSelected="1" zoomScaleNormal="100" workbookViewId="0">
      <pane ySplit="7" topLeftCell="A56" activePane="bottomLeft" state="frozen"/>
      <selection pane="bottomLeft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135</v>
      </c>
      <c r="F3" s="5">
        <f>+AD6</f>
        <v>136</v>
      </c>
      <c r="G3" s="5">
        <f>+AF6</f>
        <v>131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331</v>
      </c>
      <c r="F4" s="7">
        <f>+AE6</f>
        <v>321</v>
      </c>
      <c r="G4" s="7">
        <f>+AG6</f>
        <v>285</v>
      </c>
      <c r="H4" s="5">
        <f>+E4-G4</f>
        <v>46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466</v>
      </c>
      <c r="F5" s="8">
        <f>+F3+F4</f>
        <v>457</v>
      </c>
      <c r="G5" s="8">
        <f>+G3+G4</f>
        <v>416</v>
      </c>
      <c r="H5" s="8">
        <f>+H3+H4</f>
        <v>50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SUM(S8:S2456)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SUM(AD8:AD1725)</f>
        <v>136</v>
      </c>
      <c r="AE6" s="1">
        <f t="shared" si="1"/>
        <v>321</v>
      </c>
      <c r="AF6" s="1">
        <f t="shared" si="1"/>
        <v>131</v>
      </c>
      <c r="AG6" s="1">
        <f t="shared" si="1"/>
        <v>285</v>
      </c>
      <c r="AH6" s="1">
        <f t="shared" si="1"/>
        <v>135</v>
      </c>
      <c r="AI6" s="1">
        <f t="shared" si="1"/>
        <v>331</v>
      </c>
    </row>
    <row r="7" spans="1:35" s="60" customFormat="1" ht="14.25" customHeight="1" x14ac:dyDescent="0.25">
      <c r="A7" s="27" t="s">
        <v>1336</v>
      </c>
      <c r="B7" s="27" t="s">
        <v>1337</v>
      </c>
      <c r="C7" s="27" t="s">
        <v>1338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1339</v>
      </c>
      <c r="K7" s="27" t="s">
        <v>1594</v>
      </c>
      <c r="L7" s="27" t="s">
        <v>17</v>
      </c>
      <c r="M7" s="29" t="s">
        <v>1340</v>
      </c>
      <c r="N7" s="28" t="s">
        <v>0</v>
      </c>
      <c r="O7" s="18" t="s">
        <v>1</v>
      </c>
      <c r="P7" s="18" t="s">
        <v>2</v>
      </c>
      <c r="Q7" s="29" t="s">
        <v>1831</v>
      </c>
      <c r="S7" s="60">
        <v>1</v>
      </c>
      <c r="T7" s="60">
        <f>+S7+1</f>
        <v>2</v>
      </c>
      <c r="U7" s="60">
        <f t="shared" ref="U7:AB7" si="2">+T7+1</f>
        <v>3</v>
      </c>
      <c r="V7" s="60">
        <f t="shared" si="2"/>
        <v>4</v>
      </c>
      <c r="W7" s="60">
        <f t="shared" si="2"/>
        <v>5</v>
      </c>
      <c r="X7" s="60">
        <f t="shared" si="2"/>
        <v>6</v>
      </c>
      <c r="Y7" s="60">
        <f t="shared" si="2"/>
        <v>7</v>
      </c>
      <c r="Z7" s="60">
        <f t="shared" si="2"/>
        <v>8</v>
      </c>
      <c r="AA7" s="60">
        <f t="shared" si="2"/>
        <v>9</v>
      </c>
      <c r="AB7" s="60">
        <f t="shared" si="2"/>
        <v>10</v>
      </c>
      <c r="AD7" s="60" t="s">
        <v>21</v>
      </c>
      <c r="AE7" s="60" t="s">
        <v>22</v>
      </c>
      <c r="AF7" s="60" t="s">
        <v>4</v>
      </c>
      <c r="AG7" s="60" t="s">
        <v>5</v>
      </c>
      <c r="AH7" s="60" t="s">
        <v>6</v>
      </c>
      <c r="AI7" s="60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1696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1552</v>
      </c>
      <c r="E9" s="32" t="s">
        <v>170</v>
      </c>
      <c r="F9" s="32" t="s">
        <v>1502</v>
      </c>
      <c r="G9" s="32" t="s">
        <v>39</v>
      </c>
      <c r="H9" s="32" t="s">
        <v>361</v>
      </c>
      <c r="I9" s="31" t="s">
        <v>1503</v>
      </c>
      <c r="J9" s="31">
        <v>99</v>
      </c>
      <c r="K9" s="33" t="s">
        <v>941</v>
      </c>
      <c r="L9" s="33" t="s">
        <v>1661</v>
      </c>
      <c r="M9" s="34" t="s">
        <v>1344</v>
      </c>
      <c r="N9" s="34" t="s">
        <v>1687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941</v>
      </c>
      <c r="L10" s="33" t="s">
        <v>1662</v>
      </c>
      <c r="M10" s="34" t="s">
        <v>1341</v>
      </c>
      <c r="N10" s="34" t="s">
        <v>1800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1009</v>
      </c>
      <c r="E11" s="32" t="s">
        <v>173</v>
      </c>
      <c r="F11" s="32" t="s">
        <v>1067</v>
      </c>
      <c r="G11" s="32" t="s">
        <v>39</v>
      </c>
      <c r="H11" s="32" t="s">
        <v>1010</v>
      </c>
      <c r="I11" s="31" t="s">
        <v>1089</v>
      </c>
      <c r="J11" s="31">
        <v>16</v>
      </c>
      <c r="K11" s="33" t="s">
        <v>939</v>
      </c>
      <c r="L11" s="33">
        <v>45</v>
      </c>
      <c r="M11" s="34" t="s">
        <v>1342</v>
      </c>
      <c r="N11" s="34" t="s">
        <v>1776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943</v>
      </c>
      <c r="L12" s="33" t="s">
        <v>1665</v>
      </c>
      <c r="M12" s="34" t="s">
        <v>1096</v>
      </c>
      <c r="N12" s="34" t="s">
        <v>1752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941</v>
      </c>
      <c r="L13" s="33" t="s">
        <v>1666</v>
      </c>
      <c r="M13" s="34" t="s">
        <v>1096</v>
      </c>
      <c r="N13" s="34" t="s">
        <v>1752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1261</v>
      </c>
      <c r="G14" s="32" t="s">
        <v>239</v>
      </c>
      <c r="H14" s="32" t="s">
        <v>352</v>
      </c>
      <c r="I14" s="31" t="s">
        <v>1326</v>
      </c>
      <c r="J14" s="31">
        <v>1</v>
      </c>
      <c r="K14" s="33" t="s">
        <v>937</v>
      </c>
      <c r="L14" s="33" t="s">
        <v>1668</v>
      </c>
      <c r="M14" s="34" t="s">
        <v>1343</v>
      </c>
      <c r="N14" s="34" t="s">
        <v>1700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941</v>
      </c>
      <c r="L15" s="33">
        <v>135</v>
      </c>
      <c r="M15" s="34" t="s">
        <v>2105</v>
      </c>
      <c r="N15" s="34" t="s">
        <v>1800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1658</v>
      </c>
      <c r="L16" s="33" t="s">
        <v>39</v>
      </c>
      <c r="M16" s="34" t="s">
        <v>39</v>
      </c>
      <c r="N16" s="34" t="s">
        <v>1693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1068</v>
      </c>
      <c r="G17" s="32" t="s">
        <v>39</v>
      </c>
      <c r="H17" s="32" t="s">
        <v>353</v>
      </c>
      <c r="I17" s="31" t="s">
        <v>1090</v>
      </c>
      <c r="J17" s="31">
        <v>11</v>
      </c>
      <c r="K17" s="33" t="s">
        <v>943</v>
      </c>
      <c r="L17" s="33" t="s">
        <v>1674</v>
      </c>
      <c r="M17" s="34" t="s">
        <v>1344</v>
      </c>
      <c r="N17" s="34" t="s">
        <v>1707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147</v>
      </c>
      <c r="E18" s="32" t="s">
        <v>170</v>
      </c>
      <c r="F18" s="32" t="s">
        <v>347</v>
      </c>
      <c r="G18" s="32" t="s">
        <v>39</v>
      </c>
      <c r="H18" s="32" t="s">
        <v>377</v>
      </c>
      <c r="I18" s="31" t="s">
        <v>492</v>
      </c>
      <c r="J18" s="31">
        <v>16</v>
      </c>
      <c r="K18" s="33" t="s">
        <v>937</v>
      </c>
      <c r="L18" s="33" t="s">
        <v>2152</v>
      </c>
      <c r="M18" s="34" t="s">
        <v>1344</v>
      </c>
      <c r="N18" s="34" t="s">
        <v>1776</v>
      </c>
      <c r="O18" s="35">
        <v>1</v>
      </c>
      <c r="P18" s="35"/>
      <c r="Q18" s="32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1</v>
      </c>
      <c r="AF18" s="1">
        <f t="shared" si="19"/>
        <v>0</v>
      </c>
      <c r="AG18" s="1">
        <f t="shared" si="20"/>
        <v>1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942</v>
      </c>
      <c r="L19" s="33">
        <v>200</v>
      </c>
      <c r="M19" s="34" t="s">
        <v>39</v>
      </c>
      <c r="N19" s="34" t="s">
        <v>1800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944</v>
      </c>
      <c r="L20" s="33" t="s">
        <v>39</v>
      </c>
      <c r="M20" s="34" t="s">
        <v>39</v>
      </c>
      <c r="N20" s="34" t="s">
        <v>1693</v>
      </c>
      <c r="O20" s="35">
        <v>1</v>
      </c>
      <c r="P20" s="35">
        <v>1</v>
      </c>
      <c r="Q20" s="32" t="s">
        <v>1843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937</v>
      </c>
      <c r="L21" s="33" t="s">
        <v>39</v>
      </c>
      <c r="M21" s="34" t="s">
        <v>39</v>
      </c>
      <c r="N21" s="34" t="s">
        <v>1687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944</v>
      </c>
      <c r="L22" s="33" t="s">
        <v>39</v>
      </c>
      <c r="M22" s="34" t="s">
        <v>39</v>
      </c>
      <c r="N22" s="34" t="s">
        <v>1693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1138</v>
      </c>
      <c r="H23" s="32" t="s">
        <v>352</v>
      </c>
      <c r="I23" s="31" t="s">
        <v>483</v>
      </c>
      <c r="J23" s="31">
        <v>1</v>
      </c>
      <c r="K23" s="33" t="s">
        <v>937</v>
      </c>
      <c r="L23" s="33" t="s">
        <v>1666</v>
      </c>
      <c r="M23" s="34" t="s">
        <v>1096</v>
      </c>
      <c r="N23" s="34" t="s">
        <v>1696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1549</v>
      </c>
      <c r="E24" s="32" t="s">
        <v>170</v>
      </c>
      <c r="F24" s="32" t="s">
        <v>1550</v>
      </c>
      <c r="G24" s="32" t="s">
        <v>212</v>
      </c>
      <c r="H24" s="32" t="s">
        <v>352</v>
      </c>
      <c r="I24" s="31" t="s">
        <v>1551</v>
      </c>
      <c r="J24" s="31">
        <v>1</v>
      </c>
      <c r="K24" s="33" t="s">
        <v>943</v>
      </c>
      <c r="L24" s="33" t="s">
        <v>39</v>
      </c>
      <c r="M24" s="34" t="s">
        <v>39</v>
      </c>
      <c r="N24" s="34" t="s">
        <v>1687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1028</v>
      </c>
      <c r="E25" s="32" t="s">
        <v>170</v>
      </c>
      <c r="F25" s="32" t="s">
        <v>1072</v>
      </c>
      <c r="G25" s="32" t="s">
        <v>1015</v>
      </c>
      <c r="H25" s="32" t="s">
        <v>352</v>
      </c>
      <c r="I25" s="31" t="s">
        <v>1029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1701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1693</v>
      </c>
      <c r="O26" s="35">
        <v>1</v>
      </c>
      <c r="P26" s="35">
        <v>1</v>
      </c>
      <c r="Q26" s="32" t="s">
        <v>2100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941</v>
      </c>
      <c r="L27" s="33" t="s">
        <v>1675</v>
      </c>
      <c r="M27" s="34" t="s">
        <v>1345</v>
      </c>
      <c r="N27" s="34" t="s">
        <v>1752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944</v>
      </c>
      <c r="L28" s="33" t="s">
        <v>39</v>
      </c>
      <c r="M28" s="34" t="s">
        <v>39</v>
      </c>
      <c r="N28" s="34" t="s">
        <v>1693</v>
      </c>
      <c r="O28" s="35">
        <v>1</v>
      </c>
      <c r="P28" s="35">
        <v>1</v>
      </c>
      <c r="Q28" s="32" t="s">
        <v>1862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837</v>
      </c>
      <c r="E29" s="32" t="s">
        <v>170</v>
      </c>
      <c r="F29" s="32" t="s">
        <v>838</v>
      </c>
      <c r="G29" s="32" t="s">
        <v>219</v>
      </c>
      <c r="H29" s="32" t="s">
        <v>352</v>
      </c>
      <c r="I29" s="31" t="s">
        <v>839</v>
      </c>
      <c r="J29" s="31">
        <v>8</v>
      </c>
      <c r="K29" s="33" t="s">
        <v>941</v>
      </c>
      <c r="L29" s="33" t="s">
        <v>1670</v>
      </c>
      <c r="M29" s="34" t="s">
        <v>1521</v>
      </c>
      <c r="N29" s="34" t="s">
        <v>1708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937</v>
      </c>
      <c r="L30" s="33" t="s">
        <v>39</v>
      </c>
      <c r="M30" s="34" t="s">
        <v>39</v>
      </c>
      <c r="N30" s="34" t="s">
        <v>1693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941</v>
      </c>
      <c r="L31" s="33">
        <v>70</v>
      </c>
      <c r="M31" s="34" t="s">
        <v>1346</v>
      </c>
      <c r="N31" s="34" t="s">
        <v>1701</v>
      </c>
      <c r="O31" s="35">
        <v>1</v>
      </c>
      <c r="P31" s="35"/>
      <c r="Q31" s="32" t="s">
        <v>1856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937</v>
      </c>
      <c r="L32" s="33" t="s">
        <v>1666</v>
      </c>
      <c r="M32" s="34" t="s">
        <v>1347</v>
      </c>
      <c r="N32" s="34" t="s">
        <v>1708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1510</v>
      </c>
      <c r="E33" s="36" t="s">
        <v>1215</v>
      </c>
      <c r="F33" s="36" t="s">
        <v>1511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1741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1425</v>
      </c>
      <c r="E34" s="36" t="s">
        <v>1427</v>
      </c>
      <c r="F34" s="36" t="s">
        <v>1426</v>
      </c>
      <c r="G34" s="36"/>
      <c r="H34" s="36" t="s">
        <v>1110</v>
      </c>
      <c r="I34" s="37" t="s">
        <v>1428</v>
      </c>
      <c r="J34" s="31">
        <v>99</v>
      </c>
      <c r="K34" s="33" t="s">
        <v>694</v>
      </c>
      <c r="L34" s="33"/>
      <c r="M34" s="34"/>
      <c r="N34" s="34" t="s">
        <v>1687</v>
      </c>
      <c r="O34" s="35">
        <v>1</v>
      </c>
      <c r="P34" s="35">
        <v>1</v>
      </c>
      <c r="Q34" s="36" t="s">
        <v>1870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933</v>
      </c>
      <c r="L35" s="53" t="s">
        <v>680</v>
      </c>
      <c r="M35" s="54" t="s">
        <v>1348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1819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1776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1714</v>
      </c>
      <c r="E37" s="36" t="s">
        <v>154</v>
      </c>
      <c r="F37" s="36" t="s">
        <v>1715</v>
      </c>
      <c r="G37" s="36"/>
      <c r="H37" s="36" t="s">
        <v>1716</v>
      </c>
      <c r="I37" s="37" t="s">
        <v>1717</v>
      </c>
      <c r="J37" s="31">
        <v>18</v>
      </c>
      <c r="K37" s="33" t="s">
        <v>694</v>
      </c>
      <c r="L37" s="33">
        <v>55</v>
      </c>
      <c r="M37" s="34" t="s">
        <v>1440</v>
      </c>
      <c r="N37" s="34" t="s">
        <v>1693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933</v>
      </c>
      <c r="L38" s="33" t="s">
        <v>1663</v>
      </c>
      <c r="M38" s="34" t="s">
        <v>1347</v>
      </c>
      <c r="N38" s="34" t="s">
        <v>1700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1703</v>
      </c>
      <c r="E39" s="36" t="s">
        <v>1704</v>
      </c>
      <c r="F39" s="36" t="s">
        <v>1705</v>
      </c>
      <c r="G39" s="36" t="s">
        <v>319</v>
      </c>
      <c r="H39" s="36" t="s">
        <v>352</v>
      </c>
      <c r="I39" s="37" t="s">
        <v>1706</v>
      </c>
      <c r="J39" s="31">
        <v>99</v>
      </c>
      <c r="K39" s="33" t="s">
        <v>694</v>
      </c>
      <c r="L39" s="33"/>
      <c r="M39" s="34"/>
      <c r="N39" s="34" t="s">
        <v>1693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1088</v>
      </c>
      <c r="J40" s="31">
        <v>8</v>
      </c>
      <c r="K40" s="33" t="s">
        <v>933</v>
      </c>
      <c r="L40" s="33" t="s">
        <v>1660</v>
      </c>
      <c r="M40" s="34" t="s">
        <v>1342</v>
      </c>
      <c r="N40" s="34" t="s">
        <v>1800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1474</v>
      </c>
      <c r="E41" s="36" t="s">
        <v>174</v>
      </c>
      <c r="F41" s="36" t="s">
        <v>1621</v>
      </c>
      <c r="G41" s="36" t="s">
        <v>1476</v>
      </c>
      <c r="H41" s="36" t="s">
        <v>352</v>
      </c>
      <c r="I41" s="37" t="s">
        <v>1475</v>
      </c>
      <c r="J41" s="31">
        <v>99</v>
      </c>
      <c r="K41" s="33" t="s">
        <v>934</v>
      </c>
      <c r="L41" s="33" t="s">
        <v>39</v>
      </c>
      <c r="M41" s="34" t="s">
        <v>39</v>
      </c>
      <c r="N41" s="34" t="s">
        <v>1687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861</v>
      </c>
      <c r="E42" s="32" t="s">
        <v>173</v>
      </c>
      <c r="F42" s="32" t="s">
        <v>862</v>
      </c>
      <c r="G42" s="32" t="s">
        <v>39</v>
      </c>
      <c r="H42" s="32" t="s">
        <v>373</v>
      </c>
      <c r="I42" s="31" t="s">
        <v>863</v>
      </c>
      <c r="J42" s="31">
        <v>12</v>
      </c>
      <c r="K42" s="33" t="s">
        <v>693</v>
      </c>
      <c r="L42" s="33" t="s">
        <v>1664</v>
      </c>
      <c r="M42" s="34" t="s">
        <v>1349</v>
      </c>
      <c r="N42" s="34" t="s">
        <v>1776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1766</v>
      </c>
      <c r="E43" s="32" t="s">
        <v>174</v>
      </c>
      <c r="F43" s="32" t="s">
        <v>1767</v>
      </c>
      <c r="G43" s="32" t="s">
        <v>193</v>
      </c>
      <c r="H43" s="32" t="s">
        <v>352</v>
      </c>
      <c r="I43" s="31" t="s">
        <v>1768</v>
      </c>
      <c r="J43" s="31">
        <v>9</v>
      </c>
      <c r="K43" s="33" t="s">
        <v>694</v>
      </c>
      <c r="L43" s="33">
        <v>60</v>
      </c>
      <c r="M43" s="34" t="s">
        <v>1769</v>
      </c>
      <c r="N43" s="34" t="s">
        <v>1800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1829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933</v>
      </c>
      <c r="L44" s="33" t="s">
        <v>684</v>
      </c>
      <c r="M44" s="34" t="s">
        <v>682</v>
      </c>
      <c r="N44" s="34" t="s">
        <v>1713</v>
      </c>
      <c r="O44" s="35">
        <v>1</v>
      </c>
      <c r="P44" s="35"/>
      <c r="Q44" s="32" t="s">
        <v>1857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819</v>
      </c>
      <c r="E45" s="32" t="s">
        <v>174</v>
      </c>
      <c r="F45" s="32" t="s">
        <v>821</v>
      </c>
      <c r="G45" s="32" t="s">
        <v>39</v>
      </c>
      <c r="H45" s="32" t="s">
        <v>352</v>
      </c>
      <c r="I45" s="31" t="s">
        <v>820</v>
      </c>
      <c r="J45" s="31">
        <v>99</v>
      </c>
      <c r="K45" s="33" t="s">
        <v>939</v>
      </c>
      <c r="L45" s="33" t="s">
        <v>39</v>
      </c>
      <c r="M45" s="34" t="s">
        <v>39</v>
      </c>
      <c r="N45" s="34" t="s">
        <v>1693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2113</v>
      </c>
      <c r="E46" s="32" t="s">
        <v>174</v>
      </c>
      <c r="F46" s="32" t="s">
        <v>2114</v>
      </c>
      <c r="G46" s="32" t="s">
        <v>177</v>
      </c>
      <c r="H46" s="32" t="s">
        <v>352</v>
      </c>
      <c r="I46" s="31" t="s">
        <v>2115</v>
      </c>
      <c r="J46" s="31">
        <v>1</v>
      </c>
      <c r="K46" s="33" t="s">
        <v>694</v>
      </c>
      <c r="L46" s="33"/>
      <c r="M46" s="34"/>
      <c r="N46" s="34" t="s">
        <v>1693</v>
      </c>
      <c r="O46" s="35">
        <v>1</v>
      </c>
      <c r="P46" s="35">
        <v>1</v>
      </c>
      <c r="Q46" s="32" t="s">
        <v>2116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894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1659</v>
      </c>
      <c r="M47" s="34" t="s">
        <v>1096</v>
      </c>
      <c r="N47" s="34" t="s">
        <v>1776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1596</v>
      </c>
      <c r="E48" s="32" t="s">
        <v>173</v>
      </c>
      <c r="F48" s="32" t="s">
        <v>1622</v>
      </c>
      <c r="G48" s="32" t="s">
        <v>250</v>
      </c>
      <c r="H48" s="32" t="s">
        <v>352</v>
      </c>
      <c r="I48" s="31" t="s">
        <v>1524</v>
      </c>
      <c r="J48" s="31">
        <v>99</v>
      </c>
      <c r="K48" s="33" t="s">
        <v>934</v>
      </c>
      <c r="L48" s="33" t="s">
        <v>39</v>
      </c>
      <c r="M48" s="34" t="s">
        <v>39</v>
      </c>
      <c r="N48" s="34" t="s">
        <v>1687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1492</v>
      </c>
      <c r="E49" s="32" t="s">
        <v>1610</v>
      </c>
      <c r="F49" s="32" t="s">
        <v>1493</v>
      </c>
      <c r="G49" s="32" t="s">
        <v>199</v>
      </c>
      <c r="H49" s="32" t="s">
        <v>352</v>
      </c>
      <c r="I49" s="31" t="s">
        <v>1494</v>
      </c>
      <c r="J49" s="31">
        <v>2</v>
      </c>
      <c r="K49" s="33" t="s">
        <v>933</v>
      </c>
      <c r="L49" s="33">
        <v>70</v>
      </c>
      <c r="M49" s="34" t="s">
        <v>39</v>
      </c>
      <c r="N49" s="34" t="s">
        <v>1741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1430</v>
      </c>
      <c r="E50" s="32" t="s">
        <v>1611</v>
      </c>
      <c r="F50" s="32" t="s">
        <v>1429</v>
      </c>
      <c r="G50" s="32" t="s">
        <v>219</v>
      </c>
      <c r="H50" s="32" t="s">
        <v>352</v>
      </c>
      <c r="I50" s="31" t="s">
        <v>1647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1708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792</v>
      </c>
      <c r="E51" s="16" t="s">
        <v>174</v>
      </c>
      <c r="F51" s="16" t="s">
        <v>793</v>
      </c>
      <c r="G51" s="16" t="s">
        <v>39</v>
      </c>
      <c r="H51" s="16" t="s">
        <v>794</v>
      </c>
      <c r="I51" s="15" t="s">
        <v>795</v>
      </c>
      <c r="J51" s="15">
        <v>11</v>
      </c>
      <c r="K51" s="10" t="s">
        <v>694</v>
      </c>
      <c r="L51" s="10">
        <v>50</v>
      </c>
      <c r="M51" s="19" t="s">
        <v>1096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1434</v>
      </c>
      <c r="E52" s="32"/>
      <c r="F52" s="32" t="s">
        <v>1435</v>
      </c>
      <c r="G52" s="32" t="s">
        <v>1436</v>
      </c>
      <c r="H52" s="32" t="s">
        <v>352</v>
      </c>
      <c r="I52" s="31" t="s">
        <v>1437</v>
      </c>
      <c r="J52" s="31">
        <v>99</v>
      </c>
      <c r="K52" s="33" t="s">
        <v>694</v>
      </c>
      <c r="L52" s="33">
        <v>35</v>
      </c>
      <c r="M52" s="34" t="s">
        <v>1442</v>
      </c>
      <c r="N52" s="34" t="s">
        <v>1700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1946</v>
      </c>
      <c r="E53" s="32" t="s">
        <v>174</v>
      </c>
      <c r="F53" s="32" t="s">
        <v>1947</v>
      </c>
      <c r="G53" s="32" t="s">
        <v>1948</v>
      </c>
      <c r="H53" s="32" t="s">
        <v>352</v>
      </c>
      <c r="I53" s="31" t="s">
        <v>1949</v>
      </c>
      <c r="J53" s="31">
        <v>99</v>
      </c>
      <c r="K53" s="33" t="s">
        <v>694</v>
      </c>
      <c r="L53" s="33"/>
      <c r="M53" s="34"/>
      <c r="N53" s="34" t="s">
        <v>1693</v>
      </c>
      <c r="O53" s="35">
        <v>1</v>
      </c>
      <c r="P53" s="35">
        <v>1</v>
      </c>
      <c r="Q53" s="32" t="s">
        <v>1950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1753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1031</v>
      </c>
      <c r="E55" s="32" t="s">
        <v>174</v>
      </c>
      <c r="F55" s="32" t="s">
        <v>1032</v>
      </c>
      <c r="G55" s="32" t="s">
        <v>1033</v>
      </c>
      <c r="H55" s="32" t="s">
        <v>352</v>
      </c>
      <c r="I55" s="31" t="s">
        <v>1034</v>
      </c>
      <c r="J55" s="31">
        <v>1</v>
      </c>
      <c r="K55" s="33" t="s">
        <v>713</v>
      </c>
      <c r="L55" s="33" t="s">
        <v>678</v>
      </c>
      <c r="M55" s="34" t="s">
        <v>1096</v>
      </c>
      <c r="N55" s="34" t="s">
        <v>1741</v>
      </c>
      <c r="O55" s="35">
        <v>1</v>
      </c>
      <c r="P55" s="35"/>
      <c r="Q55" s="32" t="s">
        <v>1860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2071</v>
      </c>
      <c r="E56" s="16" t="s">
        <v>171</v>
      </c>
      <c r="F56" s="16" t="s">
        <v>2072</v>
      </c>
      <c r="G56" s="16"/>
      <c r="H56" s="16" t="s">
        <v>2073</v>
      </c>
      <c r="I56" s="15" t="s">
        <v>2074</v>
      </c>
      <c r="J56" s="15">
        <v>15</v>
      </c>
      <c r="K56" s="10" t="s">
        <v>694</v>
      </c>
      <c r="L56" s="10" t="s">
        <v>1695</v>
      </c>
      <c r="M56" s="19" t="s">
        <v>1096</v>
      </c>
      <c r="N56" s="17"/>
      <c r="Q56" s="16" t="s">
        <v>2075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1600</v>
      </c>
      <c r="E57" s="32" t="s">
        <v>174</v>
      </c>
      <c r="F57" s="32" t="s">
        <v>1626</v>
      </c>
      <c r="G57" s="32" t="s">
        <v>1627</v>
      </c>
      <c r="H57" s="32" t="s">
        <v>352</v>
      </c>
      <c r="I57" s="31" t="s">
        <v>1441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1707</v>
      </c>
      <c r="O57" s="35">
        <v>1</v>
      </c>
      <c r="P57" s="35"/>
      <c r="Q57" s="32" t="s">
        <v>1996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1660</v>
      </c>
      <c r="M58" s="34" t="s">
        <v>1350</v>
      </c>
      <c r="N58" s="34" t="s">
        <v>1696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1159</v>
      </c>
      <c r="E59" s="16" t="s">
        <v>173</v>
      </c>
      <c r="F59" s="16" t="s">
        <v>1160</v>
      </c>
      <c r="G59" s="16" t="s">
        <v>39</v>
      </c>
      <c r="H59" s="16" t="s">
        <v>1162</v>
      </c>
      <c r="I59" s="15" t="s">
        <v>1161</v>
      </c>
      <c r="J59" s="15">
        <v>17</v>
      </c>
      <c r="K59" s="10" t="s">
        <v>694</v>
      </c>
      <c r="L59" s="10" t="s">
        <v>1351</v>
      </c>
      <c r="M59" s="19" t="s">
        <v>1352</v>
      </c>
      <c r="N59" s="17"/>
      <c r="Q59" s="16" t="s">
        <v>1836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38">
        <v>0</v>
      </c>
      <c r="B60" s="38">
        <v>1</v>
      </c>
      <c r="C60" s="38">
        <v>2</v>
      </c>
      <c r="D60" s="39" t="s">
        <v>1170</v>
      </c>
      <c r="E60" s="39" t="s">
        <v>173</v>
      </c>
      <c r="F60" s="39" t="s">
        <v>1171</v>
      </c>
      <c r="G60" s="39" t="s">
        <v>39</v>
      </c>
      <c r="H60" s="39" t="s">
        <v>1172</v>
      </c>
      <c r="I60" s="38" t="s">
        <v>1173</v>
      </c>
      <c r="J60" s="38">
        <v>18</v>
      </c>
      <c r="K60" s="40" t="s">
        <v>934</v>
      </c>
      <c r="L60" s="40" t="s">
        <v>686</v>
      </c>
      <c r="M60" s="41" t="s">
        <v>947</v>
      </c>
      <c r="N60" s="42"/>
      <c r="O60" s="43"/>
      <c r="P60" s="43">
        <v>1</v>
      </c>
      <c r="Q60" s="39" t="s">
        <v>1835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1</v>
      </c>
      <c r="AI60" s="1">
        <f t="shared" si="38"/>
        <v>0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1006</v>
      </c>
      <c r="E61" s="20" t="s">
        <v>174</v>
      </c>
      <c r="F61" s="20" t="s">
        <v>1008</v>
      </c>
      <c r="G61" s="16" t="s">
        <v>39</v>
      </c>
      <c r="H61" s="20" t="s">
        <v>363</v>
      </c>
      <c r="I61" s="21" t="s">
        <v>1007</v>
      </c>
      <c r="J61" s="15">
        <v>18</v>
      </c>
      <c r="K61" s="10" t="s">
        <v>693</v>
      </c>
      <c r="L61" s="10" t="s">
        <v>1113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1553</v>
      </c>
      <c r="E62" s="32" t="s">
        <v>174</v>
      </c>
      <c r="F62" s="32" t="s">
        <v>1554</v>
      </c>
      <c r="G62" s="32" t="s">
        <v>1555</v>
      </c>
      <c r="H62" s="32" t="s">
        <v>352</v>
      </c>
      <c r="I62" s="31" t="s">
        <v>1450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1687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1581</v>
      </c>
      <c r="E63" s="32" t="s">
        <v>169</v>
      </c>
      <c r="F63" s="32" t="s">
        <v>1582</v>
      </c>
      <c r="G63" s="32" t="s">
        <v>39</v>
      </c>
      <c r="H63" s="32" t="s">
        <v>353</v>
      </c>
      <c r="I63" s="31" t="s">
        <v>1583</v>
      </c>
      <c r="J63" s="31">
        <v>11</v>
      </c>
      <c r="K63" s="33" t="s">
        <v>934</v>
      </c>
      <c r="L63" s="33" t="s">
        <v>39</v>
      </c>
      <c r="M63" s="34" t="s">
        <v>39</v>
      </c>
      <c r="N63" s="34" t="s">
        <v>1687</v>
      </c>
      <c r="O63" s="35">
        <v>1</v>
      </c>
      <c r="P63" s="35">
        <v>1</v>
      </c>
      <c r="Q63" s="36" t="s">
        <v>1855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1578</v>
      </c>
      <c r="E64" s="32" t="s">
        <v>173</v>
      </c>
      <c r="F64" s="32" t="s">
        <v>1579</v>
      </c>
      <c r="G64" s="32" t="s">
        <v>1446</v>
      </c>
      <c r="H64" s="32" t="s">
        <v>352</v>
      </c>
      <c r="I64" s="31" t="s">
        <v>1580</v>
      </c>
      <c r="J64" s="31">
        <v>99</v>
      </c>
      <c r="K64" s="33" t="s">
        <v>939</v>
      </c>
      <c r="L64" s="33" t="s">
        <v>39</v>
      </c>
      <c r="M64" s="34" t="s">
        <v>39</v>
      </c>
      <c r="N64" s="34" t="s">
        <v>1687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780</v>
      </c>
      <c r="E65" s="32" t="s">
        <v>173</v>
      </c>
      <c r="F65" s="32" t="s">
        <v>782</v>
      </c>
      <c r="G65" s="32" t="s">
        <v>39</v>
      </c>
      <c r="H65" s="32" t="s">
        <v>781</v>
      </c>
      <c r="I65" s="31" t="s">
        <v>783</v>
      </c>
      <c r="J65" s="31">
        <v>14</v>
      </c>
      <c r="K65" s="33" t="s">
        <v>941</v>
      </c>
      <c r="L65" s="33" t="s">
        <v>1666</v>
      </c>
      <c r="M65" s="34" t="s">
        <v>1344</v>
      </c>
      <c r="N65" s="34" t="s">
        <v>1701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1290</v>
      </c>
      <c r="E66" s="32" t="s">
        <v>174</v>
      </c>
      <c r="F66" s="32" t="s">
        <v>1314</v>
      </c>
      <c r="G66" s="32" t="s">
        <v>39</v>
      </c>
      <c r="H66" s="32" t="s">
        <v>361</v>
      </c>
      <c r="I66" s="31" t="s">
        <v>1114</v>
      </c>
      <c r="J66" s="31">
        <v>14</v>
      </c>
      <c r="K66" s="33" t="s">
        <v>713</v>
      </c>
      <c r="L66" s="33" t="s">
        <v>1659</v>
      </c>
      <c r="M66" s="34" t="s">
        <v>949</v>
      </c>
      <c r="N66" s="34" t="s">
        <v>1800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2106</v>
      </c>
      <c r="E67" s="32" t="s">
        <v>174</v>
      </c>
      <c r="F67" s="32" t="s">
        <v>2111</v>
      </c>
      <c r="G67" s="32"/>
      <c r="H67" s="32" t="s">
        <v>2108</v>
      </c>
      <c r="I67" s="31" t="s">
        <v>2107</v>
      </c>
      <c r="J67" s="31">
        <v>16</v>
      </c>
      <c r="K67" s="33" t="s">
        <v>694</v>
      </c>
      <c r="L67" s="33" t="s">
        <v>2109</v>
      </c>
      <c r="M67" s="34" t="s">
        <v>2110</v>
      </c>
      <c r="N67" s="34" t="s">
        <v>1800</v>
      </c>
      <c r="O67" s="35">
        <v>1</v>
      </c>
      <c r="P67" s="35"/>
      <c r="Q67" s="32" t="s">
        <v>2112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35"/>
        <v>0</v>
      </c>
      <c r="AG67" s="1">
        <f t="shared" si="36"/>
        <v>1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1477</v>
      </c>
      <c r="E68" s="32" t="s">
        <v>169</v>
      </c>
      <c r="F68" s="32" t="s">
        <v>1479</v>
      </c>
      <c r="G68" s="32" t="s">
        <v>1137</v>
      </c>
      <c r="H68" s="32" t="s">
        <v>352</v>
      </c>
      <c r="I68" s="31" t="s">
        <v>1478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1109</v>
      </c>
      <c r="E69" s="32" t="s">
        <v>174</v>
      </c>
      <c r="F69" s="32" t="s">
        <v>1112</v>
      </c>
      <c r="G69" s="32" t="s">
        <v>39</v>
      </c>
      <c r="H69" s="32" t="s">
        <v>1110</v>
      </c>
      <c r="I69" s="31" t="s">
        <v>1111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1701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2033</v>
      </c>
      <c r="G70" s="32" t="s">
        <v>2034</v>
      </c>
      <c r="H70" s="32" t="s">
        <v>352</v>
      </c>
      <c r="I70" s="31"/>
      <c r="J70" s="31">
        <v>1</v>
      </c>
      <c r="K70" s="33" t="s">
        <v>937</v>
      </c>
      <c r="L70" s="33" t="s">
        <v>39</v>
      </c>
      <c r="M70" s="34" t="s">
        <v>39</v>
      </c>
      <c r="N70" s="34" t="s">
        <v>1693</v>
      </c>
      <c r="O70" s="35">
        <v>1</v>
      </c>
      <c r="P70" s="35">
        <v>1</v>
      </c>
      <c r="Q70" s="32" t="s">
        <v>2035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1410</v>
      </c>
      <c r="E71" s="32" t="s">
        <v>174</v>
      </c>
      <c r="F71" s="32" t="s">
        <v>1407</v>
      </c>
      <c r="G71" s="32" t="s">
        <v>39</v>
      </c>
      <c r="H71" s="32" t="s">
        <v>352</v>
      </c>
      <c r="I71" s="31" t="s">
        <v>1408</v>
      </c>
      <c r="J71" s="31">
        <v>99</v>
      </c>
      <c r="K71" s="33" t="s">
        <v>693</v>
      </c>
      <c r="L71" s="33" t="s">
        <v>680</v>
      </c>
      <c r="M71" s="34" t="s">
        <v>1409</v>
      </c>
      <c r="N71" s="34" t="s">
        <v>1687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796</v>
      </c>
      <c r="E72" s="32" t="s">
        <v>174</v>
      </c>
      <c r="F72" s="32" t="s">
        <v>914</v>
      </c>
      <c r="G72" s="32" t="s">
        <v>212</v>
      </c>
      <c r="H72" s="32" t="s">
        <v>352</v>
      </c>
      <c r="I72" s="31" t="s">
        <v>797</v>
      </c>
      <c r="J72" s="31">
        <v>1</v>
      </c>
      <c r="K72" s="33" t="s">
        <v>933</v>
      </c>
      <c r="L72" s="33" t="s">
        <v>680</v>
      </c>
      <c r="M72" s="34" t="s">
        <v>682</v>
      </c>
      <c r="N72" s="34" t="s">
        <v>1800</v>
      </c>
      <c r="O72" s="35">
        <v>1</v>
      </c>
      <c r="P72" s="35"/>
      <c r="Q72" s="32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1</v>
      </c>
      <c r="AF72" s="1">
        <f t="shared" si="35"/>
        <v>0</v>
      </c>
      <c r="AG72" s="1">
        <f t="shared" si="36"/>
        <v>1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1291</v>
      </c>
      <c r="E73" s="32" t="s">
        <v>174</v>
      </c>
      <c r="F73" s="32" t="s">
        <v>1102</v>
      </c>
      <c r="G73" s="32" t="s">
        <v>39</v>
      </c>
      <c r="H73" s="32" t="s">
        <v>1101</v>
      </c>
      <c r="I73" s="31" t="s">
        <v>1100</v>
      </c>
      <c r="J73" s="31">
        <v>15</v>
      </c>
      <c r="K73" s="33" t="s">
        <v>934</v>
      </c>
      <c r="L73" s="33">
        <v>75</v>
      </c>
      <c r="M73" s="34" t="s">
        <v>1353</v>
      </c>
      <c r="N73" s="34" t="s">
        <v>1693</v>
      </c>
      <c r="O73" s="35">
        <v>1</v>
      </c>
      <c r="P73" s="35">
        <v>1</v>
      </c>
      <c r="Q73" s="32" t="s">
        <v>1932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1024</v>
      </c>
      <c r="E74" s="32" t="s">
        <v>173</v>
      </c>
      <c r="F74" s="32" t="s">
        <v>1025</v>
      </c>
      <c r="G74" s="32" t="s">
        <v>620</v>
      </c>
      <c r="H74" s="32" t="s">
        <v>352</v>
      </c>
      <c r="I74" s="31" t="s">
        <v>1026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1693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2001</v>
      </c>
      <c r="E75" s="32" t="s">
        <v>1928</v>
      </c>
      <c r="F75" s="32" t="s">
        <v>2002</v>
      </c>
      <c r="G75" s="32" t="s">
        <v>283</v>
      </c>
      <c r="H75" s="32" t="s">
        <v>352</v>
      </c>
      <c r="I75" s="31" t="s">
        <v>2003</v>
      </c>
      <c r="J75" s="31">
        <v>10</v>
      </c>
      <c r="K75" s="33" t="s">
        <v>694</v>
      </c>
      <c r="L75" s="33"/>
      <c r="M75" s="34"/>
      <c r="N75" s="34" t="s">
        <v>1693</v>
      </c>
      <c r="O75" s="35">
        <v>1</v>
      </c>
      <c r="P75" s="35">
        <v>1</v>
      </c>
      <c r="Q75" s="36" t="s">
        <v>2004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1957</v>
      </c>
      <c r="E76" s="32" t="s">
        <v>174</v>
      </c>
      <c r="F76" s="36" t="s">
        <v>1958</v>
      </c>
      <c r="G76" s="36" t="s">
        <v>219</v>
      </c>
      <c r="H76" s="36" t="s">
        <v>352</v>
      </c>
      <c r="I76" s="37" t="s">
        <v>1959</v>
      </c>
      <c r="J76" s="31">
        <v>8</v>
      </c>
      <c r="K76" s="33" t="s">
        <v>694</v>
      </c>
      <c r="L76" s="33"/>
      <c r="M76" s="34"/>
      <c r="N76" s="34" t="s">
        <v>1693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937</v>
      </c>
      <c r="L77" s="33" t="s">
        <v>1672</v>
      </c>
      <c r="M77" s="34" t="s">
        <v>1344</v>
      </c>
      <c r="N77" s="34" t="s">
        <v>1713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1793</v>
      </c>
      <c r="E78" s="32" t="s">
        <v>173</v>
      </c>
      <c r="F78" s="32" t="s">
        <v>1794</v>
      </c>
      <c r="G78" s="32"/>
      <c r="H78" s="32" t="s">
        <v>1795</v>
      </c>
      <c r="I78" s="31" t="s">
        <v>1796</v>
      </c>
      <c r="J78" s="31">
        <v>14</v>
      </c>
      <c r="K78" s="33" t="s">
        <v>694</v>
      </c>
      <c r="L78" s="33">
        <v>75</v>
      </c>
      <c r="M78" s="34" t="s">
        <v>948</v>
      </c>
      <c r="N78" s="34" t="s">
        <v>1696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1684</v>
      </c>
      <c r="E79" s="32" t="s">
        <v>174</v>
      </c>
      <c r="F79" s="36" t="s">
        <v>1685</v>
      </c>
      <c r="G79" s="36" t="s">
        <v>206</v>
      </c>
      <c r="H79" s="36" t="s">
        <v>352</v>
      </c>
      <c r="I79" s="37" t="s">
        <v>1686</v>
      </c>
      <c r="J79" s="31">
        <v>99</v>
      </c>
      <c r="K79" s="33" t="s">
        <v>694</v>
      </c>
      <c r="L79" s="33"/>
      <c r="M79" s="34"/>
      <c r="N79" s="34" t="s">
        <v>1687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1035</v>
      </c>
      <c r="E80" s="32" t="s">
        <v>174</v>
      </c>
      <c r="F80" s="36" t="s">
        <v>1074</v>
      </c>
      <c r="G80" s="36" t="s">
        <v>39</v>
      </c>
      <c r="H80" s="36" t="s">
        <v>1036</v>
      </c>
      <c r="I80" s="37" t="s">
        <v>1133</v>
      </c>
      <c r="J80" s="31">
        <v>13</v>
      </c>
      <c r="K80" s="33" t="s">
        <v>693</v>
      </c>
      <c r="L80" s="33" t="s">
        <v>680</v>
      </c>
      <c r="M80" s="34" t="s">
        <v>1404</v>
      </c>
      <c r="N80" s="34" t="s">
        <v>1701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1556</v>
      </c>
      <c r="E81" s="32" t="s">
        <v>174</v>
      </c>
      <c r="F81" s="36" t="s">
        <v>1557</v>
      </c>
      <c r="G81" s="36" t="s">
        <v>234</v>
      </c>
      <c r="H81" s="36" t="s">
        <v>352</v>
      </c>
      <c r="I81" s="37" t="s">
        <v>1558</v>
      </c>
      <c r="J81" s="31">
        <v>99</v>
      </c>
      <c r="K81" s="33" t="s">
        <v>933</v>
      </c>
      <c r="L81" s="33">
        <v>45</v>
      </c>
      <c r="M81" s="34" t="s">
        <v>39</v>
      </c>
      <c r="N81" s="34" t="s">
        <v>1741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1293</v>
      </c>
      <c r="E82" s="32" t="s">
        <v>173</v>
      </c>
      <c r="F82" s="36" t="s">
        <v>1236</v>
      </c>
      <c r="G82" s="36" t="s">
        <v>206</v>
      </c>
      <c r="H82" s="36" t="s">
        <v>352</v>
      </c>
      <c r="I82" s="37" t="s">
        <v>1237</v>
      </c>
      <c r="J82" s="31">
        <v>99</v>
      </c>
      <c r="K82" s="33" t="s">
        <v>939</v>
      </c>
      <c r="L82" s="33" t="s">
        <v>39</v>
      </c>
      <c r="M82" s="34" t="s">
        <v>39</v>
      </c>
      <c r="N82" s="34" t="s">
        <v>1687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1750</v>
      </c>
      <c r="E83" s="32" t="s">
        <v>169</v>
      </c>
      <c r="F83" s="36" t="s">
        <v>1748</v>
      </c>
      <c r="G83" s="36" t="s">
        <v>231</v>
      </c>
      <c r="H83" s="36" t="s">
        <v>352</v>
      </c>
      <c r="I83" s="37" t="s">
        <v>1749</v>
      </c>
      <c r="J83" s="31">
        <v>99</v>
      </c>
      <c r="K83" s="33" t="s">
        <v>694</v>
      </c>
      <c r="L83" s="33"/>
      <c r="M83" s="34"/>
      <c r="N83" s="34" t="s">
        <v>1687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1130</v>
      </c>
      <c r="E84" s="32" t="s">
        <v>169</v>
      </c>
      <c r="F84" s="36" t="s">
        <v>1131</v>
      </c>
      <c r="G84" s="36" t="s">
        <v>39</v>
      </c>
      <c r="H84" s="36" t="s">
        <v>1325</v>
      </c>
      <c r="I84" s="37" t="s">
        <v>1132</v>
      </c>
      <c r="J84" s="31">
        <v>11</v>
      </c>
      <c r="K84" s="33" t="s">
        <v>693</v>
      </c>
      <c r="L84" s="33" t="s">
        <v>1659</v>
      </c>
      <c r="M84" s="34" t="s">
        <v>1354</v>
      </c>
      <c r="N84" s="34" t="s">
        <v>1701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1776</v>
      </c>
      <c r="O85" s="35">
        <v>1</v>
      </c>
      <c r="P85" s="35"/>
      <c r="Q85" s="36" t="s">
        <v>1832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987</v>
      </c>
      <c r="E86" s="32" t="s">
        <v>171</v>
      </c>
      <c r="F86" s="36" t="s">
        <v>988</v>
      </c>
      <c r="G86" s="36" t="s">
        <v>989</v>
      </c>
      <c r="H86" s="36" t="s">
        <v>352</v>
      </c>
      <c r="I86" s="37" t="s">
        <v>990</v>
      </c>
      <c r="J86" s="31">
        <v>99</v>
      </c>
      <c r="K86" s="33" t="s">
        <v>933</v>
      </c>
      <c r="L86" s="33" t="s">
        <v>39</v>
      </c>
      <c r="M86" s="34" t="s">
        <v>39</v>
      </c>
      <c r="N86" s="34" t="s">
        <v>1693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934</v>
      </c>
      <c r="L87" s="33" t="s">
        <v>678</v>
      </c>
      <c r="M87" s="34" t="s">
        <v>682</v>
      </c>
      <c r="N87" s="34" t="s">
        <v>1696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2052</v>
      </c>
      <c r="E88" s="32" t="s">
        <v>169</v>
      </c>
      <c r="F88" s="36" t="s">
        <v>2053</v>
      </c>
      <c r="G88" s="36" t="s">
        <v>206</v>
      </c>
      <c r="H88" s="36" t="s">
        <v>352</v>
      </c>
      <c r="I88" s="37" t="s">
        <v>2054</v>
      </c>
      <c r="J88" s="31">
        <v>99</v>
      </c>
      <c r="K88" s="33" t="s">
        <v>694</v>
      </c>
      <c r="L88" s="33"/>
      <c r="M88" s="34"/>
      <c r="N88" s="34" t="s">
        <v>1693</v>
      </c>
      <c r="O88" s="35">
        <v>1</v>
      </c>
      <c r="P88" s="35">
        <v>1</v>
      </c>
      <c r="Q88" s="36" t="s">
        <v>2055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1738</v>
      </c>
      <c r="E89" s="16" t="s">
        <v>171</v>
      </c>
      <c r="F89" s="16" t="s">
        <v>1740</v>
      </c>
      <c r="G89" s="16"/>
      <c r="H89" s="16" t="s">
        <v>362</v>
      </c>
      <c r="I89" s="15" t="s">
        <v>1739</v>
      </c>
      <c r="J89" s="15">
        <v>17</v>
      </c>
      <c r="K89" s="10" t="s">
        <v>694</v>
      </c>
      <c r="L89" s="10" t="s">
        <v>1695</v>
      </c>
      <c r="M89" s="19" t="s">
        <v>682</v>
      </c>
      <c r="N89" s="17"/>
      <c r="Q89" s="20" t="s">
        <v>1864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1761</v>
      </c>
      <c r="E90" s="32" t="s">
        <v>171</v>
      </c>
      <c r="F90" s="32" t="s">
        <v>1762</v>
      </c>
      <c r="G90" s="32" t="s">
        <v>1763</v>
      </c>
      <c r="H90" s="32" t="s">
        <v>352</v>
      </c>
      <c r="I90" s="31" t="s">
        <v>1764</v>
      </c>
      <c r="J90" s="31">
        <v>1</v>
      </c>
      <c r="K90" s="33" t="s">
        <v>694</v>
      </c>
      <c r="L90" s="33">
        <v>60</v>
      </c>
      <c r="M90" s="34" t="s">
        <v>1765</v>
      </c>
      <c r="N90" s="34" t="s">
        <v>1800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2011</v>
      </c>
      <c r="E91" s="36" t="s">
        <v>175</v>
      </c>
      <c r="F91" s="36" t="s">
        <v>2009</v>
      </c>
      <c r="G91" s="36" t="s">
        <v>219</v>
      </c>
      <c r="H91" s="36" t="s">
        <v>352</v>
      </c>
      <c r="I91" s="37" t="s">
        <v>2010</v>
      </c>
      <c r="J91" s="31">
        <v>8</v>
      </c>
      <c r="K91" s="33" t="s">
        <v>694</v>
      </c>
      <c r="L91" s="33"/>
      <c r="M91" s="34"/>
      <c r="N91" s="34" t="s">
        <v>1693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1559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1707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1830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933</v>
      </c>
      <c r="L93" s="33" t="s">
        <v>680</v>
      </c>
      <c r="M93" s="34" t="s">
        <v>682</v>
      </c>
      <c r="N93" s="34" t="s">
        <v>1800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771</v>
      </c>
      <c r="E94" s="16" t="s">
        <v>602</v>
      </c>
      <c r="F94" s="16" t="s">
        <v>773</v>
      </c>
      <c r="G94" s="16" t="s">
        <v>213</v>
      </c>
      <c r="H94" s="16" t="s">
        <v>352</v>
      </c>
      <c r="I94" s="15" t="s">
        <v>772</v>
      </c>
      <c r="J94" s="15">
        <v>99</v>
      </c>
      <c r="K94" s="10" t="s">
        <v>713</v>
      </c>
      <c r="L94" s="10" t="s">
        <v>1659</v>
      </c>
      <c r="M94" s="19" t="s">
        <v>1355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933</v>
      </c>
      <c r="L95" s="33" t="s">
        <v>1659</v>
      </c>
      <c r="M95" s="34" t="s">
        <v>947</v>
      </c>
      <c r="N95" s="34" t="s">
        <v>1696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1900</v>
      </c>
      <c r="E96" s="20" t="s">
        <v>1928</v>
      </c>
      <c r="F96" s="20" t="s">
        <v>1929</v>
      </c>
      <c r="G96" s="20"/>
      <c r="H96" s="20" t="s">
        <v>1927</v>
      </c>
      <c r="I96" s="21" t="s">
        <v>1930</v>
      </c>
      <c r="J96" s="15">
        <v>18</v>
      </c>
      <c r="K96" s="10" t="s">
        <v>694</v>
      </c>
      <c r="L96" s="10" t="s">
        <v>1695</v>
      </c>
      <c r="M96" s="19" t="s">
        <v>948</v>
      </c>
      <c r="N96" s="17"/>
      <c r="Q96" s="20" t="s">
        <v>1931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1486</v>
      </c>
      <c r="E97" s="32" t="s">
        <v>175</v>
      </c>
      <c r="F97" s="36" t="s">
        <v>1487</v>
      </c>
      <c r="G97" s="36" t="s">
        <v>39</v>
      </c>
      <c r="H97" s="36" t="s">
        <v>885</v>
      </c>
      <c r="I97" s="37" t="s">
        <v>1488</v>
      </c>
      <c r="J97" s="31">
        <v>11</v>
      </c>
      <c r="K97" s="33" t="s">
        <v>941</v>
      </c>
      <c r="L97" s="33" t="s">
        <v>39</v>
      </c>
      <c r="M97" s="34" t="s">
        <v>39</v>
      </c>
      <c r="N97" s="34" t="s">
        <v>1693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1805</v>
      </c>
      <c r="E98" s="36" t="s">
        <v>171</v>
      </c>
      <c r="F98" s="36" t="s">
        <v>1806</v>
      </c>
      <c r="G98" s="36"/>
      <c r="H98" s="36" t="s">
        <v>1807</v>
      </c>
      <c r="I98" s="37" t="s">
        <v>1808</v>
      </c>
      <c r="J98" s="31">
        <v>15</v>
      </c>
      <c r="K98" s="33" t="s">
        <v>694</v>
      </c>
      <c r="L98" s="33"/>
      <c r="M98" s="34"/>
      <c r="N98" s="34" t="s">
        <v>1693</v>
      </c>
      <c r="O98" s="35">
        <v>1</v>
      </c>
      <c r="P98" s="35">
        <v>1</v>
      </c>
      <c r="Q98" s="36" t="s">
        <v>1842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1299</v>
      </c>
      <c r="F99" s="32" t="s">
        <v>1619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947</v>
      </c>
      <c r="N99" s="34" t="s">
        <v>1800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1507</v>
      </c>
      <c r="E100" s="32" t="s">
        <v>171</v>
      </c>
      <c r="F100" s="32" t="s">
        <v>1508</v>
      </c>
      <c r="G100" s="32" t="s">
        <v>39</v>
      </c>
      <c r="H100" s="32" t="s">
        <v>362</v>
      </c>
      <c r="I100" s="31" t="s">
        <v>1509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1687</v>
      </c>
      <c r="O100" s="35">
        <v>1</v>
      </c>
      <c r="P100" s="35">
        <v>1</v>
      </c>
      <c r="Q100" s="36" t="s">
        <v>1866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933</v>
      </c>
      <c r="L101" s="33" t="s">
        <v>685</v>
      </c>
      <c r="M101" s="34" t="s">
        <v>682</v>
      </c>
      <c r="N101" s="34" t="s">
        <v>1700</v>
      </c>
      <c r="O101" s="35">
        <v>1</v>
      </c>
      <c r="P101" s="35"/>
      <c r="Q101" s="36" t="s">
        <v>1839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1693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1882</v>
      </c>
      <c r="E103" s="32" t="s">
        <v>1883</v>
      </c>
      <c r="F103" s="36" t="s">
        <v>1884</v>
      </c>
      <c r="G103" s="36"/>
      <c r="H103" s="36" t="s">
        <v>364</v>
      </c>
      <c r="I103" s="37" t="s">
        <v>1886</v>
      </c>
      <c r="J103" s="31">
        <v>18</v>
      </c>
      <c r="K103" s="33" t="s">
        <v>694</v>
      </c>
      <c r="L103" s="33"/>
      <c r="M103" s="34"/>
      <c r="N103" s="34" t="s">
        <v>1693</v>
      </c>
      <c r="O103" s="35">
        <v>1</v>
      </c>
      <c r="P103" s="35">
        <v>1</v>
      </c>
      <c r="Q103" s="36" t="s">
        <v>1885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1176</v>
      </c>
      <c r="E104" s="32" t="s">
        <v>174</v>
      </c>
      <c r="F104" s="36" t="s">
        <v>1307</v>
      </c>
      <c r="G104" s="36" t="s">
        <v>39</v>
      </c>
      <c r="H104" s="36" t="s">
        <v>603</v>
      </c>
      <c r="I104" s="37" t="s">
        <v>1177</v>
      </c>
      <c r="J104" s="31">
        <v>14</v>
      </c>
      <c r="K104" s="33" t="s">
        <v>933</v>
      </c>
      <c r="L104" s="33" t="s">
        <v>1659</v>
      </c>
      <c r="M104" s="34" t="s">
        <v>1356</v>
      </c>
      <c r="N104" s="34" t="s">
        <v>1776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802</v>
      </c>
      <c r="E105" s="32" t="s">
        <v>175</v>
      </c>
      <c r="F105" s="36" t="s">
        <v>906</v>
      </c>
      <c r="G105" s="36" t="s">
        <v>39</v>
      </c>
      <c r="H105" s="36" t="s">
        <v>370</v>
      </c>
      <c r="I105" s="37" t="s">
        <v>803</v>
      </c>
      <c r="J105" s="31">
        <v>16</v>
      </c>
      <c r="K105" s="33" t="s">
        <v>934</v>
      </c>
      <c r="L105" s="33" t="s">
        <v>679</v>
      </c>
      <c r="M105" s="34" t="s">
        <v>947</v>
      </c>
      <c r="N105" s="34" t="s">
        <v>1687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1696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933</v>
      </c>
      <c r="L107" s="33" t="s">
        <v>685</v>
      </c>
      <c r="M107" s="34" t="s">
        <v>682</v>
      </c>
      <c r="N107" s="34" t="s">
        <v>1700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2117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1800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2102</v>
      </c>
      <c r="E109" s="32" t="s">
        <v>169</v>
      </c>
      <c r="F109" s="32" t="s">
        <v>2101</v>
      </c>
      <c r="G109" s="32"/>
      <c r="H109" s="32" t="s">
        <v>352</v>
      </c>
      <c r="I109" s="31" t="s">
        <v>2103</v>
      </c>
      <c r="J109" s="31">
        <v>99</v>
      </c>
      <c r="K109" s="33" t="s">
        <v>694</v>
      </c>
      <c r="L109" s="33"/>
      <c r="M109" s="34"/>
      <c r="N109" s="34" t="s">
        <v>1776</v>
      </c>
      <c r="O109" s="35">
        <v>1</v>
      </c>
      <c r="P109" s="35"/>
      <c r="Q109" s="32" t="s">
        <v>2104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1606</v>
      </c>
      <c r="E110" s="16" t="s">
        <v>1064</v>
      </c>
      <c r="F110" s="16" t="s">
        <v>1188</v>
      </c>
      <c r="G110" s="16" t="s">
        <v>39</v>
      </c>
      <c r="H110" s="16" t="s">
        <v>1189</v>
      </c>
      <c r="I110" s="15" t="s">
        <v>1190</v>
      </c>
      <c r="J110" s="15">
        <v>18</v>
      </c>
      <c r="K110" s="10" t="s">
        <v>935</v>
      </c>
      <c r="L110" s="10" t="s">
        <v>679</v>
      </c>
      <c r="M110" s="19" t="s">
        <v>947</v>
      </c>
      <c r="N110" s="17"/>
      <c r="Q110" s="16" t="s">
        <v>1834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1519</v>
      </c>
      <c r="E111" s="32" t="s">
        <v>169</v>
      </c>
      <c r="F111" s="32" t="s">
        <v>1637</v>
      </c>
      <c r="G111" s="32" t="s">
        <v>39</v>
      </c>
      <c r="H111" s="32" t="s">
        <v>355</v>
      </c>
      <c r="I111" s="31" t="s">
        <v>1520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1696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1287</v>
      </c>
      <c r="E112" s="32" t="s">
        <v>174</v>
      </c>
      <c r="F112" s="32" t="s">
        <v>1308</v>
      </c>
      <c r="G112" s="32" t="s">
        <v>39</v>
      </c>
      <c r="H112" s="32" t="s">
        <v>352</v>
      </c>
      <c r="I112" s="31" t="s">
        <v>1108</v>
      </c>
      <c r="J112" s="31">
        <v>99</v>
      </c>
      <c r="K112" s="33" t="s">
        <v>693</v>
      </c>
      <c r="L112" s="33" t="s">
        <v>1659</v>
      </c>
      <c r="M112" s="34" t="s">
        <v>1357</v>
      </c>
      <c r="N112" s="34" t="s">
        <v>1701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1231</v>
      </c>
      <c r="E113" s="32" t="s">
        <v>169</v>
      </c>
      <c r="F113" s="32" t="s">
        <v>1309</v>
      </c>
      <c r="G113" s="32" t="s">
        <v>1163</v>
      </c>
      <c r="H113" s="32" t="s">
        <v>352</v>
      </c>
      <c r="I113" s="31" t="s">
        <v>1164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1752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996</v>
      </c>
      <c r="E114" s="32" t="s">
        <v>602</v>
      </c>
      <c r="F114" s="32" t="s">
        <v>997</v>
      </c>
      <c r="G114" s="32" t="s">
        <v>998</v>
      </c>
      <c r="H114" s="32" t="s">
        <v>352</v>
      </c>
      <c r="I114" s="31" t="s">
        <v>999</v>
      </c>
      <c r="J114" s="31">
        <v>99</v>
      </c>
      <c r="K114" s="33" t="s">
        <v>933</v>
      </c>
      <c r="L114" s="33" t="s">
        <v>39</v>
      </c>
      <c r="M114" s="34" t="s">
        <v>39</v>
      </c>
      <c r="N114" s="34" t="s">
        <v>1693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2065</v>
      </c>
      <c r="E115" s="32" t="s">
        <v>171</v>
      </c>
      <c r="F115" s="32" t="s">
        <v>2066</v>
      </c>
      <c r="G115" s="32"/>
      <c r="H115" s="32" t="s">
        <v>2067</v>
      </c>
      <c r="I115" s="31" t="s">
        <v>2068</v>
      </c>
      <c r="J115" s="31">
        <v>12</v>
      </c>
      <c r="K115" s="33" t="s">
        <v>694</v>
      </c>
      <c r="L115" s="33">
        <v>45</v>
      </c>
      <c r="M115" s="34" t="s">
        <v>1358</v>
      </c>
      <c r="N115" s="34" t="s">
        <v>1800</v>
      </c>
      <c r="O115" s="35">
        <v>1</v>
      </c>
      <c r="P115" s="35"/>
      <c r="Q115" s="32" t="s">
        <v>2069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1358</v>
      </c>
      <c r="N116" s="34" t="s">
        <v>1700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798</v>
      </c>
      <c r="E117" s="32" t="s">
        <v>171</v>
      </c>
      <c r="F117" s="32" t="s">
        <v>799</v>
      </c>
      <c r="G117" s="32" t="s">
        <v>39</v>
      </c>
      <c r="H117" s="32" t="s">
        <v>800</v>
      </c>
      <c r="I117" s="31" t="s">
        <v>801</v>
      </c>
      <c r="J117" s="31">
        <v>16</v>
      </c>
      <c r="K117" s="33" t="s">
        <v>693</v>
      </c>
      <c r="L117" s="33" t="s">
        <v>679</v>
      </c>
      <c r="M117" s="34" t="s">
        <v>1358</v>
      </c>
      <c r="N117" s="34" t="s">
        <v>1687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1833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1468</v>
      </c>
      <c r="E119" s="32" t="s">
        <v>169</v>
      </c>
      <c r="F119" s="32" t="s">
        <v>1469</v>
      </c>
      <c r="G119" s="32" t="s">
        <v>39</v>
      </c>
      <c r="H119" s="32" t="s">
        <v>372</v>
      </c>
      <c r="I119" s="31" t="s">
        <v>1470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1701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1701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1701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971</v>
      </c>
      <c r="E122" s="16" t="s">
        <v>169</v>
      </c>
      <c r="F122" s="16" t="s">
        <v>1070</v>
      </c>
      <c r="G122" s="16" t="s">
        <v>231</v>
      </c>
      <c r="H122" s="16" t="s">
        <v>352</v>
      </c>
      <c r="I122" s="15" t="s">
        <v>972</v>
      </c>
      <c r="J122" s="15">
        <v>99</v>
      </c>
      <c r="K122" s="10" t="s">
        <v>933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1687</v>
      </c>
      <c r="O123" s="35">
        <v>1</v>
      </c>
      <c r="P123" s="35">
        <v>1</v>
      </c>
      <c r="Q123" s="32" t="s">
        <v>1984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1288</v>
      </c>
      <c r="E124" s="32" t="s">
        <v>171</v>
      </c>
      <c r="F124" s="32" t="s">
        <v>1311</v>
      </c>
      <c r="G124" s="32" t="s">
        <v>39</v>
      </c>
      <c r="H124" s="32" t="s">
        <v>965</v>
      </c>
      <c r="I124" s="31" t="s">
        <v>966</v>
      </c>
      <c r="J124" s="31">
        <v>14</v>
      </c>
      <c r="K124" s="33" t="s">
        <v>694</v>
      </c>
      <c r="L124" s="33">
        <v>30</v>
      </c>
      <c r="M124" s="34" t="s">
        <v>948</v>
      </c>
      <c r="N124" s="34" t="s">
        <v>1696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2087</v>
      </c>
      <c r="E125" s="16" t="s">
        <v>169</v>
      </c>
      <c r="F125" s="16" t="s">
        <v>2089</v>
      </c>
      <c r="G125" s="16"/>
      <c r="H125" s="16" t="s">
        <v>372</v>
      </c>
      <c r="I125" s="15" t="s">
        <v>2090</v>
      </c>
      <c r="J125" s="15">
        <v>11</v>
      </c>
      <c r="K125" s="10" t="s">
        <v>694</v>
      </c>
      <c r="L125" s="10">
        <v>50</v>
      </c>
      <c r="M125" s="19" t="s">
        <v>2088</v>
      </c>
      <c r="N125" s="17"/>
      <c r="Q125" s="16" t="s">
        <v>2091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1092</v>
      </c>
      <c r="J126" s="31">
        <v>13</v>
      </c>
      <c r="K126" s="33" t="s">
        <v>693</v>
      </c>
      <c r="L126" s="33" t="s">
        <v>1659</v>
      </c>
      <c r="M126" s="34" t="s">
        <v>947</v>
      </c>
      <c r="N126" s="34" t="s">
        <v>1776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1482</v>
      </c>
      <c r="E127" s="32" t="s">
        <v>169</v>
      </c>
      <c r="F127" s="32" t="s">
        <v>1628</v>
      </c>
      <c r="G127" s="32" t="s">
        <v>39</v>
      </c>
      <c r="H127" s="32" t="s">
        <v>1483</v>
      </c>
      <c r="I127" s="31" t="s">
        <v>1484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1687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933</v>
      </c>
      <c r="L128" s="10" t="s">
        <v>688</v>
      </c>
      <c r="M128" s="19" t="s">
        <v>947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1926</v>
      </c>
      <c r="E129" s="20" t="s">
        <v>171</v>
      </c>
      <c r="F129" s="20" t="s">
        <v>1923</v>
      </c>
      <c r="G129" s="20"/>
      <c r="H129" s="20" t="s">
        <v>1924</v>
      </c>
      <c r="I129" s="21" t="s">
        <v>1922</v>
      </c>
      <c r="J129" s="15">
        <v>17</v>
      </c>
      <c r="K129" s="10" t="s">
        <v>694</v>
      </c>
      <c r="L129" s="10" t="s">
        <v>1695</v>
      </c>
      <c r="M129" s="19" t="s">
        <v>948</v>
      </c>
      <c r="N129" s="17"/>
      <c r="Q129" s="20" t="s">
        <v>1925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s="1" customFormat="1" ht="14.25" customHeight="1" x14ac:dyDescent="0.25">
      <c r="A130" s="31">
        <v>0</v>
      </c>
      <c r="B130" s="31">
        <v>1</v>
      </c>
      <c r="C130" s="31">
        <v>3</v>
      </c>
      <c r="D130" s="32" t="s">
        <v>977</v>
      </c>
      <c r="E130" s="32" t="s">
        <v>171</v>
      </c>
      <c r="F130" s="32" t="s">
        <v>1818</v>
      </c>
      <c r="G130" s="32" t="s">
        <v>39</v>
      </c>
      <c r="H130" s="32" t="s">
        <v>978</v>
      </c>
      <c r="I130" s="31" t="s">
        <v>1093</v>
      </c>
      <c r="J130" s="31">
        <v>16</v>
      </c>
      <c r="K130" s="33" t="s">
        <v>713</v>
      </c>
      <c r="L130" s="33" t="s">
        <v>1695</v>
      </c>
      <c r="M130" s="34" t="s">
        <v>1359</v>
      </c>
      <c r="N130" s="34" t="s">
        <v>1776</v>
      </c>
      <c r="O130" s="35">
        <v>1</v>
      </c>
      <c r="P130" s="35"/>
      <c r="Q130" s="32" t="s">
        <v>1840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1</v>
      </c>
      <c r="AF130" s="1">
        <f t="shared" si="51"/>
        <v>0</v>
      </c>
      <c r="AG130" s="1">
        <f t="shared" si="52"/>
        <v>1</v>
      </c>
      <c r="AH130" s="1">
        <f t="shared" si="53"/>
        <v>0</v>
      </c>
      <c r="AI130" s="1">
        <f t="shared" si="54"/>
        <v>1</v>
      </c>
    </row>
    <row r="131" spans="1:35" s="1" customFormat="1" ht="14.25" customHeight="1" x14ac:dyDescent="0.25">
      <c r="A131" s="31">
        <v>0</v>
      </c>
      <c r="B131" s="31">
        <v>1</v>
      </c>
      <c r="C131" s="31">
        <v>3</v>
      </c>
      <c r="D131" s="32" t="s">
        <v>1103</v>
      </c>
      <c r="E131" s="32" t="s">
        <v>171</v>
      </c>
      <c r="F131" s="32" t="s">
        <v>1312</v>
      </c>
      <c r="G131" s="32" t="s">
        <v>39</v>
      </c>
      <c r="H131" s="32" t="s">
        <v>1105</v>
      </c>
      <c r="I131" s="31" t="s">
        <v>1104</v>
      </c>
      <c r="J131" s="31">
        <v>14</v>
      </c>
      <c r="K131" s="33" t="s">
        <v>935</v>
      </c>
      <c r="L131" s="33" t="s">
        <v>1659</v>
      </c>
      <c r="M131" s="34" t="s">
        <v>1360</v>
      </c>
      <c r="N131" s="34" t="s">
        <v>1687</v>
      </c>
      <c r="O131" s="35">
        <v>1</v>
      </c>
      <c r="P131" s="35">
        <v>1</v>
      </c>
      <c r="Q131" s="32" t="s">
        <v>2070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1055</v>
      </c>
      <c r="E132" s="32" t="s">
        <v>171</v>
      </c>
      <c r="F132" s="32" t="s">
        <v>1017</v>
      </c>
      <c r="G132" s="32" t="s">
        <v>1081</v>
      </c>
      <c r="H132" s="32" t="s">
        <v>352</v>
      </c>
      <c r="I132" s="31" t="s">
        <v>1018</v>
      </c>
      <c r="J132" s="31">
        <v>1</v>
      </c>
      <c r="K132" s="33" t="s">
        <v>935</v>
      </c>
      <c r="L132" s="33" t="s">
        <v>678</v>
      </c>
      <c r="M132" s="34" t="s">
        <v>948</v>
      </c>
      <c r="N132" s="34" t="s">
        <v>1707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2040</v>
      </c>
      <c r="E133" s="36" t="s">
        <v>171</v>
      </c>
      <c r="F133" s="36" t="s">
        <v>2041</v>
      </c>
      <c r="G133" s="32"/>
      <c r="H133" s="36" t="s">
        <v>2042</v>
      </c>
      <c r="I133" s="37" t="s">
        <v>2043</v>
      </c>
      <c r="J133" s="31">
        <v>14</v>
      </c>
      <c r="K133" s="33" t="s">
        <v>694</v>
      </c>
      <c r="L133" s="33"/>
      <c r="M133" s="34"/>
      <c r="N133" s="34" t="s">
        <v>1693</v>
      </c>
      <c r="O133" s="35">
        <v>1</v>
      </c>
      <c r="P133" s="35">
        <v>1</v>
      </c>
      <c r="Q133" s="36" t="s">
        <v>2044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1590</v>
      </c>
      <c r="E134" s="32" t="s">
        <v>1064</v>
      </c>
      <c r="F134" s="32" t="s">
        <v>1591</v>
      </c>
      <c r="G134" s="32" t="s">
        <v>39</v>
      </c>
      <c r="H134" s="32" t="s">
        <v>1592</v>
      </c>
      <c r="I134" s="31" t="s">
        <v>1593</v>
      </c>
      <c r="J134" s="31">
        <v>15</v>
      </c>
      <c r="K134" s="33" t="s">
        <v>935</v>
      </c>
      <c r="L134" s="33" t="s">
        <v>39</v>
      </c>
      <c r="M134" s="34" t="s">
        <v>39</v>
      </c>
      <c r="N134" s="34" t="s">
        <v>1700</v>
      </c>
      <c r="O134" s="35">
        <v>1</v>
      </c>
      <c r="P134" s="35"/>
      <c r="Q134" s="36" t="s">
        <v>1845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1695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2096</v>
      </c>
      <c r="E136" s="36" t="s">
        <v>171</v>
      </c>
      <c r="F136" s="36" t="s">
        <v>2097</v>
      </c>
      <c r="G136" s="32"/>
      <c r="H136" s="36" t="s">
        <v>360</v>
      </c>
      <c r="I136" s="37" t="s">
        <v>2098</v>
      </c>
      <c r="J136" s="31">
        <v>12</v>
      </c>
      <c r="K136" s="33" t="s">
        <v>694</v>
      </c>
      <c r="L136" s="33">
        <v>40</v>
      </c>
      <c r="M136" s="34" t="s">
        <v>948</v>
      </c>
      <c r="N136" s="34" t="s">
        <v>1696</v>
      </c>
      <c r="O136" s="35">
        <v>1</v>
      </c>
      <c r="P136" s="35"/>
      <c r="Q136" s="32" t="s">
        <v>2099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2047</v>
      </c>
      <c r="E137" s="20" t="s">
        <v>855</v>
      </c>
      <c r="F137" s="20" t="s">
        <v>2048</v>
      </c>
      <c r="G137" s="16"/>
      <c r="H137" s="20" t="s">
        <v>2049</v>
      </c>
      <c r="I137" s="21" t="s">
        <v>2050</v>
      </c>
      <c r="J137" s="15">
        <v>16</v>
      </c>
      <c r="K137" s="10" t="s">
        <v>694</v>
      </c>
      <c r="L137" s="10" t="s">
        <v>679</v>
      </c>
      <c r="M137" s="19" t="s">
        <v>948</v>
      </c>
      <c r="N137" s="17"/>
      <c r="Q137" s="16" t="s">
        <v>2051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1899</v>
      </c>
      <c r="E138" s="20" t="s">
        <v>171</v>
      </c>
      <c r="F138" s="20" t="s">
        <v>1919</v>
      </c>
      <c r="G138" s="20"/>
      <c r="H138" s="20" t="s">
        <v>1918</v>
      </c>
      <c r="I138" s="21" t="s">
        <v>1920</v>
      </c>
      <c r="J138" s="15">
        <v>15</v>
      </c>
      <c r="K138" s="10" t="s">
        <v>694</v>
      </c>
      <c r="L138" s="10" t="s">
        <v>1695</v>
      </c>
      <c r="M138" s="19" t="s">
        <v>948</v>
      </c>
      <c r="N138" s="17"/>
      <c r="Q138" s="20" t="s">
        <v>1921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899</v>
      </c>
      <c r="E139" s="32" t="s">
        <v>171</v>
      </c>
      <c r="F139" s="32" t="s">
        <v>1129</v>
      </c>
      <c r="G139" s="32" t="s">
        <v>39</v>
      </c>
      <c r="H139" s="32" t="s">
        <v>361</v>
      </c>
      <c r="I139" s="31" t="s">
        <v>870</v>
      </c>
      <c r="J139" s="31">
        <v>14</v>
      </c>
      <c r="K139" s="33" t="s">
        <v>934</v>
      </c>
      <c r="L139" s="33" t="s">
        <v>39</v>
      </c>
      <c r="M139" s="34" t="s">
        <v>39</v>
      </c>
      <c r="N139" s="34" t="s">
        <v>1693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910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933</v>
      </c>
      <c r="L140" s="33" t="s">
        <v>688</v>
      </c>
      <c r="M140" s="34" t="s">
        <v>682</v>
      </c>
      <c r="N140" s="34" t="s">
        <v>1696</v>
      </c>
      <c r="O140" s="35">
        <v>1</v>
      </c>
      <c r="P140" s="35"/>
      <c r="Q140" s="36" t="s">
        <v>1838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1471</v>
      </c>
      <c r="E141" s="32" t="s">
        <v>1613</v>
      </c>
      <c r="F141" s="36" t="s">
        <v>2118</v>
      </c>
      <c r="G141" s="32" t="s">
        <v>39</v>
      </c>
      <c r="H141" s="32" t="s">
        <v>1473</v>
      </c>
      <c r="I141" s="31" t="s">
        <v>1472</v>
      </c>
      <c r="J141" s="31">
        <v>14</v>
      </c>
      <c r="K141" s="33" t="s">
        <v>939</v>
      </c>
      <c r="L141" s="33" t="s">
        <v>678</v>
      </c>
      <c r="M141" s="34" t="s">
        <v>1361</v>
      </c>
      <c r="N141" s="34" t="s">
        <v>1687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1225</v>
      </c>
      <c r="E142" s="32" t="s">
        <v>171</v>
      </c>
      <c r="F142" s="32" t="s">
        <v>1226</v>
      </c>
      <c r="G142" s="32" t="s">
        <v>1228</v>
      </c>
      <c r="H142" s="32" t="s">
        <v>352</v>
      </c>
      <c r="I142" s="31" t="s">
        <v>1227</v>
      </c>
      <c r="J142" s="31">
        <v>99</v>
      </c>
      <c r="K142" s="33" t="s">
        <v>935</v>
      </c>
      <c r="L142" s="33" t="s">
        <v>684</v>
      </c>
      <c r="M142" s="34" t="s">
        <v>948</v>
      </c>
      <c r="N142" s="34" t="s">
        <v>1776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1465</v>
      </c>
      <c r="E143" s="32" t="s">
        <v>171</v>
      </c>
      <c r="F143" s="32" t="s">
        <v>1466</v>
      </c>
      <c r="G143" s="32" t="s">
        <v>39</v>
      </c>
      <c r="H143" s="32" t="s">
        <v>363</v>
      </c>
      <c r="I143" s="31" t="s">
        <v>1467</v>
      </c>
      <c r="J143" s="31">
        <v>18</v>
      </c>
      <c r="K143" s="33" t="s">
        <v>933</v>
      </c>
      <c r="L143" s="33" t="s">
        <v>1695</v>
      </c>
      <c r="M143" s="34" t="s">
        <v>39</v>
      </c>
      <c r="N143" s="34" t="s">
        <v>1700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1584</v>
      </c>
      <c r="E144" s="16" t="s">
        <v>171</v>
      </c>
      <c r="F144" s="16" t="s">
        <v>1587</v>
      </c>
      <c r="G144" s="16" t="s">
        <v>39</v>
      </c>
      <c r="H144" s="16" t="s">
        <v>1585</v>
      </c>
      <c r="I144" s="15" t="s">
        <v>1586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1213</v>
      </c>
      <c r="E145" s="32" t="s">
        <v>1215</v>
      </c>
      <c r="F145" s="32" t="s">
        <v>1216</v>
      </c>
      <c r="G145" s="32" t="s">
        <v>39</v>
      </c>
      <c r="H145" s="32" t="s">
        <v>367</v>
      </c>
      <c r="I145" s="31" t="s">
        <v>1214</v>
      </c>
      <c r="J145" s="31">
        <v>14</v>
      </c>
      <c r="K145" s="33" t="s">
        <v>935</v>
      </c>
      <c r="L145" s="33" t="s">
        <v>678</v>
      </c>
      <c r="M145" s="34" t="s">
        <v>1361</v>
      </c>
      <c r="N145" s="34" t="s">
        <v>1693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934</v>
      </c>
      <c r="L146" s="33" t="s">
        <v>39</v>
      </c>
      <c r="M146" s="34" t="s">
        <v>39</v>
      </c>
      <c r="N146" s="34" t="s">
        <v>1693</v>
      </c>
      <c r="O146" s="35">
        <v>1</v>
      </c>
      <c r="P146" s="35">
        <v>1</v>
      </c>
      <c r="Q146" s="32"/>
      <c r="S146" s="1">
        <f t="shared" ref="S146:S212" si="55">IF(J146=$S$7,1,0)</f>
        <v>0</v>
      </c>
      <c r="T146" s="1">
        <f t="shared" ref="T146:T212" si="56">IF(J146=$T$7,1,0)</f>
        <v>0</v>
      </c>
      <c r="U146" s="1">
        <f t="shared" ref="U146:U212" si="57">IF(J146=$U$7,1,0)</f>
        <v>0</v>
      </c>
      <c r="V146" s="1">
        <f t="shared" ref="V146:V212" si="58">IF(J146=$V$7,1,0)</f>
        <v>0</v>
      </c>
      <c r="W146" s="1">
        <f t="shared" ref="W146:W212" si="59">IF(J146=$W$7,1,0)</f>
        <v>0</v>
      </c>
      <c r="X146" s="1">
        <f t="shared" ref="X146:X212" si="60">IF(J146=$X$7,1,0)</f>
        <v>0</v>
      </c>
      <c r="Y146" s="1">
        <f t="shared" ref="Y146:Y212" si="61">IF(J146=$Y$7,1,0)</f>
        <v>0</v>
      </c>
      <c r="Z146" s="1">
        <f t="shared" ref="Z146:Z212" si="62">IF(J146=$Z$7,1,0)</f>
        <v>0</v>
      </c>
      <c r="AA146" s="1">
        <f t="shared" ref="AA146:AA212" si="63">IF(J146=$AA$7,1,0)</f>
        <v>0</v>
      </c>
      <c r="AB146" s="1">
        <f t="shared" ref="AB146:AB212" si="64">IF(J146=$AB$7,1,0)</f>
        <v>0</v>
      </c>
      <c r="AD146" s="1">
        <f t="shared" ref="AD146:AD212" si="65">+O146*P146</f>
        <v>1</v>
      </c>
      <c r="AE146" s="1">
        <f t="shared" ref="AE146:AE212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900</v>
      </c>
      <c r="E147" s="32" t="s">
        <v>171</v>
      </c>
      <c r="F147" s="32" t="s">
        <v>912</v>
      </c>
      <c r="G147" s="32" t="s">
        <v>234</v>
      </c>
      <c r="H147" s="32" t="s">
        <v>352</v>
      </c>
      <c r="I147" s="31" t="s">
        <v>925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1752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3" si="67">+O147*P147*(1-A147)</f>
        <v>0</v>
      </c>
      <c r="AG147" s="1">
        <f t="shared" ref="AG147:AG213" si="68">O147*(1-P147)*(1-A147)</f>
        <v>1</v>
      </c>
      <c r="AH147" s="1">
        <f t="shared" ref="AH147:AH213" si="69">+P147*(1-A147)</f>
        <v>0</v>
      </c>
      <c r="AI147" s="1">
        <f t="shared" ref="AI147:AI213" si="70">+(1-A147)*(1-P147)</f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78</v>
      </c>
      <c r="E148" s="32" t="s">
        <v>602</v>
      </c>
      <c r="F148" s="32" t="s">
        <v>306</v>
      </c>
      <c r="G148" s="32" t="s">
        <v>39</v>
      </c>
      <c r="H148" s="32" t="s">
        <v>360</v>
      </c>
      <c r="I148" s="31" t="s">
        <v>454</v>
      </c>
      <c r="J148" s="31">
        <v>12</v>
      </c>
      <c r="K148" s="33" t="s">
        <v>694</v>
      </c>
      <c r="L148" s="33">
        <v>40</v>
      </c>
      <c r="M148" s="34" t="s">
        <v>948</v>
      </c>
      <c r="N148" s="34" t="s">
        <v>1776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si="67"/>
        <v>0</v>
      </c>
      <c r="AG148" s="1">
        <f t="shared" si="68"/>
        <v>1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1543</v>
      </c>
      <c r="E149" s="16" t="s">
        <v>169</v>
      </c>
      <c r="F149" s="16" t="s">
        <v>1545</v>
      </c>
      <c r="G149" s="16"/>
      <c r="H149" s="16" t="s">
        <v>363</v>
      </c>
      <c r="I149" s="15" t="s">
        <v>1544</v>
      </c>
      <c r="J149" s="15">
        <v>18</v>
      </c>
      <c r="K149" s="10" t="s">
        <v>694</v>
      </c>
      <c r="L149" s="10" t="s">
        <v>679</v>
      </c>
      <c r="M149" s="19" t="s">
        <v>948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1255</v>
      </c>
      <c r="E150" s="32" t="s">
        <v>171</v>
      </c>
      <c r="F150" s="32" t="s">
        <v>1256</v>
      </c>
      <c r="G150" s="32" t="s">
        <v>237</v>
      </c>
      <c r="H150" s="32" t="s">
        <v>352</v>
      </c>
      <c r="I150" s="31" t="s">
        <v>1257</v>
      </c>
      <c r="J150" s="31">
        <v>4</v>
      </c>
      <c r="K150" s="33" t="s">
        <v>934</v>
      </c>
      <c r="L150" s="33" t="s">
        <v>39</v>
      </c>
      <c r="M150" s="34" t="s">
        <v>39</v>
      </c>
      <c r="N150" s="34" t="s">
        <v>1687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1693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2153</v>
      </c>
      <c r="E152" s="36" t="s">
        <v>2154</v>
      </c>
      <c r="F152" s="36" t="s">
        <v>2155</v>
      </c>
      <c r="G152" s="32"/>
      <c r="H152" s="36" t="s">
        <v>352</v>
      </c>
      <c r="I152" s="37" t="s">
        <v>2156</v>
      </c>
      <c r="J152" s="31">
        <v>99</v>
      </c>
      <c r="K152" s="33" t="s">
        <v>694</v>
      </c>
      <c r="L152" s="33"/>
      <c r="M152" s="34"/>
      <c r="N152" s="34" t="s">
        <v>1693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ref="AD152:AD154" si="71">+O152*P152</f>
        <v>1</v>
      </c>
      <c r="AE152" s="1">
        <f t="shared" ref="AE152:AE154" si="72">O152*(1-P152)</f>
        <v>0</v>
      </c>
      <c r="AF152" s="1">
        <f t="shared" ref="AF152:AF154" si="73">+O152*P152*(1-A152)</f>
        <v>1</v>
      </c>
      <c r="AG152" s="1">
        <f t="shared" ref="AG152:AG154" si="74">O152*(1-P152)*(1-A152)</f>
        <v>0</v>
      </c>
      <c r="AH152" s="1">
        <f t="shared" ref="AH152:AH154" si="75">+P152*(1-A152)</f>
        <v>1</v>
      </c>
      <c r="AI152" s="1">
        <f t="shared" ref="AI152:AI154" si="76">+(1-A152)*(1-P152)</f>
        <v>0</v>
      </c>
    </row>
    <row r="153" spans="1:35" ht="14.25" customHeight="1" x14ac:dyDescent="0.25">
      <c r="A153" s="38">
        <v>0</v>
      </c>
      <c r="B153" s="38">
        <v>1</v>
      </c>
      <c r="C153" s="38">
        <v>3</v>
      </c>
      <c r="D153" s="39" t="s">
        <v>854</v>
      </c>
      <c r="E153" s="39" t="s">
        <v>855</v>
      </c>
      <c r="F153" s="39" t="s">
        <v>856</v>
      </c>
      <c r="G153" s="39" t="s">
        <v>39</v>
      </c>
      <c r="H153" s="39" t="s">
        <v>364</v>
      </c>
      <c r="I153" s="38" t="s">
        <v>857</v>
      </c>
      <c r="J153" s="38">
        <v>18</v>
      </c>
      <c r="K153" s="40" t="s">
        <v>933</v>
      </c>
      <c r="L153" s="40" t="s">
        <v>39</v>
      </c>
      <c r="M153" s="41" t="s">
        <v>39</v>
      </c>
      <c r="N153" s="42"/>
      <c r="O153" s="43"/>
      <c r="P153" s="43">
        <v>1</v>
      </c>
      <c r="Q153" s="39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71"/>
        <v>0</v>
      </c>
      <c r="AE153" s="1">
        <f t="shared" si="72"/>
        <v>0</v>
      </c>
      <c r="AF153" s="1">
        <f t="shared" si="73"/>
        <v>0</v>
      </c>
      <c r="AG153" s="1">
        <f t="shared" si="74"/>
        <v>0</v>
      </c>
      <c r="AH153" s="1">
        <f t="shared" si="75"/>
        <v>1</v>
      </c>
      <c r="AI153" s="1">
        <f t="shared" si="76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1275</v>
      </c>
      <c r="E154" s="32" t="s">
        <v>171</v>
      </c>
      <c r="F154" s="32" t="s">
        <v>1276</v>
      </c>
      <c r="G154" s="32" t="s">
        <v>207</v>
      </c>
      <c r="H154" s="32" t="s">
        <v>352</v>
      </c>
      <c r="I154" s="31" t="s">
        <v>1277</v>
      </c>
      <c r="J154" s="31">
        <v>3</v>
      </c>
      <c r="K154" s="33" t="s">
        <v>933</v>
      </c>
      <c r="L154" s="33" t="s">
        <v>39</v>
      </c>
      <c r="M154" s="34" t="s">
        <v>39</v>
      </c>
      <c r="N154" s="34" t="s">
        <v>1693</v>
      </c>
      <c r="O154" s="35">
        <v>1</v>
      </c>
      <c r="P154" s="35">
        <v>1</v>
      </c>
      <c r="Q154" s="32"/>
      <c r="S154" s="1">
        <f t="shared" si="55"/>
        <v>0</v>
      </c>
      <c r="T154" s="1">
        <f t="shared" si="56"/>
        <v>0</v>
      </c>
      <c r="U154" s="1">
        <f t="shared" si="57"/>
        <v>1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71"/>
        <v>1</v>
      </c>
      <c r="AE154" s="1">
        <f t="shared" si="72"/>
        <v>0</v>
      </c>
      <c r="AF154" s="1">
        <f t="shared" si="73"/>
        <v>1</v>
      </c>
      <c r="AG154" s="1">
        <f t="shared" si="74"/>
        <v>0</v>
      </c>
      <c r="AH154" s="1">
        <f t="shared" si="75"/>
        <v>1</v>
      </c>
      <c r="AI154" s="1">
        <f t="shared" si="7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848</v>
      </c>
      <c r="E155" s="32" t="s">
        <v>169</v>
      </c>
      <c r="F155" s="32" t="s">
        <v>849</v>
      </c>
      <c r="G155" s="32" t="s">
        <v>39</v>
      </c>
      <c r="H155" s="32" t="s">
        <v>850</v>
      </c>
      <c r="I155" s="31" t="s">
        <v>926</v>
      </c>
      <c r="J155" s="31">
        <v>11</v>
      </c>
      <c r="K155" s="33" t="s">
        <v>693</v>
      </c>
      <c r="L155" s="33" t="s">
        <v>680</v>
      </c>
      <c r="M155" s="34" t="s">
        <v>948</v>
      </c>
      <c r="N155" s="34" t="s">
        <v>1707</v>
      </c>
      <c r="O155" s="35">
        <v>1</v>
      </c>
      <c r="P155" s="35"/>
      <c r="Q155" s="32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1</v>
      </c>
      <c r="AF155" s="1">
        <f t="shared" si="67"/>
        <v>0</v>
      </c>
      <c r="AG155" s="1">
        <f t="shared" si="68"/>
        <v>1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502</v>
      </c>
      <c r="E156" s="16" t="s">
        <v>169</v>
      </c>
      <c r="F156" s="16" t="s">
        <v>503</v>
      </c>
      <c r="G156" s="16" t="s">
        <v>500</v>
      </c>
      <c r="H156" s="16" t="s">
        <v>352</v>
      </c>
      <c r="I156" s="15" t="s">
        <v>504</v>
      </c>
      <c r="J156" s="15">
        <v>99</v>
      </c>
      <c r="K156" s="10" t="s">
        <v>694</v>
      </c>
      <c r="L156" s="10">
        <v>40</v>
      </c>
      <c r="M156" s="19" t="s">
        <v>948</v>
      </c>
      <c r="N156" s="19"/>
      <c r="Q156" s="1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0</v>
      </c>
      <c r="AF156" s="1">
        <f t="shared" si="67"/>
        <v>0</v>
      </c>
      <c r="AG156" s="1">
        <f t="shared" si="68"/>
        <v>0</v>
      </c>
      <c r="AH156" s="1">
        <f t="shared" si="69"/>
        <v>0</v>
      </c>
      <c r="AI156" s="1">
        <f t="shared" si="70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1743</v>
      </c>
      <c r="E157" s="36" t="s">
        <v>1744</v>
      </c>
      <c r="F157" s="36" t="s">
        <v>1745</v>
      </c>
      <c r="G157" s="36" t="s">
        <v>1746</v>
      </c>
      <c r="H157" s="36" t="s">
        <v>352</v>
      </c>
      <c r="I157" s="37" t="s">
        <v>1747</v>
      </c>
      <c r="J157" s="31">
        <v>99</v>
      </c>
      <c r="K157" s="33" t="s">
        <v>694</v>
      </c>
      <c r="L157" s="33"/>
      <c r="M157" s="34"/>
      <c r="N157" s="34" t="s">
        <v>1693</v>
      </c>
      <c r="O157" s="35">
        <v>1</v>
      </c>
      <c r="P157" s="35">
        <v>1</v>
      </c>
      <c r="Q157" s="36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525</v>
      </c>
      <c r="E158" s="32" t="s">
        <v>169</v>
      </c>
      <c r="F158" s="32" t="s">
        <v>650</v>
      </c>
      <c r="G158" s="32" t="s">
        <v>39</v>
      </c>
      <c r="H158" s="32" t="s">
        <v>526</v>
      </c>
      <c r="I158" s="31" t="s">
        <v>527</v>
      </c>
      <c r="J158" s="31">
        <v>18</v>
      </c>
      <c r="K158" s="33" t="s">
        <v>933</v>
      </c>
      <c r="L158" s="33" t="s">
        <v>1695</v>
      </c>
      <c r="M158" s="34" t="s">
        <v>947</v>
      </c>
      <c r="N158" s="34" t="s">
        <v>1693</v>
      </c>
      <c r="O158" s="35">
        <v>1</v>
      </c>
      <c r="P158" s="35">
        <v>1</v>
      </c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1</v>
      </c>
      <c r="AE158" s="1">
        <f t="shared" si="66"/>
        <v>0</v>
      </c>
      <c r="AF158" s="1">
        <f t="shared" si="67"/>
        <v>1</v>
      </c>
      <c r="AG158" s="1">
        <f t="shared" si="68"/>
        <v>0</v>
      </c>
      <c r="AH158" s="1">
        <f t="shared" si="69"/>
        <v>1</v>
      </c>
      <c r="AI158" s="1">
        <f t="shared" si="70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952</v>
      </c>
      <c r="E159" s="32" t="s">
        <v>174</v>
      </c>
      <c r="F159" s="32" t="s">
        <v>786</v>
      </c>
      <c r="G159" s="32" t="s">
        <v>39</v>
      </c>
      <c r="H159" s="32" t="s">
        <v>787</v>
      </c>
      <c r="I159" s="31" t="s">
        <v>788</v>
      </c>
      <c r="J159" s="31">
        <v>16</v>
      </c>
      <c r="K159" s="33" t="s">
        <v>934</v>
      </c>
      <c r="L159" s="33" t="s">
        <v>1113</v>
      </c>
      <c r="M159" s="34" t="s">
        <v>947</v>
      </c>
      <c r="N159" s="34" t="s">
        <v>1700</v>
      </c>
      <c r="O159" s="35">
        <v>1</v>
      </c>
      <c r="P159" s="35"/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1167</v>
      </c>
      <c r="E160" s="32" t="s">
        <v>171</v>
      </c>
      <c r="F160" s="32" t="s">
        <v>1168</v>
      </c>
      <c r="G160" s="32" t="s">
        <v>237</v>
      </c>
      <c r="H160" s="32" t="s">
        <v>352</v>
      </c>
      <c r="I160" s="31" t="s">
        <v>1169</v>
      </c>
      <c r="J160" s="31">
        <v>4</v>
      </c>
      <c r="K160" s="33" t="s">
        <v>940</v>
      </c>
      <c r="L160" s="33" t="s">
        <v>1659</v>
      </c>
      <c r="M160" s="34" t="s">
        <v>1565</v>
      </c>
      <c r="N160" s="34" t="s">
        <v>1687</v>
      </c>
      <c r="O160" s="35">
        <v>1</v>
      </c>
      <c r="P160" s="35">
        <v>1</v>
      </c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1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1</v>
      </c>
      <c r="AE160" s="1">
        <f t="shared" si="66"/>
        <v>0</v>
      </c>
      <c r="AF160" s="1">
        <f t="shared" si="67"/>
        <v>1</v>
      </c>
      <c r="AG160" s="1">
        <f t="shared" si="68"/>
        <v>0</v>
      </c>
      <c r="AH160" s="1">
        <f t="shared" si="69"/>
        <v>1</v>
      </c>
      <c r="AI160" s="1">
        <f t="shared" si="70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1602</v>
      </c>
      <c r="E161" s="32" t="s">
        <v>169</v>
      </c>
      <c r="F161" s="32" t="s">
        <v>1439</v>
      </c>
      <c r="G161" s="32" t="s">
        <v>1630</v>
      </c>
      <c r="H161" s="32" t="s">
        <v>352</v>
      </c>
      <c r="I161" s="31" t="s">
        <v>1438</v>
      </c>
      <c r="J161" s="31">
        <v>99</v>
      </c>
      <c r="K161" s="33" t="s">
        <v>693</v>
      </c>
      <c r="L161" s="33" t="s">
        <v>1664</v>
      </c>
      <c r="M161" s="34" t="s">
        <v>1440</v>
      </c>
      <c r="N161" s="34" t="s">
        <v>1701</v>
      </c>
      <c r="O161" s="35">
        <v>1</v>
      </c>
      <c r="P161" s="35"/>
      <c r="Q161" s="32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6" t="s">
        <v>2022</v>
      </c>
      <c r="E162" s="36" t="s">
        <v>171</v>
      </c>
      <c r="F162" s="36" t="s">
        <v>2023</v>
      </c>
      <c r="G162" s="32"/>
      <c r="H162" s="36" t="s">
        <v>603</v>
      </c>
      <c r="I162" s="37" t="s">
        <v>2024</v>
      </c>
      <c r="J162" s="31">
        <v>14</v>
      </c>
      <c r="K162" s="33" t="s">
        <v>694</v>
      </c>
      <c r="L162" s="33"/>
      <c r="M162" s="34"/>
      <c r="N162" s="34" t="s">
        <v>1693</v>
      </c>
      <c r="O162" s="35">
        <v>1</v>
      </c>
      <c r="P162" s="35">
        <v>1</v>
      </c>
      <c r="Q162" s="32" t="s">
        <v>2025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1</v>
      </c>
      <c r="AE162" s="1">
        <f t="shared" si="66"/>
        <v>0</v>
      </c>
      <c r="AF162" s="1">
        <f t="shared" si="67"/>
        <v>1</v>
      </c>
      <c r="AG162" s="1">
        <f t="shared" si="68"/>
        <v>0</v>
      </c>
      <c r="AH162" s="1">
        <f t="shared" si="69"/>
        <v>1</v>
      </c>
      <c r="AI162" s="1">
        <f t="shared" si="70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1897</v>
      </c>
      <c r="E163" s="20" t="s">
        <v>171</v>
      </c>
      <c r="F163" s="20" t="s">
        <v>1912</v>
      </c>
      <c r="G163" s="20"/>
      <c r="H163" s="20" t="s">
        <v>1911</v>
      </c>
      <c r="I163" s="21" t="s">
        <v>1910</v>
      </c>
      <c r="J163" s="15">
        <v>14</v>
      </c>
      <c r="K163" s="10" t="s">
        <v>694</v>
      </c>
      <c r="L163" s="10" t="s">
        <v>688</v>
      </c>
      <c r="M163" s="19" t="s">
        <v>948</v>
      </c>
      <c r="N163" s="17"/>
      <c r="Q163" s="20" t="s">
        <v>1913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144</v>
      </c>
      <c r="E164" s="32" t="s">
        <v>171</v>
      </c>
      <c r="F164" s="32" t="s">
        <v>345</v>
      </c>
      <c r="G164" s="32" t="s">
        <v>39</v>
      </c>
      <c r="H164" s="32" t="s">
        <v>376</v>
      </c>
      <c r="I164" s="31" t="s">
        <v>1328</v>
      </c>
      <c r="J164" s="31">
        <v>14</v>
      </c>
      <c r="K164" s="33" t="s">
        <v>933</v>
      </c>
      <c r="L164" s="33" t="s">
        <v>680</v>
      </c>
      <c r="M164" s="34" t="s">
        <v>682</v>
      </c>
      <c r="N164" s="34" t="s">
        <v>1700</v>
      </c>
      <c r="O164" s="35">
        <v>1</v>
      </c>
      <c r="P164" s="35"/>
      <c r="Q164" s="32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1</v>
      </c>
      <c r="AF164" s="1">
        <f t="shared" si="67"/>
        <v>0</v>
      </c>
      <c r="AG164" s="1">
        <f t="shared" si="68"/>
        <v>1</v>
      </c>
      <c r="AH164" s="1">
        <f t="shared" si="69"/>
        <v>0</v>
      </c>
      <c r="AI164" s="1">
        <f t="shared" si="7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1528</v>
      </c>
      <c r="E165" s="32" t="s">
        <v>171</v>
      </c>
      <c r="F165" s="32" t="s">
        <v>1529</v>
      </c>
      <c r="G165" s="32" t="s">
        <v>39</v>
      </c>
      <c r="H165" s="32" t="s">
        <v>1530</v>
      </c>
      <c r="I165" s="31" t="s">
        <v>1531</v>
      </c>
      <c r="J165" s="31">
        <v>17</v>
      </c>
      <c r="K165" s="33" t="s">
        <v>713</v>
      </c>
      <c r="L165" s="33" t="s">
        <v>39</v>
      </c>
      <c r="M165" s="34" t="s">
        <v>39</v>
      </c>
      <c r="N165" s="34" t="s">
        <v>1693</v>
      </c>
      <c r="O165" s="35">
        <v>1</v>
      </c>
      <c r="P165" s="35">
        <v>1</v>
      </c>
      <c r="Q165" s="32" t="s">
        <v>1863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1</v>
      </c>
      <c r="AE165" s="1">
        <f t="shared" si="66"/>
        <v>0</v>
      </c>
      <c r="AF165" s="1">
        <f t="shared" si="67"/>
        <v>1</v>
      </c>
      <c r="AG165" s="1">
        <f t="shared" si="68"/>
        <v>0</v>
      </c>
      <c r="AH165" s="1">
        <f t="shared" si="69"/>
        <v>1</v>
      </c>
      <c r="AI165" s="1">
        <f t="shared" si="70"/>
        <v>0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</v>
      </c>
      <c r="E166" s="32" t="s">
        <v>171</v>
      </c>
      <c r="F166" s="32" t="s">
        <v>351</v>
      </c>
      <c r="G166" s="32" t="s">
        <v>39</v>
      </c>
      <c r="H166" s="32" t="s">
        <v>1820</v>
      </c>
      <c r="I166" s="31" t="s">
        <v>497</v>
      </c>
      <c r="J166" s="31">
        <v>14</v>
      </c>
      <c r="K166" s="33" t="s">
        <v>693</v>
      </c>
      <c r="L166" s="33" t="s">
        <v>680</v>
      </c>
      <c r="M166" s="34" t="s">
        <v>947</v>
      </c>
      <c r="N166" s="34" t="s">
        <v>1700</v>
      </c>
      <c r="O166" s="35">
        <v>1</v>
      </c>
      <c r="P166" s="35"/>
      <c r="Q166" s="32" t="s">
        <v>1846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67"/>
        <v>0</v>
      </c>
      <c r="AG166" s="1">
        <f t="shared" si="68"/>
        <v>1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730</v>
      </c>
      <c r="E167" s="16" t="s">
        <v>171</v>
      </c>
      <c r="F167" s="16" t="s">
        <v>731</v>
      </c>
      <c r="G167" s="16" t="s">
        <v>39</v>
      </c>
      <c r="H167" s="16" t="s">
        <v>732</v>
      </c>
      <c r="I167" s="15" t="s">
        <v>733</v>
      </c>
      <c r="J167" s="15">
        <v>17</v>
      </c>
      <c r="K167" s="10" t="s">
        <v>713</v>
      </c>
      <c r="L167" s="10" t="s">
        <v>688</v>
      </c>
      <c r="M167" s="19" t="s">
        <v>682</v>
      </c>
      <c r="N167" s="17"/>
      <c r="Q167" s="16" t="s">
        <v>1837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67"/>
        <v>0</v>
      </c>
      <c r="AG167" s="1">
        <f t="shared" si="68"/>
        <v>0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883</v>
      </c>
      <c r="E168" s="32" t="s">
        <v>171</v>
      </c>
      <c r="F168" s="32" t="s">
        <v>1073</v>
      </c>
      <c r="G168" s="32" t="s">
        <v>39</v>
      </c>
      <c r="H168" s="32" t="s">
        <v>885</v>
      </c>
      <c r="I168" s="31" t="s">
        <v>884</v>
      </c>
      <c r="J168" s="31">
        <v>11</v>
      </c>
      <c r="K168" s="33" t="s">
        <v>934</v>
      </c>
      <c r="L168" s="33">
        <v>60</v>
      </c>
      <c r="M168" s="34" t="s">
        <v>39</v>
      </c>
      <c r="N168" s="34" t="s">
        <v>1700</v>
      </c>
      <c r="O168" s="35">
        <v>1</v>
      </c>
      <c r="P168" s="35"/>
      <c r="Q168" s="32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122</v>
      </c>
      <c r="E169" s="32" t="s">
        <v>174</v>
      </c>
      <c r="F169" s="32" t="s">
        <v>322</v>
      </c>
      <c r="G169" s="32" t="s">
        <v>39</v>
      </c>
      <c r="H169" s="32" t="s">
        <v>361</v>
      </c>
      <c r="I169" s="31" t="s">
        <v>467</v>
      </c>
      <c r="J169" s="31">
        <v>14</v>
      </c>
      <c r="K169" s="33" t="s">
        <v>713</v>
      </c>
      <c r="L169" s="33" t="s">
        <v>684</v>
      </c>
      <c r="M169" s="34" t="s">
        <v>1344</v>
      </c>
      <c r="N169" s="34" t="s">
        <v>1800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1141</v>
      </c>
      <c r="E170" s="32" t="s">
        <v>171</v>
      </c>
      <c r="F170" s="32" t="s">
        <v>1143</v>
      </c>
      <c r="G170" s="32" t="s">
        <v>748</v>
      </c>
      <c r="H170" s="32" t="s">
        <v>352</v>
      </c>
      <c r="I170" s="31" t="s">
        <v>1142</v>
      </c>
      <c r="J170" s="31">
        <v>99</v>
      </c>
      <c r="K170" s="33" t="s">
        <v>694</v>
      </c>
      <c r="L170" s="33">
        <v>30</v>
      </c>
      <c r="M170" s="34" t="s">
        <v>947</v>
      </c>
      <c r="N170" s="34" t="s">
        <v>1776</v>
      </c>
      <c r="O170" s="35">
        <v>1</v>
      </c>
      <c r="P170" s="35"/>
      <c r="Q170" s="3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1</v>
      </c>
      <c r="AF170" s="1">
        <f t="shared" si="67"/>
        <v>0</v>
      </c>
      <c r="AG170" s="1">
        <f t="shared" si="68"/>
        <v>1</v>
      </c>
      <c r="AH170" s="1">
        <f t="shared" si="69"/>
        <v>0</v>
      </c>
      <c r="AI170" s="1">
        <f t="shared" si="70"/>
        <v>1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2" t="s">
        <v>1985</v>
      </c>
      <c r="E171" s="32" t="s">
        <v>171</v>
      </c>
      <c r="F171" s="32" t="s">
        <v>1986</v>
      </c>
      <c r="G171" s="32"/>
      <c r="H171" s="32" t="s">
        <v>352</v>
      </c>
      <c r="I171" s="31" t="s">
        <v>1987</v>
      </c>
      <c r="J171" s="31">
        <v>18</v>
      </c>
      <c r="K171" s="33" t="s">
        <v>694</v>
      </c>
      <c r="L171" s="33"/>
      <c r="M171" s="34"/>
      <c r="N171" s="34" t="s">
        <v>1693</v>
      </c>
      <c r="O171" s="35">
        <v>1</v>
      </c>
      <c r="P171" s="35">
        <v>1</v>
      </c>
      <c r="Q171" s="36" t="s">
        <v>1988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67"/>
        <v>1</v>
      </c>
      <c r="AG171" s="1">
        <f t="shared" si="68"/>
        <v>0</v>
      </c>
      <c r="AH171" s="1">
        <f t="shared" si="69"/>
        <v>1</v>
      </c>
      <c r="AI171" s="1">
        <f t="shared" si="7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734</v>
      </c>
      <c r="E172" s="16" t="s">
        <v>169</v>
      </c>
      <c r="F172" s="16" t="s">
        <v>735</v>
      </c>
      <c r="G172" s="16" t="s">
        <v>39</v>
      </c>
      <c r="H172" s="16" t="s">
        <v>736</v>
      </c>
      <c r="I172" s="15" t="s">
        <v>737</v>
      </c>
      <c r="J172" s="15">
        <v>17</v>
      </c>
      <c r="K172" s="10" t="s">
        <v>694</v>
      </c>
      <c r="L172" s="10" t="s">
        <v>688</v>
      </c>
      <c r="M172" s="19" t="s">
        <v>948</v>
      </c>
      <c r="N172" s="17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20" t="s">
        <v>1896</v>
      </c>
      <c r="E173" s="20" t="s">
        <v>171</v>
      </c>
      <c r="F173" s="20" t="s">
        <v>1906</v>
      </c>
      <c r="G173" s="20"/>
      <c r="H173" s="20" t="s">
        <v>1907</v>
      </c>
      <c r="I173" s="21" t="s">
        <v>1908</v>
      </c>
      <c r="J173" s="15">
        <v>16</v>
      </c>
      <c r="K173" s="10" t="s">
        <v>694</v>
      </c>
      <c r="L173" s="10" t="s">
        <v>688</v>
      </c>
      <c r="M173" s="19" t="s">
        <v>948</v>
      </c>
      <c r="N173" s="17"/>
      <c r="Q173" s="20" t="s">
        <v>1905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ref="AD173:AD175" si="77">+O173*P173</f>
        <v>0</v>
      </c>
      <c r="AE173" s="1">
        <f t="shared" ref="AE173:AE175" si="78">O173*(1-P173)</f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s="1" customFormat="1" ht="14.25" customHeight="1" x14ac:dyDescent="0.25">
      <c r="A174" s="31">
        <v>0</v>
      </c>
      <c r="B174" s="31">
        <v>1</v>
      </c>
      <c r="C174" s="31">
        <v>3</v>
      </c>
      <c r="D174" s="32" t="s">
        <v>2143</v>
      </c>
      <c r="E174" s="32" t="s">
        <v>171</v>
      </c>
      <c r="F174" s="32" t="s">
        <v>2144</v>
      </c>
      <c r="G174" s="32"/>
      <c r="H174" s="32" t="s">
        <v>373</v>
      </c>
      <c r="I174" s="31" t="s">
        <v>2145</v>
      </c>
      <c r="J174" s="31">
        <v>12</v>
      </c>
      <c r="K174" s="33" t="s">
        <v>694</v>
      </c>
      <c r="L174" s="33">
        <v>40</v>
      </c>
      <c r="M174" s="34" t="s">
        <v>948</v>
      </c>
      <c r="N174" s="34" t="s">
        <v>1693</v>
      </c>
      <c r="O174" s="35">
        <v>1</v>
      </c>
      <c r="P174" s="35">
        <v>1</v>
      </c>
      <c r="Q174" s="36" t="s">
        <v>2146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77"/>
        <v>1</v>
      </c>
      <c r="AE174" s="1">
        <f t="shared" si="78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815</v>
      </c>
      <c r="E175" s="32" t="s">
        <v>893</v>
      </c>
      <c r="F175" s="32" t="s">
        <v>816</v>
      </c>
      <c r="G175" s="32" t="s">
        <v>207</v>
      </c>
      <c r="H175" s="32" t="s">
        <v>352</v>
      </c>
      <c r="I175" s="37" t="s">
        <v>817</v>
      </c>
      <c r="J175" s="31">
        <v>3</v>
      </c>
      <c r="K175" s="33" t="s">
        <v>713</v>
      </c>
      <c r="L175" s="33" t="s">
        <v>684</v>
      </c>
      <c r="M175" s="34" t="s">
        <v>689</v>
      </c>
      <c r="N175" s="34" t="s">
        <v>1741</v>
      </c>
      <c r="O175" s="35">
        <v>1</v>
      </c>
      <c r="P175" s="35"/>
      <c r="Q175" s="36"/>
      <c r="S175" s="1">
        <f t="shared" si="55"/>
        <v>0</v>
      </c>
      <c r="T175" s="1">
        <f t="shared" si="56"/>
        <v>0</v>
      </c>
      <c r="U175" s="1">
        <f t="shared" si="57"/>
        <v>1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77"/>
        <v>0</v>
      </c>
      <c r="AE175" s="1">
        <f t="shared" si="78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2060</v>
      </c>
      <c r="E176" s="32" t="s">
        <v>174</v>
      </c>
      <c r="F176" s="32" t="s">
        <v>2061</v>
      </c>
      <c r="G176" s="32"/>
      <c r="H176" s="32" t="s">
        <v>2062</v>
      </c>
      <c r="I176" s="37" t="s">
        <v>2063</v>
      </c>
      <c r="J176" s="31">
        <v>16</v>
      </c>
      <c r="K176" s="33" t="s">
        <v>694</v>
      </c>
      <c r="L176" s="33"/>
      <c r="M176" s="34"/>
      <c r="N176" s="34" t="s">
        <v>1687</v>
      </c>
      <c r="O176" s="35">
        <v>1</v>
      </c>
      <c r="P176" s="35">
        <v>1</v>
      </c>
      <c r="Q176" s="36" t="s">
        <v>2064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1</v>
      </c>
      <c r="AE176" s="1">
        <f t="shared" si="66"/>
        <v>0</v>
      </c>
      <c r="AF176" s="1">
        <f t="shared" si="67"/>
        <v>1</v>
      </c>
      <c r="AG176" s="1">
        <f t="shared" si="68"/>
        <v>0</v>
      </c>
      <c r="AH176" s="1">
        <f t="shared" si="69"/>
        <v>1</v>
      </c>
      <c r="AI176" s="1">
        <f t="shared" si="70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1901</v>
      </c>
      <c r="E177" s="32" t="s">
        <v>171</v>
      </c>
      <c r="F177" s="32" t="s">
        <v>1903</v>
      </c>
      <c r="G177" s="32"/>
      <c r="H177" s="32" t="s">
        <v>1904</v>
      </c>
      <c r="I177" s="37" t="s">
        <v>1902</v>
      </c>
      <c r="J177" s="31">
        <v>16</v>
      </c>
      <c r="K177" s="33" t="s">
        <v>694</v>
      </c>
      <c r="L177" s="33" t="s">
        <v>688</v>
      </c>
      <c r="M177" s="34" t="s">
        <v>948</v>
      </c>
      <c r="N177" s="34" t="s">
        <v>1700</v>
      </c>
      <c r="O177" s="35">
        <v>1</v>
      </c>
      <c r="P177" s="35"/>
      <c r="Q177" s="36" t="s">
        <v>1909</v>
      </c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1178</v>
      </c>
      <c r="E178" s="32" t="s">
        <v>171</v>
      </c>
      <c r="F178" s="32" t="s">
        <v>1180</v>
      </c>
      <c r="G178" s="32" t="s">
        <v>184</v>
      </c>
      <c r="H178" s="32" t="s">
        <v>352</v>
      </c>
      <c r="I178" s="31" t="s">
        <v>1179</v>
      </c>
      <c r="J178" s="31">
        <v>99</v>
      </c>
      <c r="K178" s="33" t="s">
        <v>935</v>
      </c>
      <c r="L178" s="33" t="s">
        <v>680</v>
      </c>
      <c r="M178" s="34" t="s">
        <v>948</v>
      </c>
      <c r="N178" s="34" t="s">
        <v>1701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624</v>
      </c>
      <c r="E179" s="32" t="s">
        <v>169</v>
      </c>
      <c r="F179" s="32" t="s">
        <v>625</v>
      </c>
      <c r="G179" s="32" t="s">
        <v>193</v>
      </c>
      <c r="H179" s="32" t="s">
        <v>352</v>
      </c>
      <c r="I179" s="31" t="s">
        <v>626</v>
      </c>
      <c r="J179" s="31">
        <v>9</v>
      </c>
      <c r="K179" s="33" t="s">
        <v>934</v>
      </c>
      <c r="L179" s="33" t="s">
        <v>1659</v>
      </c>
      <c r="M179" s="34" t="s">
        <v>947</v>
      </c>
      <c r="N179" s="34" t="s">
        <v>1687</v>
      </c>
      <c r="O179" s="35">
        <v>1</v>
      </c>
      <c r="P179" s="35">
        <v>1</v>
      </c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1</v>
      </c>
      <c r="AB179" s="1">
        <f t="shared" si="64"/>
        <v>0</v>
      </c>
      <c r="AD179" s="1">
        <f t="shared" si="65"/>
        <v>1</v>
      </c>
      <c r="AE179" s="1">
        <f t="shared" si="66"/>
        <v>0</v>
      </c>
      <c r="AF179" s="1">
        <f t="shared" si="67"/>
        <v>1</v>
      </c>
      <c r="AG179" s="1">
        <f t="shared" si="68"/>
        <v>0</v>
      </c>
      <c r="AH179" s="1">
        <f t="shared" si="69"/>
        <v>1</v>
      </c>
      <c r="AI179" s="1">
        <f t="shared" si="70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131</v>
      </c>
      <c r="E180" s="32" t="s">
        <v>674</v>
      </c>
      <c r="F180" s="32" t="s">
        <v>332</v>
      </c>
      <c r="G180" s="32" t="s">
        <v>39</v>
      </c>
      <c r="H180" s="32" t="s">
        <v>360</v>
      </c>
      <c r="I180" s="31" t="s">
        <v>478</v>
      </c>
      <c r="J180" s="31">
        <v>12</v>
      </c>
      <c r="K180" s="33" t="s">
        <v>713</v>
      </c>
      <c r="L180" s="33">
        <v>35</v>
      </c>
      <c r="M180" s="34" t="s">
        <v>39</v>
      </c>
      <c r="N180" s="34" t="s">
        <v>1776</v>
      </c>
      <c r="O180" s="35">
        <v>1</v>
      </c>
      <c r="P180" s="35"/>
      <c r="Q180" s="32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1</v>
      </c>
      <c r="AF180" s="1">
        <f t="shared" si="67"/>
        <v>0</v>
      </c>
      <c r="AG180" s="1">
        <f t="shared" si="68"/>
        <v>1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807</v>
      </c>
      <c r="E181" s="16" t="s">
        <v>171</v>
      </c>
      <c r="F181" s="16" t="s">
        <v>808</v>
      </c>
      <c r="G181" s="16" t="s">
        <v>39</v>
      </c>
      <c r="H181" s="16" t="s">
        <v>373</v>
      </c>
      <c r="I181" s="15" t="s">
        <v>806</v>
      </c>
      <c r="J181" s="15">
        <v>12</v>
      </c>
      <c r="K181" s="10" t="s">
        <v>694</v>
      </c>
      <c r="L181" s="10">
        <v>40</v>
      </c>
      <c r="M181" s="19" t="s">
        <v>947</v>
      </c>
      <c r="N181" s="19"/>
      <c r="Q181" s="16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0</v>
      </c>
      <c r="AE181" s="1">
        <f t="shared" si="66"/>
        <v>0</v>
      </c>
      <c r="AF181" s="1">
        <f t="shared" si="67"/>
        <v>0</v>
      </c>
      <c r="AG181" s="1">
        <f t="shared" si="68"/>
        <v>0</v>
      </c>
      <c r="AH181" s="1">
        <f t="shared" si="69"/>
        <v>0</v>
      </c>
      <c r="AI181" s="1">
        <f t="shared" si="70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141</v>
      </c>
      <c r="E182" s="32" t="s">
        <v>171</v>
      </c>
      <c r="F182" s="32" t="s">
        <v>341</v>
      </c>
      <c r="G182" s="32" t="s">
        <v>39</v>
      </c>
      <c r="H182" s="32" t="s">
        <v>375</v>
      </c>
      <c r="I182" s="31" t="s">
        <v>487</v>
      </c>
      <c r="J182" s="31">
        <v>15</v>
      </c>
      <c r="K182" s="33" t="s">
        <v>693</v>
      </c>
      <c r="L182" s="33" t="s">
        <v>683</v>
      </c>
      <c r="M182" s="34" t="s">
        <v>682</v>
      </c>
      <c r="N182" s="34" t="s">
        <v>1693</v>
      </c>
      <c r="O182" s="35">
        <v>1</v>
      </c>
      <c r="P182" s="35">
        <v>1</v>
      </c>
      <c r="Q182" s="36" t="s">
        <v>1841</v>
      </c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6" t="s">
        <v>1792</v>
      </c>
      <c r="E183" s="32" t="s">
        <v>1064</v>
      </c>
      <c r="F183" s="32" t="s">
        <v>1777</v>
      </c>
      <c r="G183" s="32"/>
      <c r="H183" s="32" t="s">
        <v>370</v>
      </c>
      <c r="I183" s="31" t="s">
        <v>1778</v>
      </c>
      <c r="J183" s="31">
        <v>16</v>
      </c>
      <c r="K183" s="33" t="s">
        <v>694</v>
      </c>
      <c r="L183" s="33"/>
      <c r="M183" s="34"/>
      <c r="N183" s="34" t="s">
        <v>1687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956</v>
      </c>
      <c r="E184" s="32" t="s">
        <v>602</v>
      </c>
      <c r="F184" s="32" t="s">
        <v>957</v>
      </c>
      <c r="G184" s="32" t="s">
        <v>202</v>
      </c>
      <c r="H184" s="32" t="s">
        <v>352</v>
      </c>
      <c r="I184" s="31" t="s">
        <v>958</v>
      </c>
      <c r="J184" s="31">
        <v>99</v>
      </c>
      <c r="K184" s="33" t="s">
        <v>933</v>
      </c>
      <c r="L184" s="33" t="s">
        <v>39</v>
      </c>
      <c r="M184" s="34" t="s">
        <v>39</v>
      </c>
      <c r="N184" s="34" t="s">
        <v>1687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148</v>
      </c>
      <c r="E185" s="32" t="s">
        <v>171</v>
      </c>
      <c r="F185" s="32" t="s">
        <v>348</v>
      </c>
      <c r="G185" s="32" t="s">
        <v>39</v>
      </c>
      <c r="H185" s="32" t="s">
        <v>378</v>
      </c>
      <c r="I185" s="31" t="s">
        <v>493</v>
      </c>
      <c r="J185" s="31">
        <v>14</v>
      </c>
      <c r="K185" s="33" t="s">
        <v>941</v>
      </c>
      <c r="L185" s="33" t="s">
        <v>39</v>
      </c>
      <c r="M185" s="34" t="s">
        <v>39</v>
      </c>
      <c r="N185" s="34" t="s">
        <v>1693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6" t="s">
        <v>2157</v>
      </c>
      <c r="E186" s="32"/>
      <c r="F186" s="36" t="s">
        <v>2158</v>
      </c>
      <c r="G186" s="32"/>
      <c r="H186" s="36" t="s">
        <v>353</v>
      </c>
      <c r="I186" s="37" t="s">
        <v>2159</v>
      </c>
      <c r="J186" s="31">
        <v>11</v>
      </c>
      <c r="K186" s="33" t="s">
        <v>694</v>
      </c>
      <c r="L186" s="33"/>
      <c r="M186" s="34"/>
      <c r="N186" s="34" t="s">
        <v>1708</v>
      </c>
      <c r="O186" s="35">
        <v>1</v>
      </c>
      <c r="P186" s="35"/>
      <c r="Q186" s="32" t="s">
        <v>2160</v>
      </c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ref="AD186:AD188" si="79">+O186*P186</f>
        <v>0</v>
      </c>
      <c r="AE186" s="1">
        <f t="shared" ref="AE186:AE188" si="80">O186*(1-P186)</f>
        <v>1</v>
      </c>
      <c r="AF186" s="1">
        <f t="shared" ref="AF186:AF188" si="81">+O186*P186*(1-A186)</f>
        <v>0</v>
      </c>
      <c r="AG186" s="1">
        <f t="shared" ref="AG186:AG188" si="82">O186*(1-P186)*(1-A186)</f>
        <v>1</v>
      </c>
      <c r="AH186" s="1">
        <f t="shared" ref="AH186:AH188" si="83">+P186*(1-A186)</f>
        <v>0</v>
      </c>
      <c r="AI186" s="1">
        <f t="shared" ref="AI186:AI188" si="84">+(1-A186)*(1-P186)</f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1934</v>
      </c>
      <c r="E187" s="32" t="s">
        <v>1935</v>
      </c>
      <c r="F187" s="32" t="s">
        <v>1936</v>
      </c>
      <c r="G187" s="32" t="s">
        <v>531</v>
      </c>
      <c r="H187" s="32" t="s">
        <v>352</v>
      </c>
      <c r="I187" s="31" t="s">
        <v>1937</v>
      </c>
      <c r="J187" s="31"/>
      <c r="K187" s="33" t="s">
        <v>694</v>
      </c>
      <c r="L187" s="33"/>
      <c r="M187" s="34"/>
      <c r="N187" s="34" t="s">
        <v>1693</v>
      </c>
      <c r="O187" s="35">
        <v>1</v>
      </c>
      <c r="P187" s="35">
        <v>1</v>
      </c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79"/>
        <v>1</v>
      </c>
      <c r="AE187" s="1">
        <f t="shared" si="80"/>
        <v>0</v>
      </c>
      <c r="AF187" s="1">
        <f t="shared" si="81"/>
        <v>1</v>
      </c>
      <c r="AG187" s="1">
        <f t="shared" si="82"/>
        <v>0</v>
      </c>
      <c r="AH187" s="1">
        <f t="shared" si="83"/>
        <v>1</v>
      </c>
      <c r="AI187" s="1">
        <f t="shared" si="84"/>
        <v>0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627</v>
      </c>
      <c r="E188" s="32" t="s">
        <v>171</v>
      </c>
      <c r="F188" s="32" t="s">
        <v>629</v>
      </c>
      <c r="G188" s="32" t="s">
        <v>237</v>
      </c>
      <c r="H188" s="32" t="s">
        <v>352</v>
      </c>
      <c r="I188" s="31" t="s">
        <v>628</v>
      </c>
      <c r="J188" s="31">
        <v>4</v>
      </c>
      <c r="K188" s="33" t="s">
        <v>933</v>
      </c>
      <c r="L188" s="33" t="s">
        <v>39</v>
      </c>
      <c r="M188" s="34" t="s">
        <v>39</v>
      </c>
      <c r="N188" s="34" t="s">
        <v>1693</v>
      </c>
      <c r="O188" s="35">
        <v>1</v>
      </c>
      <c r="P188" s="35">
        <v>1</v>
      </c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1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79"/>
        <v>1</v>
      </c>
      <c r="AE188" s="1">
        <f t="shared" si="80"/>
        <v>0</v>
      </c>
      <c r="AF188" s="1">
        <f t="shared" si="81"/>
        <v>1</v>
      </c>
      <c r="AG188" s="1">
        <f t="shared" si="82"/>
        <v>0</v>
      </c>
      <c r="AH188" s="1">
        <f t="shared" si="83"/>
        <v>1</v>
      </c>
      <c r="AI188" s="1">
        <f t="shared" si="84"/>
        <v>0</v>
      </c>
    </row>
    <row r="189" spans="1:35" ht="14.25" customHeight="1" x14ac:dyDescent="0.25">
      <c r="A189" s="15">
        <v>0</v>
      </c>
      <c r="B189" s="15">
        <v>1</v>
      </c>
      <c r="C189" s="15">
        <v>3</v>
      </c>
      <c r="D189" s="16" t="s">
        <v>1489</v>
      </c>
      <c r="E189" s="16" t="s">
        <v>1064</v>
      </c>
      <c r="F189" s="16" t="s">
        <v>1490</v>
      </c>
      <c r="G189" s="16" t="s">
        <v>217</v>
      </c>
      <c r="H189" s="16" t="s">
        <v>352</v>
      </c>
      <c r="I189" s="15" t="s">
        <v>1491</v>
      </c>
      <c r="J189" s="15">
        <v>99</v>
      </c>
      <c r="K189" s="10" t="s">
        <v>694</v>
      </c>
      <c r="L189" s="10">
        <v>40</v>
      </c>
      <c r="M189" s="19" t="s">
        <v>947</v>
      </c>
      <c r="N189" s="19"/>
      <c r="Q189" s="16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101</v>
      </c>
      <c r="E190" s="32" t="s">
        <v>171</v>
      </c>
      <c r="F190" s="32" t="s">
        <v>297</v>
      </c>
      <c r="G190" s="32" t="s">
        <v>298</v>
      </c>
      <c r="H190" s="32" t="s">
        <v>352</v>
      </c>
      <c r="I190" s="31" t="s">
        <v>446</v>
      </c>
      <c r="J190" s="31">
        <v>99</v>
      </c>
      <c r="K190" s="33" t="s">
        <v>935</v>
      </c>
      <c r="L190" s="33" t="s">
        <v>684</v>
      </c>
      <c r="M190" s="34" t="s">
        <v>682</v>
      </c>
      <c r="N190" s="34" t="s">
        <v>1696</v>
      </c>
      <c r="O190" s="35">
        <v>1</v>
      </c>
      <c r="P190" s="35"/>
      <c r="Q190" s="3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967</v>
      </c>
      <c r="E191" s="32" t="s">
        <v>171</v>
      </c>
      <c r="F191" s="32" t="s">
        <v>970</v>
      </c>
      <c r="G191" s="32" t="s">
        <v>39</v>
      </c>
      <c r="H191" s="32" t="s">
        <v>969</v>
      </c>
      <c r="I191" s="31" t="s">
        <v>968</v>
      </c>
      <c r="J191" s="31">
        <v>14</v>
      </c>
      <c r="K191" s="33" t="s">
        <v>713</v>
      </c>
      <c r="L191" s="33" t="s">
        <v>685</v>
      </c>
      <c r="M191" s="34" t="s">
        <v>948</v>
      </c>
      <c r="N191" s="34" t="s">
        <v>1696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51">
        <v>0</v>
      </c>
      <c r="B192" s="51">
        <v>1</v>
      </c>
      <c r="C192" s="51">
        <v>3</v>
      </c>
      <c r="D192" s="52" t="s">
        <v>1605</v>
      </c>
      <c r="E192" s="52" t="s">
        <v>171</v>
      </c>
      <c r="F192" s="52" t="s">
        <v>754</v>
      </c>
      <c r="G192" s="52" t="s">
        <v>39</v>
      </c>
      <c r="H192" s="52" t="s">
        <v>365</v>
      </c>
      <c r="I192" s="51" t="s">
        <v>762</v>
      </c>
      <c r="J192" s="51">
        <v>18</v>
      </c>
      <c r="K192" s="53" t="s">
        <v>1657</v>
      </c>
      <c r="L192" s="53" t="s">
        <v>39</v>
      </c>
      <c r="M192" s="54" t="s">
        <v>755</v>
      </c>
      <c r="N192" s="55"/>
      <c r="O192" s="56"/>
      <c r="P192" s="56"/>
      <c r="Q192" s="5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0</v>
      </c>
      <c r="AF192" s="1">
        <f t="shared" si="67"/>
        <v>0</v>
      </c>
      <c r="AG192" s="1">
        <f t="shared" si="68"/>
        <v>0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134</v>
      </c>
      <c r="E193" s="32" t="s">
        <v>171</v>
      </c>
      <c r="F193" s="32" t="s">
        <v>651</v>
      </c>
      <c r="G193" s="32" t="s">
        <v>256</v>
      </c>
      <c r="H193" s="32" t="s">
        <v>352</v>
      </c>
      <c r="I193" s="31" t="s">
        <v>1653</v>
      </c>
      <c r="J193" s="31">
        <v>99</v>
      </c>
      <c r="K193" s="33" t="s">
        <v>713</v>
      </c>
      <c r="L193" s="33" t="s">
        <v>678</v>
      </c>
      <c r="M193" s="34" t="s">
        <v>1362</v>
      </c>
      <c r="N193" s="34" t="s">
        <v>1696</v>
      </c>
      <c r="O193" s="35">
        <v>1</v>
      </c>
      <c r="P193" s="35"/>
      <c r="Q193" s="32" t="s">
        <v>1880</v>
      </c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3</v>
      </c>
      <c r="D194" s="32" t="s">
        <v>902</v>
      </c>
      <c r="E194" s="32" t="s">
        <v>169</v>
      </c>
      <c r="F194" s="32" t="s">
        <v>918</v>
      </c>
      <c r="G194" s="32" t="s">
        <v>39</v>
      </c>
      <c r="H194" s="32" t="s">
        <v>363</v>
      </c>
      <c r="I194" s="31" t="s">
        <v>864</v>
      </c>
      <c r="J194" s="31">
        <v>18</v>
      </c>
      <c r="K194" s="33" t="s">
        <v>693</v>
      </c>
      <c r="L194" s="33" t="s">
        <v>688</v>
      </c>
      <c r="M194" s="34" t="s">
        <v>948</v>
      </c>
      <c r="N194" s="34" t="s">
        <v>1700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3</v>
      </c>
      <c r="D195" s="32" t="s">
        <v>1229</v>
      </c>
      <c r="E195" s="32" t="s">
        <v>169</v>
      </c>
      <c r="F195" s="32" t="s">
        <v>1636</v>
      </c>
      <c r="G195" s="32" t="s">
        <v>39</v>
      </c>
      <c r="H195" s="32" t="s">
        <v>752</v>
      </c>
      <c r="I195" s="31" t="s">
        <v>1230</v>
      </c>
      <c r="J195" s="31">
        <v>11</v>
      </c>
      <c r="K195" s="33" t="s">
        <v>713</v>
      </c>
      <c r="L195" s="33" t="s">
        <v>680</v>
      </c>
      <c r="M195" s="34" t="s">
        <v>1363</v>
      </c>
      <c r="N195" s="34" t="s">
        <v>1701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973</v>
      </c>
      <c r="E196" s="32" t="s">
        <v>753</v>
      </c>
      <c r="F196" s="32" t="s">
        <v>1071</v>
      </c>
      <c r="G196" s="32" t="s">
        <v>199</v>
      </c>
      <c r="H196" s="32" t="s">
        <v>352</v>
      </c>
      <c r="I196" s="31" t="s">
        <v>974</v>
      </c>
      <c r="J196" s="31">
        <v>2</v>
      </c>
      <c r="K196" s="33" t="s">
        <v>933</v>
      </c>
      <c r="L196" s="33" t="s">
        <v>684</v>
      </c>
      <c r="M196" s="34" t="s">
        <v>1364</v>
      </c>
      <c r="N196" s="34" t="s">
        <v>1687</v>
      </c>
      <c r="O196" s="35">
        <v>1</v>
      </c>
      <c r="P196" s="35">
        <v>1</v>
      </c>
      <c r="Q196" s="32"/>
      <c r="S196" s="1">
        <f t="shared" si="55"/>
        <v>0</v>
      </c>
      <c r="T196" s="1">
        <f t="shared" si="56"/>
        <v>1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2" t="s">
        <v>50</v>
      </c>
      <c r="E197" s="32" t="s">
        <v>753</v>
      </c>
      <c r="F197" s="32" t="s">
        <v>192</v>
      </c>
      <c r="G197" s="32" t="s">
        <v>193</v>
      </c>
      <c r="H197" s="32" t="s">
        <v>352</v>
      </c>
      <c r="I197" s="31" t="s">
        <v>385</v>
      </c>
      <c r="J197" s="31">
        <v>9</v>
      </c>
      <c r="K197" s="33" t="s">
        <v>933</v>
      </c>
      <c r="L197" s="33" t="s">
        <v>685</v>
      </c>
      <c r="M197" s="34" t="s">
        <v>946</v>
      </c>
      <c r="N197" s="34" t="s">
        <v>1752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1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4</v>
      </c>
      <c r="D198" s="32" t="s">
        <v>133</v>
      </c>
      <c r="E198" s="32" t="s">
        <v>176</v>
      </c>
      <c r="F198" s="32" t="s">
        <v>334</v>
      </c>
      <c r="G198" s="32" t="s">
        <v>212</v>
      </c>
      <c r="H198" s="32" t="s">
        <v>352</v>
      </c>
      <c r="I198" s="31" t="s">
        <v>480</v>
      </c>
      <c r="J198" s="31">
        <v>1</v>
      </c>
      <c r="K198" s="33" t="s">
        <v>933</v>
      </c>
      <c r="L198" s="33" t="s">
        <v>680</v>
      </c>
      <c r="M198" s="34" t="s">
        <v>682</v>
      </c>
      <c r="N198" s="34" t="s">
        <v>1696</v>
      </c>
      <c r="O198" s="35">
        <v>1</v>
      </c>
      <c r="P198" s="35"/>
      <c r="Q198" s="32"/>
      <c r="S198" s="1">
        <f t="shared" si="55"/>
        <v>1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4</v>
      </c>
      <c r="D199" s="36" t="s">
        <v>2119</v>
      </c>
      <c r="E199" s="32" t="s">
        <v>753</v>
      </c>
      <c r="F199" s="36" t="s">
        <v>2026</v>
      </c>
      <c r="G199" s="36" t="s">
        <v>212</v>
      </c>
      <c r="H199" s="36" t="s">
        <v>352</v>
      </c>
      <c r="I199" s="37" t="s">
        <v>2027</v>
      </c>
      <c r="J199" s="31">
        <v>1</v>
      </c>
      <c r="K199" s="33" t="s">
        <v>694</v>
      </c>
      <c r="L199" s="33"/>
      <c r="M199" s="34"/>
      <c r="N199" s="34" t="s">
        <v>1693</v>
      </c>
      <c r="O199" s="35">
        <v>1</v>
      </c>
      <c r="P199" s="35">
        <v>1</v>
      </c>
      <c r="Q199" s="32" t="s">
        <v>2028</v>
      </c>
      <c r="S199" s="1">
        <f t="shared" si="55"/>
        <v>1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125</v>
      </c>
      <c r="E200" s="32" t="s">
        <v>522</v>
      </c>
      <c r="F200" s="32" t="s">
        <v>325</v>
      </c>
      <c r="G200" s="32" t="s">
        <v>298</v>
      </c>
      <c r="H200" s="32" t="s">
        <v>352</v>
      </c>
      <c r="I200" s="31" t="s">
        <v>472</v>
      </c>
      <c r="J200" s="31">
        <v>99</v>
      </c>
      <c r="K200" s="33" t="s">
        <v>693</v>
      </c>
      <c r="L200" s="33" t="s">
        <v>680</v>
      </c>
      <c r="M200" s="34" t="s">
        <v>947</v>
      </c>
      <c r="N200" s="34" t="s">
        <v>1696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1689</v>
      </c>
      <c r="E201" s="32" t="s">
        <v>165</v>
      </c>
      <c r="F201" s="32" t="s">
        <v>1690</v>
      </c>
      <c r="G201" s="32" t="s">
        <v>1691</v>
      </c>
      <c r="H201" s="32" t="s">
        <v>352</v>
      </c>
      <c r="I201" s="31" t="s">
        <v>1692</v>
      </c>
      <c r="J201" s="31">
        <v>2</v>
      </c>
      <c r="K201" s="33" t="s">
        <v>694</v>
      </c>
      <c r="L201" s="33"/>
      <c r="M201" s="34"/>
      <c r="N201" s="34" t="s">
        <v>1693</v>
      </c>
      <c r="O201" s="35">
        <v>1</v>
      </c>
      <c r="P201" s="35">
        <v>1</v>
      </c>
      <c r="Q201" s="32"/>
      <c r="S201" s="1">
        <f t="shared" si="55"/>
        <v>0</v>
      </c>
      <c r="T201" s="1">
        <f t="shared" si="56"/>
        <v>1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1</v>
      </c>
      <c r="AE201" s="1">
        <f t="shared" si="66"/>
        <v>0</v>
      </c>
      <c r="AF201" s="1">
        <f t="shared" si="67"/>
        <v>1</v>
      </c>
      <c r="AG201" s="1">
        <f t="shared" si="68"/>
        <v>0</v>
      </c>
      <c r="AH201" s="1">
        <f t="shared" si="69"/>
        <v>1</v>
      </c>
      <c r="AI201" s="1">
        <f t="shared" si="70"/>
        <v>0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87</v>
      </c>
      <c r="E202" s="32" t="s">
        <v>165</v>
      </c>
      <c r="F202" s="32" t="s">
        <v>570</v>
      </c>
      <c r="G202" s="32" t="s">
        <v>193</v>
      </c>
      <c r="H202" s="32" t="s">
        <v>352</v>
      </c>
      <c r="I202" s="31" t="s">
        <v>434</v>
      </c>
      <c r="J202" s="31">
        <v>9</v>
      </c>
      <c r="K202" s="33" t="s">
        <v>933</v>
      </c>
      <c r="L202" s="33" t="s">
        <v>687</v>
      </c>
      <c r="M202" s="34" t="s">
        <v>682</v>
      </c>
      <c r="N202" s="34" t="s">
        <v>1696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1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1941</v>
      </c>
      <c r="E203" s="32" t="s">
        <v>165</v>
      </c>
      <c r="F203" s="32" t="s">
        <v>1942</v>
      </c>
      <c r="G203" s="32" t="s">
        <v>1945</v>
      </c>
      <c r="H203" s="32" t="s">
        <v>352</v>
      </c>
      <c r="I203" s="31" t="s">
        <v>1943</v>
      </c>
      <c r="J203" s="31">
        <v>99</v>
      </c>
      <c r="K203" s="33" t="s">
        <v>694</v>
      </c>
      <c r="L203" s="33">
        <v>25</v>
      </c>
      <c r="M203" s="34" t="s">
        <v>682</v>
      </c>
      <c r="N203" s="34" t="s">
        <v>1696</v>
      </c>
      <c r="O203" s="35">
        <v>1</v>
      </c>
      <c r="P203" s="35"/>
      <c r="Q203" s="32" t="s">
        <v>1944</v>
      </c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126</v>
      </c>
      <c r="E204" s="32" t="s">
        <v>165</v>
      </c>
      <c r="F204" s="32" t="s">
        <v>326</v>
      </c>
      <c r="G204" s="32" t="s">
        <v>179</v>
      </c>
      <c r="H204" s="32" t="s">
        <v>352</v>
      </c>
      <c r="I204" s="31" t="s">
        <v>473</v>
      </c>
      <c r="J204" s="31">
        <v>10</v>
      </c>
      <c r="K204" s="33" t="s">
        <v>935</v>
      </c>
      <c r="L204" s="33" t="s">
        <v>685</v>
      </c>
      <c r="M204" s="34" t="s">
        <v>682</v>
      </c>
      <c r="N204" s="34" t="s">
        <v>1741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136</v>
      </c>
      <c r="E205" s="32" t="s">
        <v>165</v>
      </c>
      <c r="F205" s="32" t="s">
        <v>544</v>
      </c>
      <c r="G205" s="32" t="s">
        <v>219</v>
      </c>
      <c r="H205" s="32" t="s">
        <v>352</v>
      </c>
      <c r="I205" s="31" t="s">
        <v>536</v>
      </c>
      <c r="J205" s="31">
        <v>8</v>
      </c>
      <c r="K205" s="33" t="s">
        <v>933</v>
      </c>
      <c r="L205" s="33" t="s">
        <v>685</v>
      </c>
      <c r="M205" s="34" t="s">
        <v>682</v>
      </c>
      <c r="N205" s="34" t="s">
        <v>1696</v>
      </c>
      <c r="O205" s="35">
        <v>1</v>
      </c>
      <c r="P205" s="35"/>
      <c r="Q205" s="32"/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1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1</v>
      </c>
      <c r="B206" s="31">
        <v>1</v>
      </c>
      <c r="C206" s="31">
        <v>5</v>
      </c>
      <c r="D206" s="32" t="s">
        <v>136</v>
      </c>
      <c r="E206" s="32" t="s">
        <v>165</v>
      </c>
      <c r="F206" s="32" t="s">
        <v>335</v>
      </c>
      <c r="G206" s="32" t="s">
        <v>336</v>
      </c>
      <c r="H206" s="32" t="s">
        <v>352</v>
      </c>
      <c r="I206" s="31" t="s">
        <v>482</v>
      </c>
      <c r="J206" s="31">
        <v>10</v>
      </c>
      <c r="K206" s="33" t="s">
        <v>933</v>
      </c>
      <c r="L206" s="33" t="s">
        <v>685</v>
      </c>
      <c r="M206" s="34" t="s">
        <v>682</v>
      </c>
      <c r="N206" s="34" t="s">
        <v>1696</v>
      </c>
      <c r="O206" s="35">
        <v>1</v>
      </c>
      <c r="P206" s="35"/>
      <c r="Q206" s="32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1</v>
      </c>
      <c r="AD206" s="1">
        <f t="shared" si="65"/>
        <v>0</v>
      </c>
      <c r="AE206" s="1">
        <f t="shared" si="66"/>
        <v>1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1598</v>
      </c>
      <c r="E207" s="32" t="s">
        <v>165</v>
      </c>
      <c r="F207" s="32" t="s">
        <v>846</v>
      </c>
      <c r="G207" s="32" t="s">
        <v>1625</v>
      </c>
      <c r="H207" s="32" t="s">
        <v>352</v>
      </c>
      <c r="I207" s="31" t="s">
        <v>847</v>
      </c>
      <c r="J207" s="31">
        <v>1</v>
      </c>
      <c r="K207" s="33" t="s">
        <v>713</v>
      </c>
      <c r="L207" s="33" t="s">
        <v>1667</v>
      </c>
      <c r="M207" s="34" t="s">
        <v>1365</v>
      </c>
      <c r="N207" s="34" t="s">
        <v>1696</v>
      </c>
      <c r="O207" s="35">
        <v>1</v>
      </c>
      <c r="P207" s="35"/>
      <c r="Q207" s="32"/>
      <c r="S207" s="1">
        <f t="shared" si="55"/>
        <v>1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1</v>
      </c>
      <c r="AF207" s="1">
        <f t="shared" si="67"/>
        <v>0</v>
      </c>
      <c r="AG207" s="1">
        <f t="shared" si="68"/>
        <v>1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2056</v>
      </c>
      <c r="E208" s="32" t="s">
        <v>165</v>
      </c>
      <c r="F208" s="32" t="s">
        <v>2057</v>
      </c>
      <c r="G208" s="32" t="s">
        <v>193</v>
      </c>
      <c r="H208" s="32" t="s">
        <v>352</v>
      </c>
      <c r="I208" s="31" t="s">
        <v>2058</v>
      </c>
      <c r="J208" s="31">
        <v>9</v>
      </c>
      <c r="K208" s="33" t="s">
        <v>694</v>
      </c>
      <c r="L208" s="33"/>
      <c r="M208" s="34"/>
      <c r="N208" s="34" t="s">
        <v>1693</v>
      </c>
      <c r="O208" s="35">
        <v>1</v>
      </c>
      <c r="P208" s="35">
        <v>1</v>
      </c>
      <c r="Q208" s="32" t="s">
        <v>2059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1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20" t="s">
        <v>1898</v>
      </c>
      <c r="E209" s="20" t="s">
        <v>872</v>
      </c>
      <c r="F209" s="20" t="s">
        <v>1915</v>
      </c>
      <c r="G209" s="20"/>
      <c r="H209" s="20" t="s">
        <v>1916</v>
      </c>
      <c r="I209" s="21" t="s">
        <v>1914</v>
      </c>
      <c r="J209" s="15">
        <v>15</v>
      </c>
      <c r="K209" s="10" t="s">
        <v>694</v>
      </c>
      <c r="L209" s="10" t="s">
        <v>688</v>
      </c>
      <c r="M209" s="19" t="s">
        <v>948</v>
      </c>
      <c r="N209" s="17"/>
      <c r="Q209" s="20" t="s">
        <v>1917</v>
      </c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0</v>
      </c>
      <c r="AF209" s="1">
        <f t="shared" si="67"/>
        <v>0</v>
      </c>
      <c r="AG209" s="1">
        <f t="shared" si="68"/>
        <v>0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866</v>
      </c>
      <c r="E210" s="32" t="s">
        <v>867</v>
      </c>
      <c r="F210" s="32" t="s">
        <v>1069</v>
      </c>
      <c r="G210" s="32" t="s">
        <v>39</v>
      </c>
      <c r="H210" s="32" t="s">
        <v>868</v>
      </c>
      <c r="I210" s="31" t="s">
        <v>869</v>
      </c>
      <c r="J210" s="31">
        <v>16</v>
      </c>
      <c r="K210" s="33" t="s">
        <v>694</v>
      </c>
      <c r="L210" s="33" t="s">
        <v>683</v>
      </c>
      <c r="M210" s="34" t="s">
        <v>947</v>
      </c>
      <c r="N210" s="34" t="s">
        <v>1693</v>
      </c>
      <c r="O210" s="35">
        <v>1</v>
      </c>
      <c r="P210" s="35">
        <v>1</v>
      </c>
      <c r="Q210" s="36" t="s">
        <v>1844</v>
      </c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1</v>
      </c>
      <c r="AE210" s="1">
        <f t="shared" si="66"/>
        <v>0</v>
      </c>
      <c r="AF210" s="1">
        <f t="shared" si="67"/>
        <v>1</v>
      </c>
      <c r="AG210" s="1">
        <f t="shared" si="68"/>
        <v>0</v>
      </c>
      <c r="AH210" s="1">
        <f t="shared" si="69"/>
        <v>1</v>
      </c>
      <c r="AI210" s="1">
        <f t="shared" si="70"/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105</v>
      </c>
      <c r="E211" s="32" t="s">
        <v>172</v>
      </c>
      <c r="F211" s="32" t="s">
        <v>302</v>
      </c>
      <c r="G211" s="32" t="s">
        <v>39</v>
      </c>
      <c r="H211" s="32" t="s">
        <v>357</v>
      </c>
      <c r="I211" s="31" t="s">
        <v>450</v>
      </c>
      <c r="J211" s="31">
        <v>14</v>
      </c>
      <c r="K211" s="33" t="s">
        <v>933</v>
      </c>
      <c r="L211" s="33" t="s">
        <v>684</v>
      </c>
      <c r="M211" s="34" t="s">
        <v>947</v>
      </c>
      <c r="N211" s="34" t="s">
        <v>1696</v>
      </c>
      <c r="O211" s="35">
        <v>1</v>
      </c>
      <c r="P211" s="35"/>
      <c r="Q211" s="32"/>
      <c r="S211" s="1">
        <f t="shared" si="55"/>
        <v>0</v>
      </c>
      <c r="T211" s="1">
        <f t="shared" si="56"/>
        <v>0</v>
      </c>
      <c r="U211" s="1">
        <f t="shared" si="57"/>
        <v>0</v>
      </c>
      <c r="V211" s="1">
        <f t="shared" si="58"/>
        <v>0</v>
      </c>
      <c r="W211" s="1">
        <f t="shared" si="59"/>
        <v>0</v>
      </c>
      <c r="X211" s="1">
        <f t="shared" si="60"/>
        <v>0</v>
      </c>
      <c r="Y211" s="1">
        <f t="shared" si="61"/>
        <v>0</v>
      </c>
      <c r="Z211" s="1">
        <f t="shared" si="62"/>
        <v>0</v>
      </c>
      <c r="AA211" s="1">
        <f t="shared" si="63"/>
        <v>0</v>
      </c>
      <c r="AB211" s="1">
        <f t="shared" si="64"/>
        <v>0</v>
      </c>
      <c r="AD211" s="1">
        <f t="shared" si="65"/>
        <v>0</v>
      </c>
      <c r="AE211" s="1">
        <f t="shared" si="66"/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509</v>
      </c>
      <c r="E212" s="32" t="s">
        <v>171</v>
      </c>
      <c r="F212" s="32" t="s">
        <v>545</v>
      </c>
      <c r="G212" s="32" t="s">
        <v>39</v>
      </c>
      <c r="H212" s="32" t="s">
        <v>360</v>
      </c>
      <c r="I212" s="31" t="s">
        <v>1091</v>
      </c>
      <c r="J212" s="31">
        <v>12</v>
      </c>
      <c r="K212" s="33" t="s">
        <v>694</v>
      </c>
      <c r="L212" s="33">
        <v>35</v>
      </c>
      <c r="M212" s="34" t="s">
        <v>947</v>
      </c>
      <c r="N212" s="34" t="s">
        <v>1776</v>
      </c>
      <c r="O212" s="35">
        <v>1</v>
      </c>
      <c r="P212" s="35"/>
      <c r="Q212" s="32"/>
      <c r="S212" s="1">
        <f t="shared" si="55"/>
        <v>0</v>
      </c>
      <c r="T212" s="1">
        <f t="shared" si="56"/>
        <v>0</v>
      </c>
      <c r="U212" s="1">
        <f t="shared" si="57"/>
        <v>0</v>
      </c>
      <c r="V212" s="1">
        <f t="shared" si="58"/>
        <v>0</v>
      </c>
      <c r="W212" s="1">
        <f t="shared" si="59"/>
        <v>0</v>
      </c>
      <c r="X212" s="1">
        <f t="shared" si="60"/>
        <v>0</v>
      </c>
      <c r="Y212" s="1">
        <f t="shared" si="61"/>
        <v>0</v>
      </c>
      <c r="Z212" s="1">
        <f t="shared" si="62"/>
        <v>0</v>
      </c>
      <c r="AA212" s="1">
        <f t="shared" si="63"/>
        <v>0</v>
      </c>
      <c r="AB212" s="1">
        <f t="shared" si="64"/>
        <v>0</v>
      </c>
      <c r="AD212" s="1">
        <f t="shared" si="65"/>
        <v>0</v>
      </c>
      <c r="AE212" s="1">
        <f t="shared" si="66"/>
        <v>1</v>
      </c>
      <c r="AF212" s="1">
        <f t="shared" si="67"/>
        <v>0</v>
      </c>
      <c r="AG212" s="1">
        <f t="shared" si="68"/>
        <v>1</v>
      </c>
      <c r="AH212" s="1">
        <f t="shared" si="69"/>
        <v>0</v>
      </c>
      <c r="AI212" s="1">
        <f t="shared" si="70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150</v>
      </c>
      <c r="E213" s="32" t="s">
        <v>165</v>
      </c>
      <c r="F213" s="36" t="s">
        <v>1821</v>
      </c>
      <c r="G213" s="32" t="s">
        <v>196</v>
      </c>
      <c r="H213" s="32" t="s">
        <v>352</v>
      </c>
      <c r="I213" s="31" t="s">
        <v>495</v>
      </c>
      <c r="J213" s="31">
        <v>99</v>
      </c>
      <c r="K213" s="33" t="s">
        <v>933</v>
      </c>
      <c r="L213" s="33" t="s">
        <v>684</v>
      </c>
      <c r="M213" s="34" t="s">
        <v>947</v>
      </c>
      <c r="N213" s="34" t="s">
        <v>1700</v>
      </c>
      <c r="O213" s="35">
        <v>1</v>
      </c>
      <c r="P213" s="35"/>
      <c r="Q213" s="32"/>
      <c r="S213" s="1">
        <f t="shared" ref="S213:S276" si="85">IF(J213=$S$7,1,0)</f>
        <v>0</v>
      </c>
      <c r="T213" s="1">
        <f t="shared" ref="T213:T276" si="86">IF(J213=$T$7,1,0)</f>
        <v>0</v>
      </c>
      <c r="U213" s="1">
        <f t="shared" ref="U213:U276" si="87">IF(J213=$U$7,1,0)</f>
        <v>0</v>
      </c>
      <c r="V213" s="1">
        <f t="shared" ref="V213:V276" si="88">IF(J213=$V$7,1,0)</f>
        <v>0</v>
      </c>
      <c r="W213" s="1">
        <f t="shared" ref="W213:W276" si="89">IF(J213=$W$7,1,0)</f>
        <v>0</v>
      </c>
      <c r="X213" s="1">
        <f t="shared" ref="X213:X276" si="90">IF(J213=$X$7,1,0)</f>
        <v>0</v>
      </c>
      <c r="Y213" s="1">
        <f t="shared" ref="Y213:Y276" si="91">IF(J213=$Y$7,1,0)</f>
        <v>0</v>
      </c>
      <c r="Z213" s="1">
        <f t="shared" ref="Z213:Z276" si="92">IF(J213=$Z$7,1,0)</f>
        <v>0</v>
      </c>
      <c r="AA213" s="1">
        <f t="shared" ref="AA213:AA276" si="93">IF(J213=$AA$7,1,0)</f>
        <v>0</v>
      </c>
      <c r="AB213" s="1">
        <f t="shared" ref="AB213:AB276" si="94">IF(J213=$AB$7,1,0)</f>
        <v>0</v>
      </c>
      <c r="AD213" s="1">
        <f t="shared" ref="AD213:AD276" si="95">+O213*P213</f>
        <v>0</v>
      </c>
      <c r="AE213" s="1">
        <f t="shared" ref="AE213:AE276" si="96">O213*(1-P213)</f>
        <v>1</v>
      </c>
      <c r="AF213" s="1">
        <f t="shared" si="67"/>
        <v>0</v>
      </c>
      <c r="AG213" s="1">
        <f t="shared" si="68"/>
        <v>1</v>
      </c>
      <c r="AH213" s="1">
        <f t="shared" si="69"/>
        <v>0</v>
      </c>
      <c r="AI213" s="1">
        <f t="shared" si="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641</v>
      </c>
      <c r="E214" s="32" t="s">
        <v>675</v>
      </c>
      <c r="F214" s="32" t="s">
        <v>637</v>
      </c>
      <c r="G214" s="32" t="s">
        <v>184</v>
      </c>
      <c r="H214" s="32" t="s">
        <v>352</v>
      </c>
      <c r="I214" s="31" t="s">
        <v>638</v>
      </c>
      <c r="J214" s="31">
        <v>99</v>
      </c>
      <c r="K214" s="33" t="s">
        <v>713</v>
      </c>
      <c r="L214" s="33" t="s">
        <v>684</v>
      </c>
      <c r="M214" s="34" t="s">
        <v>947</v>
      </c>
      <c r="N214" s="34" t="s">
        <v>1701</v>
      </c>
      <c r="O214" s="35">
        <v>1</v>
      </c>
      <c r="P214" s="35"/>
      <c r="Q214" s="32"/>
      <c r="S214" s="1">
        <f t="shared" si="85"/>
        <v>0</v>
      </c>
      <c r="T214" s="1">
        <f t="shared" si="86"/>
        <v>0</v>
      </c>
      <c r="U214" s="1">
        <f t="shared" si="87"/>
        <v>0</v>
      </c>
      <c r="V214" s="1">
        <f t="shared" si="88"/>
        <v>0</v>
      </c>
      <c r="W214" s="1">
        <f t="shared" si="89"/>
        <v>0</v>
      </c>
      <c r="X214" s="1">
        <f t="shared" si="90"/>
        <v>0</v>
      </c>
      <c r="Y214" s="1">
        <f t="shared" si="91"/>
        <v>0</v>
      </c>
      <c r="Z214" s="1">
        <f t="shared" si="92"/>
        <v>0</v>
      </c>
      <c r="AA214" s="1">
        <f t="shared" si="93"/>
        <v>0</v>
      </c>
      <c r="AB214" s="1">
        <f t="shared" si="94"/>
        <v>0</v>
      </c>
      <c r="AD214" s="1">
        <f t="shared" si="95"/>
        <v>0</v>
      </c>
      <c r="AE214" s="1">
        <f t="shared" si="96"/>
        <v>1</v>
      </c>
      <c r="AF214" s="1">
        <f t="shared" ref="AF214:AF277" si="97">+O214*P214*(1-A214)</f>
        <v>0</v>
      </c>
      <c r="AG214" s="1">
        <f t="shared" ref="AG214:AG277" si="98">O214*(1-P214)*(1-A214)</f>
        <v>1</v>
      </c>
      <c r="AH214" s="1">
        <f t="shared" ref="AH214:AH277" si="99">+P214*(1-A214)</f>
        <v>0</v>
      </c>
      <c r="AI214" s="1">
        <f t="shared" ref="AI214:AI277" si="100">+(1-A214)*(1-P214)</f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1278</v>
      </c>
      <c r="E215" s="32" t="s">
        <v>165</v>
      </c>
      <c r="F215" s="32" t="s">
        <v>1279</v>
      </c>
      <c r="G215" s="32" t="s">
        <v>281</v>
      </c>
      <c r="H215" s="32" t="s">
        <v>352</v>
      </c>
      <c r="I215" s="31" t="s">
        <v>1280</v>
      </c>
      <c r="J215" s="31">
        <v>99</v>
      </c>
      <c r="K215" s="33" t="s">
        <v>693</v>
      </c>
      <c r="L215" s="33" t="s">
        <v>39</v>
      </c>
      <c r="M215" s="34" t="s">
        <v>39</v>
      </c>
      <c r="N215" s="34" t="s">
        <v>1693</v>
      </c>
      <c r="O215" s="35">
        <v>1</v>
      </c>
      <c r="P215" s="35">
        <v>1</v>
      </c>
      <c r="Q215" s="32"/>
      <c r="S215" s="1">
        <f t="shared" si="85"/>
        <v>0</v>
      </c>
      <c r="T215" s="1">
        <f t="shared" si="86"/>
        <v>0</v>
      </c>
      <c r="U215" s="1">
        <f t="shared" si="87"/>
        <v>0</v>
      </c>
      <c r="V215" s="1">
        <f t="shared" si="88"/>
        <v>0</v>
      </c>
      <c r="W215" s="1">
        <f t="shared" si="89"/>
        <v>0</v>
      </c>
      <c r="X215" s="1">
        <f t="shared" si="90"/>
        <v>0</v>
      </c>
      <c r="Y215" s="1">
        <f t="shared" si="91"/>
        <v>0</v>
      </c>
      <c r="Z215" s="1">
        <f t="shared" si="92"/>
        <v>0</v>
      </c>
      <c r="AA215" s="1">
        <f t="shared" si="93"/>
        <v>0</v>
      </c>
      <c r="AB215" s="1">
        <f t="shared" si="94"/>
        <v>0</v>
      </c>
      <c r="AD215" s="1">
        <f t="shared" si="95"/>
        <v>1</v>
      </c>
      <c r="AE215" s="1">
        <f t="shared" si="96"/>
        <v>0</v>
      </c>
      <c r="AF215" s="1">
        <f t="shared" si="97"/>
        <v>1</v>
      </c>
      <c r="AG215" s="1">
        <f t="shared" si="98"/>
        <v>0</v>
      </c>
      <c r="AH215" s="1">
        <f t="shared" si="99"/>
        <v>1</v>
      </c>
      <c r="AI215" s="1">
        <f t="shared" si="100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871</v>
      </c>
      <c r="E216" s="32" t="s">
        <v>872</v>
      </c>
      <c r="F216" s="32" t="s">
        <v>913</v>
      </c>
      <c r="G216" s="32" t="s">
        <v>39</v>
      </c>
      <c r="H216" s="32" t="s">
        <v>873</v>
      </c>
      <c r="I216" s="31" t="s">
        <v>874</v>
      </c>
      <c r="J216" s="31">
        <v>17</v>
      </c>
      <c r="K216" s="33" t="s">
        <v>694</v>
      </c>
      <c r="L216" s="33" t="s">
        <v>688</v>
      </c>
      <c r="M216" s="34" t="s">
        <v>947</v>
      </c>
      <c r="N216" s="34" t="s">
        <v>1707</v>
      </c>
      <c r="O216" s="35">
        <v>1</v>
      </c>
      <c r="P216" s="35"/>
      <c r="Q216" s="32"/>
      <c r="S216" s="1">
        <f t="shared" si="85"/>
        <v>0</v>
      </c>
      <c r="T216" s="1">
        <f t="shared" si="86"/>
        <v>0</v>
      </c>
      <c r="U216" s="1">
        <f t="shared" si="87"/>
        <v>0</v>
      </c>
      <c r="V216" s="1">
        <f t="shared" si="88"/>
        <v>0</v>
      </c>
      <c r="W216" s="1">
        <f t="shared" si="89"/>
        <v>0</v>
      </c>
      <c r="X216" s="1">
        <f t="shared" si="90"/>
        <v>0</v>
      </c>
      <c r="Y216" s="1">
        <f t="shared" si="91"/>
        <v>0</v>
      </c>
      <c r="Z216" s="1">
        <f t="shared" si="92"/>
        <v>0</v>
      </c>
      <c r="AA216" s="1">
        <f t="shared" si="93"/>
        <v>0</v>
      </c>
      <c r="AB216" s="1">
        <f t="shared" si="94"/>
        <v>0</v>
      </c>
      <c r="AD216" s="1">
        <f t="shared" si="95"/>
        <v>0</v>
      </c>
      <c r="AE216" s="1">
        <f t="shared" si="96"/>
        <v>1</v>
      </c>
      <c r="AF216" s="1">
        <f t="shared" si="97"/>
        <v>0</v>
      </c>
      <c r="AG216" s="1">
        <f t="shared" si="98"/>
        <v>1</v>
      </c>
      <c r="AH216" s="1">
        <f t="shared" si="99"/>
        <v>0</v>
      </c>
      <c r="AI216" s="1">
        <f t="shared" si="100"/>
        <v>1</v>
      </c>
    </row>
    <row r="217" spans="1:35" ht="14.25" customHeight="1" x14ac:dyDescent="0.25">
      <c r="A217" s="15">
        <v>0</v>
      </c>
      <c r="B217" s="15">
        <v>1</v>
      </c>
      <c r="C217" s="15">
        <v>5</v>
      </c>
      <c r="D217" s="16" t="s">
        <v>1891</v>
      </c>
      <c r="E217" s="16" t="s">
        <v>872</v>
      </c>
      <c r="F217" s="16" t="s">
        <v>1893</v>
      </c>
      <c r="G217" s="16"/>
      <c r="H217" s="16" t="s">
        <v>1892</v>
      </c>
      <c r="I217" s="15" t="s">
        <v>1894</v>
      </c>
      <c r="J217" s="15">
        <v>16</v>
      </c>
      <c r="K217" s="10" t="s">
        <v>694</v>
      </c>
      <c r="L217" s="10" t="s">
        <v>688</v>
      </c>
      <c r="M217" s="19" t="s">
        <v>947</v>
      </c>
      <c r="N217" s="17"/>
      <c r="Q217" s="20" t="s">
        <v>1895</v>
      </c>
      <c r="S217" s="1">
        <f t="shared" si="85"/>
        <v>0</v>
      </c>
      <c r="T217" s="1">
        <f t="shared" si="86"/>
        <v>0</v>
      </c>
      <c r="U217" s="1">
        <f t="shared" si="87"/>
        <v>0</v>
      </c>
      <c r="V217" s="1">
        <f t="shared" si="88"/>
        <v>0</v>
      </c>
      <c r="W217" s="1">
        <f t="shared" si="89"/>
        <v>0</v>
      </c>
      <c r="X217" s="1">
        <f t="shared" si="90"/>
        <v>0</v>
      </c>
      <c r="Y217" s="1">
        <f t="shared" si="91"/>
        <v>0</v>
      </c>
      <c r="Z217" s="1">
        <f t="shared" si="92"/>
        <v>0</v>
      </c>
      <c r="AA217" s="1">
        <f t="shared" si="93"/>
        <v>0</v>
      </c>
      <c r="AB217" s="1">
        <f t="shared" si="94"/>
        <v>0</v>
      </c>
      <c r="AD217" s="1">
        <f t="shared" si="95"/>
        <v>0</v>
      </c>
      <c r="AE217" s="1">
        <f t="shared" si="96"/>
        <v>0</v>
      </c>
      <c r="AF217" s="1">
        <f t="shared" si="97"/>
        <v>0</v>
      </c>
      <c r="AG217" s="1">
        <f t="shared" si="98"/>
        <v>0</v>
      </c>
      <c r="AH217" s="1">
        <f t="shared" si="99"/>
        <v>0</v>
      </c>
      <c r="AI217" s="1">
        <f t="shared" si="100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130</v>
      </c>
      <c r="E218" s="32" t="s">
        <v>165</v>
      </c>
      <c r="F218" s="32" t="s">
        <v>330</v>
      </c>
      <c r="G218" s="32" t="s">
        <v>331</v>
      </c>
      <c r="H218" s="32" t="s">
        <v>352</v>
      </c>
      <c r="I218" s="31" t="s">
        <v>477</v>
      </c>
      <c r="J218" s="31">
        <v>99</v>
      </c>
      <c r="K218" s="33" t="s">
        <v>713</v>
      </c>
      <c r="L218" s="33" t="s">
        <v>685</v>
      </c>
      <c r="M218" s="34" t="s">
        <v>947</v>
      </c>
      <c r="N218" s="34" t="s">
        <v>1701</v>
      </c>
      <c r="O218" s="35">
        <v>1</v>
      </c>
      <c r="P218" s="35"/>
      <c r="Q218" s="32"/>
      <c r="S218" s="1">
        <f t="shared" si="85"/>
        <v>0</v>
      </c>
      <c r="T218" s="1">
        <f t="shared" si="86"/>
        <v>0</v>
      </c>
      <c r="U218" s="1">
        <f t="shared" si="87"/>
        <v>0</v>
      </c>
      <c r="V218" s="1">
        <f t="shared" si="88"/>
        <v>0</v>
      </c>
      <c r="W218" s="1">
        <f t="shared" si="89"/>
        <v>0</v>
      </c>
      <c r="X218" s="1">
        <f t="shared" si="90"/>
        <v>0</v>
      </c>
      <c r="Y218" s="1">
        <f t="shared" si="91"/>
        <v>0</v>
      </c>
      <c r="Z218" s="1">
        <f t="shared" si="92"/>
        <v>0</v>
      </c>
      <c r="AA218" s="1">
        <f t="shared" si="93"/>
        <v>0</v>
      </c>
      <c r="AB218" s="1">
        <f t="shared" si="94"/>
        <v>0</v>
      </c>
      <c r="AD218" s="1">
        <f t="shared" si="95"/>
        <v>0</v>
      </c>
      <c r="AE218" s="1">
        <f t="shared" si="96"/>
        <v>1</v>
      </c>
      <c r="AF218" s="1">
        <f t="shared" si="97"/>
        <v>0</v>
      </c>
      <c r="AG218" s="1">
        <f t="shared" si="98"/>
        <v>1</v>
      </c>
      <c r="AH218" s="1">
        <f t="shared" si="99"/>
        <v>0</v>
      </c>
      <c r="AI218" s="1">
        <f t="shared" si="100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108</v>
      </c>
      <c r="E219" s="32" t="s">
        <v>165</v>
      </c>
      <c r="F219" s="32" t="s">
        <v>305</v>
      </c>
      <c r="G219" s="32" t="s">
        <v>230</v>
      </c>
      <c r="H219" s="32" t="s">
        <v>352</v>
      </c>
      <c r="I219" s="31" t="s">
        <v>453</v>
      </c>
      <c r="J219" s="31">
        <v>99</v>
      </c>
      <c r="K219" s="33" t="s">
        <v>713</v>
      </c>
      <c r="L219" s="33" t="s">
        <v>687</v>
      </c>
      <c r="M219" s="34" t="s">
        <v>682</v>
      </c>
      <c r="N219" s="34" t="s">
        <v>1696</v>
      </c>
      <c r="O219" s="35">
        <v>1</v>
      </c>
      <c r="P219" s="35"/>
      <c r="Q219" s="32"/>
      <c r="S219" s="1">
        <f t="shared" si="85"/>
        <v>0</v>
      </c>
      <c r="T219" s="1">
        <f t="shared" si="86"/>
        <v>0</v>
      </c>
      <c r="U219" s="1">
        <f t="shared" si="87"/>
        <v>0</v>
      </c>
      <c r="V219" s="1">
        <f t="shared" si="88"/>
        <v>0</v>
      </c>
      <c r="W219" s="1">
        <f t="shared" si="89"/>
        <v>0</v>
      </c>
      <c r="X219" s="1">
        <f t="shared" si="90"/>
        <v>0</v>
      </c>
      <c r="Y219" s="1">
        <f t="shared" si="91"/>
        <v>0</v>
      </c>
      <c r="Z219" s="1">
        <f t="shared" si="92"/>
        <v>0</v>
      </c>
      <c r="AA219" s="1">
        <f t="shared" si="93"/>
        <v>0</v>
      </c>
      <c r="AB219" s="1">
        <f t="shared" si="94"/>
        <v>0</v>
      </c>
      <c r="AD219" s="1">
        <f t="shared" si="95"/>
        <v>0</v>
      </c>
      <c r="AE219" s="1">
        <f t="shared" si="96"/>
        <v>1</v>
      </c>
      <c r="AF219" s="1">
        <f t="shared" si="97"/>
        <v>0</v>
      </c>
      <c r="AG219" s="1">
        <f t="shared" si="98"/>
        <v>1</v>
      </c>
      <c r="AH219" s="1">
        <f t="shared" si="99"/>
        <v>0</v>
      </c>
      <c r="AI219" s="1">
        <f t="shared" si="100"/>
        <v>1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110</v>
      </c>
      <c r="E220" s="32" t="s">
        <v>171</v>
      </c>
      <c r="F220" s="32" t="s">
        <v>308</v>
      </c>
      <c r="G220" s="32" t="s">
        <v>39</v>
      </c>
      <c r="H220" s="32" t="s">
        <v>362</v>
      </c>
      <c r="I220" s="31" t="s">
        <v>456</v>
      </c>
      <c r="J220" s="31">
        <v>17</v>
      </c>
      <c r="K220" s="33" t="s">
        <v>694</v>
      </c>
      <c r="L220" s="33" t="s">
        <v>688</v>
      </c>
      <c r="M220" s="34" t="s">
        <v>682</v>
      </c>
      <c r="N220" s="34" t="s">
        <v>1693</v>
      </c>
      <c r="O220" s="35">
        <v>1</v>
      </c>
      <c r="P220" s="35">
        <v>1</v>
      </c>
      <c r="Q220" s="32" t="s">
        <v>1865</v>
      </c>
      <c r="S220" s="1">
        <f t="shared" si="85"/>
        <v>0</v>
      </c>
      <c r="T220" s="1">
        <f t="shared" si="86"/>
        <v>0</v>
      </c>
      <c r="U220" s="1">
        <f t="shared" si="87"/>
        <v>0</v>
      </c>
      <c r="V220" s="1">
        <f t="shared" si="88"/>
        <v>0</v>
      </c>
      <c r="W220" s="1">
        <f t="shared" si="89"/>
        <v>0</v>
      </c>
      <c r="X220" s="1">
        <f t="shared" si="90"/>
        <v>0</v>
      </c>
      <c r="Y220" s="1">
        <f t="shared" si="91"/>
        <v>0</v>
      </c>
      <c r="Z220" s="1">
        <f t="shared" si="92"/>
        <v>0</v>
      </c>
      <c r="AA220" s="1">
        <f t="shared" si="93"/>
        <v>0</v>
      </c>
      <c r="AB220" s="1">
        <f t="shared" si="94"/>
        <v>0</v>
      </c>
      <c r="AD220" s="1">
        <f t="shared" si="95"/>
        <v>1</v>
      </c>
      <c r="AE220" s="1">
        <f t="shared" si="96"/>
        <v>0</v>
      </c>
      <c r="AF220" s="1">
        <f t="shared" si="97"/>
        <v>1</v>
      </c>
      <c r="AG220" s="1">
        <f t="shared" si="98"/>
        <v>0</v>
      </c>
      <c r="AH220" s="1">
        <f t="shared" si="99"/>
        <v>1</v>
      </c>
      <c r="AI220" s="1">
        <f t="shared" si="100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521</v>
      </c>
      <c r="E221" s="32" t="s">
        <v>522</v>
      </c>
      <c r="F221" s="32" t="s">
        <v>523</v>
      </c>
      <c r="G221" s="32" t="s">
        <v>201</v>
      </c>
      <c r="H221" s="32" t="s">
        <v>352</v>
      </c>
      <c r="I221" s="31" t="s">
        <v>524</v>
      </c>
      <c r="J221" s="31">
        <v>10</v>
      </c>
      <c r="K221" s="33" t="s">
        <v>693</v>
      </c>
      <c r="L221" s="33" t="s">
        <v>684</v>
      </c>
      <c r="M221" s="34" t="s">
        <v>947</v>
      </c>
      <c r="N221" s="34" t="s">
        <v>1693</v>
      </c>
      <c r="O221" s="35">
        <v>1</v>
      </c>
      <c r="P221" s="35">
        <v>1</v>
      </c>
      <c r="Q221" s="32"/>
      <c r="S221" s="1">
        <f t="shared" si="85"/>
        <v>0</v>
      </c>
      <c r="T221" s="1">
        <f t="shared" si="86"/>
        <v>0</v>
      </c>
      <c r="U221" s="1">
        <f t="shared" si="87"/>
        <v>0</v>
      </c>
      <c r="V221" s="1">
        <f t="shared" si="88"/>
        <v>0</v>
      </c>
      <c r="W221" s="1">
        <f t="shared" si="89"/>
        <v>0</v>
      </c>
      <c r="X221" s="1">
        <f t="shared" si="90"/>
        <v>0</v>
      </c>
      <c r="Y221" s="1">
        <f t="shared" si="91"/>
        <v>0</v>
      </c>
      <c r="Z221" s="1">
        <f t="shared" si="92"/>
        <v>0</v>
      </c>
      <c r="AA221" s="1">
        <f t="shared" si="93"/>
        <v>0</v>
      </c>
      <c r="AB221" s="1">
        <f t="shared" si="94"/>
        <v>1</v>
      </c>
      <c r="AD221" s="1">
        <f t="shared" si="95"/>
        <v>1</v>
      </c>
      <c r="AE221" s="1">
        <f t="shared" si="96"/>
        <v>0</v>
      </c>
      <c r="AF221" s="1">
        <f t="shared" si="97"/>
        <v>1</v>
      </c>
      <c r="AG221" s="1">
        <f t="shared" si="98"/>
        <v>0</v>
      </c>
      <c r="AH221" s="1">
        <f t="shared" si="99"/>
        <v>1</v>
      </c>
      <c r="AI221" s="1">
        <f t="shared" si="100"/>
        <v>0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1462</v>
      </c>
      <c r="E222" s="32" t="s">
        <v>165</v>
      </c>
      <c r="F222" s="32" t="s">
        <v>1463</v>
      </c>
      <c r="G222" s="32" t="s">
        <v>179</v>
      </c>
      <c r="H222" s="32" t="s">
        <v>352</v>
      </c>
      <c r="I222" s="31" t="s">
        <v>1464</v>
      </c>
      <c r="J222" s="31">
        <v>10</v>
      </c>
      <c r="K222" s="33" t="s">
        <v>933</v>
      </c>
      <c r="L222" s="33" t="s">
        <v>684</v>
      </c>
      <c r="M222" s="34" t="s">
        <v>947</v>
      </c>
      <c r="N222" s="34" t="s">
        <v>1687</v>
      </c>
      <c r="O222" s="35">
        <v>1</v>
      </c>
      <c r="P222" s="35">
        <v>1</v>
      </c>
      <c r="Q222" s="32"/>
      <c r="S222" s="1">
        <f t="shared" si="85"/>
        <v>0</v>
      </c>
      <c r="T222" s="1">
        <f t="shared" si="86"/>
        <v>0</v>
      </c>
      <c r="U222" s="1">
        <f t="shared" si="87"/>
        <v>0</v>
      </c>
      <c r="V222" s="1">
        <f t="shared" si="88"/>
        <v>0</v>
      </c>
      <c r="W222" s="1">
        <f t="shared" si="89"/>
        <v>0</v>
      </c>
      <c r="X222" s="1">
        <f t="shared" si="90"/>
        <v>0</v>
      </c>
      <c r="Y222" s="1">
        <f t="shared" si="91"/>
        <v>0</v>
      </c>
      <c r="Z222" s="1">
        <f t="shared" si="92"/>
        <v>0</v>
      </c>
      <c r="AA222" s="1">
        <f t="shared" si="93"/>
        <v>0</v>
      </c>
      <c r="AB222" s="1">
        <f t="shared" si="94"/>
        <v>1</v>
      </c>
      <c r="AD222" s="1">
        <f t="shared" si="95"/>
        <v>1</v>
      </c>
      <c r="AE222" s="1">
        <f t="shared" si="96"/>
        <v>0</v>
      </c>
      <c r="AF222" s="1">
        <f t="shared" si="97"/>
        <v>1</v>
      </c>
      <c r="AG222" s="1">
        <f t="shared" si="98"/>
        <v>0</v>
      </c>
      <c r="AH222" s="1">
        <f t="shared" si="99"/>
        <v>1</v>
      </c>
      <c r="AI222" s="1">
        <f t="shared" si="100"/>
        <v>0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1709</v>
      </c>
      <c r="E223" s="32" t="s">
        <v>165</v>
      </c>
      <c r="F223" s="32" t="s">
        <v>1710</v>
      </c>
      <c r="G223" s="32" t="s">
        <v>1711</v>
      </c>
      <c r="H223" s="32" t="s">
        <v>352</v>
      </c>
      <c r="I223" s="31" t="s">
        <v>1712</v>
      </c>
      <c r="J223" s="31">
        <v>1</v>
      </c>
      <c r="K223" s="33" t="s">
        <v>694</v>
      </c>
      <c r="L223" s="33"/>
      <c r="M223" s="34"/>
      <c r="N223" s="34" t="s">
        <v>1700</v>
      </c>
      <c r="O223" s="35">
        <v>1</v>
      </c>
      <c r="P223" s="35"/>
      <c r="Q223" s="32"/>
      <c r="S223" s="1">
        <f t="shared" si="85"/>
        <v>1</v>
      </c>
      <c r="T223" s="1">
        <f t="shared" si="86"/>
        <v>0</v>
      </c>
      <c r="U223" s="1">
        <f t="shared" si="87"/>
        <v>0</v>
      </c>
      <c r="V223" s="1">
        <f t="shared" si="88"/>
        <v>0</v>
      </c>
      <c r="W223" s="1">
        <f t="shared" si="89"/>
        <v>0</v>
      </c>
      <c r="X223" s="1">
        <f t="shared" si="90"/>
        <v>0</v>
      </c>
      <c r="Y223" s="1">
        <f t="shared" si="91"/>
        <v>0</v>
      </c>
      <c r="Z223" s="1">
        <f t="shared" si="92"/>
        <v>0</v>
      </c>
      <c r="AA223" s="1">
        <f t="shared" si="93"/>
        <v>0</v>
      </c>
      <c r="AB223" s="1">
        <f t="shared" si="94"/>
        <v>0</v>
      </c>
      <c r="AD223" s="1">
        <f t="shared" si="95"/>
        <v>0</v>
      </c>
      <c r="AE223" s="1">
        <f t="shared" si="96"/>
        <v>1</v>
      </c>
      <c r="AF223" s="1">
        <f t="shared" si="97"/>
        <v>0</v>
      </c>
      <c r="AG223" s="1">
        <f t="shared" si="98"/>
        <v>1</v>
      </c>
      <c r="AH223" s="1">
        <f t="shared" si="99"/>
        <v>0</v>
      </c>
      <c r="AI223" s="1">
        <f t="shared" si="100"/>
        <v>1</v>
      </c>
    </row>
    <row r="224" spans="1:35" ht="14.25" customHeight="1" x14ac:dyDescent="0.25">
      <c r="A224" s="61">
        <v>0</v>
      </c>
      <c r="B224" s="61">
        <v>1</v>
      </c>
      <c r="C224" s="61">
        <v>5</v>
      </c>
      <c r="D224" s="62" t="s">
        <v>1003</v>
      </c>
      <c r="E224" s="62" t="s">
        <v>1064</v>
      </c>
      <c r="F224" s="62" t="s">
        <v>1004</v>
      </c>
      <c r="G224" s="62" t="s">
        <v>193</v>
      </c>
      <c r="H224" s="62" t="s">
        <v>352</v>
      </c>
      <c r="I224" s="61" t="s">
        <v>1005</v>
      </c>
      <c r="J224" s="61">
        <v>9</v>
      </c>
      <c r="K224" s="63" t="s">
        <v>713</v>
      </c>
      <c r="L224" s="63" t="s">
        <v>1664</v>
      </c>
      <c r="M224" s="64" t="s">
        <v>1565</v>
      </c>
      <c r="N224" s="64" t="s">
        <v>1696</v>
      </c>
      <c r="O224" s="65">
        <v>1</v>
      </c>
      <c r="P224" s="65"/>
      <c r="Q224" s="62"/>
      <c r="S224" s="1">
        <f t="shared" si="85"/>
        <v>0</v>
      </c>
      <c r="T224" s="1">
        <f t="shared" si="86"/>
        <v>0</v>
      </c>
      <c r="U224" s="1">
        <f t="shared" si="87"/>
        <v>0</v>
      </c>
      <c r="V224" s="1">
        <f t="shared" si="88"/>
        <v>0</v>
      </c>
      <c r="W224" s="1">
        <f t="shared" si="89"/>
        <v>0</v>
      </c>
      <c r="X224" s="1">
        <f t="shared" si="90"/>
        <v>0</v>
      </c>
      <c r="Y224" s="1">
        <f t="shared" si="91"/>
        <v>0</v>
      </c>
      <c r="Z224" s="1">
        <f t="shared" si="92"/>
        <v>0</v>
      </c>
      <c r="AA224" s="1">
        <f t="shared" si="93"/>
        <v>1</v>
      </c>
      <c r="AB224" s="1">
        <f t="shared" si="94"/>
        <v>0</v>
      </c>
      <c r="AD224" s="1">
        <f t="shared" si="95"/>
        <v>0</v>
      </c>
      <c r="AE224" s="1">
        <f t="shared" si="96"/>
        <v>1</v>
      </c>
      <c r="AF224" s="1">
        <f t="shared" si="97"/>
        <v>0</v>
      </c>
      <c r="AG224" s="1">
        <f t="shared" si="98"/>
        <v>1</v>
      </c>
      <c r="AH224" s="1">
        <f t="shared" si="99"/>
        <v>0</v>
      </c>
      <c r="AI224" s="1">
        <f t="shared" si="100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1575</v>
      </c>
      <c r="E225" s="32" t="s">
        <v>165</v>
      </c>
      <c r="F225" s="32" t="s">
        <v>1576</v>
      </c>
      <c r="G225" s="32" t="s">
        <v>212</v>
      </c>
      <c r="H225" s="32" t="s">
        <v>352</v>
      </c>
      <c r="I225" s="31" t="s">
        <v>1577</v>
      </c>
      <c r="J225" s="31">
        <v>1</v>
      </c>
      <c r="K225" s="33" t="s">
        <v>713</v>
      </c>
      <c r="L225" s="33" t="s">
        <v>685</v>
      </c>
      <c r="M225" s="34" t="s">
        <v>947</v>
      </c>
      <c r="N225" s="34" t="s">
        <v>1752</v>
      </c>
      <c r="O225" s="35">
        <v>1</v>
      </c>
      <c r="P225" s="35"/>
      <c r="Q225" s="32"/>
      <c r="S225" s="1">
        <f t="shared" si="85"/>
        <v>1</v>
      </c>
      <c r="T225" s="1">
        <f t="shared" si="86"/>
        <v>0</v>
      </c>
      <c r="U225" s="1">
        <f t="shared" si="87"/>
        <v>0</v>
      </c>
      <c r="V225" s="1">
        <f t="shared" si="88"/>
        <v>0</v>
      </c>
      <c r="W225" s="1">
        <f t="shared" si="89"/>
        <v>0</v>
      </c>
      <c r="X225" s="1">
        <f t="shared" si="90"/>
        <v>0</v>
      </c>
      <c r="Y225" s="1">
        <f t="shared" si="91"/>
        <v>0</v>
      </c>
      <c r="Z225" s="1">
        <f t="shared" si="92"/>
        <v>0</v>
      </c>
      <c r="AA225" s="1">
        <f t="shared" si="93"/>
        <v>0</v>
      </c>
      <c r="AB225" s="1">
        <f t="shared" si="94"/>
        <v>0</v>
      </c>
      <c r="AD225" s="1">
        <f t="shared" si="95"/>
        <v>0</v>
      </c>
      <c r="AE225" s="1">
        <f t="shared" si="96"/>
        <v>1</v>
      </c>
      <c r="AF225" s="1">
        <f t="shared" si="97"/>
        <v>0</v>
      </c>
      <c r="AG225" s="1">
        <f t="shared" si="98"/>
        <v>1</v>
      </c>
      <c r="AH225" s="1">
        <f t="shared" si="99"/>
        <v>0</v>
      </c>
      <c r="AI225" s="1">
        <f t="shared" si="100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146</v>
      </c>
      <c r="E226" s="32" t="s">
        <v>541</v>
      </c>
      <c r="F226" s="32" t="s">
        <v>1560</v>
      </c>
      <c r="G226" s="32" t="s">
        <v>1634</v>
      </c>
      <c r="H226" s="32" t="s">
        <v>352</v>
      </c>
      <c r="I226" s="31" t="s">
        <v>491</v>
      </c>
      <c r="J226" s="31">
        <v>99</v>
      </c>
      <c r="K226" s="33" t="s">
        <v>693</v>
      </c>
      <c r="L226" s="33" t="s">
        <v>680</v>
      </c>
      <c r="M226" s="34" t="s">
        <v>947</v>
      </c>
      <c r="N226" s="34" t="s">
        <v>1776</v>
      </c>
      <c r="O226" s="35">
        <v>1</v>
      </c>
      <c r="P226" s="35"/>
      <c r="Q226" s="32"/>
      <c r="S226" s="1">
        <f t="shared" si="85"/>
        <v>0</v>
      </c>
      <c r="T226" s="1">
        <f t="shared" si="86"/>
        <v>0</v>
      </c>
      <c r="U226" s="1">
        <f t="shared" si="87"/>
        <v>0</v>
      </c>
      <c r="V226" s="1">
        <f t="shared" si="88"/>
        <v>0</v>
      </c>
      <c r="W226" s="1">
        <f t="shared" si="89"/>
        <v>0</v>
      </c>
      <c r="X226" s="1">
        <f t="shared" si="90"/>
        <v>0</v>
      </c>
      <c r="Y226" s="1">
        <f t="shared" si="91"/>
        <v>0</v>
      </c>
      <c r="Z226" s="1">
        <f t="shared" si="92"/>
        <v>0</v>
      </c>
      <c r="AA226" s="1">
        <f t="shared" si="93"/>
        <v>0</v>
      </c>
      <c r="AB226" s="1">
        <f t="shared" si="94"/>
        <v>0</v>
      </c>
      <c r="AD226" s="1">
        <f t="shared" si="95"/>
        <v>0</v>
      </c>
      <c r="AE226" s="1">
        <f t="shared" si="96"/>
        <v>1</v>
      </c>
      <c r="AF226" s="1">
        <f t="shared" si="97"/>
        <v>0</v>
      </c>
      <c r="AG226" s="1">
        <f t="shared" si="98"/>
        <v>1</v>
      </c>
      <c r="AH226" s="1">
        <f t="shared" si="99"/>
        <v>0</v>
      </c>
      <c r="AI226" s="1">
        <f t="shared" si="100"/>
        <v>1</v>
      </c>
    </row>
    <row r="227" spans="1:35" ht="14.25" customHeight="1" x14ac:dyDescent="0.25">
      <c r="A227" s="15">
        <v>0</v>
      </c>
      <c r="B227" s="15">
        <v>1</v>
      </c>
      <c r="C227" s="15">
        <v>5</v>
      </c>
      <c r="D227" s="16" t="s">
        <v>1181</v>
      </c>
      <c r="E227" s="16" t="s">
        <v>165</v>
      </c>
      <c r="F227" s="16" t="s">
        <v>1182</v>
      </c>
      <c r="G227" s="16" t="s">
        <v>1183</v>
      </c>
      <c r="H227" s="16" t="s">
        <v>352</v>
      </c>
      <c r="I227" s="15" t="s">
        <v>1184</v>
      </c>
      <c r="J227" s="15">
        <v>99</v>
      </c>
      <c r="K227" s="10" t="s">
        <v>694</v>
      </c>
      <c r="L227" s="10">
        <v>30</v>
      </c>
      <c r="M227" s="19" t="s">
        <v>947</v>
      </c>
      <c r="N227" s="19"/>
      <c r="Q227" s="16"/>
      <c r="S227" s="1">
        <f t="shared" si="85"/>
        <v>0</v>
      </c>
      <c r="T227" s="1">
        <f t="shared" si="86"/>
        <v>0</v>
      </c>
      <c r="U227" s="1">
        <f t="shared" si="87"/>
        <v>0</v>
      </c>
      <c r="V227" s="1">
        <f t="shared" si="88"/>
        <v>0</v>
      </c>
      <c r="W227" s="1">
        <f t="shared" si="89"/>
        <v>0</v>
      </c>
      <c r="X227" s="1">
        <f t="shared" si="90"/>
        <v>0</v>
      </c>
      <c r="Y227" s="1">
        <f t="shared" si="91"/>
        <v>0</v>
      </c>
      <c r="Z227" s="1">
        <f t="shared" si="92"/>
        <v>0</v>
      </c>
      <c r="AA227" s="1">
        <f t="shared" si="93"/>
        <v>0</v>
      </c>
      <c r="AB227" s="1">
        <f t="shared" si="94"/>
        <v>0</v>
      </c>
      <c r="AD227" s="1">
        <f t="shared" si="95"/>
        <v>0</v>
      </c>
      <c r="AE227" s="1">
        <f t="shared" si="96"/>
        <v>0</v>
      </c>
      <c r="AF227" s="1">
        <f t="shared" si="97"/>
        <v>0</v>
      </c>
      <c r="AG227" s="1">
        <f t="shared" si="98"/>
        <v>0</v>
      </c>
      <c r="AH227" s="1">
        <f t="shared" si="99"/>
        <v>0</v>
      </c>
      <c r="AI227" s="1">
        <f t="shared" si="100"/>
        <v>1</v>
      </c>
    </row>
    <row r="228" spans="1:35" ht="14.25" customHeight="1" x14ac:dyDescent="0.25">
      <c r="A228" s="31">
        <v>0</v>
      </c>
      <c r="B228" s="31">
        <v>1</v>
      </c>
      <c r="C228" s="31">
        <v>5</v>
      </c>
      <c r="D228" s="32" t="s">
        <v>1561</v>
      </c>
      <c r="E228" s="32" t="s">
        <v>171</v>
      </c>
      <c r="F228" s="32" t="s">
        <v>789</v>
      </c>
      <c r="G228" s="32" t="s">
        <v>39</v>
      </c>
      <c r="H228" s="32" t="s">
        <v>790</v>
      </c>
      <c r="I228" s="31" t="s">
        <v>791</v>
      </c>
      <c r="J228" s="31">
        <v>16</v>
      </c>
      <c r="K228" s="33" t="s">
        <v>934</v>
      </c>
      <c r="L228" s="33" t="s">
        <v>1695</v>
      </c>
      <c r="M228" s="34" t="s">
        <v>947</v>
      </c>
      <c r="N228" s="34" t="s">
        <v>1700</v>
      </c>
      <c r="O228" s="35">
        <v>1</v>
      </c>
      <c r="P228" s="35"/>
      <c r="Q228" s="32"/>
      <c r="S228" s="1">
        <f t="shared" si="85"/>
        <v>0</v>
      </c>
      <c r="T228" s="1">
        <f t="shared" si="86"/>
        <v>0</v>
      </c>
      <c r="U228" s="1">
        <f t="shared" si="87"/>
        <v>0</v>
      </c>
      <c r="V228" s="1">
        <f t="shared" si="88"/>
        <v>0</v>
      </c>
      <c r="W228" s="1">
        <f t="shared" si="89"/>
        <v>0</v>
      </c>
      <c r="X228" s="1">
        <f t="shared" si="90"/>
        <v>0</v>
      </c>
      <c r="Y228" s="1">
        <f t="shared" si="91"/>
        <v>0</v>
      </c>
      <c r="Z228" s="1">
        <f t="shared" si="92"/>
        <v>0</v>
      </c>
      <c r="AA228" s="1">
        <f t="shared" si="93"/>
        <v>0</v>
      </c>
      <c r="AB228" s="1">
        <f t="shared" si="94"/>
        <v>0</v>
      </c>
      <c r="AD228" s="1">
        <f t="shared" si="95"/>
        <v>0</v>
      </c>
      <c r="AE228" s="1">
        <f t="shared" si="96"/>
        <v>1</v>
      </c>
      <c r="AF228" s="1">
        <f t="shared" si="97"/>
        <v>0</v>
      </c>
      <c r="AG228" s="1">
        <f t="shared" si="98"/>
        <v>1</v>
      </c>
      <c r="AH228" s="1">
        <f t="shared" si="99"/>
        <v>0</v>
      </c>
      <c r="AI228" s="1">
        <f t="shared" si="100"/>
        <v>1</v>
      </c>
    </row>
    <row r="229" spans="1:35" ht="14.25" customHeight="1" x14ac:dyDescent="0.25">
      <c r="A229" s="31">
        <v>0</v>
      </c>
      <c r="B229" s="31">
        <v>1</v>
      </c>
      <c r="C229" s="31">
        <v>5</v>
      </c>
      <c r="D229" s="32" t="s">
        <v>498</v>
      </c>
      <c r="E229" s="32" t="s">
        <v>165</v>
      </c>
      <c r="F229" s="32" t="s">
        <v>499</v>
      </c>
      <c r="G229" s="32" t="s">
        <v>500</v>
      </c>
      <c r="H229" s="32" t="s">
        <v>352</v>
      </c>
      <c r="I229" s="31" t="s">
        <v>501</v>
      </c>
      <c r="J229" s="31">
        <v>99</v>
      </c>
      <c r="K229" s="33" t="s">
        <v>934</v>
      </c>
      <c r="L229" s="33" t="s">
        <v>685</v>
      </c>
      <c r="M229" s="34" t="s">
        <v>682</v>
      </c>
      <c r="N229" s="34" t="s">
        <v>1687</v>
      </c>
      <c r="O229" s="35">
        <v>1</v>
      </c>
      <c r="P229" s="35">
        <v>1</v>
      </c>
      <c r="Q229" s="32"/>
      <c r="S229" s="1">
        <f t="shared" si="85"/>
        <v>0</v>
      </c>
      <c r="T229" s="1">
        <f t="shared" si="86"/>
        <v>0</v>
      </c>
      <c r="U229" s="1">
        <f t="shared" si="87"/>
        <v>0</v>
      </c>
      <c r="V229" s="1">
        <f t="shared" si="88"/>
        <v>0</v>
      </c>
      <c r="W229" s="1">
        <f t="shared" si="89"/>
        <v>0</v>
      </c>
      <c r="X229" s="1">
        <f t="shared" si="90"/>
        <v>0</v>
      </c>
      <c r="Y229" s="1">
        <f t="shared" si="91"/>
        <v>0</v>
      </c>
      <c r="Z229" s="1">
        <f t="shared" si="92"/>
        <v>0</v>
      </c>
      <c r="AA229" s="1">
        <f t="shared" si="93"/>
        <v>0</v>
      </c>
      <c r="AB229" s="1">
        <f t="shared" si="94"/>
        <v>0</v>
      </c>
      <c r="AD229" s="1">
        <f t="shared" si="95"/>
        <v>1</v>
      </c>
      <c r="AE229" s="1">
        <f t="shared" si="96"/>
        <v>0</v>
      </c>
      <c r="AF229" s="1">
        <f t="shared" si="97"/>
        <v>1</v>
      </c>
      <c r="AG229" s="1">
        <f t="shared" si="98"/>
        <v>0</v>
      </c>
      <c r="AH229" s="1">
        <f t="shared" si="99"/>
        <v>1</v>
      </c>
      <c r="AI229" s="1">
        <f t="shared" si="100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1413</v>
      </c>
      <c r="E230" s="32" t="s">
        <v>166</v>
      </c>
      <c r="F230" s="32" t="s">
        <v>1414</v>
      </c>
      <c r="G230" s="32" t="s">
        <v>178</v>
      </c>
      <c r="H230" s="32" t="s">
        <v>352</v>
      </c>
      <c r="I230" s="31" t="s">
        <v>1415</v>
      </c>
      <c r="J230" s="31">
        <v>99</v>
      </c>
      <c r="K230" s="33" t="s">
        <v>933</v>
      </c>
      <c r="L230" s="33" t="s">
        <v>687</v>
      </c>
      <c r="M230" s="34" t="s">
        <v>1416</v>
      </c>
      <c r="N230" s="34" t="s">
        <v>1701</v>
      </c>
      <c r="O230" s="35">
        <v>1</v>
      </c>
      <c r="P230" s="35"/>
      <c r="Q230" s="36"/>
      <c r="S230" s="1">
        <f t="shared" si="85"/>
        <v>0</v>
      </c>
      <c r="T230" s="1">
        <f t="shared" si="86"/>
        <v>0</v>
      </c>
      <c r="U230" s="1">
        <f t="shared" si="87"/>
        <v>0</v>
      </c>
      <c r="V230" s="1">
        <f t="shared" si="88"/>
        <v>0</v>
      </c>
      <c r="W230" s="1">
        <f t="shared" si="89"/>
        <v>0</v>
      </c>
      <c r="X230" s="1">
        <f t="shared" si="90"/>
        <v>0</v>
      </c>
      <c r="Y230" s="1">
        <f t="shared" si="91"/>
        <v>0</v>
      </c>
      <c r="Z230" s="1">
        <f t="shared" si="92"/>
        <v>0</v>
      </c>
      <c r="AA230" s="1">
        <f t="shared" si="93"/>
        <v>0</v>
      </c>
      <c r="AB230" s="1">
        <f t="shared" si="94"/>
        <v>0</v>
      </c>
      <c r="AD230" s="1">
        <f t="shared" si="95"/>
        <v>0</v>
      </c>
      <c r="AE230" s="1">
        <f t="shared" si="96"/>
        <v>1</v>
      </c>
      <c r="AF230" s="1">
        <f t="shared" si="97"/>
        <v>0</v>
      </c>
      <c r="AG230" s="1">
        <f t="shared" si="98"/>
        <v>1</v>
      </c>
      <c r="AH230" s="1">
        <f t="shared" si="99"/>
        <v>0</v>
      </c>
      <c r="AI230" s="1">
        <f t="shared" si="100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1155</v>
      </c>
      <c r="E231" s="32" t="s">
        <v>1158</v>
      </c>
      <c r="F231" s="32" t="s">
        <v>1156</v>
      </c>
      <c r="G231" s="32" t="s">
        <v>39</v>
      </c>
      <c r="H231" s="32" t="s">
        <v>352</v>
      </c>
      <c r="I231" s="31" t="s">
        <v>1157</v>
      </c>
      <c r="J231" s="31">
        <v>99</v>
      </c>
      <c r="K231" s="33" t="s">
        <v>939</v>
      </c>
      <c r="L231" s="33" t="s">
        <v>39</v>
      </c>
      <c r="M231" s="34" t="s">
        <v>39</v>
      </c>
      <c r="N231" s="34" t="s">
        <v>1693</v>
      </c>
      <c r="O231" s="35">
        <v>1</v>
      </c>
      <c r="P231" s="35">
        <v>1</v>
      </c>
      <c r="Q231" s="36" t="s">
        <v>1858</v>
      </c>
      <c r="S231" s="1">
        <f t="shared" si="85"/>
        <v>0</v>
      </c>
      <c r="T231" s="1">
        <f t="shared" si="86"/>
        <v>0</v>
      </c>
      <c r="U231" s="1">
        <f t="shared" si="87"/>
        <v>0</v>
      </c>
      <c r="V231" s="1">
        <f t="shared" si="88"/>
        <v>0</v>
      </c>
      <c r="W231" s="1">
        <f t="shared" si="89"/>
        <v>0</v>
      </c>
      <c r="X231" s="1">
        <f t="shared" si="90"/>
        <v>0</v>
      </c>
      <c r="Y231" s="1">
        <f t="shared" si="91"/>
        <v>0</v>
      </c>
      <c r="Z231" s="1">
        <f t="shared" si="92"/>
        <v>0</v>
      </c>
      <c r="AA231" s="1">
        <f t="shared" si="93"/>
        <v>0</v>
      </c>
      <c r="AB231" s="1">
        <f t="shared" si="94"/>
        <v>0</v>
      </c>
      <c r="AD231" s="1">
        <f t="shared" si="95"/>
        <v>1</v>
      </c>
      <c r="AE231" s="1">
        <f t="shared" si="96"/>
        <v>0</v>
      </c>
      <c r="AF231" s="1">
        <f t="shared" si="97"/>
        <v>1</v>
      </c>
      <c r="AG231" s="1">
        <f t="shared" si="98"/>
        <v>0</v>
      </c>
      <c r="AH231" s="1">
        <f t="shared" si="99"/>
        <v>1</v>
      </c>
      <c r="AI231" s="1">
        <f t="shared" si="100"/>
        <v>0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1609</v>
      </c>
      <c r="E232" s="32" t="s">
        <v>1617</v>
      </c>
      <c r="F232" s="32" t="s">
        <v>1643</v>
      </c>
      <c r="G232" s="32" t="s">
        <v>1644</v>
      </c>
      <c r="H232" s="32" t="s">
        <v>352</v>
      </c>
      <c r="I232" s="31" t="s">
        <v>1656</v>
      </c>
      <c r="J232" s="31">
        <v>1</v>
      </c>
      <c r="K232" s="33" t="s">
        <v>935</v>
      </c>
      <c r="L232" s="33" t="s">
        <v>39</v>
      </c>
      <c r="M232" s="34" t="s">
        <v>39</v>
      </c>
      <c r="N232" s="34" t="s">
        <v>1687</v>
      </c>
      <c r="O232" s="35">
        <v>1</v>
      </c>
      <c r="P232" s="35">
        <v>1</v>
      </c>
      <c r="Q232" s="32"/>
      <c r="S232" s="1">
        <f t="shared" si="85"/>
        <v>1</v>
      </c>
      <c r="T232" s="1">
        <f t="shared" si="86"/>
        <v>0</v>
      </c>
      <c r="U232" s="1">
        <f t="shared" si="87"/>
        <v>0</v>
      </c>
      <c r="V232" s="1">
        <f t="shared" si="88"/>
        <v>0</v>
      </c>
      <c r="W232" s="1">
        <f t="shared" si="89"/>
        <v>0</v>
      </c>
      <c r="X232" s="1">
        <f t="shared" si="90"/>
        <v>0</v>
      </c>
      <c r="Y232" s="1">
        <f t="shared" si="91"/>
        <v>0</v>
      </c>
      <c r="Z232" s="1">
        <f t="shared" si="92"/>
        <v>0</v>
      </c>
      <c r="AA232" s="1">
        <f t="shared" si="93"/>
        <v>0</v>
      </c>
      <c r="AB232" s="1">
        <f t="shared" si="94"/>
        <v>0</v>
      </c>
      <c r="AD232" s="1">
        <f t="shared" si="95"/>
        <v>1</v>
      </c>
      <c r="AE232" s="1">
        <f t="shared" si="96"/>
        <v>0</v>
      </c>
      <c r="AF232" s="1">
        <f t="shared" si="97"/>
        <v>1</v>
      </c>
      <c r="AG232" s="1">
        <f t="shared" si="98"/>
        <v>0</v>
      </c>
      <c r="AH232" s="1">
        <f t="shared" si="99"/>
        <v>1</v>
      </c>
      <c r="AI232" s="1">
        <f t="shared" si="100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89</v>
      </c>
      <c r="E233" s="32" t="s">
        <v>167</v>
      </c>
      <c r="F233" s="32" t="s">
        <v>282</v>
      </c>
      <c r="G233" s="32" t="s">
        <v>229</v>
      </c>
      <c r="H233" s="32" t="s">
        <v>352</v>
      </c>
      <c r="I233" s="31" t="s">
        <v>435</v>
      </c>
      <c r="J233" s="31">
        <v>7</v>
      </c>
      <c r="K233" s="33" t="s">
        <v>713</v>
      </c>
      <c r="L233" s="33">
        <v>40</v>
      </c>
      <c r="M233" s="34" t="s">
        <v>39</v>
      </c>
      <c r="N233" s="34" t="s">
        <v>1700</v>
      </c>
      <c r="O233" s="35">
        <v>1</v>
      </c>
      <c r="P233" s="35"/>
      <c r="Q233" s="32"/>
      <c r="S233" s="1">
        <f t="shared" ref="S233:S235" si="101">IF(J233=$S$7,1,0)</f>
        <v>0</v>
      </c>
      <c r="T233" s="1">
        <f t="shared" ref="T233:T235" si="102">IF(J233=$T$7,1,0)</f>
        <v>0</v>
      </c>
      <c r="U233" s="1">
        <f t="shared" ref="U233:U235" si="103">IF(J233=$U$7,1,0)</f>
        <v>0</v>
      </c>
      <c r="V233" s="1">
        <f t="shared" ref="V233:V235" si="104">IF(J233=$V$7,1,0)</f>
        <v>0</v>
      </c>
      <c r="W233" s="1">
        <f t="shared" ref="W233:W235" si="105">IF(J233=$W$7,1,0)</f>
        <v>0</v>
      </c>
      <c r="X233" s="1">
        <f t="shared" ref="X233:X235" si="106">IF(J233=$X$7,1,0)</f>
        <v>0</v>
      </c>
      <c r="Y233" s="1">
        <f t="shared" ref="Y233:Y235" si="107">IF(J233=$Y$7,1,0)</f>
        <v>1</v>
      </c>
      <c r="Z233" s="1">
        <f t="shared" ref="Z233:Z235" si="108">IF(J233=$Z$7,1,0)</f>
        <v>0</v>
      </c>
      <c r="AA233" s="1">
        <f t="shared" ref="AA233:AA235" si="109">IF(J233=$AA$7,1,0)</f>
        <v>0</v>
      </c>
      <c r="AB233" s="1">
        <f t="shared" ref="AB233:AB235" si="110">IF(J233=$AB$7,1,0)</f>
        <v>0</v>
      </c>
      <c r="AD233" s="1">
        <f t="shared" si="95"/>
        <v>0</v>
      </c>
      <c r="AE233" s="1">
        <f t="shared" si="96"/>
        <v>1</v>
      </c>
      <c r="AF233" s="1">
        <f t="shared" si="97"/>
        <v>0</v>
      </c>
      <c r="AG233" s="1">
        <f t="shared" si="98"/>
        <v>1</v>
      </c>
      <c r="AH233" s="1">
        <f t="shared" si="99"/>
        <v>0</v>
      </c>
      <c r="AI233" s="1">
        <f t="shared" si="100"/>
        <v>1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6" t="s">
        <v>2126</v>
      </c>
      <c r="E234" s="36" t="s">
        <v>2127</v>
      </c>
      <c r="F234" s="36" t="s">
        <v>2128</v>
      </c>
      <c r="G234" s="36" t="s">
        <v>283</v>
      </c>
      <c r="H234" s="36" t="s">
        <v>352</v>
      </c>
      <c r="I234" s="37" t="s">
        <v>2129</v>
      </c>
      <c r="J234" s="31">
        <v>10</v>
      </c>
      <c r="K234" s="33" t="s">
        <v>694</v>
      </c>
      <c r="L234" s="33">
        <v>40</v>
      </c>
      <c r="M234" s="34" t="s">
        <v>2142</v>
      </c>
      <c r="N234" s="34" t="s">
        <v>1700</v>
      </c>
      <c r="O234" s="35">
        <v>1</v>
      </c>
      <c r="P234" s="35"/>
      <c r="Q234" s="32"/>
      <c r="S234" s="1">
        <f t="shared" si="101"/>
        <v>0</v>
      </c>
      <c r="T234" s="1">
        <f t="shared" si="102"/>
        <v>0</v>
      </c>
      <c r="U234" s="1">
        <f t="shared" si="103"/>
        <v>0</v>
      </c>
      <c r="V234" s="1">
        <f t="shared" si="104"/>
        <v>0</v>
      </c>
      <c r="W234" s="1">
        <f t="shared" si="105"/>
        <v>0</v>
      </c>
      <c r="X234" s="1">
        <f t="shared" si="106"/>
        <v>0</v>
      </c>
      <c r="Y234" s="1">
        <f t="shared" si="107"/>
        <v>0</v>
      </c>
      <c r="Z234" s="1">
        <f t="shared" si="108"/>
        <v>0</v>
      </c>
      <c r="AA234" s="1">
        <f t="shared" si="109"/>
        <v>0</v>
      </c>
      <c r="AB234" s="1">
        <f t="shared" si="110"/>
        <v>1</v>
      </c>
      <c r="AD234" s="1">
        <f t="shared" si="95"/>
        <v>0</v>
      </c>
      <c r="AE234" s="1">
        <f t="shared" si="96"/>
        <v>1</v>
      </c>
      <c r="AF234" s="1">
        <f t="shared" si="97"/>
        <v>0</v>
      </c>
      <c r="AG234" s="1">
        <f t="shared" si="98"/>
        <v>1</v>
      </c>
      <c r="AH234" s="1">
        <f t="shared" si="99"/>
        <v>0</v>
      </c>
      <c r="AI234" s="1">
        <f t="shared" si="100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90</v>
      </c>
      <c r="E235" s="32" t="s">
        <v>164</v>
      </c>
      <c r="F235" s="36" t="s">
        <v>1822</v>
      </c>
      <c r="G235" s="32" t="s">
        <v>239</v>
      </c>
      <c r="H235" s="32" t="s">
        <v>352</v>
      </c>
      <c r="I235" s="31" t="s">
        <v>436</v>
      </c>
      <c r="J235" s="31">
        <v>1</v>
      </c>
      <c r="K235" s="33" t="s">
        <v>941</v>
      </c>
      <c r="L235" s="33" t="s">
        <v>39</v>
      </c>
      <c r="M235" s="34" t="s">
        <v>39</v>
      </c>
      <c r="N235" s="34" t="s">
        <v>1687</v>
      </c>
      <c r="O235" s="35">
        <v>1</v>
      </c>
      <c r="P235" s="35">
        <v>1</v>
      </c>
      <c r="Q235" s="32"/>
      <c r="S235" s="1">
        <f t="shared" si="101"/>
        <v>1</v>
      </c>
      <c r="T235" s="1">
        <f t="shared" si="102"/>
        <v>0</v>
      </c>
      <c r="U235" s="1">
        <f t="shared" si="103"/>
        <v>0</v>
      </c>
      <c r="V235" s="1">
        <f t="shared" si="104"/>
        <v>0</v>
      </c>
      <c r="W235" s="1">
        <f t="shared" si="105"/>
        <v>0</v>
      </c>
      <c r="X235" s="1">
        <f t="shared" si="106"/>
        <v>0</v>
      </c>
      <c r="Y235" s="1">
        <f t="shared" si="107"/>
        <v>0</v>
      </c>
      <c r="Z235" s="1">
        <f t="shared" si="108"/>
        <v>0</v>
      </c>
      <c r="AA235" s="1">
        <f t="shared" si="109"/>
        <v>0</v>
      </c>
      <c r="AB235" s="1">
        <f t="shared" si="110"/>
        <v>0</v>
      </c>
      <c r="AD235" s="1">
        <f t="shared" si="95"/>
        <v>1</v>
      </c>
      <c r="AE235" s="1">
        <f t="shared" si="96"/>
        <v>0</v>
      </c>
      <c r="AF235" s="1">
        <f t="shared" si="97"/>
        <v>1</v>
      </c>
      <c r="AG235" s="1">
        <f t="shared" si="98"/>
        <v>0</v>
      </c>
      <c r="AH235" s="1">
        <f t="shared" si="99"/>
        <v>1</v>
      </c>
      <c r="AI235" s="1">
        <f t="shared" si="100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91</v>
      </c>
      <c r="E236" s="32" t="s">
        <v>166</v>
      </c>
      <c r="F236" s="32" t="s">
        <v>284</v>
      </c>
      <c r="G236" s="32" t="s">
        <v>199</v>
      </c>
      <c r="H236" s="32" t="s">
        <v>352</v>
      </c>
      <c r="I236" s="31" t="s">
        <v>437</v>
      </c>
      <c r="J236" s="31">
        <v>2</v>
      </c>
      <c r="K236" s="33" t="s">
        <v>939</v>
      </c>
      <c r="L236" s="33" t="s">
        <v>39</v>
      </c>
      <c r="M236" s="34" t="s">
        <v>39</v>
      </c>
      <c r="N236" s="34" t="s">
        <v>1687</v>
      </c>
      <c r="O236" s="35">
        <v>1</v>
      </c>
      <c r="P236" s="35">
        <v>1</v>
      </c>
      <c r="Q236" s="32"/>
      <c r="S236" s="1">
        <f t="shared" si="85"/>
        <v>0</v>
      </c>
      <c r="T236" s="1">
        <f t="shared" si="86"/>
        <v>1</v>
      </c>
      <c r="U236" s="1">
        <f t="shared" si="87"/>
        <v>0</v>
      </c>
      <c r="V236" s="1">
        <f t="shared" si="88"/>
        <v>0</v>
      </c>
      <c r="W236" s="1">
        <f t="shared" si="89"/>
        <v>0</v>
      </c>
      <c r="X236" s="1">
        <f t="shared" si="90"/>
        <v>0</v>
      </c>
      <c r="Y236" s="1">
        <f t="shared" si="91"/>
        <v>0</v>
      </c>
      <c r="Z236" s="1">
        <f t="shared" si="92"/>
        <v>0</v>
      </c>
      <c r="AA236" s="1">
        <f t="shared" si="93"/>
        <v>0</v>
      </c>
      <c r="AB236" s="1">
        <f t="shared" si="94"/>
        <v>0</v>
      </c>
      <c r="AD236" s="1">
        <f t="shared" si="95"/>
        <v>1</v>
      </c>
      <c r="AE236" s="1">
        <f t="shared" si="96"/>
        <v>0</v>
      </c>
      <c r="AF236" s="1">
        <f t="shared" si="97"/>
        <v>1</v>
      </c>
      <c r="AG236" s="1">
        <f t="shared" si="98"/>
        <v>0</v>
      </c>
      <c r="AH236" s="1">
        <f t="shared" si="99"/>
        <v>1</v>
      </c>
      <c r="AI236" s="1">
        <f t="shared" si="100"/>
        <v>0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1244</v>
      </c>
      <c r="E237" s="32" t="s">
        <v>166</v>
      </c>
      <c r="F237" s="32" t="s">
        <v>1120</v>
      </c>
      <c r="G237" s="32" t="s">
        <v>1310</v>
      </c>
      <c r="H237" s="32" t="s">
        <v>352</v>
      </c>
      <c r="I237" s="31" t="s">
        <v>1121</v>
      </c>
      <c r="J237" s="31">
        <v>99</v>
      </c>
      <c r="K237" s="33" t="s">
        <v>693</v>
      </c>
      <c r="L237" s="33">
        <v>45</v>
      </c>
      <c r="M237" s="34" t="s">
        <v>39</v>
      </c>
      <c r="N237" s="34" t="s">
        <v>1696</v>
      </c>
      <c r="O237" s="35">
        <v>1</v>
      </c>
      <c r="P237" s="35"/>
      <c r="Q237" s="32"/>
      <c r="S237" s="1">
        <f t="shared" si="85"/>
        <v>0</v>
      </c>
      <c r="T237" s="1">
        <f t="shared" si="86"/>
        <v>0</v>
      </c>
      <c r="U237" s="1">
        <f t="shared" si="87"/>
        <v>0</v>
      </c>
      <c r="V237" s="1">
        <f t="shared" si="88"/>
        <v>0</v>
      </c>
      <c r="W237" s="1">
        <f t="shared" si="89"/>
        <v>0</v>
      </c>
      <c r="X237" s="1">
        <f t="shared" si="90"/>
        <v>0</v>
      </c>
      <c r="Y237" s="1">
        <f t="shared" si="91"/>
        <v>0</v>
      </c>
      <c r="Z237" s="1">
        <f t="shared" si="92"/>
        <v>0</v>
      </c>
      <c r="AA237" s="1">
        <f t="shared" si="93"/>
        <v>0</v>
      </c>
      <c r="AB237" s="1">
        <f t="shared" si="94"/>
        <v>0</v>
      </c>
      <c r="AD237" s="1">
        <f t="shared" si="95"/>
        <v>0</v>
      </c>
      <c r="AE237" s="1">
        <f t="shared" si="96"/>
        <v>1</v>
      </c>
      <c r="AF237" s="1">
        <f t="shared" si="97"/>
        <v>0</v>
      </c>
      <c r="AG237" s="1">
        <f t="shared" si="98"/>
        <v>1</v>
      </c>
      <c r="AH237" s="1">
        <f t="shared" si="99"/>
        <v>0</v>
      </c>
      <c r="AI237" s="1">
        <f t="shared" si="100"/>
        <v>1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6" t="s">
        <v>2120</v>
      </c>
      <c r="E238" s="32" t="s">
        <v>166</v>
      </c>
      <c r="F238" s="32" t="s">
        <v>1718</v>
      </c>
      <c r="G238" s="32"/>
      <c r="H238" s="32" t="s">
        <v>352</v>
      </c>
      <c r="I238" s="31" t="s">
        <v>1719</v>
      </c>
      <c r="J238" s="31"/>
      <c r="K238" s="33" t="s">
        <v>694</v>
      </c>
      <c r="L238" s="33"/>
      <c r="M238" s="34"/>
      <c r="N238" s="34" t="s">
        <v>1687</v>
      </c>
      <c r="O238" s="35">
        <v>1</v>
      </c>
      <c r="P238" s="35">
        <v>1</v>
      </c>
      <c r="Q238" s="32"/>
      <c r="S238" s="1">
        <f t="shared" si="85"/>
        <v>0</v>
      </c>
      <c r="T238" s="1">
        <f t="shared" si="86"/>
        <v>0</v>
      </c>
      <c r="U238" s="1">
        <f t="shared" si="87"/>
        <v>0</v>
      </c>
      <c r="V238" s="1">
        <f t="shared" si="88"/>
        <v>0</v>
      </c>
      <c r="W238" s="1">
        <f t="shared" si="89"/>
        <v>0</v>
      </c>
      <c r="X238" s="1">
        <f t="shared" si="90"/>
        <v>0</v>
      </c>
      <c r="Y238" s="1">
        <f t="shared" si="91"/>
        <v>0</v>
      </c>
      <c r="Z238" s="1">
        <f t="shared" si="92"/>
        <v>0</v>
      </c>
      <c r="AA238" s="1">
        <f t="shared" si="93"/>
        <v>0</v>
      </c>
      <c r="AB238" s="1">
        <f t="shared" si="94"/>
        <v>0</v>
      </c>
      <c r="AD238" s="1">
        <f t="shared" si="95"/>
        <v>1</v>
      </c>
      <c r="AE238" s="1">
        <f t="shared" si="96"/>
        <v>0</v>
      </c>
      <c r="AF238" s="1">
        <f t="shared" si="97"/>
        <v>1</v>
      </c>
      <c r="AG238" s="1">
        <f t="shared" si="98"/>
        <v>0</v>
      </c>
      <c r="AH238" s="1">
        <f t="shared" si="99"/>
        <v>1</v>
      </c>
      <c r="AI238" s="1">
        <f t="shared" si="100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1742</v>
      </c>
      <c r="E239" s="32" t="s">
        <v>166</v>
      </c>
      <c r="F239" s="32" t="s">
        <v>1720</v>
      </c>
      <c r="G239" s="32"/>
      <c r="H239" s="32" t="s">
        <v>352</v>
      </c>
      <c r="I239" s="31" t="s">
        <v>1721</v>
      </c>
      <c r="J239" s="31"/>
      <c r="K239" s="33" t="s">
        <v>694</v>
      </c>
      <c r="L239" s="33">
        <v>30</v>
      </c>
      <c r="M239" s="34" t="s">
        <v>1722</v>
      </c>
      <c r="N239" s="34" t="s">
        <v>1700</v>
      </c>
      <c r="O239" s="35">
        <v>1</v>
      </c>
      <c r="P239" s="35"/>
      <c r="Q239" s="32"/>
      <c r="S239" s="1">
        <f t="shared" si="85"/>
        <v>0</v>
      </c>
      <c r="T239" s="1">
        <f t="shared" si="86"/>
        <v>0</v>
      </c>
      <c r="U239" s="1">
        <f t="shared" si="87"/>
        <v>0</v>
      </c>
      <c r="V239" s="1">
        <f t="shared" si="88"/>
        <v>0</v>
      </c>
      <c r="W239" s="1">
        <f t="shared" si="89"/>
        <v>0</v>
      </c>
      <c r="X239" s="1">
        <f t="shared" si="90"/>
        <v>0</v>
      </c>
      <c r="Y239" s="1">
        <f t="shared" si="91"/>
        <v>0</v>
      </c>
      <c r="Z239" s="1">
        <f t="shared" si="92"/>
        <v>0</v>
      </c>
      <c r="AA239" s="1">
        <f t="shared" si="93"/>
        <v>0</v>
      </c>
      <c r="AB239" s="1">
        <f t="shared" si="94"/>
        <v>0</v>
      </c>
      <c r="AD239" s="1">
        <f t="shared" si="95"/>
        <v>0</v>
      </c>
      <c r="AE239" s="1">
        <f t="shared" si="96"/>
        <v>1</v>
      </c>
      <c r="AF239" s="1">
        <f t="shared" si="97"/>
        <v>0</v>
      </c>
      <c r="AG239" s="1">
        <f t="shared" si="98"/>
        <v>1</v>
      </c>
      <c r="AH239" s="1">
        <f t="shared" si="99"/>
        <v>0</v>
      </c>
      <c r="AI239" s="1">
        <f t="shared" si="100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991</v>
      </c>
      <c r="E240" s="32" t="s">
        <v>166</v>
      </c>
      <c r="F240" s="32" t="s">
        <v>992</v>
      </c>
      <c r="G240" s="32" t="s">
        <v>1080</v>
      </c>
      <c r="H240" s="32" t="s">
        <v>352</v>
      </c>
      <c r="I240" s="31" t="s">
        <v>993</v>
      </c>
      <c r="J240" s="31">
        <v>99</v>
      </c>
      <c r="K240" s="33" t="s">
        <v>941</v>
      </c>
      <c r="L240" s="33" t="s">
        <v>39</v>
      </c>
      <c r="M240" s="34" t="s">
        <v>39</v>
      </c>
      <c r="N240" s="34" t="s">
        <v>1687</v>
      </c>
      <c r="O240" s="35">
        <v>1</v>
      </c>
      <c r="P240" s="35">
        <v>1</v>
      </c>
      <c r="Q240" s="32"/>
      <c r="S240" s="1">
        <f t="shared" si="85"/>
        <v>0</v>
      </c>
      <c r="T240" s="1">
        <f t="shared" si="86"/>
        <v>0</v>
      </c>
      <c r="U240" s="1">
        <f t="shared" si="87"/>
        <v>0</v>
      </c>
      <c r="V240" s="1">
        <f t="shared" si="88"/>
        <v>0</v>
      </c>
      <c r="W240" s="1">
        <f t="shared" si="89"/>
        <v>0</v>
      </c>
      <c r="X240" s="1">
        <f t="shared" si="90"/>
        <v>0</v>
      </c>
      <c r="Y240" s="1">
        <f t="shared" si="91"/>
        <v>0</v>
      </c>
      <c r="Z240" s="1">
        <f t="shared" si="92"/>
        <v>0</v>
      </c>
      <c r="AA240" s="1">
        <f t="shared" si="93"/>
        <v>0</v>
      </c>
      <c r="AB240" s="1">
        <f t="shared" si="94"/>
        <v>0</v>
      </c>
      <c r="AD240" s="1">
        <f t="shared" si="95"/>
        <v>1</v>
      </c>
      <c r="AE240" s="1">
        <f t="shared" si="96"/>
        <v>0</v>
      </c>
      <c r="AF240" s="1">
        <f t="shared" si="97"/>
        <v>1</v>
      </c>
      <c r="AG240" s="1">
        <f t="shared" si="98"/>
        <v>0</v>
      </c>
      <c r="AH240" s="1">
        <f t="shared" si="99"/>
        <v>1</v>
      </c>
      <c r="AI240" s="1">
        <f t="shared" si="100"/>
        <v>0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93</v>
      </c>
      <c r="E241" s="32" t="s">
        <v>168</v>
      </c>
      <c r="F241" s="32" t="s">
        <v>287</v>
      </c>
      <c r="G241" s="32" t="s">
        <v>193</v>
      </c>
      <c r="H241" s="32" t="s">
        <v>352</v>
      </c>
      <c r="I241" s="31" t="s">
        <v>439</v>
      </c>
      <c r="J241" s="31">
        <v>9</v>
      </c>
      <c r="K241" s="33" t="s">
        <v>693</v>
      </c>
      <c r="L241" s="33" t="s">
        <v>685</v>
      </c>
      <c r="M241" s="34" t="s">
        <v>697</v>
      </c>
      <c r="N241" s="34" t="s">
        <v>1700</v>
      </c>
      <c r="O241" s="35">
        <v>1</v>
      </c>
      <c r="P241" s="35"/>
      <c r="Q241" s="32"/>
      <c r="S241" s="1">
        <f t="shared" si="85"/>
        <v>0</v>
      </c>
      <c r="T241" s="1">
        <f t="shared" si="86"/>
        <v>0</v>
      </c>
      <c r="U241" s="1">
        <f t="shared" si="87"/>
        <v>0</v>
      </c>
      <c r="V241" s="1">
        <f t="shared" si="88"/>
        <v>0</v>
      </c>
      <c r="W241" s="1">
        <f t="shared" si="89"/>
        <v>0</v>
      </c>
      <c r="X241" s="1">
        <f t="shared" si="90"/>
        <v>0</v>
      </c>
      <c r="Y241" s="1">
        <f t="shared" si="91"/>
        <v>0</v>
      </c>
      <c r="Z241" s="1">
        <f t="shared" si="92"/>
        <v>0</v>
      </c>
      <c r="AA241" s="1">
        <f t="shared" si="93"/>
        <v>1</v>
      </c>
      <c r="AB241" s="1">
        <f t="shared" si="94"/>
        <v>0</v>
      </c>
      <c r="AD241" s="1">
        <f t="shared" si="95"/>
        <v>0</v>
      </c>
      <c r="AE241" s="1">
        <f t="shared" si="96"/>
        <v>1</v>
      </c>
      <c r="AF241" s="1">
        <f t="shared" si="97"/>
        <v>0</v>
      </c>
      <c r="AG241" s="1">
        <f t="shared" si="98"/>
        <v>1</v>
      </c>
      <c r="AH241" s="1">
        <f t="shared" si="99"/>
        <v>0</v>
      </c>
      <c r="AI241" s="1">
        <f t="shared" si="100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1570</v>
      </c>
      <c r="E242" s="32" t="s">
        <v>1571</v>
      </c>
      <c r="F242" s="32" t="s">
        <v>1572</v>
      </c>
      <c r="G242" s="32" t="s">
        <v>191</v>
      </c>
      <c r="H242" s="32" t="s">
        <v>352</v>
      </c>
      <c r="I242" s="31" t="s">
        <v>1573</v>
      </c>
      <c r="J242" s="31">
        <v>10</v>
      </c>
      <c r="K242" s="33" t="s">
        <v>933</v>
      </c>
      <c r="L242" s="33" t="s">
        <v>678</v>
      </c>
      <c r="M242" s="34" t="s">
        <v>1574</v>
      </c>
      <c r="N242" s="34" t="s">
        <v>1696</v>
      </c>
      <c r="O242" s="35">
        <v>1</v>
      </c>
      <c r="P242" s="35"/>
      <c r="Q242" s="32"/>
      <c r="S242" s="1">
        <f t="shared" si="85"/>
        <v>0</v>
      </c>
      <c r="T242" s="1">
        <f t="shared" si="86"/>
        <v>0</v>
      </c>
      <c r="U242" s="1">
        <f t="shared" si="87"/>
        <v>0</v>
      </c>
      <c r="V242" s="1">
        <f t="shared" si="88"/>
        <v>0</v>
      </c>
      <c r="W242" s="1">
        <f t="shared" si="89"/>
        <v>0</v>
      </c>
      <c r="X242" s="1">
        <f t="shared" si="90"/>
        <v>0</v>
      </c>
      <c r="Y242" s="1">
        <f t="shared" si="91"/>
        <v>0</v>
      </c>
      <c r="Z242" s="1">
        <f t="shared" si="92"/>
        <v>0</v>
      </c>
      <c r="AA242" s="1">
        <f t="shared" si="93"/>
        <v>0</v>
      </c>
      <c r="AB242" s="1">
        <f t="shared" si="94"/>
        <v>1</v>
      </c>
      <c r="AD242" s="1">
        <f t="shared" si="95"/>
        <v>0</v>
      </c>
      <c r="AE242" s="1">
        <f t="shared" si="96"/>
        <v>1</v>
      </c>
      <c r="AF242" s="1">
        <f t="shared" si="97"/>
        <v>0</v>
      </c>
      <c r="AG242" s="1">
        <f t="shared" si="98"/>
        <v>1</v>
      </c>
      <c r="AH242" s="1">
        <f t="shared" si="99"/>
        <v>0</v>
      </c>
      <c r="AI242" s="1">
        <f t="shared" si="100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94</v>
      </c>
      <c r="E243" s="32" t="s">
        <v>164</v>
      </c>
      <c r="F243" s="32" t="s">
        <v>288</v>
      </c>
      <c r="G243" s="32" t="s">
        <v>289</v>
      </c>
      <c r="H243" s="32" t="s">
        <v>352</v>
      </c>
      <c r="I243" s="31" t="s">
        <v>440</v>
      </c>
      <c r="J243" s="31">
        <v>7</v>
      </c>
      <c r="K243" s="33" t="s">
        <v>693</v>
      </c>
      <c r="L243" s="33" t="s">
        <v>685</v>
      </c>
      <c r="M243" s="34" t="s">
        <v>689</v>
      </c>
      <c r="N243" s="34" t="s">
        <v>1701</v>
      </c>
      <c r="O243" s="35">
        <v>1</v>
      </c>
      <c r="P243" s="35"/>
      <c r="Q243" s="32"/>
      <c r="S243" s="1">
        <f t="shared" si="85"/>
        <v>0</v>
      </c>
      <c r="T243" s="1">
        <f t="shared" si="86"/>
        <v>0</v>
      </c>
      <c r="U243" s="1">
        <f t="shared" si="87"/>
        <v>0</v>
      </c>
      <c r="V243" s="1">
        <f t="shared" si="88"/>
        <v>0</v>
      </c>
      <c r="W243" s="1">
        <f t="shared" si="89"/>
        <v>0</v>
      </c>
      <c r="X243" s="1">
        <f t="shared" si="90"/>
        <v>0</v>
      </c>
      <c r="Y243" s="1">
        <f t="shared" si="91"/>
        <v>1</v>
      </c>
      <c r="Z243" s="1">
        <f t="shared" si="92"/>
        <v>0</v>
      </c>
      <c r="AA243" s="1">
        <f t="shared" si="93"/>
        <v>0</v>
      </c>
      <c r="AB243" s="1">
        <f t="shared" si="94"/>
        <v>0</v>
      </c>
      <c r="AD243" s="1">
        <f t="shared" si="95"/>
        <v>0</v>
      </c>
      <c r="AE243" s="1">
        <f t="shared" si="96"/>
        <v>1</v>
      </c>
      <c r="AF243" s="1">
        <f t="shared" si="97"/>
        <v>0</v>
      </c>
      <c r="AG243" s="1">
        <f t="shared" si="98"/>
        <v>1</v>
      </c>
      <c r="AH243" s="1">
        <f t="shared" si="99"/>
        <v>0</v>
      </c>
      <c r="AI243" s="1">
        <f t="shared" si="100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1062</v>
      </c>
      <c r="E244" s="32" t="s">
        <v>166</v>
      </c>
      <c r="F244" s="32" t="s">
        <v>652</v>
      </c>
      <c r="G244" s="32" t="s">
        <v>178</v>
      </c>
      <c r="H244" s="32" t="s">
        <v>352</v>
      </c>
      <c r="I244" s="31" t="s">
        <v>379</v>
      </c>
      <c r="J244" s="31">
        <v>10</v>
      </c>
      <c r="K244" s="33" t="s">
        <v>713</v>
      </c>
      <c r="L244" s="33" t="s">
        <v>695</v>
      </c>
      <c r="M244" s="34" t="s">
        <v>698</v>
      </c>
      <c r="N244" s="34" t="s">
        <v>1702</v>
      </c>
      <c r="O244" s="35">
        <v>1</v>
      </c>
      <c r="P244" s="35"/>
      <c r="Q244" s="32"/>
      <c r="R244" s="15"/>
      <c r="S244" s="1">
        <f t="shared" si="85"/>
        <v>0</v>
      </c>
      <c r="T244" s="1">
        <f t="shared" si="86"/>
        <v>0</v>
      </c>
      <c r="U244" s="1">
        <f t="shared" si="87"/>
        <v>0</v>
      </c>
      <c r="V244" s="1">
        <f t="shared" si="88"/>
        <v>0</v>
      </c>
      <c r="W244" s="1">
        <f t="shared" si="89"/>
        <v>0</v>
      </c>
      <c r="X244" s="1">
        <f t="shared" si="90"/>
        <v>0</v>
      </c>
      <c r="Y244" s="1">
        <f t="shared" si="91"/>
        <v>0</v>
      </c>
      <c r="Z244" s="1">
        <f t="shared" si="92"/>
        <v>0</v>
      </c>
      <c r="AA244" s="1">
        <f t="shared" si="93"/>
        <v>0</v>
      </c>
      <c r="AB244" s="1">
        <f t="shared" si="94"/>
        <v>1</v>
      </c>
      <c r="AD244" s="1">
        <f t="shared" si="95"/>
        <v>0</v>
      </c>
      <c r="AE244" s="1">
        <f t="shared" si="96"/>
        <v>1</v>
      </c>
      <c r="AF244" s="1">
        <f t="shared" si="97"/>
        <v>0</v>
      </c>
      <c r="AG244" s="1">
        <f t="shared" si="98"/>
        <v>1</v>
      </c>
      <c r="AH244" s="1">
        <f t="shared" si="99"/>
        <v>0</v>
      </c>
      <c r="AI244" s="1">
        <f t="shared" si="100"/>
        <v>1</v>
      </c>
      <c r="AJ244" s="15"/>
      <c r="AK244" s="15"/>
      <c r="AL244" s="16"/>
      <c r="AM244" s="16"/>
      <c r="AN244" s="16"/>
      <c r="AO244" s="16"/>
      <c r="AP244" s="16"/>
      <c r="AQ244" s="15"/>
      <c r="AR244" s="15"/>
      <c r="AS244" s="10"/>
      <c r="AT244" s="10"/>
      <c r="AU244" s="19"/>
      <c r="AV244" s="19"/>
      <c r="AY244" s="16"/>
      <c r="AZ244" s="15"/>
      <c r="BA244" s="15"/>
      <c r="BB244" s="15"/>
      <c r="BC244" s="16"/>
      <c r="BD244" s="16"/>
      <c r="BE244" s="16"/>
      <c r="BF244" s="16"/>
      <c r="BG244" s="16"/>
      <c r="BH244" s="15"/>
      <c r="BI244" s="15"/>
      <c r="BJ244" s="10"/>
      <c r="BK244" s="10"/>
      <c r="BL244" s="19"/>
      <c r="BM244" s="19"/>
      <c r="BP244" s="16"/>
      <c r="BQ244" s="15"/>
      <c r="BR244" s="15"/>
      <c r="BS244" s="15"/>
      <c r="BT244" s="16"/>
      <c r="BU244" s="16"/>
      <c r="BV244" s="16"/>
      <c r="BW244" s="16"/>
      <c r="BX244" s="16"/>
      <c r="BY244" s="15"/>
      <c r="BZ244" s="15"/>
      <c r="CA244" s="10"/>
      <c r="CB244" s="10"/>
      <c r="CC244" s="19"/>
      <c r="CD244" s="19"/>
      <c r="CG244" s="16"/>
      <c r="CH244" s="15"/>
      <c r="CI244" s="15"/>
      <c r="CJ244" s="15"/>
      <c r="CK244" s="16"/>
      <c r="CL244" s="16"/>
      <c r="CM244" s="16"/>
      <c r="CN244" s="16"/>
      <c r="CO244" s="16"/>
      <c r="CP244" s="15"/>
      <c r="CQ244" s="15"/>
      <c r="CR244" s="10"/>
      <c r="CS244" s="10"/>
      <c r="CT244" s="19"/>
      <c r="CU244" s="19"/>
      <c r="CX244" s="16"/>
      <c r="CY244" s="15"/>
      <c r="CZ244" s="15"/>
      <c r="DA244" s="15"/>
      <c r="DB244" s="16"/>
      <c r="DC244" s="16"/>
      <c r="DD244" s="16"/>
      <c r="DE244" s="16"/>
      <c r="DF244" s="16"/>
      <c r="DG244" s="15"/>
      <c r="DH244" s="15"/>
      <c r="DI244" s="10"/>
      <c r="DJ244" s="10"/>
      <c r="DK244" s="19"/>
      <c r="DL244" s="19"/>
      <c r="DO244" s="16"/>
      <c r="DP244" s="15"/>
      <c r="DQ244" s="15"/>
      <c r="DR244" s="15"/>
      <c r="DS244" s="16"/>
      <c r="DT244" s="16"/>
      <c r="DU244" s="16"/>
      <c r="DV244" s="16"/>
      <c r="DW244" s="16"/>
      <c r="DX244" s="15"/>
      <c r="DY244" s="15"/>
      <c r="DZ244" s="10"/>
      <c r="EA244" s="10"/>
      <c r="EB244" s="19"/>
      <c r="EC244" s="19"/>
      <c r="EF244" s="16"/>
      <c r="EG244" s="15"/>
      <c r="EH244" s="15"/>
      <c r="EI244" s="15"/>
      <c r="EJ244" s="16"/>
      <c r="EK244" s="16"/>
      <c r="EL244" s="16"/>
      <c r="EM244" s="16"/>
      <c r="EN244" s="16"/>
      <c r="EO244" s="15"/>
      <c r="EP244" s="15"/>
      <c r="EQ244" s="10"/>
      <c r="ER244" s="10"/>
      <c r="ES244" s="19"/>
      <c r="ET244" s="19"/>
      <c r="EW244" s="16"/>
      <c r="EX244" s="15"/>
      <c r="EY244" s="15"/>
      <c r="EZ244" s="15"/>
      <c r="FA244" s="16"/>
      <c r="FB244" s="16"/>
      <c r="FC244" s="16"/>
      <c r="FD244" s="16"/>
      <c r="FE244" s="16"/>
      <c r="FF244" s="15"/>
      <c r="FG244" s="15"/>
      <c r="FH244" s="10"/>
      <c r="FI244" s="10"/>
      <c r="FJ244" s="19"/>
      <c r="FK244" s="19"/>
      <c r="FN244" s="16"/>
      <c r="FO244" s="15"/>
      <c r="FP244" s="15"/>
      <c r="FQ244" s="15"/>
      <c r="FR244" s="16"/>
      <c r="FS244" s="16"/>
      <c r="FT244" s="16"/>
      <c r="FU244" s="16"/>
      <c r="FV244" s="16"/>
      <c r="FW244" s="15"/>
      <c r="FX244" s="15"/>
      <c r="FY244" s="10"/>
      <c r="FZ244" s="10"/>
      <c r="GA244" s="19"/>
      <c r="GB244" s="19"/>
      <c r="GE244" s="16"/>
      <c r="GF244" s="15"/>
      <c r="GG244" s="15"/>
      <c r="GH244" s="15"/>
      <c r="GI244" s="16"/>
      <c r="GJ244" s="16"/>
      <c r="GK244" s="16"/>
      <c r="GL244" s="16"/>
      <c r="GM244" s="16"/>
      <c r="GN244" s="15"/>
      <c r="GO244" s="15"/>
      <c r="GP244" s="10"/>
      <c r="GQ244" s="10"/>
      <c r="GR244" s="19"/>
      <c r="GS244" s="19"/>
      <c r="GV244" s="16"/>
      <c r="GW244" s="15"/>
      <c r="GX244" s="15"/>
      <c r="GY244" s="15"/>
      <c r="GZ244" s="16"/>
      <c r="HA244" s="16"/>
      <c r="HB244" s="16"/>
      <c r="HC244" s="16"/>
      <c r="HD244" s="16"/>
      <c r="HE244" s="15"/>
      <c r="HF244" s="15"/>
      <c r="HG244" s="10"/>
      <c r="HH244" s="10"/>
      <c r="HI244" s="19"/>
      <c r="HJ244" s="19"/>
      <c r="HM244" s="16"/>
      <c r="HN244" s="15"/>
      <c r="HO244" s="15"/>
      <c r="HP244" s="15"/>
      <c r="HQ244" s="16"/>
      <c r="HR244" s="16"/>
      <c r="HS244" s="16"/>
      <c r="HT244" s="16"/>
      <c r="HU244" s="16"/>
      <c r="HV244" s="15"/>
      <c r="HW244" s="15"/>
      <c r="HX244" s="10"/>
      <c r="HY244" s="10"/>
      <c r="HZ244" s="19"/>
      <c r="IA244" s="19"/>
      <c r="ID244" s="16"/>
      <c r="IE244" s="15"/>
      <c r="IF244" s="15"/>
      <c r="IG244" s="15"/>
      <c r="IH244" s="16"/>
      <c r="II244" s="16"/>
      <c r="IJ244" s="16"/>
      <c r="IK244" s="16"/>
      <c r="IL244" s="16"/>
      <c r="IM244" s="15"/>
      <c r="IN244" s="15"/>
      <c r="IO244" s="10"/>
      <c r="IP244" s="10"/>
      <c r="IQ244" s="19"/>
      <c r="IR244" s="19"/>
      <c r="IU244" s="16"/>
      <c r="IV244" s="15"/>
      <c r="IW244" s="15"/>
      <c r="IX244" s="15"/>
      <c r="IY244" s="16"/>
      <c r="IZ244" s="16"/>
      <c r="JA244" s="16"/>
      <c r="JB244" s="16"/>
      <c r="JC244" s="16"/>
      <c r="JD244" s="15"/>
      <c r="JE244" s="15"/>
      <c r="JF244" s="10"/>
      <c r="JG244" s="10"/>
      <c r="JH244" s="19"/>
      <c r="JI244" s="19"/>
      <c r="JL244" s="16"/>
      <c r="JM244" s="15"/>
      <c r="JN244" s="15"/>
      <c r="JO244" s="15"/>
      <c r="JP244" s="16"/>
      <c r="JQ244" s="16"/>
      <c r="JR244" s="16"/>
      <c r="JS244" s="16"/>
      <c r="JT244" s="16"/>
      <c r="JU244" s="15"/>
      <c r="JV244" s="15"/>
      <c r="JW244" s="10"/>
      <c r="JX244" s="10"/>
      <c r="JY244" s="19"/>
      <c r="JZ244" s="19"/>
      <c r="KC244" s="16"/>
      <c r="KD244" s="15"/>
      <c r="KE244" s="15"/>
      <c r="KF244" s="15"/>
      <c r="KG244" s="16"/>
      <c r="KH244" s="16"/>
      <c r="KI244" s="16"/>
      <c r="KJ244" s="16"/>
      <c r="KK244" s="16"/>
      <c r="KL244" s="15"/>
      <c r="KM244" s="15"/>
      <c r="KN244" s="10"/>
      <c r="KO244" s="10"/>
      <c r="KP244" s="19"/>
      <c r="KQ244" s="19"/>
      <c r="KT244" s="16"/>
      <c r="KU244" s="15"/>
      <c r="KV244" s="15"/>
      <c r="KW244" s="15"/>
      <c r="KX244" s="16"/>
      <c r="KY244" s="16"/>
      <c r="KZ244" s="16"/>
      <c r="LA244" s="16"/>
      <c r="LB244" s="16"/>
      <c r="LC244" s="15"/>
      <c r="LD244" s="15"/>
      <c r="LE244" s="10"/>
      <c r="LF244" s="10"/>
      <c r="LG244" s="19"/>
      <c r="LH244" s="19"/>
      <c r="LK244" s="16"/>
      <c r="LL244" s="15"/>
      <c r="LM244" s="15"/>
      <c r="LN244" s="15"/>
      <c r="LO244" s="16"/>
      <c r="LP244" s="16"/>
      <c r="LQ244" s="16"/>
      <c r="LR244" s="16"/>
      <c r="LS244" s="16"/>
      <c r="LT244" s="15"/>
      <c r="LU244" s="15"/>
      <c r="LV244" s="10"/>
      <c r="LW244" s="10"/>
      <c r="LX244" s="19"/>
      <c r="LY244" s="19"/>
      <c r="MB244" s="16"/>
      <c r="MC244" s="15"/>
      <c r="MD244" s="15"/>
      <c r="ME244" s="15"/>
      <c r="MF244" s="16"/>
      <c r="MG244" s="16"/>
      <c r="MH244" s="16"/>
      <c r="MI244" s="16"/>
      <c r="MJ244" s="16"/>
      <c r="MK244" s="15"/>
      <c r="ML244" s="15"/>
      <c r="MM244" s="10"/>
      <c r="MN244" s="10"/>
      <c r="MO244" s="19"/>
      <c r="MP244" s="19"/>
      <c r="MS244" s="16"/>
      <c r="MT244" s="15"/>
      <c r="MU244" s="15"/>
      <c r="MV244" s="15"/>
      <c r="MW244" s="16"/>
      <c r="MX244" s="16"/>
      <c r="MY244" s="16"/>
      <c r="MZ244" s="16"/>
      <c r="NA244" s="16"/>
      <c r="NB244" s="15"/>
      <c r="NC244" s="15"/>
      <c r="ND244" s="10"/>
      <c r="NE244" s="10"/>
      <c r="NF244" s="19"/>
      <c r="NG244" s="19"/>
      <c r="NJ244" s="16"/>
      <c r="NK244" s="15"/>
      <c r="NL244" s="15"/>
      <c r="NM244" s="15"/>
      <c r="NN244" s="16"/>
      <c r="NO244" s="16"/>
      <c r="NP244" s="16"/>
      <c r="NQ244" s="16"/>
      <c r="NR244" s="16"/>
      <c r="NS244" s="15"/>
      <c r="NT244" s="15"/>
      <c r="NU244" s="10"/>
      <c r="NV244" s="10"/>
      <c r="NW244" s="19"/>
      <c r="NX244" s="19"/>
      <c r="OA244" s="16"/>
      <c r="OB244" s="15"/>
      <c r="OC244" s="15"/>
      <c r="OD244" s="15"/>
      <c r="OE244" s="16"/>
      <c r="OF244" s="16"/>
      <c r="OG244" s="16"/>
      <c r="OH244" s="16"/>
      <c r="OI244" s="16"/>
      <c r="OJ244" s="15"/>
      <c r="OK244" s="15"/>
      <c r="OL244" s="10"/>
      <c r="OM244" s="10"/>
      <c r="ON244" s="19"/>
      <c r="OO244" s="19"/>
      <c r="OR244" s="16"/>
      <c r="OS244" s="15"/>
      <c r="OT244" s="15"/>
      <c r="OU244" s="15"/>
      <c r="OV244" s="16"/>
      <c r="OW244" s="16"/>
      <c r="OX244" s="16"/>
      <c r="OY244" s="16"/>
      <c r="OZ244" s="16"/>
      <c r="PA244" s="15"/>
      <c r="PB244" s="15"/>
      <c r="PC244" s="10"/>
      <c r="PD244" s="10"/>
      <c r="PE244" s="19"/>
      <c r="PF244" s="19"/>
      <c r="PI244" s="16"/>
      <c r="PJ244" s="15"/>
      <c r="PK244" s="15"/>
      <c r="PL244" s="15"/>
      <c r="PM244" s="16"/>
      <c r="PN244" s="16"/>
      <c r="PO244" s="16"/>
      <c r="PP244" s="16"/>
      <c r="PQ244" s="16"/>
      <c r="PR244" s="15"/>
      <c r="PS244" s="15"/>
      <c r="PT244" s="10"/>
      <c r="PU244" s="10"/>
      <c r="PV244" s="19"/>
      <c r="PW244" s="19"/>
      <c r="PZ244" s="16"/>
      <c r="QA244" s="15"/>
      <c r="QB244" s="15"/>
      <c r="QC244" s="15"/>
      <c r="QD244" s="16"/>
      <c r="QE244" s="16"/>
      <c r="QF244" s="16"/>
      <c r="QG244" s="16"/>
      <c r="QH244" s="16"/>
      <c r="QI244" s="15"/>
      <c r="QJ244" s="15"/>
      <c r="QK244" s="10"/>
      <c r="QL244" s="10"/>
      <c r="QM244" s="19"/>
      <c r="QN244" s="19"/>
      <c r="QQ244" s="16"/>
      <c r="QR244" s="15"/>
      <c r="QS244" s="15"/>
      <c r="QT244" s="15"/>
      <c r="QU244" s="16"/>
      <c r="QV244" s="16"/>
      <c r="QW244" s="16"/>
      <c r="QX244" s="16"/>
      <c r="QY244" s="16"/>
      <c r="QZ244" s="15"/>
      <c r="RA244" s="15"/>
      <c r="RB244" s="10"/>
      <c r="RC244" s="10"/>
      <c r="RD244" s="19"/>
      <c r="RE244" s="19"/>
      <c r="RH244" s="16"/>
      <c r="RI244" s="15"/>
      <c r="RJ244" s="15"/>
      <c r="RK244" s="15"/>
      <c r="RL244" s="16"/>
      <c r="RM244" s="16"/>
      <c r="RN244" s="16"/>
      <c r="RO244" s="16"/>
      <c r="RP244" s="16"/>
      <c r="RQ244" s="15"/>
      <c r="RR244" s="15"/>
      <c r="RS244" s="10"/>
      <c r="RT244" s="10"/>
      <c r="RU244" s="19"/>
      <c r="RV244" s="19"/>
      <c r="RY244" s="16"/>
      <c r="RZ244" s="15"/>
      <c r="SA244" s="15"/>
      <c r="SB244" s="15"/>
      <c r="SC244" s="16"/>
      <c r="SD244" s="16"/>
      <c r="SE244" s="16"/>
      <c r="SF244" s="16"/>
      <c r="SG244" s="16"/>
      <c r="SH244" s="15"/>
      <c r="SI244" s="15"/>
      <c r="SJ244" s="10"/>
      <c r="SK244" s="10"/>
      <c r="SL244" s="19"/>
      <c r="SM244" s="19"/>
      <c r="SP244" s="16"/>
      <c r="SQ244" s="15"/>
      <c r="SR244" s="15"/>
      <c r="SS244" s="15"/>
      <c r="ST244" s="16"/>
      <c r="SU244" s="16"/>
      <c r="SV244" s="16"/>
      <c r="SW244" s="16"/>
      <c r="SX244" s="16"/>
      <c r="SY244" s="15"/>
      <c r="SZ244" s="15"/>
      <c r="TA244" s="10"/>
      <c r="TB244" s="10"/>
      <c r="TC244" s="19"/>
      <c r="TD244" s="19"/>
      <c r="TG244" s="16"/>
      <c r="TH244" s="15"/>
      <c r="TI244" s="15"/>
      <c r="TJ244" s="15"/>
      <c r="TK244" s="16"/>
      <c r="TL244" s="16"/>
      <c r="TM244" s="16"/>
      <c r="TN244" s="16"/>
      <c r="TO244" s="16"/>
      <c r="TP244" s="15"/>
      <c r="TQ244" s="15"/>
      <c r="TR244" s="10"/>
      <c r="TS244" s="10"/>
      <c r="TT244" s="19"/>
      <c r="TU244" s="19"/>
      <c r="TX244" s="16"/>
      <c r="TY244" s="15"/>
      <c r="TZ244" s="15"/>
      <c r="UA244" s="15"/>
      <c r="UB244" s="16"/>
      <c r="UC244" s="16"/>
      <c r="UD244" s="16"/>
      <c r="UE244" s="16"/>
      <c r="UF244" s="16"/>
      <c r="UG244" s="15"/>
      <c r="UH244" s="15"/>
      <c r="UI244" s="10"/>
      <c r="UJ244" s="10"/>
      <c r="UK244" s="19"/>
      <c r="UL244" s="19"/>
      <c r="UO244" s="16"/>
      <c r="UP244" s="15"/>
      <c r="UQ244" s="15"/>
      <c r="UR244" s="15"/>
      <c r="US244" s="16"/>
      <c r="UT244" s="16"/>
      <c r="UU244" s="16"/>
      <c r="UV244" s="16"/>
      <c r="UW244" s="16"/>
      <c r="UX244" s="15"/>
      <c r="UY244" s="15"/>
      <c r="UZ244" s="10"/>
      <c r="VA244" s="10"/>
      <c r="VB244" s="19"/>
      <c r="VC244" s="19"/>
      <c r="VF244" s="16"/>
      <c r="VG244" s="15"/>
      <c r="VH244" s="15"/>
      <c r="VI244" s="15"/>
      <c r="VJ244" s="16"/>
      <c r="VK244" s="16"/>
      <c r="VL244" s="16"/>
      <c r="VM244" s="16"/>
      <c r="VN244" s="16"/>
      <c r="VO244" s="15"/>
      <c r="VP244" s="15"/>
      <c r="VQ244" s="10"/>
      <c r="VR244" s="10"/>
      <c r="VS244" s="19"/>
      <c r="VT244" s="19"/>
      <c r="VW244" s="16"/>
      <c r="VX244" s="15"/>
      <c r="VY244" s="15"/>
      <c r="VZ244" s="15"/>
      <c r="WA244" s="16"/>
      <c r="WB244" s="16"/>
      <c r="WC244" s="16"/>
      <c r="WD244" s="16"/>
      <c r="WE244" s="16"/>
      <c r="WF244" s="15"/>
      <c r="WG244" s="15"/>
      <c r="WH244" s="10"/>
      <c r="WI244" s="10"/>
      <c r="WJ244" s="19"/>
      <c r="WK244" s="19"/>
      <c r="WN244" s="16"/>
      <c r="WO244" s="15"/>
      <c r="WP244" s="15"/>
      <c r="WQ244" s="15"/>
      <c r="WR244" s="16"/>
      <c r="WS244" s="16"/>
      <c r="WT244" s="16"/>
      <c r="WU244" s="16"/>
      <c r="WV244" s="16"/>
      <c r="WW244" s="15"/>
      <c r="WX244" s="15"/>
      <c r="WY244" s="10"/>
      <c r="WZ244" s="10"/>
      <c r="XA244" s="19"/>
      <c r="XB244" s="19"/>
      <c r="XE244" s="16"/>
      <c r="XF244" s="15"/>
      <c r="XG244" s="15"/>
      <c r="XH244" s="15"/>
      <c r="XI244" s="16"/>
      <c r="XJ244" s="16"/>
      <c r="XK244" s="16"/>
      <c r="XL244" s="16"/>
      <c r="XM244" s="16"/>
      <c r="XN244" s="15"/>
      <c r="XO244" s="15"/>
      <c r="XP244" s="10"/>
      <c r="XQ244" s="10"/>
      <c r="XR244" s="19"/>
      <c r="XS244" s="19"/>
      <c r="XV244" s="16"/>
      <c r="XW244" s="15"/>
      <c r="XX244" s="15"/>
      <c r="XY244" s="15"/>
      <c r="XZ244" s="16"/>
      <c r="YA244" s="16"/>
      <c r="YB244" s="16"/>
      <c r="YC244" s="16"/>
      <c r="YD244" s="16"/>
      <c r="YE244" s="15"/>
      <c r="YF244" s="15"/>
      <c r="YG244" s="10"/>
      <c r="YH244" s="10"/>
      <c r="YI244" s="19"/>
      <c r="YJ244" s="19"/>
      <c r="YM244" s="16"/>
      <c r="YN244" s="15"/>
      <c r="YO244" s="15"/>
      <c r="YP244" s="15"/>
      <c r="YQ244" s="16"/>
      <c r="YR244" s="16"/>
      <c r="YS244" s="16"/>
      <c r="YT244" s="16"/>
      <c r="YU244" s="16"/>
      <c r="YV244" s="15"/>
      <c r="YW244" s="15"/>
      <c r="YX244" s="10"/>
      <c r="YY244" s="10"/>
      <c r="YZ244" s="19"/>
      <c r="ZA244" s="19"/>
      <c r="ZD244" s="16"/>
      <c r="ZE244" s="15"/>
      <c r="ZF244" s="15"/>
      <c r="ZG244" s="15"/>
      <c r="ZH244" s="16"/>
      <c r="ZI244" s="16"/>
      <c r="ZJ244" s="16"/>
      <c r="ZK244" s="16"/>
      <c r="ZL244" s="16"/>
      <c r="ZM244" s="15"/>
      <c r="ZN244" s="15"/>
      <c r="ZO244" s="10"/>
      <c r="ZP244" s="10"/>
      <c r="ZQ244" s="19"/>
      <c r="ZR244" s="19"/>
      <c r="ZU244" s="16"/>
      <c r="ZV244" s="15"/>
      <c r="ZW244" s="15"/>
      <c r="ZX244" s="15"/>
      <c r="ZY244" s="16"/>
      <c r="ZZ244" s="16"/>
      <c r="AAA244" s="16"/>
      <c r="AAB244" s="16"/>
      <c r="AAC244" s="16"/>
      <c r="AAD244" s="15"/>
      <c r="AAE244" s="15"/>
      <c r="AAF244" s="10"/>
      <c r="AAG244" s="10"/>
      <c r="AAH244" s="19"/>
      <c r="AAI244" s="19"/>
      <c r="AAL244" s="16"/>
      <c r="AAM244" s="15"/>
      <c r="AAN244" s="15"/>
      <c r="AAO244" s="15"/>
      <c r="AAP244" s="16"/>
      <c r="AAQ244" s="16"/>
      <c r="AAR244" s="16"/>
      <c r="AAS244" s="16"/>
      <c r="AAT244" s="16"/>
      <c r="AAU244" s="15"/>
      <c r="AAV244" s="15"/>
      <c r="AAW244" s="10"/>
      <c r="AAX244" s="10"/>
      <c r="AAY244" s="19"/>
      <c r="AAZ244" s="19"/>
      <c r="ABC244" s="16"/>
      <c r="ABD244" s="15"/>
      <c r="ABE244" s="15"/>
      <c r="ABF244" s="15"/>
      <c r="ABG244" s="16"/>
      <c r="ABH244" s="16"/>
      <c r="ABI244" s="16"/>
      <c r="ABJ244" s="16"/>
      <c r="ABK244" s="16"/>
      <c r="ABL244" s="15"/>
      <c r="ABM244" s="15"/>
      <c r="ABN244" s="10"/>
      <c r="ABO244" s="10"/>
      <c r="ABP244" s="19"/>
      <c r="ABQ244" s="19"/>
      <c r="ABT244" s="16"/>
      <c r="ABU244" s="15"/>
      <c r="ABV244" s="15"/>
      <c r="ABW244" s="15"/>
      <c r="ABX244" s="16"/>
      <c r="ABY244" s="16"/>
      <c r="ABZ244" s="16"/>
      <c r="ACA244" s="16"/>
      <c r="ACB244" s="16"/>
      <c r="ACC244" s="15"/>
      <c r="ACD244" s="15"/>
      <c r="ACE244" s="10"/>
      <c r="ACF244" s="10"/>
      <c r="ACG244" s="19"/>
      <c r="ACH244" s="19"/>
      <c r="ACK244" s="16"/>
      <c r="ACL244" s="15"/>
      <c r="ACM244" s="15"/>
      <c r="ACN244" s="15"/>
      <c r="ACO244" s="16"/>
      <c r="ACP244" s="16"/>
      <c r="ACQ244" s="16"/>
      <c r="ACR244" s="16"/>
      <c r="ACS244" s="16"/>
      <c r="ACT244" s="15"/>
      <c r="ACU244" s="15"/>
      <c r="ACV244" s="10"/>
      <c r="ACW244" s="10"/>
      <c r="ACX244" s="19"/>
      <c r="ACY244" s="19"/>
      <c r="ADB244" s="16"/>
      <c r="ADC244" s="15"/>
      <c r="ADD244" s="15"/>
      <c r="ADE244" s="15"/>
      <c r="ADF244" s="16"/>
      <c r="ADG244" s="16"/>
      <c r="ADH244" s="16"/>
      <c r="ADI244" s="16"/>
      <c r="ADJ244" s="16"/>
      <c r="ADK244" s="15"/>
      <c r="ADL244" s="15"/>
      <c r="ADM244" s="10"/>
      <c r="ADN244" s="10"/>
      <c r="ADO244" s="19"/>
      <c r="ADP244" s="19"/>
      <c r="ADS244" s="16"/>
      <c r="ADT244" s="15"/>
      <c r="ADU244" s="15"/>
      <c r="ADV244" s="15"/>
      <c r="ADW244" s="16"/>
      <c r="ADX244" s="16"/>
      <c r="ADY244" s="16"/>
      <c r="ADZ244" s="16"/>
      <c r="AEA244" s="16"/>
      <c r="AEB244" s="15"/>
      <c r="AEC244" s="15"/>
      <c r="AED244" s="10"/>
      <c r="AEE244" s="10"/>
      <c r="AEF244" s="19"/>
      <c r="AEG244" s="19"/>
      <c r="AEJ244" s="16"/>
      <c r="AEK244" s="15"/>
      <c r="AEL244" s="15"/>
      <c r="AEM244" s="15"/>
      <c r="AEN244" s="16"/>
      <c r="AEO244" s="16"/>
      <c r="AEP244" s="16"/>
      <c r="AEQ244" s="16"/>
      <c r="AER244" s="16"/>
      <c r="AES244" s="15"/>
      <c r="AET244" s="15"/>
      <c r="AEU244" s="10"/>
      <c r="AEV244" s="10"/>
      <c r="AEW244" s="19"/>
      <c r="AEX244" s="19"/>
      <c r="AFA244" s="16"/>
      <c r="AFB244" s="15"/>
      <c r="AFC244" s="15"/>
      <c r="AFD244" s="15"/>
      <c r="AFE244" s="16"/>
      <c r="AFF244" s="16"/>
      <c r="AFG244" s="16"/>
      <c r="AFH244" s="16"/>
      <c r="AFI244" s="16"/>
      <c r="AFJ244" s="15"/>
      <c r="AFK244" s="15"/>
      <c r="AFL244" s="10"/>
      <c r="AFM244" s="10"/>
      <c r="AFN244" s="19"/>
      <c r="AFO244" s="19"/>
      <c r="AFR244" s="16"/>
      <c r="AFS244" s="15"/>
      <c r="AFT244" s="15"/>
      <c r="AFU244" s="15"/>
      <c r="AFV244" s="16"/>
      <c r="AFW244" s="16"/>
      <c r="AFX244" s="16"/>
      <c r="AFY244" s="16"/>
      <c r="AFZ244" s="16"/>
      <c r="AGA244" s="15"/>
      <c r="AGB244" s="15"/>
      <c r="AGC244" s="10"/>
      <c r="AGD244" s="10"/>
      <c r="AGE244" s="19"/>
      <c r="AGF244" s="19"/>
      <c r="AGI244" s="16"/>
      <c r="AGJ244" s="15"/>
      <c r="AGK244" s="15"/>
      <c r="AGL244" s="15"/>
      <c r="AGM244" s="16"/>
      <c r="AGN244" s="16"/>
      <c r="AGO244" s="16"/>
      <c r="AGP244" s="16"/>
      <c r="AGQ244" s="16"/>
      <c r="AGR244" s="15"/>
      <c r="AGS244" s="15"/>
      <c r="AGT244" s="10"/>
      <c r="AGU244" s="10"/>
      <c r="AGV244" s="19"/>
      <c r="AGW244" s="19"/>
      <c r="AGZ244" s="16"/>
      <c r="AHA244" s="15"/>
      <c r="AHB244" s="15"/>
      <c r="AHC244" s="15"/>
      <c r="AHD244" s="16"/>
      <c r="AHE244" s="16"/>
      <c r="AHF244" s="16"/>
      <c r="AHG244" s="16"/>
      <c r="AHH244" s="16"/>
      <c r="AHI244" s="15"/>
      <c r="AHJ244" s="15"/>
      <c r="AHK244" s="10"/>
      <c r="AHL244" s="10"/>
      <c r="AHM244" s="19"/>
      <c r="AHN244" s="19"/>
      <c r="AHQ244" s="16"/>
      <c r="AHR244" s="15"/>
      <c r="AHS244" s="15"/>
      <c r="AHT244" s="15"/>
      <c r="AHU244" s="16"/>
      <c r="AHV244" s="16"/>
      <c r="AHW244" s="16"/>
      <c r="AHX244" s="16"/>
      <c r="AHY244" s="16"/>
      <c r="AHZ244" s="15"/>
      <c r="AIA244" s="15"/>
      <c r="AIB244" s="10"/>
      <c r="AIC244" s="10"/>
      <c r="AID244" s="19"/>
      <c r="AIE244" s="19"/>
      <c r="AIH244" s="16"/>
      <c r="AII244" s="15"/>
      <c r="AIJ244" s="15"/>
      <c r="AIK244" s="15"/>
      <c r="AIL244" s="16"/>
      <c r="AIM244" s="16"/>
      <c r="AIN244" s="16"/>
      <c r="AIO244" s="16"/>
      <c r="AIP244" s="16"/>
      <c r="AIQ244" s="15"/>
      <c r="AIR244" s="15"/>
      <c r="AIS244" s="10"/>
      <c r="AIT244" s="10"/>
      <c r="AIU244" s="19"/>
      <c r="AIV244" s="19"/>
      <c r="AIY244" s="16"/>
      <c r="AIZ244" s="15"/>
      <c r="AJA244" s="15"/>
      <c r="AJB244" s="15"/>
      <c r="AJC244" s="16"/>
      <c r="AJD244" s="16"/>
      <c r="AJE244" s="16"/>
      <c r="AJF244" s="16"/>
      <c r="AJG244" s="16"/>
      <c r="AJH244" s="15"/>
      <c r="AJI244" s="15"/>
      <c r="AJJ244" s="10"/>
      <c r="AJK244" s="10"/>
      <c r="AJL244" s="19"/>
      <c r="AJM244" s="19"/>
      <c r="AJP244" s="16"/>
      <c r="AJQ244" s="15"/>
      <c r="AJR244" s="15"/>
      <c r="AJS244" s="15"/>
      <c r="AJT244" s="16"/>
      <c r="AJU244" s="16"/>
      <c r="AJV244" s="16"/>
      <c r="AJW244" s="16"/>
      <c r="AJX244" s="16"/>
      <c r="AJY244" s="15"/>
      <c r="AJZ244" s="15"/>
      <c r="AKA244" s="10"/>
      <c r="AKB244" s="10"/>
      <c r="AKC244" s="19"/>
      <c r="AKD244" s="19"/>
      <c r="AKG244" s="16"/>
      <c r="AKH244" s="15"/>
      <c r="AKI244" s="15"/>
      <c r="AKJ244" s="15"/>
      <c r="AKK244" s="16"/>
      <c r="AKL244" s="16"/>
      <c r="AKM244" s="16"/>
      <c r="AKN244" s="16"/>
      <c r="AKO244" s="16"/>
      <c r="AKP244" s="15"/>
      <c r="AKQ244" s="15"/>
      <c r="AKR244" s="10"/>
      <c r="AKS244" s="10"/>
      <c r="AKT244" s="19"/>
      <c r="AKU244" s="19"/>
      <c r="AKX244" s="16"/>
      <c r="AKY244" s="15"/>
      <c r="AKZ244" s="15"/>
      <c r="ALA244" s="15"/>
      <c r="ALB244" s="16"/>
      <c r="ALC244" s="16"/>
      <c r="ALD244" s="16"/>
      <c r="ALE244" s="16"/>
      <c r="ALF244" s="16"/>
      <c r="ALG244" s="15"/>
      <c r="ALH244" s="15"/>
      <c r="ALI244" s="10"/>
      <c r="ALJ244" s="10"/>
      <c r="ALK244" s="19"/>
      <c r="ALL244" s="19"/>
      <c r="ALO244" s="16"/>
      <c r="ALP244" s="15"/>
      <c r="ALQ244" s="15"/>
      <c r="ALR244" s="15"/>
      <c r="ALS244" s="16"/>
      <c r="ALT244" s="16"/>
      <c r="ALU244" s="16"/>
      <c r="ALV244" s="16"/>
      <c r="ALW244" s="16"/>
      <c r="ALX244" s="15"/>
      <c r="ALY244" s="15"/>
      <c r="ALZ244" s="10"/>
      <c r="AMA244" s="10"/>
      <c r="AMB244" s="19"/>
      <c r="AMC244" s="19"/>
      <c r="AMF244" s="16"/>
      <c r="AMG244" s="15"/>
      <c r="AMH244" s="15"/>
      <c r="AMI244" s="15"/>
      <c r="AMJ244" s="16"/>
      <c r="AMK244" s="16"/>
      <c r="AML244" s="16"/>
      <c r="AMM244" s="16"/>
      <c r="AMN244" s="16"/>
      <c r="AMO244" s="15"/>
      <c r="AMP244" s="15"/>
      <c r="AMQ244" s="10"/>
      <c r="AMR244" s="10"/>
      <c r="AMS244" s="19"/>
      <c r="AMT244" s="19"/>
      <c r="AMW244" s="16"/>
      <c r="AMX244" s="15"/>
      <c r="AMY244" s="15"/>
      <c r="AMZ244" s="15"/>
      <c r="ANA244" s="16"/>
      <c r="ANB244" s="16"/>
      <c r="ANC244" s="16"/>
      <c r="AND244" s="16"/>
      <c r="ANE244" s="16"/>
      <c r="ANF244" s="15"/>
      <c r="ANG244" s="15"/>
      <c r="ANH244" s="10"/>
      <c r="ANI244" s="10"/>
      <c r="ANJ244" s="19"/>
      <c r="ANK244" s="19"/>
      <c r="ANN244" s="16"/>
      <c r="ANO244" s="15"/>
      <c r="ANP244" s="15"/>
      <c r="ANQ244" s="15"/>
      <c r="ANR244" s="16"/>
      <c r="ANS244" s="16"/>
      <c r="ANT244" s="16"/>
      <c r="ANU244" s="16"/>
      <c r="ANV244" s="16"/>
      <c r="ANW244" s="15"/>
      <c r="ANX244" s="15"/>
      <c r="ANY244" s="10"/>
      <c r="ANZ244" s="10"/>
      <c r="AOA244" s="19"/>
      <c r="AOB244" s="19"/>
      <c r="AOE244" s="16"/>
      <c r="AOF244" s="15"/>
      <c r="AOG244" s="15"/>
      <c r="AOH244" s="15"/>
      <c r="AOI244" s="16"/>
      <c r="AOJ244" s="16"/>
      <c r="AOK244" s="16"/>
      <c r="AOL244" s="16"/>
      <c r="AOM244" s="16"/>
      <c r="AON244" s="15"/>
      <c r="AOO244" s="15"/>
      <c r="AOP244" s="10"/>
      <c r="AOQ244" s="10"/>
      <c r="AOR244" s="19"/>
      <c r="AOS244" s="19"/>
      <c r="AOV244" s="16"/>
      <c r="AOW244" s="15"/>
      <c r="AOX244" s="15"/>
      <c r="AOY244" s="15"/>
      <c r="AOZ244" s="16"/>
      <c r="APA244" s="16"/>
      <c r="APB244" s="16"/>
      <c r="APC244" s="16"/>
      <c r="APD244" s="16"/>
      <c r="APE244" s="15"/>
      <c r="APF244" s="15"/>
      <c r="APG244" s="10"/>
      <c r="APH244" s="10"/>
      <c r="API244" s="19"/>
      <c r="APJ244" s="19"/>
      <c r="APM244" s="16"/>
      <c r="APN244" s="15"/>
      <c r="APO244" s="15"/>
      <c r="APP244" s="15"/>
      <c r="APQ244" s="16"/>
      <c r="APR244" s="16"/>
      <c r="APS244" s="16"/>
      <c r="APT244" s="16"/>
      <c r="APU244" s="16"/>
      <c r="APV244" s="15"/>
      <c r="APW244" s="15"/>
      <c r="APX244" s="10"/>
      <c r="APY244" s="10"/>
      <c r="APZ244" s="19"/>
      <c r="AQA244" s="19"/>
      <c r="AQD244" s="16"/>
      <c r="AQE244" s="15"/>
      <c r="AQF244" s="15"/>
      <c r="AQG244" s="15"/>
      <c r="AQH244" s="16"/>
      <c r="AQI244" s="16"/>
      <c r="AQJ244" s="16"/>
      <c r="AQK244" s="16"/>
      <c r="AQL244" s="16"/>
      <c r="AQM244" s="15"/>
      <c r="AQN244" s="15"/>
      <c r="AQO244" s="10"/>
      <c r="AQP244" s="10"/>
      <c r="AQQ244" s="19"/>
      <c r="AQR244" s="19"/>
      <c r="AQU244" s="16"/>
      <c r="AQV244" s="15"/>
      <c r="AQW244" s="15"/>
      <c r="AQX244" s="15"/>
      <c r="AQY244" s="16"/>
      <c r="AQZ244" s="16"/>
      <c r="ARA244" s="16"/>
      <c r="ARB244" s="16"/>
      <c r="ARC244" s="16"/>
      <c r="ARD244" s="15"/>
      <c r="ARE244" s="15"/>
      <c r="ARF244" s="10"/>
      <c r="ARG244" s="10"/>
      <c r="ARH244" s="19"/>
      <c r="ARI244" s="19"/>
      <c r="ARL244" s="16"/>
      <c r="ARM244" s="15"/>
      <c r="ARN244" s="15"/>
      <c r="ARO244" s="15"/>
      <c r="ARP244" s="16"/>
      <c r="ARQ244" s="16"/>
      <c r="ARR244" s="16"/>
      <c r="ARS244" s="16"/>
      <c r="ART244" s="16"/>
      <c r="ARU244" s="15"/>
      <c r="ARV244" s="15"/>
      <c r="ARW244" s="10"/>
      <c r="ARX244" s="10"/>
      <c r="ARY244" s="19"/>
      <c r="ARZ244" s="19"/>
      <c r="ASC244" s="16"/>
      <c r="ASD244" s="15"/>
      <c r="ASE244" s="15"/>
      <c r="ASF244" s="15"/>
      <c r="ASG244" s="16"/>
      <c r="ASH244" s="16"/>
      <c r="ASI244" s="16"/>
      <c r="ASJ244" s="16"/>
      <c r="ASK244" s="16"/>
      <c r="ASL244" s="15"/>
      <c r="ASM244" s="15"/>
      <c r="ASN244" s="10"/>
      <c r="ASO244" s="10"/>
      <c r="ASP244" s="19"/>
      <c r="ASQ244" s="19"/>
      <c r="AST244" s="16"/>
      <c r="ASU244" s="15"/>
      <c r="ASV244" s="15"/>
      <c r="ASW244" s="15"/>
      <c r="ASX244" s="16"/>
      <c r="ASY244" s="16"/>
      <c r="ASZ244" s="16"/>
      <c r="ATA244" s="16"/>
      <c r="ATB244" s="16"/>
      <c r="ATC244" s="15"/>
      <c r="ATD244" s="15"/>
      <c r="ATE244" s="10"/>
      <c r="ATF244" s="10"/>
      <c r="ATG244" s="19"/>
      <c r="ATH244" s="19"/>
      <c r="ATK244" s="16"/>
      <c r="ATL244" s="15"/>
      <c r="ATM244" s="15"/>
      <c r="ATN244" s="15"/>
      <c r="ATO244" s="16"/>
      <c r="ATP244" s="16"/>
      <c r="ATQ244" s="16"/>
      <c r="ATR244" s="16"/>
      <c r="ATS244" s="16"/>
      <c r="ATT244" s="15"/>
      <c r="ATU244" s="15"/>
      <c r="ATV244" s="10"/>
      <c r="ATW244" s="10"/>
      <c r="ATX244" s="19"/>
      <c r="ATY244" s="19"/>
      <c r="AUB244" s="16"/>
      <c r="AUC244" s="15"/>
      <c r="AUD244" s="15"/>
      <c r="AUE244" s="15"/>
      <c r="AUF244" s="16"/>
      <c r="AUG244" s="16"/>
      <c r="AUH244" s="16"/>
      <c r="AUI244" s="16"/>
      <c r="AUJ244" s="16"/>
      <c r="AUK244" s="15"/>
      <c r="AUL244" s="15"/>
      <c r="AUM244" s="10"/>
      <c r="AUN244" s="10"/>
      <c r="AUO244" s="19"/>
      <c r="AUP244" s="19"/>
      <c r="AUS244" s="16"/>
      <c r="AUT244" s="15"/>
      <c r="AUU244" s="15"/>
      <c r="AUV244" s="15"/>
      <c r="AUW244" s="16"/>
      <c r="AUX244" s="16"/>
      <c r="AUY244" s="16"/>
      <c r="AUZ244" s="16"/>
      <c r="AVA244" s="16"/>
      <c r="AVB244" s="15"/>
      <c r="AVC244" s="15"/>
      <c r="AVD244" s="10"/>
      <c r="AVE244" s="10"/>
      <c r="AVF244" s="19"/>
      <c r="AVG244" s="19"/>
      <c r="AVJ244" s="16"/>
      <c r="AVK244" s="15"/>
      <c r="AVL244" s="15"/>
      <c r="AVM244" s="15"/>
      <c r="AVN244" s="16"/>
      <c r="AVO244" s="16"/>
      <c r="AVP244" s="16"/>
      <c r="AVQ244" s="16"/>
      <c r="AVR244" s="16"/>
      <c r="AVS244" s="15"/>
      <c r="AVT244" s="15"/>
      <c r="AVU244" s="10"/>
      <c r="AVV244" s="10"/>
      <c r="AVW244" s="19"/>
      <c r="AVX244" s="19"/>
      <c r="AWA244" s="16"/>
      <c r="AWB244" s="15"/>
      <c r="AWC244" s="15"/>
      <c r="AWD244" s="15"/>
      <c r="AWE244" s="16"/>
      <c r="AWF244" s="16"/>
      <c r="AWG244" s="16"/>
      <c r="AWH244" s="16"/>
      <c r="AWI244" s="16"/>
      <c r="AWJ244" s="15"/>
      <c r="AWK244" s="15"/>
      <c r="AWL244" s="10"/>
      <c r="AWM244" s="10"/>
      <c r="AWN244" s="19"/>
      <c r="AWO244" s="19"/>
      <c r="AWR244" s="16"/>
      <c r="AWS244" s="15"/>
      <c r="AWT244" s="15"/>
      <c r="AWU244" s="15"/>
      <c r="AWV244" s="16"/>
      <c r="AWW244" s="16"/>
      <c r="AWX244" s="16"/>
      <c r="AWY244" s="16"/>
      <c r="AWZ244" s="16"/>
      <c r="AXA244" s="15"/>
      <c r="AXB244" s="15"/>
      <c r="AXC244" s="10"/>
      <c r="AXD244" s="10"/>
      <c r="AXE244" s="19"/>
      <c r="AXF244" s="19"/>
      <c r="AXI244" s="16"/>
      <c r="AXJ244" s="15"/>
      <c r="AXK244" s="15"/>
      <c r="AXL244" s="15"/>
      <c r="AXM244" s="16"/>
      <c r="AXN244" s="16"/>
      <c r="AXO244" s="16"/>
      <c r="AXP244" s="16"/>
      <c r="AXQ244" s="16"/>
      <c r="AXR244" s="15"/>
      <c r="AXS244" s="15"/>
      <c r="AXT244" s="10"/>
      <c r="AXU244" s="10"/>
      <c r="AXV244" s="19"/>
      <c r="AXW244" s="19"/>
      <c r="AXZ244" s="16"/>
      <c r="AYA244" s="15"/>
      <c r="AYB244" s="15"/>
      <c r="AYC244" s="15"/>
      <c r="AYD244" s="16"/>
      <c r="AYE244" s="16"/>
      <c r="AYF244" s="16"/>
      <c r="AYG244" s="16"/>
      <c r="AYH244" s="16"/>
      <c r="AYI244" s="15"/>
      <c r="AYJ244" s="15"/>
      <c r="AYK244" s="10"/>
      <c r="AYL244" s="10"/>
      <c r="AYM244" s="19"/>
      <c r="AYN244" s="19"/>
      <c r="AYQ244" s="16"/>
      <c r="AYR244" s="15"/>
      <c r="AYS244" s="15"/>
      <c r="AYT244" s="15"/>
      <c r="AYU244" s="16"/>
      <c r="AYV244" s="16"/>
      <c r="AYW244" s="16"/>
      <c r="AYX244" s="16"/>
      <c r="AYY244" s="16"/>
      <c r="AYZ244" s="15"/>
      <c r="AZA244" s="15"/>
      <c r="AZB244" s="10"/>
      <c r="AZC244" s="10"/>
      <c r="AZD244" s="19"/>
      <c r="AZE244" s="19"/>
      <c r="AZH244" s="16"/>
      <c r="AZI244" s="15"/>
      <c r="AZJ244" s="15"/>
      <c r="AZK244" s="15"/>
      <c r="AZL244" s="16"/>
      <c r="AZM244" s="16"/>
      <c r="AZN244" s="16"/>
      <c r="AZO244" s="16"/>
      <c r="AZP244" s="16"/>
      <c r="AZQ244" s="15"/>
      <c r="AZR244" s="15"/>
      <c r="AZS244" s="10"/>
      <c r="AZT244" s="10"/>
      <c r="AZU244" s="19"/>
      <c r="AZV244" s="19"/>
      <c r="AZY244" s="16"/>
      <c r="AZZ244" s="15"/>
      <c r="BAA244" s="15"/>
      <c r="BAB244" s="15"/>
      <c r="BAC244" s="16"/>
      <c r="BAD244" s="16"/>
      <c r="BAE244" s="16"/>
      <c r="BAF244" s="16"/>
      <c r="BAG244" s="16"/>
      <c r="BAH244" s="15"/>
      <c r="BAI244" s="15"/>
      <c r="BAJ244" s="10"/>
      <c r="BAK244" s="10"/>
      <c r="BAL244" s="19"/>
      <c r="BAM244" s="19"/>
      <c r="BAP244" s="16"/>
      <c r="BAQ244" s="15"/>
      <c r="BAR244" s="15"/>
      <c r="BAS244" s="15"/>
      <c r="BAT244" s="16"/>
      <c r="BAU244" s="16"/>
      <c r="BAV244" s="16"/>
      <c r="BAW244" s="16"/>
      <c r="BAX244" s="16"/>
      <c r="BAY244" s="15"/>
      <c r="BAZ244" s="15"/>
      <c r="BBA244" s="10"/>
      <c r="BBB244" s="10"/>
      <c r="BBC244" s="19"/>
      <c r="BBD244" s="19"/>
      <c r="BBG244" s="16"/>
      <c r="BBH244" s="15"/>
      <c r="BBI244" s="15"/>
      <c r="BBJ244" s="15"/>
      <c r="BBK244" s="16"/>
      <c r="BBL244" s="16"/>
      <c r="BBM244" s="16"/>
      <c r="BBN244" s="16"/>
      <c r="BBO244" s="16"/>
      <c r="BBP244" s="15"/>
      <c r="BBQ244" s="15"/>
      <c r="BBR244" s="10"/>
      <c r="BBS244" s="10"/>
      <c r="BBT244" s="19"/>
      <c r="BBU244" s="19"/>
      <c r="BBX244" s="16"/>
      <c r="BBY244" s="15"/>
      <c r="BBZ244" s="15"/>
      <c r="BCA244" s="15"/>
      <c r="BCB244" s="16"/>
      <c r="BCC244" s="16"/>
      <c r="BCD244" s="16"/>
      <c r="BCE244" s="16"/>
      <c r="BCF244" s="16"/>
      <c r="BCG244" s="15"/>
      <c r="BCH244" s="15"/>
      <c r="BCI244" s="10"/>
      <c r="BCJ244" s="10"/>
      <c r="BCK244" s="19"/>
      <c r="BCL244" s="19"/>
      <c r="BCO244" s="16"/>
      <c r="BCP244" s="15"/>
      <c r="BCQ244" s="15"/>
      <c r="BCR244" s="15"/>
      <c r="BCS244" s="16"/>
      <c r="BCT244" s="16"/>
      <c r="BCU244" s="16"/>
      <c r="BCV244" s="16"/>
      <c r="BCW244" s="16"/>
      <c r="BCX244" s="15"/>
      <c r="BCY244" s="15"/>
      <c r="BCZ244" s="10"/>
      <c r="BDA244" s="10"/>
      <c r="BDB244" s="19"/>
      <c r="BDC244" s="19"/>
      <c r="BDF244" s="16"/>
      <c r="BDG244" s="15"/>
      <c r="BDH244" s="15"/>
      <c r="BDI244" s="15"/>
      <c r="BDJ244" s="16"/>
      <c r="BDK244" s="16"/>
      <c r="BDL244" s="16"/>
      <c r="BDM244" s="16"/>
      <c r="BDN244" s="16"/>
      <c r="BDO244" s="15"/>
      <c r="BDP244" s="15"/>
      <c r="BDQ244" s="10"/>
      <c r="BDR244" s="10"/>
      <c r="BDS244" s="19"/>
      <c r="BDT244" s="19"/>
      <c r="BDW244" s="16"/>
      <c r="BDX244" s="15"/>
      <c r="BDY244" s="15"/>
      <c r="BDZ244" s="15"/>
      <c r="BEA244" s="16"/>
      <c r="BEB244" s="16"/>
      <c r="BEC244" s="16"/>
      <c r="BED244" s="16"/>
      <c r="BEE244" s="16"/>
      <c r="BEF244" s="15"/>
      <c r="BEG244" s="15"/>
      <c r="BEH244" s="10"/>
      <c r="BEI244" s="10"/>
      <c r="BEJ244" s="19"/>
      <c r="BEK244" s="19"/>
      <c r="BEN244" s="16"/>
      <c r="BEO244" s="15"/>
      <c r="BEP244" s="15"/>
      <c r="BEQ244" s="15"/>
      <c r="BER244" s="16"/>
      <c r="BES244" s="16"/>
      <c r="BET244" s="16"/>
      <c r="BEU244" s="16"/>
      <c r="BEV244" s="16"/>
      <c r="BEW244" s="15"/>
      <c r="BEX244" s="15"/>
      <c r="BEY244" s="10"/>
      <c r="BEZ244" s="10"/>
      <c r="BFA244" s="19"/>
      <c r="BFB244" s="19"/>
      <c r="BFE244" s="16"/>
      <c r="BFF244" s="15"/>
      <c r="BFG244" s="15"/>
      <c r="BFH244" s="15"/>
      <c r="BFI244" s="16"/>
      <c r="BFJ244" s="16"/>
      <c r="BFK244" s="16"/>
      <c r="BFL244" s="16"/>
      <c r="BFM244" s="16"/>
      <c r="BFN244" s="15"/>
      <c r="BFO244" s="15"/>
      <c r="BFP244" s="10"/>
      <c r="BFQ244" s="10"/>
      <c r="BFR244" s="19"/>
      <c r="BFS244" s="19"/>
      <c r="BFV244" s="16"/>
      <c r="BFW244" s="15"/>
      <c r="BFX244" s="15"/>
      <c r="BFY244" s="15"/>
      <c r="BFZ244" s="16"/>
      <c r="BGA244" s="16"/>
      <c r="BGB244" s="16"/>
      <c r="BGC244" s="16"/>
      <c r="BGD244" s="16"/>
      <c r="BGE244" s="15"/>
      <c r="BGF244" s="15"/>
      <c r="BGG244" s="10"/>
      <c r="BGH244" s="10"/>
      <c r="BGI244" s="19"/>
      <c r="BGJ244" s="19"/>
      <c r="BGM244" s="16"/>
      <c r="BGN244" s="15"/>
      <c r="BGO244" s="15"/>
      <c r="BGP244" s="15"/>
      <c r="BGQ244" s="16"/>
      <c r="BGR244" s="16"/>
      <c r="BGS244" s="16"/>
      <c r="BGT244" s="16"/>
      <c r="BGU244" s="16"/>
      <c r="BGV244" s="15"/>
      <c r="BGW244" s="15"/>
      <c r="BGX244" s="10"/>
      <c r="BGY244" s="10"/>
      <c r="BGZ244" s="19"/>
      <c r="BHA244" s="19"/>
      <c r="BHD244" s="16"/>
      <c r="BHE244" s="15"/>
      <c r="BHF244" s="15"/>
      <c r="BHG244" s="15"/>
      <c r="BHH244" s="16"/>
      <c r="BHI244" s="16"/>
      <c r="BHJ244" s="16"/>
      <c r="BHK244" s="16"/>
      <c r="BHL244" s="16"/>
      <c r="BHM244" s="15"/>
      <c r="BHN244" s="15"/>
      <c r="BHO244" s="10"/>
      <c r="BHP244" s="10"/>
      <c r="BHQ244" s="19"/>
      <c r="BHR244" s="19"/>
      <c r="BHU244" s="16"/>
      <c r="BHV244" s="15"/>
      <c r="BHW244" s="15"/>
      <c r="BHX244" s="15"/>
      <c r="BHY244" s="16"/>
      <c r="BHZ244" s="16"/>
      <c r="BIA244" s="16"/>
      <c r="BIB244" s="16"/>
      <c r="BIC244" s="16"/>
      <c r="BID244" s="15"/>
      <c r="BIE244" s="15"/>
      <c r="BIF244" s="10"/>
      <c r="BIG244" s="10"/>
      <c r="BIH244" s="19"/>
      <c r="BII244" s="19"/>
      <c r="BIL244" s="16"/>
      <c r="BIM244" s="15"/>
      <c r="BIN244" s="15"/>
      <c r="BIO244" s="15"/>
      <c r="BIP244" s="16"/>
      <c r="BIQ244" s="16"/>
      <c r="BIR244" s="16"/>
      <c r="BIS244" s="16"/>
      <c r="BIT244" s="16"/>
      <c r="BIU244" s="15"/>
      <c r="BIV244" s="15"/>
      <c r="BIW244" s="10"/>
      <c r="BIX244" s="10"/>
      <c r="BIY244" s="19"/>
      <c r="BIZ244" s="19"/>
      <c r="BJC244" s="16"/>
      <c r="BJD244" s="15"/>
      <c r="BJE244" s="15"/>
      <c r="BJF244" s="15"/>
      <c r="BJG244" s="16"/>
      <c r="BJH244" s="16"/>
      <c r="BJI244" s="16"/>
      <c r="BJJ244" s="16"/>
      <c r="BJK244" s="16"/>
      <c r="BJL244" s="15"/>
      <c r="BJM244" s="15"/>
      <c r="BJN244" s="10"/>
      <c r="BJO244" s="10"/>
      <c r="BJP244" s="19"/>
      <c r="BJQ244" s="19"/>
      <c r="BJT244" s="16"/>
      <c r="BJU244" s="15"/>
      <c r="BJV244" s="15"/>
      <c r="BJW244" s="15"/>
      <c r="BJX244" s="16"/>
      <c r="BJY244" s="16"/>
      <c r="BJZ244" s="16"/>
      <c r="BKA244" s="16"/>
      <c r="BKB244" s="16"/>
      <c r="BKC244" s="15"/>
      <c r="BKD244" s="15"/>
      <c r="BKE244" s="10"/>
      <c r="BKF244" s="10"/>
      <c r="BKG244" s="19"/>
      <c r="BKH244" s="19"/>
      <c r="BKK244" s="16"/>
      <c r="BKL244" s="15"/>
      <c r="BKM244" s="15"/>
      <c r="BKN244" s="15"/>
      <c r="BKO244" s="16"/>
      <c r="BKP244" s="16"/>
      <c r="BKQ244" s="16"/>
      <c r="BKR244" s="16"/>
      <c r="BKS244" s="16"/>
      <c r="BKT244" s="15"/>
      <c r="BKU244" s="15"/>
      <c r="BKV244" s="10"/>
      <c r="BKW244" s="10"/>
      <c r="BKX244" s="19"/>
      <c r="BKY244" s="19"/>
      <c r="BLB244" s="16"/>
      <c r="BLC244" s="15"/>
      <c r="BLD244" s="15"/>
      <c r="BLE244" s="15"/>
      <c r="BLF244" s="16"/>
      <c r="BLG244" s="16"/>
      <c r="BLH244" s="16"/>
      <c r="BLI244" s="16"/>
      <c r="BLJ244" s="16"/>
      <c r="BLK244" s="15"/>
      <c r="BLL244" s="15"/>
      <c r="BLM244" s="10"/>
      <c r="BLN244" s="10"/>
      <c r="BLO244" s="19"/>
      <c r="BLP244" s="19"/>
      <c r="BLS244" s="16"/>
      <c r="BLT244" s="15"/>
      <c r="BLU244" s="15"/>
      <c r="BLV244" s="15"/>
      <c r="BLW244" s="16"/>
      <c r="BLX244" s="16"/>
      <c r="BLY244" s="16"/>
      <c r="BLZ244" s="16"/>
      <c r="BMA244" s="16"/>
      <c r="BMB244" s="15"/>
      <c r="BMC244" s="15"/>
      <c r="BMD244" s="10"/>
      <c r="BME244" s="10"/>
      <c r="BMF244" s="19"/>
      <c r="BMG244" s="19"/>
      <c r="BMJ244" s="16"/>
      <c r="BMK244" s="15"/>
      <c r="BML244" s="15"/>
      <c r="BMM244" s="15"/>
      <c r="BMN244" s="16"/>
      <c r="BMO244" s="16"/>
      <c r="BMP244" s="16"/>
      <c r="BMQ244" s="16"/>
      <c r="BMR244" s="16"/>
      <c r="BMS244" s="15"/>
      <c r="BMT244" s="15"/>
      <c r="BMU244" s="10"/>
      <c r="BMV244" s="10"/>
      <c r="BMW244" s="19"/>
      <c r="BMX244" s="19"/>
      <c r="BNA244" s="16"/>
      <c r="BNB244" s="15"/>
      <c r="BNC244" s="15"/>
      <c r="BND244" s="15"/>
      <c r="BNE244" s="16"/>
      <c r="BNF244" s="16"/>
      <c r="BNG244" s="16"/>
      <c r="BNH244" s="16"/>
      <c r="BNI244" s="16"/>
      <c r="BNJ244" s="15"/>
      <c r="BNK244" s="15"/>
      <c r="BNL244" s="10"/>
      <c r="BNM244" s="10"/>
      <c r="BNN244" s="19"/>
      <c r="BNO244" s="19"/>
      <c r="BNR244" s="16"/>
      <c r="BNS244" s="15"/>
      <c r="BNT244" s="15"/>
      <c r="BNU244" s="15"/>
      <c r="BNV244" s="16"/>
      <c r="BNW244" s="16"/>
      <c r="BNX244" s="16"/>
      <c r="BNY244" s="16"/>
      <c r="BNZ244" s="16"/>
      <c r="BOA244" s="15"/>
      <c r="BOB244" s="15"/>
      <c r="BOC244" s="10"/>
      <c r="BOD244" s="10"/>
      <c r="BOE244" s="19"/>
      <c r="BOF244" s="19"/>
      <c r="BOI244" s="16"/>
      <c r="BOJ244" s="15"/>
      <c r="BOK244" s="15"/>
      <c r="BOL244" s="15"/>
      <c r="BOM244" s="16"/>
      <c r="BON244" s="16"/>
      <c r="BOO244" s="16"/>
      <c r="BOP244" s="16"/>
      <c r="BOQ244" s="16"/>
      <c r="BOR244" s="15"/>
      <c r="BOS244" s="15"/>
      <c r="BOT244" s="10"/>
      <c r="BOU244" s="10"/>
      <c r="BOV244" s="19"/>
      <c r="BOW244" s="19"/>
      <c r="BOZ244" s="16"/>
      <c r="BPA244" s="15"/>
      <c r="BPB244" s="15"/>
      <c r="BPC244" s="15"/>
      <c r="BPD244" s="16"/>
      <c r="BPE244" s="16"/>
      <c r="BPF244" s="16"/>
      <c r="BPG244" s="16"/>
      <c r="BPH244" s="16"/>
      <c r="BPI244" s="15"/>
      <c r="BPJ244" s="15"/>
      <c r="BPK244" s="10"/>
      <c r="BPL244" s="10"/>
      <c r="BPM244" s="19"/>
      <c r="BPN244" s="19"/>
      <c r="BPQ244" s="16"/>
      <c r="BPR244" s="15"/>
      <c r="BPS244" s="15"/>
      <c r="BPT244" s="15"/>
      <c r="BPU244" s="16"/>
      <c r="BPV244" s="16"/>
      <c r="BPW244" s="16"/>
      <c r="BPX244" s="16"/>
      <c r="BPY244" s="16"/>
      <c r="BPZ244" s="15"/>
      <c r="BQA244" s="15"/>
      <c r="BQB244" s="10"/>
      <c r="BQC244" s="10"/>
      <c r="BQD244" s="19"/>
      <c r="BQE244" s="19"/>
      <c r="BQH244" s="16"/>
      <c r="BQI244" s="15"/>
      <c r="BQJ244" s="15"/>
      <c r="BQK244" s="15"/>
      <c r="BQL244" s="16"/>
      <c r="BQM244" s="16"/>
      <c r="BQN244" s="16"/>
      <c r="BQO244" s="16"/>
      <c r="BQP244" s="16"/>
      <c r="BQQ244" s="15"/>
      <c r="BQR244" s="15"/>
      <c r="BQS244" s="10"/>
      <c r="BQT244" s="10"/>
      <c r="BQU244" s="19"/>
      <c r="BQV244" s="19"/>
      <c r="BQY244" s="16"/>
      <c r="BQZ244" s="15"/>
      <c r="BRA244" s="15"/>
      <c r="BRB244" s="15"/>
      <c r="BRC244" s="16"/>
      <c r="BRD244" s="16"/>
      <c r="BRE244" s="16"/>
      <c r="BRF244" s="16"/>
      <c r="BRG244" s="16"/>
      <c r="BRH244" s="15"/>
      <c r="BRI244" s="15"/>
      <c r="BRJ244" s="10"/>
      <c r="BRK244" s="10"/>
      <c r="BRL244" s="19"/>
      <c r="BRM244" s="19"/>
      <c r="BRP244" s="16"/>
      <c r="BRQ244" s="15"/>
      <c r="BRR244" s="15"/>
      <c r="BRS244" s="15"/>
      <c r="BRT244" s="16"/>
      <c r="BRU244" s="16"/>
      <c r="BRV244" s="16"/>
      <c r="BRW244" s="16"/>
      <c r="BRX244" s="16"/>
      <c r="BRY244" s="15"/>
      <c r="BRZ244" s="15"/>
      <c r="BSA244" s="10"/>
      <c r="BSB244" s="10"/>
      <c r="BSC244" s="19"/>
      <c r="BSD244" s="19"/>
      <c r="BSG244" s="16"/>
      <c r="BSH244" s="15"/>
      <c r="BSI244" s="15"/>
      <c r="BSJ244" s="15"/>
      <c r="BSK244" s="16"/>
      <c r="BSL244" s="16"/>
      <c r="BSM244" s="16"/>
      <c r="BSN244" s="16"/>
      <c r="BSO244" s="16"/>
      <c r="BSP244" s="15"/>
      <c r="BSQ244" s="15"/>
      <c r="BSR244" s="10"/>
      <c r="BSS244" s="10"/>
      <c r="BST244" s="19"/>
      <c r="BSU244" s="19"/>
      <c r="BSX244" s="16"/>
      <c r="BSY244" s="15"/>
      <c r="BSZ244" s="15"/>
      <c r="BTA244" s="15"/>
      <c r="BTB244" s="16"/>
      <c r="BTC244" s="16"/>
      <c r="BTD244" s="16"/>
      <c r="BTE244" s="16"/>
      <c r="BTF244" s="16"/>
      <c r="BTG244" s="15"/>
      <c r="BTH244" s="15"/>
      <c r="BTI244" s="10"/>
      <c r="BTJ244" s="10"/>
      <c r="BTK244" s="19"/>
      <c r="BTL244" s="19"/>
      <c r="BTO244" s="16"/>
      <c r="BTP244" s="15"/>
      <c r="BTQ244" s="15"/>
      <c r="BTR244" s="15"/>
      <c r="BTS244" s="16"/>
      <c r="BTT244" s="16"/>
      <c r="BTU244" s="16"/>
      <c r="BTV244" s="16"/>
      <c r="BTW244" s="16"/>
      <c r="BTX244" s="15"/>
      <c r="BTY244" s="15"/>
      <c r="BTZ244" s="10"/>
      <c r="BUA244" s="10"/>
      <c r="BUB244" s="19"/>
      <c r="BUC244" s="19"/>
      <c r="BUF244" s="16"/>
      <c r="BUG244" s="15"/>
      <c r="BUH244" s="15"/>
      <c r="BUI244" s="15"/>
      <c r="BUJ244" s="16"/>
      <c r="BUK244" s="16"/>
      <c r="BUL244" s="16"/>
      <c r="BUM244" s="16"/>
      <c r="BUN244" s="16"/>
      <c r="BUO244" s="15"/>
      <c r="BUP244" s="15"/>
      <c r="BUQ244" s="10"/>
      <c r="BUR244" s="10"/>
      <c r="BUS244" s="19"/>
      <c r="BUT244" s="19"/>
      <c r="BUW244" s="16"/>
      <c r="BUX244" s="15"/>
      <c r="BUY244" s="15"/>
      <c r="BUZ244" s="15"/>
      <c r="BVA244" s="16"/>
      <c r="BVB244" s="16"/>
      <c r="BVC244" s="16"/>
      <c r="BVD244" s="16"/>
      <c r="BVE244" s="16"/>
      <c r="BVF244" s="15"/>
      <c r="BVG244" s="15"/>
      <c r="BVH244" s="10"/>
      <c r="BVI244" s="10"/>
      <c r="BVJ244" s="19"/>
      <c r="BVK244" s="19"/>
      <c r="BVN244" s="16"/>
      <c r="BVO244" s="15"/>
      <c r="BVP244" s="15"/>
      <c r="BVQ244" s="15"/>
      <c r="BVR244" s="16"/>
      <c r="BVS244" s="16"/>
      <c r="BVT244" s="16"/>
      <c r="BVU244" s="16"/>
      <c r="BVV244" s="16"/>
      <c r="BVW244" s="15"/>
      <c r="BVX244" s="15"/>
      <c r="BVY244" s="10"/>
      <c r="BVZ244" s="10"/>
      <c r="BWA244" s="19"/>
      <c r="BWB244" s="19"/>
      <c r="BWE244" s="16"/>
      <c r="BWF244" s="15"/>
      <c r="BWG244" s="15"/>
      <c r="BWH244" s="15"/>
      <c r="BWI244" s="16"/>
      <c r="BWJ244" s="16"/>
      <c r="BWK244" s="16"/>
      <c r="BWL244" s="16"/>
      <c r="BWM244" s="16"/>
      <c r="BWN244" s="15"/>
      <c r="BWO244" s="15"/>
      <c r="BWP244" s="10"/>
      <c r="BWQ244" s="10"/>
      <c r="BWR244" s="19"/>
      <c r="BWS244" s="19"/>
      <c r="BWV244" s="16"/>
      <c r="BWW244" s="15"/>
      <c r="BWX244" s="15"/>
      <c r="BWY244" s="15"/>
      <c r="BWZ244" s="16"/>
      <c r="BXA244" s="16"/>
      <c r="BXB244" s="16"/>
      <c r="BXC244" s="16"/>
      <c r="BXD244" s="16"/>
      <c r="BXE244" s="15"/>
      <c r="BXF244" s="15"/>
      <c r="BXG244" s="10"/>
      <c r="BXH244" s="10"/>
      <c r="BXI244" s="19"/>
      <c r="BXJ244" s="19"/>
      <c r="BXM244" s="16"/>
      <c r="BXN244" s="15"/>
      <c r="BXO244" s="15"/>
      <c r="BXP244" s="15"/>
      <c r="BXQ244" s="16"/>
      <c r="BXR244" s="16"/>
      <c r="BXS244" s="16"/>
      <c r="BXT244" s="16"/>
      <c r="BXU244" s="16"/>
      <c r="BXV244" s="15"/>
      <c r="BXW244" s="15"/>
      <c r="BXX244" s="10"/>
      <c r="BXY244" s="10"/>
      <c r="BXZ244" s="19"/>
      <c r="BYA244" s="19"/>
      <c r="BYD244" s="16"/>
      <c r="BYE244" s="15"/>
      <c r="BYF244" s="15"/>
      <c r="BYG244" s="15"/>
      <c r="BYH244" s="16"/>
      <c r="BYI244" s="16"/>
      <c r="BYJ244" s="16"/>
      <c r="BYK244" s="16"/>
      <c r="BYL244" s="16"/>
      <c r="BYM244" s="15"/>
      <c r="BYN244" s="15"/>
      <c r="BYO244" s="10"/>
      <c r="BYP244" s="10"/>
      <c r="BYQ244" s="19"/>
      <c r="BYR244" s="19"/>
      <c r="BYU244" s="16"/>
      <c r="BYV244" s="15"/>
      <c r="BYW244" s="15"/>
      <c r="BYX244" s="15"/>
      <c r="BYY244" s="16"/>
      <c r="BYZ244" s="16"/>
      <c r="BZA244" s="16"/>
      <c r="BZB244" s="16"/>
      <c r="BZC244" s="16"/>
      <c r="BZD244" s="15"/>
      <c r="BZE244" s="15"/>
      <c r="BZF244" s="10"/>
      <c r="BZG244" s="10"/>
      <c r="BZH244" s="19"/>
      <c r="BZI244" s="19"/>
      <c r="BZL244" s="16"/>
      <c r="BZM244" s="15"/>
      <c r="BZN244" s="15"/>
      <c r="BZO244" s="15"/>
      <c r="BZP244" s="16"/>
      <c r="BZQ244" s="16"/>
      <c r="BZR244" s="16"/>
      <c r="BZS244" s="16"/>
      <c r="BZT244" s="16"/>
      <c r="BZU244" s="15"/>
      <c r="BZV244" s="15"/>
      <c r="BZW244" s="10"/>
      <c r="BZX244" s="10"/>
      <c r="BZY244" s="19"/>
      <c r="BZZ244" s="19"/>
      <c r="CAC244" s="16"/>
      <c r="CAD244" s="15"/>
      <c r="CAE244" s="15"/>
      <c r="CAF244" s="15"/>
      <c r="CAG244" s="16"/>
      <c r="CAH244" s="16"/>
      <c r="CAI244" s="16"/>
      <c r="CAJ244" s="16"/>
      <c r="CAK244" s="16"/>
      <c r="CAL244" s="15"/>
      <c r="CAM244" s="15"/>
      <c r="CAN244" s="10"/>
      <c r="CAO244" s="10"/>
      <c r="CAP244" s="19"/>
      <c r="CAQ244" s="19"/>
      <c r="CAT244" s="16"/>
      <c r="CAU244" s="15"/>
      <c r="CAV244" s="15"/>
      <c r="CAW244" s="15"/>
      <c r="CAX244" s="16"/>
      <c r="CAY244" s="16"/>
      <c r="CAZ244" s="16"/>
      <c r="CBA244" s="16"/>
      <c r="CBB244" s="16"/>
      <c r="CBC244" s="15"/>
      <c r="CBD244" s="15"/>
      <c r="CBE244" s="10"/>
      <c r="CBF244" s="10"/>
      <c r="CBG244" s="19"/>
      <c r="CBH244" s="19"/>
      <c r="CBK244" s="16"/>
      <c r="CBL244" s="15"/>
      <c r="CBM244" s="15"/>
      <c r="CBN244" s="15"/>
      <c r="CBO244" s="16"/>
      <c r="CBP244" s="16"/>
      <c r="CBQ244" s="16"/>
      <c r="CBR244" s="16"/>
      <c r="CBS244" s="16"/>
      <c r="CBT244" s="15"/>
      <c r="CBU244" s="15"/>
      <c r="CBV244" s="10"/>
      <c r="CBW244" s="10"/>
      <c r="CBX244" s="19"/>
      <c r="CBY244" s="19"/>
      <c r="CCB244" s="16"/>
      <c r="CCC244" s="15"/>
      <c r="CCD244" s="15"/>
      <c r="CCE244" s="15"/>
      <c r="CCF244" s="16"/>
      <c r="CCG244" s="16"/>
      <c r="CCH244" s="16"/>
      <c r="CCI244" s="16"/>
      <c r="CCJ244" s="16"/>
      <c r="CCK244" s="15"/>
      <c r="CCL244" s="15"/>
      <c r="CCM244" s="10"/>
      <c r="CCN244" s="10"/>
      <c r="CCO244" s="19"/>
      <c r="CCP244" s="19"/>
      <c r="CCS244" s="16"/>
      <c r="CCT244" s="15"/>
      <c r="CCU244" s="15"/>
      <c r="CCV244" s="15"/>
      <c r="CCW244" s="16"/>
      <c r="CCX244" s="16"/>
      <c r="CCY244" s="16"/>
      <c r="CCZ244" s="16"/>
      <c r="CDA244" s="16"/>
      <c r="CDB244" s="15"/>
      <c r="CDC244" s="15"/>
      <c r="CDD244" s="10"/>
      <c r="CDE244" s="10"/>
      <c r="CDF244" s="19"/>
      <c r="CDG244" s="19"/>
      <c r="CDJ244" s="16"/>
      <c r="CDK244" s="15"/>
      <c r="CDL244" s="15"/>
      <c r="CDM244" s="15"/>
      <c r="CDN244" s="16"/>
      <c r="CDO244" s="16"/>
      <c r="CDP244" s="16"/>
      <c r="CDQ244" s="16"/>
      <c r="CDR244" s="16"/>
      <c r="CDS244" s="15"/>
      <c r="CDT244" s="15"/>
      <c r="CDU244" s="10"/>
      <c r="CDV244" s="10"/>
      <c r="CDW244" s="19"/>
      <c r="CDX244" s="19"/>
      <c r="CEA244" s="16"/>
      <c r="CEB244" s="15"/>
      <c r="CEC244" s="15"/>
      <c r="CED244" s="15"/>
      <c r="CEE244" s="16"/>
      <c r="CEF244" s="16"/>
      <c r="CEG244" s="16"/>
      <c r="CEH244" s="16"/>
      <c r="CEI244" s="16"/>
      <c r="CEJ244" s="15"/>
      <c r="CEK244" s="15"/>
      <c r="CEL244" s="10"/>
      <c r="CEM244" s="10"/>
      <c r="CEN244" s="19"/>
      <c r="CEO244" s="19"/>
      <c r="CER244" s="16"/>
      <c r="CES244" s="15"/>
      <c r="CET244" s="15"/>
      <c r="CEU244" s="15"/>
      <c r="CEV244" s="16"/>
      <c r="CEW244" s="16"/>
      <c r="CEX244" s="16"/>
      <c r="CEY244" s="16"/>
      <c r="CEZ244" s="16"/>
      <c r="CFA244" s="15"/>
      <c r="CFB244" s="15"/>
      <c r="CFC244" s="10"/>
      <c r="CFD244" s="10"/>
      <c r="CFE244" s="19"/>
      <c r="CFF244" s="19"/>
      <c r="CFI244" s="16"/>
      <c r="CFJ244" s="15"/>
      <c r="CFK244" s="15"/>
      <c r="CFL244" s="15"/>
      <c r="CFM244" s="16"/>
      <c r="CFN244" s="16"/>
      <c r="CFO244" s="16"/>
      <c r="CFP244" s="16"/>
      <c r="CFQ244" s="16"/>
      <c r="CFR244" s="15"/>
      <c r="CFS244" s="15"/>
      <c r="CFT244" s="10"/>
      <c r="CFU244" s="10"/>
      <c r="CFV244" s="19"/>
      <c r="CFW244" s="19"/>
      <c r="CFZ244" s="16"/>
      <c r="CGA244" s="15"/>
      <c r="CGB244" s="15"/>
      <c r="CGC244" s="15"/>
      <c r="CGD244" s="16"/>
      <c r="CGE244" s="16"/>
      <c r="CGF244" s="16"/>
      <c r="CGG244" s="16"/>
      <c r="CGH244" s="16"/>
      <c r="CGI244" s="15"/>
      <c r="CGJ244" s="15"/>
      <c r="CGK244" s="10"/>
      <c r="CGL244" s="10"/>
      <c r="CGM244" s="19"/>
      <c r="CGN244" s="19"/>
      <c r="CGQ244" s="16"/>
      <c r="CGR244" s="15"/>
      <c r="CGS244" s="15"/>
      <c r="CGT244" s="15"/>
      <c r="CGU244" s="16"/>
      <c r="CGV244" s="16"/>
      <c r="CGW244" s="16"/>
      <c r="CGX244" s="16"/>
      <c r="CGY244" s="16"/>
      <c r="CGZ244" s="15"/>
      <c r="CHA244" s="15"/>
      <c r="CHB244" s="10"/>
      <c r="CHC244" s="10"/>
      <c r="CHD244" s="19"/>
      <c r="CHE244" s="19"/>
      <c r="CHH244" s="16"/>
      <c r="CHI244" s="15"/>
      <c r="CHJ244" s="15"/>
      <c r="CHK244" s="15"/>
      <c r="CHL244" s="16"/>
      <c r="CHM244" s="16"/>
      <c r="CHN244" s="16"/>
      <c r="CHO244" s="16"/>
      <c r="CHP244" s="16"/>
      <c r="CHQ244" s="15"/>
      <c r="CHR244" s="15"/>
      <c r="CHS244" s="10"/>
      <c r="CHT244" s="10"/>
      <c r="CHU244" s="19"/>
      <c r="CHV244" s="19"/>
      <c r="CHY244" s="16"/>
      <c r="CHZ244" s="15"/>
      <c r="CIA244" s="15"/>
      <c r="CIB244" s="15"/>
      <c r="CIC244" s="16"/>
      <c r="CID244" s="16"/>
      <c r="CIE244" s="16"/>
      <c r="CIF244" s="16"/>
      <c r="CIG244" s="16"/>
      <c r="CIH244" s="15"/>
      <c r="CII244" s="15"/>
      <c r="CIJ244" s="10"/>
      <c r="CIK244" s="10"/>
      <c r="CIL244" s="19"/>
      <c r="CIM244" s="19"/>
      <c r="CIP244" s="16"/>
      <c r="CIQ244" s="15"/>
      <c r="CIR244" s="15"/>
      <c r="CIS244" s="15"/>
      <c r="CIT244" s="16"/>
      <c r="CIU244" s="16"/>
      <c r="CIV244" s="16"/>
      <c r="CIW244" s="16"/>
      <c r="CIX244" s="16"/>
      <c r="CIY244" s="15"/>
      <c r="CIZ244" s="15"/>
      <c r="CJA244" s="10"/>
      <c r="CJB244" s="10"/>
      <c r="CJC244" s="19"/>
      <c r="CJD244" s="19"/>
      <c r="CJG244" s="16"/>
      <c r="CJH244" s="15"/>
      <c r="CJI244" s="15"/>
      <c r="CJJ244" s="15"/>
      <c r="CJK244" s="16"/>
      <c r="CJL244" s="16"/>
      <c r="CJM244" s="16"/>
      <c r="CJN244" s="16"/>
      <c r="CJO244" s="16"/>
      <c r="CJP244" s="15"/>
      <c r="CJQ244" s="15"/>
      <c r="CJR244" s="10"/>
      <c r="CJS244" s="10"/>
      <c r="CJT244" s="19"/>
      <c r="CJU244" s="19"/>
      <c r="CJX244" s="16"/>
      <c r="CJY244" s="15"/>
      <c r="CJZ244" s="15"/>
      <c r="CKA244" s="15"/>
      <c r="CKB244" s="16"/>
      <c r="CKC244" s="16"/>
      <c r="CKD244" s="16"/>
      <c r="CKE244" s="16"/>
      <c r="CKF244" s="16"/>
      <c r="CKG244" s="15"/>
      <c r="CKH244" s="15"/>
      <c r="CKI244" s="10"/>
      <c r="CKJ244" s="10"/>
      <c r="CKK244" s="19"/>
      <c r="CKL244" s="19"/>
      <c r="CKO244" s="16"/>
      <c r="CKP244" s="15"/>
      <c r="CKQ244" s="15"/>
      <c r="CKR244" s="15"/>
      <c r="CKS244" s="16"/>
      <c r="CKT244" s="16"/>
      <c r="CKU244" s="16"/>
      <c r="CKV244" s="16"/>
      <c r="CKW244" s="16"/>
      <c r="CKX244" s="15"/>
      <c r="CKY244" s="15"/>
      <c r="CKZ244" s="10"/>
      <c r="CLA244" s="10"/>
      <c r="CLB244" s="19"/>
      <c r="CLC244" s="19"/>
      <c r="CLF244" s="16"/>
      <c r="CLG244" s="15"/>
      <c r="CLH244" s="15"/>
      <c r="CLI244" s="15"/>
      <c r="CLJ244" s="16"/>
      <c r="CLK244" s="16"/>
      <c r="CLL244" s="16"/>
      <c r="CLM244" s="16"/>
      <c r="CLN244" s="16"/>
      <c r="CLO244" s="15"/>
      <c r="CLP244" s="15"/>
      <c r="CLQ244" s="10"/>
      <c r="CLR244" s="10"/>
      <c r="CLS244" s="19"/>
      <c r="CLT244" s="19"/>
      <c r="CLW244" s="16"/>
      <c r="CLX244" s="15"/>
      <c r="CLY244" s="15"/>
      <c r="CLZ244" s="15"/>
      <c r="CMA244" s="16"/>
      <c r="CMB244" s="16"/>
      <c r="CMC244" s="16"/>
      <c r="CMD244" s="16"/>
      <c r="CME244" s="16"/>
      <c r="CMF244" s="15"/>
      <c r="CMG244" s="15"/>
      <c r="CMH244" s="10"/>
      <c r="CMI244" s="10"/>
      <c r="CMJ244" s="19"/>
      <c r="CMK244" s="19"/>
      <c r="CMN244" s="16"/>
      <c r="CMO244" s="15"/>
      <c r="CMP244" s="15"/>
      <c r="CMQ244" s="15"/>
      <c r="CMR244" s="16"/>
      <c r="CMS244" s="16"/>
      <c r="CMT244" s="16"/>
      <c r="CMU244" s="16"/>
      <c r="CMV244" s="16"/>
      <c r="CMW244" s="15"/>
      <c r="CMX244" s="15"/>
      <c r="CMY244" s="10"/>
      <c r="CMZ244" s="10"/>
      <c r="CNA244" s="19"/>
      <c r="CNB244" s="19"/>
      <c r="CNE244" s="16"/>
      <c r="CNF244" s="15"/>
      <c r="CNG244" s="15"/>
      <c r="CNH244" s="15"/>
      <c r="CNI244" s="16"/>
      <c r="CNJ244" s="16"/>
      <c r="CNK244" s="16"/>
      <c r="CNL244" s="16"/>
      <c r="CNM244" s="16"/>
      <c r="CNN244" s="15"/>
      <c r="CNO244" s="15"/>
      <c r="CNP244" s="10"/>
      <c r="CNQ244" s="10"/>
      <c r="CNR244" s="19"/>
      <c r="CNS244" s="19"/>
      <c r="CNV244" s="16"/>
      <c r="CNW244" s="15"/>
      <c r="CNX244" s="15"/>
      <c r="CNY244" s="15"/>
      <c r="CNZ244" s="16"/>
      <c r="COA244" s="16"/>
      <c r="COB244" s="16"/>
      <c r="COC244" s="16"/>
      <c r="COD244" s="16"/>
      <c r="COE244" s="15"/>
      <c r="COF244" s="15"/>
      <c r="COG244" s="10"/>
      <c r="COH244" s="10"/>
      <c r="COI244" s="19"/>
      <c r="COJ244" s="19"/>
      <c r="COM244" s="16"/>
      <c r="CON244" s="15"/>
      <c r="COO244" s="15"/>
      <c r="COP244" s="15"/>
      <c r="COQ244" s="16"/>
      <c r="COR244" s="16"/>
      <c r="COS244" s="16"/>
      <c r="COT244" s="16"/>
      <c r="COU244" s="16"/>
      <c r="COV244" s="15"/>
      <c r="COW244" s="15"/>
      <c r="COX244" s="10"/>
      <c r="COY244" s="10"/>
      <c r="COZ244" s="19"/>
      <c r="CPA244" s="19"/>
      <c r="CPD244" s="16"/>
      <c r="CPE244" s="15"/>
      <c r="CPF244" s="15"/>
      <c r="CPG244" s="15"/>
      <c r="CPH244" s="16"/>
      <c r="CPI244" s="16"/>
      <c r="CPJ244" s="16"/>
      <c r="CPK244" s="16"/>
      <c r="CPL244" s="16"/>
      <c r="CPM244" s="15"/>
      <c r="CPN244" s="15"/>
      <c r="CPO244" s="10"/>
      <c r="CPP244" s="10"/>
      <c r="CPQ244" s="19"/>
      <c r="CPR244" s="19"/>
      <c r="CPU244" s="16"/>
      <c r="CPV244" s="15"/>
      <c r="CPW244" s="15"/>
      <c r="CPX244" s="15"/>
      <c r="CPY244" s="16"/>
      <c r="CPZ244" s="16"/>
      <c r="CQA244" s="16"/>
      <c r="CQB244" s="16"/>
      <c r="CQC244" s="16"/>
      <c r="CQD244" s="15"/>
      <c r="CQE244" s="15"/>
      <c r="CQF244" s="10"/>
      <c r="CQG244" s="10"/>
      <c r="CQH244" s="19"/>
      <c r="CQI244" s="19"/>
      <c r="CQL244" s="16"/>
      <c r="CQM244" s="15"/>
      <c r="CQN244" s="15"/>
      <c r="CQO244" s="15"/>
      <c r="CQP244" s="16"/>
      <c r="CQQ244" s="16"/>
      <c r="CQR244" s="16"/>
      <c r="CQS244" s="16"/>
      <c r="CQT244" s="16"/>
      <c r="CQU244" s="15"/>
      <c r="CQV244" s="15"/>
      <c r="CQW244" s="10"/>
      <c r="CQX244" s="10"/>
      <c r="CQY244" s="19"/>
      <c r="CQZ244" s="19"/>
      <c r="CRC244" s="16"/>
      <c r="CRD244" s="15"/>
      <c r="CRE244" s="15"/>
      <c r="CRF244" s="15"/>
      <c r="CRG244" s="16"/>
      <c r="CRH244" s="16"/>
      <c r="CRI244" s="16"/>
      <c r="CRJ244" s="16"/>
      <c r="CRK244" s="16"/>
      <c r="CRL244" s="15"/>
      <c r="CRM244" s="15"/>
      <c r="CRN244" s="10"/>
      <c r="CRO244" s="10"/>
      <c r="CRP244" s="19"/>
      <c r="CRQ244" s="19"/>
      <c r="CRT244" s="16"/>
      <c r="CRU244" s="15"/>
      <c r="CRV244" s="15"/>
      <c r="CRW244" s="15"/>
      <c r="CRX244" s="16"/>
      <c r="CRY244" s="16"/>
      <c r="CRZ244" s="16"/>
      <c r="CSA244" s="16"/>
      <c r="CSB244" s="16"/>
      <c r="CSC244" s="15"/>
      <c r="CSD244" s="15"/>
      <c r="CSE244" s="10"/>
      <c r="CSF244" s="10"/>
      <c r="CSG244" s="19"/>
      <c r="CSH244" s="19"/>
      <c r="CSK244" s="16"/>
      <c r="CSL244" s="15"/>
      <c r="CSM244" s="15"/>
      <c r="CSN244" s="15"/>
      <c r="CSO244" s="16"/>
      <c r="CSP244" s="16"/>
      <c r="CSQ244" s="16"/>
      <c r="CSR244" s="16"/>
      <c r="CSS244" s="16"/>
      <c r="CST244" s="15"/>
      <c r="CSU244" s="15"/>
      <c r="CSV244" s="10"/>
      <c r="CSW244" s="10"/>
      <c r="CSX244" s="19"/>
      <c r="CSY244" s="19"/>
      <c r="CTB244" s="16"/>
      <c r="CTC244" s="15"/>
      <c r="CTD244" s="15"/>
      <c r="CTE244" s="15"/>
      <c r="CTF244" s="16"/>
      <c r="CTG244" s="16"/>
      <c r="CTH244" s="16"/>
      <c r="CTI244" s="16"/>
      <c r="CTJ244" s="16"/>
      <c r="CTK244" s="15"/>
      <c r="CTL244" s="15"/>
      <c r="CTM244" s="10"/>
      <c r="CTN244" s="10"/>
      <c r="CTO244" s="19"/>
      <c r="CTP244" s="19"/>
      <c r="CTS244" s="16"/>
      <c r="CTT244" s="15"/>
      <c r="CTU244" s="15"/>
      <c r="CTV244" s="15"/>
      <c r="CTW244" s="16"/>
      <c r="CTX244" s="16"/>
      <c r="CTY244" s="16"/>
      <c r="CTZ244" s="16"/>
      <c r="CUA244" s="16"/>
      <c r="CUB244" s="15"/>
      <c r="CUC244" s="15"/>
      <c r="CUD244" s="10"/>
      <c r="CUE244" s="10"/>
      <c r="CUF244" s="19"/>
      <c r="CUG244" s="19"/>
      <c r="CUJ244" s="16"/>
      <c r="CUK244" s="15"/>
      <c r="CUL244" s="15"/>
      <c r="CUM244" s="15"/>
      <c r="CUN244" s="16"/>
      <c r="CUO244" s="16"/>
      <c r="CUP244" s="16"/>
      <c r="CUQ244" s="16"/>
      <c r="CUR244" s="16"/>
      <c r="CUS244" s="15"/>
      <c r="CUT244" s="15"/>
      <c r="CUU244" s="10"/>
      <c r="CUV244" s="10"/>
      <c r="CUW244" s="19"/>
      <c r="CUX244" s="19"/>
      <c r="CVA244" s="16"/>
      <c r="CVB244" s="15"/>
      <c r="CVC244" s="15"/>
      <c r="CVD244" s="15"/>
      <c r="CVE244" s="16"/>
      <c r="CVF244" s="16"/>
      <c r="CVG244" s="16"/>
      <c r="CVH244" s="16"/>
      <c r="CVI244" s="16"/>
      <c r="CVJ244" s="15"/>
      <c r="CVK244" s="15"/>
      <c r="CVL244" s="10"/>
      <c r="CVM244" s="10"/>
      <c r="CVN244" s="19"/>
      <c r="CVO244" s="19"/>
      <c r="CVR244" s="16"/>
      <c r="CVS244" s="15"/>
      <c r="CVT244" s="15"/>
      <c r="CVU244" s="15"/>
      <c r="CVV244" s="16"/>
      <c r="CVW244" s="16"/>
      <c r="CVX244" s="16"/>
      <c r="CVY244" s="16"/>
      <c r="CVZ244" s="16"/>
      <c r="CWA244" s="15"/>
      <c r="CWB244" s="15"/>
      <c r="CWC244" s="10"/>
      <c r="CWD244" s="10"/>
      <c r="CWE244" s="19"/>
      <c r="CWF244" s="19"/>
      <c r="CWI244" s="16"/>
      <c r="CWJ244" s="15"/>
      <c r="CWK244" s="15"/>
      <c r="CWL244" s="15"/>
      <c r="CWM244" s="16"/>
      <c r="CWN244" s="16"/>
      <c r="CWO244" s="16"/>
      <c r="CWP244" s="16"/>
      <c r="CWQ244" s="16"/>
      <c r="CWR244" s="15"/>
      <c r="CWS244" s="15"/>
      <c r="CWT244" s="10"/>
      <c r="CWU244" s="10"/>
      <c r="CWV244" s="19"/>
      <c r="CWW244" s="19"/>
      <c r="CWZ244" s="16"/>
      <c r="CXA244" s="15"/>
      <c r="CXB244" s="15"/>
      <c r="CXC244" s="15"/>
      <c r="CXD244" s="16"/>
      <c r="CXE244" s="16"/>
      <c r="CXF244" s="16"/>
      <c r="CXG244" s="16"/>
      <c r="CXH244" s="16"/>
      <c r="CXI244" s="15"/>
      <c r="CXJ244" s="15"/>
      <c r="CXK244" s="10"/>
      <c r="CXL244" s="10"/>
      <c r="CXM244" s="19"/>
      <c r="CXN244" s="19"/>
      <c r="CXQ244" s="16"/>
      <c r="CXR244" s="15"/>
      <c r="CXS244" s="15"/>
      <c r="CXT244" s="15"/>
      <c r="CXU244" s="16"/>
      <c r="CXV244" s="16"/>
      <c r="CXW244" s="16"/>
      <c r="CXX244" s="16"/>
      <c r="CXY244" s="16"/>
      <c r="CXZ244" s="15"/>
      <c r="CYA244" s="15"/>
      <c r="CYB244" s="10"/>
      <c r="CYC244" s="10"/>
      <c r="CYD244" s="19"/>
      <c r="CYE244" s="19"/>
      <c r="CYH244" s="16"/>
      <c r="CYI244" s="15"/>
      <c r="CYJ244" s="15"/>
      <c r="CYK244" s="15"/>
      <c r="CYL244" s="16"/>
      <c r="CYM244" s="16"/>
      <c r="CYN244" s="16"/>
      <c r="CYO244" s="16"/>
      <c r="CYP244" s="16"/>
      <c r="CYQ244" s="15"/>
      <c r="CYR244" s="15"/>
      <c r="CYS244" s="10"/>
      <c r="CYT244" s="10"/>
      <c r="CYU244" s="19"/>
      <c r="CYV244" s="19"/>
      <c r="CYY244" s="16"/>
      <c r="CYZ244" s="15"/>
      <c r="CZA244" s="15"/>
      <c r="CZB244" s="15"/>
      <c r="CZC244" s="16"/>
      <c r="CZD244" s="16"/>
      <c r="CZE244" s="16"/>
      <c r="CZF244" s="16"/>
      <c r="CZG244" s="16"/>
      <c r="CZH244" s="15"/>
      <c r="CZI244" s="15"/>
      <c r="CZJ244" s="10"/>
      <c r="CZK244" s="10"/>
      <c r="CZL244" s="19"/>
      <c r="CZM244" s="19"/>
      <c r="CZP244" s="16"/>
      <c r="CZQ244" s="15"/>
      <c r="CZR244" s="15"/>
      <c r="CZS244" s="15"/>
      <c r="CZT244" s="16"/>
      <c r="CZU244" s="16"/>
      <c r="CZV244" s="16"/>
      <c r="CZW244" s="16"/>
      <c r="CZX244" s="16"/>
      <c r="CZY244" s="15"/>
      <c r="CZZ244" s="15"/>
      <c r="DAA244" s="10"/>
      <c r="DAB244" s="10"/>
      <c r="DAC244" s="19"/>
      <c r="DAD244" s="19"/>
      <c r="DAG244" s="16"/>
      <c r="DAH244" s="15"/>
      <c r="DAI244" s="15"/>
      <c r="DAJ244" s="15"/>
      <c r="DAK244" s="16"/>
      <c r="DAL244" s="16"/>
      <c r="DAM244" s="16"/>
      <c r="DAN244" s="16"/>
      <c r="DAO244" s="16"/>
      <c r="DAP244" s="15"/>
      <c r="DAQ244" s="15"/>
      <c r="DAR244" s="10"/>
      <c r="DAS244" s="10"/>
      <c r="DAT244" s="19"/>
      <c r="DAU244" s="19"/>
      <c r="DAX244" s="16"/>
      <c r="DAY244" s="15"/>
      <c r="DAZ244" s="15"/>
      <c r="DBA244" s="15"/>
      <c r="DBB244" s="16"/>
      <c r="DBC244" s="16"/>
      <c r="DBD244" s="16"/>
      <c r="DBE244" s="16"/>
      <c r="DBF244" s="16"/>
      <c r="DBG244" s="15"/>
      <c r="DBH244" s="15"/>
      <c r="DBI244" s="10"/>
      <c r="DBJ244" s="10"/>
      <c r="DBK244" s="19"/>
      <c r="DBL244" s="19"/>
      <c r="DBO244" s="16"/>
      <c r="DBP244" s="15"/>
      <c r="DBQ244" s="15"/>
      <c r="DBR244" s="15"/>
      <c r="DBS244" s="16"/>
      <c r="DBT244" s="16"/>
      <c r="DBU244" s="16"/>
      <c r="DBV244" s="16"/>
      <c r="DBW244" s="16"/>
      <c r="DBX244" s="15"/>
      <c r="DBY244" s="15"/>
      <c r="DBZ244" s="10"/>
      <c r="DCA244" s="10"/>
      <c r="DCB244" s="19"/>
      <c r="DCC244" s="19"/>
      <c r="DCF244" s="16"/>
      <c r="DCG244" s="15"/>
      <c r="DCH244" s="15"/>
      <c r="DCI244" s="15"/>
      <c r="DCJ244" s="16"/>
      <c r="DCK244" s="16"/>
      <c r="DCL244" s="16"/>
      <c r="DCM244" s="16"/>
      <c r="DCN244" s="16"/>
      <c r="DCO244" s="15"/>
      <c r="DCP244" s="15"/>
      <c r="DCQ244" s="10"/>
      <c r="DCR244" s="10"/>
      <c r="DCS244" s="19"/>
      <c r="DCT244" s="19"/>
      <c r="DCW244" s="16"/>
      <c r="DCX244" s="15"/>
      <c r="DCY244" s="15"/>
      <c r="DCZ244" s="15"/>
      <c r="DDA244" s="16"/>
      <c r="DDB244" s="16"/>
      <c r="DDC244" s="16"/>
      <c r="DDD244" s="16"/>
      <c r="DDE244" s="16"/>
      <c r="DDF244" s="15"/>
      <c r="DDG244" s="15"/>
      <c r="DDH244" s="10"/>
      <c r="DDI244" s="10"/>
      <c r="DDJ244" s="19"/>
      <c r="DDK244" s="19"/>
      <c r="DDN244" s="16"/>
      <c r="DDO244" s="15"/>
      <c r="DDP244" s="15"/>
      <c r="DDQ244" s="15"/>
      <c r="DDR244" s="16"/>
      <c r="DDS244" s="16"/>
      <c r="DDT244" s="16"/>
      <c r="DDU244" s="16"/>
      <c r="DDV244" s="16"/>
      <c r="DDW244" s="15"/>
      <c r="DDX244" s="15"/>
      <c r="DDY244" s="10"/>
      <c r="DDZ244" s="10"/>
      <c r="DEA244" s="19"/>
      <c r="DEB244" s="19"/>
      <c r="DEE244" s="16"/>
      <c r="DEF244" s="15"/>
      <c r="DEG244" s="15"/>
      <c r="DEH244" s="15"/>
      <c r="DEI244" s="16"/>
      <c r="DEJ244" s="16"/>
      <c r="DEK244" s="16"/>
      <c r="DEL244" s="16"/>
      <c r="DEM244" s="16"/>
      <c r="DEN244" s="15"/>
      <c r="DEO244" s="15"/>
      <c r="DEP244" s="10"/>
      <c r="DEQ244" s="10"/>
      <c r="DER244" s="19"/>
      <c r="DES244" s="19"/>
      <c r="DEV244" s="16"/>
      <c r="DEW244" s="15"/>
      <c r="DEX244" s="15"/>
      <c r="DEY244" s="15"/>
      <c r="DEZ244" s="16"/>
      <c r="DFA244" s="16"/>
      <c r="DFB244" s="16"/>
      <c r="DFC244" s="16"/>
      <c r="DFD244" s="16"/>
      <c r="DFE244" s="15"/>
      <c r="DFF244" s="15"/>
      <c r="DFG244" s="10"/>
      <c r="DFH244" s="10"/>
      <c r="DFI244" s="19"/>
      <c r="DFJ244" s="19"/>
      <c r="DFM244" s="16"/>
      <c r="DFN244" s="15"/>
      <c r="DFO244" s="15"/>
      <c r="DFP244" s="15"/>
      <c r="DFQ244" s="16"/>
      <c r="DFR244" s="16"/>
      <c r="DFS244" s="16"/>
      <c r="DFT244" s="16"/>
      <c r="DFU244" s="16"/>
      <c r="DFV244" s="15"/>
      <c r="DFW244" s="15"/>
      <c r="DFX244" s="10"/>
      <c r="DFY244" s="10"/>
      <c r="DFZ244" s="19"/>
      <c r="DGA244" s="19"/>
      <c r="DGD244" s="16"/>
      <c r="DGE244" s="15"/>
      <c r="DGF244" s="15"/>
      <c r="DGG244" s="15"/>
      <c r="DGH244" s="16"/>
      <c r="DGI244" s="16"/>
      <c r="DGJ244" s="16"/>
      <c r="DGK244" s="16"/>
      <c r="DGL244" s="16"/>
      <c r="DGM244" s="15"/>
      <c r="DGN244" s="15"/>
      <c r="DGO244" s="10"/>
      <c r="DGP244" s="10"/>
      <c r="DGQ244" s="19"/>
      <c r="DGR244" s="19"/>
      <c r="DGU244" s="16"/>
      <c r="DGV244" s="15"/>
      <c r="DGW244" s="15"/>
      <c r="DGX244" s="15"/>
      <c r="DGY244" s="16"/>
      <c r="DGZ244" s="16"/>
      <c r="DHA244" s="16"/>
      <c r="DHB244" s="16"/>
      <c r="DHC244" s="16"/>
      <c r="DHD244" s="15"/>
      <c r="DHE244" s="15"/>
      <c r="DHF244" s="10"/>
      <c r="DHG244" s="10"/>
      <c r="DHH244" s="19"/>
      <c r="DHI244" s="19"/>
      <c r="DHL244" s="16"/>
      <c r="DHM244" s="15"/>
      <c r="DHN244" s="15"/>
      <c r="DHO244" s="15"/>
      <c r="DHP244" s="16"/>
      <c r="DHQ244" s="16"/>
      <c r="DHR244" s="16"/>
      <c r="DHS244" s="16"/>
      <c r="DHT244" s="16"/>
      <c r="DHU244" s="15"/>
      <c r="DHV244" s="15"/>
      <c r="DHW244" s="10"/>
      <c r="DHX244" s="10"/>
      <c r="DHY244" s="19"/>
      <c r="DHZ244" s="19"/>
      <c r="DIC244" s="16"/>
      <c r="DID244" s="15"/>
      <c r="DIE244" s="15"/>
      <c r="DIF244" s="15"/>
      <c r="DIG244" s="16"/>
      <c r="DIH244" s="16"/>
      <c r="DII244" s="16"/>
      <c r="DIJ244" s="16"/>
      <c r="DIK244" s="16"/>
      <c r="DIL244" s="15"/>
      <c r="DIM244" s="15"/>
      <c r="DIN244" s="10"/>
      <c r="DIO244" s="10"/>
      <c r="DIP244" s="19"/>
      <c r="DIQ244" s="19"/>
      <c r="DIT244" s="16"/>
      <c r="DIU244" s="15"/>
      <c r="DIV244" s="15"/>
      <c r="DIW244" s="15"/>
      <c r="DIX244" s="16"/>
      <c r="DIY244" s="16"/>
      <c r="DIZ244" s="16"/>
      <c r="DJA244" s="16"/>
      <c r="DJB244" s="16"/>
      <c r="DJC244" s="15"/>
      <c r="DJD244" s="15"/>
      <c r="DJE244" s="10"/>
      <c r="DJF244" s="10"/>
      <c r="DJG244" s="19"/>
      <c r="DJH244" s="19"/>
      <c r="DJK244" s="16"/>
      <c r="DJL244" s="15"/>
      <c r="DJM244" s="15"/>
      <c r="DJN244" s="15"/>
      <c r="DJO244" s="16"/>
      <c r="DJP244" s="16"/>
      <c r="DJQ244" s="16"/>
      <c r="DJR244" s="16"/>
      <c r="DJS244" s="16"/>
      <c r="DJT244" s="15"/>
      <c r="DJU244" s="15"/>
      <c r="DJV244" s="10"/>
      <c r="DJW244" s="10"/>
      <c r="DJX244" s="19"/>
      <c r="DJY244" s="19"/>
      <c r="DKB244" s="16"/>
      <c r="DKC244" s="15"/>
      <c r="DKD244" s="15"/>
      <c r="DKE244" s="15"/>
      <c r="DKF244" s="16"/>
      <c r="DKG244" s="16"/>
      <c r="DKH244" s="16"/>
      <c r="DKI244" s="16"/>
      <c r="DKJ244" s="16"/>
      <c r="DKK244" s="15"/>
      <c r="DKL244" s="15"/>
      <c r="DKM244" s="10"/>
      <c r="DKN244" s="10"/>
      <c r="DKO244" s="19"/>
      <c r="DKP244" s="19"/>
      <c r="DKS244" s="16"/>
      <c r="DKT244" s="15"/>
      <c r="DKU244" s="15"/>
      <c r="DKV244" s="15"/>
      <c r="DKW244" s="16"/>
      <c r="DKX244" s="16"/>
      <c r="DKY244" s="16"/>
      <c r="DKZ244" s="16"/>
      <c r="DLA244" s="16"/>
      <c r="DLB244" s="15"/>
      <c r="DLC244" s="15"/>
      <c r="DLD244" s="10"/>
      <c r="DLE244" s="10"/>
      <c r="DLF244" s="19"/>
      <c r="DLG244" s="19"/>
      <c r="DLJ244" s="16"/>
      <c r="DLK244" s="15"/>
      <c r="DLL244" s="15"/>
      <c r="DLM244" s="15"/>
      <c r="DLN244" s="16"/>
      <c r="DLO244" s="16"/>
      <c r="DLP244" s="16"/>
      <c r="DLQ244" s="16"/>
      <c r="DLR244" s="16"/>
      <c r="DLS244" s="15"/>
      <c r="DLT244" s="15"/>
      <c r="DLU244" s="10"/>
      <c r="DLV244" s="10"/>
      <c r="DLW244" s="19"/>
      <c r="DLX244" s="19"/>
      <c r="DMA244" s="16"/>
      <c r="DMB244" s="15"/>
      <c r="DMC244" s="15"/>
      <c r="DMD244" s="15"/>
      <c r="DME244" s="16"/>
      <c r="DMF244" s="16"/>
      <c r="DMG244" s="16"/>
      <c r="DMH244" s="16"/>
      <c r="DMI244" s="16"/>
      <c r="DMJ244" s="15"/>
      <c r="DMK244" s="15"/>
      <c r="DML244" s="10"/>
      <c r="DMM244" s="10"/>
      <c r="DMN244" s="19"/>
      <c r="DMO244" s="19"/>
      <c r="DMR244" s="16"/>
      <c r="DMS244" s="15"/>
      <c r="DMT244" s="15"/>
      <c r="DMU244" s="15"/>
      <c r="DMV244" s="16"/>
      <c r="DMW244" s="16"/>
      <c r="DMX244" s="16"/>
      <c r="DMY244" s="16"/>
      <c r="DMZ244" s="16"/>
      <c r="DNA244" s="15"/>
      <c r="DNB244" s="15"/>
      <c r="DNC244" s="10"/>
      <c r="DND244" s="10"/>
      <c r="DNE244" s="19"/>
      <c r="DNF244" s="19"/>
      <c r="DNI244" s="16"/>
      <c r="DNJ244" s="15"/>
      <c r="DNK244" s="15"/>
      <c r="DNL244" s="15"/>
      <c r="DNM244" s="16"/>
      <c r="DNN244" s="16"/>
      <c r="DNO244" s="16"/>
      <c r="DNP244" s="16"/>
      <c r="DNQ244" s="16"/>
      <c r="DNR244" s="15"/>
      <c r="DNS244" s="15"/>
      <c r="DNT244" s="10"/>
      <c r="DNU244" s="10"/>
      <c r="DNV244" s="19"/>
      <c r="DNW244" s="19"/>
      <c r="DNZ244" s="16"/>
      <c r="DOA244" s="15"/>
      <c r="DOB244" s="15"/>
      <c r="DOC244" s="15"/>
      <c r="DOD244" s="16"/>
      <c r="DOE244" s="16"/>
      <c r="DOF244" s="16"/>
      <c r="DOG244" s="16"/>
      <c r="DOH244" s="16"/>
      <c r="DOI244" s="15"/>
      <c r="DOJ244" s="15"/>
      <c r="DOK244" s="10"/>
      <c r="DOL244" s="10"/>
      <c r="DOM244" s="19"/>
      <c r="DON244" s="19"/>
      <c r="DOQ244" s="16"/>
      <c r="DOR244" s="15"/>
      <c r="DOS244" s="15"/>
      <c r="DOT244" s="15"/>
      <c r="DOU244" s="16"/>
      <c r="DOV244" s="16"/>
      <c r="DOW244" s="16"/>
      <c r="DOX244" s="16"/>
      <c r="DOY244" s="16"/>
      <c r="DOZ244" s="15"/>
      <c r="DPA244" s="15"/>
      <c r="DPB244" s="10"/>
      <c r="DPC244" s="10"/>
      <c r="DPD244" s="19"/>
      <c r="DPE244" s="19"/>
      <c r="DPH244" s="16"/>
      <c r="DPI244" s="15"/>
      <c r="DPJ244" s="15"/>
      <c r="DPK244" s="15"/>
      <c r="DPL244" s="16"/>
      <c r="DPM244" s="16"/>
      <c r="DPN244" s="16"/>
      <c r="DPO244" s="16"/>
      <c r="DPP244" s="16"/>
      <c r="DPQ244" s="15"/>
      <c r="DPR244" s="15"/>
      <c r="DPS244" s="10"/>
      <c r="DPT244" s="10"/>
      <c r="DPU244" s="19"/>
      <c r="DPV244" s="19"/>
      <c r="DPY244" s="16"/>
      <c r="DPZ244" s="15"/>
      <c r="DQA244" s="15"/>
      <c r="DQB244" s="15"/>
      <c r="DQC244" s="16"/>
      <c r="DQD244" s="16"/>
      <c r="DQE244" s="16"/>
      <c r="DQF244" s="16"/>
      <c r="DQG244" s="16"/>
      <c r="DQH244" s="15"/>
      <c r="DQI244" s="15"/>
      <c r="DQJ244" s="10"/>
      <c r="DQK244" s="10"/>
      <c r="DQL244" s="19"/>
      <c r="DQM244" s="19"/>
      <c r="DQP244" s="16"/>
      <c r="DQQ244" s="15"/>
      <c r="DQR244" s="15"/>
      <c r="DQS244" s="15"/>
      <c r="DQT244" s="16"/>
      <c r="DQU244" s="16"/>
      <c r="DQV244" s="16"/>
      <c r="DQW244" s="16"/>
      <c r="DQX244" s="16"/>
      <c r="DQY244" s="15"/>
      <c r="DQZ244" s="15"/>
      <c r="DRA244" s="10"/>
      <c r="DRB244" s="10"/>
      <c r="DRC244" s="19"/>
      <c r="DRD244" s="19"/>
      <c r="DRG244" s="16"/>
      <c r="DRH244" s="15"/>
      <c r="DRI244" s="15"/>
      <c r="DRJ244" s="15"/>
      <c r="DRK244" s="16"/>
      <c r="DRL244" s="16"/>
      <c r="DRM244" s="16"/>
      <c r="DRN244" s="16"/>
      <c r="DRO244" s="16"/>
      <c r="DRP244" s="15"/>
      <c r="DRQ244" s="15"/>
      <c r="DRR244" s="10"/>
      <c r="DRS244" s="10"/>
      <c r="DRT244" s="19"/>
      <c r="DRU244" s="19"/>
      <c r="DRX244" s="16"/>
      <c r="DRY244" s="15"/>
      <c r="DRZ244" s="15"/>
      <c r="DSA244" s="15"/>
      <c r="DSB244" s="16"/>
      <c r="DSC244" s="16"/>
      <c r="DSD244" s="16"/>
      <c r="DSE244" s="16"/>
      <c r="DSF244" s="16"/>
      <c r="DSG244" s="15"/>
      <c r="DSH244" s="15"/>
      <c r="DSI244" s="10"/>
      <c r="DSJ244" s="10"/>
      <c r="DSK244" s="19"/>
      <c r="DSL244" s="19"/>
      <c r="DSO244" s="16"/>
      <c r="DSP244" s="15"/>
      <c r="DSQ244" s="15"/>
      <c r="DSR244" s="15"/>
      <c r="DSS244" s="16"/>
      <c r="DST244" s="16"/>
      <c r="DSU244" s="16"/>
      <c r="DSV244" s="16"/>
      <c r="DSW244" s="16"/>
      <c r="DSX244" s="15"/>
      <c r="DSY244" s="15"/>
      <c r="DSZ244" s="10"/>
      <c r="DTA244" s="10"/>
      <c r="DTB244" s="19"/>
      <c r="DTC244" s="19"/>
      <c r="DTF244" s="16"/>
      <c r="DTG244" s="15"/>
      <c r="DTH244" s="15"/>
      <c r="DTI244" s="15"/>
      <c r="DTJ244" s="16"/>
      <c r="DTK244" s="16"/>
      <c r="DTL244" s="16"/>
      <c r="DTM244" s="16"/>
      <c r="DTN244" s="16"/>
      <c r="DTO244" s="15"/>
      <c r="DTP244" s="15"/>
      <c r="DTQ244" s="10"/>
      <c r="DTR244" s="10"/>
      <c r="DTS244" s="19"/>
      <c r="DTT244" s="19"/>
      <c r="DTW244" s="16"/>
      <c r="DTX244" s="15"/>
      <c r="DTY244" s="15"/>
      <c r="DTZ244" s="15"/>
      <c r="DUA244" s="16"/>
      <c r="DUB244" s="16"/>
      <c r="DUC244" s="16"/>
      <c r="DUD244" s="16"/>
      <c r="DUE244" s="16"/>
      <c r="DUF244" s="15"/>
      <c r="DUG244" s="15"/>
      <c r="DUH244" s="10"/>
      <c r="DUI244" s="10"/>
      <c r="DUJ244" s="19"/>
      <c r="DUK244" s="19"/>
      <c r="DUN244" s="16"/>
      <c r="DUO244" s="15"/>
      <c r="DUP244" s="15"/>
      <c r="DUQ244" s="15"/>
      <c r="DUR244" s="16"/>
      <c r="DUS244" s="16"/>
      <c r="DUT244" s="16"/>
      <c r="DUU244" s="16"/>
      <c r="DUV244" s="16"/>
      <c r="DUW244" s="15"/>
      <c r="DUX244" s="15"/>
      <c r="DUY244" s="10"/>
      <c r="DUZ244" s="10"/>
      <c r="DVA244" s="19"/>
      <c r="DVB244" s="19"/>
      <c r="DVE244" s="16"/>
      <c r="DVF244" s="15"/>
      <c r="DVG244" s="15"/>
      <c r="DVH244" s="15"/>
      <c r="DVI244" s="16"/>
      <c r="DVJ244" s="16"/>
      <c r="DVK244" s="16"/>
      <c r="DVL244" s="16"/>
      <c r="DVM244" s="16"/>
      <c r="DVN244" s="15"/>
      <c r="DVO244" s="15"/>
      <c r="DVP244" s="10"/>
      <c r="DVQ244" s="10"/>
      <c r="DVR244" s="19"/>
      <c r="DVS244" s="19"/>
      <c r="DVV244" s="16"/>
      <c r="DVW244" s="15"/>
      <c r="DVX244" s="15"/>
      <c r="DVY244" s="15"/>
      <c r="DVZ244" s="16"/>
      <c r="DWA244" s="16"/>
      <c r="DWB244" s="16"/>
      <c r="DWC244" s="16"/>
      <c r="DWD244" s="16"/>
      <c r="DWE244" s="15"/>
      <c r="DWF244" s="15"/>
      <c r="DWG244" s="10"/>
      <c r="DWH244" s="10"/>
      <c r="DWI244" s="19"/>
      <c r="DWJ244" s="19"/>
      <c r="DWM244" s="16"/>
      <c r="DWN244" s="15"/>
      <c r="DWO244" s="15"/>
      <c r="DWP244" s="15"/>
      <c r="DWQ244" s="16"/>
      <c r="DWR244" s="16"/>
      <c r="DWS244" s="16"/>
      <c r="DWT244" s="16"/>
      <c r="DWU244" s="16"/>
      <c r="DWV244" s="15"/>
      <c r="DWW244" s="15"/>
      <c r="DWX244" s="10"/>
      <c r="DWY244" s="10"/>
      <c r="DWZ244" s="19"/>
      <c r="DXA244" s="19"/>
      <c r="DXD244" s="16"/>
      <c r="DXE244" s="15"/>
      <c r="DXF244" s="15"/>
      <c r="DXG244" s="15"/>
      <c r="DXH244" s="16"/>
      <c r="DXI244" s="16"/>
      <c r="DXJ244" s="16"/>
      <c r="DXK244" s="16"/>
      <c r="DXL244" s="16"/>
      <c r="DXM244" s="15"/>
      <c r="DXN244" s="15"/>
      <c r="DXO244" s="10"/>
      <c r="DXP244" s="10"/>
      <c r="DXQ244" s="19"/>
      <c r="DXR244" s="19"/>
      <c r="DXU244" s="16"/>
      <c r="DXV244" s="15"/>
      <c r="DXW244" s="15"/>
      <c r="DXX244" s="15"/>
      <c r="DXY244" s="16"/>
      <c r="DXZ244" s="16"/>
      <c r="DYA244" s="16"/>
      <c r="DYB244" s="16"/>
      <c r="DYC244" s="16"/>
      <c r="DYD244" s="15"/>
      <c r="DYE244" s="15"/>
      <c r="DYF244" s="10"/>
      <c r="DYG244" s="10"/>
      <c r="DYH244" s="19"/>
      <c r="DYI244" s="19"/>
      <c r="DYL244" s="16"/>
      <c r="DYM244" s="15"/>
      <c r="DYN244" s="15"/>
      <c r="DYO244" s="15"/>
      <c r="DYP244" s="16"/>
      <c r="DYQ244" s="16"/>
      <c r="DYR244" s="16"/>
      <c r="DYS244" s="16"/>
      <c r="DYT244" s="16"/>
      <c r="DYU244" s="15"/>
      <c r="DYV244" s="15"/>
      <c r="DYW244" s="10"/>
      <c r="DYX244" s="10"/>
      <c r="DYY244" s="19"/>
      <c r="DYZ244" s="19"/>
      <c r="DZC244" s="16"/>
      <c r="DZD244" s="15"/>
      <c r="DZE244" s="15"/>
      <c r="DZF244" s="15"/>
      <c r="DZG244" s="16"/>
      <c r="DZH244" s="16"/>
      <c r="DZI244" s="16"/>
      <c r="DZJ244" s="16"/>
      <c r="DZK244" s="16"/>
      <c r="DZL244" s="15"/>
      <c r="DZM244" s="15"/>
      <c r="DZN244" s="10"/>
      <c r="DZO244" s="10"/>
      <c r="DZP244" s="19"/>
      <c r="DZQ244" s="19"/>
      <c r="DZT244" s="16"/>
      <c r="DZU244" s="15"/>
      <c r="DZV244" s="15"/>
      <c r="DZW244" s="15"/>
      <c r="DZX244" s="16"/>
      <c r="DZY244" s="16"/>
      <c r="DZZ244" s="16"/>
      <c r="EAA244" s="16"/>
      <c r="EAB244" s="16"/>
      <c r="EAC244" s="15"/>
      <c r="EAD244" s="15"/>
      <c r="EAE244" s="10"/>
      <c r="EAF244" s="10"/>
      <c r="EAG244" s="19"/>
      <c r="EAH244" s="19"/>
      <c r="EAK244" s="16"/>
      <c r="EAL244" s="15"/>
      <c r="EAM244" s="15"/>
      <c r="EAN244" s="15"/>
      <c r="EAO244" s="16"/>
      <c r="EAP244" s="16"/>
      <c r="EAQ244" s="16"/>
      <c r="EAR244" s="16"/>
      <c r="EAS244" s="16"/>
      <c r="EAT244" s="15"/>
      <c r="EAU244" s="15"/>
      <c r="EAV244" s="10"/>
      <c r="EAW244" s="10"/>
      <c r="EAX244" s="19"/>
      <c r="EAY244" s="19"/>
      <c r="EBB244" s="16"/>
      <c r="EBC244" s="15"/>
      <c r="EBD244" s="15"/>
      <c r="EBE244" s="15"/>
      <c r="EBF244" s="16"/>
      <c r="EBG244" s="16"/>
      <c r="EBH244" s="16"/>
      <c r="EBI244" s="16"/>
      <c r="EBJ244" s="16"/>
      <c r="EBK244" s="15"/>
      <c r="EBL244" s="15"/>
      <c r="EBM244" s="10"/>
      <c r="EBN244" s="10"/>
      <c r="EBO244" s="19"/>
      <c r="EBP244" s="19"/>
      <c r="EBS244" s="16"/>
      <c r="EBT244" s="15"/>
      <c r="EBU244" s="15"/>
      <c r="EBV244" s="15"/>
      <c r="EBW244" s="16"/>
      <c r="EBX244" s="16"/>
      <c r="EBY244" s="16"/>
      <c r="EBZ244" s="16"/>
      <c r="ECA244" s="16"/>
      <c r="ECB244" s="15"/>
      <c r="ECC244" s="15"/>
      <c r="ECD244" s="10"/>
      <c r="ECE244" s="10"/>
      <c r="ECF244" s="19"/>
      <c r="ECG244" s="19"/>
      <c r="ECJ244" s="16"/>
      <c r="ECK244" s="15"/>
      <c r="ECL244" s="15"/>
      <c r="ECM244" s="15"/>
      <c r="ECN244" s="16"/>
      <c r="ECO244" s="16"/>
      <c r="ECP244" s="16"/>
      <c r="ECQ244" s="16"/>
      <c r="ECR244" s="16"/>
      <c r="ECS244" s="15"/>
      <c r="ECT244" s="15"/>
      <c r="ECU244" s="10"/>
      <c r="ECV244" s="10"/>
      <c r="ECW244" s="19"/>
      <c r="ECX244" s="19"/>
      <c r="EDA244" s="16"/>
      <c r="EDB244" s="15"/>
      <c r="EDC244" s="15"/>
      <c r="EDD244" s="15"/>
      <c r="EDE244" s="16"/>
      <c r="EDF244" s="16"/>
      <c r="EDG244" s="16"/>
      <c r="EDH244" s="16"/>
      <c r="EDI244" s="16"/>
      <c r="EDJ244" s="15"/>
      <c r="EDK244" s="15"/>
      <c r="EDL244" s="10"/>
      <c r="EDM244" s="10"/>
      <c r="EDN244" s="19"/>
      <c r="EDO244" s="19"/>
      <c r="EDR244" s="16"/>
      <c r="EDS244" s="15"/>
      <c r="EDT244" s="15"/>
      <c r="EDU244" s="15"/>
      <c r="EDV244" s="16"/>
      <c r="EDW244" s="16"/>
      <c r="EDX244" s="16"/>
      <c r="EDY244" s="16"/>
      <c r="EDZ244" s="16"/>
      <c r="EEA244" s="15"/>
      <c r="EEB244" s="15"/>
      <c r="EEC244" s="10"/>
      <c r="EED244" s="10"/>
      <c r="EEE244" s="19"/>
      <c r="EEF244" s="19"/>
      <c r="EEI244" s="16"/>
      <c r="EEJ244" s="15"/>
      <c r="EEK244" s="15"/>
      <c r="EEL244" s="15"/>
      <c r="EEM244" s="16"/>
      <c r="EEN244" s="16"/>
      <c r="EEO244" s="16"/>
      <c r="EEP244" s="16"/>
      <c r="EEQ244" s="16"/>
      <c r="EER244" s="15"/>
      <c r="EES244" s="15"/>
      <c r="EET244" s="10"/>
      <c r="EEU244" s="10"/>
      <c r="EEV244" s="19"/>
      <c r="EEW244" s="19"/>
      <c r="EEZ244" s="16"/>
      <c r="EFA244" s="15"/>
      <c r="EFB244" s="15"/>
      <c r="EFC244" s="15"/>
      <c r="EFD244" s="16"/>
      <c r="EFE244" s="16"/>
      <c r="EFF244" s="16"/>
      <c r="EFG244" s="16"/>
      <c r="EFH244" s="16"/>
      <c r="EFI244" s="15"/>
      <c r="EFJ244" s="15"/>
      <c r="EFK244" s="10"/>
      <c r="EFL244" s="10"/>
      <c r="EFM244" s="19"/>
      <c r="EFN244" s="19"/>
      <c r="EFQ244" s="16"/>
      <c r="EFR244" s="15"/>
      <c r="EFS244" s="15"/>
      <c r="EFT244" s="15"/>
      <c r="EFU244" s="16"/>
      <c r="EFV244" s="16"/>
      <c r="EFW244" s="16"/>
      <c r="EFX244" s="16"/>
      <c r="EFY244" s="16"/>
      <c r="EFZ244" s="15"/>
      <c r="EGA244" s="15"/>
      <c r="EGB244" s="10"/>
      <c r="EGC244" s="10"/>
      <c r="EGD244" s="19"/>
      <c r="EGE244" s="19"/>
      <c r="EGH244" s="16"/>
      <c r="EGI244" s="15"/>
      <c r="EGJ244" s="15"/>
      <c r="EGK244" s="15"/>
      <c r="EGL244" s="16"/>
      <c r="EGM244" s="16"/>
      <c r="EGN244" s="16"/>
      <c r="EGO244" s="16"/>
      <c r="EGP244" s="16"/>
      <c r="EGQ244" s="15"/>
      <c r="EGR244" s="15"/>
      <c r="EGS244" s="10"/>
      <c r="EGT244" s="10"/>
      <c r="EGU244" s="19"/>
      <c r="EGV244" s="19"/>
      <c r="EGY244" s="16"/>
      <c r="EGZ244" s="15"/>
      <c r="EHA244" s="15"/>
      <c r="EHB244" s="15"/>
      <c r="EHC244" s="16"/>
      <c r="EHD244" s="16"/>
      <c r="EHE244" s="16"/>
      <c r="EHF244" s="16"/>
      <c r="EHG244" s="16"/>
      <c r="EHH244" s="15"/>
      <c r="EHI244" s="15"/>
      <c r="EHJ244" s="10"/>
      <c r="EHK244" s="10"/>
      <c r="EHL244" s="19"/>
      <c r="EHM244" s="19"/>
      <c r="EHP244" s="16"/>
      <c r="EHQ244" s="15"/>
      <c r="EHR244" s="15"/>
      <c r="EHS244" s="15"/>
      <c r="EHT244" s="16"/>
      <c r="EHU244" s="16"/>
      <c r="EHV244" s="16"/>
      <c r="EHW244" s="16"/>
      <c r="EHX244" s="16"/>
      <c r="EHY244" s="15"/>
      <c r="EHZ244" s="15"/>
      <c r="EIA244" s="10"/>
      <c r="EIB244" s="10"/>
      <c r="EIC244" s="19"/>
      <c r="EID244" s="19"/>
      <c r="EIG244" s="16"/>
      <c r="EIH244" s="15"/>
      <c r="EII244" s="15"/>
      <c r="EIJ244" s="15"/>
      <c r="EIK244" s="16"/>
      <c r="EIL244" s="16"/>
      <c r="EIM244" s="16"/>
      <c r="EIN244" s="16"/>
      <c r="EIO244" s="16"/>
      <c r="EIP244" s="15"/>
      <c r="EIQ244" s="15"/>
      <c r="EIR244" s="10"/>
      <c r="EIS244" s="10"/>
      <c r="EIT244" s="19"/>
      <c r="EIU244" s="19"/>
      <c r="EIX244" s="16"/>
      <c r="EIY244" s="15"/>
      <c r="EIZ244" s="15"/>
      <c r="EJA244" s="15"/>
      <c r="EJB244" s="16"/>
      <c r="EJC244" s="16"/>
      <c r="EJD244" s="16"/>
      <c r="EJE244" s="16"/>
      <c r="EJF244" s="16"/>
      <c r="EJG244" s="15"/>
      <c r="EJH244" s="15"/>
      <c r="EJI244" s="10"/>
      <c r="EJJ244" s="10"/>
      <c r="EJK244" s="19"/>
      <c r="EJL244" s="19"/>
      <c r="EJO244" s="16"/>
      <c r="EJP244" s="15"/>
      <c r="EJQ244" s="15"/>
      <c r="EJR244" s="15"/>
      <c r="EJS244" s="16"/>
      <c r="EJT244" s="16"/>
      <c r="EJU244" s="16"/>
      <c r="EJV244" s="16"/>
      <c r="EJW244" s="16"/>
      <c r="EJX244" s="15"/>
      <c r="EJY244" s="15"/>
      <c r="EJZ244" s="10"/>
      <c r="EKA244" s="10"/>
      <c r="EKB244" s="19"/>
      <c r="EKC244" s="19"/>
      <c r="EKF244" s="16"/>
      <c r="EKG244" s="15"/>
      <c r="EKH244" s="15"/>
      <c r="EKI244" s="15"/>
      <c r="EKJ244" s="16"/>
      <c r="EKK244" s="16"/>
      <c r="EKL244" s="16"/>
      <c r="EKM244" s="16"/>
      <c r="EKN244" s="16"/>
      <c r="EKO244" s="15"/>
      <c r="EKP244" s="15"/>
      <c r="EKQ244" s="10"/>
      <c r="EKR244" s="10"/>
      <c r="EKS244" s="19"/>
      <c r="EKT244" s="19"/>
      <c r="EKW244" s="16"/>
      <c r="EKX244" s="15"/>
      <c r="EKY244" s="15"/>
      <c r="EKZ244" s="15"/>
      <c r="ELA244" s="16"/>
      <c r="ELB244" s="16"/>
      <c r="ELC244" s="16"/>
      <c r="ELD244" s="16"/>
      <c r="ELE244" s="16"/>
      <c r="ELF244" s="15"/>
      <c r="ELG244" s="15"/>
      <c r="ELH244" s="10"/>
      <c r="ELI244" s="10"/>
      <c r="ELJ244" s="19"/>
      <c r="ELK244" s="19"/>
      <c r="ELN244" s="16"/>
      <c r="ELO244" s="15"/>
      <c r="ELP244" s="15"/>
      <c r="ELQ244" s="15"/>
      <c r="ELR244" s="16"/>
      <c r="ELS244" s="16"/>
      <c r="ELT244" s="16"/>
      <c r="ELU244" s="16"/>
      <c r="ELV244" s="16"/>
      <c r="ELW244" s="15"/>
      <c r="ELX244" s="15"/>
      <c r="ELY244" s="10"/>
      <c r="ELZ244" s="10"/>
      <c r="EMA244" s="19"/>
      <c r="EMB244" s="19"/>
      <c r="EME244" s="16"/>
      <c r="EMF244" s="15"/>
      <c r="EMG244" s="15"/>
      <c r="EMH244" s="15"/>
      <c r="EMI244" s="16"/>
      <c r="EMJ244" s="16"/>
      <c r="EMK244" s="16"/>
      <c r="EML244" s="16"/>
      <c r="EMM244" s="16"/>
      <c r="EMN244" s="15"/>
      <c r="EMO244" s="15"/>
      <c r="EMP244" s="10"/>
      <c r="EMQ244" s="10"/>
      <c r="EMR244" s="19"/>
      <c r="EMS244" s="19"/>
      <c r="EMV244" s="16"/>
      <c r="EMW244" s="15"/>
      <c r="EMX244" s="15"/>
      <c r="EMY244" s="15"/>
      <c r="EMZ244" s="16"/>
      <c r="ENA244" s="16"/>
      <c r="ENB244" s="16"/>
      <c r="ENC244" s="16"/>
      <c r="END244" s="16"/>
      <c r="ENE244" s="15"/>
      <c r="ENF244" s="15"/>
      <c r="ENG244" s="10"/>
      <c r="ENH244" s="10"/>
      <c r="ENI244" s="19"/>
      <c r="ENJ244" s="19"/>
      <c r="ENM244" s="16"/>
      <c r="ENN244" s="15"/>
      <c r="ENO244" s="15"/>
      <c r="ENP244" s="15"/>
      <c r="ENQ244" s="16"/>
      <c r="ENR244" s="16"/>
      <c r="ENS244" s="16"/>
      <c r="ENT244" s="16"/>
      <c r="ENU244" s="16"/>
      <c r="ENV244" s="15"/>
      <c r="ENW244" s="15"/>
      <c r="ENX244" s="10"/>
      <c r="ENY244" s="10"/>
      <c r="ENZ244" s="19"/>
      <c r="EOA244" s="19"/>
      <c r="EOD244" s="16"/>
      <c r="EOE244" s="15"/>
      <c r="EOF244" s="15"/>
      <c r="EOG244" s="15"/>
      <c r="EOH244" s="16"/>
      <c r="EOI244" s="16"/>
      <c r="EOJ244" s="16"/>
      <c r="EOK244" s="16"/>
      <c r="EOL244" s="16"/>
      <c r="EOM244" s="15"/>
      <c r="EON244" s="15"/>
      <c r="EOO244" s="10"/>
      <c r="EOP244" s="10"/>
      <c r="EOQ244" s="19"/>
      <c r="EOR244" s="19"/>
      <c r="EOU244" s="16"/>
      <c r="EOV244" s="15"/>
      <c r="EOW244" s="15"/>
      <c r="EOX244" s="15"/>
      <c r="EOY244" s="16"/>
      <c r="EOZ244" s="16"/>
      <c r="EPA244" s="16"/>
      <c r="EPB244" s="16"/>
      <c r="EPC244" s="16"/>
      <c r="EPD244" s="15"/>
      <c r="EPE244" s="15"/>
      <c r="EPF244" s="10"/>
      <c r="EPG244" s="10"/>
      <c r="EPH244" s="19"/>
      <c r="EPI244" s="19"/>
      <c r="EPL244" s="16"/>
      <c r="EPM244" s="15"/>
      <c r="EPN244" s="15"/>
      <c r="EPO244" s="15"/>
      <c r="EPP244" s="16"/>
      <c r="EPQ244" s="16"/>
      <c r="EPR244" s="16"/>
      <c r="EPS244" s="16"/>
      <c r="EPT244" s="16"/>
      <c r="EPU244" s="15"/>
      <c r="EPV244" s="15"/>
      <c r="EPW244" s="10"/>
      <c r="EPX244" s="10"/>
      <c r="EPY244" s="19"/>
      <c r="EPZ244" s="19"/>
      <c r="EQC244" s="16"/>
      <c r="EQD244" s="15"/>
      <c r="EQE244" s="15"/>
      <c r="EQF244" s="15"/>
      <c r="EQG244" s="16"/>
      <c r="EQH244" s="16"/>
      <c r="EQI244" s="16"/>
      <c r="EQJ244" s="16"/>
      <c r="EQK244" s="16"/>
      <c r="EQL244" s="15"/>
      <c r="EQM244" s="15"/>
      <c r="EQN244" s="10"/>
      <c r="EQO244" s="10"/>
      <c r="EQP244" s="19"/>
      <c r="EQQ244" s="19"/>
      <c r="EQT244" s="16"/>
      <c r="EQU244" s="15"/>
      <c r="EQV244" s="15"/>
      <c r="EQW244" s="15"/>
      <c r="EQX244" s="16"/>
      <c r="EQY244" s="16"/>
      <c r="EQZ244" s="16"/>
      <c r="ERA244" s="16"/>
      <c r="ERB244" s="16"/>
      <c r="ERC244" s="15"/>
      <c r="ERD244" s="15"/>
      <c r="ERE244" s="10"/>
      <c r="ERF244" s="10"/>
      <c r="ERG244" s="19"/>
      <c r="ERH244" s="19"/>
      <c r="ERK244" s="16"/>
      <c r="ERL244" s="15"/>
      <c r="ERM244" s="15"/>
      <c r="ERN244" s="15"/>
      <c r="ERO244" s="16"/>
      <c r="ERP244" s="16"/>
      <c r="ERQ244" s="16"/>
      <c r="ERR244" s="16"/>
      <c r="ERS244" s="16"/>
      <c r="ERT244" s="15"/>
      <c r="ERU244" s="15"/>
      <c r="ERV244" s="10"/>
      <c r="ERW244" s="10"/>
      <c r="ERX244" s="19"/>
      <c r="ERY244" s="19"/>
      <c r="ESB244" s="16"/>
      <c r="ESC244" s="15"/>
      <c r="ESD244" s="15"/>
      <c r="ESE244" s="15"/>
      <c r="ESF244" s="16"/>
      <c r="ESG244" s="16"/>
      <c r="ESH244" s="16"/>
      <c r="ESI244" s="16"/>
      <c r="ESJ244" s="16"/>
      <c r="ESK244" s="15"/>
      <c r="ESL244" s="15"/>
      <c r="ESM244" s="10"/>
      <c r="ESN244" s="10"/>
      <c r="ESO244" s="19"/>
      <c r="ESP244" s="19"/>
      <c r="ESS244" s="16"/>
      <c r="EST244" s="15"/>
      <c r="ESU244" s="15"/>
      <c r="ESV244" s="15"/>
      <c r="ESW244" s="16"/>
      <c r="ESX244" s="16"/>
      <c r="ESY244" s="16"/>
      <c r="ESZ244" s="16"/>
      <c r="ETA244" s="16"/>
      <c r="ETB244" s="15"/>
      <c r="ETC244" s="15"/>
      <c r="ETD244" s="10"/>
      <c r="ETE244" s="10"/>
      <c r="ETF244" s="19"/>
      <c r="ETG244" s="19"/>
      <c r="ETJ244" s="16"/>
      <c r="ETK244" s="15"/>
      <c r="ETL244" s="15"/>
      <c r="ETM244" s="15"/>
      <c r="ETN244" s="16"/>
      <c r="ETO244" s="16"/>
      <c r="ETP244" s="16"/>
      <c r="ETQ244" s="16"/>
      <c r="ETR244" s="16"/>
      <c r="ETS244" s="15"/>
      <c r="ETT244" s="15"/>
      <c r="ETU244" s="10"/>
      <c r="ETV244" s="10"/>
      <c r="ETW244" s="19"/>
      <c r="ETX244" s="19"/>
      <c r="EUA244" s="16"/>
      <c r="EUB244" s="15"/>
      <c r="EUC244" s="15"/>
      <c r="EUD244" s="15"/>
      <c r="EUE244" s="16"/>
      <c r="EUF244" s="16"/>
      <c r="EUG244" s="16"/>
      <c r="EUH244" s="16"/>
      <c r="EUI244" s="16"/>
      <c r="EUJ244" s="15"/>
      <c r="EUK244" s="15"/>
      <c r="EUL244" s="10"/>
      <c r="EUM244" s="10"/>
      <c r="EUN244" s="19"/>
      <c r="EUO244" s="19"/>
      <c r="EUR244" s="16"/>
      <c r="EUS244" s="15"/>
      <c r="EUT244" s="15"/>
      <c r="EUU244" s="15"/>
      <c r="EUV244" s="16"/>
      <c r="EUW244" s="16"/>
      <c r="EUX244" s="16"/>
      <c r="EUY244" s="16"/>
      <c r="EUZ244" s="16"/>
      <c r="EVA244" s="15"/>
      <c r="EVB244" s="15"/>
      <c r="EVC244" s="10"/>
      <c r="EVD244" s="10"/>
      <c r="EVE244" s="19"/>
      <c r="EVF244" s="19"/>
      <c r="EVI244" s="16"/>
      <c r="EVJ244" s="15"/>
      <c r="EVK244" s="15"/>
      <c r="EVL244" s="15"/>
      <c r="EVM244" s="16"/>
      <c r="EVN244" s="16"/>
      <c r="EVO244" s="16"/>
      <c r="EVP244" s="16"/>
      <c r="EVQ244" s="16"/>
      <c r="EVR244" s="15"/>
      <c r="EVS244" s="15"/>
      <c r="EVT244" s="10"/>
      <c r="EVU244" s="10"/>
      <c r="EVV244" s="19"/>
      <c r="EVW244" s="19"/>
      <c r="EVZ244" s="16"/>
      <c r="EWA244" s="15"/>
      <c r="EWB244" s="15"/>
      <c r="EWC244" s="15"/>
      <c r="EWD244" s="16"/>
      <c r="EWE244" s="16"/>
      <c r="EWF244" s="16"/>
      <c r="EWG244" s="16"/>
      <c r="EWH244" s="16"/>
      <c r="EWI244" s="15"/>
      <c r="EWJ244" s="15"/>
      <c r="EWK244" s="10"/>
      <c r="EWL244" s="10"/>
      <c r="EWM244" s="19"/>
      <c r="EWN244" s="19"/>
      <c r="EWQ244" s="16"/>
      <c r="EWR244" s="15"/>
      <c r="EWS244" s="15"/>
      <c r="EWT244" s="15"/>
      <c r="EWU244" s="16"/>
      <c r="EWV244" s="16"/>
      <c r="EWW244" s="16"/>
      <c r="EWX244" s="16"/>
      <c r="EWY244" s="16"/>
      <c r="EWZ244" s="15"/>
      <c r="EXA244" s="15"/>
      <c r="EXB244" s="10"/>
      <c r="EXC244" s="10"/>
      <c r="EXD244" s="19"/>
      <c r="EXE244" s="19"/>
      <c r="EXH244" s="16"/>
      <c r="EXI244" s="15"/>
      <c r="EXJ244" s="15"/>
      <c r="EXK244" s="15"/>
      <c r="EXL244" s="16"/>
      <c r="EXM244" s="16"/>
      <c r="EXN244" s="16"/>
      <c r="EXO244" s="16"/>
      <c r="EXP244" s="16"/>
      <c r="EXQ244" s="15"/>
      <c r="EXR244" s="15"/>
      <c r="EXS244" s="10"/>
      <c r="EXT244" s="10"/>
      <c r="EXU244" s="19"/>
      <c r="EXV244" s="19"/>
      <c r="EXY244" s="16"/>
      <c r="EXZ244" s="15"/>
      <c r="EYA244" s="15"/>
      <c r="EYB244" s="15"/>
      <c r="EYC244" s="16"/>
      <c r="EYD244" s="16"/>
      <c r="EYE244" s="16"/>
      <c r="EYF244" s="16"/>
      <c r="EYG244" s="16"/>
      <c r="EYH244" s="15"/>
      <c r="EYI244" s="15"/>
      <c r="EYJ244" s="10"/>
      <c r="EYK244" s="10"/>
      <c r="EYL244" s="19"/>
      <c r="EYM244" s="19"/>
      <c r="EYP244" s="16"/>
      <c r="EYQ244" s="15"/>
      <c r="EYR244" s="15"/>
      <c r="EYS244" s="15"/>
      <c r="EYT244" s="16"/>
      <c r="EYU244" s="16"/>
      <c r="EYV244" s="16"/>
      <c r="EYW244" s="16"/>
      <c r="EYX244" s="16"/>
      <c r="EYY244" s="15"/>
      <c r="EYZ244" s="15"/>
      <c r="EZA244" s="10"/>
      <c r="EZB244" s="10"/>
      <c r="EZC244" s="19"/>
      <c r="EZD244" s="19"/>
      <c r="EZG244" s="16"/>
      <c r="EZH244" s="15"/>
      <c r="EZI244" s="15"/>
      <c r="EZJ244" s="15"/>
      <c r="EZK244" s="16"/>
      <c r="EZL244" s="16"/>
      <c r="EZM244" s="16"/>
      <c r="EZN244" s="16"/>
      <c r="EZO244" s="16"/>
      <c r="EZP244" s="15"/>
      <c r="EZQ244" s="15"/>
      <c r="EZR244" s="10"/>
      <c r="EZS244" s="10"/>
      <c r="EZT244" s="19"/>
      <c r="EZU244" s="19"/>
      <c r="EZX244" s="16"/>
      <c r="EZY244" s="15"/>
      <c r="EZZ244" s="15"/>
      <c r="FAA244" s="15"/>
      <c r="FAB244" s="16"/>
      <c r="FAC244" s="16"/>
      <c r="FAD244" s="16"/>
      <c r="FAE244" s="16"/>
      <c r="FAF244" s="16"/>
      <c r="FAG244" s="15"/>
      <c r="FAH244" s="15"/>
      <c r="FAI244" s="10"/>
      <c r="FAJ244" s="10"/>
      <c r="FAK244" s="19"/>
      <c r="FAL244" s="19"/>
      <c r="FAO244" s="16"/>
      <c r="FAP244" s="15"/>
      <c r="FAQ244" s="15"/>
      <c r="FAR244" s="15"/>
      <c r="FAS244" s="16"/>
      <c r="FAT244" s="16"/>
      <c r="FAU244" s="16"/>
      <c r="FAV244" s="16"/>
      <c r="FAW244" s="16"/>
      <c r="FAX244" s="15"/>
      <c r="FAY244" s="15"/>
      <c r="FAZ244" s="10"/>
      <c r="FBA244" s="10"/>
      <c r="FBB244" s="19"/>
      <c r="FBC244" s="19"/>
      <c r="FBF244" s="16"/>
      <c r="FBG244" s="15"/>
      <c r="FBH244" s="15"/>
      <c r="FBI244" s="15"/>
      <c r="FBJ244" s="16"/>
      <c r="FBK244" s="16"/>
      <c r="FBL244" s="16"/>
      <c r="FBM244" s="16"/>
      <c r="FBN244" s="16"/>
      <c r="FBO244" s="15"/>
      <c r="FBP244" s="15"/>
      <c r="FBQ244" s="10"/>
      <c r="FBR244" s="10"/>
      <c r="FBS244" s="19"/>
      <c r="FBT244" s="19"/>
      <c r="FBW244" s="16"/>
      <c r="FBX244" s="15"/>
      <c r="FBY244" s="15"/>
      <c r="FBZ244" s="15"/>
      <c r="FCA244" s="16"/>
      <c r="FCB244" s="16"/>
      <c r="FCC244" s="16"/>
      <c r="FCD244" s="16"/>
      <c r="FCE244" s="16"/>
      <c r="FCF244" s="15"/>
      <c r="FCG244" s="15"/>
      <c r="FCH244" s="10"/>
      <c r="FCI244" s="10"/>
      <c r="FCJ244" s="19"/>
      <c r="FCK244" s="19"/>
      <c r="FCN244" s="16"/>
      <c r="FCO244" s="15"/>
      <c r="FCP244" s="15"/>
      <c r="FCQ244" s="15"/>
      <c r="FCR244" s="16"/>
      <c r="FCS244" s="16"/>
      <c r="FCT244" s="16"/>
      <c r="FCU244" s="16"/>
      <c r="FCV244" s="16"/>
      <c r="FCW244" s="15"/>
      <c r="FCX244" s="15"/>
      <c r="FCY244" s="10"/>
      <c r="FCZ244" s="10"/>
      <c r="FDA244" s="19"/>
      <c r="FDB244" s="19"/>
      <c r="FDE244" s="16"/>
      <c r="FDF244" s="15"/>
      <c r="FDG244" s="15"/>
      <c r="FDH244" s="15"/>
      <c r="FDI244" s="16"/>
      <c r="FDJ244" s="16"/>
      <c r="FDK244" s="16"/>
      <c r="FDL244" s="16"/>
      <c r="FDM244" s="16"/>
      <c r="FDN244" s="15"/>
      <c r="FDO244" s="15"/>
      <c r="FDP244" s="10"/>
      <c r="FDQ244" s="10"/>
      <c r="FDR244" s="19"/>
      <c r="FDS244" s="19"/>
      <c r="FDV244" s="16"/>
      <c r="FDW244" s="15"/>
      <c r="FDX244" s="15"/>
      <c r="FDY244" s="15"/>
      <c r="FDZ244" s="16"/>
      <c r="FEA244" s="16"/>
      <c r="FEB244" s="16"/>
      <c r="FEC244" s="16"/>
      <c r="FED244" s="16"/>
      <c r="FEE244" s="15"/>
      <c r="FEF244" s="15"/>
      <c r="FEG244" s="10"/>
      <c r="FEH244" s="10"/>
      <c r="FEI244" s="19"/>
      <c r="FEJ244" s="19"/>
      <c r="FEM244" s="16"/>
      <c r="FEN244" s="15"/>
      <c r="FEO244" s="15"/>
      <c r="FEP244" s="15"/>
      <c r="FEQ244" s="16"/>
      <c r="FER244" s="16"/>
      <c r="FES244" s="16"/>
      <c r="FET244" s="16"/>
      <c r="FEU244" s="16"/>
      <c r="FEV244" s="15"/>
      <c r="FEW244" s="15"/>
      <c r="FEX244" s="10"/>
      <c r="FEY244" s="10"/>
      <c r="FEZ244" s="19"/>
      <c r="FFA244" s="19"/>
      <c r="FFD244" s="16"/>
      <c r="FFE244" s="15"/>
      <c r="FFF244" s="15"/>
      <c r="FFG244" s="15"/>
      <c r="FFH244" s="16"/>
      <c r="FFI244" s="16"/>
      <c r="FFJ244" s="16"/>
      <c r="FFK244" s="16"/>
      <c r="FFL244" s="16"/>
      <c r="FFM244" s="15"/>
      <c r="FFN244" s="15"/>
      <c r="FFO244" s="10"/>
      <c r="FFP244" s="10"/>
      <c r="FFQ244" s="19"/>
      <c r="FFR244" s="19"/>
      <c r="FFU244" s="16"/>
      <c r="FFV244" s="15"/>
      <c r="FFW244" s="15"/>
      <c r="FFX244" s="15"/>
      <c r="FFY244" s="16"/>
      <c r="FFZ244" s="16"/>
      <c r="FGA244" s="16"/>
      <c r="FGB244" s="16"/>
      <c r="FGC244" s="16"/>
      <c r="FGD244" s="15"/>
      <c r="FGE244" s="15"/>
      <c r="FGF244" s="10"/>
      <c r="FGG244" s="10"/>
      <c r="FGH244" s="19"/>
      <c r="FGI244" s="19"/>
      <c r="FGL244" s="16"/>
      <c r="FGM244" s="15"/>
      <c r="FGN244" s="15"/>
      <c r="FGO244" s="15"/>
      <c r="FGP244" s="16"/>
      <c r="FGQ244" s="16"/>
      <c r="FGR244" s="16"/>
      <c r="FGS244" s="16"/>
      <c r="FGT244" s="16"/>
      <c r="FGU244" s="15"/>
      <c r="FGV244" s="15"/>
      <c r="FGW244" s="10"/>
      <c r="FGX244" s="10"/>
      <c r="FGY244" s="19"/>
      <c r="FGZ244" s="19"/>
      <c r="FHC244" s="16"/>
      <c r="FHD244" s="15"/>
      <c r="FHE244" s="15"/>
      <c r="FHF244" s="15"/>
      <c r="FHG244" s="16"/>
      <c r="FHH244" s="16"/>
      <c r="FHI244" s="16"/>
      <c r="FHJ244" s="16"/>
      <c r="FHK244" s="16"/>
      <c r="FHL244" s="15"/>
      <c r="FHM244" s="15"/>
      <c r="FHN244" s="10"/>
      <c r="FHO244" s="10"/>
      <c r="FHP244" s="19"/>
      <c r="FHQ244" s="19"/>
      <c r="FHT244" s="16"/>
      <c r="FHU244" s="15"/>
      <c r="FHV244" s="15"/>
      <c r="FHW244" s="15"/>
      <c r="FHX244" s="16"/>
      <c r="FHY244" s="16"/>
      <c r="FHZ244" s="16"/>
      <c r="FIA244" s="16"/>
      <c r="FIB244" s="16"/>
      <c r="FIC244" s="15"/>
      <c r="FID244" s="15"/>
      <c r="FIE244" s="10"/>
      <c r="FIF244" s="10"/>
      <c r="FIG244" s="19"/>
      <c r="FIH244" s="19"/>
      <c r="FIK244" s="16"/>
      <c r="FIL244" s="15"/>
      <c r="FIM244" s="15"/>
      <c r="FIN244" s="15"/>
      <c r="FIO244" s="16"/>
      <c r="FIP244" s="16"/>
      <c r="FIQ244" s="16"/>
      <c r="FIR244" s="16"/>
      <c r="FIS244" s="16"/>
      <c r="FIT244" s="15"/>
      <c r="FIU244" s="15"/>
      <c r="FIV244" s="10"/>
      <c r="FIW244" s="10"/>
      <c r="FIX244" s="19"/>
      <c r="FIY244" s="19"/>
      <c r="FJB244" s="16"/>
      <c r="FJC244" s="15"/>
      <c r="FJD244" s="15"/>
      <c r="FJE244" s="15"/>
      <c r="FJF244" s="16"/>
      <c r="FJG244" s="16"/>
      <c r="FJH244" s="16"/>
      <c r="FJI244" s="16"/>
      <c r="FJJ244" s="16"/>
      <c r="FJK244" s="15"/>
      <c r="FJL244" s="15"/>
      <c r="FJM244" s="10"/>
      <c r="FJN244" s="10"/>
      <c r="FJO244" s="19"/>
      <c r="FJP244" s="19"/>
      <c r="FJS244" s="16"/>
      <c r="FJT244" s="15"/>
      <c r="FJU244" s="15"/>
      <c r="FJV244" s="15"/>
      <c r="FJW244" s="16"/>
      <c r="FJX244" s="16"/>
      <c r="FJY244" s="16"/>
      <c r="FJZ244" s="16"/>
      <c r="FKA244" s="16"/>
      <c r="FKB244" s="15"/>
      <c r="FKC244" s="15"/>
      <c r="FKD244" s="10"/>
      <c r="FKE244" s="10"/>
      <c r="FKF244" s="19"/>
      <c r="FKG244" s="19"/>
      <c r="FKJ244" s="16"/>
      <c r="FKK244" s="15"/>
      <c r="FKL244" s="15"/>
      <c r="FKM244" s="15"/>
      <c r="FKN244" s="16"/>
      <c r="FKO244" s="16"/>
      <c r="FKP244" s="16"/>
      <c r="FKQ244" s="16"/>
      <c r="FKR244" s="16"/>
      <c r="FKS244" s="15"/>
      <c r="FKT244" s="15"/>
      <c r="FKU244" s="10"/>
      <c r="FKV244" s="10"/>
      <c r="FKW244" s="19"/>
      <c r="FKX244" s="19"/>
      <c r="FLA244" s="16"/>
      <c r="FLB244" s="15"/>
      <c r="FLC244" s="15"/>
      <c r="FLD244" s="15"/>
      <c r="FLE244" s="16"/>
      <c r="FLF244" s="16"/>
      <c r="FLG244" s="16"/>
      <c r="FLH244" s="16"/>
      <c r="FLI244" s="16"/>
      <c r="FLJ244" s="15"/>
      <c r="FLK244" s="15"/>
      <c r="FLL244" s="10"/>
      <c r="FLM244" s="10"/>
      <c r="FLN244" s="19"/>
      <c r="FLO244" s="19"/>
      <c r="FLR244" s="16"/>
      <c r="FLS244" s="15"/>
      <c r="FLT244" s="15"/>
      <c r="FLU244" s="15"/>
      <c r="FLV244" s="16"/>
      <c r="FLW244" s="16"/>
      <c r="FLX244" s="16"/>
      <c r="FLY244" s="16"/>
      <c r="FLZ244" s="16"/>
      <c r="FMA244" s="15"/>
      <c r="FMB244" s="15"/>
      <c r="FMC244" s="10"/>
      <c r="FMD244" s="10"/>
      <c r="FME244" s="19"/>
      <c r="FMF244" s="19"/>
      <c r="FMI244" s="16"/>
      <c r="FMJ244" s="15"/>
      <c r="FMK244" s="15"/>
      <c r="FML244" s="15"/>
      <c r="FMM244" s="16"/>
      <c r="FMN244" s="16"/>
      <c r="FMO244" s="16"/>
      <c r="FMP244" s="16"/>
      <c r="FMQ244" s="16"/>
      <c r="FMR244" s="15"/>
      <c r="FMS244" s="15"/>
      <c r="FMT244" s="10"/>
      <c r="FMU244" s="10"/>
      <c r="FMV244" s="19"/>
      <c r="FMW244" s="19"/>
      <c r="FMZ244" s="16"/>
      <c r="FNA244" s="15"/>
      <c r="FNB244" s="15"/>
      <c r="FNC244" s="15"/>
      <c r="FND244" s="16"/>
      <c r="FNE244" s="16"/>
      <c r="FNF244" s="16"/>
      <c r="FNG244" s="16"/>
      <c r="FNH244" s="16"/>
      <c r="FNI244" s="15"/>
      <c r="FNJ244" s="15"/>
      <c r="FNK244" s="10"/>
      <c r="FNL244" s="10"/>
      <c r="FNM244" s="19"/>
      <c r="FNN244" s="19"/>
      <c r="FNQ244" s="16"/>
      <c r="FNR244" s="15"/>
      <c r="FNS244" s="15"/>
      <c r="FNT244" s="15"/>
      <c r="FNU244" s="16"/>
      <c r="FNV244" s="16"/>
      <c r="FNW244" s="16"/>
      <c r="FNX244" s="16"/>
      <c r="FNY244" s="16"/>
      <c r="FNZ244" s="15"/>
      <c r="FOA244" s="15"/>
      <c r="FOB244" s="10"/>
      <c r="FOC244" s="10"/>
      <c r="FOD244" s="19"/>
      <c r="FOE244" s="19"/>
      <c r="FOH244" s="16"/>
      <c r="FOI244" s="15"/>
      <c r="FOJ244" s="15"/>
      <c r="FOK244" s="15"/>
      <c r="FOL244" s="16"/>
      <c r="FOM244" s="16"/>
      <c r="FON244" s="16"/>
      <c r="FOO244" s="16"/>
      <c r="FOP244" s="16"/>
      <c r="FOQ244" s="15"/>
      <c r="FOR244" s="15"/>
      <c r="FOS244" s="10"/>
      <c r="FOT244" s="10"/>
      <c r="FOU244" s="19"/>
      <c r="FOV244" s="19"/>
      <c r="FOY244" s="16"/>
      <c r="FOZ244" s="15"/>
      <c r="FPA244" s="15"/>
      <c r="FPB244" s="15"/>
      <c r="FPC244" s="16"/>
      <c r="FPD244" s="16"/>
      <c r="FPE244" s="16"/>
      <c r="FPF244" s="16"/>
      <c r="FPG244" s="16"/>
      <c r="FPH244" s="15"/>
      <c r="FPI244" s="15"/>
      <c r="FPJ244" s="10"/>
      <c r="FPK244" s="10"/>
      <c r="FPL244" s="19"/>
      <c r="FPM244" s="19"/>
      <c r="FPP244" s="16"/>
      <c r="FPQ244" s="15"/>
      <c r="FPR244" s="15"/>
      <c r="FPS244" s="15"/>
      <c r="FPT244" s="16"/>
      <c r="FPU244" s="16"/>
      <c r="FPV244" s="16"/>
      <c r="FPW244" s="16"/>
      <c r="FPX244" s="16"/>
      <c r="FPY244" s="15"/>
      <c r="FPZ244" s="15"/>
      <c r="FQA244" s="10"/>
      <c r="FQB244" s="10"/>
      <c r="FQC244" s="19"/>
      <c r="FQD244" s="19"/>
      <c r="FQG244" s="16"/>
      <c r="FQH244" s="15"/>
      <c r="FQI244" s="15"/>
      <c r="FQJ244" s="15"/>
      <c r="FQK244" s="16"/>
      <c r="FQL244" s="16"/>
      <c r="FQM244" s="16"/>
      <c r="FQN244" s="16"/>
      <c r="FQO244" s="16"/>
      <c r="FQP244" s="15"/>
      <c r="FQQ244" s="15"/>
      <c r="FQR244" s="10"/>
      <c r="FQS244" s="10"/>
      <c r="FQT244" s="19"/>
      <c r="FQU244" s="19"/>
      <c r="FQX244" s="16"/>
      <c r="FQY244" s="15"/>
      <c r="FQZ244" s="15"/>
      <c r="FRA244" s="15"/>
      <c r="FRB244" s="16"/>
      <c r="FRC244" s="16"/>
      <c r="FRD244" s="16"/>
      <c r="FRE244" s="16"/>
      <c r="FRF244" s="16"/>
      <c r="FRG244" s="15"/>
      <c r="FRH244" s="15"/>
      <c r="FRI244" s="10"/>
      <c r="FRJ244" s="10"/>
      <c r="FRK244" s="19"/>
      <c r="FRL244" s="19"/>
      <c r="FRO244" s="16"/>
      <c r="FRP244" s="15"/>
      <c r="FRQ244" s="15"/>
      <c r="FRR244" s="15"/>
      <c r="FRS244" s="16"/>
      <c r="FRT244" s="16"/>
      <c r="FRU244" s="16"/>
      <c r="FRV244" s="16"/>
      <c r="FRW244" s="16"/>
      <c r="FRX244" s="15"/>
      <c r="FRY244" s="15"/>
      <c r="FRZ244" s="10"/>
      <c r="FSA244" s="10"/>
      <c r="FSB244" s="19"/>
      <c r="FSC244" s="19"/>
      <c r="FSF244" s="16"/>
      <c r="FSG244" s="15"/>
      <c r="FSH244" s="15"/>
      <c r="FSI244" s="15"/>
      <c r="FSJ244" s="16"/>
      <c r="FSK244" s="16"/>
      <c r="FSL244" s="16"/>
      <c r="FSM244" s="16"/>
      <c r="FSN244" s="16"/>
      <c r="FSO244" s="15"/>
      <c r="FSP244" s="15"/>
      <c r="FSQ244" s="10"/>
      <c r="FSR244" s="10"/>
      <c r="FSS244" s="19"/>
      <c r="FST244" s="19"/>
      <c r="FSW244" s="16"/>
      <c r="FSX244" s="15"/>
      <c r="FSY244" s="15"/>
      <c r="FSZ244" s="15"/>
      <c r="FTA244" s="16"/>
      <c r="FTB244" s="16"/>
      <c r="FTC244" s="16"/>
      <c r="FTD244" s="16"/>
      <c r="FTE244" s="16"/>
      <c r="FTF244" s="15"/>
      <c r="FTG244" s="15"/>
      <c r="FTH244" s="10"/>
      <c r="FTI244" s="10"/>
      <c r="FTJ244" s="19"/>
      <c r="FTK244" s="19"/>
      <c r="FTN244" s="16"/>
      <c r="FTO244" s="15"/>
      <c r="FTP244" s="15"/>
      <c r="FTQ244" s="15"/>
      <c r="FTR244" s="16"/>
      <c r="FTS244" s="16"/>
      <c r="FTT244" s="16"/>
      <c r="FTU244" s="16"/>
      <c r="FTV244" s="16"/>
      <c r="FTW244" s="15"/>
      <c r="FTX244" s="15"/>
      <c r="FTY244" s="10"/>
      <c r="FTZ244" s="10"/>
      <c r="FUA244" s="19"/>
      <c r="FUB244" s="19"/>
      <c r="FUE244" s="16"/>
      <c r="FUF244" s="15"/>
      <c r="FUG244" s="15"/>
      <c r="FUH244" s="15"/>
      <c r="FUI244" s="16"/>
      <c r="FUJ244" s="16"/>
      <c r="FUK244" s="16"/>
      <c r="FUL244" s="16"/>
      <c r="FUM244" s="16"/>
      <c r="FUN244" s="15"/>
      <c r="FUO244" s="15"/>
      <c r="FUP244" s="10"/>
      <c r="FUQ244" s="10"/>
      <c r="FUR244" s="19"/>
      <c r="FUS244" s="19"/>
      <c r="FUV244" s="16"/>
      <c r="FUW244" s="15"/>
      <c r="FUX244" s="15"/>
      <c r="FUY244" s="15"/>
      <c r="FUZ244" s="16"/>
      <c r="FVA244" s="16"/>
      <c r="FVB244" s="16"/>
      <c r="FVC244" s="16"/>
      <c r="FVD244" s="16"/>
      <c r="FVE244" s="15"/>
      <c r="FVF244" s="15"/>
      <c r="FVG244" s="10"/>
      <c r="FVH244" s="10"/>
      <c r="FVI244" s="19"/>
      <c r="FVJ244" s="19"/>
      <c r="FVM244" s="16"/>
      <c r="FVN244" s="15"/>
      <c r="FVO244" s="15"/>
      <c r="FVP244" s="15"/>
      <c r="FVQ244" s="16"/>
      <c r="FVR244" s="16"/>
      <c r="FVS244" s="16"/>
      <c r="FVT244" s="16"/>
      <c r="FVU244" s="16"/>
      <c r="FVV244" s="15"/>
      <c r="FVW244" s="15"/>
      <c r="FVX244" s="10"/>
      <c r="FVY244" s="10"/>
      <c r="FVZ244" s="19"/>
      <c r="FWA244" s="19"/>
      <c r="FWD244" s="16"/>
      <c r="FWE244" s="15"/>
      <c r="FWF244" s="15"/>
      <c r="FWG244" s="15"/>
      <c r="FWH244" s="16"/>
      <c r="FWI244" s="16"/>
      <c r="FWJ244" s="16"/>
      <c r="FWK244" s="16"/>
      <c r="FWL244" s="16"/>
      <c r="FWM244" s="15"/>
      <c r="FWN244" s="15"/>
      <c r="FWO244" s="10"/>
      <c r="FWP244" s="10"/>
      <c r="FWQ244" s="19"/>
      <c r="FWR244" s="19"/>
      <c r="FWU244" s="16"/>
      <c r="FWV244" s="15"/>
      <c r="FWW244" s="15"/>
      <c r="FWX244" s="15"/>
      <c r="FWY244" s="16"/>
      <c r="FWZ244" s="16"/>
      <c r="FXA244" s="16"/>
      <c r="FXB244" s="16"/>
      <c r="FXC244" s="16"/>
      <c r="FXD244" s="15"/>
      <c r="FXE244" s="15"/>
      <c r="FXF244" s="10"/>
      <c r="FXG244" s="10"/>
      <c r="FXH244" s="19"/>
      <c r="FXI244" s="19"/>
      <c r="FXL244" s="16"/>
      <c r="FXM244" s="15"/>
      <c r="FXN244" s="15"/>
      <c r="FXO244" s="15"/>
      <c r="FXP244" s="16"/>
      <c r="FXQ244" s="16"/>
      <c r="FXR244" s="16"/>
      <c r="FXS244" s="16"/>
      <c r="FXT244" s="16"/>
      <c r="FXU244" s="15"/>
      <c r="FXV244" s="15"/>
      <c r="FXW244" s="10"/>
      <c r="FXX244" s="10"/>
      <c r="FXY244" s="19"/>
      <c r="FXZ244" s="19"/>
      <c r="FYC244" s="16"/>
      <c r="FYD244" s="15"/>
      <c r="FYE244" s="15"/>
      <c r="FYF244" s="15"/>
      <c r="FYG244" s="16"/>
      <c r="FYH244" s="16"/>
      <c r="FYI244" s="16"/>
      <c r="FYJ244" s="16"/>
      <c r="FYK244" s="16"/>
      <c r="FYL244" s="15"/>
      <c r="FYM244" s="15"/>
      <c r="FYN244" s="10"/>
      <c r="FYO244" s="10"/>
      <c r="FYP244" s="19"/>
      <c r="FYQ244" s="19"/>
      <c r="FYT244" s="16"/>
      <c r="FYU244" s="15"/>
      <c r="FYV244" s="15"/>
      <c r="FYW244" s="15"/>
      <c r="FYX244" s="16"/>
      <c r="FYY244" s="16"/>
      <c r="FYZ244" s="16"/>
      <c r="FZA244" s="16"/>
      <c r="FZB244" s="16"/>
      <c r="FZC244" s="15"/>
      <c r="FZD244" s="15"/>
      <c r="FZE244" s="10"/>
      <c r="FZF244" s="10"/>
      <c r="FZG244" s="19"/>
      <c r="FZH244" s="19"/>
      <c r="FZK244" s="16"/>
      <c r="FZL244" s="15"/>
      <c r="FZM244" s="15"/>
      <c r="FZN244" s="15"/>
      <c r="FZO244" s="16"/>
      <c r="FZP244" s="16"/>
      <c r="FZQ244" s="16"/>
      <c r="FZR244" s="16"/>
      <c r="FZS244" s="16"/>
      <c r="FZT244" s="15"/>
      <c r="FZU244" s="15"/>
      <c r="FZV244" s="10"/>
      <c r="FZW244" s="10"/>
      <c r="FZX244" s="19"/>
      <c r="FZY244" s="19"/>
      <c r="GAB244" s="16"/>
      <c r="GAC244" s="15"/>
      <c r="GAD244" s="15"/>
      <c r="GAE244" s="15"/>
      <c r="GAF244" s="16"/>
      <c r="GAG244" s="16"/>
      <c r="GAH244" s="16"/>
      <c r="GAI244" s="16"/>
      <c r="GAJ244" s="16"/>
      <c r="GAK244" s="15"/>
      <c r="GAL244" s="15"/>
      <c r="GAM244" s="10"/>
      <c r="GAN244" s="10"/>
      <c r="GAO244" s="19"/>
      <c r="GAP244" s="19"/>
      <c r="GAS244" s="16"/>
      <c r="GAT244" s="15"/>
      <c r="GAU244" s="15"/>
      <c r="GAV244" s="15"/>
      <c r="GAW244" s="16"/>
      <c r="GAX244" s="16"/>
      <c r="GAY244" s="16"/>
      <c r="GAZ244" s="16"/>
      <c r="GBA244" s="16"/>
      <c r="GBB244" s="15"/>
      <c r="GBC244" s="15"/>
      <c r="GBD244" s="10"/>
      <c r="GBE244" s="10"/>
      <c r="GBF244" s="19"/>
      <c r="GBG244" s="19"/>
      <c r="GBJ244" s="16"/>
      <c r="GBK244" s="15"/>
      <c r="GBL244" s="15"/>
      <c r="GBM244" s="15"/>
      <c r="GBN244" s="16"/>
      <c r="GBO244" s="16"/>
      <c r="GBP244" s="16"/>
      <c r="GBQ244" s="16"/>
      <c r="GBR244" s="16"/>
      <c r="GBS244" s="15"/>
      <c r="GBT244" s="15"/>
      <c r="GBU244" s="10"/>
      <c r="GBV244" s="10"/>
      <c r="GBW244" s="19"/>
      <c r="GBX244" s="19"/>
      <c r="GCA244" s="16"/>
      <c r="GCB244" s="15"/>
      <c r="GCC244" s="15"/>
      <c r="GCD244" s="15"/>
      <c r="GCE244" s="16"/>
      <c r="GCF244" s="16"/>
      <c r="GCG244" s="16"/>
      <c r="GCH244" s="16"/>
      <c r="GCI244" s="16"/>
      <c r="GCJ244" s="15"/>
      <c r="GCK244" s="15"/>
      <c r="GCL244" s="10"/>
      <c r="GCM244" s="10"/>
      <c r="GCN244" s="19"/>
      <c r="GCO244" s="19"/>
      <c r="GCR244" s="16"/>
      <c r="GCS244" s="15"/>
      <c r="GCT244" s="15"/>
      <c r="GCU244" s="15"/>
      <c r="GCV244" s="16"/>
      <c r="GCW244" s="16"/>
      <c r="GCX244" s="16"/>
      <c r="GCY244" s="16"/>
      <c r="GCZ244" s="16"/>
      <c r="GDA244" s="15"/>
      <c r="GDB244" s="15"/>
      <c r="GDC244" s="10"/>
      <c r="GDD244" s="10"/>
      <c r="GDE244" s="19"/>
      <c r="GDF244" s="19"/>
      <c r="GDI244" s="16"/>
      <c r="GDJ244" s="15"/>
      <c r="GDK244" s="15"/>
      <c r="GDL244" s="15"/>
      <c r="GDM244" s="16"/>
      <c r="GDN244" s="16"/>
      <c r="GDO244" s="16"/>
      <c r="GDP244" s="16"/>
      <c r="GDQ244" s="16"/>
      <c r="GDR244" s="15"/>
      <c r="GDS244" s="15"/>
      <c r="GDT244" s="10"/>
      <c r="GDU244" s="10"/>
      <c r="GDV244" s="19"/>
      <c r="GDW244" s="19"/>
      <c r="GDZ244" s="16"/>
      <c r="GEA244" s="15"/>
      <c r="GEB244" s="15"/>
      <c r="GEC244" s="15"/>
      <c r="GED244" s="16"/>
      <c r="GEE244" s="16"/>
      <c r="GEF244" s="16"/>
      <c r="GEG244" s="16"/>
      <c r="GEH244" s="16"/>
      <c r="GEI244" s="15"/>
      <c r="GEJ244" s="15"/>
      <c r="GEK244" s="10"/>
      <c r="GEL244" s="10"/>
      <c r="GEM244" s="19"/>
      <c r="GEN244" s="19"/>
      <c r="GEQ244" s="16"/>
      <c r="GER244" s="15"/>
      <c r="GES244" s="15"/>
      <c r="GET244" s="15"/>
      <c r="GEU244" s="16"/>
      <c r="GEV244" s="16"/>
      <c r="GEW244" s="16"/>
      <c r="GEX244" s="16"/>
      <c r="GEY244" s="16"/>
      <c r="GEZ244" s="15"/>
      <c r="GFA244" s="15"/>
      <c r="GFB244" s="10"/>
      <c r="GFC244" s="10"/>
      <c r="GFD244" s="19"/>
      <c r="GFE244" s="19"/>
      <c r="GFH244" s="16"/>
      <c r="GFI244" s="15"/>
      <c r="GFJ244" s="15"/>
      <c r="GFK244" s="15"/>
      <c r="GFL244" s="16"/>
      <c r="GFM244" s="16"/>
      <c r="GFN244" s="16"/>
      <c r="GFO244" s="16"/>
      <c r="GFP244" s="16"/>
      <c r="GFQ244" s="15"/>
      <c r="GFR244" s="15"/>
      <c r="GFS244" s="10"/>
      <c r="GFT244" s="10"/>
      <c r="GFU244" s="19"/>
      <c r="GFV244" s="19"/>
      <c r="GFY244" s="16"/>
      <c r="GFZ244" s="15"/>
      <c r="GGA244" s="15"/>
      <c r="GGB244" s="15"/>
      <c r="GGC244" s="16"/>
      <c r="GGD244" s="16"/>
      <c r="GGE244" s="16"/>
      <c r="GGF244" s="16"/>
      <c r="GGG244" s="16"/>
      <c r="GGH244" s="15"/>
      <c r="GGI244" s="15"/>
      <c r="GGJ244" s="10"/>
      <c r="GGK244" s="10"/>
      <c r="GGL244" s="19"/>
      <c r="GGM244" s="19"/>
      <c r="GGP244" s="16"/>
      <c r="GGQ244" s="15"/>
      <c r="GGR244" s="15"/>
      <c r="GGS244" s="15"/>
      <c r="GGT244" s="16"/>
      <c r="GGU244" s="16"/>
      <c r="GGV244" s="16"/>
      <c r="GGW244" s="16"/>
      <c r="GGX244" s="16"/>
      <c r="GGY244" s="15"/>
      <c r="GGZ244" s="15"/>
      <c r="GHA244" s="10"/>
      <c r="GHB244" s="10"/>
      <c r="GHC244" s="19"/>
      <c r="GHD244" s="19"/>
      <c r="GHG244" s="16"/>
      <c r="GHH244" s="15"/>
      <c r="GHI244" s="15"/>
      <c r="GHJ244" s="15"/>
      <c r="GHK244" s="16"/>
      <c r="GHL244" s="16"/>
      <c r="GHM244" s="16"/>
      <c r="GHN244" s="16"/>
      <c r="GHO244" s="16"/>
      <c r="GHP244" s="15"/>
      <c r="GHQ244" s="15"/>
      <c r="GHR244" s="10"/>
      <c r="GHS244" s="10"/>
      <c r="GHT244" s="19"/>
      <c r="GHU244" s="19"/>
      <c r="GHX244" s="16"/>
      <c r="GHY244" s="15"/>
      <c r="GHZ244" s="15"/>
      <c r="GIA244" s="15"/>
      <c r="GIB244" s="16"/>
      <c r="GIC244" s="16"/>
      <c r="GID244" s="16"/>
      <c r="GIE244" s="16"/>
      <c r="GIF244" s="16"/>
      <c r="GIG244" s="15"/>
      <c r="GIH244" s="15"/>
      <c r="GII244" s="10"/>
      <c r="GIJ244" s="10"/>
      <c r="GIK244" s="19"/>
      <c r="GIL244" s="19"/>
      <c r="GIO244" s="16"/>
      <c r="GIP244" s="15"/>
      <c r="GIQ244" s="15"/>
      <c r="GIR244" s="15"/>
      <c r="GIS244" s="16"/>
      <c r="GIT244" s="16"/>
      <c r="GIU244" s="16"/>
      <c r="GIV244" s="16"/>
      <c r="GIW244" s="16"/>
      <c r="GIX244" s="15"/>
      <c r="GIY244" s="15"/>
      <c r="GIZ244" s="10"/>
      <c r="GJA244" s="10"/>
      <c r="GJB244" s="19"/>
      <c r="GJC244" s="19"/>
      <c r="GJF244" s="16"/>
      <c r="GJG244" s="15"/>
      <c r="GJH244" s="15"/>
      <c r="GJI244" s="15"/>
      <c r="GJJ244" s="16"/>
      <c r="GJK244" s="16"/>
      <c r="GJL244" s="16"/>
      <c r="GJM244" s="16"/>
      <c r="GJN244" s="16"/>
      <c r="GJO244" s="15"/>
      <c r="GJP244" s="15"/>
      <c r="GJQ244" s="10"/>
      <c r="GJR244" s="10"/>
      <c r="GJS244" s="19"/>
      <c r="GJT244" s="19"/>
      <c r="GJW244" s="16"/>
      <c r="GJX244" s="15"/>
      <c r="GJY244" s="15"/>
      <c r="GJZ244" s="15"/>
      <c r="GKA244" s="16"/>
      <c r="GKB244" s="16"/>
      <c r="GKC244" s="16"/>
      <c r="GKD244" s="16"/>
      <c r="GKE244" s="16"/>
      <c r="GKF244" s="15"/>
      <c r="GKG244" s="15"/>
      <c r="GKH244" s="10"/>
      <c r="GKI244" s="10"/>
      <c r="GKJ244" s="19"/>
      <c r="GKK244" s="19"/>
      <c r="GKN244" s="16"/>
      <c r="GKO244" s="15"/>
      <c r="GKP244" s="15"/>
      <c r="GKQ244" s="15"/>
      <c r="GKR244" s="16"/>
      <c r="GKS244" s="16"/>
      <c r="GKT244" s="16"/>
      <c r="GKU244" s="16"/>
      <c r="GKV244" s="16"/>
      <c r="GKW244" s="15"/>
      <c r="GKX244" s="15"/>
      <c r="GKY244" s="10"/>
      <c r="GKZ244" s="10"/>
      <c r="GLA244" s="19"/>
      <c r="GLB244" s="19"/>
      <c r="GLE244" s="16"/>
      <c r="GLF244" s="15"/>
      <c r="GLG244" s="15"/>
      <c r="GLH244" s="15"/>
      <c r="GLI244" s="16"/>
      <c r="GLJ244" s="16"/>
      <c r="GLK244" s="16"/>
      <c r="GLL244" s="16"/>
      <c r="GLM244" s="16"/>
      <c r="GLN244" s="15"/>
      <c r="GLO244" s="15"/>
      <c r="GLP244" s="10"/>
      <c r="GLQ244" s="10"/>
      <c r="GLR244" s="19"/>
      <c r="GLS244" s="19"/>
      <c r="GLV244" s="16"/>
      <c r="GLW244" s="15"/>
      <c r="GLX244" s="15"/>
      <c r="GLY244" s="15"/>
      <c r="GLZ244" s="16"/>
      <c r="GMA244" s="16"/>
      <c r="GMB244" s="16"/>
      <c r="GMC244" s="16"/>
      <c r="GMD244" s="16"/>
      <c r="GME244" s="15"/>
      <c r="GMF244" s="15"/>
      <c r="GMG244" s="10"/>
      <c r="GMH244" s="10"/>
      <c r="GMI244" s="19"/>
      <c r="GMJ244" s="19"/>
      <c r="GMM244" s="16"/>
      <c r="GMN244" s="15"/>
      <c r="GMO244" s="15"/>
      <c r="GMP244" s="15"/>
      <c r="GMQ244" s="16"/>
      <c r="GMR244" s="16"/>
      <c r="GMS244" s="16"/>
      <c r="GMT244" s="16"/>
      <c r="GMU244" s="16"/>
      <c r="GMV244" s="15"/>
      <c r="GMW244" s="15"/>
      <c r="GMX244" s="10"/>
      <c r="GMY244" s="10"/>
      <c r="GMZ244" s="19"/>
      <c r="GNA244" s="19"/>
      <c r="GND244" s="16"/>
      <c r="GNE244" s="15"/>
      <c r="GNF244" s="15"/>
      <c r="GNG244" s="15"/>
      <c r="GNH244" s="16"/>
      <c r="GNI244" s="16"/>
      <c r="GNJ244" s="16"/>
      <c r="GNK244" s="16"/>
      <c r="GNL244" s="16"/>
      <c r="GNM244" s="15"/>
      <c r="GNN244" s="15"/>
      <c r="GNO244" s="10"/>
      <c r="GNP244" s="10"/>
      <c r="GNQ244" s="19"/>
      <c r="GNR244" s="19"/>
      <c r="GNU244" s="16"/>
      <c r="GNV244" s="15"/>
      <c r="GNW244" s="15"/>
      <c r="GNX244" s="15"/>
      <c r="GNY244" s="16"/>
      <c r="GNZ244" s="16"/>
      <c r="GOA244" s="16"/>
      <c r="GOB244" s="16"/>
      <c r="GOC244" s="16"/>
      <c r="GOD244" s="15"/>
      <c r="GOE244" s="15"/>
      <c r="GOF244" s="10"/>
      <c r="GOG244" s="10"/>
      <c r="GOH244" s="19"/>
      <c r="GOI244" s="19"/>
      <c r="GOL244" s="16"/>
      <c r="GOM244" s="15"/>
      <c r="GON244" s="15"/>
      <c r="GOO244" s="15"/>
      <c r="GOP244" s="16"/>
      <c r="GOQ244" s="16"/>
      <c r="GOR244" s="16"/>
      <c r="GOS244" s="16"/>
      <c r="GOT244" s="16"/>
      <c r="GOU244" s="15"/>
      <c r="GOV244" s="15"/>
      <c r="GOW244" s="10"/>
      <c r="GOX244" s="10"/>
      <c r="GOY244" s="19"/>
      <c r="GOZ244" s="19"/>
      <c r="GPC244" s="16"/>
      <c r="GPD244" s="15"/>
      <c r="GPE244" s="15"/>
      <c r="GPF244" s="15"/>
      <c r="GPG244" s="16"/>
      <c r="GPH244" s="16"/>
      <c r="GPI244" s="16"/>
      <c r="GPJ244" s="16"/>
      <c r="GPK244" s="16"/>
      <c r="GPL244" s="15"/>
      <c r="GPM244" s="15"/>
      <c r="GPN244" s="10"/>
      <c r="GPO244" s="10"/>
      <c r="GPP244" s="19"/>
      <c r="GPQ244" s="19"/>
      <c r="GPT244" s="16"/>
      <c r="GPU244" s="15"/>
      <c r="GPV244" s="15"/>
      <c r="GPW244" s="15"/>
      <c r="GPX244" s="16"/>
      <c r="GPY244" s="16"/>
      <c r="GPZ244" s="16"/>
      <c r="GQA244" s="16"/>
      <c r="GQB244" s="16"/>
      <c r="GQC244" s="15"/>
      <c r="GQD244" s="15"/>
      <c r="GQE244" s="10"/>
      <c r="GQF244" s="10"/>
      <c r="GQG244" s="19"/>
      <c r="GQH244" s="19"/>
      <c r="GQK244" s="16"/>
      <c r="GQL244" s="15"/>
      <c r="GQM244" s="15"/>
      <c r="GQN244" s="15"/>
      <c r="GQO244" s="16"/>
      <c r="GQP244" s="16"/>
      <c r="GQQ244" s="16"/>
      <c r="GQR244" s="16"/>
      <c r="GQS244" s="16"/>
      <c r="GQT244" s="15"/>
      <c r="GQU244" s="15"/>
      <c r="GQV244" s="10"/>
      <c r="GQW244" s="10"/>
      <c r="GQX244" s="19"/>
      <c r="GQY244" s="19"/>
      <c r="GRB244" s="16"/>
      <c r="GRC244" s="15"/>
      <c r="GRD244" s="15"/>
      <c r="GRE244" s="15"/>
      <c r="GRF244" s="16"/>
      <c r="GRG244" s="16"/>
      <c r="GRH244" s="16"/>
      <c r="GRI244" s="16"/>
      <c r="GRJ244" s="16"/>
      <c r="GRK244" s="15"/>
      <c r="GRL244" s="15"/>
      <c r="GRM244" s="10"/>
      <c r="GRN244" s="10"/>
      <c r="GRO244" s="19"/>
      <c r="GRP244" s="19"/>
      <c r="GRS244" s="16"/>
      <c r="GRT244" s="15"/>
      <c r="GRU244" s="15"/>
      <c r="GRV244" s="15"/>
      <c r="GRW244" s="16"/>
      <c r="GRX244" s="16"/>
      <c r="GRY244" s="16"/>
      <c r="GRZ244" s="16"/>
      <c r="GSA244" s="16"/>
      <c r="GSB244" s="15"/>
      <c r="GSC244" s="15"/>
      <c r="GSD244" s="10"/>
      <c r="GSE244" s="10"/>
      <c r="GSF244" s="19"/>
      <c r="GSG244" s="19"/>
      <c r="GSJ244" s="16"/>
      <c r="GSK244" s="15"/>
      <c r="GSL244" s="15"/>
      <c r="GSM244" s="15"/>
      <c r="GSN244" s="16"/>
      <c r="GSO244" s="16"/>
      <c r="GSP244" s="16"/>
      <c r="GSQ244" s="16"/>
      <c r="GSR244" s="16"/>
      <c r="GSS244" s="15"/>
      <c r="GST244" s="15"/>
      <c r="GSU244" s="10"/>
      <c r="GSV244" s="10"/>
      <c r="GSW244" s="19"/>
      <c r="GSX244" s="19"/>
      <c r="GTA244" s="16"/>
      <c r="GTB244" s="15"/>
      <c r="GTC244" s="15"/>
      <c r="GTD244" s="15"/>
      <c r="GTE244" s="16"/>
      <c r="GTF244" s="16"/>
      <c r="GTG244" s="16"/>
      <c r="GTH244" s="16"/>
      <c r="GTI244" s="16"/>
      <c r="GTJ244" s="15"/>
      <c r="GTK244" s="15"/>
      <c r="GTL244" s="10"/>
      <c r="GTM244" s="10"/>
      <c r="GTN244" s="19"/>
      <c r="GTO244" s="19"/>
      <c r="GTR244" s="16"/>
      <c r="GTS244" s="15"/>
      <c r="GTT244" s="15"/>
      <c r="GTU244" s="15"/>
      <c r="GTV244" s="16"/>
      <c r="GTW244" s="16"/>
      <c r="GTX244" s="16"/>
      <c r="GTY244" s="16"/>
      <c r="GTZ244" s="16"/>
      <c r="GUA244" s="15"/>
      <c r="GUB244" s="15"/>
      <c r="GUC244" s="10"/>
      <c r="GUD244" s="10"/>
      <c r="GUE244" s="19"/>
      <c r="GUF244" s="19"/>
      <c r="GUI244" s="16"/>
      <c r="GUJ244" s="15"/>
      <c r="GUK244" s="15"/>
      <c r="GUL244" s="15"/>
      <c r="GUM244" s="16"/>
      <c r="GUN244" s="16"/>
      <c r="GUO244" s="16"/>
      <c r="GUP244" s="16"/>
      <c r="GUQ244" s="16"/>
      <c r="GUR244" s="15"/>
      <c r="GUS244" s="15"/>
      <c r="GUT244" s="10"/>
      <c r="GUU244" s="10"/>
      <c r="GUV244" s="19"/>
      <c r="GUW244" s="19"/>
      <c r="GUZ244" s="16"/>
      <c r="GVA244" s="15"/>
      <c r="GVB244" s="15"/>
      <c r="GVC244" s="15"/>
      <c r="GVD244" s="16"/>
      <c r="GVE244" s="16"/>
      <c r="GVF244" s="16"/>
      <c r="GVG244" s="16"/>
      <c r="GVH244" s="16"/>
      <c r="GVI244" s="15"/>
      <c r="GVJ244" s="15"/>
      <c r="GVK244" s="10"/>
      <c r="GVL244" s="10"/>
      <c r="GVM244" s="19"/>
      <c r="GVN244" s="19"/>
      <c r="GVQ244" s="16"/>
      <c r="GVR244" s="15"/>
      <c r="GVS244" s="15"/>
      <c r="GVT244" s="15"/>
      <c r="GVU244" s="16"/>
      <c r="GVV244" s="16"/>
      <c r="GVW244" s="16"/>
      <c r="GVX244" s="16"/>
      <c r="GVY244" s="16"/>
      <c r="GVZ244" s="15"/>
      <c r="GWA244" s="15"/>
      <c r="GWB244" s="10"/>
      <c r="GWC244" s="10"/>
      <c r="GWD244" s="19"/>
      <c r="GWE244" s="19"/>
      <c r="GWH244" s="16"/>
      <c r="GWI244" s="15"/>
      <c r="GWJ244" s="15"/>
      <c r="GWK244" s="15"/>
      <c r="GWL244" s="16"/>
      <c r="GWM244" s="16"/>
      <c r="GWN244" s="16"/>
      <c r="GWO244" s="16"/>
      <c r="GWP244" s="16"/>
      <c r="GWQ244" s="15"/>
      <c r="GWR244" s="15"/>
      <c r="GWS244" s="10"/>
      <c r="GWT244" s="10"/>
      <c r="GWU244" s="19"/>
      <c r="GWV244" s="19"/>
      <c r="GWY244" s="16"/>
      <c r="GWZ244" s="15"/>
      <c r="GXA244" s="15"/>
      <c r="GXB244" s="15"/>
      <c r="GXC244" s="16"/>
      <c r="GXD244" s="16"/>
      <c r="GXE244" s="16"/>
      <c r="GXF244" s="16"/>
      <c r="GXG244" s="16"/>
      <c r="GXH244" s="15"/>
      <c r="GXI244" s="15"/>
      <c r="GXJ244" s="10"/>
      <c r="GXK244" s="10"/>
      <c r="GXL244" s="19"/>
      <c r="GXM244" s="19"/>
      <c r="GXP244" s="16"/>
      <c r="GXQ244" s="15"/>
      <c r="GXR244" s="15"/>
      <c r="GXS244" s="15"/>
      <c r="GXT244" s="16"/>
      <c r="GXU244" s="16"/>
      <c r="GXV244" s="16"/>
      <c r="GXW244" s="16"/>
      <c r="GXX244" s="16"/>
      <c r="GXY244" s="15"/>
      <c r="GXZ244" s="15"/>
      <c r="GYA244" s="10"/>
      <c r="GYB244" s="10"/>
      <c r="GYC244" s="19"/>
      <c r="GYD244" s="19"/>
      <c r="GYG244" s="16"/>
      <c r="GYH244" s="15"/>
      <c r="GYI244" s="15"/>
      <c r="GYJ244" s="15"/>
      <c r="GYK244" s="16"/>
      <c r="GYL244" s="16"/>
      <c r="GYM244" s="16"/>
      <c r="GYN244" s="16"/>
      <c r="GYO244" s="16"/>
      <c r="GYP244" s="15"/>
      <c r="GYQ244" s="15"/>
      <c r="GYR244" s="10"/>
      <c r="GYS244" s="10"/>
      <c r="GYT244" s="19"/>
      <c r="GYU244" s="19"/>
      <c r="GYX244" s="16"/>
      <c r="GYY244" s="15"/>
      <c r="GYZ244" s="15"/>
      <c r="GZA244" s="15"/>
      <c r="GZB244" s="16"/>
      <c r="GZC244" s="16"/>
      <c r="GZD244" s="16"/>
      <c r="GZE244" s="16"/>
      <c r="GZF244" s="16"/>
      <c r="GZG244" s="15"/>
      <c r="GZH244" s="15"/>
      <c r="GZI244" s="10"/>
      <c r="GZJ244" s="10"/>
      <c r="GZK244" s="19"/>
      <c r="GZL244" s="19"/>
      <c r="GZO244" s="16"/>
      <c r="GZP244" s="15"/>
      <c r="GZQ244" s="15"/>
      <c r="GZR244" s="15"/>
      <c r="GZS244" s="16"/>
      <c r="GZT244" s="16"/>
      <c r="GZU244" s="16"/>
      <c r="GZV244" s="16"/>
      <c r="GZW244" s="16"/>
      <c r="GZX244" s="15"/>
      <c r="GZY244" s="15"/>
      <c r="GZZ244" s="10"/>
      <c r="HAA244" s="10"/>
      <c r="HAB244" s="19"/>
      <c r="HAC244" s="19"/>
      <c r="HAF244" s="16"/>
      <c r="HAG244" s="15"/>
      <c r="HAH244" s="15"/>
      <c r="HAI244" s="15"/>
      <c r="HAJ244" s="16"/>
      <c r="HAK244" s="16"/>
      <c r="HAL244" s="16"/>
      <c r="HAM244" s="16"/>
      <c r="HAN244" s="16"/>
      <c r="HAO244" s="15"/>
      <c r="HAP244" s="15"/>
      <c r="HAQ244" s="10"/>
      <c r="HAR244" s="10"/>
      <c r="HAS244" s="19"/>
      <c r="HAT244" s="19"/>
      <c r="HAW244" s="16"/>
      <c r="HAX244" s="15"/>
      <c r="HAY244" s="15"/>
      <c r="HAZ244" s="15"/>
      <c r="HBA244" s="16"/>
      <c r="HBB244" s="16"/>
      <c r="HBC244" s="16"/>
      <c r="HBD244" s="16"/>
      <c r="HBE244" s="16"/>
      <c r="HBF244" s="15"/>
      <c r="HBG244" s="15"/>
      <c r="HBH244" s="10"/>
      <c r="HBI244" s="10"/>
      <c r="HBJ244" s="19"/>
      <c r="HBK244" s="19"/>
      <c r="HBN244" s="16"/>
      <c r="HBO244" s="15"/>
      <c r="HBP244" s="15"/>
      <c r="HBQ244" s="15"/>
      <c r="HBR244" s="16"/>
      <c r="HBS244" s="16"/>
      <c r="HBT244" s="16"/>
      <c r="HBU244" s="16"/>
      <c r="HBV244" s="16"/>
      <c r="HBW244" s="15"/>
      <c r="HBX244" s="15"/>
      <c r="HBY244" s="10"/>
      <c r="HBZ244" s="10"/>
      <c r="HCA244" s="19"/>
      <c r="HCB244" s="19"/>
      <c r="HCE244" s="16"/>
      <c r="HCF244" s="15"/>
      <c r="HCG244" s="15"/>
      <c r="HCH244" s="15"/>
      <c r="HCI244" s="16"/>
      <c r="HCJ244" s="16"/>
      <c r="HCK244" s="16"/>
      <c r="HCL244" s="16"/>
      <c r="HCM244" s="16"/>
      <c r="HCN244" s="15"/>
      <c r="HCO244" s="15"/>
      <c r="HCP244" s="10"/>
      <c r="HCQ244" s="10"/>
      <c r="HCR244" s="19"/>
      <c r="HCS244" s="19"/>
      <c r="HCV244" s="16"/>
      <c r="HCW244" s="15"/>
      <c r="HCX244" s="15"/>
      <c r="HCY244" s="15"/>
      <c r="HCZ244" s="16"/>
      <c r="HDA244" s="16"/>
      <c r="HDB244" s="16"/>
      <c r="HDC244" s="16"/>
      <c r="HDD244" s="16"/>
      <c r="HDE244" s="15"/>
      <c r="HDF244" s="15"/>
      <c r="HDG244" s="10"/>
      <c r="HDH244" s="10"/>
      <c r="HDI244" s="19"/>
      <c r="HDJ244" s="19"/>
      <c r="HDM244" s="16"/>
      <c r="HDN244" s="15"/>
      <c r="HDO244" s="15"/>
      <c r="HDP244" s="15"/>
      <c r="HDQ244" s="16"/>
      <c r="HDR244" s="16"/>
      <c r="HDS244" s="16"/>
      <c r="HDT244" s="16"/>
      <c r="HDU244" s="16"/>
      <c r="HDV244" s="15"/>
      <c r="HDW244" s="15"/>
      <c r="HDX244" s="10"/>
      <c r="HDY244" s="10"/>
      <c r="HDZ244" s="19"/>
      <c r="HEA244" s="19"/>
      <c r="HED244" s="16"/>
      <c r="HEE244" s="15"/>
      <c r="HEF244" s="15"/>
      <c r="HEG244" s="15"/>
      <c r="HEH244" s="16"/>
      <c r="HEI244" s="16"/>
      <c r="HEJ244" s="16"/>
      <c r="HEK244" s="16"/>
      <c r="HEL244" s="16"/>
      <c r="HEM244" s="15"/>
      <c r="HEN244" s="15"/>
      <c r="HEO244" s="10"/>
      <c r="HEP244" s="10"/>
      <c r="HEQ244" s="19"/>
      <c r="HER244" s="19"/>
      <c r="HEU244" s="16"/>
      <c r="HEV244" s="15"/>
      <c r="HEW244" s="15"/>
      <c r="HEX244" s="15"/>
      <c r="HEY244" s="16"/>
      <c r="HEZ244" s="16"/>
      <c r="HFA244" s="16"/>
      <c r="HFB244" s="16"/>
      <c r="HFC244" s="16"/>
      <c r="HFD244" s="15"/>
      <c r="HFE244" s="15"/>
      <c r="HFF244" s="10"/>
      <c r="HFG244" s="10"/>
      <c r="HFH244" s="19"/>
      <c r="HFI244" s="19"/>
      <c r="HFL244" s="16"/>
      <c r="HFM244" s="15"/>
      <c r="HFN244" s="15"/>
      <c r="HFO244" s="15"/>
      <c r="HFP244" s="16"/>
      <c r="HFQ244" s="16"/>
      <c r="HFR244" s="16"/>
      <c r="HFS244" s="16"/>
      <c r="HFT244" s="16"/>
      <c r="HFU244" s="15"/>
      <c r="HFV244" s="15"/>
      <c r="HFW244" s="10"/>
      <c r="HFX244" s="10"/>
      <c r="HFY244" s="19"/>
      <c r="HFZ244" s="19"/>
      <c r="HGC244" s="16"/>
      <c r="HGD244" s="15"/>
      <c r="HGE244" s="15"/>
      <c r="HGF244" s="15"/>
      <c r="HGG244" s="16"/>
      <c r="HGH244" s="16"/>
      <c r="HGI244" s="16"/>
      <c r="HGJ244" s="16"/>
      <c r="HGK244" s="16"/>
      <c r="HGL244" s="15"/>
      <c r="HGM244" s="15"/>
      <c r="HGN244" s="10"/>
      <c r="HGO244" s="10"/>
      <c r="HGP244" s="19"/>
      <c r="HGQ244" s="19"/>
      <c r="HGT244" s="16"/>
      <c r="HGU244" s="15"/>
      <c r="HGV244" s="15"/>
      <c r="HGW244" s="15"/>
      <c r="HGX244" s="16"/>
      <c r="HGY244" s="16"/>
      <c r="HGZ244" s="16"/>
      <c r="HHA244" s="16"/>
      <c r="HHB244" s="16"/>
      <c r="HHC244" s="15"/>
      <c r="HHD244" s="15"/>
      <c r="HHE244" s="10"/>
      <c r="HHF244" s="10"/>
      <c r="HHG244" s="19"/>
      <c r="HHH244" s="19"/>
      <c r="HHK244" s="16"/>
      <c r="HHL244" s="15"/>
      <c r="HHM244" s="15"/>
      <c r="HHN244" s="15"/>
      <c r="HHO244" s="16"/>
      <c r="HHP244" s="16"/>
      <c r="HHQ244" s="16"/>
      <c r="HHR244" s="16"/>
      <c r="HHS244" s="16"/>
      <c r="HHT244" s="15"/>
      <c r="HHU244" s="15"/>
      <c r="HHV244" s="10"/>
      <c r="HHW244" s="10"/>
      <c r="HHX244" s="19"/>
      <c r="HHY244" s="19"/>
      <c r="HIB244" s="16"/>
      <c r="HIC244" s="15"/>
      <c r="HID244" s="15"/>
      <c r="HIE244" s="15"/>
      <c r="HIF244" s="16"/>
      <c r="HIG244" s="16"/>
      <c r="HIH244" s="16"/>
      <c r="HII244" s="16"/>
      <c r="HIJ244" s="16"/>
      <c r="HIK244" s="15"/>
      <c r="HIL244" s="15"/>
      <c r="HIM244" s="10"/>
      <c r="HIN244" s="10"/>
      <c r="HIO244" s="19"/>
      <c r="HIP244" s="19"/>
      <c r="HIS244" s="16"/>
      <c r="HIT244" s="15"/>
      <c r="HIU244" s="15"/>
      <c r="HIV244" s="15"/>
      <c r="HIW244" s="16"/>
      <c r="HIX244" s="16"/>
      <c r="HIY244" s="16"/>
      <c r="HIZ244" s="16"/>
      <c r="HJA244" s="16"/>
      <c r="HJB244" s="15"/>
      <c r="HJC244" s="15"/>
      <c r="HJD244" s="10"/>
      <c r="HJE244" s="10"/>
      <c r="HJF244" s="19"/>
      <c r="HJG244" s="19"/>
      <c r="HJJ244" s="16"/>
      <c r="HJK244" s="15"/>
      <c r="HJL244" s="15"/>
      <c r="HJM244" s="15"/>
      <c r="HJN244" s="16"/>
      <c r="HJO244" s="16"/>
      <c r="HJP244" s="16"/>
      <c r="HJQ244" s="16"/>
      <c r="HJR244" s="16"/>
      <c r="HJS244" s="15"/>
      <c r="HJT244" s="15"/>
      <c r="HJU244" s="10"/>
      <c r="HJV244" s="10"/>
      <c r="HJW244" s="19"/>
      <c r="HJX244" s="19"/>
      <c r="HKA244" s="16"/>
      <c r="HKB244" s="15"/>
      <c r="HKC244" s="15"/>
      <c r="HKD244" s="15"/>
      <c r="HKE244" s="16"/>
      <c r="HKF244" s="16"/>
      <c r="HKG244" s="16"/>
      <c r="HKH244" s="16"/>
      <c r="HKI244" s="16"/>
      <c r="HKJ244" s="15"/>
      <c r="HKK244" s="15"/>
      <c r="HKL244" s="10"/>
      <c r="HKM244" s="10"/>
      <c r="HKN244" s="19"/>
      <c r="HKO244" s="19"/>
      <c r="HKR244" s="16"/>
      <c r="HKS244" s="15"/>
      <c r="HKT244" s="15"/>
      <c r="HKU244" s="15"/>
      <c r="HKV244" s="16"/>
      <c r="HKW244" s="16"/>
      <c r="HKX244" s="16"/>
      <c r="HKY244" s="16"/>
      <c r="HKZ244" s="16"/>
      <c r="HLA244" s="15"/>
      <c r="HLB244" s="15"/>
      <c r="HLC244" s="10"/>
      <c r="HLD244" s="10"/>
      <c r="HLE244" s="19"/>
      <c r="HLF244" s="19"/>
      <c r="HLI244" s="16"/>
      <c r="HLJ244" s="15"/>
      <c r="HLK244" s="15"/>
      <c r="HLL244" s="15"/>
      <c r="HLM244" s="16"/>
      <c r="HLN244" s="16"/>
      <c r="HLO244" s="16"/>
      <c r="HLP244" s="16"/>
      <c r="HLQ244" s="16"/>
      <c r="HLR244" s="15"/>
      <c r="HLS244" s="15"/>
      <c r="HLT244" s="10"/>
      <c r="HLU244" s="10"/>
      <c r="HLV244" s="19"/>
      <c r="HLW244" s="19"/>
      <c r="HLZ244" s="16"/>
      <c r="HMA244" s="15"/>
      <c r="HMB244" s="15"/>
      <c r="HMC244" s="15"/>
      <c r="HMD244" s="16"/>
      <c r="HME244" s="16"/>
      <c r="HMF244" s="16"/>
      <c r="HMG244" s="16"/>
      <c r="HMH244" s="16"/>
      <c r="HMI244" s="15"/>
      <c r="HMJ244" s="15"/>
      <c r="HMK244" s="10"/>
      <c r="HML244" s="10"/>
      <c r="HMM244" s="19"/>
      <c r="HMN244" s="19"/>
      <c r="HMQ244" s="16"/>
      <c r="HMR244" s="15"/>
      <c r="HMS244" s="15"/>
      <c r="HMT244" s="15"/>
      <c r="HMU244" s="16"/>
      <c r="HMV244" s="16"/>
      <c r="HMW244" s="16"/>
      <c r="HMX244" s="16"/>
      <c r="HMY244" s="16"/>
      <c r="HMZ244" s="15"/>
      <c r="HNA244" s="15"/>
      <c r="HNB244" s="10"/>
      <c r="HNC244" s="10"/>
      <c r="HND244" s="19"/>
      <c r="HNE244" s="19"/>
      <c r="HNH244" s="16"/>
      <c r="HNI244" s="15"/>
      <c r="HNJ244" s="15"/>
      <c r="HNK244" s="15"/>
      <c r="HNL244" s="16"/>
      <c r="HNM244" s="16"/>
      <c r="HNN244" s="16"/>
      <c r="HNO244" s="16"/>
      <c r="HNP244" s="16"/>
      <c r="HNQ244" s="15"/>
      <c r="HNR244" s="15"/>
      <c r="HNS244" s="10"/>
      <c r="HNT244" s="10"/>
      <c r="HNU244" s="19"/>
      <c r="HNV244" s="19"/>
      <c r="HNY244" s="16"/>
      <c r="HNZ244" s="15"/>
      <c r="HOA244" s="15"/>
      <c r="HOB244" s="15"/>
      <c r="HOC244" s="16"/>
      <c r="HOD244" s="16"/>
      <c r="HOE244" s="16"/>
      <c r="HOF244" s="16"/>
      <c r="HOG244" s="16"/>
      <c r="HOH244" s="15"/>
      <c r="HOI244" s="15"/>
      <c r="HOJ244" s="10"/>
      <c r="HOK244" s="10"/>
      <c r="HOL244" s="19"/>
      <c r="HOM244" s="19"/>
      <c r="HOP244" s="16"/>
      <c r="HOQ244" s="15"/>
      <c r="HOR244" s="15"/>
      <c r="HOS244" s="15"/>
      <c r="HOT244" s="16"/>
      <c r="HOU244" s="16"/>
      <c r="HOV244" s="16"/>
      <c r="HOW244" s="16"/>
      <c r="HOX244" s="16"/>
      <c r="HOY244" s="15"/>
      <c r="HOZ244" s="15"/>
      <c r="HPA244" s="10"/>
      <c r="HPB244" s="10"/>
      <c r="HPC244" s="19"/>
      <c r="HPD244" s="19"/>
      <c r="HPG244" s="16"/>
      <c r="HPH244" s="15"/>
      <c r="HPI244" s="15"/>
      <c r="HPJ244" s="15"/>
      <c r="HPK244" s="16"/>
      <c r="HPL244" s="16"/>
      <c r="HPM244" s="16"/>
      <c r="HPN244" s="16"/>
      <c r="HPO244" s="16"/>
      <c r="HPP244" s="15"/>
      <c r="HPQ244" s="15"/>
      <c r="HPR244" s="10"/>
      <c r="HPS244" s="10"/>
      <c r="HPT244" s="19"/>
      <c r="HPU244" s="19"/>
      <c r="HPX244" s="16"/>
      <c r="HPY244" s="15"/>
      <c r="HPZ244" s="15"/>
      <c r="HQA244" s="15"/>
      <c r="HQB244" s="16"/>
      <c r="HQC244" s="16"/>
      <c r="HQD244" s="16"/>
      <c r="HQE244" s="16"/>
      <c r="HQF244" s="16"/>
      <c r="HQG244" s="15"/>
      <c r="HQH244" s="15"/>
      <c r="HQI244" s="10"/>
      <c r="HQJ244" s="10"/>
      <c r="HQK244" s="19"/>
      <c r="HQL244" s="19"/>
      <c r="HQO244" s="16"/>
      <c r="HQP244" s="15"/>
      <c r="HQQ244" s="15"/>
      <c r="HQR244" s="15"/>
      <c r="HQS244" s="16"/>
      <c r="HQT244" s="16"/>
      <c r="HQU244" s="16"/>
      <c r="HQV244" s="16"/>
      <c r="HQW244" s="16"/>
      <c r="HQX244" s="15"/>
      <c r="HQY244" s="15"/>
      <c r="HQZ244" s="10"/>
      <c r="HRA244" s="10"/>
      <c r="HRB244" s="19"/>
      <c r="HRC244" s="19"/>
      <c r="HRF244" s="16"/>
      <c r="HRG244" s="15"/>
      <c r="HRH244" s="15"/>
      <c r="HRI244" s="15"/>
      <c r="HRJ244" s="16"/>
      <c r="HRK244" s="16"/>
      <c r="HRL244" s="16"/>
      <c r="HRM244" s="16"/>
      <c r="HRN244" s="16"/>
      <c r="HRO244" s="15"/>
      <c r="HRP244" s="15"/>
      <c r="HRQ244" s="10"/>
      <c r="HRR244" s="10"/>
      <c r="HRS244" s="19"/>
      <c r="HRT244" s="19"/>
      <c r="HRW244" s="16"/>
      <c r="HRX244" s="15"/>
      <c r="HRY244" s="15"/>
      <c r="HRZ244" s="15"/>
      <c r="HSA244" s="16"/>
      <c r="HSB244" s="16"/>
      <c r="HSC244" s="16"/>
      <c r="HSD244" s="16"/>
      <c r="HSE244" s="16"/>
      <c r="HSF244" s="15"/>
      <c r="HSG244" s="15"/>
      <c r="HSH244" s="10"/>
      <c r="HSI244" s="10"/>
      <c r="HSJ244" s="19"/>
      <c r="HSK244" s="19"/>
      <c r="HSN244" s="16"/>
      <c r="HSO244" s="15"/>
      <c r="HSP244" s="15"/>
      <c r="HSQ244" s="15"/>
      <c r="HSR244" s="16"/>
      <c r="HSS244" s="16"/>
      <c r="HST244" s="16"/>
      <c r="HSU244" s="16"/>
      <c r="HSV244" s="16"/>
      <c r="HSW244" s="15"/>
      <c r="HSX244" s="15"/>
      <c r="HSY244" s="10"/>
      <c r="HSZ244" s="10"/>
      <c r="HTA244" s="19"/>
      <c r="HTB244" s="19"/>
      <c r="HTE244" s="16"/>
      <c r="HTF244" s="15"/>
      <c r="HTG244" s="15"/>
      <c r="HTH244" s="15"/>
      <c r="HTI244" s="16"/>
      <c r="HTJ244" s="16"/>
      <c r="HTK244" s="16"/>
      <c r="HTL244" s="16"/>
      <c r="HTM244" s="16"/>
      <c r="HTN244" s="15"/>
      <c r="HTO244" s="15"/>
      <c r="HTP244" s="10"/>
      <c r="HTQ244" s="10"/>
      <c r="HTR244" s="19"/>
      <c r="HTS244" s="19"/>
      <c r="HTV244" s="16"/>
      <c r="HTW244" s="15"/>
      <c r="HTX244" s="15"/>
      <c r="HTY244" s="15"/>
      <c r="HTZ244" s="16"/>
      <c r="HUA244" s="16"/>
      <c r="HUB244" s="16"/>
      <c r="HUC244" s="16"/>
      <c r="HUD244" s="16"/>
      <c r="HUE244" s="15"/>
      <c r="HUF244" s="15"/>
      <c r="HUG244" s="10"/>
      <c r="HUH244" s="10"/>
      <c r="HUI244" s="19"/>
      <c r="HUJ244" s="19"/>
      <c r="HUM244" s="16"/>
      <c r="HUN244" s="15"/>
      <c r="HUO244" s="15"/>
      <c r="HUP244" s="15"/>
      <c r="HUQ244" s="16"/>
      <c r="HUR244" s="16"/>
      <c r="HUS244" s="16"/>
      <c r="HUT244" s="16"/>
      <c r="HUU244" s="16"/>
      <c r="HUV244" s="15"/>
      <c r="HUW244" s="15"/>
      <c r="HUX244" s="10"/>
      <c r="HUY244" s="10"/>
      <c r="HUZ244" s="19"/>
      <c r="HVA244" s="19"/>
      <c r="HVD244" s="16"/>
      <c r="HVE244" s="15"/>
      <c r="HVF244" s="15"/>
      <c r="HVG244" s="15"/>
      <c r="HVH244" s="16"/>
      <c r="HVI244" s="16"/>
      <c r="HVJ244" s="16"/>
      <c r="HVK244" s="16"/>
      <c r="HVL244" s="16"/>
      <c r="HVM244" s="15"/>
      <c r="HVN244" s="15"/>
      <c r="HVO244" s="10"/>
      <c r="HVP244" s="10"/>
      <c r="HVQ244" s="19"/>
      <c r="HVR244" s="19"/>
      <c r="HVU244" s="16"/>
      <c r="HVV244" s="15"/>
      <c r="HVW244" s="15"/>
      <c r="HVX244" s="15"/>
      <c r="HVY244" s="16"/>
      <c r="HVZ244" s="16"/>
      <c r="HWA244" s="16"/>
      <c r="HWB244" s="16"/>
      <c r="HWC244" s="16"/>
      <c r="HWD244" s="15"/>
      <c r="HWE244" s="15"/>
      <c r="HWF244" s="10"/>
      <c r="HWG244" s="10"/>
      <c r="HWH244" s="19"/>
      <c r="HWI244" s="19"/>
      <c r="HWL244" s="16"/>
      <c r="HWM244" s="15"/>
      <c r="HWN244" s="15"/>
      <c r="HWO244" s="15"/>
      <c r="HWP244" s="16"/>
      <c r="HWQ244" s="16"/>
      <c r="HWR244" s="16"/>
      <c r="HWS244" s="16"/>
      <c r="HWT244" s="16"/>
      <c r="HWU244" s="15"/>
      <c r="HWV244" s="15"/>
      <c r="HWW244" s="10"/>
      <c r="HWX244" s="10"/>
      <c r="HWY244" s="19"/>
      <c r="HWZ244" s="19"/>
      <c r="HXC244" s="16"/>
      <c r="HXD244" s="15"/>
      <c r="HXE244" s="15"/>
      <c r="HXF244" s="15"/>
      <c r="HXG244" s="16"/>
      <c r="HXH244" s="16"/>
      <c r="HXI244" s="16"/>
      <c r="HXJ244" s="16"/>
      <c r="HXK244" s="16"/>
      <c r="HXL244" s="15"/>
      <c r="HXM244" s="15"/>
      <c r="HXN244" s="10"/>
      <c r="HXO244" s="10"/>
      <c r="HXP244" s="19"/>
      <c r="HXQ244" s="19"/>
      <c r="HXT244" s="16"/>
      <c r="HXU244" s="15"/>
      <c r="HXV244" s="15"/>
      <c r="HXW244" s="15"/>
      <c r="HXX244" s="16"/>
      <c r="HXY244" s="16"/>
      <c r="HXZ244" s="16"/>
      <c r="HYA244" s="16"/>
      <c r="HYB244" s="16"/>
      <c r="HYC244" s="15"/>
      <c r="HYD244" s="15"/>
      <c r="HYE244" s="10"/>
      <c r="HYF244" s="10"/>
      <c r="HYG244" s="19"/>
      <c r="HYH244" s="19"/>
      <c r="HYK244" s="16"/>
      <c r="HYL244" s="15"/>
      <c r="HYM244" s="15"/>
      <c r="HYN244" s="15"/>
      <c r="HYO244" s="16"/>
      <c r="HYP244" s="16"/>
      <c r="HYQ244" s="16"/>
      <c r="HYR244" s="16"/>
      <c r="HYS244" s="16"/>
      <c r="HYT244" s="15"/>
      <c r="HYU244" s="15"/>
      <c r="HYV244" s="10"/>
      <c r="HYW244" s="10"/>
      <c r="HYX244" s="19"/>
      <c r="HYY244" s="19"/>
      <c r="HZB244" s="16"/>
      <c r="HZC244" s="15"/>
      <c r="HZD244" s="15"/>
      <c r="HZE244" s="15"/>
      <c r="HZF244" s="16"/>
      <c r="HZG244" s="16"/>
      <c r="HZH244" s="16"/>
      <c r="HZI244" s="16"/>
      <c r="HZJ244" s="16"/>
      <c r="HZK244" s="15"/>
      <c r="HZL244" s="15"/>
      <c r="HZM244" s="10"/>
      <c r="HZN244" s="10"/>
      <c r="HZO244" s="19"/>
      <c r="HZP244" s="19"/>
      <c r="HZS244" s="16"/>
      <c r="HZT244" s="15"/>
      <c r="HZU244" s="15"/>
      <c r="HZV244" s="15"/>
      <c r="HZW244" s="16"/>
      <c r="HZX244" s="16"/>
      <c r="HZY244" s="16"/>
      <c r="HZZ244" s="16"/>
      <c r="IAA244" s="16"/>
      <c r="IAB244" s="15"/>
      <c r="IAC244" s="15"/>
      <c r="IAD244" s="10"/>
      <c r="IAE244" s="10"/>
      <c r="IAF244" s="19"/>
      <c r="IAG244" s="19"/>
      <c r="IAJ244" s="16"/>
      <c r="IAK244" s="15"/>
      <c r="IAL244" s="15"/>
      <c r="IAM244" s="15"/>
      <c r="IAN244" s="16"/>
      <c r="IAO244" s="16"/>
      <c r="IAP244" s="16"/>
      <c r="IAQ244" s="16"/>
      <c r="IAR244" s="16"/>
      <c r="IAS244" s="15"/>
      <c r="IAT244" s="15"/>
      <c r="IAU244" s="10"/>
      <c r="IAV244" s="10"/>
      <c r="IAW244" s="19"/>
      <c r="IAX244" s="19"/>
      <c r="IBA244" s="16"/>
      <c r="IBB244" s="15"/>
      <c r="IBC244" s="15"/>
      <c r="IBD244" s="15"/>
      <c r="IBE244" s="16"/>
      <c r="IBF244" s="16"/>
      <c r="IBG244" s="16"/>
      <c r="IBH244" s="16"/>
      <c r="IBI244" s="16"/>
      <c r="IBJ244" s="15"/>
      <c r="IBK244" s="15"/>
      <c r="IBL244" s="10"/>
      <c r="IBM244" s="10"/>
      <c r="IBN244" s="19"/>
      <c r="IBO244" s="19"/>
      <c r="IBR244" s="16"/>
      <c r="IBS244" s="15"/>
      <c r="IBT244" s="15"/>
      <c r="IBU244" s="15"/>
      <c r="IBV244" s="16"/>
      <c r="IBW244" s="16"/>
      <c r="IBX244" s="16"/>
      <c r="IBY244" s="16"/>
      <c r="IBZ244" s="16"/>
      <c r="ICA244" s="15"/>
      <c r="ICB244" s="15"/>
      <c r="ICC244" s="10"/>
      <c r="ICD244" s="10"/>
      <c r="ICE244" s="19"/>
      <c r="ICF244" s="19"/>
      <c r="ICI244" s="16"/>
      <c r="ICJ244" s="15"/>
      <c r="ICK244" s="15"/>
      <c r="ICL244" s="15"/>
      <c r="ICM244" s="16"/>
      <c r="ICN244" s="16"/>
      <c r="ICO244" s="16"/>
      <c r="ICP244" s="16"/>
      <c r="ICQ244" s="16"/>
      <c r="ICR244" s="15"/>
      <c r="ICS244" s="15"/>
      <c r="ICT244" s="10"/>
      <c r="ICU244" s="10"/>
      <c r="ICV244" s="19"/>
      <c r="ICW244" s="19"/>
      <c r="ICZ244" s="16"/>
      <c r="IDA244" s="15"/>
      <c r="IDB244" s="15"/>
      <c r="IDC244" s="15"/>
      <c r="IDD244" s="16"/>
      <c r="IDE244" s="16"/>
      <c r="IDF244" s="16"/>
      <c r="IDG244" s="16"/>
      <c r="IDH244" s="16"/>
      <c r="IDI244" s="15"/>
      <c r="IDJ244" s="15"/>
      <c r="IDK244" s="10"/>
      <c r="IDL244" s="10"/>
      <c r="IDM244" s="19"/>
      <c r="IDN244" s="19"/>
      <c r="IDQ244" s="16"/>
      <c r="IDR244" s="15"/>
      <c r="IDS244" s="15"/>
      <c r="IDT244" s="15"/>
      <c r="IDU244" s="16"/>
      <c r="IDV244" s="16"/>
      <c r="IDW244" s="16"/>
      <c r="IDX244" s="16"/>
      <c r="IDY244" s="16"/>
      <c r="IDZ244" s="15"/>
      <c r="IEA244" s="15"/>
      <c r="IEB244" s="10"/>
      <c r="IEC244" s="10"/>
      <c r="IED244" s="19"/>
      <c r="IEE244" s="19"/>
      <c r="IEH244" s="16"/>
      <c r="IEI244" s="15"/>
      <c r="IEJ244" s="15"/>
      <c r="IEK244" s="15"/>
      <c r="IEL244" s="16"/>
      <c r="IEM244" s="16"/>
      <c r="IEN244" s="16"/>
      <c r="IEO244" s="16"/>
      <c r="IEP244" s="16"/>
      <c r="IEQ244" s="15"/>
      <c r="IER244" s="15"/>
      <c r="IES244" s="10"/>
      <c r="IET244" s="10"/>
      <c r="IEU244" s="19"/>
      <c r="IEV244" s="19"/>
      <c r="IEY244" s="16"/>
      <c r="IEZ244" s="15"/>
      <c r="IFA244" s="15"/>
      <c r="IFB244" s="15"/>
      <c r="IFC244" s="16"/>
      <c r="IFD244" s="16"/>
      <c r="IFE244" s="16"/>
      <c r="IFF244" s="16"/>
      <c r="IFG244" s="16"/>
      <c r="IFH244" s="15"/>
      <c r="IFI244" s="15"/>
      <c r="IFJ244" s="10"/>
      <c r="IFK244" s="10"/>
      <c r="IFL244" s="19"/>
      <c r="IFM244" s="19"/>
      <c r="IFP244" s="16"/>
      <c r="IFQ244" s="15"/>
      <c r="IFR244" s="15"/>
      <c r="IFS244" s="15"/>
      <c r="IFT244" s="16"/>
      <c r="IFU244" s="16"/>
      <c r="IFV244" s="16"/>
      <c r="IFW244" s="16"/>
      <c r="IFX244" s="16"/>
      <c r="IFY244" s="15"/>
      <c r="IFZ244" s="15"/>
      <c r="IGA244" s="10"/>
      <c r="IGB244" s="10"/>
      <c r="IGC244" s="19"/>
      <c r="IGD244" s="19"/>
      <c r="IGG244" s="16"/>
      <c r="IGH244" s="15"/>
      <c r="IGI244" s="15"/>
      <c r="IGJ244" s="15"/>
      <c r="IGK244" s="16"/>
      <c r="IGL244" s="16"/>
      <c r="IGM244" s="16"/>
      <c r="IGN244" s="16"/>
      <c r="IGO244" s="16"/>
      <c r="IGP244" s="15"/>
      <c r="IGQ244" s="15"/>
      <c r="IGR244" s="10"/>
      <c r="IGS244" s="10"/>
      <c r="IGT244" s="19"/>
      <c r="IGU244" s="19"/>
      <c r="IGX244" s="16"/>
      <c r="IGY244" s="15"/>
      <c r="IGZ244" s="15"/>
      <c r="IHA244" s="15"/>
      <c r="IHB244" s="16"/>
      <c r="IHC244" s="16"/>
      <c r="IHD244" s="16"/>
      <c r="IHE244" s="16"/>
      <c r="IHF244" s="16"/>
      <c r="IHG244" s="15"/>
      <c r="IHH244" s="15"/>
      <c r="IHI244" s="10"/>
      <c r="IHJ244" s="10"/>
      <c r="IHK244" s="19"/>
      <c r="IHL244" s="19"/>
      <c r="IHO244" s="16"/>
      <c r="IHP244" s="15"/>
      <c r="IHQ244" s="15"/>
      <c r="IHR244" s="15"/>
      <c r="IHS244" s="16"/>
      <c r="IHT244" s="16"/>
      <c r="IHU244" s="16"/>
      <c r="IHV244" s="16"/>
      <c r="IHW244" s="16"/>
      <c r="IHX244" s="15"/>
      <c r="IHY244" s="15"/>
      <c r="IHZ244" s="10"/>
      <c r="IIA244" s="10"/>
      <c r="IIB244" s="19"/>
      <c r="IIC244" s="19"/>
      <c r="IIF244" s="16"/>
      <c r="IIG244" s="15"/>
      <c r="IIH244" s="15"/>
      <c r="III244" s="15"/>
      <c r="IIJ244" s="16"/>
      <c r="IIK244" s="16"/>
      <c r="IIL244" s="16"/>
      <c r="IIM244" s="16"/>
      <c r="IIN244" s="16"/>
      <c r="IIO244" s="15"/>
      <c r="IIP244" s="15"/>
      <c r="IIQ244" s="10"/>
      <c r="IIR244" s="10"/>
      <c r="IIS244" s="19"/>
      <c r="IIT244" s="19"/>
      <c r="IIW244" s="16"/>
      <c r="IIX244" s="15"/>
      <c r="IIY244" s="15"/>
      <c r="IIZ244" s="15"/>
      <c r="IJA244" s="16"/>
      <c r="IJB244" s="16"/>
      <c r="IJC244" s="16"/>
      <c r="IJD244" s="16"/>
      <c r="IJE244" s="16"/>
      <c r="IJF244" s="15"/>
      <c r="IJG244" s="15"/>
      <c r="IJH244" s="10"/>
      <c r="IJI244" s="10"/>
      <c r="IJJ244" s="19"/>
      <c r="IJK244" s="19"/>
      <c r="IJN244" s="16"/>
      <c r="IJO244" s="15"/>
      <c r="IJP244" s="15"/>
      <c r="IJQ244" s="15"/>
      <c r="IJR244" s="16"/>
      <c r="IJS244" s="16"/>
      <c r="IJT244" s="16"/>
      <c r="IJU244" s="16"/>
      <c r="IJV244" s="16"/>
      <c r="IJW244" s="15"/>
      <c r="IJX244" s="15"/>
      <c r="IJY244" s="10"/>
      <c r="IJZ244" s="10"/>
      <c r="IKA244" s="19"/>
      <c r="IKB244" s="19"/>
      <c r="IKE244" s="16"/>
      <c r="IKF244" s="15"/>
      <c r="IKG244" s="15"/>
      <c r="IKH244" s="15"/>
      <c r="IKI244" s="16"/>
      <c r="IKJ244" s="16"/>
      <c r="IKK244" s="16"/>
      <c r="IKL244" s="16"/>
      <c r="IKM244" s="16"/>
      <c r="IKN244" s="15"/>
      <c r="IKO244" s="15"/>
      <c r="IKP244" s="10"/>
      <c r="IKQ244" s="10"/>
      <c r="IKR244" s="19"/>
      <c r="IKS244" s="19"/>
      <c r="IKV244" s="16"/>
      <c r="IKW244" s="15"/>
      <c r="IKX244" s="15"/>
      <c r="IKY244" s="15"/>
      <c r="IKZ244" s="16"/>
      <c r="ILA244" s="16"/>
      <c r="ILB244" s="16"/>
      <c r="ILC244" s="16"/>
      <c r="ILD244" s="16"/>
      <c r="ILE244" s="15"/>
      <c r="ILF244" s="15"/>
      <c r="ILG244" s="10"/>
      <c r="ILH244" s="10"/>
      <c r="ILI244" s="19"/>
      <c r="ILJ244" s="19"/>
      <c r="ILM244" s="16"/>
      <c r="ILN244" s="15"/>
      <c r="ILO244" s="15"/>
      <c r="ILP244" s="15"/>
      <c r="ILQ244" s="16"/>
      <c r="ILR244" s="16"/>
      <c r="ILS244" s="16"/>
      <c r="ILT244" s="16"/>
      <c r="ILU244" s="16"/>
      <c r="ILV244" s="15"/>
      <c r="ILW244" s="15"/>
      <c r="ILX244" s="10"/>
      <c r="ILY244" s="10"/>
      <c r="ILZ244" s="19"/>
      <c r="IMA244" s="19"/>
      <c r="IMD244" s="16"/>
      <c r="IME244" s="15"/>
      <c r="IMF244" s="15"/>
      <c r="IMG244" s="15"/>
      <c r="IMH244" s="16"/>
      <c r="IMI244" s="16"/>
      <c r="IMJ244" s="16"/>
      <c r="IMK244" s="16"/>
      <c r="IML244" s="16"/>
      <c r="IMM244" s="15"/>
      <c r="IMN244" s="15"/>
      <c r="IMO244" s="10"/>
      <c r="IMP244" s="10"/>
      <c r="IMQ244" s="19"/>
      <c r="IMR244" s="19"/>
      <c r="IMU244" s="16"/>
      <c r="IMV244" s="15"/>
      <c r="IMW244" s="15"/>
      <c r="IMX244" s="15"/>
      <c r="IMY244" s="16"/>
      <c r="IMZ244" s="16"/>
      <c r="INA244" s="16"/>
      <c r="INB244" s="16"/>
      <c r="INC244" s="16"/>
      <c r="IND244" s="15"/>
      <c r="INE244" s="15"/>
      <c r="INF244" s="10"/>
      <c r="ING244" s="10"/>
      <c r="INH244" s="19"/>
      <c r="INI244" s="19"/>
      <c r="INL244" s="16"/>
      <c r="INM244" s="15"/>
      <c r="INN244" s="15"/>
      <c r="INO244" s="15"/>
      <c r="INP244" s="16"/>
      <c r="INQ244" s="16"/>
      <c r="INR244" s="16"/>
      <c r="INS244" s="16"/>
      <c r="INT244" s="16"/>
      <c r="INU244" s="15"/>
      <c r="INV244" s="15"/>
      <c r="INW244" s="10"/>
      <c r="INX244" s="10"/>
      <c r="INY244" s="19"/>
      <c r="INZ244" s="19"/>
      <c r="IOC244" s="16"/>
      <c r="IOD244" s="15"/>
      <c r="IOE244" s="15"/>
      <c r="IOF244" s="15"/>
      <c r="IOG244" s="16"/>
      <c r="IOH244" s="16"/>
      <c r="IOI244" s="16"/>
      <c r="IOJ244" s="16"/>
      <c r="IOK244" s="16"/>
      <c r="IOL244" s="15"/>
      <c r="IOM244" s="15"/>
      <c r="ION244" s="10"/>
      <c r="IOO244" s="10"/>
      <c r="IOP244" s="19"/>
      <c r="IOQ244" s="19"/>
      <c r="IOT244" s="16"/>
      <c r="IOU244" s="15"/>
      <c r="IOV244" s="15"/>
      <c r="IOW244" s="15"/>
      <c r="IOX244" s="16"/>
      <c r="IOY244" s="16"/>
      <c r="IOZ244" s="16"/>
      <c r="IPA244" s="16"/>
      <c r="IPB244" s="16"/>
      <c r="IPC244" s="15"/>
      <c r="IPD244" s="15"/>
      <c r="IPE244" s="10"/>
      <c r="IPF244" s="10"/>
      <c r="IPG244" s="19"/>
      <c r="IPH244" s="19"/>
      <c r="IPK244" s="16"/>
      <c r="IPL244" s="15"/>
      <c r="IPM244" s="15"/>
      <c r="IPN244" s="15"/>
      <c r="IPO244" s="16"/>
      <c r="IPP244" s="16"/>
      <c r="IPQ244" s="16"/>
      <c r="IPR244" s="16"/>
      <c r="IPS244" s="16"/>
      <c r="IPT244" s="15"/>
      <c r="IPU244" s="15"/>
      <c r="IPV244" s="10"/>
      <c r="IPW244" s="10"/>
      <c r="IPX244" s="19"/>
      <c r="IPY244" s="19"/>
      <c r="IQB244" s="16"/>
      <c r="IQC244" s="15"/>
      <c r="IQD244" s="15"/>
      <c r="IQE244" s="15"/>
      <c r="IQF244" s="16"/>
      <c r="IQG244" s="16"/>
      <c r="IQH244" s="16"/>
      <c r="IQI244" s="16"/>
      <c r="IQJ244" s="16"/>
      <c r="IQK244" s="15"/>
      <c r="IQL244" s="15"/>
      <c r="IQM244" s="10"/>
      <c r="IQN244" s="10"/>
      <c r="IQO244" s="19"/>
      <c r="IQP244" s="19"/>
      <c r="IQS244" s="16"/>
      <c r="IQT244" s="15"/>
      <c r="IQU244" s="15"/>
      <c r="IQV244" s="15"/>
      <c r="IQW244" s="16"/>
      <c r="IQX244" s="16"/>
      <c r="IQY244" s="16"/>
      <c r="IQZ244" s="16"/>
      <c r="IRA244" s="16"/>
      <c r="IRB244" s="15"/>
      <c r="IRC244" s="15"/>
      <c r="IRD244" s="10"/>
      <c r="IRE244" s="10"/>
      <c r="IRF244" s="19"/>
      <c r="IRG244" s="19"/>
      <c r="IRJ244" s="16"/>
      <c r="IRK244" s="15"/>
      <c r="IRL244" s="15"/>
      <c r="IRM244" s="15"/>
      <c r="IRN244" s="16"/>
      <c r="IRO244" s="16"/>
      <c r="IRP244" s="16"/>
      <c r="IRQ244" s="16"/>
      <c r="IRR244" s="16"/>
      <c r="IRS244" s="15"/>
      <c r="IRT244" s="15"/>
      <c r="IRU244" s="10"/>
      <c r="IRV244" s="10"/>
      <c r="IRW244" s="19"/>
      <c r="IRX244" s="19"/>
      <c r="ISA244" s="16"/>
      <c r="ISB244" s="15"/>
      <c r="ISC244" s="15"/>
      <c r="ISD244" s="15"/>
      <c r="ISE244" s="16"/>
      <c r="ISF244" s="16"/>
      <c r="ISG244" s="16"/>
      <c r="ISH244" s="16"/>
      <c r="ISI244" s="16"/>
      <c r="ISJ244" s="15"/>
      <c r="ISK244" s="15"/>
      <c r="ISL244" s="10"/>
      <c r="ISM244" s="10"/>
      <c r="ISN244" s="19"/>
      <c r="ISO244" s="19"/>
      <c r="ISR244" s="16"/>
      <c r="ISS244" s="15"/>
      <c r="IST244" s="15"/>
      <c r="ISU244" s="15"/>
      <c r="ISV244" s="16"/>
      <c r="ISW244" s="16"/>
      <c r="ISX244" s="16"/>
      <c r="ISY244" s="16"/>
      <c r="ISZ244" s="16"/>
      <c r="ITA244" s="15"/>
      <c r="ITB244" s="15"/>
      <c r="ITC244" s="10"/>
      <c r="ITD244" s="10"/>
      <c r="ITE244" s="19"/>
      <c r="ITF244" s="19"/>
      <c r="ITI244" s="16"/>
      <c r="ITJ244" s="15"/>
      <c r="ITK244" s="15"/>
      <c r="ITL244" s="15"/>
      <c r="ITM244" s="16"/>
      <c r="ITN244" s="16"/>
      <c r="ITO244" s="16"/>
      <c r="ITP244" s="16"/>
      <c r="ITQ244" s="16"/>
      <c r="ITR244" s="15"/>
      <c r="ITS244" s="15"/>
      <c r="ITT244" s="10"/>
      <c r="ITU244" s="10"/>
      <c r="ITV244" s="19"/>
      <c r="ITW244" s="19"/>
      <c r="ITZ244" s="16"/>
      <c r="IUA244" s="15"/>
      <c r="IUB244" s="15"/>
      <c r="IUC244" s="15"/>
      <c r="IUD244" s="16"/>
      <c r="IUE244" s="16"/>
      <c r="IUF244" s="16"/>
      <c r="IUG244" s="16"/>
      <c r="IUH244" s="16"/>
      <c r="IUI244" s="15"/>
      <c r="IUJ244" s="15"/>
      <c r="IUK244" s="10"/>
      <c r="IUL244" s="10"/>
      <c r="IUM244" s="19"/>
      <c r="IUN244" s="19"/>
      <c r="IUQ244" s="16"/>
      <c r="IUR244" s="15"/>
      <c r="IUS244" s="15"/>
      <c r="IUT244" s="15"/>
      <c r="IUU244" s="16"/>
      <c r="IUV244" s="16"/>
      <c r="IUW244" s="16"/>
      <c r="IUX244" s="16"/>
      <c r="IUY244" s="16"/>
      <c r="IUZ244" s="15"/>
      <c r="IVA244" s="15"/>
      <c r="IVB244" s="10"/>
      <c r="IVC244" s="10"/>
      <c r="IVD244" s="19"/>
      <c r="IVE244" s="19"/>
      <c r="IVH244" s="16"/>
      <c r="IVI244" s="15"/>
      <c r="IVJ244" s="15"/>
      <c r="IVK244" s="15"/>
      <c r="IVL244" s="16"/>
      <c r="IVM244" s="16"/>
      <c r="IVN244" s="16"/>
      <c r="IVO244" s="16"/>
      <c r="IVP244" s="16"/>
      <c r="IVQ244" s="15"/>
      <c r="IVR244" s="15"/>
      <c r="IVS244" s="10"/>
      <c r="IVT244" s="10"/>
      <c r="IVU244" s="19"/>
      <c r="IVV244" s="19"/>
      <c r="IVY244" s="16"/>
      <c r="IVZ244" s="15"/>
      <c r="IWA244" s="15"/>
      <c r="IWB244" s="15"/>
      <c r="IWC244" s="16"/>
      <c r="IWD244" s="16"/>
      <c r="IWE244" s="16"/>
      <c r="IWF244" s="16"/>
      <c r="IWG244" s="16"/>
      <c r="IWH244" s="15"/>
      <c r="IWI244" s="15"/>
      <c r="IWJ244" s="10"/>
      <c r="IWK244" s="10"/>
      <c r="IWL244" s="19"/>
      <c r="IWM244" s="19"/>
      <c r="IWP244" s="16"/>
      <c r="IWQ244" s="15"/>
      <c r="IWR244" s="15"/>
      <c r="IWS244" s="15"/>
      <c r="IWT244" s="16"/>
      <c r="IWU244" s="16"/>
      <c r="IWV244" s="16"/>
      <c r="IWW244" s="16"/>
      <c r="IWX244" s="16"/>
      <c r="IWY244" s="15"/>
      <c r="IWZ244" s="15"/>
      <c r="IXA244" s="10"/>
      <c r="IXB244" s="10"/>
      <c r="IXC244" s="19"/>
      <c r="IXD244" s="19"/>
      <c r="IXG244" s="16"/>
      <c r="IXH244" s="15"/>
      <c r="IXI244" s="15"/>
      <c r="IXJ244" s="15"/>
      <c r="IXK244" s="16"/>
      <c r="IXL244" s="16"/>
      <c r="IXM244" s="16"/>
      <c r="IXN244" s="16"/>
      <c r="IXO244" s="16"/>
      <c r="IXP244" s="15"/>
      <c r="IXQ244" s="15"/>
      <c r="IXR244" s="10"/>
      <c r="IXS244" s="10"/>
      <c r="IXT244" s="19"/>
      <c r="IXU244" s="19"/>
      <c r="IXX244" s="16"/>
      <c r="IXY244" s="15"/>
      <c r="IXZ244" s="15"/>
      <c r="IYA244" s="15"/>
      <c r="IYB244" s="16"/>
      <c r="IYC244" s="16"/>
      <c r="IYD244" s="16"/>
      <c r="IYE244" s="16"/>
      <c r="IYF244" s="16"/>
      <c r="IYG244" s="15"/>
      <c r="IYH244" s="15"/>
      <c r="IYI244" s="10"/>
      <c r="IYJ244" s="10"/>
      <c r="IYK244" s="19"/>
      <c r="IYL244" s="19"/>
      <c r="IYO244" s="16"/>
      <c r="IYP244" s="15"/>
      <c r="IYQ244" s="15"/>
      <c r="IYR244" s="15"/>
      <c r="IYS244" s="16"/>
      <c r="IYT244" s="16"/>
      <c r="IYU244" s="16"/>
      <c r="IYV244" s="16"/>
      <c r="IYW244" s="16"/>
      <c r="IYX244" s="15"/>
      <c r="IYY244" s="15"/>
      <c r="IYZ244" s="10"/>
      <c r="IZA244" s="10"/>
      <c r="IZB244" s="19"/>
      <c r="IZC244" s="19"/>
      <c r="IZF244" s="16"/>
      <c r="IZG244" s="15"/>
      <c r="IZH244" s="15"/>
      <c r="IZI244" s="15"/>
      <c r="IZJ244" s="16"/>
      <c r="IZK244" s="16"/>
      <c r="IZL244" s="16"/>
      <c r="IZM244" s="16"/>
      <c r="IZN244" s="16"/>
      <c r="IZO244" s="15"/>
      <c r="IZP244" s="15"/>
      <c r="IZQ244" s="10"/>
      <c r="IZR244" s="10"/>
      <c r="IZS244" s="19"/>
      <c r="IZT244" s="19"/>
      <c r="IZW244" s="16"/>
      <c r="IZX244" s="15"/>
      <c r="IZY244" s="15"/>
      <c r="IZZ244" s="15"/>
      <c r="JAA244" s="16"/>
      <c r="JAB244" s="16"/>
      <c r="JAC244" s="16"/>
      <c r="JAD244" s="16"/>
      <c r="JAE244" s="16"/>
      <c r="JAF244" s="15"/>
      <c r="JAG244" s="15"/>
      <c r="JAH244" s="10"/>
      <c r="JAI244" s="10"/>
      <c r="JAJ244" s="19"/>
      <c r="JAK244" s="19"/>
      <c r="JAN244" s="16"/>
      <c r="JAO244" s="15"/>
      <c r="JAP244" s="15"/>
      <c r="JAQ244" s="15"/>
      <c r="JAR244" s="16"/>
      <c r="JAS244" s="16"/>
      <c r="JAT244" s="16"/>
      <c r="JAU244" s="16"/>
      <c r="JAV244" s="16"/>
      <c r="JAW244" s="15"/>
      <c r="JAX244" s="15"/>
      <c r="JAY244" s="10"/>
      <c r="JAZ244" s="10"/>
      <c r="JBA244" s="19"/>
      <c r="JBB244" s="19"/>
      <c r="JBE244" s="16"/>
      <c r="JBF244" s="15"/>
      <c r="JBG244" s="15"/>
      <c r="JBH244" s="15"/>
      <c r="JBI244" s="16"/>
      <c r="JBJ244" s="16"/>
      <c r="JBK244" s="16"/>
      <c r="JBL244" s="16"/>
      <c r="JBM244" s="16"/>
      <c r="JBN244" s="15"/>
      <c r="JBO244" s="15"/>
      <c r="JBP244" s="10"/>
      <c r="JBQ244" s="10"/>
      <c r="JBR244" s="19"/>
      <c r="JBS244" s="19"/>
      <c r="JBV244" s="16"/>
      <c r="JBW244" s="15"/>
      <c r="JBX244" s="15"/>
      <c r="JBY244" s="15"/>
      <c r="JBZ244" s="16"/>
      <c r="JCA244" s="16"/>
      <c r="JCB244" s="16"/>
      <c r="JCC244" s="16"/>
      <c r="JCD244" s="16"/>
      <c r="JCE244" s="15"/>
      <c r="JCF244" s="15"/>
      <c r="JCG244" s="10"/>
      <c r="JCH244" s="10"/>
      <c r="JCI244" s="19"/>
      <c r="JCJ244" s="19"/>
      <c r="JCM244" s="16"/>
      <c r="JCN244" s="15"/>
      <c r="JCO244" s="15"/>
      <c r="JCP244" s="15"/>
      <c r="JCQ244" s="16"/>
      <c r="JCR244" s="16"/>
      <c r="JCS244" s="16"/>
      <c r="JCT244" s="16"/>
      <c r="JCU244" s="16"/>
      <c r="JCV244" s="15"/>
      <c r="JCW244" s="15"/>
      <c r="JCX244" s="10"/>
      <c r="JCY244" s="10"/>
      <c r="JCZ244" s="19"/>
      <c r="JDA244" s="19"/>
      <c r="JDD244" s="16"/>
      <c r="JDE244" s="15"/>
      <c r="JDF244" s="15"/>
      <c r="JDG244" s="15"/>
      <c r="JDH244" s="16"/>
      <c r="JDI244" s="16"/>
      <c r="JDJ244" s="16"/>
      <c r="JDK244" s="16"/>
      <c r="JDL244" s="16"/>
      <c r="JDM244" s="15"/>
      <c r="JDN244" s="15"/>
      <c r="JDO244" s="10"/>
      <c r="JDP244" s="10"/>
      <c r="JDQ244" s="19"/>
      <c r="JDR244" s="19"/>
      <c r="JDU244" s="16"/>
      <c r="JDV244" s="15"/>
      <c r="JDW244" s="15"/>
      <c r="JDX244" s="15"/>
      <c r="JDY244" s="16"/>
      <c r="JDZ244" s="16"/>
      <c r="JEA244" s="16"/>
      <c r="JEB244" s="16"/>
      <c r="JEC244" s="16"/>
      <c r="JED244" s="15"/>
      <c r="JEE244" s="15"/>
      <c r="JEF244" s="10"/>
      <c r="JEG244" s="10"/>
      <c r="JEH244" s="19"/>
      <c r="JEI244" s="19"/>
      <c r="JEL244" s="16"/>
      <c r="JEM244" s="15"/>
      <c r="JEN244" s="15"/>
      <c r="JEO244" s="15"/>
      <c r="JEP244" s="16"/>
      <c r="JEQ244" s="16"/>
      <c r="JER244" s="16"/>
      <c r="JES244" s="16"/>
      <c r="JET244" s="16"/>
      <c r="JEU244" s="15"/>
      <c r="JEV244" s="15"/>
      <c r="JEW244" s="10"/>
      <c r="JEX244" s="10"/>
      <c r="JEY244" s="19"/>
      <c r="JEZ244" s="19"/>
      <c r="JFC244" s="16"/>
      <c r="JFD244" s="15"/>
      <c r="JFE244" s="15"/>
      <c r="JFF244" s="15"/>
      <c r="JFG244" s="16"/>
      <c r="JFH244" s="16"/>
      <c r="JFI244" s="16"/>
      <c r="JFJ244" s="16"/>
      <c r="JFK244" s="16"/>
      <c r="JFL244" s="15"/>
      <c r="JFM244" s="15"/>
      <c r="JFN244" s="10"/>
      <c r="JFO244" s="10"/>
      <c r="JFP244" s="19"/>
      <c r="JFQ244" s="19"/>
      <c r="JFT244" s="16"/>
      <c r="JFU244" s="15"/>
      <c r="JFV244" s="15"/>
      <c r="JFW244" s="15"/>
      <c r="JFX244" s="16"/>
      <c r="JFY244" s="16"/>
      <c r="JFZ244" s="16"/>
      <c r="JGA244" s="16"/>
      <c r="JGB244" s="16"/>
      <c r="JGC244" s="15"/>
      <c r="JGD244" s="15"/>
      <c r="JGE244" s="10"/>
      <c r="JGF244" s="10"/>
      <c r="JGG244" s="19"/>
      <c r="JGH244" s="19"/>
      <c r="JGK244" s="16"/>
      <c r="JGL244" s="15"/>
      <c r="JGM244" s="15"/>
      <c r="JGN244" s="15"/>
      <c r="JGO244" s="16"/>
      <c r="JGP244" s="16"/>
      <c r="JGQ244" s="16"/>
      <c r="JGR244" s="16"/>
      <c r="JGS244" s="16"/>
      <c r="JGT244" s="15"/>
      <c r="JGU244" s="15"/>
      <c r="JGV244" s="10"/>
      <c r="JGW244" s="10"/>
      <c r="JGX244" s="19"/>
      <c r="JGY244" s="19"/>
      <c r="JHB244" s="16"/>
      <c r="JHC244" s="15"/>
      <c r="JHD244" s="15"/>
      <c r="JHE244" s="15"/>
      <c r="JHF244" s="16"/>
      <c r="JHG244" s="16"/>
      <c r="JHH244" s="16"/>
      <c r="JHI244" s="16"/>
      <c r="JHJ244" s="16"/>
      <c r="JHK244" s="15"/>
      <c r="JHL244" s="15"/>
      <c r="JHM244" s="10"/>
      <c r="JHN244" s="10"/>
      <c r="JHO244" s="19"/>
      <c r="JHP244" s="19"/>
      <c r="JHS244" s="16"/>
      <c r="JHT244" s="15"/>
      <c r="JHU244" s="15"/>
      <c r="JHV244" s="15"/>
      <c r="JHW244" s="16"/>
      <c r="JHX244" s="16"/>
      <c r="JHY244" s="16"/>
      <c r="JHZ244" s="16"/>
      <c r="JIA244" s="16"/>
      <c r="JIB244" s="15"/>
      <c r="JIC244" s="15"/>
      <c r="JID244" s="10"/>
      <c r="JIE244" s="10"/>
      <c r="JIF244" s="19"/>
      <c r="JIG244" s="19"/>
      <c r="JIJ244" s="16"/>
      <c r="JIK244" s="15"/>
      <c r="JIL244" s="15"/>
      <c r="JIM244" s="15"/>
      <c r="JIN244" s="16"/>
      <c r="JIO244" s="16"/>
      <c r="JIP244" s="16"/>
      <c r="JIQ244" s="16"/>
      <c r="JIR244" s="16"/>
      <c r="JIS244" s="15"/>
      <c r="JIT244" s="15"/>
      <c r="JIU244" s="10"/>
      <c r="JIV244" s="10"/>
      <c r="JIW244" s="19"/>
      <c r="JIX244" s="19"/>
      <c r="JJA244" s="16"/>
      <c r="JJB244" s="15"/>
      <c r="JJC244" s="15"/>
      <c r="JJD244" s="15"/>
      <c r="JJE244" s="16"/>
      <c r="JJF244" s="16"/>
      <c r="JJG244" s="16"/>
      <c r="JJH244" s="16"/>
      <c r="JJI244" s="16"/>
      <c r="JJJ244" s="15"/>
      <c r="JJK244" s="15"/>
      <c r="JJL244" s="10"/>
      <c r="JJM244" s="10"/>
      <c r="JJN244" s="19"/>
      <c r="JJO244" s="19"/>
      <c r="JJR244" s="16"/>
      <c r="JJS244" s="15"/>
      <c r="JJT244" s="15"/>
      <c r="JJU244" s="15"/>
      <c r="JJV244" s="16"/>
      <c r="JJW244" s="16"/>
      <c r="JJX244" s="16"/>
      <c r="JJY244" s="16"/>
      <c r="JJZ244" s="16"/>
      <c r="JKA244" s="15"/>
      <c r="JKB244" s="15"/>
      <c r="JKC244" s="10"/>
      <c r="JKD244" s="10"/>
      <c r="JKE244" s="19"/>
      <c r="JKF244" s="19"/>
      <c r="JKI244" s="16"/>
      <c r="JKJ244" s="15"/>
      <c r="JKK244" s="15"/>
      <c r="JKL244" s="15"/>
      <c r="JKM244" s="16"/>
      <c r="JKN244" s="16"/>
      <c r="JKO244" s="16"/>
      <c r="JKP244" s="16"/>
      <c r="JKQ244" s="16"/>
      <c r="JKR244" s="15"/>
      <c r="JKS244" s="15"/>
      <c r="JKT244" s="10"/>
      <c r="JKU244" s="10"/>
      <c r="JKV244" s="19"/>
      <c r="JKW244" s="19"/>
      <c r="JKZ244" s="16"/>
      <c r="JLA244" s="15"/>
      <c r="JLB244" s="15"/>
      <c r="JLC244" s="15"/>
      <c r="JLD244" s="16"/>
      <c r="JLE244" s="16"/>
      <c r="JLF244" s="16"/>
      <c r="JLG244" s="16"/>
      <c r="JLH244" s="16"/>
      <c r="JLI244" s="15"/>
      <c r="JLJ244" s="15"/>
      <c r="JLK244" s="10"/>
      <c r="JLL244" s="10"/>
      <c r="JLM244" s="19"/>
      <c r="JLN244" s="19"/>
      <c r="JLQ244" s="16"/>
      <c r="JLR244" s="15"/>
      <c r="JLS244" s="15"/>
      <c r="JLT244" s="15"/>
      <c r="JLU244" s="16"/>
      <c r="JLV244" s="16"/>
      <c r="JLW244" s="16"/>
      <c r="JLX244" s="16"/>
      <c r="JLY244" s="16"/>
      <c r="JLZ244" s="15"/>
      <c r="JMA244" s="15"/>
      <c r="JMB244" s="10"/>
      <c r="JMC244" s="10"/>
      <c r="JMD244" s="19"/>
      <c r="JME244" s="19"/>
      <c r="JMH244" s="16"/>
      <c r="JMI244" s="15"/>
      <c r="JMJ244" s="15"/>
      <c r="JMK244" s="15"/>
      <c r="JML244" s="16"/>
      <c r="JMM244" s="16"/>
      <c r="JMN244" s="16"/>
      <c r="JMO244" s="16"/>
      <c r="JMP244" s="16"/>
      <c r="JMQ244" s="15"/>
      <c r="JMR244" s="15"/>
      <c r="JMS244" s="10"/>
      <c r="JMT244" s="10"/>
      <c r="JMU244" s="19"/>
      <c r="JMV244" s="19"/>
      <c r="JMY244" s="16"/>
      <c r="JMZ244" s="15"/>
      <c r="JNA244" s="15"/>
      <c r="JNB244" s="15"/>
      <c r="JNC244" s="16"/>
      <c r="JND244" s="16"/>
      <c r="JNE244" s="16"/>
      <c r="JNF244" s="16"/>
      <c r="JNG244" s="16"/>
      <c r="JNH244" s="15"/>
      <c r="JNI244" s="15"/>
      <c r="JNJ244" s="10"/>
      <c r="JNK244" s="10"/>
      <c r="JNL244" s="19"/>
      <c r="JNM244" s="19"/>
      <c r="JNP244" s="16"/>
      <c r="JNQ244" s="15"/>
      <c r="JNR244" s="15"/>
      <c r="JNS244" s="15"/>
      <c r="JNT244" s="16"/>
      <c r="JNU244" s="16"/>
      <c r="JNV244" s="16"/>
      <c r="JNW244" s="16"/>
      <c r="JNX244" s="16"/>
      <c r="JNY244" s="15"/>
      <c r="JNZ244" s="15"/>
      <c r="JOA244" s="10"/>
      <c r="JOB244" s="10"/>
      <c r="JOC244" s="19"/>
      <c r="JOD244" s="19"/>
      <c r="JOG244" s="16"/>
      <c r="JOH244" s="15"/>
      <c r="JOI244" s="15"/>
      <c r="JOJ244" s="15"/>
      <c r="JOK244" s="16"/>
      <c r="JOL244" s="16"/>
      <c r="JOM244" s="16"/>
      <c r="JON244" s="16"/>
      <c r="JOO244" s="16"/>
      <c r="JOP244" s="15"/>
      <c r="JOQ244" s="15"/>
      <c r="JOR244" s="10"/>
      <c r="JOS244" s="10"/>
      <c r="JOT244" s="19"/>
      <c r="JOU244" s="19"/>
      <c r="JOX244" s="16"/>
      <c r="JOY244" s="15"/>
      <c r="JOZ244" s="15"/>
      <c r="JPA244" s="15"/>
      <c r="JPB244" s="16"/>
      <c r="JPC244" s="16"/>
      <c r="JPD244" s="16"/>
      <c r="JPE244" s="16"/>
      <c r="JPF244" s="16"/>
      <c r="JPG244" s="15"/>
      <c r="JPH244" s="15"/>
      <c r="JPI244" s="10"/>
      <c r="JPJ244" s="10"/>
      <c r="JPK244" s="19"/>
      <c r="JPL244" s="19"/>
      <c r="JPO244" s="16"/>
      <c r="JPP244" s="15"/>
      <c r="JPQ244" s="15"/>
      <c r="JPR244" s="15"/>
      <c r="JPS244" s="16"/>
      <c r="JPT244" s="16"/>
      <c r="JPU244" s="16"/>
      <c r="JPV244" s="16"/>
      <c r="JPW244" s="16"/>
      <c r="JPX244" s="15"/>
      <c r="JPY244" s="15"/>
      <c r="JPZ244" s="10"/>
      <c r="JQA244" s="10"/>
      <c r="JQB244" s="19"/>
      <c r="JQC244" s="19"/>
      <c r="JQF244" s="16"/>
      <c r="JQG244" s="15"/>
      <c r="JQH244" s="15"/>
      <c r="JQI244" s="15"/>
      <c r="JQJ244" s="16"/>
      <c r="JQK244" s="16"/>
      <c r="JQL244" s="16"/>
      <c r="JQM244" s="16"/>
      <c r="JQN244" s="16"/>
      <c r="JQO244" s="15"/>
      <c r="JQP244" s="15"/>
      <c r="JQQ244" s="10"/>
      <c r="JQR244" s="10"/>
      <c r="JQS244" s="19"/>
      <c r="JQT244" s="19"/>
      <c r="JQW244" s="16"/>
      <c r="JQX244" s="15"/>
      <c r="JQY244" s="15"/>
      <c r="JQZ244" s="15"/>
      <c r="JRA244" s="16"/>
      <c r="JRB244" s="16"/>
      <c r="JRC244" s="16"/>
      <c r="JRD244" s="16"/>
      <c r="JRE244" s="16"/>
      <c r="JRF244" s="15"/>
      <c r="JRG244" s="15"/>
      <c r="JRH244" s="10"/>
      <c r="JRI244" s="10"/>
      <c r="JRJ244" s="19"/>
      <c r="JRK244" s="19"/>
      <c r="JRN244" s="16"/>
      <c r="JRO244" s="15"/>
      <c r="JRP244" s="15"/>
      <c r="JRQ244" s="15"/>
      <c r="JRR244" s="16"/>
      <c r="JRS244" s="16"/>
      <c r="JRT244" s="16"/>
      <c r="JRU244" s="16"/>
      <c r="JRV244" s="16"/>
      <c r="JRW244" s="15"/>
      <c r="JRX244" s="15"/>
      <c r="JRY244" s="10"/>
      <c r="JRZ244" s="10"/>
      <c r="JSA244" s="19"/>
      <c r="JSB244" s="19"/>
      <c r="JSE244" s="16"/>
      <c r="JSF244" s="15"/>
      <c r="JSG244" s="15"/>
      <c r="JSH244" s="15"/>
      <c r="JSI244" s="16"/>
      <c r="JSJ244" s="16"/>
      <c r="JSK244" s="16"/>
      <c r="JSL244" s="16"/>
      <c r="JSM244" s="16"/>
      <c r="JSN244" s="15"/>
      <c r="JSO244" s="15"/>
      <c r="JSP244" s="10"/>
      <c r="JSQ244" s="10"/>
      <c r="JSR244" s="19"/>
      <c r="JSS244" s="19"/>
      <c r="JSV244" s="16"/>
      <c r="JSW244" s="15"/>
      <c r="JSX244" s="15"/>
      <c r="JSY244" s="15"/>
      <c r="JSZ244" s="16"/>
      <c r="JTA244" s="16"/>
      <c r="JTB244" s="16"/>
      <c r="JTC244" s="16"/>
      <c r="JTD244" s="16"/>
      <c r="JTE244" s="15"/>
      <c r="JTF244" s="15"/>
      <c r="JTG244" s="10"/>
      <c r="JTH244" s="10"/>
      <c r="JTI244" s="19"/>
      <c r="JTJ244" s="19"/>
      <c r="JTM244" s="16"/>
      <c r="JTN244" s="15"/>
      <c r="JTO244" s="15"/>
      <c r="JTP244" s="15"/>
      <c r="JTQ244" s="16"/>
      <c r="JTR244" s="16"/>
      <c r="JTS244" s="16"/>
      <c r="JTT244" s="16"/>
      <c r="JTU244" s="16"/>
      <c r="JTV244" s="15"/>
      <c r="JTW244" s="15"/>
      <c r="JTX244" s="10"/>
      <c r="JTY244" s="10"/>
      <c r="JTZ244" s="19"/>
      <c r="JUA244" s="19"/>
      <c r="JUD244" s="16"/>
      <c r="JUE244" s="15"/>
      <c r="JUF244" s="15"/>
      <c r="JUG244" s="15"/>
      <c r="JUH244" s="16"/>
      <c r="JUI244" s="16"/>
      <c r="JUJ244" s="16"/>
      <c r="JUK244" s="16"/>
      <c r="JUL244" s="16"/>
      <c r="JUM244" s="15"/>
      <c r="JUN244" s="15"/>
      <c r="JUO244" s="10"/>
      <c r="JUP244" s="10"/>
      <c r="JUQ244" s="19"/>
      <c r="JUR244" s="19"/>
      <c r="JUU244" s="16"/>
      <c r="JUV244" s="15"/>
      <c r="JUW244" s="15"/>
      <c r="JUX244" s="15"/>
      <c r="JUY244" s="16"/>
      <c r="JUZ244" s="16"/>
      <c r="JVA244" s="16"/>
      <c r="JVB244" s="16"/>
      <c r="JVC244" s="16"/>
      <c r="JVD244" s="15"/>
      <c r="JVE244" s="15"/>
      <c r="JVF244" s="10"/>
      <c r="JVG244" s="10"/>
      <c r="JVH244" s="19"/>
      <c r="JVI244" s="19"/>
      <c r="JVL244" s="16"/>
      <c r="JVM244" s="15"/>
      <c r="JVN244" s="15"/>
      <c r="JVO244" s="15"/>
      <c r="JVP244" s="16"/>
      <c r="JVQ244" s="16"/>
      <c r="JVR244" s="16"/>
      <c r="JVS244" s="16"/>
      <c r="JVT244" s="16"/>
      <c r="JVU244" s="15"/>
      <c r="JVV244" s="15"/>
      <c r="JVW244" s="10"/>
      <c r="JVX244" s="10"/>
      <c r="JVY244" s="19"/>
      <c r="JVZ244" s="19"/>
      <c r="JWC244" s="16"/>
      <c r="JWD244" s="15"/>
      <c r="JWE244" s="15"/>
      <c r="JWF244" s="15"/>
      <c r="JWG244" s="16"/>
      <c r="JWH244" s="16"/>
      <c r="JWI244" s="16"/>
      <c r="JWJ244" s="16"/>
      <c r="JWK244" s="16"/>
      <c r="JWL244" s="15"/>
      <c r="JWM244" s="15"/>
      <c r="JWN244" s="10"/>
      <c r="JWO244" s="10"/>
      <c r="JWP244" s="19"/>
      <c r="JWQ244" s="19"/>
      <c r="JWT244" s="16"/>
      <c r="JWU244" s="15"/>
      <c r="JWV244" s="15"/>
      <c r="JWW244" s="15"/>
      <c r="JWX244" s="16"/>
      <c r="JWY244" s="16"/>
      <c r="JWZ244" s="16"/>
      <c r="JXA244" s="16"/>
      <c r="JXB244" s="16"/>
      <c r="JXC244" s="15"/>
      <c r="JXD244" s="15"/>
      <c r="JXE244" s="10"/>
      <c r="JXF244" s="10"/>
      <c r="JXG244" s="19"/>
      <c r="JXH244" s="19"/>
      <c r="JXK244" s="16"/>
      <c r="JXL244" s="15"/>
      <c r="JXM244" s="15"/>
      <c r="JXN244" s="15"/>
      <c r="JXO244" s="16"/>
      <c r="JXP244" s="16"/>
      <c r="JXQ244" s="16"/>
      <c r="JXR244" s="16"/>
      <c r="JXS244" s="16"/>
      <c r="JXT244" s="15"/>
      <c r="JXU244" s="15"/>
      <c r="JXV244" s="10"/>
      <c r="JXW244" s="10"/>
      <c r="JXX244" s="19"/>
      <c r="JXY244" s="19"/>
      <c r="JYB244" s="16"/>
      <c r="JYC244" s="15"/>
      <c r="JYD244" s="15"/>
      <c r="JYE244" s="15"/>
      <c r="JYF244" s="16"/>
      <c r="JYG244" s="16"/>
      <c r="JYH244" s="16"/>
      <c r="JYI244" s="16"/>
      <c r="JYJ244" s="16"/>
      <c r="JYK244" s="15"/>
      <c r="JYL244" s="15"/>
      <c r="JYM244" s="10"/>
      <c r="JYN244" s="10"/>
      <c r="JYO244" s="19"/>
      <c r="JYP244" s="19"/>
      <c r="JYS244" s="16"/>
      <c r="JYT244" s="15"/>
      <c r="JYU244" s="15"/>
      <c r="JYV244" s="15"/>
      <c r="JYW244" s="16"/>
      <c r="JYX244" s="16"/>
      <c r="JYY244" s="16"/>
      <c r="JYZ244" s="16"/>
      <c r="JZA244" s="16"/>
      <c r="JZB244" s="15"/>
      <c r="JZC244" s="15"/>
      <c r="JZD244" s="10"/>
      <c r="JZE244" s="10"/>
      <c r="JZF244" s="19"/>
      <c r="JZG244" s="19"/>
      <c r="JZJ244" s="16"/>
      <c r="JZK244" s="15"/>
      <c r="JZL244" s="15"/>
      <c r="JZM244" s="15"/>
      <c r="JZN244" s="16"/>
      <c r="JZO244" s="16"/>
      <c r="JZP244" s="16"/>
      <c r="JZQ244" s="16"/>
      <c r="JZR244" s="16"/>
      <c r="JZS244" s="15"/>
      <c r="JZT244" s="15"/>
      <c r="JZU244" s="10"/>
      <c r="JZV244" s="10"/>
      <c r="JZW244" s="19"/>
      <c r="JZX244" s="19"/>
      <c r="KAA244" s="16"/>
      <c r="KAB244" s="15"/>
      <c r="KAC244" s="15"/>
      <c r="KAD244" s="15"/>
      <c r="KAE244" s="16"/>
      <c r="KAF244" s="16"/>
      <c r="KAG244" s="16"/>
      <c r="KAH244" s="16"/>
      <c r="KAI244" s="16"/>
      <c r="KAJ244" s="15"/>
      <c r="KAK244" s="15"/>
      <c r="KAL244" s="10"/>
      <c r="KAM244" s="10"/>
      <c r="KAN244" s="19"/>
      <c r="KAO244" s="19"/>
      <c r="KAR244" s="16"/>
      <c r="KAS244" s="15"/>
      <c r="KAT244" s="15"/>
      <c r="KAU244" s="15"/>
      <c r="KAV244" s="16"/>
      <c r="KAW244" s="16"/>
      <c r="KAX244" s="16"/>
      <c r="KAY244" s="16"/>
      <c r="KAZ244" s="16"/>
      <c r="KBA244" s="15"/>
      <c r="KBB244" s="15"/>
      <c r="KBC244" s="10"/>
      <c r="KBD244" s="10"/>
      <c r="KBE244" s="19"/>
      <c r="KBF244" s="19"/>
      <c r="KBI244" s="16"/>
      <c r="KBJ244" s="15"/>
      <c r="KBK244" s="15"/>
      <c r="KBL244" s="15"/>
      <c r="KBM244" s="16"/>
      <c r="KBN244" s="16"/>
      <c r="KBO244" s="16"/>
      <c r="KBP244" s="16"/>
      <c r="KBQ244" s="16"/>
      <c r="KBR244" s="15"/>
      <c r="KBS244" s="15"/>
      <c r="KBT244" s="10"/>
      <c r="KBU244" s="10"/>
      <c r="KBV244" s="19"/>
      <c r="KBW244" s="19"/>
      <c r="KBZ244" s="16"/>
      <c r="KCA244" s="15"/>
      <c r="KCB244" s="15"/>
      <c r="KCC244" s="15"/>
      <c r="KCD244" s="16"/>
      <c r="KCE244" s="16"/>
      <c r="KCF244" s="16"/>
      <c r="KCG244" s="16"/>
      <c r="KCH244" s="16"/>
      <c r="KCI244" s="15"/>
      <c r="KCJ244" s="15"/>
      <c r="KCK244" s="10"/>
      <c r="KCL244" s="10"/>
      <c r="KCM244" s="19"/>
      <c r="KCN244" s="19"/>
      <c r="KCQ244" s="16"/>
      <c r="KCR244" s="15"/>
      <c r="KCS244" s="15"/>
      <c r="KCT244" s="15"/>
      <c r="KCU244" s="16"/>
      <c r="KCV244" s="16"/>
      <c r="KCW244" s="16"/>
      <c r="KCX244" s="16"/>
      <c r="KCY244" s="16"/>
      <c r="KCZ244" s="15"/>
      <c r="KDA244" s="15"/>
      <c r="KDB244" s="10"/>
      <c r="KDC244" s="10"/>
      <c r="KDD244" s="19"/>
      <c r="KDE244" s="19"/>
      <c r="KDH244" s="16"/>
      <c r="KDI244" s="15"/>
      <c r="KDJ244" s="15"/>
      <c r="KDK244" s="15"/>
      <c r="KDL244" s="16"/>
      <c r="KDM244" s="16"/>
      <c r="KDN244" s="16"/>
      <c r="KDO244" s="16"/>
      <c r="KDP244" s="16"/>
      <c r="KDQ244" s="15"/>
      <c r="KDR244" s="15"/>
      <c r="KDS244" s="10"/>
      <c r="KDT244" s="10"/>
      <c r="KDU244" s="19"/>
      <c r="KDV244" s="19"/>
      <c r="KDY244" s="16"/>
      <c r="KDZ244" s="15"/>
      <c r="KEA244" s="15"/>
      <c r="KEB244" s="15"/>
      <c r="KEC244" s="16"/>
      <c r="KED244" s="16"/>
      <c r="KEE244" s="16"/>
      <c r="KEF244" s="16"/>
      <c r="KEG244" s="16"/>
      <c r="KEH244" s="15"/>
      <c r="KEI244" s="15"/>
      <c r="KEJ244" s="10"/>
      <c r="KEK244" s="10"/>
      <c r="KEL244" s="19"/>
      <c r="KEM244" s="19"/>
      <c r="KEP244" s="16"/>
      <c r="KEQ244" s="15"/>
      <c r="KER244" s="15"/>
      <c r="KES244" s="15"/>
      <c r="KET244" s="16"/>
      <c r="KEU244" s="16"/>
      <c r="KEV244" s="16"/>
      <c r="KEW244" s="16"/>
      <c r="KEX244" s="16"/>
      <c r="KEY244" s="15"/>
      <c r="KEZ244" s="15"/>
      <c r="KFA244" s="10"/>
      <c r="KFB244" s="10"/>
      <c r="KFC244" s="19"/>
      <c r="KFD244" s="19"/>
      <c r="KFG244" s="16"/>
      <c r="KFH244" s="15"/>
      <c r="KFI244" s="15"/>
      <c r="KFJ244" s="15"/>
      <c r="KFK244" s="16"/>
      <c r="KFL244" s="16"/>
      <c r="KFM244" s="16"/>
      <c r="KFN244" s="16"/>
      <c r="KFO244" s="16"/>
      <c r="KFP244" s="15"/>
      <c r="KFQ244" s="15"/>
      <c r="KFR244" s="10"/>
      <c r="KFS244" s="10"/>
      <c r="KFT244" s="19"/>
      <c r="KFU244" s="19"/>
      <c r="KFX244" s="16"/>
      <c r="KFY244" s="15"/>
      <c r="KFZ244" s="15"/>
      <c r="KGA244" s="15"/>
      <c r="KGB244" s="16"/>
      <c r="KGC244" s="16"/>
      <c r="KGD244" s="16"/>
      <c r="KGE244" s="16"/>
      <c r="KGF244" s="16"/>
      <c r="KGG244" s="15"/>
      <c r="KGH244" s="15"/>
      <c r="KGI244" s="10"/>
      <c r="KGJ244" s="10"/>
      <c r="KGK244" s="19"/>
      <c r="KGL244" s="19"/>
      <c r="KGO244" s="16"/>
      <c r="KGP244" s="15"/>
      <c r="KGQ244" s="15"/>
      <c r="KGR244" s="15"/>
      <c r="KGS244" s="16"/>
      <c r="KGT244" s="16"/>
      <c r="KGU244" s="16"/>
      <c r="KGV244" s="16"/>
      <c r="KGW244" s="16"/>
      <c r="KGX244" s="15"/>
      <c r="KGY244" s="15"/>
      <c r="KGZ244" s="10"/>
      <c r="KHA244" s="10"/>
      <c r="KHB244" s="19"/>
      <c r="KHC244" s="19"/>
      <c r="KHF244" s="16"/>
      <c r="KHG244" s="15"/>
      <c r="KHH244" s="15"/>
      <c r="KHI244" s="15"/>
      <c r="KHJ244" s="16"/>
      <c r="KHK244" s="16"/>
      <c r="KHL244" s="16"/>
      <c r="KHM244" s="16"/>
      <c r="KHN244" s="16"/>
      <c r="KHO244" s="15"/>
      <c r="KHP244" s="15"/>
      <c r="KHQ244" s="10"/>
      <c r="KHR244" s="10"/>
      <c r="KHS244" s="19"/>
      <c r="KHT244" s="19"/>
      <c r="KHW244" s="16"/>
      <c r="KHX244" s="15"/>
      <c r="KHY244" s="15"/>
      <c r="KHZ244" s="15"/>
      <c r="KIA244" s="16"/>
      <c r="KIB244" s="16"/>
      <c r="KIC244" s="16"/>
      <c r="KID244" s="16"/>
      <c r="KIE244" s="16"/>
      <c r="KIF244" s="15"/>
      <c r="KIG244" s="15"/>
      <c r="KIH244" s="10"/>
      <c r="KII244" s="10"/>
      <c r="KIJ244" s="19"/>
      <c r="KIK244" s="19"/>
      <c r="KIN244" s="16"/>
      <c r="KIO244" s="15"/>
      <c r="KIP244" s="15"/>
      <c r="KIQ244" s="15"/>
      <c r="KIR244" s="16"/>
      <c r="KIS244" s="16"/>
      <c r="KIT244" s="16"/>
      <c r="KIU244" s="16"/>
      <c r="KIV244" s="16"/>
      <c r="KIW244" s="15"/>
      <c r="KIX244" s="15"/>
      <c r="KIY244" s="10"/>
      <c r="KIZ244" s="10"/>
      <c r="KJA244" s="19"/>
      <c r="KJB244" s="19"/>
      <c r="KJE244" s="16"/>
      <c r="KJF244" s="15"/>
      <c r="KJG244" s="15"/>
      <c r="KJH244" s="15"/>
      <c r="KJI244" s="16"/>
      <c r="KJJ244" s="16"/>
      <c r="KJK244" s="16"/>
      <c r="KJL244" s="16"/>
      <c r="KJM244" s="16"/>
      <c r="KJN244" s="15"/>
      <c r="KJO244" s="15"/>
      <c r="KJP244" s="10"/>
      <c r="KJQ244" s="10"/>
      <c r="KJR244" s="19"/>
      <c r="KJS244" s="19"/>
      <c r="KJV244" s="16"/>
      <c r="KJW244" s="15"/>
      <c r="KJX244" s="15"/>
      <c r="KJY244" s="15"/>
      <c r="KJZ244" s="16"/>
      <c r="KKA244" s="16"/>
      <c r="KKB244" s="16"/>
      <c r="KKC244" s="16"/>
      <c r="KKD244" s="16"/>
      <c r="KKE244" s="15"/>
      <c r="KKF244" s="15"/>
      <c r="KKG244" s="10"/>
      <c r="KKH244" s="10"/>
      <c r="KKI244" s="19"/>
      <c r="KKJ244" s="19"/>
      <c r="KKM244" s="16"/>
      <c r="KKN244" s="15"/>
      <c r="KKO244" s="15"/>
      <c r="KKP244" s="15"/>
      <c r="KKQ244" s="16"/>
      <c r="KKR244" s="16"/>
      <c r="KKS244" s="16"/>
      <c r="KKT244" s="16"/>
      <c r="KKU244" s="16"/>
      <c r="KKV244" s="15"/>
      <c r="KKW244" s="15"/>
      <c r="KKX244" s="10"/>
      <c r="KKY244" s="10"/>
      <c r="KKZ244" s="19"/>
      <c r="KLA244" s="19"/>
      <c r="KLD244" s="16"/>
      <c r="KLE244" s="15"/>
      <c r="KLF244" s="15"/>
      <c r="KLG244" s="15"/>
      <c r="KLH244" s="16"/>
      <c r="KLI244" s="16"/>
      <c r="KLJ244" s="16"/>
      <c r="KLK244" s="16"/>
      <c r="KLL244" s="16"/>
      <c r="KLM244" s="15"/>
      <c r="KLN244" s="15"/>
      <c r="KLO244" s="10"/>
      <c r="KLP244" s="10"/>
      <c r="KLQ244" s="19"/>
      <c r="KLR244" s="19"/>
      <c r="KLU244" s="16"/>
      <c r="KLV244" s="15"/>
      <c r="KLW244" s="15"/>
      <c r="KLX244" s="15"/>
      <c r="KLY244" s="16"/>
      <c r="KLZ244" s="16"/>
      <c r="KMA244" s="16"/>
      <c r="KMB244" s="16"/>
      <c r="KMC244" s="16"/>
      <c r="KMD244" s="15"/>
      <c r="KME244" s="15"/>
      <c r="KMF244" s="10"/>
      <c r="KMG244" s="10"/>
      <c r="KMH244" s="19"/>
      <c r="KMI244" s="19"/>
      <c r="KML244" s="16"/>
      <c r="KMM244" s="15"/>
      <c r="KMN244" s="15"/>
      <c r="KMO244" s="15"/>
      <c r="KMP244" s="16"/>
      <c r="KMQ244" s="16"/>
      <c r="KMR244" s="16"/>
      <c r="KMS244" s="16"/>
      <c r="KMT244" s="16"/>
      <c r="KMU244" s="15"/>
      <c r="KMV244" s="15"/>
      <c r="KMW244" s="10"/>
      <c r="KMX244" s="10"/>
      <c r="KMY244" s="19"/>
      <c r="KMZ244" s="19"/>
      <c r="KNC244" s="16"/>
      <c r="KND244" s="15"/>
      <c r="KNE244" s="15"/>
      <c r="KNF244" s="15"/>
      <c r="KNG244" s="16"/>
      <c r="KNH244" s="16"/>
      <c r="KNI244" s="16"/>
      <c r="KNJ244" s="16"/>
      <c r="KNK244" s="16"/>
      <c r="KNL244" s="15"/>
      <c r="KNM244" s="15"/>
      <c r="KNN244" s="10"/>
      <c r="KNO244" s="10"/>
      <c r="KNP244" s="19"/>
      <c r="KNQ244" s="19"/>
      <c r="KNT244" s="16"/>
      <c r="KNU244" s="15"/>
      <c r="KNV244" s="15"/>
      <c r="KNW244" s="15"/>
      <c r="KNX244" s="16"/>
      <c r="KNY244" s="16"/>
      <c r="KNZ244" s="16"/>
      <c r="KOA244" s="16"/>
      <c r="KOB244" s="16"/>
      <c r="KOC244" s="15"/>
      <c r="KOD244" s="15"/>
      <c r="KOE244" s="10"/>
      <c r="KOF244" s="10"/>
      <c r="KOG244" s="19"/>
      <c r="KOH244" s="19"/>
      <c r="KOK244" s="16"/>
      <c r="KOL244" s="15"/>
      <c r="KOM244" s="15"/>
      <c r="KON244" s="15"/>
      <c r="KOO244" s="16"/>
      <c r="KOP244" s="16"/>
      <c r="KOQ244" s="16"/>
      <c r="KOR244" s="16"/>
      <c r="KOS244" s="16"/>
      <c r="KOT244" s="15"/>
      <c r="KOU244" s="15"/>
      <c r="KOV244" s="10"/>
      <c r="KOW244" s="10"/>
      <c r="KOX244" s="19"/>
      <c r="KOY244" s="19"/>
      <c r="KPB244" s="16"/>
      <c r="KPC244" s="15"/>
      <c r="KPD244" s="15"/>
      <c r="KPE244" s="15"/>
      <c r="KPF244" s="16"/>
      <c r="KPG244" s="16"/>
      <c r="KPH244" s="16"/>
      <c r="KPI244" s="16"/>
      <c r="KPJ244" s="16"/>
      <c r="KPK244" s="15"/>
      <c r="KPL244" s="15"/>
      <c r="KPM244" s="10"/>
      <c r="KPN244" s="10"/>
      <c r="KPO244" s="19"/>
      <c r="KPP244" s="19"/>
      <c r="KPS244" s="16"/>
      <c r="KPT244" s="15"/>
      <c r="KPU244" s="15"/>
      <c r="KPV244" s="15"/>
      <c r="KPW244" s="16"/>
      <c r="KPX244" s="16"/>
      <c r="KPY244" s="16"/>
      <c r="KPZ244" s="16"/>
      <c r="KQA244" s="16"/>
      <c r="KQB244" s="15"/>
      <c r="KQC244" s="15"/>
      <c r="KQD244" s="10"/>
      <c r="KQE244" s="10"/>
      <c r="KQF244" s="19"/>
      <c r="KQG244" s="19"/>
      <c r="KQJ244" s="16"/>
      <c r="KQK244" s="15"/>
      <c r="KQL244" s="15"/>
      <c r="KQM244" s="15"/>
      <c r="KQN244" s="16"/>
      <c r="KQO244" s="16"/>
      <c r="KQP244" s="16"/>
      <c r="KQQ244" s="16"/>
      <c r="KQR244" s="16"/>
      <c r="KQS244" s="15"/>
      <c r="KQT244" s="15"/>
      <c r="KQU244" s="10"/>
      <c r="KQV244" s="10"/>
      <c r="KQW244" s="19"/>
      <c r="KQX244" s="19"/>
      <c r="KRA244" s="16"/>
      <c r="KRB244" s="15"/>
      <c r="KRC244" s="15"/>
      <c r="KRD244" s="15"/>
      <c r="KRE244" s="16"/>
      <c r="KRF244" s="16"/>
      <c r="KRG244" s="16"/>
      <c r="KRH244" s="16"/>
      <c r="KRI244" s="16"/>
      <c r="KRJ244" s="15"/>
      <c r="KRK244" s="15"/>
      <c r="KRL244" s="10"/>
      <c r="KRM244" s="10"/>
      <c r="KRN244" s="19"/>
      <c r="KRO244" s="19"/>
      <c r="KRR244" s="16"/>
      <c r="KRS244" s="15"/>
      <c r="KRT244" s="15"/>
      <c r="KRU244" s="15"/>
      <c r="KRV244" s="16"/>
      <c r="KRW244" s="16"/>
      <c r="KRX244" s="16"/>
      <c r="KRY244" s="16"/>
      <c r="KRZ244" s="16"/>
      <c r="KSA244" s="15"/>
      <c r="KSB244" s="15"/>
      <c r="KSC244" s="10"/>
      <c r="KSD244" s="10"/>
      <c r="KSE244" s="19"/>
      <c r="KSF244" s="19"/>
      <c r="KSI244" s="16"/>
      <c r="KSJ244" s="15"/>
      <c r="KSK244" s="15"/>
      <c r="KSL244" s="15"/>
      <c r="KSM244" s="16"/>
      <c r="KSN244" s="16"/>
      <c r="KSO244" s="16"/>
      <c r="KSP244" s="16"/>
      <c r="KSQ244" s="16"/>
      <c r="KSR244" s="15"/>
      <c r="KSS244" s="15"/>
      <c r="KST244" s="10"/>
      <c r="KSU244" s="10"/>
      <c r="KSV244" s="19"/>
      <c r="KSW244" s="19"/>
      <c r="KSZ244" s="16"/>
      <c r="KTA244" s="15"/>
      <c r="KTB244" s="15"/>
      <c r="KTC244" s="15"/>
      <c r="KTD244" s="16"/>
      <c r="KTE244" s="16"/>
      <c r="KTF244" s="16"/>
      <c r="KTG244" s="16"/>
      <c r="KTH244" s="16"/>
      <c r="KTI244" s="15"/>
      <c r="KTJ244" s="15"/>
      <c r="KTK244" s="10"/>
      <c r="KTL244" s="10"/>
      <c r="KTM244" s="19"/>
      <c r="KTN244" s="19"/>
      <c r="KTQ244" s="16"/>
      <c r="KTR244" s="15"/>
      <c r="KTS244" s="15"/>
      <c r="KTT244" s="15"/>
      <c r="KTU244" s="16"/>
      <c r="KTV244" s="16"/>
      <c r="KTW244" s="16"/>
      <c r="KTX244" s="16"/>
      <c r="KTY244" s="16"/>
      <c r="KTZ244" s="15"/>
      <c r="KUA244" s="15"/>
      <c r="KUB244" s="10"/>
      <c r="KUC244" s="10"/>
      <c r="KUD244" s="19"/>
      <c r="KUE244" s="19"/>
      <c r="KUH244" s="16"/>
      <c r="KUI244" s="15"/>
      <c r="KUJ244" s="15"/>
      <c r="KUK244" s="15"/>
      <c r="KUL244" s="16"/>
      <c r="KUM244" s="16"/>
      <c r="KUN244" s="16"/>
      <c r="KUO244" s="16"/>
      <c r="KUP244" s="16"/>
      <c r="KUQ244" s="15"/>
      <c r="KUR244" s="15"/>
      <c r="KUS244" s="10"/>
      <c r="KUT244" s="10"/>
      <c r="KUU244" s="19"/>
      <c r="KUV244" s="19"/>
      <c r="KUY244" s="16"/>
      <c r="KUZ244" s="15"/>
      <c r="KVA244" s="15"/>
      <c r="KVB244" s="15"/>
      <c r="KVC244" s="16"/>
      <c r="KVD244" s="16"/>
      <c r="KVE244" s="16"/>
      <c r="KVF244" s="16"/>
      <c r="KVG244" s="16"/>
      <c r="KVH244" s="15"/>
      <c r="KVI244" s="15"/>
      <c r="KVJ244" s="10"/>
      <c r="KVK244" s="10"/>
      <c r="KVL244" s="19"/>
      <c r="KVM244" s="19"/>
      <c r="KVP244" s="16"/>
      <c r="KVQ244" s="15"/>
      <c r="KVR244" s="15"/>
      <c r="KVS244" s="15"/>
      <c r="KVT244" s="16"/>
      <c r="KVU244" s="16"/>
      <c r="KVV244" s="16"/>
      <c r="KVW244" s="16"/>
      <c r="KVX244" s="16"/>
      <c r="KVY244" s="15"/>
      <c r="KVZ244" s="15"/>
      <c r="KWA244" s="10"/>
      <c r="KWB244" s="10"/>
      <c r="KWC244" s="19"/>
      <c r="KWD244" s="19"/>
      <c r="KWG244" s="16"/>
      <c r="KWH244" s="15"/>
      <c r="KWI244" s="15"/>
      <c r="KWJ244" s="15"/>
      <c r="KWK244" s="16"/>
      <c r="KWL244" s="16"/>
      <c r="KWM244" s="16"/>
      <c r="KWN244" s="16"/>
      <c r="KWO244" s="16"/>
      <c r="KWP244" s="15"/>
      <c r="KWQ244" s="15"/>
      <c r="KWR244" s="10"/>
      <c r="KWS244" s="10"/>
      <c r="KWT244" s="19"/>
      <c r="KWU244" s="19"/>
      <c r="KWX244" s="16"/>
      <c r="KWY244" s="15"/>
      <c r="KWZ244" s="15"/>
      <c r="KXA244" s="15"/>
      <c r="KXB244" s="16"/>
      <c r="KXC244" s="16"/>
      <c r="KXD244" s="16"/>
      <c r="KXE244" s="16"/>
      <c r="KXF244" s="16"/>
      <c r="KXG244" s="15"/>
      <c r="KXH244" s="15"/>
      <c r="KXI244" s="10"/>
      <c r="KXJ244" s="10"/>
      <c r="KXK244" s="19"/>
      <c r="KXL244" s="19"/>
      <c r="KXO244" s="16"/>
      <c r="KXP244" s="15"/>
      <c r="KXQ244" s="15"/>
      <c r="KXR244" s="15"/>
      <c r="KXS244" s="16"/>
      <c r="KXT244" s="16"/>
      <c r="KXU244" s="16"/>
      <c r="KXV244" s="16"/>
      <c r="KXW244" s="16"/>
      <c r="KXX244" s="15"/>
      <c r="KXY244" s="15"/>
      <c r="KXZ244" s="10"/>
      <c r="KYA244" s="10"/>
      <c r="KYB244" s="19"/>
      <c r="KYC244" s="19"/>
      <c r="KYF244" s="16"/>
      <c r="KYG244" s="15"/>
      <c r="KYH244" s="15"/>
      <c r="KYI244" s="15"/>
      <c r="KYJ244" s="16"/>
      <c r="KYK244" s="16"/>
      <c r="KYL244" s="16"/>
      <c r="KYM244" s="16"/>
      <c r="KYN244" s="16"/>
      <c r="KYO244" s="15"/>
      <c r="KYP244" s="15"/>
      <c r="KYQ244" s="10"/>
      <c r="KYR244" s="10"/>
      <c r="KYS244" s="19"/>
      <c r="KYT244" s="19"/>
      <c r="KYW244" s="16"/>
      <c r="KYX244" s="15"/>
      <c r="KYY244" s="15"/>
      <c r="KYZ244" s="15"/>
      <c r="KZA244" s="16"/>
      <c r="KZB244" s="16"/>
      <c r="KZC244" s="16"/>
      <c r="KZD244" s="16"/>
      <c r="KZE244" s="16"/>
      <c r="KZF244" s="15"/>
      <c r="KZG244" s="15"/>
      <c r="KZH244" s="10"/>
      <c r="KZI244" s="10"/>
      <c r="KZJ244" s="19"/>
      <c r="KZK244" s="19"/>
      <c r="KZN244" s="16"/>
      <c r="KZO244" s="15"/>
      <c r="KZP244" s="15"/>
      <c r="KZQ244" s="15"/>
      <c r="KZR244" s="16"/>
      <c r="KZS244" s="16"/>
      <c r="KZT244" s="16"/>
      <c r="KZU244" s="16"/>
      <c r="KZV244" s="16"/>
      <c r="KZW244" s="15"/>
      <c r="KZX244" s="15"/>
      <c r="KZY244" s="10"/>
      <c r="KZZ244" s="10"/>
      <c r="LAA244" s="19"/>
      <c r="LAB244" s="19"/>
      <c r="LAE244" s="16"/>
      <c r="LAF244" s="15"/>
      <c r="LAG244" s="15"/>
      <c r="LAH244" s="15"/>
      <c r="LAI244" s="16"/>
      <c r="LAJ244" s="16"/>
      <c r="LAK244" s="16"/>
      <c r="LAL244" s="16"/>
      <c r="LAM244" s="16"/>
      <c r="LAN244" s="15"/>
      <c r="LAO244" s="15"/>
      <c r="LAP244" s="10"/>
      <c r="LAQ244" s="10"/>
      <c r="LAR244" s="19"/>
      <c r="LAS244" s="19"/>
      <c r="LAV244" s="16"/>
      <c r="LAW244" s="15"/>
      <c r="LAX244" s="15"/>
      <c r="LAY244" s="15"/>
      <c r="LAZ244" s="16"/>
      <c r="LBA244" s="16"/>
      <c r="LBB244" s="16"/>
      <c r="LBC244" s="16"/>
      <c r="LBD244" s="16"/>
      <c r="LBE244" s="15"/>
      <c r="LBF244" s="15"/>
      <c r="LBG244" s="10"/>
      <c r="LBH244" s="10"/>
      <c r="LBI244" s="19"/>
      <c r="LBJ244" s="19"/>
      <c r="LBM244" s="16"/>
      <c r="LBN244" s="15"/>
      <c r="LBO244" s="15"/>
      <c r="LBP244" s="15"/>
      <c r="LBQ244" s="16"/>
      <c r="LBR244" s="16"/>
      <c r="LBS244" s="16"/>
      <c r="LBT244" s="16"/>
      <c r="LBU244" s="16"/>
      <c r="LBV244" s="15"/>
      <c r="LBW244" s="15"/>
      <c r="LBX244" s="10"/>
      <c r="LBY244" s="10"/>
      <c r="LBZ244" s="19"/>
      <c r="LCA244" s="19"/>
      <c r="LCD244" s="16"/>
      <c r="LCE244" s="15"/>
      <c r="LCF244" s="15"/>
      <c r="LCG244" s="15"/>
      <c r="LCH244" s="16"/>
      <c r="LCI244" s="16"/>
      <c r="LCJ244" s="16"/>
      <c r="LCK244" s="16"/>
      <c r="LCL244" s="16"/>
      <c r="LCM244" s="15"/>
      <c r="LCN244" s="15"/>
      <c r="LCO244" s="10"/>
      <c r="LCP244" s="10"/>
      <c r="LCQ244" s="19"/>
      <c r="LCR244" s="19"/>
      <c r="LCU244" s="16"/>
      <c r="LCV244" s="15"/>
      <c r="LCW244" s="15"/>
      <c r="LCX244" s="15"/>
      <c r="LCY244" s="16"/>
      <c r="LCZ244" s="16"/>
      <c r="LDA244" s="16"/>
      <c r="LDB244" s="16"/>
      <c r="LDC244" s="16"/>
      <c r="LDD244" s="15"/>
      <c r="LDE244" s="15"/>
      <c r="LDF244" s="10"/>
      <c r="LDG244" s="10"/>
      <c r="LDH244" s="19"/>
      <c r="LDI244" s="19"/>
      <c r="LDL244" s="16"/>
      <c r="LDM244" s="15"/>
      <c r="LDN244" s="15"/>
      <c r="LDO244" s="15"/>
      <c r="LDP244" s="16"/>
      <c r="LDQ244" s="16"/>
      <c r="LDR244" s="16"/>
      <c r="LDS244" s="16"/>
      <c r="LDT244" s="16"/>
      <c r="LDU244" s="15"/>
      <c r="LDV244" s="15"/>
      <c r="LDW244" s="10"/>
      <c r="LDX244" s="10"/>
      <c r="LDY244" s="19"/>
      <c r="LDZ244" s="19"/>
      <c r="LEC244" s="16"/>
      <c r="LED244" s="15"/>
      <c r="LEE244" s="15"/>
      <c r="LEF244" s="15"/>
      <c r="LEG244" s="16"/>
      <c r="LEH244" s="16"/>
      <c r="LEI244" s="16"/>
      <c r="LEJ244" s="16"/>
      <c r="LEK244" s="16"/>
      <c r="LEL244" s="15"/>
      <c r="LEM244" s="15"/>
      <c r="LEN244" s="10"/>
      <c r="LEO244" s="10"/>
      <c r="LEP244" s="19"/>
      <c r="LEQ244" s="19"/>
      <c r="LET244" s="16"/>
      <c r="LEU244" s="15"/>
      <c r="LEV244" s="15"/>
      <c r="LEW244" s="15"/>
      <c r="LEX244" s="16"/>
      <c r="LEY244" s="16"/>
      <c r="LEZ244" s="16"/>
      <c r="LFA244" s="16"/>
      <c r="LFB244" s="16"/>
      <c r="LFC244" s="15"/>
      <c r="LFD244" s="15"/>
      <c r="LFE244" s="10"/>
      <c r="LFF244" s="10"/>
      <c r="LFG244" s="19"/>
      <c r="LFH244" s="19"/>
      <c r="LFK244" s="16"/>
      <c r="LFL244" s="15"/>
      <c r="LFM244" s="15"/>
      <c r="LFN244" s="15"/>
      <c r="LFO244" s="16"/>
      <c r="LFP244" s="16"/>
      <c r="LFQ244" s="16"/>
      <c r="LFR244" s="16"/>
      <c r="LFS244" s="16"/>
      <c r="LFT244" s="15"/>
      <c r="LFU244" s="15"/>
      <c r="LFV244" s="10"/>
      <c r="LFW244" s="10"/>
      <c r="LFX244" s="19"/>
      <c r="LFY244" s="19"/>
      <c r="LGB244" s="16"/>
      <c r="LGC244" s="15"/>
      <c r="LGD244" s="15"/>
      <c r="LGE244" s="15"/>
      <c r="LGF244" s="16"/>
      <c r="LGG244" s="16"/>
      <c r="LGH244" s="16"/>
      <c r="LGI244" s="16"/>
      <c r="LGJ244" s="16"/>
      <c r="LGK244" s="15"/>
      <c r="LGL244" s="15"/>
      <c r="LGM244" s="10"/>
      <c r="LGN244" s="10"/>
      <c r="LGO244" s="19"/>
      <c r="LGP244" s="19"/>
      <c r="LGS244" s="16"/>
      <c r="LGT244" s="15"/>
      <c r="LGU244" s="15"/>
      <c r="LGV244" s="15"/>
      <c r="LGW244" s="16"/>
      <c r="LGX244" s="16"/>
      <c r="LGY244" s="16"/>
      <c r="LGZ244" s="16"/>
      <c r="LHA244" s="16"/>
      <c r="LHB244" s="15"/>
      <c r="LHC244" s="15"/>
      <c r="LHD244" s="10"/>
      <c r="LHE244" s="10"/>
      <c r="LHF244" s="19"/>
      <c r="LHG244" s="19"/>
      <c r="LHJ244" s="16"/>
      <c r="LHK244" s="15"/>
      <c r="LHL244" s="15"/>
      <c r="LHM244" s="15"/>
      <c r="LHN244" s="16"/>
      <c r="LHO244" s="16"/>
      <c r="LHP244" s="16"/>
      <c r="LHQ244" s="16"/>
      <c r="LHR244" s="16"/>
      <c r="LHS244" s="15"/>
      <c r="LHT244" s="15"/>
      <c r="LHU244" s="10"/>
      <c r="LHV244" s="10"/>
      <c r="LHW244" s="19"/>
      <c r="LHX244" s="19"/>
      <c r="LIA244" s="16"/>
      <c r="LIB244" s="15"/>
      <c r="LIC244" s="15"/>
      <c r="LID244" s="15"/>
      <c r="LIE244" s="16"/>
      <c r="LIF244" s="16"/>
      <c r="LIG244" s="16"/>
      <c r="LIH244" s="16"/>
      <c r="LII244" s="16"/>
      <c r="LIJ244" s="15"/>
      <c r="LIK244" s="15"/>
      <c r="LIL244" s="10"/>
      <c r="LIM244" s="10"/>
      <c r="LIN244" s="19"/>
      <c r="LIO244" s="19"/>
      <c r="LIR244" s="16"/>
      <c r="LIS244" s="15"/>
      <c r="LIT244" s="15"/>
      <c r="LIU244" s="15"/>
      <c r="LIV244" s="16"/>
      <c r="LIW244" s="16"/>
      <c r="LIX244" s="16"/>
      <c r="LIY244" s="16"/>
      <c r="LIZ244" s="16"/>
      <c r="LJA244" s="15"/>
      <c r="LJB244" s="15"/>
      <c r="LJC244" s="10"/>
      <c r="LJD244" s="10"/>
      <c r="LJE244" s="19"/>
      <c r="LJF244" s="19"/>
      <c r="LJI244" s="16"/>
      <c r="LJJ244" s="15"/>
      <c r="LJK244" s="15"/>
      <c r="LJL244" s="15"/>
      <c r="LJM244" s="16"/>
      <c r="LJN244" s="16"/>
      <c r="LJO244" s="16"/>
      <c r="LJP244" s="16"/>
      <c r="LJQ244" s="16"/>
      <c r="LJR244" s="15"/>
      <c r="LJS244" s="15"/>
      <c r="LJT244" s="10"/>
      <c r="LJU244" s="10"/>
      <c r="LJV244" s="19"/>
      <c r="LJW244" s="19"/>
      <c r="LJZ244" s="16"/>
      <c r="LKA244" s="15"/>
      <c r="LKB244" s="15"/>
      <c r="LKC244" s="15"/>
      <c r="LKD244" s="16"/>
      <c r="LKE244" s="16"/>
      <c r="LKF244" s="16"/>
      <c r="LKG244" s="16"/>
      <c r="LKH244" s="16"/>
      <c r="LKI244" s="15"/>
      <c r="LKJ244" s="15"/>
      <c r="LKK244" s="10"/>
      <c r="LKL244" s="10"/>
      <c r="LKM244" s="19"/>
      <c r="LKN244" s="19"/>
      <c r="LKQ244" s="16"/>
      <c r="LKR244" s="15"/>
      <c r="LKS244" s="15"/>
      <c r="LKT244" s="15"/>
      <c r="LKU244" s="16"/>
      <c r="LKV244" s="16"/>
      <c r="LKW244" s="16"/>
      <c r="LKX244" s="16"/>
      <c r="LKY244" s="16"/>
      <c r="LKZ244" s="15"/>
      <c r="LLA244" s="15"/>
      <c r="LLB244" s="10"/>
      <c r="LLC244" s="10"/>
      <c r="LLD244" s="19"/>
      <c r="LLE244" s="19"/>
      <c r="LLH244" s="16"/>
      <c r="LLI244" s="15"/>
      <c r="LLJ244" s="15"/>
      <c r="LLK244" s="15"/>
      <c r="LLL244" s="16"/>
      <c r="LLM244" s="16"/>
      <c r="LLN244" s="16"/>
      <c r="LLO244" s="16"/>
      <c r="LLP244" s="16"/>
      <c r="LLQ244" s="15"/>
      <c r="LLR244" s="15"/>
      <c r="LLS244" s="10"/>
      <c r="LLT244" s="10"/>
      <c r="LLU244" s="19"/>
      <c r="LLV244" s="19"/>
      <c r="LLY244" s="16"/>
      <c r="LLZ244" s="15"/>
      <c r="LMA244" s="15"/>
      <c r="LMB244" s="15"/>
      <c r="LMC244" s="16"/>
      <c r="LMD244" s="16"/>
      <c r="LME244" s="16"/>
      <c r="LMF244" s="16"/>
      <c r="LMG244" s="16"/>
      <c r="LMH244" s="15"/>
      <c r="LMI244" s="15"/>
      <c r="LMJ244" s="10"/>
      <c r="LMK244" s="10"/>
      <c r="LML244" s="19"/>
      <c r="LMM244" s="19"/>
      <c r="LMP244" s="16"/>
      <c r="LMQ244" s="15"/>
      <c r="LMR244" s="15"/>
      <c r="LMS244" s="15"/>
      <c r="LMT244" s="16"/>
      <c r="LMU244" s="16"/>
      <c r="LMV244" s="16"/>
      <c r="LMW244" s="16"/>
      <c r="LMX244" s="16"/>
      <c r="LMY244" s="15"/>
      <c r="LMZ244" s="15"/>
      <c r="LNA244" s="10"/>
      <c r="LNB244" s="10"/>
      <c r="LNC244" s="19"/>
      <c r="LND244" s="19"/>
      <c r="LNG244" s="16"/>
      <c r="LNH244" s="15"/>
      <c r="LNI244" s="15"/>
      <c r="LNJ244" s="15"/>
      <c r="LNK244" s="16"/>
      <c r="LNL244" s="16"/>
      <c r="LNM244" s="16"/>
      <c r="LNN244" s="16"/>
      <c r="LNO244" s="16"/>
      <c r="LNP244" s="15"/>
      <c r="LNQ244" s="15"/>
      <c r="LNR244" s="10"/>
      <c r="LNS244" s="10"/>
      <c r="LNT244" s="19"/>
      <c r="LNU244" s="19"/>
      <c r="LNX244" s="16"/>
      <c r="LNY244" s="15"/>
      <c r="LNZ244" s="15"/>
      <c r="LOA244" s="15"/>
      <c r="LOB244" s="16"/>
      <c r="LOC244" s="16"/>
      <c r="LOD244" s="16"/>
      <c r="LOE244" s="16"/>
      <c r="LOF244" s="16"/>
      <c r="LOG244" s="15"/>
      <c r="LOH244" s="15"/>
      <c r="LOI244" s="10"/>
      <c r="LOJ244" s="10"/>
      <c r="LOK244" s="19"/>
      <c r="LOL244" s="19"/>
      <c r="LOO244" s="16"/>
      <c r="LOP244" s="15"/>
      <c r="LOQ244" s="15"/>
      <c r="LOR244" s="15"/>
      <c r="LOS244" s="16"/>
      <c r="LOT244" s="16"/>
      <c r="LOU244" s="16"/>
      <c r="LOV244" s="16"/>
      <c r="LOW244" s="16"/>
      <c r="LOX244" s="15"/>
      <c r="LOY244" s="15"/>
      <c r="LOZ244" s="10"/>
      <c r="LPA244" s="10"/>
      <c r="LPB244" s="19"/>
      <c r="LPC244" s="19"/>
      <c r="LPF244" s="16"/>
      <c r="LPG244" s="15"/>
      <c r="LPH244" s="15"/>
      <c r="LPI244" s="15"/>
      <c r="LPJ244" s="16"/>
      <c r="LPK244" s="16"/>
      <c r="LPL244" s="16"/>
      <c r="LPM244" s="16"/>
      <c r="LPN244" s="16"/>
      <c r="LPO244" s="15"/>
      <c r="LPP244" s="15"/>
      <c r="LPQ244" s="10"/>
      <c r="LPR244" s="10"/>
      <c r="LPS244" s="19"/>
      <c r="LPT244" s="19"/>
      <c r="LPW244" s="16"/>
      <c r="LPX244" s="15"/>
      <c r="LPY244" s="15"/>
      <c r="LPZ244" s="15"/>
      <c r="LQA244" s="16"/>
      <c r="LQB244" s="16"/>
      <c r="LQC244" s="16"/>
      <c r="LQD244" s="16"/>
      <c r="LQE244" s="16"/>
      <c r="LQF244" s="15"/>
      <c r="LQG244" s="15"/>
      <c r="LQH244" s="10"/>
      <c r="LQI244" s="10"/>
      <c r="LQJ244" s="19"/>
      <c r="LQK244" s="19"/>
      <c r="LQN244" s="16"/>
      <c r="LQO244" s="15"/>
      <c r="LQP244" s="15"/>
      <c r="LQQ244" s="15"/>
      <c r="LQR244" s="16"/>
      <c r="LQS244" s="16"/>
      <c r="LQT244" s="16"/>
      <c r="LQU244" s="16"/>
      <c r="LQV244" s="16"/>
      <c r="LQW244" s="15"/>
      <c r="LQX244" s="15"/>
      <c r="LQY244" s="10"/>
      <c r="LQZ244" s="10"/>
      <c r="LRA244" s="19"/>
      <c r="LRB244" s="19"/>
      <c r="LRE244" s="16"/>
      <c r="LRF244" s="15"/>
      <c r="LRG244" s="15"/>
      <c r="LRH244" s="15"/>
      <c r="LRI244" s="16"/>
      <c r="LRJ244" s="16"/>
      <c r="LRK244" s="16"/>
      <c r="LRL244" s="16"/>
      <c r="LRM244" s="16"/>
      <c r="LRN244" s="15"/>
      <c r="LRO244" s="15"/>
      <c r="LRP244" s="10"/>
      <c r="LRQ244" s="10"/>
      <c r="LRR244" s="19"/>
      <c r="LRS244" s="19"/>
      <c r="LRV244" s="16"/>
      <c r="LRW244" s="15"/>
      <c r="LRX244" s="15"/>
      <c r="LRY244" s="15"/>
      <c r="LRZ244" s="16"/>
      <c r="LSA244" s="16"/>
      <c r="LSB244" s="16"/>
      <c r="LSC244" s="16"/>
      <c r="LSD244" s="16"/>
      <c r="LSE244" s="15"/>
      <c r="LSF244" s="15"/>
      <c r="LSG244" s="10"/>
      <c r="LSH244" s="10"/>
      <c r="LSI244" s="19"/>
      <c r="LSJ244" s="19"/>
      <c r="LSM244" s="16"/>
      <c r="LSN244" s="15"/>
      <c r="LSO244" s="15"/>
      <c r="LSP244" s="15"/>
      <c r="LSQ244" s="16"/>
      <c r="LSR244" s="16"/>
      <c r="LSS244" s="16"/>
      <c r="LST244" s="16"/>
      <c r="LSU244" s="16"/>
      <c r="LSV244" s="15"/>
      <c r="LSW244" s="15"/>
      <c r="LSX244" s="10"/>
      <c r="LSY244" s="10"/>
      <c r="LSZ244" s="19"/>
      <c r="LTA244" s="19"/>
      <c r="LTD244" s="16"/>
      <c r="LTE244" s="15"/>
      <c r="LTF244" s="15"/>
      <c r="LTG244" s="15"/>
      <c r="LTH244" s="16"/>
      <c r="LTI244" s="16"/>
      <c r="LTJ244" s="16"/>
      <c r="LTK244" s="16"/>
      <c r="LTL244" s="16"/>
      <c r="LTM244" s="15"/>
      <c r="LTN244" s="15"/>
      <c r="LTO244" s="10"/>
      <c r="LTP244" s="10"/>
      <c r="LTQ244" s="19"/>
      <c r="LTR244" s="19"/>
      <c r="LTU244" s="16"/>
      <c r="LTV244" s="15"/>
      <c r="LTW244" s="15"/>
      <c r="LTX244" s="15"/>
      <c r="LTY244" s="16"/>
      <c r="LTZ244" s="16"/>
      <c r="LUA244" s="16"/>
      <c r="LUB244" s="16"/>
      <c r="LUC244" s="16"/>
      <c r="LUD244" s="15"/>
      <c r="LUE244" s="15"/>
      <c r="LUF244" s="10"/>
      <c r="LUG244" s="10"/>
      <c r="LUH244" s="19"/>
      <c r="LUI244" s="19"/>
      <c r="LUL244" s="16"/>
      <c r="LUM244" s="15"/>
      <c r="LUN244" s="15"/>
      <c r="LUO244" s="15"/>
      <c r="LUP244" s="16"/>
      <c r="LUQ244" s="16"/>
      <c r="LUR244" s="16"/>
      <c r="LUS244" s="16"/>
      <c r="LUT244" s="16"/>
      <c r="LUU244" s="15"/>
      <c r="LUV244" s="15"/>
      <c r="LUW244" s="10"/>
      <c r="LUX244" s="10"/>
      <c r="LUY244" s="19"/>
      <c r="LUZ244" s="19"/>
      <c r="LVC244" s="16"/>
      <c r="LVD244" s="15"/>
      <c r="LVE244" s="15"/>
      <c r="LVF244" s="15"/>
      <c r="LVG244" s="16"/>
      <c r="LVH244" s="16"/>
      <c r="LVI244" s="16"/>
      <c r="LVJ244" s="16"/>
      <c r="LVK244" s="16"/>
      <c r="LVL244" s="15"/>
      <c r="LVM244" s="15"/>
      <c r="LVN244" s="10"/>
      <c r="LVO244" s="10"/>
      <c r="LVP244" s="19"/>
      <c r="LVQ244" s="19"/>
      <c r="LVT244" s="16"/>
      <c r="LVU244" s="15"/>
      <c r="LVV244" s="15"/>
      <c r="LVW244" s="15"/>
      <c r="LVX244" s="16"/>
      <c r="LVY244" s="16"/>
      <c r="LVZ244" s="16"/>
      <c r="LWA244" s="16"/>
      <c r="LWB244" s="16"/>
      <c r="LWC244" s="15"/>
      <c r="LWD244" s="15"/>
      <c r="LWE244" s="10"/>
      <c r="LWF244" s="10"/>
      <c r="LWG244" s="19"/>
      <c r="LWH244" s="19"/>
      <c r="LWK244" s="16"/>
      <c r="LWL244" s="15"/>
      <c r="LWM244" s="15"/>
      <c r="LWN244" s="15"/>
      <c r="LWO244" s="16"/>
      <c r="LWP244" s="16"/>
      <c r="LWQ244" s="16"/>
      <c r="LWR244" s="16"/>
      <c r="LWS244" s="16"/>
      <c r="LWT244" s="15"/>
      <c r="LWU244" s="15"/>
      <c r="LWV244" s="10"/>
      <c r="LWW244" s="10"/>
      <c r="LWX244" s="19"/>
      <c r="LWY244" s="19"/>
      <c r="LXB244" s="16"/>
      <c r="LXC244" s="15"/>
      <c r="LXD244" s="15"/>
      <c r="LXE244" s="15"/>
      <c r="LXF244" s="16"/>
      <c r="LXG244" s="16"/>
      <c r="LXH244" s="16"/>
      <c r="LXI244" s="16"/>
      <c r="LXJ244" s="16"/>
      <c r="LXK244" s="15"/>
      <c r="LXL244" s="15"/>
      <c r="LXM244" s="10"/>
      <c r="LXN244" s="10"/>
      <c r="LXO244" s="19"/>
      <c r="LXP244" s="19"/>
      <c r="LXS244" s="16"/>
      <c r="LXT244" s="15"/>
      <c r="LXU244" s="15"/>
      <c r="LXV244" s="15"/>
      <c r="LXW244" s="16"/>
      <c r="LXX244" s="16"/>
      <c r="LXY244" s="16"/>
      <c r="LXZ244" s="16"/>
      <c r="LYA244" s="16"/>
      <c r="LYB244" s="15"/>
      <c r="LYC244" s="15"/>
      <c r="LYD244" s="10"/>
      <c r="LYE244" s="10"/>
      <c r="LYF244" s="19"/>
      <c r="LYG244" s="19"/>
      <c r="LYJ244" s="16"/>
      <c r="LYK244" s="15"/>
      <c r="LYL244" s="15"/>
      <c r="LYM244" s="15"/>
      <c r="LYN244" s="16"/>
      <c r="LYO244" s="16"/>
      <c r="LYP244" s="16"/>
      <c r="LYQ244" s="16"/>
      <c r="LYR244" s="16"/>
      <c r="LYS244" s="15"/>
      <c r="LYT244" s="15"/>
      <c r="LYU244" s="10"/>
      <c r="LYV244" s="10"/>
      <c r="LYW244" s="19"/>
      <c r="LYX244" s="19"/>
      <c r="LZA244" s="16"/>
      <c r="LZB244" s="15"/>
      <c r="LZC244" s="15"/>
      <c r="LZD244" s="15"/>
      <c r="LZE244" s="16"/>
      <c r="LZF244" s="16"/>
      <c r="LZG244" s="16"/>
      <c r="LZH244" s="16"/>
      <c r="LZI244" s="16"/>
      <c r="LZJ244" s="15"/>
      <c r="LZK244" s="15"/>
      <c r="LZL244" s="10"/>
      <c r="LZM244" s="10"/>
      <c r="LZN244" s="19"/>
      <c r="LZO244" s="19"/>
      <c r="LZR244" s="16"/>
      <c r="LZS244" s="15"/>
      <c r="LZT244" s="15"/>
      <c r="LZU244" s="15"/>
      <c r="LZV244" s="16"/>
      <c r="LZW244" s="16"/>
      <c r="LZX244" s="16"/>
      <c r="LZY244" s="16"/>
      <c r="LZZ244" s="16"/>
      <c r="MAA244" s="15"/>
      <c r="MAB244" s="15"/>
      <c r="MAC244" s="10"/>
      <c r="MAD244" s="10"/>
      <c r="MAE244" s="19"/>
      <c r="MAF244" s="19"/>
      <c r="MAI244" s="16"/>
      <c r="MAJ244" s="15"/>
      <c r="MAK244" s="15"/>
      <c r="MAL244" s="15"/>
      <c r="MAM244" s="16"/>
      <c r="MAN244" s="16"/>
      <c r="MAO244" s="16"/>
      <c r="MAP244" s="16"/>
      <c r="MAQ244" s="16"/>
      <c r="MAR244" s="15"/>
      <c r="MAS244" s="15"/>
      <c r="MAT244" s="10"/>
      <c r="MAU244" s="10"/>
      <c r="MAV244" s="19"/>
      <c r="MAW244" s="19"/>
      <c r="MAZ244" s="16"/>
      <c r="MBA244" s="15"/>
      <c r="MBB244" s="15"/>
      <c r="MBC244" s="15"/>
      <c r="MBD244" s="16"/>
      <c r="MBE244" s="16"/>
      <c r="MBF244" s="16"/>
      <c r="MBG244" s="16"/>
      <c r="MBH244" s="16"/>
      <c r="MBI244" s="15"/>
      <c r="MBJ244" s="15"/>
      <c r="MBK244" s="10"/>
      <c r="MBL244" s="10"/>
      <c r="MBM244" s="19"/>
      <c r="MBN244" s="19"/>
      <c r="MBQ244" s="16"/>
      <c r="MBR244" s="15"/>
      <c r="MBS244" s="15"/>
      <c r="MBT244" s="15"/>
      <c r="MBU244" s="16"/>
      <c r="MBV244" s="16"/>
      <c r="MBW244" s="16"/>
      <c r="MBX244" s="16"/>
      <c r="MBY244" s="16"/>
      <c r="MBZ244" s="15"/>
      <c r="MCA244" s="15"/>
      <c r="MCB244" s="10"/>
      <c r="MCC244" s="10"/>
      <c r="MCD244" s="19"/>
      <c r="MCE244" s="19"/>
      <c r="MCH244" s="16"/>
      <c r="MCI244" s="15"/>
      <c r="MCJ244" s="15"/>
      <c r="MCK244" s="15"/>
      <c r="MCL244" s="16"/>
      <c r="MCM244" s="16"/>
      <c r="MCN244" s="16"/>
      <c r="MCO244" s="16"/>
      <c r="MCP244" s="16"/>
      <c r="MCQ244" s="15"/>
      <c r="MCR244" s="15"/>
      <c r="MCS244" s="10"/>
      <c r="MCT244" s="10"/>
      <c r="MCU244" s="19"/>
      <c r="MCV244" s="19"/>
      <c r="MCY244" s="16"/>
      <c r="MCZ244" s="15"/>
      <c r="MDA244" s="15"/>
      <c r="MDB244" s="15"/>
      <c r="MDC244" s="16"/>
      <c r="MDD244" s="16"/>
      <c r="MDE244" s="16"/>
      <c r="MDF244" s="16"/>
      <c r="MDG244" s="16"/>
      <c r="MDH244" s="15"/>
      <c r="MDI244" s="15"/>
      <c r="MDJ244" s="10"/>
      <c r="MDK244" s="10"/>
      <c r="MDL244" s="19"/>
      <c r="MDM244" s="19"/>
      <c r="MDP244" s="16"/>
      <c r="MDQ244" s="15"/>
      <c r="MDR244" s="15"/>
      <c r="MDS244" s="15"/>
      <c r="MDT244" s="16"/>
      <c r="MDU244" s="16"/>
      <c r="MDV244" s="16"/>
      <c r="MDW244" s="16"/>
      <c r="MDX244" s="16"/>
      <c r="MDY244" s="15"/>
      <c r="MDZ244" s="15"/>
      <c r="MEA244" s="10"/>
      <c r="MEB244" s="10"/>
      <c r="MEC244" s="19"/>
      <c r="MED244" s="19"/>
      <c r="MEG244" s="16"/>
      <c r="MEH244" s="15"/>
      <c r="MEI244" s="15"/>
      <c r="MEJ244" s="15"/>
      <c r="MEK244" s="16"/>
      <c r="MEL244" s="16"/>
      <c r="MEM244" s="16"/>
      <c r="MEN244" s="16"/>
      <c r="MEO244" s="16"/>
      <c r="MEP244" s="15"/>
      <c r="MEQ244" s="15"/>
      <c r="MER244" s="10"/>
      <c r="MES244" s="10"/>
      <c r="MET244" s="19"/>
      <c r="MEU244" s="19"/>
      <c r="MEX244" s="16"/>
      <c r="MEY244" s="15"/>
      <c r="MEZ244" s="15"/>
      <c r="MFA244" s="15"/>
      <c r="MFB244" s="16"/>
      <c r="MFC244" s="16"/>
      <c r="MFD244" s="16"/>
      <c r="MFE244" s="16"/>
      <c r="MFF244" s="16"/>
      <c r="MFG244" s="15"/>
      <c r="MFH244" s="15"/>
      <c r="MFI244" s="10"/>
      <c r="MFJ244" s="10"/>
      <c r="MFK244" s="19"/>
      <c r="MFL244" s="19"/>
      <c r="MFO244" s="16"/>
      <c r="MFP244" s="15"/>
      <c r="MFQ244" s="15"/>
      <c r="MFR244" s="15"/>
      <c r="MFS244" s="16"/>
      <c r="MFT244" s="16"/>
      <c r="MFU244" s="16"/>
      <c r="MFV244" s="16"/>
      <c r="MFW244" s="16"/>
      <c r="MFX244" s="15"/>
      <c r="MFY244" s="15"/>
      <c r="MFZ244" s="10"/>
      <c r="MGA244" s="10"/>
      <c r="MGB244" s="19"/>
      <c r="MGC244" s="19"/>
      <c r="MGF244" s="16"/>
      <c r="MGG244" s="15"/>
      <c r="MGH244" s="15"/>
      <c r="MGI244" s="15"/>
      <c r="MGJ244" s="16"/>
      <c r="MGK244" s="16"/>
      <c r="MGL244" s="16"/>
      <c r="MGM244" s="16"/>
      <c r="MGN244" s="16"/>
      <c r="MGO244" s="15"/>
      <c r="MGP244" s="15"/>
      <c r="MGQ244" s="10"/>
      <c r="MGR244" s="10"/>
      <c r="MGS244" s="19"/>
      <c r="MGT244" s="19"/>
      <c r="MGW244" s="16"/>
      <c r="MGX244" s="15"/>
      <c r="MGY244" s="15"/>
      <c r="MGZ244" s="15"/>
      <c r="MHA244" s="16"/>
      <c r="MHB244" s="16"/>
      <c r="MHC244" s="16"/>
      <c r="MHD244" s="16"/>
      <c r="MHE244" s="16"/>
      <c r="MHF244" s="15"/>
      <c r="MHG244" s="15"/>
      <c r="MHH244" s="10"/>
      <c r="MHI244" s="10"/>
      <c r="MHJ244" s="19"/>
      <c r="MHK244" s="19"/>
      <c r="MHN244" s="16"/>
      <c r="MHO244" s="15"/>
      <c r="MHP244" s="15"/>
      <c r="MHQ244" s="15"/>
      <c r="MHR244" s="16"/>
      <c r="MHS244" s="16"/>
      <c r="MHT244" s="16"/>
      <c r="MHU244" s="16"/>
      <c r="MHV244" s="16"/>
      <c r="MHW244" s="15"/>
      <c r="MHX244" s="15"/>
      <c r="MHY244" s="10"/>
      <c r="MHZ244" s="10"/>
      <c r="MIA244" s="19"/>
      <c r="MIB244" s="19"/>
      <c r="MIE244" s="16"/>
      <c r="MIF244" s="15"/>
      <c r="MIG244" s="15"/>
      <c r="MIH244" s="15"/>
      <c r="MII244" s="16"/>
      <c r="MIJ244" s="16"/>
      <c r="MIK244" s="16"/>
      <c r="MIL244" s="16"/>
      <c r="MIM244" s="16"/>
      <c r="MIN244" s="15"/>
      <c r="MIO244" s="15"/>
      <c r="MIP244" s="10"/>
      <c r="MIQ244" s="10"/>
      <c r="MIR244" s="19"/>
      <c r="MIS244" s="19"/>
      <c r="MIV244" s="16"/>
      <c r="MIW244" s="15"/>
      <c r="MIX244" s="15"/>
      <c r="MIY244" s="15"/>
      <c r="MIZ244" s="16"/>
      <c r="MJA244" s="16"/>
      <c r="MJB244" s="16"/>
      <c r="MJC244" s="16"/>
      <c r="MJD244" s="16"/>
      <c r="MJE244" s="15"/>
      <c r="MJF244" s="15"/>
      <c r="MJG244" s="10"/>
      <c r="MJH244" s="10"/>
      <c r="MJI244" s="19"/>
      <c r="MJJ244" s="19"/>
      <c r="MJM244" s="16"/>
      <c r="MJN244" s="15"/>
      <c r="MJO244" s="15"/>
      <c r="MJP244" s="15"/>
      <c r="MJQ244" s="16"/>
      <c r="MJR244" s="16"/>
      <c r="MJS244" s="16"/>
      <c r="MJT244" s="16"/>
      <c r="MJU244" s="16"/>
      <c r="MJV244" s="15"/>
      <c r="MJW244" s="15"/>
      <c r="MJX244" s="10"/>
      <c r="MJY244" s="10"/>
      <c r="MJZ244" s="19"/>
      <c r="MKA244" s="19"/>
      <c r="MKD244" s="16"/>
      <c r="MKE244" s="15"/>
      <c r="MKF244" s="15"/>
      <c r="MKG244" s="15"/>
      <c r="MKH244" s="16"/>
      <c r="MKI244" s="16"/>
      <c r="MKJ244" s="16"/>
      <c r="MKK244" s="16"/>
      <c r="MKL244" s="16"/>
      <c r="MKM244" s="15"/>
      <c r="MKN244" s="15"/>
      <c r="MKO244" s="10"/>
      <c r="MKP244" s="10"/>
      <c r="MKQ244" s="19"/>
      <c r="MKR244" s="19"/>
      <c r="MKU244" s="16"/>
      <c r="MKV244" s="15"/>
      <c r="MKW244" s="15"/>
      <c r="MKX244" s="15"/>
      <c r="MKY244" s="16"/>
      <c r="MKZ244" s="16"/>
      <c r="MLA244" s="16"/>
      <c r="MLB244" s="16"/>
      <c r="MLC244" s="16"/>
      <c r="MLD244" s="15"/>
      <c r="MLE244" s="15"/>
      <c r="MLF244" s="10"/>
      <c r="MLG244" s="10"/>
      <c r="MLH244" s="19"/>
      <c r="MLI244" s="19"/>
      <c r="MLL244" s="16"/>
      <c r="MLM244" s="15"/>
      <c r="MLN244" s="15"/>
      <c r="MLO244" s="15"/>
      <c r="MLP244" s="16"/>
      <c r="MLQ244" s="16"/>
      <c r="MLR244" s="16"/>
      <c r="MLS244" s="16"/>
      <c r="MLT244" s="16"/>
      <c r="MLU244" s="15"/>
      <c r="MLV244" s="15"/>
      <c r="MLW244" s="10"/>
      <c r="MLX244" s="10"/>
      <c r="MLY244" s="19"/>
      <c r="MLZ244" s="19"/>
      <c r="MMC244" s="16"/>
      <c r="MMD244" s="15"/>
      <c r="MME244" s="15"/>
      <c r="MMF244" s="15"/>
      <c r="MMG244" s="16"/>
      <c r="MMH244" s="16"/>
      <c r="MMI244" s="16"/>
      <c r="MMJ244" s="16"/>
      <c r="MMK244" s="16"/>
      <c r="MML244" s="15"/>
      <c r="MMM244" s="15"/>
      <c r="MMN244" s="10"/>
      <c r="MMO244" s="10"/>
      <c r="MMP244" s="19"/>
      <c r="MMQ244" s="19"/>
      <c r="MMT244" s="16"/>
      <c r="MMU244" s="15"/>
      <c r="MMV244" s="15"/>
      <c r="MMW244" s="15"/>
      <c r="MMX244" s="16"/>
      <c r="MMY244" s="16"/>
      <c r="MMZ244" s="16"/>
      <c r="MNA244" s="16"/>
      <c r="MNB244" s="16"/>
      <c r="MNC244" s="15"/>
      <c r="MND244" s="15"/>
      <c r="MNE244" s="10"/>
      <c r="MNF244" s="10"/>
      <c r="MNG244" s="19"/>
      <c r="MNH244" s="19"/>
      <c r="MNK244" s="16"/>
      <c r="MNL244" s="15"/>
      <c r="MNM244" s="15"/>
      <c r="MNN244" s="15"/>
      <c r="MNO244" s="16"/>
      <c r="MNP244" s="16"/>
      <c r="MNQ244" s="16"/>
      <c r="MNR244" s="16"/>
      <c r="MNS244" s="16"/>
      <c r="MNT244" s="15"/>
      <c r="MNU244" s="15"/>
      <c r="MNV244" s="10"/>
      <c r="MNW244" s="10"/>
      <c r="MNX244" s="19"/>
      <c r="MNY244" s="19"/>
      <c r="MOB244" s="16"/>
      <c r="MOC244" s="15"/>
      <c r="MOD244" s="15"/>
      <c r="MOE244" s="15"/>
      <c r="MOF244" s="16"/>
      <c r="MOG244" s="16"/>
      <c r="MOH244" s="16"/>
      <c r="MOI244" s="16"/>
      <c r="MOJ244" s="16"/>
      <c r="MOK244" s="15"/>
      <c r="MOL244" s="15"/>
      <c r="MOM244" s="10"/>
      <c r="MON244" s="10"/>
      <c r="MOO244" s="19"/>
      <c r="MOP244" s="19"/>
      <c r="MOS244" s="16"/>
      <c r="MOT244" s="15"/>
      <c r="MOU244" s="15"/>
      <c r="MOV244" s="15"/>
      <c r="MOW244" s="16"/>
      <c r="MOX244" s="16"/>
      <c r="MOY244" s="16"/>
      <c r="MOZ244" s="16"/>
      <c r="MPA244" s="16"/>
      <c r="MPB244" s="15"/>
      <c r="MPC244" s="15"/>
      <c r="MPD244" s="10"/>
      <c r="MPE244" s="10"/>
      <c r="MPF244" s="19"/>
      <c r="MPG244" s="19"/>
      <c r="MPJ244" s="16"/>
      <c r="MPK244" s="15"/>
      <c r="MPL244" s="15"/>
      <c r="MPM244" s="15"/>
      <c r="MPN244" s="16"/>
      <c r="MPO244" s="16"/>
      <c r="MPP244" s="16"/>
      <c r="MPQ244" s="16"/>
      <c r="MPR244" s="16"/>
      <c r="MPS244" s="15"/>
      <c r="MPT244" s="15"/>
      <c r="MPU244" s="10"/>
      <c r="MPV244" s="10"/>
      <c r="MPW244" s="19"/>
      <c r="MPX244" s="19"/>
      <c r="MQA244" s="16"/>
      <c r="MQB244" s="15"/>
      <c r="MQC244" s="15"/>
      <c r="MQD244" s="15"/>
      <c r="MQE244" s="16"/>
      <c r="MQF244" s="16"/>
      <c r="MQG244" s="16"/>
      <c r="MQH244" s="16"/>
      <c r="MQI244" s="16"/>
      <c r="MQJ244" s="15"/>
      <c r="MQK244" s="15"/>
      <c r="MQL244" s="10"/>
      <c r="MQM244" s="10"/>
      <c r="MQN244" s="19"/>
      <c r="MQO244" s="19"/>
      <c r="MQR244" s="16"/>
      <c r="MQS244" s="15"/>
      <c r="MQT244" s="15"/>
      <c r="MQU244" s="15"/>
      <c r="MQV244" s="16"/>
      <c r="MQW244" s="16"/>
      <c r="MQX244" s="16"/>
      <c r="MQY244" s="16"/>
      <c r="MQZ244" s="16"/>
      <c r="MRA244" s="15"/>
      <c r="MRB244" s="15"/>
      <c r="MRC244" s="10"/>
      <c r="MRD244" s="10"/>
      <c r="MRE244" s="19"/>
      <c r="MRF244" s="19"/>
      <c r="MRI244" s="16"/>
      <c r="MRJ244" s="15"/>
      <c r="MRK244" s="15"/>
      <c r="MRL244" s="15"/>
      <c r="MRM244" s="16"/>
      <c r="MRN244" s="16"/>
      <c r="MRO244" s="16"/>
      <c r="MRP244" s="16"/>
      <c r="MRQ244" s="16"/>
      <c r="MRR244" s="15"/>
      <c r="MRS244" s="15"/>
      <c r="MRT244" s="10"/>
      <c r="MRU244" s="10"/>
      <c r="MRV244" s="19"/>
      <c r="MRW244" s="19"/>
      <c r="MRZ244" s="16"/>
      <c r="MSA244" s="15"/>
      <c r="MSB244" s="15"/>
      <c r="MSC244" s="15"/>
      <c r="MSD244" s="16"/>
      <c r="MSE244" s="16"/>
      <c r="MSF244" s="16"/>
      <c r="MSG244" s="16"/>
      <c r="MSH244" s="16"/>
      <c r="MSI244" s="15"/>
      <c r="MSJ244" s="15"/>
      <c r="MSK244" s="10"/>
      <c r="MSL244" s="10"/>
      <c r="MSM244" s="19"/>
      <c r="MSN244" s="19"/>
      <c r="MSQ244" s="16"/>
      <c r="MSR244" s="15"/>
      <c r="MSS244" s="15"/>
      <c r="MST244" s="15"/>
      <c r="MSU244" s="16"/>
      <c r="MSV244" s="16"/>
      <c r="MSW244" s="16"/>
      <c r="MSX244" s="16"/>
      <c r="MSY244" s="16"/>
      <c r="MSZ244" s="15"/>
      <c r="MTA244" s="15"/>
      <c r="MTB244" s="10"/>
      <c r="MTC244" s="10"/>
      <c r="MTD244" s="19"/>
      <c r="MTE244" s="19"/>
      <c r="MTH244" s="16"/>
      <c r="MTI244" s="15"/>
      <c r="MTJ244" s="15"/>
      <c r="MTK244" s="15"/>
      <c r="MTL244" s="16"/>
      <c r="MTM244" s="16"/>
      <c r="MTN244" s="16"/>
      <c r="MTO244" s="16"/>
      <c r="MTP244" s="16"/>
      <c r="MTQ244" s="15"/>
      <c r="MTR244" s="15"/>
      <c r="MTS244" s="10"/>
      <c r="MTT244" s="10"/>
      <c r="MTU244" s="19"/>
      <c r="MTV244" s="19"/>
      <c r="MTY244" s="16"/>
      <c r="MTZ244" s="15"/>
      <c r="MUA244" s="15"/>
      <c r="MUB244" s="15"/>
      <c r="MUC244" s="16"/>
      <c r="MUD244" s="16"/>
      <c r="MUE244" s="16"/>
      <c r="MUF244" s="16"/>
      <c r="MUG244" s="16"/>
      <c r="MUH244" s="15"/>
      <c r="MUI244" s="15"/>
      <c r="MUJ244" s="10"/>
      <c r="MUK244" s="10"/>
      <c r="MUL244" s="19"/>
      <c r="MUM244" s="19"/>
      <c r="MUP244" s="16"/>
      <c r="MUQ244" s="15"/>
      <c r="MUR244" s="15"/>
      <c r="MUS244" s="15"/>
      <c r="MUT244" s="16"/>
      <c r="MUU244" s="16"/>
      <c r="MUV244" s="16"/>
      <c r="MUW244" s="16"/>
      <c r="MUX244" s="16"/>
      <c r="MUY244" s="15"/>
      <c r="MUZ244" s="15"/>
      <c r="MVA244" s="10"/>
      <c r="MVB244" s="10"/>
      <c r="MVC244" s="19"/>
      <c r="MVD244" s="19"/>
      <c r="MVG244" s="16"/>
      <c r="MVH244" s="15"/>
      <c r="MVI244" s="15"/>
      <c r="MVJ244" s="15"/>
      <c r="MVK244" s="16"/>
      <c r="MVL244" s="16"/>
      <c r="MVM244" s="16"/>
      <c r="MVN244" s="16"/>
      <c r="MVO244" s="16"/>
      <c r="MVP244" s="15"/>
      <c r="MVQ244" s="15"/>
      <c r="MVR244" s="10"/>
      <c r="MVS244" s="10"/>
      <c r="MVT244" s="19"/>
      <c r="MVU244" s="19"/>
      <c r="MVX244" s="16"/>
      <c r="MVY244" s="15"/>
      <c r="MVZ244" s="15"/>
      <c r="MWA244" s="15"/>
      <c r="MWB244" s="16"/>
      <c r="MWC244" s="16"/>
      <c r="MWD244" s="16"/>
      <c r="MWE244" s="16"/>
      <c r="MWF244" s="16"/>
      <c r="MWG244" s="15"/>
      <c r="MWH244" s="15"/>
      <c r="MWI244" s="10"/>
      <c r="MWJ244" s="10"/>
      <c r="MWK244" s="19"/>
      <c r="MWL244" s="19"/>
      <c r="MWO244" s="16"/>
      <c r="MWP244" s="15"/>
      <c r="MWQ244" s="15"/>
      <c r="MWR244" s="15"/>
      <c r="MWS244" s="16"/>
      <c r="MWT244" s="16"/>
      <c r="MWU244" s="16"/>
      <c r="MWV244" s="16"/>
      <c r="MWW244" s="16"/>
      <c r="MWX244" s="15"/>
      <c r="MWY244" s="15"/>
      <c r="MWZ244" s="10"/>
      <c r="MXA244" s="10"/>
      <c r="MXB244" s="19"/>
      <c r="MXC244" s="19"/>
      <c r="MXF244" s="16"/>
      <c r="MXG244" s="15"/>
      <c r="MXH244" s="15"/>
      <c r="MXI244" s="15"/>
      <c r="MXJ244" s="16"/>
      <c r="MXK244" s="16"/>
      <c r="MXL244" s="16"/>
      <c r="MXM244" s="16"/>
      <c r="MXN244" s="16"/>
      <c r="MXO244" s="15"/>
      <c r="MXP244" s="15"/>
      <c r="MXQ244" s="10"/>
      <c r="MXR244" s="10"/>
      <c r="MXS244" s="19"/>
      <c r="MXT244" s="19"/>
      <c r="MXW244" s="16"/>
      <c r="MXX244" s="15"/>
      <c r="MXY244" s="15"/>
      <c r="MXZ244" s="15"/>
      <c r="MYA244" s="16"/>
      <c r="MYB244" s="16"/>
      <c r="MYC244" s="16"/>
      <c r="MYD244" s="16"/>
      <c r="MYE244" s="16"/>
      <c r="MYF244" s="15"/>
      <c r="MYG244" s="15"/>
      <c r="MYH244" s="10"/>
      <c r="MYI244" s="10"/>
      <c r="MYJ244" s="19"/>
      <c r="MYK244" s="19"/>
      <c r="MYN244" s="16"/>
      <c r="MYO244" s="15"/>
      <c r="MYP244" s="15"/>
      <c r="MYQ244" s="15"/>
      <c r="MYR244" s="16"/>
      <c r="MYS244" s="16"/>
      <c r="MYT244" s="16"/>
      <c r="MYU244" s="16"/>
      <c r="MYV244" s="16"/>
      <c r="MYW244" s="15"/>
      <c r="MYX244" s="15"/>
      <c r="MYY244" s="10"/>
      <c r="MYZ244" s="10"/>
      <c r="MZA244" s="19"/>
      <c r="MZB244" s="19"/>
      <c r="MZE244" s="16"/>
      <c r="MZF244" s="15"/>
      <c r="MZG244" s="15"/>
      <c r="MZH244" s="15"/>
      <c r="MZI244" s="16"/>
      <c r="MZJ244" s="16"/>
      <c r="MZK244" s="16"/>
      <c r="MZL244" s="16"/>
      <c r="MZM244" s="16"/>
      <c r="MZN244" s="15"/>
      <c r="MZO244" s="15"/>
      <c r="MZP244" s="10"/>
      <c r="MZQ244" s="10"/>
      <c r="MZR244" s="19"/>
      <c r="MZS244" s="19"/>
      <c r="MZV244" s="16"/>
      <c r="MZW244" s="15"/>
      <c r="MZX244" s="15"/>
      <c r="MZY244" s="15"/>
      <c r="MZZ244" s="16"/>
      <c r="NAA244" s="16"/>
      <c r="NAB244" s="16"/>
      <c r="NAC244" s="16"/>
      <c r="NAD244" s="16"/>
      <c r="NAE244" s="15"/>
      <c r="NAF244" s="15"/>
      <c r="NAG244" s="10"/>
      <c r="NAH244" s="10"/>
      <c r="NAI244" s="19"/>
      <c r="NAJ244" s="19"/>
      <c r="NAM244" s="16"/>
      <c r="NAN244" s="15"/>
      <c r="NAO244" s="15"/>
      <c r="NAP244" s="15"/>
      <c r="NAQ244" s="16"/>
      <c r="NAR244" s="16"/>
      <c r="NAS244" s="16"/>
      <c r="NAT244" s="16"/>
      <c r="NAU244" s="16"/>
      <c r="NAV244" s="15"/>
      <c r="NAW244" s="15"/>
      <c r="NAX244" s="10"/>
      <c r="NAY244" s="10"/>
      <c r="NAZ244" s="19"/>
      <c r="NBA244" s="19"/>
      <c r="NBD244" s="16"/>
      <c r="NBE244" s="15"/>
      <c r="NBF244" s="15"/>
      <c r="NBG244" s="15"/>
      <c r="NBH244" s="16"/>
      <c r="NBI244" s="16"/>
      <c r="NBJ244" s="16"/>
      <c r="NBK244" s="16"/>
      <c r="NBL244" s="16"/>
      <c r="NBM244" s="15"/>
      <c r="NBN244" s="15"/>
      <c r="NBO244" s="10"/>
      <c r="NBP244" s="10"/>
      <c r="NBQ244" s="19"/>
      <c r="NBR244" s="19"/>
      <c r="NBU244" s="16"/>
      <c r="NBV244" s="15"/>
      <c r="NBW244" s="15"/>
      <c r="NBX244" s="15"/>
      <c r="NBY244" s="16"/>
      <c r="NBZ244" s="16"/>
      <c r="NCA244" s="16"/>
      <c r="NCB244" s="16"/>
      <c r="NCC244" s="16"/>
      <c r="NCD244" s="15"/>
      <c r="NCE244" s="15"/>
      <c r="NCF244" s="10"/>
      <c r="NCG244" s="10"/>
      <c r="NCH244" s="19"/>
      <c r="NCI244" s="19"/>
      <c r="NCL244" s="16"/>
      <c r="NCM244" s="15"/>
      <c r="NCN244" s="15"/>
      <c r="NCO244" s="15"/>
      <c r="NCP244" s="16"/>
      <c r="NCQ244" s="16"/>
      <c r="NCR244" s="16"/>
      <c r="NCS244" s="16"/>
      <c r="NCT244" s="16"/>
      <c r="NCU244" s="15"/>
      <c r="NCV244" s="15"/>
      <c r="NCW244" s="10"/>
      <c r="NCX244" s="10"/>
      <c r="NCY244" s="19"/>
      <c r="NCZ244" s="19"/>
      <c r="NDC244" s="16"/>
      <c r="NDD244" s="15"/>
      <c r="NDE244" s="15"/>
      <c r="NDF244" s="15"/>
      <c r="NDG244" s="16"/>
      <c r="NDH244" s="16"/>
      <c r="NDI244" s="16"/>
      <c r="NDJ244" s="16"/>
      <c r="NDK244" s="16"/>
      <c r="NDL244" s="15"/>
      <c r="NDM244" s="15"/>
      <c r="NDN244" s="10"/>
      <c r="NDO244" s="10"/>
      <c r="NDP244" s="19"/>
      <c r="NDQ244" s="19"/>
      <c r="NDT244" s="16"/>
      <c r="NDU244" s="15"/>
      <c r="NDV244" s="15"/>
      <c r="NDW244" s="15"/>
      <c r="NDX244" s="16"/>
      <c r="NDY244" s="16"/>
      <c r="NDZ244" s="16"/>
      <c r="NEA244" s="16"/>
      <c r="NEB244" s="16"/>
      <c r="NEC244" s="15"/>
      <c r="NED244" s="15"/>
      <c r="NEE244" s="10"/>
      <c r="NEF244" s="10"/>
      <c r="NEG244" s="19"/>
      <c r="NEH244" s="19"/>
      <c r="NEK244" s="16"/>
      <c r="NEL244" s="15"/>
      <c r="NEM244" s="15"/>
      <c r="NEN244" s="15"/>
      <c r="NEO244" s="16"/>
      <c r="NEP244" s="16"/>
      <c r="NEQ244" s="16"/>
      <c r="NER244" s="16"/>
      <c r="NES244" s="16"/>
      <c r="NET244" s="15"/>
      <c r="NEU244" s="15"/>
      <c r="NEV244" s="10"/>
      <c r="NEW244" s="10"/>
      <c r="NEX244" s="19"/>
      <c r="NEY244" s="19"/>
      <c r="NFB244" s="16"/>
      <c r="NFC244" s="15"/>
      <c r="NFD244" s="15"/>
      <c r="NFE244" s="15"/>
      <c r="NFF244" s="16"/>
      <c r="NFG244" s="16"/>
      <c r="NFH244" s="16"/>
      <c r="NFI244" s="16"/>
      <c r="NFJ244" s="16"/>
      <c r="NFK244" s="15"/>
      <c r="NFL244" s="15"/>
      <c r="NFM244" s="10"/>
      <c r="NFN244" s="10"/>
      <c r="NFO244" s="19"/>
      <c r="NFP244" s="19"/>
      <c r="NFS244" s="16"/>
      <c r="NFT244" s="15"/>
      <c r="NFU244" s="15"/>
      <c r="NFV244" s="15"/>
      <c r="NFW244" s="16"/>
      <c r="NFX244" s="16"/>
      <c r="NFY244" s="16"/>
      <c r="NFZ244" s="16"/>
      <c r="NGA244" s="16"/>
      <c r="NGB244" s="15"/>
      <c r="NGC244" s="15"/>
      <c r="NGD244" s="10"/>
      <c r="NGE244" s="10"/>
      <c r="NGF244" s="19"/>
      <c r="NGG244" s="19"/>
      <c r="NGJ244" s="16"/>
      <c r="NGK244" s="15"/>
      <c r="NGL244" s="15"/>
      <c r="NGM244" s="15"/>
      <c r="NGN244" s="16"/>
      <c r="NGO244" s="16"/>
      <c r="NGP244" s="16"/>
      <c r="NGQ244" s="16"/>
      <c r="NGR244" s="16"/>
      <c r="NGS244" s="15"/>
      <c r="NGT244" s="15"/>
      <c r="NGU244" s="10"/>
      <c r="NGV244" s="10"/>
      <c r="NGW244" s="19"/>
      <c r="NGX244" s="19"/>
      <c r="NHA244" s="16"/>
      <c r="NHB244" s="15"/>
      <c r="NHC244" s="15"/>
      <c r="NHD244" s="15"/>
      <c r="NHE244" s="16"/>
      <c r="NHF244" s="16"/>
      <c r="NHG244" s="16"/>
      <c r="NHH244" s="16"/>
      <c r="NHI244" s="16"/>
      <c r="NHJ244" s="15"/>
      <c r="NHK244" s="15"/>
      <c r="NHL244" s="10"/>
      <c r="NHM244" s="10"/>
      <c r="NHN244" s="19"/>
      <c r="NHO244" s="19"/>
      <c r="NHR244" s="16"/>
      <c r="NHS244" s="15"/>
      <c r="NHT244" s="15"/>
      <c r="NHU244" s="15"/>
      <c r="NHV244" s="16"/>
      <c r="NHW244" s="16"/>
      <c r="NHX244" s="16"/>
      <c r="NHY244" s="16"/>
      <c r="NHZ244" s="16"/>
      <c r="NIA244" s="15"/>
      <c r="NIB244" s="15"/>
      <c r="NIC244" s="10"/>
      <c r="NID244" s="10"/>
      <c r="NIE244" s="19"/>
      <c r="NIF244" s="19"/>
      <c r="NII244" s="16"/>
      <c r="NIJ244" s="15"/>
      <c r="NIK244" s="15"/>
      <c r="NIL244" s="15"/>
      <c r="NIM244" s="16"/>
      <c r="NIN244" s="16"/>
      <c r="NIO244" s="16"/>
      <c r="NIP244" s="16"/>
      <c r="NIQ244" s="16"/>
      <c r="NIR244" s="15"/>
      <c r="NIS244" s="15"/>
      <c r="NIT244" s="10"/>
      <c r="NIU244" s="10"/>
      <c r="NIV244" s="19"/>
      <c r="NIW244" s="19"/>
      <c r="NIZ244" s="16"/>
      <c r="NJA244" s="15"/>
      <c r="NJB244" s="15"/>
      <c r="NJC244" s="15"/>
      <c r="NJD244" s="16"/>
      <c r="NJE244" s="16"/>
      <c r="NJF244" s="16"/>
      <c r="NJG244" s="16"/>
      <c r="NJH244" s="16"/>
      <c r="NJI244" s="15"/>
      <c r="NJJ244" s="15"/>
      <c r="NJK244" s="10"/>
      <c r="NJL244" s="10"/>
      <c r="NJM244" s="19"/>
      <c r="NJN244" s="19"/>
      <c r="NJQ244" s="16"/>
      <c r="NJR244" s="15"/>
      <c r="NJS244" s="15"/>
      <c r="NJT244" s="15"/>
      <c r="NJU244" s="16"/>
      <c r="NJV244" s="16"/>
      <c r="NJW244" s="16"/>
      <c r="NJX244" s="16"/>
      <c r="NJY244" s="16"/>
      <c r="NJZ244" s="15"/>
      <c r="NKA244" s="15"/>
      <c r="NKB244" s="10"/>
      <c r="NKC244" s="10"/>
      <c r="NKD244" s="19"/>
      <c r="NKE244" s="19"/>
      <c r="NKH244" s="16"/>
      <c r="NKI244" s="15"/>
      <c r="NKJ244" s="15"/>
      <c r="NKK244" s="15"/>
      <c r="NKL244" s="16"/>
      <c r="NKM244" s="16"/>
      <c r="NKN244" s="16"/>
      <c r="NKO244" s="16"/>
      <c r="NKP244" s="16"/>
      <c r="NKQ244" s="15"/>
      <c r="NKR244" s="15"/>
      <c r="NKS244" s="10"/>
      <c r="NKT244" s="10"/>
      <c r="NKU244" s="19"/>
      <c r="NKV244" s="19"/>
      <c r="NKY244" s="16"/>
      <c r="NKZ244" s="15"/>
      <c r="NLA244" s="15"/>
      <c r="NLB244" s="15"/>
      <c r="NLC244" s="16"/>
      <c r="NLD244" s="16"/>
      <c r="NLE244" s="16"/>
      <c r="NLF244" s="16"/>
      <c r="NLG244" s="16"/>
      <c r="NLH244" s="15"/>
      <c r="NLI244" s="15"/>
      <c r="NLJ244" s="10"/>
      <c r="NLK244" s="10"/>
      <c r="NLL244" s="19"/>
      <c r="NLM244" s="19"/>
      <c r="NLP244" s="16"/>
      <c r="NLQ244" s="15"/>
      <c r="NLR244" s="15"/>
      <c r="NLS244" s="15"/>
      <c r="NLT244" s="16"/>
      <c r="NLU244" s="16"/>
      <c r="NLV244" s="16"/>
      <c r="NLW244" s="16"/>
      <c r="NLX244" s="16"/>
      <c r="NLY244" s="15"/>
      <c r="NLZ244" s="15"/>
      <c r="NMA244" s="10"/>
      <c r="NMB244" s="10"/>
      <c r="NMC244" s="19"/>
      <c r="NMD244" s="19"/>
      <c r="NMG244" s="16"/>
      <c r="NMH244" s="15"/>
      <c r="NMI244" s="15"/>
      <c r="NMJ244" s="15"/>
      <c r="NMK244" s="16"/>
      <c r="NML244" s="16"/>
      <c r="NMM244" s="16"/>
      <c r="NMN244" s="16"/>
      <c r="NMO244" s="16"/>
      <c r="NMP244" s="15"/>
      <c r="NMQ244" s="15"/>
      <c r="NMR244" s="10"/>
      <c r="NMS244" s="10"/>
      <c r="NMT244" s="19"/>
      <c r="NMU244" s="19"/>
      <c r="NMX244" s="16"/>
      <c r="NMY244" s="15"/>
      <c r="NMZ244" s="15"/>
      <c r="NNA244" s="15"/>
      <c r="NNB244" s="16"/>
      <c r="NNC244" s="16"/>
      <c r="NND244" s="16"/>
      <c r="NNE244" s="16"/>
      <c r="NNF244" s="16"/>
      <c r="NNG244" s="15"/>
      <c r="NNH244" s="15"/>
      <c r="NNI244" s="10"/>
      <c r="NNJ244" s="10"/>
      <c r="NNK244" s="19"/>
      <c r="NNL244" s="19"/>
      <c r="NNO244" s="16"/>
      <c r="NNP244" s="15"/>
      <c r="NNQ244" s="15"/>
      <c r="NNR244" s="15"/>
      <c r="NNS244" s="16"/>
      <c r="NNT244" s="16"/>
      <c r="NNU244" s="16"/>
      <c r="NNV244" s="16"/>
      <c r="NNW244" s="16"/>
      <c r="NNX244" s="15"/>
      <c r="NNY244" s="15"/>
      <c r="NNZ244" s="10"/>
      <c r="NOA244" s="10"/>
      <c r="NOB244" s="19"/>
      <c r="NOC244" s="19"/>
      <c r="NOF244" s="16"/>
      <c r="NOG244" s="15"/>
      <c r="NOH244" s="15"/>
      <c r="NOI244" s="15"/>
      <c r="NOJ244" s="16"/>
      <c r="NOK244" s="16"/>
      <c r="NOL244" s="16"/>
      <c r="NOM244" s="16"/>
      <c r="NON244" s="16"/>
      <c r="NOO244" s="15"/>
      <c r="NOP244" s="15"/>
      <c r="NOQ244" s="10"/>
      <c r="NOR244" s="10"/>
      <c r="NOS244" s="19"/>
      <c r="NOT244" s="19"/>
      <c r="NOW244" s="16"/>
      <c r="NOX244" s="15"/>
      <c r="NOY244" s="15"/>
      <c r="NOZ244" s="15"/>
      <c r="NPA244" s="16"/>
      <c r="NPB244" s="16"/>
      <c r="NPC244" s="16"/>
      <c r="NPD244" s="16"/>
      <c r="NPE244" s="16"/>
      <c r="NPF244" s="15"/>
      <c r="NPG244" s="15"/>
      <c r="NPH244" s="10"/>
      <c r="NPI244" s="10"/>
      <c r="NPJ244" s="19"/>
      <c r="NPK244" s="19"/>
      <c r="NPN244" s="16"/>
      <c r="NPO244" s="15"/>
      <c r="NPP244" s="15"/>
      <c r="NPQ244" s="15"/>
      <c r="NPR244" s="16"/>
      <c r="NPS244" s="16"/>
      <c r="NPT244" s="16"/>
      <c r="NPU244" s="16"/>
      <c r="NPV244" s="16"/>
      <c r="NPW244" s="15"/>
      <c r="NPX244" s="15"/>
      <c r="NPY244" s="10"/>
      <c r="NPZ244" s="10"/>
      <c r="NQA244" s="19"/>
      <c r="NQB244" s="19"/>
      <c r="NQE244" s="16"/>
      <c r="NQF244" s="15"/>
      <c r="NQG244" s="15"/>
      <c r="NQH244" s="15"/>
      <c r="NQI244" s="16"/>
      <c r="NQJ244" s="16"/>
      <c r="NQK244" s="16"/>
      <c r="NQL244" s="16"/>
      <c r="NQM244" s="16"/>
      <c r="NQN244" s="15"/>
      <c r="NQO244" s="15"/>
      <c r="NQP244" s="10"/>
      <c r="NQQ244" s="10"/>
      <c r="NQR244" s="19"/>
      <c r="NQS244" s="19"/>
      <c r="NQV244" s="16"/>
      <c r="NQW244" s="15"/>
      <c r="NQX244" s="15"/>
      <c r="NQY244" s="15"/>
      <c r="NQZ244" s="16"/>
      <c r="NRA244" s="16"/>
      <c r="NRB244" s="16"/>
      <c r="NRC244" s="16"/>
      <c r="NRD244" s="16"/>
      <c r="NRE244" s="15"/>
      <c r="NRF244" s="15"/>
      <c r="NRG244" s="10"/>
      <c r="NRH244" s="10"/>
      <c r="NRI244" s="19"/>
      <c r="NRJ244" s="19"/>
      <c r="NRM244" s="16"/>
      <c r="NRN244" s="15"/>
      <c r="NRO244" s="15"/>
      <c r="NRP244" s="15"/>
      <c r="NRQ244" s="16"/>
      <c r="NRR244" s="16"/>
      <c r="NRS244" s="16"/>
      <c r="NRT244" s="16"/>
      <c r="NRU244" s="16"/>
      <c r="NRV244" s="15"/>
      <c r="NRW244" s="15"/>
      <c r="NRX244" s="10"/>
      <c r="NRY244" s="10"/>
      <c r="NRZ244" s="19"/>
      <c r="NSA244" s="19"/>
      <c r="NSD244" s="16"/>
      <c r="NSE244" s="15"/>
      <c r="NSF244" s="15"/>
      <c r="NSG244" s="15"/>
      <c r="NSH244" s="16"/>
      <c r="NSI244" s="16"/>
      <c r="NSJ244" s="16"/>
      <c r="NSK244" s="16"/>
      <c r="NSL244" s="16"/>
      <c r="NSM244" s="15"/>
      <c r="NSN244" s="15"/>
      <c r="NSO244" s="10"/>
      <c r="NSP244" s="10"/>
      <c r="NSQ244" s="19"/>
      <c r="NSR244" s="19"/>
      <c r="NSU244" s="16"/>
      <c r="NSV244" s="15"/>
      <c r="NSW244" s="15"/>
      <c r="NSX244" s="15"/>
      <c r="NSY244" s="16"/>
      <c r="NSZ244" s="16"/>
      <c r="NTA244" s="16"/>
      <c r="NTB244" s="16"/>
      <c r="NTC244" s="16"/>
      <c r="NTD244" s="15"/>
      <c r="NTE244" s="15"/>
      <c r="NTF244" s="10"/>
      <c r="NTG244" s="10"/>
      <c r="NTH244" s="19"/>
      <c r="NTI244" s="19"/>
      <c r="NTL244" s="16"/>
      <c r="NTM244" s="15"/>
      <c r="NTN244" s="15"/>
      <c r="NTO244" s="15"/>
      <c r="NTP244" s="16"/>
      <c r="NTQ244" s="16"/>
      <c r="NTR244" s="16"/>
      <c r="NTS244" s="16"/>
      <c r="NTT244" s="16"/>
      <c r="NTU244" s="15"/>
      <c r="NTV244" s="15"/>
      <c r="NTW244" s="10"/>
      <c r="NTX244" s="10"/>
      <c r="NTY244" s="19"/>
      <c r="NTZ244" s="19"/>
      <c r="NUC244" s="16"/>
      <c r="NUD244" s="15"/>
      <c r="NUE244" s="15"/>
      <c r="NUF244" s="15"/>
      <c r="NUG244" s="16"/>
      <c r="NUH244" s="16"/>
      <c r="NUI244" s="16"/>
      <c r="NUJ244" s="16"/>
      <c r="NUK244" s="16"/>
      <c r="NUL244" s="15"/>
      <c r="NUM244" s="15"/>
      <c r="NUN244" s="10"/>
      <c r="NUO244" s="10"/>
      <c r="NUP244" s="19"/>
      <c r="NUQ244" s="19"/>
      <c r="NUT244" s="16"/>
      <c r="NUU244" s="15"/>
      <c r="NUV244" s="15"/>
      <c r="NUW244" s="15"/>
      <c r="NUX244" s="16"/>
      <c r="NUY244" s="16"/>
      <c r="NUZ244" s="16"/>
      <c r="NVA244" s="16"/>
      <c r="NVB244" s="16"/>
      <c r="NVC244" s="15"/>
      <c r="NVD244" s="15"/>
      <c r="NVE244" s="10"/>
      <c r="NVF244" s="10"/>
      <c r="NVG244" s="19"/>
      <c r="NVH244" s="19"/>
      <c r="NVK244" s="16"/>
      <c r="NVL244" s="15"/>
      <c r="NVM244" s="15"/>
      <c r="NVN244" s="15"/>
      <c r="NVO244" s="16"/>
      <c r="NVP244" s="16"/>
      <c r="NVQ244" s="16"/>
      <c r="NVR244" s="16"/>
      <c r="NVS244" s="16"/>
      <c r="NVT244" s="15"/>
      <c r="NVU244" s="15"/>
      <c r="NVV244" s="10"/>
      <c r="NVW244" s="10"/>
      <c r="NVX244" s="19"/>
      <c r="NVY244" s="19"/>
      <c r="NWB244" s="16"/>
      <c r="NWC244" s="15"/>
      <c r="NWD244" s="15"/>
      <c r="NWE244" s="15"/>
      <c r="NWF244" s="16"/>
      <c r="NWG244" s="16"/>
      <c r="NWH244" s="16"/>
      <c r="NWI244" s="16"/>
      <c r="NWJ244" s="16"/>
      <c r="NWK244" s="15"/>
      <c r="NWL244" s="15"/>
      <c r="NWM244" s="10"/>
      <c r="NWN244" s="10"/>
      <c r="NWO244" s="19"/>
      <c r="NWP244" s="19"/>
      <c r="NWS244" s="16"/>
      <c r="NWT244" s="15"/>
      <c r="NWU244" s="15"/>
      <c r="NWV244" s="15"/>
      <c r="NWW244" s="16"/>
      <c r="NWX244" s="16"/>
      <c r="NWY244" s="16"/>
      <c r="NWZ244" s="16"/>
      <c r="NXA244" s="16"/>
      <c r="NXB244" s="15"/>
      <c r="NXC244" s="15"/>
      <c r="NXD244" s="10"/>
      <c r="NXE244" s="10"/>
      <c r="NXF244" s="19"/>
      <c r="NXG244" s="19"/>
      <c r="NXJ244" s="16"/>
      <c r="NXK244" s="15"/>
      <c r="NXL244" s="15"/>
      <c r="NXM244" s="15"/>
      <c r="NXN244" s="16"/>
      <c r="NXO244" s="16"/>
      <c r="NXP244" s="16"/>
      <c r="NXQ244" s="16"/>
      <c r="NXR244" s="16"/>
      <c r="NXS244" s="15"/>
      <c r="NXT244" s="15"/>
      <c r="NXU244" s="10"/>
      <c r="NXV244" s="10"/>
      <c r="NXW244" s="19"/>
      <c r="NXX244" s="19"/>
      <c r="NYA244" s="16"/>
      <c r="NYB244" s="15"/>
      <c r="NYC244" s="15"/>
      <c r="NYD244" s="15"/>
      <c r="NYE244" s="16"/>
      <c r="NYF244" s="16"/>
      <c r="NYG244" s="16"/>
      <c r="NYH244" s="16"/>
      <c r="NYI244" s="16"/>
      <c r="NYJ244" s="15"/>
      <c r="NYK244" s="15"/>
      <c r="NYL244" s="10"/>
      <c r="NYM244" s="10"/>
      <c r="NYN244" s="19"/>
      <c r="NYO244" s="19"/>
      <c r="NYR244" s="16"/>
      <c r="NYS244" s="15"/>
      <c r="NYT244" s="15"/>
      <c r="NYU244" s="15"/>
      <c r="NYV244" s="16"/>
      <c r="NYW244" s="16"/>
      <c r="NYX244" s="16"/>
      <c r="NYY244" s="16"/>
      <c r="NYZ244" s="16"/>
      <c r="NZA244" s="15"/>
      <c r="NZB244" s="15"/>
      <c r="NZC244" s="10"/>
      <c r="NZD244" s="10"/>
      <c r="NZE244" s="19"/>
      <c r="NZF244" s="19"/>
      <c r="NZI244" s="16"/>
      <c r="NZJ244" s="15"/>
      <c r="NZK244" s="15"/>
      <c r="NZL244" s="15"/>
      <c r="NZM244" s="16"/>
      <c r="NZN244" s="16"/>
      <c r="NZO244" s="16"/>
      <c r="NZP244" s="16"/>
      <c r="NZQ244" s="16"/>
      <c r="NZR244" s="15"/>
      <c r="NZS244" s="15"/>
      <c r="NZT244" s="10"/>
      <c r="NZU244" s="10"/>
      <c r="NZV244" s="19"/>
      <c r="NZW244" s="19"/>
      <c r="NZZ244" s="16"/>
      <c r="OAA244" s="15"/>
      <c r="OAB244" s="15"/>
      <c r="OAC244" s="15"/>
      <c r="OAD244" s="16"/>
      <c r="OAE244" s="16"/>
      <c r="OAF244" s="16"/>
      <c r="OAG244" s="16"/>
      <c r="OAH244" s="16"/>
      <c r="OAI244" s="15"/>
      <c r="OAJ244" s="15"/>
      <c r="OAK244" s="10"/>
      <c r="OAL244" s="10"/>
      <c r="OAM244" s="19"/>
      <c r="OAN244" s="19"/>
      <c r="OAQ244" s="16"/>
      <c r="OAR244" s="15"/>
      <c r="OAS244" s="15"/>
      <c r="OAT244" s="15"/>
      <c r="OAU244" s="16"/>
      <c r="OAV244" s="16"/>
      <c r="OAW244" s="16"/>
      <c r="OAX244" s="16"/>
      <c r="OAY244" s="16"/>
      <c r="OAZ244" s="15"/>
      <c r="OBA244" s="15"/>
      <c r="OBB244" s="10"/>
      <c r="OBC244" s="10"/>
      <c r="OBD244" s="19"/>
      <c r="OBE244" s="19"/>
      <c r="OBH244" s="16"/>
      <c r="OBI244" s="15"/>
      <c r="OBJ244" s="15"/>
      <c r="OBK244" s="15"/>
      <c r="OBL244" s="16"/>
      <c r="OBM244" s="16"/>
      <c r="OBN244" s="16"/>
      <c r="OBO244" s="16"/>
      <c r="OBP244" s="16"/>
      <c r="OBQ244" s="15"/>
      <c r="OBR244" s="15"/>
      <c r="OBS244" s="10"/>
      <c r="OBT244" s="10"/>
      <c r="OBU244" s="19"/>
      <c r="OBV244" s="19"/>
      <c r="OBY244" s="16"/>
      <c r="OBZ244" s="15"/>
      <c r="OCA244" s="15"/>
      <c r="OCB244" s="15"/>
      <c r="OCC244" s="16"/>
      <c r="OCD244" s="16"/>
      <c r="OCE244" s="16"/>
      <c r="OCF244" s="16"/>
      <c r="OCG244" s="16"/>
      <c r="OCH244" s="15"/>
      <c r="OCI244" s="15"/>
      <c r="OCJ244" s="10"/>
      <c r="OCK244" s="10"/>
      <c r="OCL244" s="19"/>
      <c r="OCM244" s="19"/>
      <c r="OCP244" s="16"/>
      <c r="OCQ244" s="15"/>
      <c r="OCR244" s="15"/>
      <c r="OCS244" s="15"/>
      <c r="OCT244" s="16"/>
      <c r="OCU244" s="16"/>
      <c r="OCV244" s="16"/>
      <c r="OCW244" s="16"/>
      <c r="OCX244" s="16"/>
      <c r="OCY244" s="15"/>
      <c r="OCZ244" s="15"/>
      <c r="ODA244" s="10"/>
      <c r="ODB244" s="10"/>
      <c r="ODC244" s="19"/>
      <c r="ODD244" s="19"/>
      <c r="ODG244" s="16"/>
      <c r="ODH244" s="15"/>
      <c r="ODI244" s="15"/>
      <c r="ODJ244" s="15"/>
      <c r="ODK244" s="16"/>
      <c r="ODL244" s="16"/>
      <c r="ODM244" s="16"/>
      <c r="ODN244" s="16"/>
      <c r="ODO244" s="16"/>
      <c r="ODP244" s="15"/>
      <c r="ODQ244" s="15"/>
      <c r="ODR244" s="10"/>
      <c r="ODS244" s="10"/>
      <c r="ODT244" s="19"/>
      <c r="ODU244" s="19"/>
      <c r="ODX244" s="16"/>
      <c r="ODY244" s="15"/>
      <c r="ODZ244" s="15"/>
      <c r="OEA244" s="15"/>
      <c r="OEB244" s="16"/>
      <c r="OEC244" s="16"/>
      <c r="OED244" s="16"/>
      <c r="OEE244" s="16"/>
      <c r="OEF244" s="16"/>
      <c r="OEG244" s="15"/>
      <c r="OEH244" s="15"/>
      <c r="OEI244" s="10"/>
      <c r="OEJ244" s="10"/>
      <c r="OEK244" s="19"/>
      <c r="OEL244" s="19"/>
      <c r="OEO244" s="16"/>
      <c r="OEP244" s="15"/>
      <c r="OEQ244" s="15"/>
      <c r="OER244" s="15"/>
      <c r="OES244" s="16"/>
      <c r="OET244" s="16"/>
      <c r="OEU244" s="16"/>
      <c r="OEV244" s="16"/>
      <c r="OEW244" s="16"/>
      <c r="OEX244" s="15"/>
      <c r="OEY244" s="15"/>
      <c r="OEZ244" s="10"/>
      <c r="OFA244" s="10"/>
      <c r="OFB244" s="19"/>
      <c r="OFC244" s="19"/>
      <c r="OFF244" s="16"/>
      <c r="OFG244" s="15"/>
      <c r="OFH244" s="15"/>
      <c r="OFI244" s="15"/>
      <c r="OFJ244" s="16"/>
      <c r="OFK244" s="16"/>
      <c r="OFL244" s="16"/>
      <c r="OFM244" s="16"/>
      <c r="OFN244" s="16"/>
      <c r="OFO244" s="15"/>
      <c r="OFP244" s="15"/>
      <c r="OFQ244" s="10"/>
      <c r="OFR244" s="10"/>
      <c r="OFS244" s="19"/>
      <c r="OFT244" s="19"/>
      <c r="OFW244" s="16"/>
      <c r="OFX244" s="15"/>
      <c r="OFY244" s="15"/>
      <c r="OFZ244" s="15"/>
      <c r="OGA244" s="16"/>
      <c r="OGB244" s="16"/>
      <c r="OGC244" s="16"/>
      <c r="OGD244" s="16"/>
      <c r="OGE244" s="16"/>
      <c r="OGF244" s="15"/>
      <c r="OGG244" s="15"/>
      <c r="OGH244" s="10"/>
      <c r="OGI244" s="10"/>
      <c r="OGJ244" s="19"/>
      <c r="OGK244" s="19"/>
      <c r="OGN244" s="16"/>
      <c r="OGO244" s="15"/>
      <c r="OGP244" s="15"/>
      <c r="OGQ244" s="15"/>
      <c r="OGR244" s="16"/>
      <c r="OGS244" s="16"/>
      <c r="OGT244" s="16"/>
      <c r="OGU244" s="16"/>
      <c r="OGV244" s="16"/>
      <c r="OGW244" s="15"/>
      <c r="OGX244" s="15"/>
      <c r="OGY244" s="10"/>
      <c r="OGZ244" s="10"/>
      <c r="OHA244" s="19"/>
      <c r="OHB244" s="19"/>
      <c r="OHE244" s="16"/>
      <c r="OHF244" s="15"/>
      <c r="OHG244" s="15"/>
      <c r="OHH244" s="15"/>
      <c r="OHI244" s="16"/>
      <c r="OHJ244" s="16"/>
      <c r="OHK244" s="16"/>
      <c r="OHL244" s="16"/>
      <c r="OHM244" s="16"/>
      <c r="OHN244" s="15"/>
      <c r="OHO244" s="15"/>
      <c r="OHP244" s="10"/>
      <c r="OHQ244" s="10"/>
      <c r="OHR244" s="19"/>
      <c r="OHS244" s="19"/>
      <c r="OHV244" s="16"/>
      <c r="OHW244" s="15"/>
      <c r="OHX244" s="15"/>
      <c r="OHY244" s="15"/>
      <c r="OHZ244" s="16"/>
      <c r="OIA244" s="16"/>
      <c r="OIB244" s="16"/>
      <c r="OIC244" s="16"/>
      <c r="OID244" s="16"/>
      <c r="OIE244" s="15"/>
      <c r="OIF244" s="15"/>
      <c r="OIG244" s="10"/>
      <c r="OIH244" s="10"/>
      <c r="OII244" s="19"/>
      <c r="OIJ244" s="19"/>
      <c r="OIM244" s="16"/>
      <c r="OIN244" s="15"/>
      <c r="OIO244" s="15"/>
      <c r="OIP244" s="15"/>
      <c r="OIQ244" s="16"/>
      <c r="OIR244" s="16"/>
      <c r="OIS244" s="16"/>
      <c r="OIT244" s="16"/>
      <c r="OIU244" s="16"/>
      <c r="OIV244" s="15"/>
      <c r="OIW244" s="15"/>
      <c r="OIX244" s="10"/>
      <c r="OIY244" s="10"/>
      <c r="OIZ244" s="19"/>
      <c r="OJA244" s="19"/>
      <c r="OJD244" s="16"/>
      <c r="OJE244" s="15"/>
      <c r="OJF244" s="15"/>
      <c r="OJG244" s="15"/>
      <c r="OJH244" s="16"/>
      <c r="OJI244" s="16"/>
      <c r="OJJ244" s="16"/>
      <c r="OJK244" s="16"/>
      <c r="OJL244" s="16"/>
      <c r="OJM244" s="15"/>
      <c r="OJN244" s="15"/>
      <c r="OJO244" s="10"/>
      <c r="OJP244" s="10"/>
      <c r="OJQ244" s="19"/>
      <c r="OJR244" s="19"/>
      <c r="OJU244" s="16"/>
      <c r="OJV244" s="15"/>
      <c r="OJW244" s="15"/>
      <c r="OJX244" s="15"/>
      <c r="OJY244" s="16"/>
      <c r="OJZ244" s="16"/>
      <c r="OKA244" s="16"/>
      <c r="OKB244" s="16"/>
      <c r="OKC244" s="16"/>
      <c r="OKD244" s="15"/>
      <c r="OKE244" s="15"/>
      <c r="OKF244" s="10"/>
      <c r="OKG244" s="10"/>
      <c r="OKH244" s="19"/>
      <c r="OKI244" s="19"/>
      <c r="OKL244" s="16"/>
      <c r="OKM244" s="15"/>
      <c r="OKN244" s="15"/>
      <c r="OKO244" s="15"/>
      <c r="OKP244" s="16"/>
      <c r="OKQ244" s="16"/>
      <c r="OKR244" s="16"/>
      <c r="OKS244" s="16"/>
      <c r="OKT244" s="16"/>
      <c r="OKU244" s="15"/>
      <c r="OKV244" s="15"/>
      <c r="OKW244" s="10"/>
      <c r="OKX244" s="10"/>
      <c r="OKY244" s="19"/>
      <c r="OKZ244" s="19"/>
      <c r="OLC244" s="16"/>
      <c r="OLD244" s="15"/>
      <c r="OLE244" s="15"/>
      <c r="OLF244" s="15"/>
      <c r="OLG244" s="16"/>
      <c r="OLH244" s="16"/>
      <c r="OLI244" s="16"/>
      <c r="OLJ244" s="16"/>
      <c r="OLK244" s="16"/>
      <c r="OLL244" s="15"/>
      <c r="OLM244" s="15"/>
      <c r="OLN244" s="10"/>
      <c r="OLO244" s="10"/>
      <c r="OLP244" s="19"/>
      <c r="OLQ244" s="19"/>
      <c r="OLT244" s="16"/>
      <c r="OLU244" s="15"/>
      <c r="OLV244" s="15"/>
      <c r="OLW244" s="15"/>
      <c r="OLX244" s="16"/>
      <c r="OLY244" s="16"/>
      <c r="OLZ244" s="16"/>
      <c r="OMA244" s="16"/>
      <c r="OMB244" s="16"/>
      <c r="OMC244" s="15"/>
      <c r="OMD244" s="15"/>
      <c r="OME244" s="10"/>
      <c r="OMF244" s="10"/>
      <c r="OMG244" s="19"/>
      <c r="OMH244" s="19"/>
      <c r="OMK244" s="16"/>
      <c r="OML244" s="15"/>
      <c r="OMM244" s="15"/>
      <c r="OMN244" s="15"/>
      <c r="OMO244" s="16"/>
      <c r="OMP244" s="16"/>
      <c r="OMQ244" s="16"/>
      <c r="OMR244" s="16"/>
      <c r="OMS244" s="16"/>
      <c r="OMT244" s="15"/>
      <c r="OMU244" s="15"/>
      <c r="OMV244" s="10"/>
      <c r="OMW244" s="10"/>
      <c r="OMX244" s="19"/>
      <c r="OMY244" s="19"/>
      <c r="ONB244" s="16"/>
      <c r="ONC244" s="15"/>
      <c r="OND244" s="15"/>
      <c r="ONE244" s="15"/>
      <c r="ONF244" s="16"/>
      <c r="ONG244" s="16"/>
      <c r="ONH244" s="16"/>
      <c r="ONI244" s="16"/>
      <c r="ONJ244" s="16"/>
      <c r="ONK244" s="15"/>
      <c r="ONL244" s="15"/>
      <c r="ONM244" s="10"/>
      <c r="ONN244" s="10"/>
      <c r="ONO244" s="19"/>
      <c r="ONP244" s="19"/>
      <c r="ONS244" s="16"/>
      <c r="ONT244" s="15"/>
      <c r="ONU244" s="15"/>
      <c r="ONV244" s="15"/>
      <c r="ONW244" s="16"/>
      <c r="ONX244" s="16"/>
      <c r="ONY244" s="16"/>
      <c r="ONZ244" s="16"/>
      <c r="OOA244" s="16"/>
      <c r="OOB244" s="15"/>
      <c r="OOC244" s="15"/>
      <c r="OOD244" s="10"/>
      <c r="OOE244" s="10"/>
      <c r="OOF244" s="19"/>
      <c r="OOG244" s="19"/>
      <c r="OOJ244" s="16"/>
      <c r="OOK244" s="15"/>
      <c r="OOL244" s="15"/>
      <c r="OOM244" s="15"/>
      <c r="OON244" s="16"/>
      <c r="OOO244" s="16"/>
      <c r="OOP244" s="16"/>
      <c r="OOQ244" s="16"/>
      <c r="OOR244" s="16"/>
      <c r="OOS244" s="15"/>
      <c r="OOT244" s="15"/>
      <c r="OOU244" s="10"/>
      <c r="OOV244" s="10"/>
      <c r="OOW244" s="19"/>
      <c r="OOX244" s="19"/>
      <c r="OPA244" s="16"/>
      <c r="OPB244" s="15"/>
      <c r="OPC244" s="15"/>
      <c r="OPD244" s="15"/>
      <c r="OPE244" s="16"/>
      <c r="OPF244" s="16"/>
      <c r="OPG244" s="16"/>
      <c r="OPH244" s="16"/>
      <c r="OPI244" s="16"/>
      <c r="OPJ244" s="15"/>
      <c r="OPK244" s="15"/>
      <c r="OPL244" s="10"/>
      <c r="OPM244" s="10"/>
      <c r="OPN244" s="19"/>
      <c r="OPO244" s="19"/>
      <c r="OPR244" s="16"/>
      <c r="OPS244" s="15"/>
      <c r="OPT244" s="15"/>
      <c r="OPU244" s="15"/>
      <c r="OPV244" s="16"/>
      <c r="OPW244" s="16"/>
      <c r="OPX244" s="16"/>
      <c r="OPY244" s="16"/>
      <c r="OPZ244" s="16"/>
      <c r="OQA244" s="15"/>
      <c r="OQB244" s="15"/>
      <c r="OQC244" s="10"/>
      <c r="OQD244" s="10"/>
      <c r="OQE244" s="19"/>
      <c r="OQF244" s="19"/>
      <c r="OQI244" s="16"/>
      <c r="OQJ244" s="15"/>
      <c r="OQK244" s="15"/>
      <c r="OQL244" s="15"/>
      <c r="OQM244" s="16"/>
      <c r="OQN244" s="16"/>
      <c r="OQO244" s="16"/>
      <c r="OQP244" s="16"/>
      <c r="OQQ244" s="16"/>
      <c r="OQR244" s="15"/>
      <c r="OQS244" s="15"/>
      <c r="OQT244" s="10"/>
      <c r="OQU244" s="10"/>
      <c r="OQV244" s="19"/>
      <c r="OQW244" s="19"/>
      <c r="OQZ244" s="16"/>
      <c r="ORA244" s="15"/>
      <c r="ORB244" s="15"/>
      <c r="ORC244" s="15"/>
      <c r="ORD244" s="16"/>
      <c r="ORE244" s="16"/>
      <c r="ORF244" s="16"/>
      <c r="ORG244" s="16"/>
      <c r="ORH244" s="16"/>
      <c r="ORI244" s="15"/>
      <c r="ORJ244" s="15"/>
      <c r="ORK244" s="10"/>
      <c r="ORL244" s="10"/>
      <c r="ORM244" s="19"/>
      <c r="ORN244" s="19"/>
      <c r="ORQ244" s="16"/>
      <c r="ORR244" s="15"/>
      <c r="ORS244" s="15"/>
      <c r="ORT244" s="15"/>
      <c r="ORU244" s="16"/>
      <c r="ORV244" s="16"/>
      <c r="ORW244" s="16"/>
      <c r="ORX244" s="16"/>
      <c r="ORY244" s="16"/>
      <c r="ORZ244" s="15"/>
      <c r="OSA244" s="15"/>
      <c r="OSB244" s="10"/>
      <c r="OSC244" s="10"/>
      <c r="OSD244" s="19"/>
      <c r="OSE244" s="19"/>
      <c r="OSH244" s="16"/>
      <c r="OSI244" s="15"/>
      <c r="OSJ244" s="15"/>
      <c r="OSK244" s="15"/>
      <c r="OSL244" s="16"/>
      <c r="OSM244" s="16"/>
      <c r="OSN244" s="16"/>
      <c r="OSO244" s="16"/>
      <c r="OSP244" s="16"/>
      <c r="OSQ244" s="15"/>
      <c r="OSR244" s="15"/>
      <c r="OSS244" s="10"/>
      <c r="OST244" s="10"/>
      <c r="OSU244" s="19"/>
      <c r="OSV244" s="19"/>
      <c r="OSY244" s="16"/>
      <c r="OSZ244" s="15"/>
      <c r="OTA244" s="15"/>
      <c r="OTB244" s="15"/>
      <c r="OTC244" s="16"/>
      <c r="OTD244" s="16"/>
      <c r="OTE244" s="16"/>
      <c r="OTF244" s="16"/>
      <c r="OTG244" s="16"/>
      <c r="OTH244" s="15"/>
      <c r="OTI244" s="15"/>
      <c r="OTJ244" s="10"/>
      <c r="OTK244" s="10"/>
      <c r="OTL244" s="19"/>
      <c r="OTM244" s="19"/>
      <c r="OTP244" s="16"/>
      <c r="OTQ244" s="15"/>
      <c r="OTR244" s="15"/>
      <c r="OTS244" s="15"/>
      <c r="OTT244" s="16"/>
      <c r="OTU244" s="16"/>
      <c r="OTV244" s="16"/>
      <c r="OTW244" s="16"/>
      <c r="OTX244" s="16"/>
      <c r="OTY244" s="15"/>
      <c r="OTZ244" s="15"/>
      <c r="OUA244" s="10"/>
      <c r="OUB244" s="10"/>
      <c r="OUC244" s="19"/>
      <c r="OUD244" s="19"/>
      <c r="OUG244" s="16"/>
      <c r="OUH244" s="15"/>
      <c r="OUI244" s="15"/>
      <c r="OUJ244" s="15"/>
      <c r="OUK244" s="16"/>
      <c r="OUL244" s="16"/>
      <c r="OUM244" s="16"/>
      <c r="OUN244" s="16"/>
      <c r="OUO244" s="16"/>
      <c r="OUP244" s="15"/>
      <c r="OUQ244" s="15"/>
      <c r="OUR244" s="10"/>
      <c r="OUS244" s="10"/>
      <c r="OUT244" s="19"/>
      <c r="OUU244" s="19"/>
      <c r="OUX244" s="16"/>
      <c r="OUY244" s="15"/>
      <c r="OUZ244" s="15"/>
      <c r="OVA244" s="15"/>
      <c r="OVB244" s="16"/>
      <c r="OVC244" s="16"/>
      <c r="OVD244" s="16"/>
      <c r="OVE244" s="16"/>
      <c r="OVF244" s="16"/>
      <c r="OVG244" s="15"/>
      <c r="OVH244" s="15"/>
      <c r="OVI244" s="10"/>
      <c r="OVJ244" s="10"/>
      <c r="OVK244" s="19"/>
      <c r="OVL244" s="19"/>
      <c r="OVO244" s="16"/>
      <c r="OVP244" s="15"/>
      <c r="OVQ244" s="15"/>
      <c r="OVR244" s="15"/>
      <c r="OVS244" s="16"/>
      <c r="OVT244" s="16"/>
      <c r="OVU244" s="16"/>
      <c r="OVV244" s="16"/>
      <c r="OVW244" s="16"/>
      <c r="OVX244" s="15"/>
      <c r="OVY244" s="15"/>
      <c r="OVZ244" s="10"/>
      <c r="OWA244" s="10"/>
      <c r="OWB244" s="19"/>
      <c r="OWC244" s="19"/>
      <c r="OWF244" s="16"/>
      <c r="OWG244" s="15"/>
      <c r="OWH244" s="15"/>
      <c r="OWI244" s="15"/>
      <c r="OWJ244" s="16"/>
      <c r="OWK244" s="16"/>
      <c r="OWL244" s="16"/>
      <c r="OWM244" s="16"/>
      <c r="OWN244" s="16"/>
      <c r="OWO244" s="15"/>
      <c r="OWP244" s="15"/>
      <c r="OWQ244" s="10"/>
      <c r="OWR244" s="10"/>
      <c r="OWS244" s="19"/>
      <c r="OWT244" s="19"/>
      <c r="OWW244" s="16"/>
      <c r="OWX244" s="15"/>
      <c r="OWY244" s="15"/>
      <c r="OWZ244" s="15"/>
      <c r="OXA244" s="16"/>
      <c r="OXB244" s="16"/>
      <c r="OXC244" s="16"/>
      <c r="OXD244" s="16"/>
      <c r="OXE244" s="16"/>
      <c r="OXF244" s="15"/>
      <c r="OXG244" s="15"/>
      <c r="OXH244" s="10"/>
      <c r="OXI244" s="10"/>
      <c r="OXJ244" s="19"/>
      <c r="OXK244" s="19"/>
      <c r="OXN244" s="16"/>
      <c r="OXO244" s="15"/>
      <c r="OXP244" s="15"/>
      <c r="OXQ244" s="15"/>
      <c r="OXR244" s="16"/>
      <c r="OXS244" s="16"/>
      <c r="OXT244" s="16"/>
      <c r="OXU244" s="16"/>
      <c r="OXV244" s="16"/>
      <c r="OXW244" s="15"/>
      <c r="OXX244" s="15"/>
      <c r="OXY244" s="10"/>
      <c r="OXZ244" s="10"/>
      <c r="OYA244" s="19"/>
      <c r="OYB244" s="19"/>
      <c r="OYE244" s="16"/>
      <c r="OYF244" s="15"/>
      <c r="OYG244" s="15"/>
      <c r="OYH244" s="15"/>
      <c r="OYI244" s="16"/>
      <c r="OYJ244" s="16"/>
      <c r="OYK244" s="16"/>
      <c r="OYL244" s="16"/>
      <c r="OYM244" s="16"/>
      <c r="OYN244" s="15"/>
      <c r="OYO244" s="15"/>
      <c r="OYP244" s="10"/>
      <c r="OYQ244" s="10"/>
      <c r="OYR244" s="19"/>
      <c r="OYS244" s="19"/>
      <c r="OYV244" s="16"/>
      <c r="OYW244" s="15"/>
      <c r="OYX244" s="15"/>
      <c r="OYY244" s="15"/>
      <c r="OYZ244" s="16"/>
      <c r="OZA244" s="16"/>
      <c r="OZB244" s="16"/>
      <c r="OZC244" s="16"/>
      <c r="OZD244" s="16"/>
      <c r="OZE244" s="15"/>
      <c r="OZF244" s="15"/>
      <c r="OZG244" s="10"/>
      <c r="OZH244" s="10"/>
      <c r="OZI244" s="19"/>
      <c r="OZJ244" s="19"/>
      <c r="OZM244" s="16"/>
      <c r="OZN244" s="15"/>
      <c r="OZO244" s="15"/>
      <c r="OZP244" s="15"/>
      <c r="OZQ244" s="16"/>
      <c r="OZR244" s="16"/>
      <c r="OZS244" s="16"/>
      <c r="OZT244" s="16"/>
      <c r="OZU244" s="16"/>
      <c r="OZV244" s="15"/>
      <c r="OZW244" s="15"/>
      <c r="OZX244" s="10"/>
      <c r="OZY244" s="10"/>
      <c r="OZZ244" s="19"/>
      <c r="PAA244" s="19"/>
      <c r="PAD244" s="16"/>
      <c r="PAE244" s="15"/>
      <c r="PAF244" s="15"/>
      <c r="PAG244" s="15"/>
      <c r="PAH244" s="16"/>
      <c r="PAI244" s="16"/>
      <c r="PAJ244" s="16"/>
      <c r="PAK244" s="16"/>
      <c r="PAL244" s="16"/>
      <c r="PAM244" s="15"/>
      <c r="PAN244" s="15"/>
      <c r="PAO244" s="10"/>
      <c r="PAP244" s="10"/>
      <c r="PAQ244" s="19"/>
      <c r="PAR244" s="19"/>
      <c r="PAU244" s="16"/>
      <c r="PAV244" s="15"/>
      <c r="PAW244" s="15"/>
      <c r="PAX244" s="15"/>
      <c r="PAY244" s="16"/>
      <c r="PAZ244" s="16"/>
      <c r="PBA244" s="16"/>
      <c r="PBB244" s="16"/>
      <c r="PBC244" s="16"/>
      <c r="PBD244" s="15"/>
      <c r="PBE244" s="15"/>
      <c r="PBF244" s="10"/>
      <c r="PBG244" s="10"/>
      <c r="PBH244" s="19"/>
      <c r="PBI244" s="19"/>
      <c r="PBL244" s="16"/>
      <c r="PBM244" s="15"/>
      <c r="PBN244" s="15"/>
      <c r="PBO244" s="15"/>
      <c r="PBP244" s="16"/>
      <c r="PBQ244" s="16"/>
      <c r="PBR244" s="16"/>
      <c r="PBS244" s="16"/>
      <c r="PBT244" s="16"/>
      <c r="PBU244" s="15"/>
      <c r="PBV244" s="15"/>
      <c r="PBW244" s="10"/>
      <c r="PBX244" s="10"/>
      <c r="PBY244" s="19"/>
      <c r="PBZ244" s="19"/>
      <c r="PCC244" s="16"/>
      <c r="PCD244" s="15"/>
      <c r="PCE244" s="15"/>
      <c r="PCF244" s="15"/>
      <c r="PCG244" s="16"/>
      <c r="PCH244" s="16"/>
      <c r="PCI244" s="16"/>
      <c r="PCJ244" s="16"/>
      <c r="PCK244" s="16"/>
      <c r="PCL244" s="15"/>
      <c r="PCM244" s="15"/>
      <c r="PCN244" s="10"/>
      <c r="PCO244" s="10"/>
      <c r="PCP244" s="19"/>
      <c r="PCQ244" s="19"/>
      <c r="PCT244" s="16"/>
      <c r="PCU244" s="15"/>
      <c r="PCV244" s="15"/>
      <c r="PCW244" s="15"/>
      <c r="PCX244" s="16"/>
      <c r="PCY244" s="16"/>
      <c r="PCZ244" s="16"/>
      <c r="PDA244" s="16"/>
      <c r="PDB244" s="16"/>
      <c r="PDC244" s="15"/>
      <c r="PDD244" s="15"/>
      <c r="PDE244" s="10"/>
      <c r="PDF244" s="10"/>
      <c r="PDG244" s="19"/>
      <c r="PDH244" s="19"/>
      <c r="PDK244" s="16"/>
      <c r="PDL244" s="15"/>
      <c r="PDM244" s="15"/>
      <c r="PDN244" s="15"/>
      <c r="PDO244" s="16"/>
      <c r="PDP244" s="16"/>
      <c r="PDQ244" s="16"/>
      <c r="PDR244" s="16"/>
      <c r="PDS244" s="16"/>
      <c r="PDT244" s="15"/>
      <c r="PDU244" s="15"/>
      <c r="PDV244" s="10"/>
      <c r="PDW244" s="10"/>
      <c r="PDX244" s="19"/>
      <c r="PDY244" s="19"/>
      <c r="PEB244" s="16"/>
      <c r="PEC244" s="15"/>
      <c r="PED244" s="15"/>
      <c r="PEE244" s="15"/>
      <c r="PEF244" s="16"/>
      <c r="PEG244" s="16"/>
      <c r="PEH244" s="16"/>
      <c r="PEI244" s="16"/>
      <c r="PEJ244" s="16"/>
      <c r="PEK244" s="15"/>
      <c r="PEL244" s="15"/>
      <c r="PEM244" s="10"/>
      <c r="PEN244" s="10"/>
      <c r="PEO244" s="19"/>
      <c r="PEP244" s="19"/>
      <c r="PES244" s="16"/>
      <c r="PET244" s="15"/>
      <c r="PEU244" s="15"/>
      <c r="PEV244" s="15"/>
      <c r="PEW244" s="16"/>
      <c r="PEX244" s="16"/>
      <c r="PEY244" s="16"/>
      <c r="PEZ244" s="16"/>
      <c r="PFA244" s="16"/>
      <c r="PFB244" s="15"/>
      <c r="PFC244" s="15"/>
      <c r="PFD244" s="10"/>
      <c r="PFE244" s="10"/>
      <c r="PFF244" s="19"/>
      <c r="PFG244" s="19"/>
      <c r="PFJ244" s="16"/>
      <c r="PFK244" s="15"/>
      <c r="PFL244" s="15"/>
      <c r="PFM244" s="15"/>
      <c r="PFN244" s="16"/>
      <c r="PFO244" s="16"/>
      <c r="PFP244" s="16"/>
      <c r="PFQ244" s="16"/>
      <c r="PFR244" s="16"/>
      <c r="PFS244" s="15"/>
      <c r="PFT244" s="15"/>
      <c r="PFU244" s="10"/>
      <c r="PFV244" s="10"/>
      <c r="PFW244" s="19"/>
      <c r="PFX244" s="19"/>
      <c r="PGA244" s="16"/>
      <c r="PGB244" s="15"/>
      <c r="PGC244" s="15"/>
      <c r="PGD244" s="15"/>
      <c r="PGE244" s="16"/>
      <c r="PGF244" s="16"/>
      <c r="PGG244" s="16"/>
      <c r="PGH244" s="16"/>
      <c r="PGI244" s="16"/>
      <c r="PGJ244" s="15"/>
      <c r="PGK244" s="15"/>
      <c r="PGL244" s="10"/>
      <c r="PGM244" s="10"/>
      <c r="PGN244" s="19"/>
      <c r="PGO244" s="19"/>
      <c r="PGR244" s="16"/>
      <c r="PGS244" s="15"/>
      <c r="PGT244" s="15"/>
      <c r="PGU244" s="15"/>
      <c r="PGV244" s="16"/>
      <c r="PGW244" s="16"/>
      <c r="PGX244" s="16"/>
      <c r="PGY244" s="16"/>
      <c r="PGZ244" s="16"/>
      <c r="PHA244" s="15"/>
      <c r="PHB244" s="15"/>
      <c r="PHC244" s="10"/>
      <c r="PHD244" s="10"/>
      <c r="PHE244" s="19"/>
      <c r="PHF244" s="19"/>
      <c r="PHI244" s="16"/>
      <c r="PHJ244" s="15"/>
      <c r="PHK244" s="15"/>
      <c r="PHL244" s="15"/>
      <c r="PHM244" s="16"/>
      <c r="PHN244" s="16"/>
      <c r="PHO244" s="16"/>
      <c r="PHP244" s="16"/>
      <c r="PHQ244" s="16"/>
      <c r="PHR244" s="15"/>
      <c r="PHS244" s="15"/>
      <c r="PHT244" s="10"/>
      <c r="PHU244" s="10"/>
      <c r="PHV244" s="19"/>
      <c r="PHW244" s="19"/>
      <c r="PHZ244" s="16"/>
      <c r="PIA244" s="15"/>
      <c r="PIB244" s="15"/>
      <c r="PIC244" s="15"/>
      <c r="PID244" s="16"/>
      <c r="PIE244" s="16"/>
      <c r="PIF244" s="16"/>
      <c r="PIG244" s="16"/>
      <c r="PIH244" s="16"/>
      <c r="PII244" s="15"/>
      <c r="PIJ244" s="15"/>
      <c r="PIK244" s="10"/>
      <c r="PIL244" s="10"/>
      <c r="PIM244" s="19"/>
      <c r="PIN244" s="19"/>
      <c r="PIQ244" s="16"/>
      <c r="PIR244" s="15"/>
      <c r="PIS244" s="15"/>
      <c r="PIT244" s="15"/>
      <c r="PIU244" s="16"/>
      <c r="PIV244" s="16"/>
      <c r="PIW244" s="16"/>
      <c r="PIX244" s="16"/>
      <c r="PIY244" s="16"/>
      <c r="PIZ244" s="15"/>
      <c r="PJA244" s="15"/>
      <c r="PJB244" s="10"/>
      <c r="PJC244" s="10"/>
      <c r="PJD244" s="19"/>
      <c r="PJE244" s="19"/>
      <c r="PJH244" s="16"/>
      <c r="PJI244" s="15"/>
      <c r="PJJ244" s="15"/>
      <c r="PJK244" s="15"/>
      <c r="PJL244" s="16"/>
      <c r="PJM244" s="16"/>
      <c r="PJN244" s="16"/>
      <c r="PJO244" s="16"/>
      <c r="PJP244" s="16"/>
      <c r="PJQ244" s="15"/>
      <c r="PJR244" s="15"/>
      <c r="PJS244" s="10"/>
      <c r="PJT244" s="10"/>
      <c r="PJU244" s="19"/>
      <c r="PJV244" s="19"/>
      <c r="PJY244" s="16"/>
      <c r="PJZ244" s="15"/>
      <c r="PKA244" s="15"/>
      <c r="PKB244" s="15"/>
      <c r="PKC244" s="16"/>
      <c r="PKD244" s="16"/>
      <c r="PKE244" s="16"/>
      <c r="PKF244" s="16"/>
      <c r="PKG244" s="16"/>
      <c r="PKH244" s="15"/>
      <c r="PKI244" s="15"/>
      <c r="PKJ244" s="10"/>
      <c r="PKK244" s="10"/>
      <c r="PKL244" s="19"/>
      <c r="PKM244" s="19"/>
      <c r="PKP244" s="16"/>
      <c r="PKQ244" s="15"/>
      <c r="PKR244" s="15"/>
      <c r="PKS244" s="15"/>
      <c r="PKT244" s="16"/>
      <c r="PKU244" s="16"/>
      <c r="PKV244" s="16"/>
      <c r="PKW244" s="16"/>
      <c r="PKX244" s="16"/>
      <c r="PKY244" s="15"/>
      <c r="PKZ244" s="15"/>
      <c r="PLA244" s="10"/>
      <c r="PLB244" s="10"/>
      <c r="PLC244" s="19"/>
      <c r="PLD244" s="19"/>
      <c r="PLG244" s="16"/>
      <c r="PLH244" s="15"/>
      <c r="PLI244" s="15"/>
      <c r="PLJ244" s="15"/>
      <c r="PLK244" s="16"/>
      <c r="PLL244" s="16"/>
      <c r="PLM244" s="16"/>
      <c r="PLN244" s="16"/>
      <c r="PLO244" s="16"/>
      <c r="PLP244" s="15"/>
      <c r="PLQ244" s="15"/>
      <c r="PLR244" s="10"/>
      <c r="PLS244" s="10"/>
      <c r="PLT244" s="19"/>
      <c r="PLU244" s="19"/>
      <c r="PLX244" s="16"/>
      <c r="PLY244" s="15"/>
      <c r="PLZ244" s="15"/>
      <c r="PMA244" s="15"/>
      <c r="PMB244" s="16"/>
      <c r="PMC244" s="16"/>
      <c r="PMD244" s="16"/>
      <c r="PME244" s="16"/>
      <c r="PMF244" s="16"/>
      <c r="PMG244" s="15"/>
      <c r="PMH244" s="15"/>
      <c r="PMI244" s="10"/>
      <c r="PMJ244" s="10"/>
      <c r="PMK244" s="19"/>
      <c r="PML244" s="19"/>
      <c r="PMO244" s="16"/>
      <c r="PMP244" s="15"/>
      <c r="PMQ244" s="15"/>
      <c r="PMR244" s="15"/>
      <c r="PMS244" s="16"/>
      <c r="PMT244" s="16"/>
      <c r="PMU244" s="16"/>
      <c r="PMV244" s="16"/>
      <c r="PMW244" s="16"/>
      <c r="PMX244" s="15"/>
      <c r="PMY244" s="15"/>
      <c r="PMZ244" s="10"/>
      <c r="PNA244" s="10"/>
      <c r="PNB244" s="19"/>
      <c r="PNC244" s="19"/>
      <c r="PNF244" s="16"/>
      <c r="PNG244" s="15"/>
      <c r="PNH244" s="15"/>
      <c r="PNI244" s="15"/>
      <c r="PNJ244" s="16"/>
      <c r="PNK244" s="16"/>
      <c r="PNL244" s="16"/>
      <c r="PNM244" s="16"/>
      <c r="PNN244" s="16"/>
      <c r="PNO244" s="15"/>
      <c r="PNP244" s="15"/>
      <c r="PNQ244" s="10"/>
      <c r="PNR244" s="10"/>
      <c r="PNS244" s="19"/>
      <c r="PNT244" s="19"/>
      <c r="PNW244" s="16"/>
      <c r="PNX244" s="15"/>
      <c r="PNY244" s="15"/>
      <c r="PNZ244" s="15"/>
      <c r="POA244" s="16"/>
      <c r="POB244" s="16"/>
      <c r="POC244" s="16"/>
      <c r="POD244" s="16"/>
      <c r="POE244" s="16"/>
      <c r="POF244" s="15"/>
      <c r="POG244" s="15"/>
      <c r="POH244" s="10"/>
      <c r="POI244" s="10"/>
      <c r="POJ244" s="19"/>
      <c r="POK244" s="19"/>
      <c r="PON244" s="16"/>
      <c r="POO244" s="15"/>
      <c r="POP244" s="15"/>
      <c r="POQ244" s="15"/>
      <c r="POR244" s="16"/>
      <c r="POS244" s="16"/>
      <c r="POT244" s="16"/>
      <c r="POU244" s="16"/>
      <c r="POV244" s="16"/>
      <c r="POW244" s="15"/>
      <c r="POX244" s="15"/>
      <c r="POY244" s="10"/>
      <c r="POZ244" s="10"/>
      <c r="PPA244" s="19"/>
      <c r="PPB244" s="19"/>
      <c r="PPE244" s="16"/>
      <c r="PPF244" s="15"/>
      <c r="PPG244" s="15"/>
      <c r="PPH244" s="15"/>
      <c r="PPI244" s="16"/>
      <c r="PPJ244" s="16"/>
      <c r="PPK244" s="16"/>
      <c r="PPL244" s="16"/>
      <c r="PPM244" s="16"/>
      <c r="PPN244" s="15"/>
      <c r="PPO244" s="15"/>
      <c r="PPP244" s="10"/>
      <c r="PPQ244" s="10"/>
      <c r="PPR244" s="19"/>
      <c r="PPS244" s="19"/>
      <c r="PPV244" s="16"/>
      <c r="PPW244" s="15"/>
      <c r="PPX244" s="15"/>
      <c r="PPY244" s="15"/>
      <c r="PPZ244" s="16"/>
      <c r="PQA244" s="16"/>
      <c r="PQB244" s="16"/>
      <c r="PQC244" s="16"/>
      <c r="PQD244" s="16"/>
      <c r="PQE244" s="15"/>
      <c r="PQF244" s="15"/>
      <c r="PQG244" s="10"/>
      <c r="PQH244" s="10"/>
      <c r="PQI244" s="19"/>
      <c r="PQJ244" s="19"/>
      <c r="PQM244" s="16"/>
      <c r="PQN244" s="15"/>
      <c r="PQO244" s="15"/>
      <c r="PQP244" s="15"/>
      <c r="PQQ244" s="16"/>
      <c r="PQR244" s="16"/>
      <c r="PQS244" s="16"/>
      <c r="PQT244" s="16"/>
      <c r="PQU244" s="16"/>
      <c r="PQV244" s="15"/>
      <c r="PQW244" s="15"/>
      <c r="PQX244" s="10"/>
      <c r="PQY244" s="10"/>
      <c r="PQZ244" s="19"/>
      <c r="PRA244" s="19"/>
      <c r="PRD244" s="16"/>
      <c r="PRE244" s="15"/>
      <c r="PRF244" s="15"/>
      <c r="PRG244" s="15"/>
      <c r="PRH244" s="16"/>
      <c r="PRI244" s="16"/>
      <c r="PRJ244" s="16"/>
      <c r="PRK244" s="16"/>
      <c r="PRL244" s="16"/>
      <c r="PRM244" s="15"/>
      <c r="PRN244" s="15"/>
      <c r="PRO244" s="10"/>
      <c r="PRP244" s="10"/>
      <c r="PRQ244" s="19"/>
      <c r="PRR244" s="19"/>
      <c r="PRU244" s="16"/>
      <c r="PRV244" s="15"/>
      <c r="PRW244" s="15"/>
      <c r="PRX244" s="15"/>
      <c r="PRY244" s="16"/>
      <c r="PRZ244" s="16"/>
      <c r="PSA244" s="16"/>
      <c r="PSB244" s="16"/>
      <c r="PSC244" s="16"/>
      <c r="PSD244" s="15"/>
      <c r="PSE244" s="15"/>
      <c r="PSF244" s="10"/>
      <c r="PSG244" s="10"/>
      <c r="PSH244" s="19"/>
      <c r="PSI244" s="19"/>
      <c r="PSL244" s="16"/>
      <c r="PSM244" s="15"/>
      <c r="PSN244" s="15"/>
      <c r="PSO244" s="15"/>
      <c r="PSP244" s="16"/>
      <c r="PSQ244" s="16"/>
      <c r="PSR244" s="16"/>
      <c r="PSS244" s="16"/>
      <c r="PST244" s="16"/>
      <c r="PSU244" s="15"/>
      <c r="PSV244" s="15"/>
      <c r="PSW244" s="10"/>
      <c r="PSX244" s="10"/>
      <c r="PSY244" s="19"/>
      <c r="PSZ244" s="19"/>
      <c r="PTC244" s="16"/>
      <c r="PTD244" s="15"/>
      <c r="PTE244" s="15"/>
      <c r="PTF244" s="15"/>
      <c r="PTG244" s="16"/>
      <c r="PTH244" s="16"/>
      <c r="PTI244" s="16"/>
      <c r="PTJ244" s="16"/>
      <c r="PTK244" s="16"/>
      <c r="PTL244" s="15"/>
      <c r="PTM244" s="15"/>
      <c r="PTN244" s="10"/>
      <c r="PTO244" s="10"/>
      <c r="PTP244" s="19"/>
      <c r="PTQ244" s="19"/>
      <c r="PTT244" s="16"/>
      <c r="PTU244" s="15"/>
      <c r="PTV244" s="15"/>
      <c r="PTW244" s="15"/>
      <c r="PTX244" s="16"/>
      <c r="PTY244" s="16"/>
      <c r="PTZ244" s="16"/>
      <c r="PUA244" s="16"/>
      <c r="PUB244" s="16"/>
      <c r="PUC244" s="15"/>
      <c r="PUD244" s="15"/>
      <c r="PUE244" s="10"/>
      <c r="PUF244" s="10"/>
      <c r="PUG244" s="19"/>
      <c r="PUH244" s="19"/>
      <c r="PUK244" s="16"/>
      <c r="PUL244" s="15"/>
      <c r="PUM244" s="15"/>
      <c r="PUN244" s="15"/>
      <c r="PUO244" s="16"/>
      <c r="PUP244" s="16"/>
      <c r="PUQ244" s="16"/>
      <c r="PUR244" s="16"/>
      <c r="PUS244" s="16"/>
      <c r="PUT244" s="15"/>
      <c r="PUU244" s="15"/>
      <c r="PUV244" s="10"/>
      <c r="PUW244" s="10"/>
      <c r="PUX244" s="19"/>
      <c r="PUY244" s="19"/>
      <c r="PVB244" s="16"/>
      <c r="PVC244" s="15"/>
      <c r="PVD244" s="15"/>
      <c r="PVE244" s="15"/>
      <c r="PVF244" s="16"/>
      <c r="PVG244" s="16"/>
      <c r="PVH244" s="16"/>
      <c r="PVI244" s="16"/>
      <c r="PVJ244" s="16"/>
      <c r="PVK244" s="15"/>
      <c r="PVL244" s="15"/>
      <c r="PVM244" s="10"/>
      <c r="PVN244" s="10"/>
      <c r="PVO244" s="19"/>
      <c r="PVP244" s="19"/>
      <c r="PVS244" s="16"/>
      <c r="PVT244" s="15"/>
      <c r="PVU244" s="15"/>
      <c r="PVV244" s="15"/>
      <c r="PVW244" s="16"/>
      <c r="PVX244" s="16"/>
      <c r="PVY244" s="16"/>
      <c r="PVZ244" s="16"/>
      <c r="PWA244" s="16"/>
      <c r="PWB244" s="15"/>
      <c r="PWC244" s="15"/>
      <c r="PWD244" s="10"/>
      <c r="PWE244" s="10"/>
      <c r="PWF244" s="19"/>
      <c r="PWG244" s="19"/>
      <c r="PWJ244" s="16"/>
      <c r="PWK244" s="15"/>
      <c r="PWL244" s="15"/>
      <c r="PWM244" s="15"/>
      <c r="PWN244" s="16"/>
      <c r="PWO244" s="16"/>
      <c r="PWP244" s="16"/>
      <c r="PWQ244" s="16"/>
      <c r="PWR244" s="16"/>
      <c r="PWS244" s="15"/>
      <c r="PWT244" s="15"/>
      <c r="PWU244" s="10"/>
      <c r="PWV244" s="10"/>
      <c r="PWW244" s="19"/>
      <c r="PWX244" s="19"/>
      <c r="PXA244" s="16"/>
      <c r="PXB244" s="15"/>
      <c r="PXC244" s="15"/>
      <c r="PXD244" s="15"/>
      <c r="PXE244" s="16"/>
      <c r="PXF244" s="16"/>
      <c r="PXG244" s="16"/>
      <c r="PXH244" s="16"/>
      <c r="PXI244" s="16"/>
      <c r="PXJ244" s="15"/>
      <c r="PXK244" s="15"/>
      <c r="PXL244" s="10"/>
      <c r="PXM244" s="10"/>
      <c r="PXN244" s="19"/>
      <c r="PXO244" s="19"/>
      <c r="PXR244" s="16"/>
      <c r="PXS244" s="15"/>
      <c r="PXT244" s="15"/>
      <c r="PXU244" s="15"/>
      <c r="PXV244" s="16"/>
      <c r="PXW244" s="16"/>
      <c r="PXX244" s="16"/>
      <c r="PXY244" s="16"/>
      <c r="PXZ244" s="16"/>
      <c r="PYA244" s="15"/>
      <c r="PYB244" s="15"/>
      <c r="PYC244" s="10"/>
      <c r="PYD244" s="10"/>
      <c r="PYE244" s="19"/>
      <c r="PYF244" s="19"/>
      <c r="PYI244" s="16"/>
      <c r="PYJ244" s="15"/>
      <c r="PYK244" s="15"/>
      <c r="PYL244" s="15"/>
      <c r="PYM244" s="16"/>
      <c r="PYN244" s="16"/>
      <c r="PYO244" s="16"/>
      <c r="PYP244" s="16"/>
      <c r="PYQ244" s="16"/>
      <c r="PYR244" s="15"/>
      <c r="PYS244" s="15"/>
      <c r="PYT244" s="10"/>
      <c r="PYU244" s="10"/>
      <c r="PYV244" s="19"/>
      <c r="PYW244" s="19"/>
      <c r="PYZ244" s="16"/>
      <c r="PZA244" s="15"/>
      <c r="PZB244" s="15"/>
      <c r="PZC244" s="15"/>
      <c r="PZD244" s="16"/>
      <c r="PZE244" s="16"/>
      <c r="PZF244" s="16"/>
      <c r="PZG244" s="16"/>
      <c r="PZH244" s="16"/>
      <c r="PZI244" s="15"/>
      <c r="PZJ244" s="15"/>
      <c r="PZK244" s="10"/>
      <c r="PZL244" s="10"/>
      <c r="PZM244" s="19"/>
      <c r="PZN244" s="19"/>
      <c r="PZQ244" s="16"/>
      <c r="PZR244" s="15"/>
      <c r="PZS244" s="15"/>
      <c r="PZT244" s="15"/>
      <c r="PZU244" s="16"/>
      <c r="PZV244" s="16"/>
      <c r="PZW244" s="16"/>
      <c r="PZX244" s="16"/>
      <c r="PZY244" s="16"/>
      <c r="PZZ244" s="15"/>
      <c r="QAA244" s="15"/>
      <c r="QAB244" s="10"/>
      <c r="QAC244" s="10"/>
      <c r="QAD244" s="19"/>
      <c r="QAE244" s="19"/>
      <c r="QAH244" s="16"/>
      <c r="QAI244" s="15"/>
      <c r="QAJ244" s="15"/>
      <c r="QAK244" s="15"/>
      <c r="QAL244" s="16"/>
      <c r="QAM244" s="16"/>
      <c r="QAN244" s="16"/>
      <c r="QAO244" s="16"/>
      <c r="QAP244" s="16"/>
      <c r="QAQ244" s="15"/>
      <c r="QAR244" s="15"/>
      <c r="QAS244" s="10"/>
      <c r="QAT244" s="10"/>
      <c r="QAU244" s="19"/>
      <c r="QAV244" s="19"/>
      <c r="QAY244" s="16"/>
      <c r="QAZ244" s="15"/>
      <c r="QBA244" s="15"/>
      <c r="QBB244" s="15"/>
      <c r="QBC244" s="16"/>
      <c r="QBD244" s="16"/>
      <c r="QBE244" s="16"/>
      <c r="QBF244" s="16"/>
      <c r="QBG244" s="16"/>
      <c r="QBH244" s="15"/>
      <c r="QBI244" s="15"/>
      <c r="QBJ244" s="10"/>
      <c r="QBK244" s="10"/>
      <c r="QBL244" s="19"/>
      <c r="QBM244" s="19"/>
      <c r="QBP244" s="16"/>
      <c r="QBQ244" s="15"/>
      <c r="QBR244" s="15"/>
      <c r="QBS244" s="15"/>
      <c r="QBT244" s="16"/>
      <c r="QBU244" s="16"/>
      <c r="QBV244" s="16"/>
      <c r="QBW244" s="16"/>
      <c r="QBX244" s="16"/>
      <c r="QBY244" s="15"/>
      <c r="QBZ244" s="15"/>
      <c r="QCA244" s="10"/>
      <c r="QCB244" s="10"/>
      <c r="QCC244" s="19"/>
      <c r="QCD244" s="19"/>
      <c r="QCG244" s="16"/>
      <c r="QCH244" s="15"/>
      <c r="QCI244" s="15"/>
      <c r="QCJ244" s="15"/>
      <c r="QCK244" s="16"/>
      <c r="QCL244" s="16"/>
      <c r="QCM244" s="16"/>
      <c r="QCN244" s="16"/>
      <c r="QCO244" s="16"/>
      <c r="QCP244" s="15"/>
      <c r="QCQ244" s="15"/>
      <c r="QCR244" s="10"/>
      <c r="QCS244" s="10"/>
      <c r="QCT244" s="19"/>
      <c r="QCU244" s="19"/>
      <c r="QCX244" s="16"/>
      <c r="QCY244" s="15"/>
      <c r="QCZ244" s="15"/>
      <c r="QDA244" s="15"/>
      <c r="QDB244" s="16"/>
      <c r="QDC244" s="16"/>
      <c r="QDD244" s="16"/>
      <c r="QDE244" s="16"/>
      <c r="QDF244" s="16"/>
      <c r="QDG244" s="15"/>
      <c r="QDH244" s="15"/>
      <c r="QDI244" s="10"/>
      <c r="QDJ244" s="10"/>
      <c r="QDK244" s="19"/>
      <c r="QDL244" s="19"/>
      <c r="QDO244" s="16"/>
      <c r="QDP244" s="15"/>
      <c r="QDQ244" s="15"/>
      <c r="QDR244" s="15"/>
      <c r="QDS244" s="16"/>
      <c r="QDT244" s="16"/>
      <c r="QDU244" s="16"/>
      <c r="QDV244" s="16"/>
      <c r="QDW244" s="16"/>
      <c r="QDX244" s="15"/>
      <c r="QDY244" s="15"/>
      <c r="QDZ244" s="10"/>
      <c r="QEA244" s="10"/>
      <c r="QEB244" s="19"/>
      <c r="QEC244" s="19"/>
      <c r="QEF244" s="16"/>
      <c r="QEG244" s="15"/>
      <c r="QEH244" s="15"/>
      <c r="QEI244" s="15"/>
      <c r="QEJ244" s="16"/>
      <c r="QEK244" s="16"/>
      <c r="QEL244" s="16"/>
      <c r="QEM244" s="16"/>
      <c r="QEN244" s="16"/>
      <c r="QEO244" s="15"/>
      <c r="QEP244" s="15"/>
      <c r="QEQ244" s="10"/>
      <c r="QER244" s="10"/>
      <c r="QES244" s="19"/>
      <c r="QET244" s="19"/>
      <c r="QEW244" s="16"/>
      <c r="QEX244" s="15"/>
      <c r="QEY244" s="15"/>
      <c r="QEZ244" s="15"/>
      <c r="QFA244" s="16"/>
      <c r="QFB244" s="16"/>
      <c r="QFC244" s="16"/>
      <c r="QFD244" s="16"/>
      <c r="QFE244" s="16"/>
      <c r="QFF244" s="15"/>
      <c r="QFG244" s="15"/>
      <c r="QFH244" s="10"/>
      <c r="QFI244" s="10"/>
      <c r="QFJ244" s="19"/>
      <c r="QFK244" s="19"/>
      <c r="QFN244" s="16"/>
      <c r="QFO244" s="15"/>
      <c r="QFP244" s="15"/>
      <c r="QFQ244" s="15"/>
      <c r="QFR244" s="16"/>
      <c r="QFS244" s="16"/>
      <c r="QFT244" s="16"/>
      <c r="QFU244" s="16"/>
      <c r="QFV244" s="16"/>
      <c r="QFW244" s="15"/>
      <c r="QFX244" s="15"/>
      <c r="QFY244" s="10"/>
      <c r="QFZ244" s="10"/>
      <c r="QGA244" s="19"/>
      <c r="QGB244" s="19"/>
      <c r="QGE244" s="16"/>
      <c r="QGF244" s="15"/>
      <c r="QGG244" s="15"/>
      <c r="QGH244" s="15"/>
      <c r="QGI244" s="16"/>
      <c r="QGJ244" s="16"/>
      <c r="QGK244" s="16"/>
      <c r="QGL244" s="16"/>
      <c r="QGM244" s="16"/>
      <c r="QGN244" s="15"/>
      <c r="QGO244" s="15"/>
      <c r="QGP244" s="10"/>
      <c r="QGQ244" s="10"/>
      <c r="QGR244" s="19"/>
      <c r="QGS244" s="19"/>
      <c r="QGV244" s="16"/>
      <c r="QGW244" s="15"/>
      <c r="QGX244" s="15"/>
      <c r="QGY244" s="15"/>
      <c r="QGZ244" s="16"/>
      <c r="QHA244" s="16"/>
      <c r="QHB244" s="16"/>
      <c r="QHC244" s="16"/>
      <c r="QHD244" s="16"/>
      <c r="QHE244" s="15"/>
      <c r="QHF244" s="15"/>
      <c r="QHG244" s="10"/>
      <c r="QHH244" s="10"/>
      <c r="QHI244" s="19"/>
      <c r="QHJ244" s="19"/>
      <c r="QHM244" s="16"/>
      <c r="QHN244" s="15"/>
      <c r="QHO244" s="15"/>
      <c r="QHP244" s="15"/>
      <c r="QHQ244" s="16"/>
      <c r="QHR244" s="16"/>
      <c r="QHS244" s="16"/>
      <c r="QHT244" s="16"/>
      <c r="QHU244" s="16"/>
      <c r="QHV244" s="15"/>
      <c r="QHW244" s="15"/>
      <c r="QHX244" s="10"/>
      <c r="QHY244" s="10"/>
      <c r="QHZ244" s="19"/>
      <c r="QIA244" s="19"/>
      <c r="QID244" s="16"/>
      <c r="QIE244" s="15"/>
      <c r="QIF244" s="15"/>
      <c r="QIG244" s="15"/>
      <c r="QIH244" s="16"/>
      <c r="QII244" s="16"/>
      <c r="QIJ244" s="16"/>
      <c r="QIK244" s="16"/>
      <c r="QIL244" s="16"/>
      <c r="QIM244" s="15"/>
      <c r="QIN244" s="15"/>
      <c r="QIO244" s="10"/>
      <c r="QIP244" s="10"/>
      <c r="QIQ244" s="19"/>
      <c r="QIR244" s="19"/>
      <c r="QIU244" s="16"/>
      <c r="QIV244" s="15"/>
      <c r="QIW244" s="15"/>
      <c r="QIX244" s="15"/>
      <c r="QIY244" s="16"/>
      <c r="QIZ244" s="16"/>
      <c r="QJA244" s="16"/>
      <c r="QJB244" s="16"/>
      <c r="QJC244" s="16"/>
      <c r="QJD244" s="15"/>
      <c r="QJE244" s="15"/>
      <c r="QJF244" s="10"/>
      <c r="QJG244" s="10"/>
      <c r="QJH244" s="19"/>
      <c r="QJI244" s="19"/>
      <c r="QJL244" s="16"/>
      <c r="QJM244" s="15"/>
      <c r="QJN244" s="15"/>
      <c r="QJO244" s="15"/>
      <c r="QJP244" s="16"/>
      <c r="QJQ244" s="16"/>
      <c r="QJR244" s="16"/>
      <c r="QJS244" s="16"/>
      <c r="QJT244" s="16"/>
      <c r="QJU244" s="15"/>
      <c r="QJV244" s="15"/>
      <c r="QJW244" s="10"/>
      <c r="QJX244" s="10"/>
      <c r="QJY244" s="19"/>
      <c r="QJZ244" s="19"/>
      <c r="QKC244" s="16"/>
      <c r="QKD244" s="15"/>
      <c r="QKE244" s="15"/>
      <c r="QKF244" s="15"/>
      <c r="QKG244" s="16"/>
      <c r="QKH244" s="16"/>
      <c r="QKI244" s="16"/>
      <c r="QKJ244" s="16"/>
      <c r="QKK244" s="16"/>
      <c r="QKL244" s="15"/>
      <c r="QKM244" s="15"/>
      <c r="QKN244" s="10"/>
      <c r="QKO244" s="10"/>
      <c r="QKP244" s="19"/>
      <c r="QKQ244" s="19"/>
      <c r="QKT244" s="16"/>
      <c r="QKU244" s="15"/>
      <c r="QKV244" s="15"/>
      <c r="QKW244" s="15"/>
      <c r="QKX244" s="16"/>
      <c r="QKY244" s="16"/>
      <c r="QKZ244" s="16"/>
      <c r="QLA244" s="16"/>
      <c r="QLB244" s="16"/>
      <c r="QLC244" s="15"/>
      <c r="QLD244" s="15"/>
      <c r="QLE244" s="10"/>
      <c r="QLF244" s="10"/>
      <c r="QLG244" s="19"/>
      <c r="QLH244" s="19"/>
      <c r="QLK244" s="16"/>
      <c r="QLL244" s="15"/>
      <c r="QLM244" s="15"/>
      <c r="QLN244" s="15"/>
      <c r="QLO244" s="16"/>
      <c r="QLP244" s="16"/>
      <c r="QLQ244" s="16"/>
      <c r="QLR244" s="16"/>
      <c r="QLS244" s="16"/>
      <c r="QLT244" s="15"/>
      <c r="QLU244" s="15"/>
      <c r="QLV244" s="10"/>
      <c r="QLW244" s="10"/>
      <c r="QLX244" s="19"/>
      <c r="QLY244" s="19"/>
      <c r="QMB244" s="16"/>
      <c r="QMC244" s="15"/>
      <c r="QMD244" s="15"/>
      <c r="QME244" s="15"/>
      <c r="QMF244" s="16"/>
      <c r="QMG244" s="16"/>
      <c r="QMH244" s="16"/>
      <c r="QMI244" s="16"/>
      <c r="QMJ244" s="16"/>
      <c r="QMK244" s="15"/>
      <c r="QML244" s="15"/>
      <c r="QMM244" s="10"/>
      <c r="QMN244" s="10"/>
      <c r="QMO244" s="19"/>
      <c r="QMP244" s="19"/>
      <c r="QMS244" s="16"/>
      <c r="QMT244" s="15"/>
      <c r="QMU244" s="15"/>
      <c r="QMV244" s="15"/>
      <c r="QMW244" s="16"/>
      <c r="QMX244" s="16"/>
      <c r="QMY244" s="16"/>
      <c r="QMZ244" s="16"/>
      <c r="QNA244" s="16"/>
      <c r="QNB244" s="15"/>
      <c r="QNC244" s="15"/>
      <c r="QND244" s="10"/>
      <c r="QNE244" s="10"/>
      <c r="QNF244" s="19"/>
      <c r="QNG244" s="19"/>
      <c r="QNJ244" s="16"/>
      <c r="QNK244" s="15"/>
      <c r="QNL244" s="15"/>
      <c r="QNM244" s="15"/>
      <c r="QNN244" s="16"/>
      <c r="QNO244" s="16"/>
      <c r="QNP244" s="16"/>
      <c r="QNQ244" s="16"/>
      <c r="QNR244" s="16"/>
      <c r="QNS244" s="15"/>
      <c r="QNT244" s="15"/>
      <c r="QNU244" s="10"/>
      <c r="QNV244" s="10"/>
      <c r="QNW244" s="19"/>
      <c r="QNX244" s="19"/>
      <c r="QOA244" s="16"/>
      <c r="QOB244" s="15"/>
      <c r="QOC244" s="15"/>
      <c r="QOD244" s="15"/>
      <c r="QOE244" s="16"/>
      <c r="QOF244" s="16"/>
      <c r="QOG244" s="16"/>
      <c r="QOH244" s="16"/>
      <c r="QOI244" s="16"/>
      <c r="QOJ244" s="15"/>
      <c r="QOK244" s="15"/>
      <c r="QOL244" s="10"/>
      <c r="QOM244" s="10"/>
      <c r="QON244" s="19"/>
      <c r="QOO244" s="19"/>
      <c r="QOR244" s="16"/>
      <c r="QOS244" s="15"/>
      <c r="QOT244" s="15"/>
      <c r="QOU244" s="15"/>
      <c r="QOV244" s="16"/>
      <c r="QOW244" s="16"/>
      <c r="QOX244" s="16"/>
      <c r="QOY244" s="16"/>
      <c r="QOZ244" s="16"/>
      <c r="QPA244" s="15"/>
      <c r="QPB244" s="15"/>
      <c r="QPC244" s="10"/>
      <c r="QPD244" s="10"/>
      <c r="QPE244" s="19"/>
      <c r="QPF244" s="19"/>
      <c r="QPI244" s="16"/>
      <c r="QPJ244" s="15"/>
      <c r="QPK244" s="15"/>
      <c r="QPL244" s="15"/>
      <c r="QPM244" s="16"/>
      <c r="QPN244" s="16"/>
      <c r="QPO244" s="16"/>
      <c r="QPP244" s="16"/>
      <c r="QPQ244" s="16"/>
      <c r="QPR244" s="15"/>
      <c r="QPS244" s="15"/>
      <c r="QPT244" s="10"/>
      <c r="QPU244" s="10"/>
      <c r="QPV244" s="19"/>
      <c r="QPW244" s="19"/>
      <c r="QPZ244" s="16"/>
      <c r="QQA244" s="15"/>
      <c r="QQB244" s="15"/>
      <c r="QQC244" s="15"/>
      <c r="QQD244" s="16"/>
      <c r="QQE244" s="16"/>
      <c r="QQF244" s="16"/>
      <c r="QQG244" s="16"/>
      <c r="QQH244" s="16"/>
      <c r="QQI244" s="15"/>
      <c r="QQJ244" s="15"/>
      <c r="QQK244" s="10"/>
      <c r="QQL244" s="10"/>
      <c r="QQM244" s="19"/>
      <c r="QQN244" s="19"/>
      <c r="QQQ244" s="16"/>
      <c r="QQR244" s="15"/>
      <c r="QQS244" s="15"/>
      <c r="QQT244" s="15"/>
      <c r="QQU244" s="16"/>
      <c r="QQV244" s="16"/>
      <c r="QQW244" s="16"/>
      <c r="QQX244" s="16"/>
      <c r="QQY244" s="16"/>
      <c r="QQZ244" s="15"/>
      <c r="QRA244" s="15"/>
      <c r="QRB244" s="10"/>
      <c r="QRC244" s="10"/>
      <c r="QRD244" s="19"/>
      <c r="QRE244" s="19"/>
      <c r="QRH244" s="16"/>
      <c r="QRI244" s="15"/>
      <c r="QRJ244" s="15"/>
      <c r="QRK244" s="15"/>
      <c r="QRL244" s="16"/>
      <c r="QRM244" s="16"/>
      <c r="QRN244" s="16"/>
      <c r="QRO244" s="16"/>
      <c r="QRP244" s="16"/>
      <c r="QRQ244" s="15"/>
      <c r="QRR244" s="15"/>
      <c r="QRS244" s="10"/>
      <c r="QRT244" s="10"/>
      <c r="QRU244" s="19"/>
      <c r="QRV244" s="19"/>
      <c r="QRY244" s="16"/>
      <c r="QRZ244" s="15"/>
      <c r="QSA244" s="15"/>
      <c r="QSB244" s="15"/>
      <c r="QSC244" s="16"/>
      <c r="QSD244" s="16"/>
      <c r="QSE244" s="16"/>
      <c r="QSF244" s="16"/>
      <c r="QSG244" s="16"/>
      <c r="QSH244" s="15"/>
      <c r="QSI244" s="15"/>
      <c r="QSJ244" s="10"/>
      <c r="QSK244" s="10"/>
      <c r="QSL244" s="19"/>
      <c r="QSM244" s="19"/>
      <c r="QSP244" s="16"/>
      <c r="QSQ244" s="15"/>
      <c r="QSR244" s="15"/>
      <c r="QSS244" s="15"/>
      <c r="QST244" s="16"/>
      <c r="QSU244" s="16"/>
      <c r="QSV244" s="16"/>
      <c r="QSW244" s="16"/>
      <c r="QSX244" s="16"/>
      <c r="QSY244" s="15"/>
      <c r="QSZ244" s="15"/>
      <c r="QTA244" s="10"/>
      <c r="QTB244" s="10"/>
      <c r="QTC244" s="19"/>
      <c r="QTD244" s="19"/>
      <c r="QTG244" s="16"/>
      <c r="QTH244" s="15"/>
      <c r="QTI244" s="15"/>
      <c r="QTJ244" s="15"/>
      <c r="QTK244" s="16"/>
      <c r="QTL244" s="16"/>
      <c r="QTM244" s="16"/>
      <c r="QTN244" s="16"/>
      <c r="QTO244" s="16"/>
      <c r="QTP244" s="15"/>
      <c r="QTQ244" s="15"/>
      <c r="QTR244" s="10"/>
      <c r="QTS244" s="10"/>
      <c r="QTT244" s="19"/>
      <c r="QTU244" s="19"/>
      <c r="QTX244" s="16"/>
      <c r="QTY244" s="15"/>
      <c r="QTZ244" s="15"/>
      <c r="QUA244" s="15"/>
      <c r="QUB244" s="16"/>
      <c r="QUC244" s="16"/>
      <c r="QUD244" s="16"/>
      <c r="QUE244" s="16"/>
      <c r="QUF244" s="16"/>
      <c r="QUG244" s="15"/>
      <c r="QUH244" s="15"/>
      <c r="QUI244" s="10"/>
      <c r="QUJ244" s="10"/>
      <c r="QUK244" s="19"/>
      <c r="QUL244" s="19"/>
      <c r="QUO244" s="16"/>
      <c r="QUP244" s="15"/>
      <c r="QUQ244" s="15"/>
      <c r="QUR244" s="15"/>
      <c r="QUS244" s="16"/>
      <c r="QUT244" s="16"/>
      <c r="QUU244" s="16"/>
      <c r="QUV244" s="16"/>
      <c r="QUW244" s="16"/>
      <c r="QUX244" s="15"/>
      <c r="QUY244" s="15"/>
      <c r="QUZ244" s="10"/>
      <c r="QVA244" s="10"/>
      <c r="QVB244" s="19"/>
      <c r="QVC244" s="19"/>
      <c r="QVF244" s="16"/>
      <c r="QVG244" s="15"/>
      <c r="QVH244" s="15"/>
      <c r="QVI244" s="15"/>
      <c r="QVJ244" s="16"/>
      <c r="QVK244" s="16"/>
      <c r="QVL244" s="16"/>
      <c r="QVM244" s="16"/>
      <c r="QVN244" s="16"/>
      <c r="QVO244" s="15"/>
      <c r="QVP244" s="15"/>
      <c r="QVQ244" s="10"/>
      <c r="QVR244" s="10"/>
      <c r="QVS244" s="19"/>
      <c r="QVT244" s="19"/>
      <c r="QVW244" s="16"/>
      <c r="QVX244" s="15"/>
      <c r="QVY244" s="15"/>
      <c r="QVZ244" s="15"/>
      <c r="QWA244" s="16"/>
      <c r="QWB244" s="16"/>
      <c r="QWC244" s="16"/>
      <c r="QWD244" s="16"/>
      <c r="QWE244" s="16"/>
      <c r="QWF244" s="15"/>
      <c r="QWG244" s="15"/>
      <c r="QWH244" s="10"/>
      <c r="QWI244" s="10"/>
      <c r="QWJ244" s="19"/>
      <c r="QWK244" s="19"/>
      <c r="QWN244" s="16"/>
      <c r="QWO244" s="15"/>
      <c r="QWP244" s="15"/>
      <c r="QWQ244" s="15"/>
      <c r="QWR244" s="16"/>
      <c r="QWS244" s="16"/>
      <c r="QWT244" s="16"/>
      <c r="QWU244" s="16"/>
      <c r="QWV244" s="16"/>
      <c r="QWW244" s="15"/>
      <c r="QWX244" s="15"/>
      <c r="QWY244" s="10"/>
      <c r="QWZ244" s="10"/>
      <c r="QXA244" s="19"/>
      <c r="QXB244" s="19"/>
      <c r="QXE244" s="16"/>
      <c r="QXF244" s="15"/>
      <c r="QXG244" s="15"/>
      <c r="QXH244" s="15"/>
      <c r="QXI244" s="16"/>
      <c r="QXJ244" s="16"/>
      <c r="QXK244" s="16"/>
      <c r="QXL244" s="16"/>
      <c r="QXM244" s="16"/>
      <c r="QXN244" s="15"/>
      <c r="QXO244" s="15"/>
      <c r="QXP244" s="10"/>
      <c r="QXQ244" s="10"/>
      <c r="QXR244" s="19"/>
      <c r="QXS244" s="19"/>
      <c r="QXV244" s="16"/>
      <c r="QXW244" s="15"/>
      <c r="QXX244" s="15"/>
      <c r="QXY244" s="15"/>
      <c r="QXZ244" s="16"/>
      <c r="QYA244" s="16"/>
      <c r="QYB244" s="16"/>
      <c r="QYC244" s="16"/>
      <c r="QYD244" s="16"/>
      <c r="QYE244" s="15"/>
      <c r="QYF244" s="15"/>
      <c r="QYG244" s="10"/>
      <c r="QYH244" s="10"/>
      <c r="QYI244" s="19"/>
      <c r="QYJ244" s="19"/>
      <c r="QYM244" s="16"/>
      <c r="QYN244" s="15"/>
      <c r="QYO244" s="15"/>
      <c r="QYP244" s="15"/>
      <c r="QYQ244" s="16"/>
      <c r="QYR244" s="16"/>
      <c r="QYS244" s="16"/>
      <c r="QYT244" s="16"/>
      <c r="QYU244" s="16"/>
      <c r="QYV244" s="15"/>
      <c r="QYW244" s="15"/>
      <c r="QYX244" s="10"/>
      <c r="QYY244" s="10"/>
      <c r="QYZ244" s="19"/>
      <c r="QZA244" s="19"/>
      <c r="QZD244" s="16"/>
      <c r="QZE244" s="15"/>
      <c r="QZF244" s="15"/>
      <c r="QZG244" s="15"/>
      <c r="QZH244" s="16"/>
      <c r="QZI244" s="16"/>
      <c r="QZJ244" s="16"/>
      <c r="QZK244" s="16"/>
      <c r="QZL244" s="16"/>
      <c r="QZM244" s="15"/>
      <c r="QZN244" s="15"/>
      <c r="QZO244" s="10"/>
      <c r="QZP244" s="10"/>
      <c r="QZQ244" s="19"/>
      <c r="QZR244" s="19"/>
      <c r="QZU244" s="16"/>
      <c r="QZV244" s="15"/>
      <c r="QZW244" s="15"/>
      <c r="QZX244" s="15"/>
      <c r="QZY244" s="16"/>
      <c r="QZZ244" s="16"/>
      <c r="RAA244" s="16"/>
      <c r="RAB244" s="16"/>
      <c r="RAC244" s="16"/>
      <c r="RAD244" s="15"/>
      <c r="RAE244" s="15"/>
      <c r="RAF244" s="10"/>
      <c r="RAG244" s="10"/>
      <c r="RAH244" s="19"/>
      <c r="RAI244" s="19"/>
      <c r="RAL244" s="16"/>
      <c r="RAM244" s="15"/>
      <c r="RAN244" s="15"/>
      <c r="RAO244" s="15"/>
      <c r="RAP244" s="16"/>
      <c r="RAQ244" s="16"/>
      <c r="RAR244" s="16"/>
      <c r="RAS244" s="16"/>
      <c r="RAT244" s="16"/>
      <c r="RAU244" s="15"/>
      <c r="RAV244" s="15"/>
      <c r="RAW244" s="10"/>
      <c r="RAX244" s="10"/>
      <c r="RAY244" s="19"/>
      <c r="RAZ244" s="19"/>
      <c r="RBC244" s="16"/>
      <c r="RBD244" s="15"/>
      <c r="RBE244" s="15"/>
      <c r="RBF244" s="15"/>
      <c r="RBG244" s="16"/>
      <c r="RBH244" s="16"/>
      <c r="RBI244" s="16"/>
      <c r="RBJ244" s="16"/>
      <c r="RBK244" s="16"/>
      <c r="RBL244" s="15"/>
      <c r="RBM244" s="15"/>
      <c r="RBN244" s="10"/>
      <c r="RBO244" s="10"/>
      <c r="RBP244" s="19"/>
      <c r="RBQ244" s="19"/>
      <c r="RBT244" s="16"/>
      <c r="RBU244" s="15"/>
      <c r="RBV244" s="15"/>
      <c r="RBW244" s="15"/>
      <c r="RBX244" s="16"/>
      <c r="RBY244" s="16"/>
      <c r="RBZ244" s="16"/>
      <c r="RCA244" s="16"/>
      <c r="RCB244" s="16"/>
      <c r="RCC244" s="15"/>
      <c r="RCD244" s="15"/>
      <c r="RCE244" s="10"/>
      <c r="RCF244" s="10"/>
      <c r="RCG244" s="19"/>
      <c r="RCH244" s="19"/>
      <c r="RCK244" s="16"/>
      <c r="RCL244" s="15"/>
      <c r="RCM244" s="15"/>
      <c r="RCN244" s="15"/>
      <c r="RCO244" s="16"/>
      <c r="RCP244" s="16"/>
      <c r="RCQ244" s="16"/>
      <c r="RCR244" s="16"/>
      <c r="RCS244" s="16"/>
      <c r="RCT244" s="15"/>
      <c r="RCU244" s="15"/>
      <c r="RCV244" s="10"/>
      <c r="RCW244" s="10"/>
      <c r="RCX244" s="19"/>
      <c r="RCY244" s="19"/>
      <c r="RDB244" s="16"/>
      <c r="RDC244" s="15"/>
      <c r="RDD244" s="15"/>
      <c r="RDE244" s="15"/>
      <c r="RDF244" s="16"/>
      <c r="RDG244" s="16"/>
      <c r="RDH244" s="16"/>
      <c r="RDI244" s="16"/>
      <c r="RDJ244" s="16"/>
      <c r="RDK244" s="15"/>
      <c r="RDL244" s="15"/>
      <c r="RDM244" s="10"/>
      <c r="RDN244" s="10"/>
      <c r="RDO244" s="19"/>
      <c r="RDP244" s="19"/>
      <c r="RDS244" s="16"/>
      <c r="RDT244" s="15"/>
      <c r="RDU244" s="15"/>
      <c r="RDV244" s="15"/>
      <c r="RDW244" s="16"/>
      <c r="RDX244" s="16"/>
      <c r="RDY244" s="16"/>
      <c r="RDZ244" s="16"/>
      <c r="REA244" s="16"/>
      <c r="REB244" s="15"/>
      <c r="REC244" s="15"/>
      <c r="RED244" s="10"/>
      <c r="REE244" s="10"/>
      <c r="REF244" s="19"/>
      <c r="REG244" s="19"/>
      <c r="REJ244" s="16"/>
      <c r="REK244" s="15"/>
      <c r="REL244" s="15"/>
      <c r="REM244" s="15"/>
      <c r="REN244" s="16"/>
      <c r="REO244" s="16"/>
      <c r="REP244" s="16"/>
      <c r="REQ244" s="16"/>
      <c r="RER244" s="16"/>
      <c r="RES244" s="15"/>
      <c r="RET244" s="15"/>
      <c r="REU244" s="10"/>
      <c r="REV244" s="10"/>
      <c r="REW244" s="19"/>
      <c r="REX244" s="19"/>
      <c r="RFA244" s="16"/>
      <c r="RFB244" s="15"/>
      <c r="RFC244" s="15"/>
      <c r="RFD244" s="15"/>
      <c r="RFE244" s="16"/>
      <c r="RFF244" s="16"/>
      <c r="RFG244" s="16"/>
      <c r="RFH244" s="16"/>
      <c r="RFI244" s="16"/>
      <c r="RFJ244" s="15"/>
      <c r="RFK244" s="15"/>
      <c r="RFL244" s="10"/>
      <c r="RFM244" s="10"/>
      <c r="RFN244" s="19"/>
      <c r="RFO244" s="19"/>
      <c r="RFR244" s="16"/>
      <c r="RFS244" s="15"/>
      <c r="RFT244" s="15"/>
      <c r="RFU244" s="15"/>
      <c r="RFV244" s="16"/>
      <c r="RFW244" s="16"/>
      <c r="RFX244" s="16"/>
      <c r="RFY244" s="16"/>
      <c r="RFZ244" s="16"/>
      <c r="RGA244" s="15"/>
      <c r="RGB244" s="15"/>
      <c r="RGC244" s="10"/>
      <c r="RGD244" s="10"/>
      <c r="RGE244" s="19"/>
      <c r="RGF244" s="19"/>
      <c r="RGI244" s="16"/>
      <c r="RGJ244" s="15"/>
      <c r="RGK244" s="15"/>
      <c r="RGL244" s="15"/>
      <c r="RGM244" s="16"/>
      <c r="RGN244" s="16"/>
      <c r="RGO244" s="16"/>
      <c r="RGP244" s="16"/>
      <c r="RGQ244" s="16"/>
      <c r="RGR244" s="15"/>
      <c r="RGS244" s="15"/>
      <c r="RGT244" s="10"/>
      <c r="RGU244" s="10"/>
      <c r="RGV244" s="19"/>
      <c r="RGW244" s="19"/>
      <c r="RGZ244" s="16"/>
      <c r="RHA244" s="15"/>
      <c r="RHB244" s="15"/>
      <c r="RHC244" s="15"/>
      <c r="RHD244" s="16"/>
      <c r="RHE244" s="16"/>
      <c r="RHF244" s="16"/>
      <c r="RHG244" s="16"/>
      <c r="RHH244" s="16"/>
      <c r="RHI244" s="15"/>
      <c r="RHJ244" s="15"/>
      <c r="RHK244" s="10"/>
      <c r="RHL244" s="10"/>
      <c r="RHM244" s="19"/>
      <c r="RHN244" s="19"/>
      <c r="RHQ244" s="16"/>
      <c r="RHR244" s="15"/>
      <c r="RHS244" s="15"/>
      <c r="RHT244" s="15"/>
      <c r="RHU244" s="16"/>
      <c r="RHV244" s="16"/>
      <c r="RHW244" s="16"/>
      <c r="RHX244" s="16"/>
      <c r="RHY244" s="16"/>
      <c r="RHZ244" s="15"/>
      <c r="RIA244" s="15"/>
      <c r="RIB244" s="10"/>
      <c r="RIC244" s="10"/>
      <c r="RID244" s="19"/>
      <c r="RIE244" s="19"/>
      <c r="RIH244" s="16"/>
      <c r="RII244" s="15"/>
      <c r="RIJ244" s="15"/>
      <c r="RIK244" s="15"/>
      <c r="RIL244" s="16"/>
      <c r="RIM244" s="16"/>
      <c r="RIN244" s="16"/>
      <c r="RIO244" s="16"/>
      <c r="RIP244" s="16"/>
      <c r="RIQ244" s="15"/>
      <c r="RIR244" s="15"/>
      <c r="RIS244" s="10"/>
      <c r="RIT244" s="10"/>
      <c r="RIU244" s="19"/>
      <c r="RIV244" s="19"/>
      <c r="RIY244" s="16"/>
      <c r="RIZ244" s="15"/>
      <c r="RJA244" s="15"/>
      <c r="RJB244" s="15"/>
      <c r="RJC244" s="16"/>
      <c r="RJD244" s="16"/>
      <c r="RJE244" s="16"/>
      <c r="RJF244" s="16"/>
      <c r="RJG244" s="16"/>
      <c r="RJH244" s="15"/>
      <c r="RJI244" s="15"/>
      <c r="RJJ244" s="10"/>
      <c r="RJK244" s="10"/>
      <c r="RJL244" s="19"/>
      <c r="RJM244" s="19"/>
      <c r="RJP244" s="16"/>
      <c r="RJQ244" s="15"/>
      <c r="RJR244" s="15"/>
      <c r="RJS244" s="15"/>
      <c r="RJT244" s="16"/>
      <c r="RJU244" s="16"/>
      <c r="RJV244" s="16"/>
      <c r="RJW244" s="16"/>
      <c r="RJX244" s="16"/>
      <c r="RJY244" s="15"/>
      <c r="RJZ244" s="15"/>
      <c r="RKA244" s="10"/>
      <c r="RKB244" s="10"/>
      <c r="RKC244" s="19"/>
      <c r="RKD244" s="19"/>
      <c r="RKG244" s="16"/>
      <c r="RKH244" s="15"/>
      <c r="RKI244" s="15"/>
      <c r="RKJ244" s="15"/>
      <c r="RKK244" s="16"/>
      <c r="RKL244" s="16"/>
      <c r="RKM244" s="16"/>
      <c r="RKN244" s="16"/>
      <c r="RKO244" s="16"/>
      <c r="RKP244" s="15"/>
      <c r="RKQ244" s="15"/>
      <c r="RKR244" s="10"/>
      <c r="RKS244" s="10"/>
      <c r="RKT244" s="19"/>
      <c r="RKU244" s="19"/>
      <c r="RKX244" s="16"/>
      <c r="RKY244" s="15"/>
      <c r="RKZ244" s="15"/>
      <c r="RLA244" s="15"/>
      <c r="RLB244" s="16"/>
      <c r="RLC244" s="16"/>
      <c r="RLD244" s="16"/>
      <c r="RLE244" s="16"/>
      <c r="RLF244" s="16"/>
      <c r="RLG244" s="15"/>
      <c r="RLH244" s="15"/>
      <c r="RLI244" s="10"/>
      <c r="RLJ244" s="10"/>
      <c r="RLK244" s="19"/>
      <c r="RLL244" s="19"/>
      <c r="RLO244" s="16"/>
      <c r="RLP244" s="15"/>
      <c r="RLQ244" s="15"/>
      <c r="RLR244" s="15"/>
      <c r="RLS244" s="16"/>
      <c r="RLT244" s="16"/>
      <c r="RLU244" s="16"/>
      <c r="RLV244" s="16"/>
      <c r="RLW244" s="16"/>
      <c r="RLX244" s="15"/>
      <c r="RLY244" s="15"/>
      <c r="RLZ244" s="10"/>
      <c r="RMA244" s="10"/>
      <c r="RMB244" s="19"/>
      <c r="RMC244" s="19"/>
      <c r="RMF244" s="16"/>
      <c r="RMG244" s="15"/>
      <c r="RMH244" s="15"/>
      <c r="RMI244" s="15"/>
      <c r="RMJ244" s="16"/>
      <c r="RMK244" s="16"/>
      <c r="RML244" s="16"/>
      <c r="RMM244" s="16"/>
      <c r="RMN244" s="16"/>
      <c r="RMO244" s="15"/>
      <c r="RMP244" s="15"/>
      <c r="RMQ244" s="10"/>
      <c r="RMR244" s="10"/>
      <c r="RMS244" s="19"/>
      <c r="RMT244" s="19"/>
      <c r="RMW244" s="16"/>
      <c r="RMX244" s="15"/>
      <c r="RMY244" s="15"/>
      <c r="RMZ244" s="15"/>
      <c r="RNA244" s="16"/>
      <c r="RNB244" s="16"/>
      <c r="RNC244" s="16"/>
      <c r="RND244" s="16"/>
      <c r="RNE244" s="16"/>
      <c r="RNF244" s="15"/>
      <c r="RNG244" s="15"/>
      <c r="RNH244" s="10"/>
      <c r="RNI244" s="10"/>
      <c r="RNJ244" s="19"/>
      <c r="RNK244" s="19"/>
      <c r="RNN244" s="16"/>
      <c r="RNO244" s="15"/>
      <c r="RNP244" s="15"/>
      <c r="RNQ244" s="15"/>
      <c r="RNR244" s="16"/>
      <c r="RNS244" s="16"/>
      <c r="RNT244" s="16"/>
      <c r="RNU244" s="16"/>
      <c r="RNV244" s="16"/>
      <c r="RNW244" s="15"/>
      <c r="RNX244" s="15"/>
      <c r="RNY244" s="10"/>
      <c r="RNZ244" s="10"/>
      <c r="ROA244" s="19"/>
      <c r="ROB244" s="19"/>
      <c r="ROE244" s="16"/>
      <c r="ROF244" s="15"/>
      <c r="ROG244" s="15"/>
      <c r="ROH244" s="15"/>
      <c r="ROI244" s="16"/>
      <c r="ROJ244" s="16"/>
      <c r="ROK244" s="16"/>
      <c r="ROL244" s="16"/>
      <c r="ROM244" s="16"/>
      <c r="RON244" s="15"/>
      <c r="ROO244" s="15"/>
      <c r="ROP244" s="10"/>
      <c r="ROQ244" s="10"/>
      <c r="ROR244" s="19"/>
      <c r="ROS244" s="19"/>
      <c r="ROV244" s="16"/>
      <c r="ROW244" s="15"/>
      <c r="ROX244" s="15"/>
      <c r="ROY244" s="15"/>
      <c r="ROZ244" s="16"/>
      <c r="RPA244" s="16"/>
      <c r="RPB244" s="16"/>
      <c r="RPC244" s="16"/>
      <c r="RPD244" s="16"/>
      <c r="RPE244" s="15"/>
      <c r="RPF244" s="15"/>
      <c r="RPG244" s="10"/>
      <c r="RPH244" s="10"/>
      <c r="RPI244" s="19"/>
      <c r="RPJ244" s="19"/>
      <c r="RPM244" s="16"/>
      <c r="RPN244" s="15"/>
      <c r="RPO244" s="15"/>
      <c r="RPP244" s="15"/>
      <c r="RPQ244" s="16"/>
      <c r="RPR244" s="16"/>
      <c r="RPS244" s="16"/>
      <c r="RPT244" s="16"/>
      <c r="RPU244" s="16"/>
      <c r="RPV244" s="15"/>
      <c r="RPW244" s="15"/>
      <c r="RPX244" s="10"/>
      <c r="RPY244" s="10"/>
      <c r="RPZ244" s="19"/>
      <c r="RQA244" s="19"/>
      <c r="RQD244" s="16"/>
      <c r="RQE244" s="15"/>
      <c r="RQF244" s="15"/>
      <c r="RQG244" s="15"/>
      <c r="RQH244" s="16"/>
      <c r="RQI244" s="16"/>
      <c r="RQJ244" s="16"/>
      <c r="RQK244" s="16"/>
      <c r="RQL244" s="16"/>
      <c r="RQM244" s="15"/>
      <c r="RQN244" s="15"/>
      <c r="RQO244" s="10"/>
      <c r="RQP244" s="10"/>
      <c r="RQQ244" s="19"/>
      <c r="RQR244" s="19"/>
      <c r="RQU244" s="16"/>
      <c r="RQV244" s="15"/>
      <c r="RQW244" s="15"/>
      <c r="RQX244" s="15"/>
      <c r="RQY244" s="16"/>
      <c r="RQZ244" s="16"/>
      <c r="RRA244" s="16"/>
      <c r="RRB244" s="16"/>
      <c r="RRC244" s="16"/>
      <c r="RRD244" s="15"/>
      <c r="RRE244" s="15"/>
      <c r="RRF244" s="10"/>
      <c r="RRG244" s="10"/>
      <c r="RRH244" s="19"/>
      <c r="RRI244" s="19"/>
      <c r="RRL244" s="16"/>
      <c r="RRM244" s="15"/>
      <c r="RRN244" s="15"/>
      <c r="RRO244" s="15"/>
      <c r="RRP244" s="16"/>
      <c r="RRQ244" s="16"/>
      <c r="RRR244" s="16"/>
      <c r="RRS244" s="16"/>
      <c r="RRT244" s="16"/>
      <c r="RRU244" s="15"/>
      <c r="RRV244" s="15"/>
      <c r="RRW244" s="10"/>
      <c r="RRX244" s="10"/>
      <c r="RRY244" s="19"/>
      <c r="RRZ244" s="19"/>
      <c r="RSC244" s="16"/>
      <c r="RSD244" s="15"/>
      <c r="RSE244" s="15"/>
      <c r="RSF244" s="15"/>
      <c r="RSG244" s="16"/>
      <c r="RSH244" s="16"/>
      <c r="RSI244" s="16"/>
      <c r="RSJ244" s="16"/>
      <c r="RSK244" s="16"/>
      <c r="RSL244" s="15"/>
      <c r="RSM244" s="15"/>
      <c r="RSN244" s="10"/>
      <c r="RSO244" s="10"/>
      <c r="RSP244" s="19"/>
      <c r="RSQ244" s="19"/>
      <c r="RST244" s="16"/>
      <c r="RSU244" s="15"/>
      <c r="RSV244" s="15"/>
      <c r="RSW244" s="15"/>
      <c r="RSX244" s="16"/>
      <c r="RSY244" s="16"/>
      <c r="RSZ244" s="16"/>
      <c r="RTA244" s="16"/>
      <c r="RTB244" s="16"/>
      <c r="RTC244" s="15"/>
      <c r="RTD244" s="15"/>
      <c r="RTE244" s="10"/>
      <c r="RTF244" s="10"/>
      <c r="RTG244" s="19"/>
      <c r="RTH244" s="19"/>
      <c r="RTK244" s="16"/>
      <c r="RTL244" s="15"/>
      <c r="RTM244" s="15"/>
      <c r="RTN244" s="15"/>
      <c r="RTO244" s="16"/>
      <c r="RTP244" s="16"/>
      <c r="RTQ244" s="16"/>
      <c r="RTR244" s="16"/>
      <c r="RTS244" s="16"/>
      <c r="RTT244" s="15"/>
      <c r="RTU244" s="15"/>
      <c r="RTV244" s="10"/>
      <c r="RTW244" s="10"/>
      <c r="RTX244" s="19"/>
      <c r="RTY244" s="19"/>
      <c r="RUB244" s="16"/>
      <c r="RUC244" s="15"/>
      <c r="RUD244" s="15"/>
      <c r="RUE244" s="15"/>
      <c r="RUF244" s="16"/>
      <c r="RUG244" s="16"/>
      <c r="RUH244" s="16"/>
      <c r="RUI244" s="16"/>
      <c r="RUJ244" s="16"/>
      <c r="RUK244" s="15"/>
      <c r="RUL244" s="15"/>
      <c r="RUM244" s="10"/>
      <c r="RUN244" s="10"/>
      <c r="RUO244" s="19"/>
      <c r="RUP244" s="19"/>
      <c r="RUS244" s="16"/>
      <c r="RUT244" s="15"/>
      <c r="RUU244" s="15"/>
      <c r="RUV244" s="15"/>
      <c r="RUW244" s="16"/>
      <c r="RUX244" s="16"/>
      <c r="RUY244" s="16"/>
      <c r="RUZ244" s="16"/>
      <c r="RVA244" s="16"/>
      <c r="RVB244" s="15"/>
      <c r="RVC244" s="15"/>
      <c r="RVD244" s="10"/>
      <c r="RVE244" s="10"/>
      <c r="RVF244" s="19"/>
      <c r="RVG244" s="19"/>
      <c r="RVJ244" s="16"/>
      <c r="RVK244" s="15"/>
      <c r="RVL244" s="15"/>
      <c r="RVM244" s="15"/>
      <c r="RVN244" s="16"/>
      <c r="RVO244" s="16"/>
      <c r="RVP244" s="16"/>
      <c r="RVQ244" s="16"/>
      <c r="RVR244" s="16"/>
      <c r="RVS244" s="15"/>
      <c r="RVT244" s="15"/>
      <c r="RVU244" s="10"/>
      <c r="RVV244" s="10"/>
      <c r="RVW244" s="19"/>
      <c r="RVX244" s="19"/>
      <c r="RWA244" s="16"/>
      <c r="RWB244" s="15"/>
      <c r="RWC244" s="15"/>
      <c r="RWD244" s="15"/>
      <c r="RWE244" s="16"/>
      <c r="RWF244" s="16"/>
      <c r="RWG244" s="16"/>
      <c r="RWH244" s="16"/>
      <c r="RWI244" s="16"/>
      <c r="RWJ244" s="15"/>
      <c r="RWK244" s="15"/>
      <c r="RWL244" s="10"/>
      <c r="RWM244" s="10"/>
      <c r="RWN244" s="19"/>
      <c r="RWO244" s="19"/>
      <c r="RWR244" s="16"/>
      <c r="RWS244" s="15"/>
      <c r="RWT244" s="15"/>
      <c r="RWU244" s="15"/>
      <c r="RWV244" s="16"/>
      <c r="RWW244" s="16"/>
      <c r="RWX244" s="16"/>
      <c r="RWY244" s="16"/>
      <c r="RWZ244" s="16"/>
      <c r="RXA244" s="15"/>
      <c r="RXB244" s="15"/>
      <c r="RXC244" s="10"/>
      <c r="RXD244" s="10"/>
      <c r="RXE244" s="19"/>
      <c r="RXF244" s="19"/>
      <c r="RXI244" s="16"/>
      <c r="RXJ244" s="15"/>
      <c r="RXK244" s="15"/>
      <c r="RXL244" s="15"/>
      <c r="RXM244" s="16"/>
      <c r="RXN244" s="16"/>
      <c r="RXO244" s="16"/>
      <c r="RXP244" s="16"/>
      <c r="RXQ244" s="16"/>
      <c r="RXR244" s="15"/>
      <c r="RXS244" s="15"/>
      <c r="RXT244" s="10"/>
      <c r="RXU244" s="10"/>
      <c r="RXV244" s="19"/>
      <c r="RXW244" s="19"/>
      <c r="RXZ244" s="16"/>
      <c r="RYA244" s="15"/>
      <c r="RYB244" s="15"/>
      <c r="RYC244" s="15"/>
      <c r="RYD244" s="16"/>
      <c r="RYE244" s="16"/>
      <c r="RYF244" s="16"/>
      <c r="RYG244" s="16"/>
      <c r="RYH244" s="16"/>
      <c r="RYI244" s="15"/>
      <c r="RYJ244" s="15"/>
      <c r="RYK244" s="10"/>
      <c r="RYL244" s="10"/>
      <c r="RYM244" s="19"/>
      <c r="RYN244" s="19"/>
      <c r="RYQ244" s="16"/>
      <c r="RYR244" s="15"/>
      <c r="RYS244" s="15"/>
      <c r="RYT244" s="15"/>
      <c r="RYU244" s="16"/>
      <c r="RYV244" s="16"/>
      <c r="RYW244" s="16"/>
      <c r="RYX244" s="16"/>
      <c r="RYY244" s="16"/>
      <c r="RYZ244" s="15"/>
      <c r="RZA244" s="15"/>
      <c r="RZB244" s="10"/>
      <c r="RZC244" s="10"/>
      <c r="RZD244" s="19"/>
      <c r="RZE244" s="19"/>
      <c r="RZH244" s="16"/>
      <c r="RZI244" s="15"/>
      <c r="RZJ244" s="15"/>
      <c r="RZK244" s="15"/>
      <c r="RZL244" s="16"/>
      <c r="RZM244" s="16"/>
      <c r="RZN244" s="16"/>
      <c r="RZO244" s="16"/>
      <c r="RZP244" s="16"/>
      <c r="RZQ244" s="15"/>
      <c r="RZR244" s="15"/>
      <c r="RZS244" s="10"/>
      <c r="RZT244" s="10"/>
      <c r="RZU244" s="19"/>
      <c r="RZV244" s="19"/>
      <c r="RZY244" s="16"/>
      <c r="RZZ244" s="15"/>
      <c r="SAA244" s="15"/>
      <c r="SAB244" s="15"/>
      <c r="SAC244" s="16"/>
      <c r="SAD244" s="16"/>
      <c r="SAE244" s="16"/>
      <c r="SAF244" s="16"/>
      <c r="SAG244" s="16"/>
      <c r="SAH244" s="15"/>
      <c r="SAI244" s="15"/>
      <c r="SAJ244" s="10"/>
      <c r="SAK244" s="10"/>
      <c r="SAL244" s="19"/>
      <c r="SAM244" s="19"/>
      <c r="SAP244" s="16"/>
      <c r="SAQ244" s="15"/>
      <c r="SAR244" s="15"/>
      <c r="SAS244" s="15"/>
      <c r="SAT244" s="16"/>
      <c r="SAU244" s="16"/>
      <c r="SAV244" s="16"/>
      <c r="SAW244" s="16"/>
      <c r="SAX244" s="16"/>
      <c r="SAY244" s="15"/>
      <c r="SAZ244" s="15"/>
      <c r="SBA244" s="10"/>
      <c r="SBB244" s="10"/>
      <c r="SBC244" s="19"/>
      <c r="SBD244" s="19"/>
      <c r="SBG244" s="16"/>
      <c r="SBH244" s="15"/>
      <c r="SBI244" s="15"/>
      <c r="SBJ244" s="15"/>
      <c r="SBK244" s="16"/>
      <c r="SBL244" s="16"/>
      <c r="SBM244" s="16"/>
      <c r="SBN244" s="16"/>
      <c r="SBO244" s="16"/>
      <c r="SBP244" s="15"/>
      <c r="SBQ244" s="15"/>
      <c r="SBR244" s="10"/>
      <c r="SBS244" s="10"/>
      <c r="SBT244" s="19"/>
      <c r="SBU244" s="19"/>
      <c r="SBX244" s="16"/>
      <c r="SBY244" s="15"/>
      <c r="SBZ244" s="15"/>
      <c r="SCA244" s="15"/>
      <c r="SCB244" s="16"/>
      <c r="SCC244" s="16"/>
      <c r="SCD244" s="16"/>
      <c r="SCE244" s="16"/>
      <c r="SCF244" s="16"/>
      <c r="SCG244" s="15"/>
      <c r="SCH244" s="15"/>
      <c r="SCI244" s="10"/>
      <c r="SCJ244" s="10"/>
      <c r="SCK244" s="19"/>
      <c r="SCL244" s="19"/>
      <c r="SCO244" s="16"/>
      <c r="SCP244" s="15"/>
      <c r="SCQ244" s="15"/>
      <c r="SCR244" s="15"/>
      <c r="SCS244" s="16"/>
      <c r="SCT244" s="16"/>
      <c r="SCU244" s="16"/>
      <c r="SCV244" s="16"/>
      <c r="SCW244" s="16"/>
      <c r="SCX244" s="15"/>
      <c r="SCY244" s="15"/>
      <c r="SCZ244" s="10"/>
      <c r="SDA244" s="10"/>
      <c r="SDB244" s="19"/>
      <c r="SDC244" s="19"/>
      <c r="SDF244" s="16"/>
      <c r="SDG244" s="15"/>
      <c r="SDH244" s="15"/>
      <c r="SDI244" s="15"/>
      <c r="SDJ244" s="16"/>
      <c r="SDK244" s="16"/>
      <c r="SDL244" s="16"/>
      <c r="SDM244" s="16"/>
      <c r="SDN244" s="16"/>
      <c r="SDO244" s="15"/>
      <c r="SDP244" s="15"/>
      <c r="SDQ244" s="10"/>
      <c r="SDR244" s="10"/>
      <c r="SDS244" s="19"/>
      <c r="SDT244" s="19"/>
      <c r="SDW244" s="16"/>
      <c r="SDX244" s="15"/>
      <c r="SDY244" s="15"/>
      <c r="SDZ244" s="15"/>
      <c r="SEA244" s="16"/>
      <c r="SEB244" s="16"/>
      <c r="SEC244" s="16"/>
      <c r="SED244" s="16"/>
      <c r="SEE244" s="16"/>
      <c r="SEF244" s="15"/>
      <c r="SEG244" s="15"/>
      <c r="SEH244" s="10"/>
      <c r="SEI244" s="10"/>
      <c r="SEJ244" s="19"/>
      <c r="SEK244" s="19"/>
      <c r="SEN244" s="16"/>
      <c r="SEO244" s="15"/>
      <c r="SEP244" s="15"/>
      <c r="SEQ244" s="15"/>
      <c r="SER244" s="16"/>
      <c r="SES244" s="16"/>
      <c r="SET244" s="16"/>
      <c r="SEU244" s="16"/>
      <c r="SEV244" s="16"/>
      <c r="SEW244" s="15"/>
      <c r="SEX244" s="15"/>
      <c r="SEY244" s="10"/>
      <c r="SEZ244" s="10"/>
      <c r="SFA244" s="19"/>
      <c r="SFB244" s="19"/>
      <c r="SFE244" s="16"/>
      <c r="SFF244" s="15"/>
      <c r="SFG244" s="15"/>
      <c r="SFH244" s="15"/>
      <c r="SFI244" s="16"/>
      <c r="SFJ244" s="16"/>
      <c r="SFK244" s="16"/>
      <c r="SFL244" s="16"/>
      <c r="SFM244" s="16"/>
      <c r="SFN244" s="15"/>
      <c r="SFO244" s="15"/>
      <c r="SFP244" s="10"/>
      <c r="SFQ244" s="10"/>
      <c r="SFR244" s="19"/>
      <c r="SFS244" s="19"/>
      <c r="SFV244" s="16"/>
      <c r="SFW244" s="15"/>
      <c r="SFX244" s="15"/>
      <c r="SFY244" s="15"/>
      <c r="SFZ244" s="16"/>
      <c r="SGA244" s="16"/>
      <c r="SGB244" s="16"/>
      <c r="SGC244" s="16"/>
      <c r="SGD244" s="16"/>
      <c r="SGE244" s="15"/>
      <c r="SGF244" s="15"/>
      <c r="SGG244" s="10"/>
      <c r="SGH244" s="10"/>
      <c r="SGI244" s="19"/>
      <c r="SGJ244" s="19"/>
      <c r="SGM244" s="16"/>
      <c r="SGN244" s="15"/>
      <c r="SGO244" s="15"/>
      <c r="SGP244" s="15"/>
      <c r="SGQ244" s="16"/>
      <c r="SGR244" s="16"/>
      <c r="SGS244" s="16"/>
      <c r="SGT244" s="16"/>
      <c r="SGU244" s="16"/>
      <c r="SGV244" s="15"/>
      <c r="SGW244" s="15"/>
      <c r="SGX244" s="10"/>
      <c r="SGY244" s="10"/>
      <c r="SGZ244" s="19"/>
      <c r="SHA244" s="19"/>
      <c r="SHD244" s="16"/>
      <c r="SHE244" s="15"/>
      <c r="SHF244" s="15"/>
      <c r="SHG244" s="15"/>
      <c r="SHH244" s="16"/>
      <c r="SHI244" s="16"/>
      <c r="SHJ244" s="16"/>
      <c r="SHK244" s="16"/>
      <c r="SHL244" s="16"/>
      <c r="SHM244" s="15"/>
      <c r="SHN244" s="15"/>
      <c r="SHO244" s="10"/>
      <c r="SHP244" s="10"/>
      <c r="SHQ244" s="19"/>
      <c r="SHR244" s="19"/>
      <c r="SHU244" s="16"/>
      <c r="SHV244" s="15"/>
      <c r="SHW244" s="15"/>
      <c r="SHX244" s="15"/>
      <c r="SHY244" s="16"/>
      <c r="SHZ244" s="16"/>
      <c r="SIA244" s="16"/>
      <c r="SIB244" s="16"/>
      <c r="SIC244" s="16"/>
      <c r="SID244" s="15"/>
      <c r="SIE244" s="15"/>
      <c r="SIF244" s="10"/>
      <c r="SIG244" s="10"/>
      <c r="SIH244" s="19"/>
      <c r="SII244" s="19"/>
      <c r="SIL244" s="16"/>
      <c r="SIM244" s="15"/>
      <c r="SIN244" s="15"/>
      <c r="SIO244" s="15"/>
      <c r="SIP244" s="16"/>
      <c r="SIQ244" s="16"/>
      <c r="SIR244" s="16"/>
      <c r="SIS244" s="16"/>
      <c r="SIT244" s="16"/>
      <c r="SIU244" s="15"/>
      <c r="SIV244" s="15"/>
      <c r="SIW244" s="10"/>
      <c r="SIX244" s="10"/>
      <c r="SIY244" s="19"/>
      <c r="SIZ244" s="19"/>
      <c r="SJC244" s="16"/>
      <c r="SJD244" s="15"/>
      <c r="SJE244" s="15"/>
      <c r="SJF244" s="15"/>
      <c r="SJG244" s="16"/>
      <c r="SJH244" s="16"/>
      <c r="SJI244" s="16"/>
      <c r="SJJ244" s="16"/>
      <c r="SJK244" s="16"/>
      <c r="SJL244" s="15"/>
      <c r="SJM244" s="15"/>
      <c r="SJN244" s="10"/>
      <c r="SJO244" s="10"/>
      <c r="SJP244" s="19"/>
      <c r="SJQ244" s="19"/>
      <c r="SJT244" s="16"/>
      <c r="SJU244" s="15"/>
      <c r="SJV244" s="15"/>
      <c r="SJW244" s="15"/>
      <c r="SJX244" s="16"/>
      <c r="SJY244" s="16"/>
      <c r="SJZ244" s="16"/>
      <c r="SKA244" s="16"/>
      <c r="SKB244" s="16"/>
      <c r="SKC244" s="15"/>
      <c r="SKD244" s="15"/>
      <c r="SKE244" s="10"/>
      <c r="SKF244" s="10"/>
      <c r="SKG244" s="19"/>
      <c r="SKH244" s="19"/>
      <c r="SKK244" s="16"/>
      <c r="SKL244" s="15"/>
      <c r="SKM244" s="15"/>
      <c r="SKN244" s="15"/>
      <c r="SKO244" s="16"/>
      <c r="SKP244" s="16"/>
      <c r="SKQ244" s="16"/>
      <c r="SKR244" s="16"/>
      <c r="SKS244" s="16"/>
      <c r="SKT244" s="15"/>
      <c r="SKU244" s="15"/>
      <c r="SKV244" s="10"/>
      <c r="SKW244" s="10"/>
      <c r="SKX244" s="19"/>
      <c r="SKY244" s="19"/>
      <c r="SLB244" s="16"/>
      <c r="SLC244" s="15"/>
      <c r="SLD244" s="15"/>
      <c r="SLE244" s="15"/>
      <c r="SLF244" s="16"/>
      <c r="SLG244" s="16"/>
      <c r="SLH244" s="16"/>
      <c r="SLI244" s="16"/>
      <c r="SLJ244" s="16"/>
      <c r="SLK244" s="15"/>
      <c r="SLL244" s="15"/>
      <c r="SLM244" s="10"/>
      <c r="SLN244" s="10"/>
      <c r="SLO244" s="19"/>
      <c r="SLP244" s="19"/>
      <c r="SLS244" s="16"/>
      <c r="SLT244" s="15"/>
      <c r="SLU244" s="15"/>
      <c r="SLV244" s="15"/>
      <c r="SLW244" s="16"/>
      <c r="SLX244" s="16"/>
      <c r="SLY244" s="16"/>
      <c r="SLZ244" s="16"/>
      <c r="SMA244" s="16"/>
      <c r="SMB244" s="15"/>
      <c r="SMC244" s="15"/>
      <c r="SMD244" s="10"/>
      <c r="SME244" s="10"/>
      <c r="SMF244" s="19"/>
      <c r="SMG244" s="19"/>
      <c r="SMJ244" s="16"/>
      <c r="SMK244" s="15"/>
      <c r="SML244" s="15"/>
      <c r="SMM244" s="15"/>
      <c r="SMN244" s="16"/>
      <c r="SMO244" s="16"/>
      <c r="SMP244" s="16"/>
      <c r="SMQ244" s="16"/>
      <c r="SMR244" s="16"/>
      <c r="SMS244" s="15"/>
      <c r="SMT244" s="15"/>
      <c r="SMU244" s="10"/>
      <c r="SMV244" s="10"/>
      <c r="SMW244" s="19"/>
      <c r="SMX244" s="19"/>
      <c r="SNA244" s="16"/>
      <c r="SNB244" s="15"/>
      <c r="SNC244" s="15"/>
      <c r="SND244" s="15"/>
      <c r="SNE244" s="16"/>
      <c r="SNF244" s="16"/>
      <c r="SNG244" s="16"/>
      <c r="SNH244" s="16"/>
      <c r="SNI244" s="16"/>
      <c r="SNJ244" s="15"/>
      <c r="SNK244" s="15"/>
      <c r="SNL244" s="10"/>
      <c r="SNM244" s="10"/>
      <c r="SNN244" s="19"/>
      <c r="SNO244" s="19"/>
      <c r="SNR244" s="16"/>
      <c r="SNS244" s="15"/>
      <c r="SNT244" s="15"/>
      <c r="SNU244" s="15"/>
      <c r="SNV244" s="16"/>
      <c r="SNW244" s="16"/>
      <c r="SNX244" s="16"/>
      <c r="SNY244" s="16"/>
      <c r="SNZ244" s="16"/>
      <c r="SOA244" s="15"/>
      <c r="SOB244" s="15"/>
      <c r="SOC244" s="10"/>
      <c r="SOD244" s="10"/>
      <c r="SOE244" s="19"/>
      <c r="SOF244" s="19"/>
      <c r="SOI244" s="16"/>
      <c r="SOJ244" s="15"/>
      <c r="SOK244" s="15"/>
      <c r="SOL244" s="15"/>
      <c r="SOM244" s="16"/>
      <c r="SON244" s="16"/>
      <c r="SOO244" s="16"/>
      <c r="SOP244" s="16"/>
      <c r="SOQ244" s="16"/>
      <c r="SOR244" s="15"/>
      <c r="SOS244" s="15"/>
      <c r="SOT244" s="10"/>
      <c r="SOU244" s="10"/>
      <c r="SOV244" s="19"/>
      <c r="SOW244" s="19"/>
      <c r="SOZ244" s="16"/>
      <c r="SPA244" s="15"/>
      <c r="SPB244" s="15"/>
      <c r="SPC244" s="15"/>
      <c r="SPD244" s="16"/>
      <c r="SPE244" s="16"/>
      <c r="SPF244" s="16"/>
      <c r="SPG244" s="16"/>
      <c r="SPH244" s="16"/>
      <c r="SPI244" s="15"/>
      <c r="SPJ244" s="15"/>
      <c r="SPK244" s="10"/>
      <c r="SPL244" s="10"/>
      <c r="SPM244" s="19"/>
      <c r="SPN244" s="19"/>
      <c r="SPQ244" s="16"/>
      <c r="SPR244" s="15"/>
      <c r="SPS244" s="15"/>
      <c r="SPT244" s="15"/>
      <c r="SPU244" s="16"/>
      <c r="SPV244" s="16"/>
      <c r="SPW244" s="16"/>
      <c r="SPX244" s="16"/>
      <c r="SPY244" s="16"/>
      <c r="SPZ244" s="15"/>
      <c r="SQA244" s="15"/>
      <c r="SQB244" s="10"/>
      <c r="SQC244" s="10"/>
      <c r="SQD244" s="19"/>
      <c r="SQE244" s="19"/>
      <c r="SQH244" s="16"/>
      <c r="SQI244" s="15"/>
      <c r="SQJ244" s="15"/>
      <c r="SQK244" s="15"/>
      <c r="SQL244" s="16"/>
      <c r="SQM244" s="16"/>
      <c r="SQN244" s="16"/>
      <c r="SQO244" s="16"/>
      <c r="SQP244" s="16"/>
      <c r="SQQ244" s="15"/>
      <c r="SQR244" s="15"/>
      <c r="SQS244" s="10"/>
      <c r="SQT244" s="10"/>
      <c r="SQU244" s="19"/>
      <c r="SQV244" s="19"/>
      <c r="SQY244" s="16"/>
      <c r="SQZ244" s="15"/>
      <c r="SRA244" s="15"/>
      <c r="SRB244" s="15"/>
      <c r="SRC244" s="16"/>
      <c r="SRD244" s="16"/>
      <c r="SRE244" s="16"/>
      <c r="SRF244" s="16"/>
      <c r="SRG244" s="16"/>
      <c r="SRH244" s="15"/>
      <c r="SRI244" s="15"/>
      <c r="SRJ244" s="10"/>
      <c r="SRK244" s="10"/>
      <c r="SRL244" s="19"/>
      <c r="SRM244" s="19"/>
      <c r="SRP244" s="16"/>
      <c r="SRQ244" s="15"/>
      <c r="SRR244" s="15"/>
      <c r="SRS244" s="15"/>
      <c r="SRT244" s="16"/>
      <c r="SRU244" s="16"/>
      <c r="SRV244" s="16"/>
      <c r="SRW244" s="16"/>
      <c r="SRX244" s="16"/>
      <c r="SRY244" s="15"/>
      <c r="SRZ244" s="15"/>
      <c r="SSA244" s="10"/>
      <c r="SSB244" s="10"/>
      <c r="SSC244" s="19"/>
      <c r="SSD244" s="19"/>
      <c r="SSG244" s="16"/>
      <c r="SSH244" s="15"/>
      <c r="SSI244" s="15"/>
      <c r="SSJ244" s="15"/>
      <c r="SSK244" s="16"/>
      <c r="SSL244" s="16"/>
      <c r="SSM244" s="16"/>
      <c r="SSN244" s="16"/>
      <c r="SSO244" s="16"/>
      <c r="SSP244" s="15"/>
      <c r="SSQ244" s="15"/>
      <c r="SSR244" s="10"/>
      <c r="SSS244" s="10"/>
      <c r="SST244" s="19"/>
      <c r="SSU244" s="19"/>
      <c r="SSX244" s="16"/>
      <c r="SSY244" s="15"/>
      <c r="SSZ244" s="15"/>
      <c r="STA244" s="15"/>
      <c r="STB244" s="16"/>
      <c r="STC244" s="16"/>
      <c r="STD244" s="16"/>
      <c r="STE244" s="16"/>
      <c r="STF244" s="16"/>
      <c r="STG244" s="15"/>
      <c r="STH244" s="15"/>
      <c r="STI244" s="10"/>
      <c r="STJ244" s="10"/>
      <c r="STK244" s="19"/>
      <c r="STL244" s="19"/>
      <c r="STO244" s="16"/>
      <c r="STP244" s="15"/>
      <c r="STQ244" s="15"/>
      <c r="STR244" s="15"/>
      <c r="STS244" s="16"/>
      <c r="STT244" s="16"/>
      <c r="STU244" s="16"/>
      <c r="STV244" s="16"/>
      <c r="STW244" s="16"/>
      <c r="STX244" s="15"/>
      <c r="STY244" s="15"/>
      <c r="STZ244" s="10"/>
      <c r="SUA244" s="10"/>
      <c r="SUB244" s="19"/>
      <c r="SUC244" s="19"/>
      <c r="SUF244" s="16"/>
      <c r="SUG244" s="15"/>
      <c r="SUH244" s="15"/>
      <c r="SUI244" s="15"/>
      <c r="SUJ244" s="16"/>
      <c r="SUK244" s="16"/>
      <c r="SUL244" s="16"/>
      <c r="SUM244" s="16"/>
      <c r="SUN244" s="16"/>
      <c r="SUO244" s="15"/>
      <c r="SUP244" s="15"/>
      <c r="SUQ244" s="10"/>
      <c r="SUR244" s="10"/>
      <c r="SUS244" s="19"/>
      <c r="SUT244" s="19"/>
      <c r="SUW244" s="16"/>
      <c r="SUX244" s="15"/>
      <c r="SUY244" s="15"/>
      <c r="SUZ244" s="15"/>
      <c r="SVA244" s="16"/>
      <c r="SVB244" s="16"/>
      <c r="SVC244" s="16"/>
      <c r="SVD244" s="16"/>
      <c r="SVE244" s="16"/>
      <c r="SVF244" s="15"/>
      <c r="SVG244" s="15"/>
      <c r="SVH244" s="10"/>
      <c r="SVI244" s="10"/>
      <c r="SVJ244" s="19"/>
      <c r="SVK244" s="19"/>
      <c r="SVN244" s="16"/>
      <c r="SVO244" s="15"/>
      <c r="SVP244" s="15"/>
      <c r="SVQ244" s="15"/>
      <c r="SVR244" s="16"/>
      <c r="SVS244" s="16"/>
      <c r="SVT244" s="16"/>
      <c r="SVU244" s="16"/>
      <c r="SVV244" s="16"/>
      <c r="SVW244" s="15"/>
      <c r="SVX244" s="15"/>
      <c r="SVY244" s="10"/>
      <c r="SVZ244" s="10"/>
      <c r="SWA244" s="19"/>
      <c r="SWB244" s="19"/>
      <c r="SWE244" s="16"/>
      <c r="SWF244" s="15"/>
      <c r="SWG244" s="15"/>
      <c r="SWH244" s="15"/>
      <c r="SWI244" s="16"/>
      <c r="SWJ244" s="16"/>
      <c r="SWK244" s="16"/>
      <c r="SWL244" s="16"/>
      <c r="SWM244" s="16"/>
      <c r="SWN244" s="15"/>
      <c r="SWO244" s="15"/>
      <c r="SWP244" s="10"/>
      <c r="SWQ244" s="10"/>
      <c r="SWR244" s="19"/>
      <c r="SWS244" s="19"/>
      <c r="SWV244" s="16"/>
      <c r="SWW244" s="15"/>
      <c r="SWX244" s="15"/>
      <c r="SWY244" s="15"/>
      <c r="SWZ244" s="16"/>
      <c r="SXA244" s="16"/>
      <c r="SXB244" s="16"/>
      <c r="SXC244" s="16"/>
      <c r="SXD244" s="16"/>
      <c r="SXE244" s="15"/>
      <c r="SXF244" s="15"/>
      <c r="SXG244" s="10"/>
      <c r="SXH244" s="10"/>
      <c r="SXI244" s="19"/>
      <c r="SXJ244" s="19"/>
      <c r="SXM244" s="16"/>
      <c r="SXN244" s="15"/>
      <c r="SXO244" s="15"/>
      <c r="SXP244" s="15"/>
      <c r="SXQ244" s="16"/>
      <c r="SXR244" s="16"/>
      <c r="SXS244" s="16"/>
      <c r="SXT244" s="16"/>
      <c r="SXU244" s="16"/>
      <c r="SXV244" s="15"/>
      <c r="SXW244" s="15"/>
      <c r="SXX244" s="10"/>
      <c r="SXY244" s="10"/>
      <c r="SXZ244" s="19"/>
      <c r="SYA244" s="19"/>
      <c r="SYD244" s="16"/>
      <c r="SYE244" s="15"/>
      <c r="SYF244" s="15"/>
      <c r="SYG244" s="15"/>
      <c r="SYH244" s="16"/>
      <c r="SYI244" s="16"/>
      <c r="SYJ244" s="16"/>
      <c r="SYK244" s="16"/>
      <c r="SYL244" s="16"/>
      <c r="SYM244" s="15"/>
      <c r="SYN244" s="15"/>
      <c r="SYO244" s="10"/>
      <c r="SYP244" s="10"/>
      <c r="SYQ244" s="19"/>
      <c r="SYR244" s="19"/>
      <c r="SYU244" s="16"/>
      <c r="SYV244" s="15"/>
      <c r="SYW244" s="15"/>
      <c r="SYX244" s="15"/>
      <c r="SYY244" s="16"/>
      <c r="SYZ244" s="16"/>
      <c r="SZA244" s="16"/>
      <c r="SZB244" s="16"/>
      <c r="SZC244" s="16"/>
      <c r="SZD244" s="15"/>
      <c r="SZE244" s="15"/>
      <c r="SZF244" s="10"/>
      <c r="SZG244" s="10"/>
      <c r="SZH244" s="19"/>
      <c r="SZI244" s="19"/>
      <c r="SZL244" s="16"/>
      <c r="SZM244" s="15"/>
      <c r="SZN244" s="15"/>
      <c r="SZO244" s="15"/>
      <c r="SZP244" s="16"/>
      <c r="SZQ244" s="16"/>
      <c r="SZR244" s="16"/>
      <c r="SZS244" s="16"/>
      <c r="SZT244" s="16"/>
      <c r="SZU244" s="15"/>
      <c r="SZV244" s="15"/>
      <c r="SZW244" s="10"/>
      <c r="SZX244" s="10"/>
      <c r="SZY244" s="19"/>
      <c r="SZZ244" s="19"/>
      <c r="TAC244" s="16"/>
      <c r="TAD244" s="15"/>
      <c r="TAE244" s="15"/>
      <c r="TAF244" s="15"/>
      <c r="TAG244" s="16"/>
      <c r="TAH244" s="16"/>
      <c r="TAI244" s="16"/>
      <c r="TAJ244" s="16"/>
      <c r="TAK244" s="16"/>
      <c r="TAL244" s="15"/>
      <c r="TAM244" s="15"/>
      <c r="TAN244" s="10"/>
      <c r="TAO244" s="10"/>
      <c r="TAP244" s="19"/>
      <c r="TAQ244" s="19"/>
      <c r="TAT244" s="16"/>
      <c r="TAU244" s="15"/>
      <c r="TAV244" s="15"/>
      <c r="TAW244" s="15"/>
      <c r="TAX244" s="16"/>
      <c r="TAY244" s="16"/>
      <c r="TAZ244" s="16"/>
      <c r="TBA244" s="16"/>
      <c r="TBB244" s="16"/>
      <c r="TBC244" s="15"/>
      <c r="TBD244" s="15"/>
      <c r="TBE244" s="10"/>
      <c r="TBF244" s="10"/>
      <c r="TBG244" s="19"/>
      <c r="TBH244" s="19"/>
      <c r="TBK244" s="16"/>
      <c r="TBL244" s="15"/>
      <c r="TBM244" s="15"/>
      <c r="TBN244" s="15"/>
      <c r="TBO244" s="16"/>
      <c r="TBP244" s="16"/>
      <c r="TBQ244" s="16"/>
      <c r="TBR244" s="16"/>
      <c r="TBS244" s="16"/>
      <c r="TBT244" s="15"/>
      <c r="TBU244" s="15"/>
      <c r="TBV244" s="10"/>
      <c r="TBW244" s="10"/>
      <c r="TBX244" s="19"/>
      <c r="TBY244" s="19"/>
      <c r="TCB244" s="16"/>
      <c r="TCC244" s="15"/>
      <c r="TCD244" s="15"/>
      <c r="TCE244" s="15"/>
      <c r="TCF244" s="16"/>
      <c r="TCG244" s="16"/>
      <c r="TCH244" s="16"/>
      <c r="TCI244" s="16"/>
      <c r="TCJ244" s="16"/>
      <c r="TCK244" s="15"/>
      <c r="TCL244" s="15"/>
      <c r="TCM244" s="10"/>
      <c r="TCN244" s="10"/>
      <c r="TCO244" s="19"/>
      <c r="TCP244" s="19"/>
      <c r="TCS244" s="16"/>
      <c r="TCT244" s="15"/>
      <c r="TCU244" s="15"/>
      <c r="TCV244" s="15"/>
      <c r="TCW244" s="16"/>
      <c r="TCX244" s="16"/>
      <c r="TCY244" s="16"/>
      <c r="TCZ244" s="16"/>
      <c r="TDA244" s="16"/>
      <c r="TDB244" s="15"/>
      <c r="TDC244" s="15"/>
      <c r="TDD244" s="10"/>
      <c r="TDE244" s="10"/>
      <c r="TDF244" s="19"/>
      <c r="TDG244" s="19"/>
      <c r="TDJ244" s="16"/>
      <c r="TDK244" s="15"/>
      <c r="TDL244" s="15"/>
      <c r="TDM244" s="15"/>
      <c r="TDN244" s="16"/>
      <c r="TDO244" s="16"/>
      <c r="TDP244" s="16"/>
      <c r="TDQ244" s="16"/>
      <c r="TDR244" s="16"/>
      <c r="TDS244" s="15"/>
      <c r="TDT244" s="15"/>
      <c r="TDU244" s="10"/>
      <c r="TDV244" s="10"/>
      <c r="TDW244" s="19"/>
      <c r="TDX244" s="19"/>
      <c r="TEA244" s="16"/>
      <c r="TEB244" s="15"/>
      <c r="TEC244" s="15"/>
      <c r="TED244" s="15"/>
      <c r="TEE244" s="16"/>
      <c r="TEF244" s="16"/>
      <c r="TEG244" s="16"/>
      <c r="TEH244" s="16"/>
      <c r="TEI244" s="16"/>
      <c r="TEJ244" s="15"/>
      <c r="TEK244" s="15"/>
      <c r="TEL244" s="10"/>
      <c r="TEM244" s="10"/>
      <c r="TEN244" s="19"/>
      <c r="TEO244" s="19"/>
      <c r="TER244" s="16"/>
      <c r="TES244" s="15"/>
      <c r="TET244" s="15"/>
      <c r="TEU244" s="15"/>
      <c r="TEV244" s="16"/>
      <c r="TEW244" s="16"/>
      <c r="TEX244" s="16"/>
      <c r="TEY244" s="16"/>
      <c r="TEZ244" s="16"/>
      <c r="TFA244" s="15"/>
      <c r="TFB244" s="15"/>
      <c r="TFC244" s="10"/>
      <c r="TFD244" s="10"/>
      <c r="TFE244" s="19"/>
      <c r="TFF244" s="19"/>
      <c r="TFI244" s="16"/>
      <c r="TFJ244" s="15"/>
      <c r="TFK244" s="15"/>
      <c r="TFL244" s="15"/>
      <c r="TFM244" s="16"/>
      <c r="TFN244" s="16"/>
      <c r="TFO244" s="16"/>
      <c r="TFP244" s="16"/>
      <c r="TFQ244" s="16"/>
      <c r="TFR244" s="15"/>
      <c r="TFS244" s="15"/>
      <c r="TFT244" s="10"/>
      <c r="TFU244" s="10"/>
      <c r="TFV244" s="19"/>
      <c r="TFW244" s="19"/>
      <c r="TFZ244" s="16"/>
      <c r="TGA244" s="15"/>
      <c r="TGB244" s="15"/>
      <c r="TGC244" s="15"/>
      <c r="TGD244" s="16"/>
      <c r="TGE244" s="16"/>
      <c r="TGF244" s="16"/>
      <c r="TGG244" s="16"/>
      <c r="TGH244" s="16"/>
      <c r="TGI244" s="15"/>
      <c r="TGJ244" s="15"/>
      <c r="TGK244" s="10"/>
      <c r="TGL244" s="10"/>
      <c r="TGM244" s="19"/>
      <c r="TGN244" s="19"/>
      <c r="TGQ244" s="16"/>
      <c r="TGR244" s="15"/>
      <c r="TGS244" s="15"/>
      <c r="TGT244" s="15"/>
      <c r="TGU244" s="16"/>
      <c r="TGV244" s="16"/>
      <c r="TGW244" s="16"/>
      <c r="TGX244" s="16"/>
      <c r="TGY244" s="16"/>
      <c r="TGZ244" s="15"/>
      <c r="THA244" s="15"/>
      <c r="THB244" s="10"/>
      <c r="THC244" s="10"/>
      <c r="THD244" s="19"/>
      <c r="THE244" s="19"/>
      <c r="THH244" s="16"/>
      <c r="THI244" s="15"/>
      <c r="THJ244" s="15"/>
      <c r="THK244" s="15"/>
      <c r="THL244" s="16"/>
      <c r="THM244" s="16"/>
      <c r="THN244" s="16"/>
      <c r="THO244" s="16"/>
      <c r="THP244" s="16"/>
      <c r="THQ244" s="15"/>
      <c r="THR244" s="15"/>
      <c r="THS244" s="10"/>
      <c r="THT244" s="10"/>
      <c r="THU244" s="19"/>
      <c r="THV244" s="19"/>
      <c r="THY244" s="16"/>
      <c r="THZ244" s="15"/>
      <c r="TIA244" s="15"/>
      <c r="TIB244" s="15"/>
      <c r="TIC244" s="16"/>
      <c r="TID244" s="16"/>
      <c r="TIE244" s="16"/>
      <c r="TIF244" s="16"/>
      <c r="TIG244" s="16"/>
      <c r="TIH244" s="15"/>
      <c r="TII244" s="15"/>
      <c r="TIJ244" s="10"/>
      <c r="TIK244" s="10"/>
      <c r="TIL244" s="19"/>
      <c r="TIM244" s="19"/>
      <c r="TIP244" s="16"/>
      <c r="TIQ244" s="15"/>
      <c r="TIR244" s="15"/>
      <c r="TIS244" s="15"/>
      <c r="TIT244" s="16"/>
      <c r="TIU244" s="16"/>
      <c r="TIV244" s="16"/>
      <c r="TIW244" s="16"/>
      <c r="TIX244" s="16"/>
      <c r="TIY244" s="15"/>
      <c r="TIZ244" s="15"/>
      <c r="TJA244" s="10"/>
      <c r="TJB244" s="10"/>
      <c r="TJC244" s="19"/>
      <c r="TJD244" s="19"/>
      <c r="TJG244" s="16"/>
      <c r="TJH244" s="15"/>
      <c r="TJI244" s="15"/>
      <c r="TJJ244" s="15"/>
      <c r="TJK244" s="16"/>
      <c r="TJL244" s="16"/>
      <c r="TJM244" s="16"/>
      <c r="TJN244" s="16"/>
      <c r="TJO244" s="16"/>
      <c r="TJP244" s="15"/>
      <c r="TJQ244" s="15"/>
      <c r="TJR244" s="10"/>
      <c r="TJS244" s="10"/>
      <c r="TJT244" s="19"/>
      <c r="TJU244" s="19"/>
      <c r="TJX244" s="16"/>
      <c r="TJY244" s="15"/>
      <c r="TJZ244" s="15"/>
      <c r="TKA244" s="15"/>
      <c r="TKB244" s="16"/>
      <c r="TKC244" s="16"/>
      <c r="TKD244" s="16"/>
      <c r="TKE244" s="16"/>
      <c r="TKF244" s="16"/>
      <c r="TKG244" s="15"/>
      <c r="TKH244" s="15"/>
      <c r="TKI244" s="10"/>
      <c r="TKJ244" s="10"/>
      <c r="TKK244" s="19"/>
      <c r="TKL244" s="19"/>
      <c r="TKO244" s="16"/>
      <c r="TKP244" s="15"/>
      <c r="TKQ244" s="15"/>
      <c r="TKR244" s="15"/>
      <c r="TKS244" s="16"/>
      <c r="TKT244" s="16"/>
      <c r="TKU244" s="16"/>
      <c r="TKV244" s="16"/>
      <c r="TKW244" s="16"/>
      <c r="TKX244" s="15"/>
      <c r="TKY244" s="15"/>
      <c r="TKZ244" s="10"/>
      <c r="TLA244" s="10"/>
      <c r="TLB244" s="19"/>
      <c r="TLC244" s="19"/>
      <c r="TLF244" s="16"/>
      <c r="TLG244" s="15"/>
      <c r="TLH244" s="15"/>
      <c r="TLI244" s="15"/>
      <c r="TLJ244" s="16"/>
      <c r="TLK244" s="16"/>
      <c r="TLL244" s="16"/>
      <c r="TLM244" s="16"/>
      <c r="TLN244" s="16"/>
      <c r="TLO244" s="15"/>
      <c r="TLP244" s="15"/>
      <c r="TLQ244" s="10"/>
      <c r="TLR244" s="10"/>
      <c r="TLS244" s="19"/>
      <c r="TLT244" s="19"/>
      <c r="TLW244" s="16"/>
      <c r="TLX244" s="15"/>
      <c r="TLY244" s="15"/>
      <c r="TLZ244" s="15"/>
      <c r="TMA244" s="16"/>
      <c r="TMB244" s="16"/>
      <c r="TMC244" s="16"/>
      <c r="TMD244" s="16"/>
      <c r="TME244" s="16"/>
      <c r="TMF244" s="15"/>
      <c r="TMG244" s="15"/>
      <c r="TMH244" s="10"/>
      <c r="TMI244" s="10"/>
      <c r="TMJ244" s="19"/>
      <c r="TMK244" s="19"/>
      <c r="TMN244" s="16"/>
      <c r="TMO244" s="15"/>
      <c r="TMP244" s="15"/>
      <c r="TMQ244" s="15"/>
      <c r="TMR244" s="16"/>
      <c r="TMS244" s="16"/>
      <c r="TMT244" s="16"/>
      <c r="TMU244" s="16"/>
      <c r="TMV244" s="16"/>
      <c r="TMW244" s="15"/>
      <c r="TMX244" s="15"/>
      <c r="TMY244" s="10"/>
      <c r="TMZ244" s="10"/>
      <c r="TNA244" s="19"/>
      <c r="TNB244" s="19"/>
      <c r="TNE244" s="16"/>
      <c r="TNF244" s="15"/>
      <c r="TNG244" s="15"/>
      <c r="TNH244" s="15"/>
      <c r="TNI244" s="16"/>
      <c r="TNJ244" s="16"/>
      <c r="TNK244" s="16"/>
      <c r="TNL244" s="16"/>
      <c r="TNM244" s="16"/>
      <c r="TNN244" s="15"/>
      <c r="TNO244" s="15"/>
      <c r="TNP244" s="10"/>
      <c r="TNQ244" s="10"/>
      <c r="TNR244" s="19"/>
      <c r="TNS244" s="19"/>
      <c r="TNV244" s="16"/>
      <c r="TNW244" s="15"/>
      <c r="TNX244" s="15"/>
      <c r="TNY244" s="15"/>
      <c r="TNZ244" s="16"/>
      <c r="TOA244" s="16"/>
      <c r="TOB244" s="16"/>
      <c r="TOC244" s="16"/>
      <c r="TOD244" s="16"/>
      <c r="TOE244" s="15"/>
      <c r="TOF244" s="15"/>
      <c r="TOG244" s="10"/>
      <c r="TOH244" s="10"/>
      <c r="TOI244" s="19"/>
      <c r="TOJ244" s="19"/>
      <c r="TOM244" s="16"/>
      <c r="TON244" s="15"/>
      <c r="TOO244" s="15"/>
      <c r="TOP244" s="15"/>
      <c r="TOQ244" s="16"/>
      <c r="TOR244" s="16"/>
      <c r="TOS244" s="16"/>
      <c r="TOT244" s="16"/>
      <c r="TOU244" s="16"/>
      <c r="TOV244" s="15"/>
      <c r="TOW244" s="15"/>
      <c r="TOX244" s="10"/>
      <c r="TOY244" s="10"/>
      <c r="TOZ244" s="19"/>
      <c r="TPA244" s="19"/>
      <c r="TPD244" s="16"/>
      <c r="TPE244" s="15"/>
      <c r="TPF244" s="15"/>
      <c r="TPG244" s="15"/>
      <c r="TPH244" s="16"/>
      <c r="TPI244" s="16"/>
      <c r="TPJ244" s="16"/>
      <c r="TPK244" s="16"/>
      <c r="TPL244" s="16"/>
      <c r="TPM244" s="15"/>
      <c r="TPN244" s="15"/>
      <c r="TPO244" s="10"/>
      <c r="TPP244" s="10"/>
      <c r="TPQ244" s="19"/>
      <c r="TPR244" s="19"/>
      <c r="TPU244" s="16"/>
      <c r="TPV244" s="15"/>
      <c r="TPW244" s="15"/>
      <c r="TPX244" s="15"/>
      <c r="TPY244" s="16"/>
      <c r="TPZ244" s="16"/>
      <c r="TQA244" s="16"/>
      <c r="TQB244" s="16"/>
      <c r="TQC244" s="16"/>
      <c r="TQD244" s="15"/>
      <c r="TQE244" s="15"/>
      <c r="TQF244" s="10"/>
      <c r="TQG244" s="10"/>
      <c r="TQH244" s="19"/>
      <c r="TQI244" s="19"/>
      <c r="TQL244" s="16"/>
      <c r="TQM244" s="15"/>
      <c r="TQN244" s="15"/>
      <c r="TQO244" s="15"/>
      <c r="TQP244" s="16"/>
      <c r="TQQ244" s="16"/>
      <c r="TQR244" s="16"/>
      <c r="TQS244" s="16"/>
      <c r="TQT244" s="16"/>
      <c r="TQU244" s="15"/>
      <c r="TQV244" s="15"/>
      <c r="TQW244" s="10"/>
      <c r="TQX244" s="10"/>
      <c r="TQY244" s="19"/>
      <c r="TQZ244" s="19"/>
      <c r="TRC244" s="16"/>
      <c r="TRD244" s="15"/>
      <c r="TRE244" s="15"/>
      <c r="TRF244" s="15"/>
      <c r="TRG244" s="16"/>
      <c r="TRH244" s="16"/>
      <c r="TRI244" s="16"/>
      <c r="TRJ244" s="16"/>
      <c r="TRK244" s="16"/>
      <c r="TRL244" s="15"/>
      <c r="TRM244" s="15"/>
      <c r="TRN244" s="10"/>
      <c r="TRO244" s="10"/>
      <c r="TRP244" s="19"/>
      <c r="TRQ244" s="19"/>
      <c r="TRT244" s="16"/>
      <c r="TRU244" s="15"/>
      <c r="TRV244" s="15"/>
      <c r="TRW244" s="15"/>
      <c r="TRX244" s="16"/>
      <c r="TRY244" s="16"/>
      <c r="TRZ244" s="16"/>
      <c r="TSA244" s="16"/>
      <c r="TSB244" s="16"/>
      <c r="TSC244" s="15"/>
      <c r="TSD244" s="15"/>
      <c r="TSE244" s="10"/>
      <c r="TSF244" s="10"/>
      <c r="TSG244" s="19"/>
      <c r="TSH244" s="19"/>
      <c r="TSK244" s="16"/>
      <c r="TSL244" s="15"/>
      <c r="TSM244" s="15"/>
      <c r="TSN244" s="15"/>
      <c r="TSO244" s="16"/>
      <c r="TSP244" s="16"/>
      <c r="TSQ244" s="16"/>
      <c r="TSR244" s="16"/>
      <c r="TSS244" s="16"/>
      <c r="TST244" s="15"/>
      <c r="TSU244" s="15"/>
      <c r="TSV244" s="10"/>
      <c r="TSW244" s="10"/>
      <c r="TSX244" s="19"/>
      <c r="TSY244" s="19"/>
      <c r="TTB244" s="16"/>
      <c r="TTC244" s="15"/>
      <c r="TTD244" s="15"/>
      <c r="TTE244" s="15"/>
      <c r="TTF244" s="16"/>
      <c r="TTG244" s="16"/>
      <c r="TTH244" s="16"/>
      <c r="TTI244" s="16"/>
      <c r="TTJ244" s="16"/>
      <c r="TTK244" s="15"/>
      <c r="TTL244" s="15"/>
      <c r="TTM244" s="10"/>
      <c r="TTN244" s="10"/>
      <c r="TTO244" s="19"/>
      <c r="TTP244" s="19"/>
      <c r="TTS244" s="16"/>
      <c r="TTT244" s="15"/>
      <c r="TTU244" s="15"/>
      <c r="TTV244" s="15"/>
      <c r="TTW244" s="16"/>
      <c r="TTX244" s="16"/>
      <c r="TTY244" s="16"/>
      <c r="TTZ244" s="16"/>
      <c r="TUA244" s="16"/>
      <c r="TUB244" s="15"/>
      <c r="TUC244" s="15"/>
      <c r="TUD244" s="10"/>
      <c r="TUE244" s="10"/>
      <c r="TUF244" s="19"/>
      <c r="TUG244" s="19"/>
      <c r="TUJ244" s="16"/>
      <c r="TUK244" s="15"/>
      <c r="TUL244" s="15"/>
      <c r="TUM244" s="15"/>
      <c r="TUN244" s="16"/>
      <c r="TUO244" s="16"/>
      <c r="TUP244" s="16"/>
      <c r="TUQ244" s="16"/>
      <c r="TUR244" s="16"/>
      <c r="TUS244" s="15"/>
      <c r="TUT244" s="15"/>
      <c r="TUU244" s="10"/>
      <c r="TUV244" s="10"/>
      <c r="TUW244" s="19"/>
      <c r="TUX244" s="19"/>
      <c r="TVA244" s="16"/>
      <c r="TVB244" s="15"/>
      <c r="TVC244" s="15"/>
      <c r="TVD244" s="15"/>
      <c r="TVE244" s="16"/>
      <c r="TVF244" s="16"/>
      <c r="TVG244" s="16"/>
      <c r="TVH244" s="16"/>
      <c r="TVI244" s="16"/>
      <c r="TVJ244" s="15"/>
      <c r="TVK244" s="15"/>
      <c r="TVL244" s="10"/>
      <c r="TVM244" s="10"/>
      <c r="TVN244" s="19"/>
      <c r="TVO244" s="19"/>
      <c r="TVR244" s="16"/>
      <c r="TVS244" s="15"/>
      <c r="TVT244" s="15"/>
      <c r="TVU244" s="15"/>
      <c r="TVV244" s="16"/>
      <c r="TVW244" s="16"/>
      <c r="TVX244" s="16"/>
      <c r="TVY244" s="16"/>
      <c r="TVZ244" s="16"/>
      <c r="TWA244" s="15"/>
      <c r="TWB244" s="15"/>
      <c r="TWC244" s="10"/>
      <c r="TWD244" s="10"/>
      <c r="TWE244" s="19"/>
      <c r="TWF244" s="19"/>
      <c r="TWI244" s="16"/>
      <c r="TWJ244" s="15"/>
      <c r="TWK244" s="15"/>
      <c r="TWL244" s="15"/>
      <c r="TWM244" s="16"/>
      <c r="TWN244" s="16"/>
      <c r="TWO244" s="16"/>
      <c r="TWP244" s="16"/>
      <c r="TWQ244" s="16"/>
      <c r="TWR244" s="15"/>
      <c r="TWS244" s="15"/>
      <c r="TWT244" s="10"/>
      <c r="TWU244" s="10"/>
      <c r="TWV244" s="19"/>
      <c r="TWW244" s="19"/>
      <c r="TWZ244" s="16"/>
      <c r="TXA244" s="15"/>
      <c r="TXB244" s="15"/>
      <c r="TXC244" s="15"/>
      <c r="TXD244" s="16"/>
      <c r="TXE244" s="16"/>
      <c r="TXF244" s="16"/>
      <c r="TXG244" s="16"/>
      <c r="TXH244" s="16"/>
      <c r="TXI244" s="15"/>
      <c r="TXJ244" s="15"/>
      <c r="TXK244" s="10"/>
      <c r="TXL244" s="10"/>
      <c r="TXM244" s="19"/>
      <c r="TXN244" s="19"/>
      <c r="TXQ244" s="16"/>
      <c r="TXR244" s="15"/>
      <c r="TXS244" s="15"/>
      <c r="TXT244" s="15"/>
      <c r="TXU244" s="16"/>
      <c r="TXV244" s="16"/>
      <c r="TXW244" s="16"/>
      <c r="TXX244" s="16"/>
      <c r="TXY244" s="16"/>
      <c r="TXZ244" s="15"/>
      <c r="TYA244" s="15"/>
      <c r="TYB244" s="10"/>
      <c r="TYC244" s="10"/>
      <c r="TYD244" s="19"/>
      <c r="TYE244" s="19"/>
      <c r="TYH244" s="16"/>
      <c r="TYI244" s="15"/>
      <c r="TYJ244" s="15"/>
      <c r="TYK244" s="15"/>
      <c r="TYL244" s="16"/>
      <c r="TYM244" s="16"/>
      <c r="TYN244" s="16"/>
      <c r="TYO244" s="16"/>
      <c r="TYP244" s="16"/>
      <c r="TYQ244" s="15"/>
      <c r="TYR244" s="15"/>
      <c r="TYS244" s="10"/>
      <c r="TYT244" s="10"/>
      <c r="TYU244" s="19"/>
      <c r="TYV244" s="19"/>
      <c r="TYY244" s="16"/>
      <c r="TYZ244" s="15"/>
      <c r="TZA244" s="15"/>
      <c r="TZB244" s="15"/>
      <c r="TZC244" s="16"/>
      <c r="TZD244" s="16"/>
      <c r="TZE244" s="16"/>
      <c r="TZF244" s="16"/>
      <c r="TZG244" s="16"/>
      <c r="TZH244" s="15"/>
      <c r="TZI244" s="15"/>
      <c r="TZJ244" s="10"/>
      <c r="TZK244" s="10"/>
      <c r="TZL244" s="19"/>
      <c r="TZM244" s="19"/>
      <c r="TZP244" s="16"/>
      <c r="TZQ244" s="15"/>
      <c r="TZR244" s="15"/>
      <c r="TZS244" s="15"/>
      <c r="TZT244" s="16"/>
      <c r="TZU244" s="16"/>
      <c r="TZV244" s="16"/>
      <c r="TZW244" s="16"/>
      <c r="TZX244" s="16"/>
      <c r="TZY244" s="15"/>
      <c r="TZZ244" s="15"/>
      <c r="UAA244" s="10"/>
      <c r="UAB244" s="10"/>
      <c r="UAC244" s="19"/>
      <c r="UAD244" s="19"/>
      <c r="UAG244" s="16"/>
      <c r="UAH244" s="15"/>
      <c r="UAI244" s="15"/>
      <c r="UAJ244" s="15"/>
      <c r="UAK244" s="16"/>
      <c r="UAL244" s="16"/>
      <c r="UAM244" s="16"/>
      <c r="UAN244" s="16"/>
      <c r="UAO244" s="16"/>
      <c r="UAP244" s="15"/>
      <c r="UAQ244" s="15"/>
      <c r="UAR244" s="10"/>
      <c r="UAS244" s="10"/>
      <c r="UAT244" s="19"/>
      <c r="UAU244" s="19"/>
      <c r="UAX244" s="16"/>
      <c r="UAY244" s="15"/>
      <c r="UAZ244" s="15"/>
      <c r="UBA244" s="15"/>
      <c r="UBB244" s="16"/>
      <c r="UBC244" s="16"/>
      <c r="UBD244" s="16"/>
      <c r="UBE244" s="16"/>
      <c r="UBF244" s="16"/>
      <c r="UBG244" s="15"/>
      <c r="UBH244" s="15"/>
      <c r="UBI244" s="10"/>
      <c r="UBJ244" s="10"/>
      <c r="UBK244" s="19"/>
      <c r="UBL244" s="19"/>
      <c r="UBO244" s="16"/>
      <c r="UBP244" s="15"/>
      <c r="UBQ244" s="15"/>
      <c r="UBR244" s="15"/>
      <c r="UBS244" s="16"/>
      <c r="UBT244" s="16"/>
      <c r="UBU244" s="16"/>
      <c r="UBV244" s="16"/>
      <c r="UBW244" s="16"/>
      <c r="UBX244" s="15"/>
      <c r="UBY244" s="15"/>
      <c r="UBZ244" s="10"/>
      <c r="UCA244" s="10"/>
      <c r="UCB244" s="19"/>
      <c r="UCC244" s="19"/>
      <c r="UCF244" s="16"/>
      <c r="UCG244" s="15"/>
      <c r="UCH244" s="15"/>
      <c r="UCI244" s="15"/>
      <c r="UCJ244" s="16"/>
      <c r="UCK244" s="16"/>
      <c r="UCL244" s="16"/>
      <c r="UCM244" s="16"/>
      <c r="UCN244" s="16"/>
      <c r="UCO244" s="15"/>
      <c r="UCP244" s="15"/>
      <c r="UCQ244" s="10"/>
      <c r="UCR244" s="10"/>
      <c r="UCS244" s="19"/>
      <c r="UCT244" s="19"/>
      <c r="UCW244" s="16"/>
      <c r="UCX244" s="15"/>
      <c r="UCY244" s="15"/>
      <c r="UCZ244" s="15"/>
      <c r="UDA244" s="16"/>
      <c r="UDB244" s="16"/>
      <c r="UDC244" s="16"/>
      <c r="UDD244" s="16"/>
      <c r="UDE244" s="16"/>
      <c r="UDF244" s="15"/>
      <c r="UDG244" s="15"/>
      <c r="UDH244" s="10"/>
      <c r="UDI244" s="10"/>
      <c r="UDJ244" s="19"/>
      <c r="UDK244" s="19"/>
      <c r="UDN244" s="16"/>
      <c r="UDO244" s="15"/>
      <c r="UDP244" s="15"/>
      <c r="UDQ244" s="15"/>
      <c r="UDR244" s="16"/>
      <c r="UDS244" s="16"/>
      <c r="UDT244" s="16"/>
      <c r="UDU244" s="16"/>
      <c r="UDV244" s="16"/>
      <c r="UDW244" s="15"/>
      <c r="UDX244" s="15"/>
      <c r="UDY244" s="10"/>
      <c r="UDZ244" s="10"/>
      <c r="UEA244" s="19"/>
      <c r="UEB244" s="19"/>
      <c r="UEE244" s="16"/>
      <c r="UEF244" s="15"/>
      <c r="UEG244" s="15"/>
      <c r="UEH244" s="15"/>
      <c r="UEI244" s="16"/>
      <c r="UEJ244" s="16"/>
      <c r="UEK244" s="16"/>
      <c r="UEL244" s="16"/>
      <c r="UEM244" s="16"/>
      <c r="UEN244" s="15"/>
      <c r="UEO244" s="15"/>
      <c r="UEP244" s="10"/>
      <c r="UEQ244" s="10"/>
      <c r="UER244" s="19"/>
      <c r="UES244" s="19"/>
      <c r="UEV244" s="16"/>
      <c r="UEW244" s="15"/>
      <c r="UEX244" s="15"/>
      <c r="UEY244" s="15"/>
      <c r="UEZ244" s="16"/>
      <c r="UFA244" s="16"/>
      <c r="UFB244" s="16"/>
      <c r="UFC244" s="16"/>
      <c r="UFD244" s="16"/>
      <c r="UFE244" s="15"/>
      <c r="UFF244" s="15"/>
      <c r="UFG244" s="10"/>
      <c r="UFH244" s="10"/>
      <c r="UFI244" s="19"/>
      <c r="UFJ244" s="19"/>
      <c r="UFM244" s="16"/>
      <c r="UFN244" s="15"/>
      <c r="UFO244" s="15"/>
      <c r="UFP244" s="15"/>
      <c r="UFQ244" s="16"/>
      <c r="UFR244" s="16"/>
      <c r="UFS244" s="16"/>
      <c r="UFT244" s="16"/>
      <c r="UFU244" s="16"/>
      <c r="UFV244" s="15"/>
      <c r="UFW244" s="15"/>
      <c r="UFX244" s="10"/>
      <c r="UFY244" s="10"/>
      <c r="UFZ244" s="19"/>
      <c r="UGA244" s="19"/>
      <c r="UGD244" s="16"/>
      <c r="UGE244" s="15"/>
      <c r="UGF244" s="15"/>
      <c r="UGG244" s="15"/>
      <c r="UGH244" s="16"/>
      <c r="UGI244" s="16"/>
      <c r="UGJ244" s="16"/>
      <c r="UGK244" s="16"/>
      <c r="UGL244" s="16"/>
      <c r="UGM244" s="15"/>
      <c r="UGN244" s="15"/>
      <c r="UGO244" s="10"/>
      <c r="UGP244" s="10"/>
      <c r="UGQ244" s="19"/>
      <c r="UGR244" s="19"/>
      <c r="UGU244" s="16"/>
      <c r="UGV244" s="15"/>
      <c r="UGW244" s="15"/>
      <c r="UGX244" s="15"/>
      <c r="UGY244" s="16"/>
      <c r="UGZ244" s="16"/>
      <c r="UHA244" s="16"/>
      <c r="UHB244" s="16"/>
      <c r="UHC244" s="16"/>
      <c r="UHD244" s="15"/>
      <c r="UHE244" s="15"/>
      <c r="UHF244" s="10"/>
      <c r="UHG244" s="10"/>
      <c r="UHH244" s="19"/>
      <c r="UHI244" s="19"/>
      <c r="UHL244" s="16"/>
      <c r="UHM244" s="15"/>
      <c r="UHN244" s="15"/>
      <c r="UHO244" s="15"/>
      <c r="UHP244" s="16"/>
      <c r="UHQ244" s="16"/>
      <c r="UHR244" s="16"/>
      <c r="UHS244" s="16"/>
      <c r="UHT244" s="16"/>
      <c r="UHU244" s="15"/>
      <c r="UHV244" s="15"/>
      <c r="UHW244" s="10"/>
      <c r="UHX244" s="10"/>
      <c r="UHY244" s="19"/>
      <c r="UHZ244" s="19"/>
      <c r="UIC244" s="16"/>
      <c r="UID244" s="15"/>
      <c r="UIE244" s="15"/>
      <c r="UIF244" s="15"/>
      <c r="UIG244" s="16"/>
      <c r="UIH244" s="16"/>
      <c r="UII244" s="16"/>
      <c r="UIJ244" s="16"/>
      <c r="UIK244" s="16"/>
      <c r="UIL244" s="15"/>
      <c r="UIM244" s="15"/>
      <c r="UIN244" s="10"/>
      <c r="UIO244" s="10"/>
      <c r="UIP244" s="19"/>
      <c r="UIQ244" s="19"/>
      <c r="UIT244" s="16"/>
      <c r="UIU244" s="15"/>
      <c r="UIV244" s="15"/>
      <c r="UIW244" s="15"/>
      <c r="UIX244" s="16"/>
      <c r="UIY244" s="16"/>
      <c r="UIZ244" s="16"/>
      <c r="UJA244" s="16"/>
      <c r="UJB244" s="16"/>
      <c r="UJC244" s="15"/>
      <c r="UJD244" s="15"/>
      <c r="UJE244" s="10"/>
      <c r="UJF244" s="10"/>
      <c r="UJG244" s="19"/>
      <c r="UJH244" s="19"/>
      <c r="UJK244" s="16"/>
      <c r="UJL244" s="15"/>
      <c r="UJM244" s="15"/>
      <c r="UJN244" s="15"/>
      <c r="UJO244" s="16"/>
      <c r="UJP244" s="16"/>
      <c r="UJQ244" s="16"/>
      <c r="UJR244" s="16"/>
      <c r="UJS244" s="16"/>
      <c r="UJT244" s="15"/>
      <c r="UJU244" s="15"/>
      <c r="UJV244" s="10"/>
      <c r="UJW244" s="10"/>
      <c r="UJX244" s="19"/>
      <c r="UJY244" s="19"/>
      <c r="UKB244" s="16"/>
      <c r="UKC244" s="15"/>
      <c r="UKD244" s="15"/>
      <c r="UKE244" s="15"/>
      <c r="UKF244" s="16"/>
      <c r="UKG244" s="16"/>
      <c r="UKH244" s="16"/>
      <c r="UKI244" s="16"/>
      <c r="UKJ244" s="16"/>
      <c r="UKK244" s="15"/>
      <c r="UKL244" s="15"/>
      <c r="UKM244" s="10"/>
      <c r="UKN244" s="10"/>
      <c r="UKO244" s="19"/>
      <c r="UKP244" s="19"/>
      <c r="UKS244" s="16"/>
      <c r="UKT244" s="15"/>
      <c r="UKU244" s="15"/>
      <c r="UKV244" s="15"/>
      <c r="UKW244" s="16"/>
      <c r="UKX244" s="16"/>
      <c r="UKY244" s="16"/>
      <c r="UKZ244" s="16"/>
      <c r="ULA244" s="16"/>
      <c r="ULB244" s="15"/>
      <c r="ULC244" s="15"/>
      <c r="ULD244" s="10"/>
      <c r="ULE244" s="10"/>
      <c r="ULF244" s="19"/>
      <c r="ULG244" s="19"/>
      <c r="ULJ244" s="16"/>
      <c r="ULK244" s="15"/>
      <c r="ULL244" s="15"/>
      <c r="ULM244" s="15"/>
      <c r="ULN244" s="16"/>
      <c r="ULO244" s="16"/>
      <c r="ULP244" s="16"/>
      <c r="ULQ244" s="16"/>
      <c r="ULR244" s="16"/>
      <c r="ULS244" s="15"/>
      <c r="ULT244" s="15"/>
      <c r="ULU244" s="10"/>
      <c r="ULV244" s="10"/>
      <c r="ULW244" s="19"/>
      <c r="ULX244" s="19"/>
      <c r="UMA244" s="16"/>
      <c r="UMB244" s="15"/>
      <c r="UMC244" s="15"/>
      <c r="UMD244" s="15"/>
      <c r="UME244" s="16"/>
      <c r="UMF244" s="16"/>
      <c r="UMG244" s="16"/>
      <c r="UMH244" s="16"/>
      <c r="UMI244" s="16"/>
      <c r="UMJ244" s="15"/>
      <c r="UMK244" s="15"/>
      <c r="UML244" s="10"/>
      <c r="UMM244" s="10"/>
      <c r="UMN244" s="19"/>
      <c r="UMO244" s="19"/>
      <c r="UMR244" s="16"/>
      <c r="UMS244" s="15"/>
      <c r="UMT244" s="15"/>
      <c r="UMU244" s="15"/>
      <c r="UMV244" s="16"/>
      <c r="UMW244" s="16"/>
      <c r="UMX244" s="16"/>
      <c r="UMY244" s="16"/>
      <c r="UMZ244" s="16"/>
      <c r="UNA244" s="15"/>
      <c r="UNB244" s="15"/>
      <c r="UNC244" s="10"/>
      <c r="UND244" s="10"/>
      <c r="UNE244" s="19"/>
      <c r="UNF244" s="19"/>
      <c r="UNI244" s="16"/>
      <c r="UNJ244" s="15"/>
      <c r="UNK244" s="15"/>
      <c r="UNL244" s="15"/>
      <c r="UNM244" s="16"/>
      <c r="UNN244" s="16"/>
      <c r="UNO244" s="16"/>
      <c r="UNP244" s="16"/>
      <c r="UNQ244" s="16"/>
      <c r="UNR244" s="15"/>
      <c r="UNS244" s="15"/>
      <c r="UNT244" s="10"/>
      <c r="UNU244" s="10"/>
      <c r="UNV244" s="19"/>
      <c r="UNW244" s="19"/>
      <c r="UNZ244" s="16"/>
      <c r="UOA244" s="15"/>
      <c r="UOB244" s="15"/>
      <c r="UOC244" s="15"/>
      <c r="UOD244" s="16"/>
      <c r="UOE244" s="16"/>
      <c r="UOF244" s="16"/>
      <c r="UOG244" s="16"/>
      <c r="UOH244" s="16"/>
      <c r="UOI244" s="15"/>
      <c r="UOJ244" s="15"/>
      <c r="UOK244" s="10"/>
      <c r="UOL244" s="10"/>
      <c r="UOM244" s="19"/>
      <c r="UON244" s="19"/>
      <c r="UOQ244" s="16"/>
      <c r="UOR244" s="15"/>
      <c r="UOS244" s="15"/>
      <c r="UOT244" s="15"/>
      <c r="UOU244" s="16"/>
      <c r="UOV244" s="16"/>
      <c r="UOW244" s="16"/>
      <c r="UOX244" s="16"/>
      <c r="UOY244" s="16"/>
      <c r="UOZ244" s="15"/>
      <c r="UPA244" s="15"/>
      <c r="UPB244" s="10"/>
      <c r="UPC244" s="10"/>
      <c r="UPD244" s="19"/>
      <c r="UPE244" s="19"/>
      <c r="UPH244" s="16"/>
      <c r="UPI244" s="15"/>
      <c r="UPJ244" s="15"/>
      <c r="UPK244" s="15"/>
      <c r="UPL244" s="16"/>
      <c r="UPM244" s="16"/>
      <c r="UPN244" s="16"/>
      <c r="UPO244" s="16"/>
      <c r="UPP244" s="16"/>
      <c r="UPQ244" s="15"/>
      <c r="UPR244" s="15"/>
      <c r="UPS244" s="10"/>
      <c r="UPT244" s="10"/>
      <c r="UPU244" s="19"/>
      <c r="UPV244" s="19"/>
      <c r="UPY244" s="16"/>
      <c r="UPZ244" s="15"/>
      <c r="UQA244" s="15"/>
      <c r="UQB244" s="15"/>
      <c r="UQC244" s="16"/>
      <c r="UQD244" s="16"/>
      <c r="UQE244" s="16"/>
      <c r="UQF244" s="16"/>
      <c r="UQG244" s="16"/>
      <c r="UQH244" s="15"/>
      <c r="UQI244" s="15"/>
      <c r="UQJ244" s="10"/>
      <c r="UQK244" s="10"/>
      <c r="UQL244" s="19"/>
      <c r="UQM244" s="19"/>
      <c r="UQP244" s="16"/>
      <c r="UQQ244" s="15"/>
      <c r="UQR244" s="15"/>
      <c r="UQS244" s="15"/>
      <c r="UQT244" s="16"/>
      <c r="UQU244" s="16"/>
      <c r="UQV244" s="16"/>
      <c r="UQW244" s="16"/>
      <c r="UQX244" s="16"/>
      <c r="UQY244" s="15"/>
      <c r="UQZ244" s="15"/>
      <c r="URA244" s="10"/>
      <c r="URB244" s="10"/>
      <c r="URC244" s="19"/>
      <c r="URD244" s="19"/>
      <c r="URG244" s="16"/>
      <c r="URH244" s="15"/>
      <c r="URI244" s="15"/>
      <c r="URJ244" s="15"/>
      <c r="URK244" s="16"/>
      <c r="URL244" s="16"/>
      <c r="URM244" s="16"/>
      <c r="URN244" s="16"/>
      <c r="URO244" s="16"/>
      <c r="URP244" s="15"/>
      <c r="URQ244" s="15"/>
      <c r="URR244" s="10"/>
      <c r="URS244" s="10"/>
      <c r="URT244" s="19"/>
      <c r="URU244" s="19"/>
      <c r="URX244" s="16"/>
      <c r="URY244" s="15"/>
      <c r="URZ244" s="15"/>
      <c r="USA244" s="15"/>
      <c r="USB244" s="16"/>
      <c r="USC244" s="16"/>
      <c r="USD244" s="16"/>
      <c r="USE244" s="16"/>
      <c r="USF244" s="16"/>
      <c r="USG244" s="15"/>
      <c r="USH244" s="15"/>
      <c r="USI244" s="10"/>
      <c r="USJ244" s="10"/>
      <c r="USK244" s="19"/>
      <c r="USL244" s="19"/>
      <c r="USO244" s="16"/>
      <c r="USP244" s="15"/>
      <c r="USQ244" s="15"/>
      <c r="USR244" s="15"/>
      <c r="USS244" s="16"/>
      <c r="UST244" s="16"/>
      <c r="USU244" s="16"/>
      <c r="USV244" s="16"/>
      <c r="USW244" s="16"/>
      <c r="USX244" s="15"/>
      <c r="USY244" s="15"/>
      <c r="USZ244" s="10"/>
      <c r="UTA244" s="10"/>
      <c r="UTB244" s="19"/>
      <c r="UTC244" s="19"/>
      <c r="UTF244" s="16"/>
      <c r="UTG244" s="15"/>
      <c r="UTH244" s="15"/>
      <c r="UTI244" s="15"/>
      <c r="UTJ244" s="16"/>
      <c r="UTK244" s="16"/>
      <c r="UTL244" s="16"/>
      <c r="UTM244" s="16"/>
      <c r="UTN244" s="16"/>
      <c r="UTO244" s="15"/>
      <c r="UTP244" s="15"/>
      <c r="UTQ244" s="10"/>
      <c r="UTR244" s="10"/>
      <c r="UTS244" s="19"/>
      <c r="UTT244" s="19"/>
      <c r="UTW244" s="16"/>
      <c r="UTX244" s="15"/>
      <c r="UTY244" s="15"/>
      <c r="UTZ244" s="15"/>
      <c r="UUA244" s="16"/>
      <c r="UUB244" s="16"/>
      <c r="UUC244" s="16"/>
      <c r="UUD244" s="16"/>
      <c r="UUE244" s="16"/>
      <c r="UUF244" s="15"/>
      <c r="UUG244" s="15"/>
      <c r="UUH244" s="10"/>
      <c r="UUI244" s="10"/>
      <c r="UUJ244" s="19"/>
      <c r="UUK244" s="19"/>
      <c r="UUN244" s="16"/>
      <c r="UUO244" s="15"/>
      <c r="UUP244" s="15"/>
      <c r="UUQ244" s="15"/>
      <c r="UUR244" s="16"/>
      <c r="UUS244" s="16"/>
      <c r="UUT244" s="16"/>
      <c r="UUU244" s="16"/>
      <c r="UUV244" s="16"/>
      <c r="UUW244" s="15"/>
      <c r="UUX244" s="15"/>
      <c r="UUY244" s="10"/>
      <c r="UUZ244" s="10"/>
      <c r="UVA244" s="19"/>
      <c r="UVB244" s="19"/>
      <c r="UVE244" s="16"/>
      <c r="UVF244" s="15"/>
      <c r="UVG244" s="15"/>
      <c r="UVH244" s="15"/>
      <c r="UVI244" s="16"/>
      <c r="UVJ244" s="16"/>
      <c r="UVK244" s="16"/>
      <c r="UVL244" s="16"/>
      <c r="UVM244" s="16"/>
      <c r="UVN244" s="15"/>
      <c r="UVO244" s="15"/>
      <c r="UVP244" s="10"/>
      <c r="UVQ244" s="10"/>
      <c r="UVR244" s="19"/>
      <c r="UVS244" s="19"/>
      <c r="UVV244" s="16"/>
      <c r="UVW244" s="15"/>
      <c r="UVX244" s="15"/>
      <c r="UVY244" s="15"/>
      <c r="UVZ244" s="16"/>
      <c r="UWA244" s="16"/>
      <c r="UWB244" s="16"/>
      <c r="UWC244" s="16"/>
      <c r="UWD244" s="16"/>
      <c r="UWE244" s="15"/>
      <c r="UWF244" s="15"/>
      <c r="UWG244" s="10"/>
      <c r="UWH244" s="10"/>
      <c r="UWI244" s="19"/>
      <c r="UWJ244" s="19"/>
      <c r="UWM244" s="16"/>
      <c r="UWN244" s="15"/>
      <c r="UWO244" s="15"/>
      <c r="UWP244" s="15"/>
      <c r="UWQ244" s="16"/>
      <c r="UWR244" s="16"/>
      <c r="UWS244" s="16"/>
      <c r="UWT244" s="16"/>
      <c r="UWU244" s="16"/>
      <c r="UWV244" s="15"/>
      <c r="UWW244" s="15"/>
      <c r="UWX244" s="10"/>
      <c r="UWY244" s="10"/>
      <c r="UWZ244" s="19"/>
      <c r="UXA244" s="19"/>
      <c r="UXD244" s="16"/>
      <c r="UXE244" s="15"/>
      <c r="UXF244" s="15"/>
      <c r="UXG244" s="15"/>
      <c r="UXH244" s="16"/>
      <c r="UXI244" s="16"/>
      <c r="UXJ244" s="16"/>
      <c r="UXK244" s="16"/>
      <c r="UXL244" s="16"/>
      <c r="UXM244" s="15"/>
      <c r="UXN244" s="15"/>
      <c r="UXO244" s="10"/>
      <c r="UXP244" s="10"/>
      <c r="UXQ244" s="19"/>
      <c r="UXR244" s="19"/>
      <c r="UXU244" s="16"/>
      <c r="UXV244" s="15"/>
      <c r="UXW244" s="15"/>
      <c r="UXX244" s="15"/>
      <c r="UXY244" s="16"/>
      <c r="UXZ244" s="16"/>
      <c r="UYA244" s="16"/>
      <c r="UYB244" s="16"/>
      <c r="UYC244" s="16"/>
      <c r="UYD244" s="15"/>
      <c r="UYE244" s="15"/>
      <c r="UYF244" s="10"/>
      <c r="UYG244" s="10"/>
      <c r="UYH244" s="19"/>
      <c r="UYI244" s="19"/>
      <c r="UYL244" s="16"/>
      <c r="UYM244" s="15"/>
      <c r="UYN244" s="15"/>
      <c r="UYO244" s="15"/>
      <c r="UYP244" s="16"/>
      <c r="UYQ244" s="16"/>
      <c r="UYR244" s="16"/>
      <c r="UYS244" s="16"/>
      <c r="UYT244" s="16"/>
      <c r="UYU244" s="15"/>
      <c r="UYV244" s="15"/>
      <c r="UYW244" s="10"/>
      <c r="UYX244" s="10"/>
      <c r="UYY244" s="19"/>
      <c r="UYZ244" s="19"/>
      <c r="UZC244" s="16"/>
      <c r="UZD244" s="15"/>
      <c r="UZE244" s="15"/>
      <c r="UZF244" s="15"/>
      <c r="UZG244" s="16"/>
      <c r="UZH244" s="16"/>
      <c r="UZI244" s="16"/>
      <c r="UZJ244" s="16"/>
      <c r="UZK244" s="16"/>
      <c r="UZL244" s="15"/>
      <c r="UZM244" s="15"/>
      <c r="UZN244" s="10"/>
      <c r="UZO244" s="10"/>
      <c r="UZP244" s="19"/>
      <c r="UZQ244" s="19"/>
      <c r="UZT244" s="16"/>
      <c r="UZU244" s="15"/>
      <c r="UZV244" s="15"/>
      <c r="UZW244" s="15"/>
      <c r="UZX244" s="16"/>
      <c r="UZY244" s="16"/>
      <c r="UZZ244" s="16"/>
      <c r="VAA244" s="16"/>
      <c r="VAB244" s="16"/>
      <c r="VAC244" s="15"/>
      <c r="VAD244" s="15"/>
      <c r="VAE244" s="10"/>
      <c r="VAF244" s="10"/>
      <c r="VAG244" s="19"/>
      <c r="VAH244" s="19"/>
      <c r="VAK244" s="16"/>
      <c r="VAL244" s="15"/>
      <c r="VAM244" s="15"/>
      <c r="VAN244" s="15"/>
      <c r="VAO244" s="16"/>
      <c r="VAP244" s="16"/>
      <c r="VAQ244" s="16"/>
      <c r="VAR244" s="16"/>
      <c r="VAS244" s="16"/>
      <c r="VAT244" s="15"/>
      <c r="VAU244" s="15"/>
      <c r="VAV244" s="10"/>
      <c r="VAW244" s="10"/>
      <c r="VAX244" s="19"/>
      <c r="VAY244" s="19"/>
      <c r="VBB244" s="16"/>
      <c r="VBC244" s="15"/>
      <c r="VBD244" s="15"/>
      <c r="VBE244" s="15"/>
      <c r="VBF244" s="16"/>
      <c r="VBG244" s="16"/>
      <c r="VBH244" s="16"/>
      <c r="VBI244" s="16"/>
      <c r="VBJ244" s="16"/>
      <c r="VBK244" s="15"/>
      <c r="VBL244" s="15"/>
      <c r="VBM244" s="10"/>
      <c r="VBN244" s="10"/>
      <c r="VBO244" s="19"/>
      <c r="VBP244" s="19"/>
      <c r="VBS244" s="16"/>
      <c r="VBT244" s="15"/>
      <c r="VBU244" s="15"/>
      <c r="VBV244" s="15"/>
      <c r="VBW244" s="16"/>
      <c r="VBX244" s="16"/>
      <c r="VBY244" s="16"/>
      <c r="VBZ244" s="16"/>
      <c r="VCA244" s="16"/>
      <c r="VCB244" s="15"/>
      <c r="VCC244" s="15"/>
      <c r="VCD244" s="10"/>
      <c r="VCE244" s="10"/>
      <c r="VCF244" s="19"/>
      <c r="VCG244" s="19"/>
      <c r="VCJ244" s="16"/>
      <c r="VCK244" s="15"/>
      <c r="VCL244" s="15"/>
      <c r="VCM244" s="15"/>
      <c r="VCN244" s="16"/>
      <c r="VCO244" s="16"/>
      <c r="VCP244" s="16"/>
      <c r="VCQ244" s="16"/>
      <c r="VCR244" s="16"/>
      <c r="VCS244" s="15"/>
      <c r="VCT244" s="15"/>
      <c r="VCU244" s="10"/>
      <c r="VCV244" s="10"/>
      <c r="VCW244" s="19"/>
      <c r="VCX244" s="19"/>
      <c r="VDA244" s="16"/>
      <c r="VDB244" s="15"/>
      <c r="VDC244" s="15"/>
      <c r="VDD244" s="15"/>
      <c r="VDE244" s="16"/>
      <c r="VDF244" s="16"/>
      <c r="VDG244" s="16"/>
      <c r="VDH244" s="16"/>
      <c r="VDI244" s="16"/>
      <c r="VDJ244" s="15"/>
      <c r="VDK244" s="15"/>
      <c r="VDL244" s="10"/>
      <c r="VDM244" s="10"/>
      <c r="VDN244" s="19"/>
      <c r="VDO244" s="19"/>
      <c r="VDR244" s="16"/>
      <c r="VDS244" s="15"/>
      <c r="VDT244" s="15"/>
      <c r="VDU244" s="15"/>
      <c r="VDV244" s="16"/>
      <c r="VDW244" s="16"/>
      <c r="VDX244" s="16"/>
      <c r="VDY244" s="16"/>
      <c r="VDZ244" s="16"/>
      <c r="VEA244" s="15"/>
      <c r="VEB244" s="15"/>
      <c r="VEC244" s="10"/>
      <c r="VED244" s="10"/>
      <c r="VEE244" s="19"/>
      <c r="VEF244" s="19"/>
      <c r="VEI244" s="16"/>
      <c r="VEJ244" s="15"/>
      <c r="VEK244" s="15"/>
      <c r="VEL244" s="15"/>
      <c r="VEM244" s="16"/>
      <c r="VEN244" s="16"/>
      <c r="VEO244" s="16"/>
      <c r="VEP244" s="16"/>
      <c r="VEQ244" s="16"/>
      <c r="VER244" s="15"/>
      <c r="VES244" s="15"/>
      <c r="VET244" s="10"/>
      <c r="VEU244" s="10"/>
      <c r="VEV244" s="19"/>
      <c r="VEW244" s="19"/>
      <c r="VEZ244" s="16"/>
      <c r="VFA244" s="15"/>
      <c r="VFB244" s="15"/>
      <c r="VFC244" s="15"/>
      <c r="VFD244" s="16"/>
      <c r="VFE244" s="16"/>
      <c r="VFF244" s="16"/>
      <c r="VFG244" s="16"/>
      <c r="VFH244" s="16"/>
      <c r="VFI244" s="15"/>
      <c r="VFJ244" s="15"/>
      <c r="VFK244" s="10"/>
      <c r="VFL244" s="10"/>
      <c r="VFM244" s="19"/>
      <c r="VFN244" s="19"/>
      <c r="VFQ244" s="16"/>
      <c r="VFR244" s="15"/>
      <c r="VFS244" s="15"/>
      <c r="VFT244" s="15"/>
      <c r="VFU244" s="16"/>
      <c r="VFV244" s="16"/>
      <c r="VFW244" s="16"/>
      <c r="VFX244" s="16"/>
      <c r="VFY244" s="16"/>
      <c r="VFZ244" s="15"/>
      <c r="VGA244" s="15"/>
      <c r="VGB244" s="10"/>
      <c r="VGC244" s="10"/>
      <c r="VGD244" s="19"/>
      <c r="VGE244" s="19"/>
      <c r="VGH244" s="16"/>
      <c r="VGI244" s="15"/>
      <c r="VGJ244" s="15"/>
      <c r="VGK244" s="15"/>
      <c r="VGL244" s="16"/>
      <c r="VGM244" s="16"/>
      <c r="VGN244" s="16"/>
      <c r="VGO244" s="16"/>
      <c r="VGP244" s="16"/>
      <c r="VGQ244" s="15"/>
      <c r="VGR244" s="15"/>
      <c r="VGS244" s="10"/>
      <c r="VGT244" s="10"/>
      <c r="VGU244" s="19"/>
      <c r="VGV244" s="19"/>
      <c r="VGY244" s="16"/>
      <c r="VGZ244" s="15"/>
      <c r="VHA244" s="15"/>
      <c r="VHB244" s="15"/>
      <c r="VHC244" s="16"/>
      <c r="VHD244" s="16"/>
      <c r="VHE244" s="16"/>
      <c r="VHF244" s="16"/>
      <c r="VHG244" s="16"/>
      <c r="VHH244" s="15"/>
      <c r="VHI244" s="15"/>
      <c r="VHJ244" s="10"/>
      <c r="VHK244" s="10"/>
      <c r="VHL244" s="19"/>
      <c r="VHM244" s="19"/>
      <c r="VHP244" s="16"/>
      <c r="VHQ244" s="15"/>
      <c r="VHR244" s="15"/>
      <c r="VHS244" s="15"/>
      <c r="VHT244" s="16"/>
      <c r="VHU244" s="16"/>
      <c r="VHV244" s="16"/>
      <c r="VHW244" s="16"/>
      <c r="VHX244" s="16"/>
      <c r="VHY244" s="15"/>
      <c r="VHZ244" s="15"/>
      <c r="VIA244" s="10"/>
      <c r="VIB244" s="10"/>
      <c r="VIC244" s="19"/>
      <c r="VID244" s="19"/>
      <c r="VIG244" s="16"/>
      <c r="VIH244" s="15"/>
      <c r="VII244" s="15"/>
      <c r="VIJ244" s="15"/>
      <c r="VIK244" s="16"/>
      <c r="VIL244" s="16"/>
      <c r="VIM244" s="16"/>
      <c r="VIN244" s="16"/>
      <c r="VIO244" s="16"/>
      <c r="VIP244" s="15"/>
      <c r="VIQ244" s="15"/>
      <c r="VIR244" s="10"/>
      <c r="VIS244" s="10"/>
      <c r="VIT244" s="19"/>
      <c r="VIU244" s="19"/>
      <c r="VIX244" s="16"/>
      <c r="VIY244" s="15"/>
      <c r="VIZ244" s="15"/>
      <c r="VJA244" s="15"/>
      <c r="VJB244" s="16"/>
      <c r="VJC244" s="16"/>
      <c r="VJD244" s="16"/>
      <c r="VJE244" s="16"/>
      <c r="VJF244" s="16"/>
      <c r="VJG244" s="15"/>
      <c r="VJH244" s="15"/>
      <c r="VJI244" s="10"/>
      <c r="VJJ244" s="10"/>
      <c r="VJK244" s="19"/>
      <c r="VJL244" s="19"/>
      <c r="VJO244" s="16"/>
      <c r="VJP244" s="15"/>
      <c r="VJQ244" s="15"/>
      <c r="VJR244" s="15"/>
      <c r="VJS244" s="16"/>
      <c r="VJT244" s="16"/>
      <c r="VJU244" s="16"/>
      <c r="VJV244" s="16"/>
      <c r="VJW244" s="16"/>
      <c r="VJX244" s="15"/>
      <c r="VJY244" s="15"/>
      <c r="VJZ244" s="10"/>
      <c r="VKA244" s="10"/>
      <c r="VKB244" s="19"/>
      <c r="VKC244" s="19"/>
      <c r="VKF244" s="16"/>
      <c r="VKG244" s="15"/>
      <c r="VKH244" s="15"/>
      <c r="VKI244" s="15"/>
      <c r="VKJ244" s="16"/>
      <c r="VKK244" s="16"/>
      <c r="VKL244" s="16"/>
      <c r="VKM244" s="16"/>
      <c r="VKN244" s="16"/>
      <c r="VKO244" s="15"/>
      <c r="VKP244" s="15"/>
      <c r="VKQ244" s="10"/>
      <c r="VKR244" s="10"/>
      <c r="VKS244" s="19"/>
      <c r="VKT244" s="19"/>
      <c r="VKW244" s="16"/>
      <c r="VKX244" s="15"/>
      <c r="VKY244" s="15"/>
      <c r="VKZ244" s="15"/>
      <c r="VLA244" s="16"/>
      <c r="VLB244" s="16"/>
      <c r="VLC244" s="16"/>
      <c r="VLD244" s="16"/>
      <c r="VLE244" s="16"/>
      <c r="VLF244" s="15"/>
      <c r="VLG244" s="15"/>
      <c r="VLH244" s="10"/>
      <c r="VLI244" s="10"/>
      <c r="VLJ244" s="19"/>
      <c r="VLK244" s="19"/>
      <c r="VLN244" s="16"/>
      <c r="VLO244" s="15"/>
      <c r="VLP244" s="15"/>
      <c r="VLQ244" s="15"/>
      <c r="VLR244" s="16"/>
      <c r="VLS244" s="16"/>
      <c r="VLT244" s="16"/>
      <c r="VLU244" s="16"/>
      <c r="VLV244" s="16"/>
      <c r="VLW244" s="15"/>
      <c r="VLX244" s="15"/>
      <c r="VLY244" s="10"/>
      <c r="VLZ244" s="10"/>
      <c r="VMA244" s="19"/>
      <c r="VMB244" s="19"/>
      <c r="VME244" s="16"/>
      <c r="VMF244" s="15"/>
      <c r="VMG244" s="15"/>
      <c r="VMH244" s="15"/>
      <c r="VMI244" s="16"/>
      <c r="VMJ244" s="16"/>
      <c r="VMK244" s="16"/>
      <c r="VML244" s="16"/>
      <c r="VMM244" s="16"/>
      <c r="VMN244" s="15"/>
      <c r="VMO244" s="15"/>
      <c r="VMP244" s="10"/>
      <c r="VMQ244" s="10"/>
      <c r="VMR244" s="19"/>
      <c r="VMS244" s="19"/>
      <c r="VMV244" s="16"/>
      <c r="VMW244" s="15"/>
      <c r="VMX244" s="15"/>
      <c r="VMY244" s="15"/>
      <c r="VMZ244" s="16"/>
      <c r="VNA244" s="16"/>
      <c r="VNB244" s="16"/>
      <c r="VNC244" s="16"/>
      <c r="VND244" s="16"/>
      <c r="VNE244" s="15"/>
      <c r="VNF244" s="15"/>
      <c r="VNG244" s="10"/>
      <c r="VNH244" s="10"/>
      <c r="VNI244" s="19"/>
      <c r="VNJ244" s="19"/>
      <c r="VNM244" s="16"/>
      <c r="VNN244" s="15"/>
      <c r="VNO244" s="15"/>
      <c r="VNP244" s="15"/>
      <c r="VNQ244" s="16"/>
      <c r="VNR244" s="16"/>
      <c r="VNS244" s="16"/>
      <c r="VNT244" s="16"/>
      <c r="VNU244" s="16"/>
      <c r="VNV244" s="15"/>
      <c r="VNW244" s="15"/>
      <c r="VNX244" s="10"/>
      <c r="VNY244" s="10"/>
      <c r="VNZ244" s="19"/>
      <c r="VOA244" s="19"/>
      <c r="VOD244" s="16"/>
      <c r="VOE244" s="15"/>
      <c r="VOF244" s="15"/>
      <c r="VOG244" s="15"/>
      <c r="VOH244" s="16"/>
      <c r="VOI244" s="16"/>
      <c r="VOJ244" s="16"/>
      <c r="VOK244" s="16"/>
      <c r="VOL244" s="16"/>
      <c r="VOM244" s="15"/>
      <c r="VON244" s="15"/>
      <c r="VOO244" s="10"/>
      <c r="VOP244" s="10"/>
      <c r="VOQ244" s="19"/>
      <c r="VOR244" s="19"/>
      <c r="VOU244" s="16"/>
      <c r="VOV244" s="15"/>
      <c r="VOW244" s="15"/>
      <c r="VOX244" s="15"/>
      <c r="VOY244" s="16"/>
      <c r="VOZ244" s="16"/>
      <c r="VPA244" s="16"/>
      <c r="VPB244" s="16"/>
      <c r="VPC244" s="16"/>
      <c r="VPD244" s="15"/>
      <c r="VPE244" s="15"/>
      <c r="VPF244" s="10"/>
      <c r="VPG244" s="10"/>
      <c r="VPH244" s="19"/>
      <c r="VPI244" s="19"/>
      <c r="VPL244" s="16"/>
      <c r="VPM244" s="15"/>
      <c r="VPN244" s="15"/>
      <c r="VPO244" s="15"/>
      <c r="VPP244" s="16"/>
      <c r="VPQ244" s="16"/>
      <c r="VPR244" s="16"/>
      <c r="VPS244" s="16"/>
      <c r="VPT244" s="16"/>
      <c r="VPU244" s="15"/>
      <c r="VPV244" s="15"/>
      <c r="VPW244" s="10"/>
      <c r="VPX244" s="10"/>
      <c r="VPY244" s="19"/>
      <c r="VPZ244" s="19"/>
      <c r="VQC244" s="16"/>
      <c r="VQD244" s="15"/>
      <c r="VQE244" s="15"/>
      <c r="VQF244" s="15"/>
      <c r="VQG244" s="16"/>
      <c r="VQH244" s="16"/>
      <c r="VQI244" s="16"/>
      <c r="VQJ244" s="16"/>
      <c r="VQK244" s="16"/>
      <c r="VQL244" s="15"/>
      <c r="VQM244" s="15"/>
      <c r="VQN244" s="10"/>
      <c r="VQO244" s="10"/>
      <c r="VQP244" s="19"/>
      <c r="VQQ244" s="19"/>
      <c r="VQT244" s="16"/>
      <c r="VQU244" s="15"/>
      <c r="VQV244" s="15"/>
      <c r="VQW244" s="15"/>
      <c r="VQX244" s="16"/>
      <c r="VQY244" s="16"/>
      <c r="VQZ244" s="16"/>
      <c r="VRA244" s="16"/>
      <c r="VRB244" s="16"/>
      <c r="VRC244" s="15"/>
      <c r="VRD244" s="15"/>
      <c r="VRE244" s="10"/>
      <c r="VRF244" s="10"/>
      <c r="VRG244" s="19"/>
      <c r="VRH244" s="19"/>
      <c r="VRK244" s="16"/>
      <c r="VRL244" s="15"/>
      <c r="VRM244" s="15"/>
      <c r="VRN244" s="15"/>
      <c r="VRO244" s="16"/>
      <c r="VRP244" s="16"/>
      <c r="VRQ244" s="16"/>
      <c r="VRR244" s="16"/>
      <c r="VRS244" s="16"/>
      <c r="VRT244" s="15"/>
      <c r="VRU244" s="15"/>
      <c r="VRV244" s="10"/>
      <c r="VRW244" s="10"/>
      <c r="VRX244" s="19"/>
      <c r="VRY244" s="19"/>
      <c r="VSB244" s="16"/>
      <c r="VSC244" s="15"/>
      <c r="VSD244" s="15"/>
      <c r="VSE244" s="15"/>
      <c r="VSF244" s="16"/>
      <c r="VSG244" s="16"/>
      <c r="VSH244" s="16"/>
      <c r="VSI244" s="16"/>
      <c r="VSJ244" s="16"/>
      <c r="VSK244" s="15"/>
      <c r="VSL244" s="15"/>
      <c r="VSM244" s="10"/>
      <c r="VSN244" s="10"/>
      <c r="VSO244" s="19"/>
      <c r="VSP244" s="19"/>
      <c r="VSS244" s="16"/>
      <c r="VST244" s="15"/>
      <c r="VSU244" s="15"/>
      <c r="VSV244" s="15"/>
      <c r="VSW244" s="16"/>
      <c r="VSX244" s="16"/>
      <c r="VSY244" s="16"/>
      <c r="VSZ244" s="16"/>
      <c r="VTA244" s="16"/>
      <c r="VTB244" s="15"/>
      <c r="VTC244" s="15"/>
      <c r="VTD244" s="10"/>
      <c r="VTE244" s="10"/>
      <c r="VTF244" s="19"/>
      <c r="VTG244" s="19"/>
      <c r="VTJ244" s="16"/>
      <c r="VTK244" s="15"/>
      <c r="VTL244" s="15"/>
      <c r="VTM244" s="15"/>
      <c r="VTN244" s="16"/>
      <c r="VTO244" s="16"/>
      <c r="VTP244" s="16"/>
      <c r="VTQ244" s="16"/>
      <c r="VTR244" s="16"/>
      <c r="VTS244" s="15"/>
      <c r="VTT244" s="15"/>
      <c r="VTU244" s="10"/>
      <c r="VTV244" s="10"/>
      <c r="VTW244" s="19"/>
      <c r="VTX244" s="19"/>
      <c r="VUA244" s="16"/>
      <c r="VUB244" s="15"/>
      <c r="VUC244" s="15"/>
      <c r="VUD244" s="15"/>
      <c r="VUE244" s="16"/>
      <c r="VUF244" s="16"/>
      <c r="VUG244" s="16"/>
      <c r="VUH244" s="16"/>
      <c r="VUI244" s="16"/>
      <c r="VUJ244" s="15"/>
      <c r="VUK244" s="15"/>
      <c r="VUL244" s="10"/>
      <c r="VUM244" s="10"/>
      <c r="VUN244" s="19"/>
      <c r="VUO244" s="19"/>
      <c r="VUR244" s="16"/>
      <c r="VUS244" s="15"/>
      <c r="VUT244" s="15"/>
      <c r="VUU244" s="15"/>
      <c r="VUV244" s="16"/>
      <c r="VUW244" s="16"/>
      <c r="VUX244" s="16"/>
      <c r="VUY244" s="16"/>
      <c r="VUZ244" s="16"/>
      <c r="VVA244" s="15"/>
      <c r="VVB244" s="15"/>
      <c r="VVC244" s="10"/>
      <c r="VVD244" s="10"/>
      <c r="VVE244" s="19"/>
      <c r="VVF244" s="19"/>
      <c r="VVI244" s="16"/>
      <c r="VVJ244" s="15"/>
      <c r="VVK244" s="15"/>
      <c r="VVL244" s="15"/>
      <c r="VVM244" s="16"/>
      <c r="VVN244" s="16"/>
      <c r="VVO244" s="16"/>
      <c r="VVP244" s="16"/>
      <c r="VVQ244" s="16"/>
      <c r="VVR244" s="15"/>
      <c r="VVS244" s="15"/>
      <c r="VVT244" s="10"/>
      <c r="VVU244" s="10"/>
      <c r="VVV244" s="19"/>
      <c r="VVW244" s="19"/>
      <c r="VVZ244" s="16"/>
      <c r="VWA244" s="15"/>
      <c r="VWB244" s="15"/>
      <c r="VWC244" s="15"/>
      <c r="VWD244" s="16"/>
      <c r="VWE244" s="16"/>
      <c r="VWF244" s="16"/>
      <c r="VWG244" s="16"/>
      <c r="VWH244" s="16"/>
      <c r="VWI244" s="15"/>
      <c r="VWJ244" s="15"/>
      <c r="VWK244" s="10"/>
      <c r="VWL244" s="10"/>
      <c r="VWM244" s="19"/>
      <c r="VWN244" s="19"/>
      <c r="VWQ244" s="16"/>
      <c r="VWR244" s="15"/>
      <c r="VWS244" s="15"/>
      <c r="VWT244" s="15"/>
      <c r="VWU244" s="16"/>
      <c r="VWV244" s="16"/>
      <c r="VWW244" s="16"/>
      <c r="VWX244" s="16"/>
      <c r="VWY244" s="16"/>
      <c r="VWZ244" s="15"/>
      <c r="VXA244" s="15"/>
      <c r="VXB244" s="10"/>
      <c r="VXC244" s="10"/>
      <c r="VXD244" s="19"/>
      <c r="VXE244" s="19"/>
      <c r="VXH244" s="16"/>
      <c r="VXI244" s="15"/>
      <c r="VXJ244" s="15"/>
      <c r="VXK244" s="15"/>
      <c r="VXL244" s="16"/>
      <c r="VXM244" s="16"/>
      <c r="VXN244" s="16"/>
      <c r="VXO244" s="16"/>
      <c r="VXP244" s="16"/>
      <c r="VXQ244" s="15"/>
      <c r="VXR244" s="15"/>
      <c r="VXS244" s="10"/>
      <c r="VXT244" s="10"/>
      <c r="VXU244" s="19"/>
      <c r="VXV244" s="19"/>
      <c r="VXY244" s="16"/>
      <c r="VXZ244" s="15"/>
      <c r="VYA244" s="15"/>
      <c r="VYB244" s="15"/>
      <c r="VYC244" s="16"/>
      <c r="VYD244" s="16"/>
      <c r="VYE244" s="16"/>
      <c r="VYF244" s="16"/>
      <c r="VYG244" s="16"/>
      <c r="VYH244" s="15"/>
      <c r="VYI244" s="15"/>
      <c r="VYJ244" s="10"/>
      <c r="VYK244" s="10"/>
      <c r="VYL244" s="19"/>
      <c r="VYM244" s="19"/>
      <c r="VYP244" s="16"/>
      <c r="VYQ244" s="15"/>
      <c r="VYR244" s="15"/>
      <c r="VYS244" s="15"/>
      <c r="VYT244" s="16"/>
      <c r="VYU244" s="16"/>
      <c r="VYV244" s="16"/>
      <c r="VYW244" s="16"/>
      <c r="VYX244" s="16"/>
      <c r="VYY244" s="15"/>
      <c r="VYZ244" s="15"/>
      <c r="VZA244" s="10"/>
      <c r="VZB244" s="10"/>
      <c r="VZC244" s="19"/>
      <c r="VZD244" s="19"/>
      <c r="VZG244" s="16"/>
      <c r="VZH244" s="15"/>
      <c r="VZI244" s="15"/>
      <c r="VZJ244" s="15"/>
      <c r="VZK244" s="16"/>
      <c r="VZL244" s="16"/>
      <c r="VZM244" s="16"/>
      <c r="VZN244" s="16"/>
      <c r="VZO244" s="16"/>
      <c r="VZP244" s="15"/>
      <c r="VZQ244" s="15"/>
      <c r="VZR244" s="10"/>
      <c r="VZS244" s="10"/>
      <c r="VZT244" s="19"/>
      <c r="VZU244" s="19"/>
      <c r="VZX244" s="16"/>
      <c r="VZY244" s="15"/>
      <c r="VZZ244" s="15"/>
      <c r="WAA244" s="15"/>
      <c r="WAB244" s="16"/>
      <c r="WAC244" s="16"/>
      <c r="WAD244" s="16"/>
      <c r="WAE244" s="16"/>
      <c r="WAF244" s="16"/>
      <c r="WAG244" s="15"/>
      <c r="WAH244" s="15"/>
      <c r="WAI244" s="10"/>
      <c r="WAJ244" s="10"/>
      <c r="WAK244" s="19"/>
      <c r="WAL244" s="19"/>
      <c r="WAO244" s="16"/>
      <c r="WAP244" s="15"/>
      <c r="WAQ244" s="15"/>
      <c r="WAR244" s="15"/>
      <c r="WAS244" s="16"/>
      <c r="WAT244" s="16"/>
      <c r="WAU244" s="16"/>
      <c r="WAV244" s="16"/>
      <c r="WAW244" s="16"/>
      <c r="WAX244" s="15"/>
      <c r="WAY244" s="15"/>
      <c r="WAZ244" s="10"/>
      <c r="WBA244" s="10"/>
      <c r="WBB244" s="19"/>
      <c r="WBC244" s="19"/>
      <c r="WBF244" s="16"/>
      <c r="WBG244" s="15"/>
      <c r="WBH244" s="15"/>
      <c r="WBI244" s="15"/>
      <c r="WBJ244" s="16"/>
      <c r="WBK244" s="16"/>
      <c r="WBL244" s="16"/>
      <c r="WBM244" s="16"/>
      <c r="WBN244" s="16"/>
      <c r="WBO244" s="15"/>
      <c r="WBP244" s="15"/>
      <c r="WBQ244" s="10"/>
      <c r="WBR244" s="10"/>
      <c r="WBS244" s="19"/>
      <c r="WBT244" s="19"/>
      <c r="WBW244" s="16"/>
      <c r="WBX244" s="15"/>
      <c r="WBY244" s="15"/>
      <c r="WBZ244" s="15"/>
      <c r="WCA244" s="16"/>
      <c r="WCB244" s="16"/>
      <c r="WCC244" s="16"/>
      <c r="WCD244" s="16"/>
      <c r="WCE244" s="16"/>
      <c r="WCF244" s="15"/>
      <c r="WCG244" s="15"/>
      <c r="WCH244" s="10"/>
      <c r="WCI244" s="10"/>
      <c r="WCJ244" s="19"/>
      <c r="WCK244" s="19"/>
      <c r="WCN244" s="16"/>
      <c r="WCO244" s="15"/>
      <c r="WCP244" s="15"/>
      <c r="WCQ244" s="15"/>
      <c r="WCR244" s="16"/>
      <c r="WCS244" s="16"/>
      <c r="WCT244" s="16"/>
      <c r="WCU244" s="16"/>
      <c r="WCV244" s="16"/>
      <c r="WCW244" s="15"/>
      <c r="WCX244" s="15"/>
      <c r="WCY244" s="10"/>
      <c r="WCZ244" s="10"/>
      <c r="WDA244" s="19"/>
      <c r="WDB244" s="19"/>
      <c r="WDE244" s="16"/>
      <c r="WDF244" s="15"/>
      <c r="WDG244" s="15"/>
      <c r="WDH244" s="15"/>
      <c r="WDI244" s="16"/>
      <c r="WDJ244" s="16"/>
      <c r="WDK244" s="16"/>
      <c r="WDL244" s="16"/>
      <c r="WDM244" s="16"/>
      <c r="WDN244" s="15"/>
      <c r="WDO244" s="15"/>
      <c r="WDP244" s="10"/>
      <c r="WDQ244" s="10"/>
      <c r="WDR244" s="19"/>
      <c r="WDS244" s="19"/>
      <c r="WDV244" s="16"/>
      <c r="WDW244" s="15"/>
      <c r="WDX244" s="15"/>
      <c r="WDY244" s="15"/>
      <c r="WDZ244" s="16"/>
      <c r="WEA244" s="16"/>
      <c r="WEB244" s="16"/>
      <c r="WEC244" s="16"/>
      <c r="WED244" s="16"/>
      <c r="WEE244" s="15"/>
      <c r="WEF244" s="15"/>
      <c r="WEG244" s="10"/>
      <c r="WEH244" s="10"/>
      <c r="WEI244" s="19"/>
      <c r="WEJ244" s="19"/>
      <c r="WEM244" s="16"/>
      <c r="WEN244" s="15"/>
      <c r="WEO244" s="15"/>
      <c r="WEP244" s="15"/>
      <c r="WEQ244" s="16"/>
      <c r="WER244" s="16"/>
      <c r="WES244" s="16"/>
      <c r="WET244" s="16"/>
      <c r="WEU244" s="16"/>
      <c r="WEV244" s="15"/>
      <c r="WEW244" s="15"/>
      <c r="WEX244" s="10"/>
      <c r="WEY244" s="10"/>
      <c r="WEZ244" s="19"/>
      <c r="WFA244" s="19"/>
      <c r="WFD244" s="16"/>
      <c r="WFE244" s="15"/>
      <c r="WFF244" s="15"/>
      <c r="WFG244" s="15"/>
      <c r="WFH244" s="16"/>
      <c r="WFI244" s="16"/>
      <c r="WFJ244" s="16"/>
      <c r="WFK244" s="16"/>
      <c r="WFL244" s="16"/>
      <c r="WFM244" s="15"/>
      <c r="WFN244" s="15"/>
      <c r="WFO244" s="10"/>
      <c r="WFP244" s="10"/>
      <c r="WFQ244" s="19"/>
      <c r="WFR244" s="19"/>
      <c r="WFU244" s="16"/>
      <c r="WFV244" s="15"/>
      <c r="WFW244" s="15"/>
      <c r="WFX244" s="15"/>
      <c r="WFY244" s="16"/>
      <c r="WFZ244" s="16"/>
      <c r="WGA244" s="16"/>
      <c r="WGB244" s="16"/>
      <c r="WGC244" s="16"/>
      <c r="WGD244" s="15"/>
      <c r="WGE244" s="15"/>
      <c r="WGF244" s="10"/>
      <c r="WGG244" s="10"/>
      <c r="WGH244" s="19"/>
      <c r="WGI244" s="19"/>
      <c r="WGL244" s="16"/>
      <c r="WGM244" s="15"/>
      <c r="WGN244" s="15"/>
      <c r="WGO244" s="15"/>
      <c r="WGP244" s="16"/>
      <c r="WGQ244" s="16"/>
      <c r="WGR244" s="16"/>
      <c r="WGS244" s="16"/>
      <c r="WGT244" s="16"/>
      <c r="WGU244" s="15"/>
      <c r="WGV244" s="15"/>
      <c r="WGW244" s="10"/>
      <c r="WGX244" s="10"/>
      <c r="WGY244" s="19"/>
      <c r="WGZ244" s="19"/>
      <c r="WHC244" s="16"/>
      <c r="WHD244" s="15"/>
      <c r="WHE244" s="15"/>
      <c r="WHF244" s="15"/>
      <c r="WHG244" s="16"/>
      <c r="WHH244" s="16"/>
      <c r="WHI244" s="16"/>
      <c r="WHJ244" s="16"/>
      <c r="WHK244" s="16"/>
      <c r="WHL244" s="15"/>
      <c r="WHM244" s="15"/>
      <c r="WHN244" s="10"/>
      <c r="WHO244" s="10"/>
      <c r="WHP244" s="19"/>
      <c r="WHQ244" s="19"/>
      <c r="WHT244" s="16"/>
      <c r="WHU244" s="15"/>
      <c r="WHV244" s="15"/>
      <c r="WHW244" s="15"/>
      <c r="WHX244" s="16"/>
      <c r="WHY244" s="16"/>
      <c r="WHZ244" s="16"/>
      <c r="WIA244" s="16"/>
      <c r="WIB244" s="16"/>
      <c r="WIC244" s="15"/>
      <c r="WID244" s="15"/>
      <c r="WIE244" s="10"/>
      <c r="WIF244" s="10"/>
      <c r="WIG244" s="19"/>
      <c r="WIH244" s="19"/>
      <c r="WIK244" s="16"/>
      <c r="WIL244" s="15"/>
      <c r="WIM244" s="15"/>
      <c r="WIN244" s="15"/>
      <c r="WIO244" s="16"/>
      <c r="WIP244" s="16"/>
      <c r="WIQ244" s="16"/>
      <c r="WIR244" s="16"/>
      <c r="WIS244" s="16"/>
      <c r="WIT244" s="15"/>
      <c r="WIU244" s="15"/>
      <c r="WIV244" s="10"/>
      <c r="WIW244" s="10"/>
      <c r="WIX244" s="19"/>
      <c r="WIY244" s="19"/>
      <c r="WJB244" s="16"/>
      <c r="WJC244" s="15"/>
      <c r="WJD244" s="15"/>
      <c r="WJE244" s="15"/>
      <c r="WJF244" s="16"/>
      <c r="WJG244" s="16"/>
      <c r="WJH244" s="16"/>
      <c r="WJI244" s="16"/>
      <c r="WJJ244" s="16"/>
      <c r="WJK244" s="15"/>
      <c r="WJL244" s="15"/>
      <c r="WJM244" s="10"/>
      <c r="WJN244" s="10"/>
      <c r="WJO244" s="19"/>
      <c r="WJP244" s="19"/>
      <c r="WJS244" s="16"/>
      <c r="WJT244" s="15"/>
      <c r="WJU244" s="15"/>
      <c r="WJV244" s="15"/>
      <c r="WJW244" s="16"/>
      <c r="WJX244" s="16"/>
      <c r="WJY244" s="16"/>
      <c r="WJZ244" s="16"/>
      <c r="WKA244" s="16"/>
      <c r="WKB244" s="15"/>
      <c r="WKC244" s="15"/>
      <c r="WKD244" s="10"/>
      <c r="WKE244" s="10"/>
      <c r="WKF244" s="19"/>
      <c r="WKG244" s="19"/>
      <c r="WKJ244" s="16"/>
      <c r="WKK244" s="15"/>
      <c r="WKL244" s="15"/>
      <c r="WKM244" s="15"/>
      <c r="WKN244" s="16"/>
      <c r="WKO244" s="16"/>
      <c r="WKP244" s="16"/>
      <c r="WKQ244" s="16"/>
      <c r="WKR244" s="16"/>
      <c r="WKS244" s="15"/>
      <c r="WKT244" s="15"/>
      <c r="WKU244" s="10"/>
      <c r="WKV244" s="10"/>
      <c r="WKW244" s="19"/>
      <c r="WKX244" s="19"/>
      <c r="WLA244" s="16"/>
      <c r="WLB244" s="15"/>
      <c r="WLC244" s="15"/>
      <c r="WLD244" s="15"/>
      <c r="WLE244" s="16"/>
      <c r="WLF244" s="16"/>
      <c r="WLG244" s="16"/>
      <c r="WLH244" s="16"/>
      <c r="WLI244" s="16"/>
      <c r="WLJ244" s="15"/>
      <c r="WLK244" s="15"/>
      <c r="WLL244" s="10"/>
      <c r="WLM244" s="10"/>
      <c r="WLN244" s="19"/>
      <c r="WLO244" s="19"/>
      <c r="WLR244" s="16"/>
      <c r="WLS244" s="15"/>
      <c r="WLT244" s="15"/>
      <c r="WLU244" s="15"/>
      <c r="WLV244" s="16"/>
      <c r="WLW244" s="16"/>
      <c r="WLX244" s="16"/>
      <c r="WLY244" s="16"/>
      <c r="WLZ244" s="16"/>
      <c r="WMA244" s="15"/>
      <c r="WMB244" s="15"/>
      <c r="WMC244" s="10"/>
      <c r="WMD244" s="10"/>
      <c r="WME244" s="19"/>
      <c r="WMF244" s="19"/>
      <c r="WMI244" s="16"/>
      <c r="WMJ244" s="15"/>
      <c r="WMK244" s="15"/>
      <c r="WML244" s="15"/>
      <c r="WMM244" s="16"/>
      <c r="WMN244" s="16"/>
      <c r="WMO244" s="16"/>
      <c r="WMP244" s="16"/>
      <c r="WMQ244" s="16"/>
      <c r="WMR244" s="15"/>
      <c r="WMS244" s="15"/>
      <c r="WMT244" s="10"/>
      <c r="WMU244" s="10"/>
      <c r="WMV244" s="19"/>
      <c r="WMW244" s="19"/>
      <c r="WMZ244" s="16"/>
      <c r="WNA244" s="15"/>
      <c r="WNB244" s="15"/>
      <c r="WNC244" s="15"/>
      <c r="WND244" s="16"/>
      <c r="WNE244" s="16"/>
      <c r="WNF244" s="16"/>
      <c r="WNG244" s="16"/>
      <c r="WNH244" s="16"/>
      <c r="WNI244" s="15"/>
      <c r="WNJ244" s="15"/>
      <c r="WNK244" s="10"/>
      <c r="WNL244" s="10"/>
      <c r="WNM244" s="19"/>
      <c r="WNN244" s="19"/>
      <c r="WNQ244" s="16"/>
      <c r="WNR244" s="15"/>
      <c r="WNS244" s="15"/>
      <c r="WNT244" s="15"/>
      <c r="WNU244" s="16"/>
      <c r="WNV244" s="16"/>
      <c r="WNW244" s="16"/>
      <c r="WNX244" s="16"/>
      <c r="WNY244" s="16"/>
      <c r="WNZ244" s="15"/>
      <c r="WOA244" s="15"/>
      <c r="WOB244" s="10"/>
      <c r="WOC244" s="10"/>
      <c r="WOD244" s="19"/>
      <c r="WOE244" s="19"/>
      <c r="WOH244" s="16"/>
      <c r="WOI244" s="15"/>
      <c r="WOJ244" s="15"/>
      <c r="WOK244" s="15"/>
      <c r="WOL244" s="16"/>
      <c r="WOM244" s="16"/>
      <c r="WON244" s="16"/>
      <c r="WOO244" s="16"/>
      <c r="WOP244" s="16"/>
      <c r="WOQ244" s="15"/>
      <c r="WOR244" s="15"/>
      <c r="WOS244" s="10"/>
      <c r="WOT244" s="10"/>
      <c r="WOU244" s="19"/>
      <c r="WOV244" s="19"/>
      <c r="WOY244" s="16"/>
      <c r="WOZ244" s="15"/>
      <c r="WPA244" s="15"/>
      <c r="WPB244" s="15"/>
      <c r="WPC244" s="16"/>
      <c r="WPD244" s="16"/>
      <c r="WPE244" s="16"/>
      <c r="WPF244" s="16"/>
      <c r="WPG244" s="16"/>
      <c r="WPH244" s="15"/>
      <c r="WPI244" s="15"/>
      <c r="WPJ244" s="10"/>
      <c r="WPK244" s="10"/>
      <c r="WPL244" s="19"/>
      <c r="WPM244" s="19"/>
      <c r="WPP244" s="16"/>
      <c r="WPQ244" s="15"/>
      <c r="WPR244" s="15"/>
      <c r="WPS244" s="15"/>
      <c r="WPT244" s="16"/>
      <c r="WPU244" s="16"/>
      <c r="WPV244" s="16"/>
      <c r="WPW244" s="16"/>
      <c r="WPX244" s="16"/>
      <c r="WPY244" s="15"/>
      <c r="WPZ244" s="15"/>
      <c r="WQA244" s="10"/>
      <c r="WQB244" s="10"/>
      <c r="WQC244" s="19"/>
      <c r="WQD244" s="19"/>
      <c r="WQG244" s="16"/>
      <c r="WQH244" s="15"/>
      <c r="WQI244" s="15"/>
      <c r="WQJ244" s="15"/>
      <c r="WQK244" s="16"/>
      <c r="WQL244" s="16"/>
      <c r="WQM244" s="16"/>
      <c r="WQN244" s="16"/>
      <c r="WQO244" s="16"/>
      <c r="WQP244" s="15"/>
      <c r="WQQ244" s="15"/>
      <c r="WQR244" s="10"/>
      <c r="WQS244" s="10"/>
      <c r="WQT244" s="19"/>
      <c r="WQU244" s="19"/>
      <c r="WQX244" s="16"/>
      <c r="WQY244" s="15"/>
      <c r="WQZ244" s="15"/>
      <c r="WRA244" s="15"/>
      <c r="WRB244" s="16"/>
      <c r="WRC244" s="16"/>
      <c r="WRD244" s="16"/>
      <c r="WRE244" s="16"/>
      <c r="WRF244" s="16"/>
      <c r="WRG244" s="15"/>
      <c r="WRH244" s="15"/>
      <c r="WRI244" s="10"/>
      <c r="WRJ244" s="10"/>
      <c r="WRK244" s="19"/>
      <c r="WRL244" s="19"/>
      <c r="WRO244" s="16"/>
      <c r="WRP244" s="15"/>
      <c r="WRQ244" s="15"/>
      <c r="WRR244" s="15"/>
      <c r="WRS244" s="16"/>
      <c r="WRT244" s="16"/>
      <c r="WRU244" s="16"/>
      <c r="WRV244" s="16"/>
      <c r="WRW244" s="16"/>
      <c r="WRX244" s="15"/>
      <c r="WRY244" s="15"/>
      <c r="WRZ244" s="10"/>
      <c r="WSA244" s="10"/>
      <c r="WSB244" s="19"/>
      <c r="WSC244" s="19"/>
      <c r="WSF244" s="16"/>
      <c r="WSG244" s="15"/>
      <c r="WSH244" s="15"/>
      <c r="WSI244" s="15"/>
      <c r="WSJ244" s="16"/>
      <c r="WSK244" s="16"/>
      <c r="WSL244" s="16"/>
      <c r="WSM244" s="16"/>
      <c r="WSN244" s="16"/>
      <c r="WSO244" s="15"/>
      <c r="WSP244" s="15"/>
      <c r="WSQ244" s="10"/>
      <c r="WSR244" s="10"/>
      <c r="WSS244" s="19"/>
      <c r="WST244" s="19"/>
      <c r="WSW244" s="16"/>
      <c r="WSX244" s="15"/>
      <c r="WSY244" s="15"/>
      <c r="WSZ244" s="15"/>
      <c r="WTA244" s="16"/>
      <c r="WTB244" s="16"/>
      <c r="WTC244" s="16"/>
      <c r="WTD244" s="16"/>
      <c r="WTE244" s="16"/>
      <c r="WTF244" s="15"/>
      <c r="WTG244" s="15"/>
      <c r="WTH244" s="10"/>
      <c r="WTI244" s="10"/>
      <c r="WTJ244" s="19"/>
      <c r="WTK244" s="19"/>
      <c r="WTN244" s="16"/>
      <c r="WTO244" s="15"/>
      <c r="WTP244" s="15"/>
      <c r="WTQ244" s="15"/>
      <c r="WTR244" s="16"/>
      <c r="WTS244" s="16"/>
      <c r="WTT244" s="16"/>
      <c r="WTU244" s="16"/>
      <c r="WTV244" s="16"/>
      <c r="WTW244" s="15"/>
      <c r="WTX244" s="15"/>
      <c r="WTY244" s="10"/>
      <c r="WTZ244" s="10"/>
      <c r="WUA244" s="19"/>
      <c r="WUB244" s="19"/>
      <c r="WUE244" s="16"/>
      <c r="WUF244" s="15"/>
      <c r="WUG244" s="15"/>
      <c r="WUH244" s="15"/>
      <c r="WUI244" s="16"/>
      <c r="WUJ244" s="16"/>
      <c r="WUK244" s="16"/>
      <c r="WUL244" s="16"/>
      <c r="WUM244" s="16"/>
      <c r="WUN244" s="15"/>
      <c r="WUO244" s="15"/>
      <c r="WUP244" s="10"/>
      <c r="WUQ244" s="10"/>
      <c r="WUR244" s="19"/>
      <c r="WUS244" s="19"/>
      <c r="WUV244" s="16"/>
      <c r="WUW244" s="15"/>
      <c r="WUX244" s="15"/>
      <c r="WUY244" s="15"/>
      <c r="WUZ244" s="16"/>
      <c r="WVA244" s="16"/>
      <c r="WVB244" s="16"/>
      <c r="WVC244" s="16"/>
      <c r="WVD244" s="16"/>
      <c r="WVE244" s="15"/>
      <c r="WVF244" s="15"/>
      <c r="WVG244" s="10"/>
      <c r="WVH244" s="10"/>
      <c r="WVI244" s="19"/>
      <c r="WVJ244" s="19"/>
      <c r="WVM244" s="16"/>
      <c r="WVN244" s="15"/>
      <c r="WVO244" s="15"/>
      <c r="WVP244" s="15"/>
      <c r="WVQ244" s="16"/>
      <c r="WVR244" s="16"/>
      <c r="WVS244" s="16"/>
      <c r="WVT244" s="16"/>
      <c r="WVU244" s="16"/>
      <c r="WVV244" s="15"/>
      <c r="WVW244" s="15"/>
      <c r="WVX244" s="10"/>
      <c r="WVY244" s="10"/>
      <c r="WVZ244" s="19"/>
      <c r="WWA244" s="19"/>
      <c r="WWD244" s="16"/>
      <c r="WWE244" s="15"/>
      <c r="WWF244" s="15"/>
      <c r="WWG244" s="15"/>
      <c r="WWH244" s="16"/>
      <c r="WWI244" s="16"/>
      <c r="WWJ244" s="16"/>
      <c r="WWK244" s="16"/>
      <c r="WWL244" s="16"/>
      <c r="WWM244" s="15"/>
      <c r="WWN244" s="15"/>
      <c r="WWO244" s="10"/>
      <c r="WWP244" s="10"/>
      <c r="WWQ244" s="19"/>
      <c r="WWR244" s="19"/>
      <c r="WWU244" s="16"/>
      <c r="WWV244" s="15"/>
      <c r="WWW244" s="15"/>
      <c r="WWX244" s="15"/>
      <c r="WWY244" s="16"/>
      <c r="WWZ244" s="16"/>
      <c r="WXA244" s="16"/>
      <c r="WXB244" s="16"/>
      <c r="WXC244" s="16"/>
      <c r="WXD244" s="15"/>
      <c r="WXE244" s="15"/>
      <c r="WXF244" s="10"/>
      <c r="WXG244" s="10"/>
      <c r="WXH244" s="19"/>
      <c r="WXI244" s="19"/>
      <c r="WXL244" s="16"/>
      <c r="WXM244" s="15"/>
      <c r="WXN244" s="15"/>
      <c r="WXO244" s="15"/>
      <c r="WXP244" s="16"/>
      <c r="WXQ244" s="16"/>
      <c r="WXR244" s="16"/>
      <c r="WXS244" s="16"/>
      <c r="WXT244" s="16"/>
      <c r="WXU244" s="15"/>
      <c r="WXV244" s="15"/>
      <c r="WXW244" s="10"/>
      <c r="WXX244" s="10"/>
      <c r="WXY244" s="19"/>
      <c r="WXZ244" s="19"/>
      <c r="WYC244" s="16"/>
      <c r="WYD244" s="15"/>
      <c r="WYE244" s="15"/>
      <c r="WYF244" s="15"/>
      <c r="WYG244" s="16"/>
      <c r="WYH244" s="16"/>
      <c r="WYI244" s="16"/>
      <c r="WYJ244" s="16"/>
      <c r="WYK244" s="16"/>
      <c r="WYL244" s="15"/>
      <c r="WYM244" s="15"/>
      <c r="WYN244" s="10"/>
      <c r="WYO244" s="10"/>
      <c r="WYP244" s="19"/>
      <c r="WYQ244" s="19"/>
      <c r="WYT244" s="16"/>
      <c r="WYU244" s="15"/>
      <c r="WYV244" s="15"/>
      <c r="WYW244" s="15"/>
      <c r="WYX244" s="16"/>
      <c r="WYY244" s="16"/>
      <c r="WYZ244" s="16"/>
      <c r="WZA244" s="16"/>
      <c r="WZB244" s="16"/>
      <c r="WZC244" s="15"/>
      <c r="WZD244" s="15"/>
      <c r="WZE244" s="10"/>
      <c r="WZF244" s="10"/>
      <c r="WZG244" s="19"/>
      <c r="WZH244" s="19"/>
      <c r="WZK244" s="16"/>
      <c r="WZL244" s="15"/>
      <c r="WZM244" s="15"/>
      <c r="WZN244" s="15"/>
      <c r="WZO244" s="16"/>
      <c r="WZP244" s="16"/>
      <c r="WZQ244" s="16"/>
      <c r="WZR244" s="16"/>
      <c r="WZS244" s="16"/>
      <c r="WZT244" s="15"/>
      <c r="WZU244" s="15"/>
      <c r="WZV244" s="10"/>
      <c r="WZW244" s="10"/>
      <c r="WZX244" s="19"/>
      <c r="WZY244" s="19"/>
      <c r="XAB244" s="16"/>
      <c r="XAC244" s="15"/>
      <c r="XAD244" s="15"/>
      <c r="XAE244" s="15"/>
      <c r="XAF244" s="16"/>
      <c r="XAG244" s="16"/>
      <c r="XAH244" s="16"/>
      <c r="XAI244" s="16"/>
      <c r="XAJ244" s="16"/>
      <c r="XAK244" s="15"/>
      <c r="XAL244" s="15"/>
      <c r="XAM244" s="10"/>
      <c r="XAN244" s="10"/>
      <c r="XAO244" s="19"/>
      <c r="XAP244" s="19"/>
      <c r="XAS244" s="16"/>
      <c r="XAT244" s="15"/>
      <c r="XAU244" s="15"/>
      <c r="XAV244" s="15"/>
      <c r="XAW244" s="16"/>
      <c r="XAX244" s="16"/>
      <c r="XAY244" s="16"/>
      <c r="XAZ244" s="16"/>
      <c r="XBA244" s="16"/>
      <c r="XBB244" s="15"/>
      <c r="XBC244" s="15"/>
      <c r="XBD244" s="10"/>
      <c r="XBE244" s="10"/>
      <c r="XBF244" s="19"/>
      <c r="XBG244" s="19"/>
      <c r="XBJ244" s="16"/>
      <c r="XBK244" s="15"/>
      <c r="XBL244" s="15"/>
      <c r="XBM244" s="15"/>
      <c r="XBN244" s="16"/>
      <c r="XBO244" s="16"/>
      <c r="XBP244" s="16"/>
      <c r="XBQ244" s="16"/>
      <c r="XBR244" s="16"/>
      <c r="XBS244" s="15"/>
      <c r="XBT244" s="15"/>
      <c r="XBU244" s="10"/>
      <c r="XBV244" s="10"/>
      <c r="XBW244" s="19"/>
      <c r="XBX244" s="19"/>
      <c r="XCA244" s="16"/>
      <c r="XCB244" s="15"/>
      <c r="XCC244" s="15"/>
      <c r="XCD244" s="15"/>
      <c r="XCE244" s="16"/>
      <c r="XCF244" s="16"/>
      <c r="XCG244" s="16"/>
      <c r="XCH244" s="16"/>
      <c r="XCI244" s="16"/>
      <c r="XCJ244" s="15"/>
      <c r="XCK244" s="15"/>
      <c r="XCL244" s="10"/>
      <c r="XCM244" s="10"/>
      <c r="XCN244" s="19"/>
      <c r="XCO244" s="19"/>
      <c r="XCR244" s="16"/>
      <c r="XCS244" s="15"/>
      <c r="XCT244" s="15"/>
      <c r="XCU244" s="15"/>
      <c r="XCV244" s="16"/>
      <c r="XCW244" s="16"/>
      <c r="XCX244" s="16"/>
      <c r="XCY244" s="16"/>
      <c r="XCZ244" s="16"/>
      <c r="XDA244" s="15"/>
      <c r="XDB244" s="15"/>
      <c r="XDC244" s="10"/>
      <c r="XDD244" s="10"/>
      <c r="XDE244" s="19"/>
      <c r="XDF244" s="19"/>
      <c r="XDI244" s="16"/>
      <c r="XDJ244" s="15"/>
      <c r="XDK244" s="15"/>
      <c r="XDL244" s="15"/>
      <c r="XDM244" s="16"/>
      <c r="XDN244" s="16"/>
      <c r="XDO244" s="16"/>
      <c r="XDP244" s="16"/>
      <c r="XDQ244" s="16"/>
      <c r="XDR244" s="15"/>
      <c r="XDS244" s="15"/>
      <c r="XDT244" s="10"/>
      <c r="XDU244" s="10"/>
      <c r="XDV244" s="19"/>
      <c r="XDW244" s="19"/>
      <c r="XDZ244" s="16"/>
      <c r="XEA244" s="15"/>
      <c r="XEB244" s="15"/>
      <c r="XEC244" s="15"/>
      <c r="XED244" s="16"/>
      <c r="XEE244" s="16"/>
      <c r="XEF244" s="16"/>
      <c r="XEG244" s="16"/>
      <c r="XEH244" s="16"/>
      <c r="XEI244" s="15"/>
      <c r="XEJ244" s="15"/>
      <c r="XEK244" s="10"/>
      <c r="XEL244" s="10"/>
      <c r="XEM244" s="19"/>
      <c r="XEN244" s="19"/>
      <c r="XEQ244" s="16"/>
      <c r="XER244" s="15"/>
      <c r="XES244" s="15"/>
      <c r="XET244" s="15"/>
      <c r="XEU244" s="16"/>
      <c r="XEV244" s="16"/>
      <c r="XEW244" s="16"/>
      <c r="XEX244" s="16"/>
      <c r="XEY244" s="16"/>
      <c r="XEZ244" s="15"/>
      <c r="XFA244" s="15"/>
      <c r="XFB244" s="10"/>
      <c r="XFC244" s="10"/>
      <c r="XFD244" s="19"/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1198</v>
      </c>
      <c r="E245" s="32" t="s">
        <v>164</v>
      </c>
      <c r="F245" s="32" t="s">
        <v>1199</v>
      </c>
      <c r="G245" s="32" t="s">
        <v>1201</v>
      </c>
      <c r="H245" s="32" t="s">
        <v>352</v>
      </c>
      <c r="I245" s="31" t="s">
        <v>1200</v>
      </c>
      <c r="J245" s="31">
        <v>99</v>
      </c>
      <c r="K245" s="33" t="s">
        <v>713</v>
      </c>
      <c r="L245" s="33" t="s">
        <v>684</v>
      </c>
      <c r="M245" s="34" t="s">
        <v>1366</v>
      </c>
      <c r="N245" s="34" t="s">
        <v>1696</v>
      </c>
      <c r="O245" s="35">
        <v>1</v>
      </c>
      <c r="P245" s="35"/>
      <c r="Q245" s="32"/>
      <c r="S245" s="1">
        <f t="shared" si="85"/>
        <v>0</v>
      </c>
      <c r="T245" s="1">
        <f t="shared" si="86"/>
        <v>0</v>
      </c>
      <c r="U245" s="1">
        <f t="shared" si="87"/>
        <v>0</v>
      </c>
      <c r="V245" s="1">
        <f t="shared" si="88"/>
        <v>0</v>
      </c>
      <c r="W245" s="1">
        <f t="shared" si="89"/>
        <v>0</v>
      </c>
      <c r="X245" s="1">
        <f t="shared" si="90"/>
        <v>0</v>
      </c>
      <c r="Y245" s="1">
        <f t="shared" si="91"/>
        <v>0</v>
      </c>
      <c r="Z245" s="1">
        <f t="shared" si="92"/>
        <v>0</v>
      </c>
      <c r="AA245" s="1">
        <f t="shared" si="93"/>
        <v>0</v>
      </c>
      <c r="AB245" s="1">
        <f t="shared" si="94"/>
        <v>0</v>
      </c>
      <c r="AD245" s="1">
        <f t="shared" si="95"/>
        <v>0</v>
      </c>
      <c r="AE245" s="1">
        <f t="shared" si="96"/>
        <v>1</v>
      </c>
      <c r="AF245" s="1">
        <f t="shared" si="97"/>
        <v>0</v>
      </c>
      <c r="AG245" s="1">
        <f t="shared" si="98"/>
        <v>1</v>
      </c>
      <c r="AH245" s="1">
        <f t="shared" si="99"/>
        <v>0</v>
      </c>
      <c r="AI245" s="1">
        <f t="shared" si="100"/>
        <v>1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955</v>
      </c>
      <c r="E246" s="32" t="s">
        <v>164</v>
      </c>
      <c r="F246" s="32" t="s">
        <v>953</v>
      </c>
      <c r="G246" s="32" t="s">
        <v>1082</v>
      </c>
      <c r="H246" s="32" t="s">
        <v>352</v>
      </c>
      <c r="I246" s="31" t="s">
        <v>954</v>
      </c>
      <c r="J246" s="31">
        <v>1</v>
      </c>
      <c r="K246" s="33" t="s">
        <v>933</v>
      </c>
      <c r="L246" s="33" t="s">
        <v>680</v>
      </c>
      <c r="M246" s="34" t="s">
        <v>1367</v>
      </c>
      <c r="N246" s="34" t="s">
        <v>1700</v>
      </c>
      <c r="O246" s="35">
        <v>1</v>
      </c>
      <c r="P246" s="35"/>
      <c r="Q246" s="32"/>
      <c r="R246" s="15"/>
      <c r="S246" s="1">
        <f t="shared" si="85"/>
        <v>1</v>
      </c>
      <c r="T246" s="1">
        <f t="shared" si="86"/>
        <v>0</v>
      </c>
      <c r="U246" s="1">
        <f t="shared" si="87"/>
        <v>0</v>
      </c>
      <c r="V246" s="1">
        <f t="shared" si="88"/>
        <v>0</v>
      </c>
      <c r="W246" s="1">
        <f t="shared" si="89"/>
        <v>0</v>
      </c>
      <c r="X246" s="1">
        <f t="shared" si="90"/>
        <v>0</v>
      </c>
      <c r="Y246" s="1">
        <f t="shared" si="91"/>
        <v>0</v>
      </c>
      <c r="Z246" s="1">
        <f t="shared" si="92"/>
        <v>0</v>
      </c>
      <c r="AA246" s="1">
        <f t="shared" si="93"/>
        <v>0</v>
      </c>
      <c r="AB246" s="1">
        <f t="shared" si="94"/>
        <v>0</v>
      </c>
      <c r="AD246" s="1">
        <f t="shared" si="95"/>
        <v>0</v>
      </c>
      <c r="AE246" s="1">
        <f t="shared" si="96"/>
        <v>1</v>
      </c>
      <c r="AF246" s="1">
        <f t="shared" si="97"/>
        <v>0</v>
      </c>
      <c r="AG246" s="1">
        <f t="shared" si="98"/>
        <v>1</v>
      </c>
      <c r="AH246" s="1">
        <f t="shared" si="99"/>
        <v>0</v>
      </c>
      <c r="AI246" s="1">
        <f t="shared" si="100"/>
        <v>1</v>
      </c>
      <c r="AJ246" s="15"/>
      <c r="AK246" s="15"/>
      <c r="AL246" s="15"/>
      <c r="AM246" s="15"/>
      <c r="AN246" s="15"/>
      <c r="AO246" s="15"/>
      <c r="AP246" s="15"/>
      <c r="AQ246" s="15"/>
      <c r="AR246" s="15"/>
      <c r="AS246" s="10"/>
      <c r="AT246" s="10"/>
      <c r="AU246" s="21"/>
      <c r="AV246" s="21"/>
      <c r="AY246" s="21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0"/>
      <c r="BK246" s="10"/>
      <c r="BL246" s="21"/>
      <c r="BM246" s="21"/>
      <c r="BP246" s="21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0"/>
      <c r="CB246" s="10"/>
      <c r="CC246" s="21"/>
      <c r="CD246" s="21"/>
      <c r="CG246" s="21"/>
      <c r="CH246" s="15"/>
      <c r="CI246" s="15"/>
      <c r="CJ246" s="15"/>
      <c r="CK246" s="15"/>
      <c r="CL246" s="15"/>
      <c r="CM246" s="15"/>
      <c r="CN246" s="15"/>
      <c r="CO246" s="15"/>
      <c r="CP246" s="15"/>
      <c r="CQ246" s="15"/>
      <c r="CR246" s="10"/>
      <c r="CS246" s="10"/>
      <c r="CT246" s="21"/>
      <c r="CU246" s="21"/>
      <c r="CX246" s="21"/>
      <c r="CY246" s="15"/>
      <c r="CZ246" s="15"/>
      <c r="DA246" s="15"/>
      <c r="DB246" s="15"/>
      <c r="DC246" s="15"/>
      <c r="DD246" s="15"/>
      <c r="DE246" s="15"/>
      <c r="DF246" s="15"/>
      <c r="DG246" s="15"/>
      <c r="DH246" s="15"/>
      <c r="DI246" s="10"/>
      <c r="DJ246" s="10"/>
      <c r="DK246" s="21"/>
      <c r="DL246" s="21"/>
      <c r="DO246" s="21"/>
      <c r="DP246" s="15"/>
      <c r="DQ246" s="15"/>
      <c r="DR246" s="15"/>
      <c r="DS246" s="15"/>
      <c r="DT246" s="15"/>
      <c r="DU246" s="15"/>
      <c r="DV246" s="15"/>
      <c r="DW246" s="15"/>
      <c r="DX246" s="15"/>
      <c r="DY246" s="15"/>
      <c r="DZ246" s="10"/>
      <c r="EA246" s="10"/>
      <c r="EB246" s="21"/>
      <c r="EC246" s="21"/>
      <c r="EF246" s="21"/>
      <c r="EG246" s="15"/>
      <c r="EH246" s="15"/>
      <c r="EI246" s="15"/>
      <c r="EJ246" s="15"/>
      <c r="EK246" s="15"/>
      <c r="EL246" s="15"/>
      <c r="EM246" s="15"/>
      <c r="EN246" s="15"/>
      <c r="EO246" s="15"/>
      <c r="EP246" s="15"/>
      <c r="EQ246" s="10"/>
      <c r="ER246" s="10"/>
      <c r="ES246" s="21"/>
      <c r="ET246" s="21"/>
      <c r="EW246" s="21"/>
      <c r="EX246" s="15"/>
      <c r="EY246" s="15"/>
      <c r="EZ246" s="15"/>
      <c r="FA246" s="15"/>
      <c r="FB246" s="15"/>
      <c r="FC246" s="15"/>
      <c r="FD246" s="15"/>
      <c r="FE246" s="15"/>
      <c r="FF246" s="15"/>
      <c r="FG246" s="15"/>
      <c r="FH246" s="10"/>
      <c r="FI246" s="10"/>
      <c r="FJ246" s="21"/>
      <c r="FK246" s="21"/>
      <c r="FN246" s="21"/>
      <c r="FO246" s="15"/>
      <c r="FP246" s="15"/>
      <c r="FQ246" s="15"/>
      <c r="FR246" s="15"/>
      <c r="FS246" s="15"/>
      <c r="FT246" s="15"/>
      <c r="FU246" s="15"/>
      <c r="FV246" s="15"/>
      <c r="FW246" s="15"/>
      <c r="FX246" s="15"/>
      <c r="FY246" s="10"/>
      <c r="FZ246" s="10"/>
      <c r="GA246" s="21"/>
      <c r="GB246" s="21"/>
      <c r="GE246" s="21"/>
      <c r="GF246" s="15"/>
      <c r="GG246" s="15"/>
      <c r="GH246" s="15"/>
      <c r="GI246" s="15"/>
      <c r="GJ246" s="15"/>
      <c r="GK246" s="15"/>
      <c r="GL246" s="15"/>
      <c r="GM246" s="15"/>
      <c r="GN246" s="15"/>
      <c r="GO246" s="15"/>
      <c r="GP246" s="10"/>
      <c r="GQ246" s="10"/>
      <c r="GR246" s="21"/>
      <c r="GS246" s="21"/>
      <c r="GV246" s="21"/>
      <c r="GW246" s="15"/>
      <c r="GX246" s="15"/>
      <c r="GY246" s="15"/>
      <c r="GZ246" s="15"/>
      <c r="HA246" s="15"/>
      <c r="HB246" s="15"/>
      <c r="HC246" s="15"/>
      <c r="HD246" s="15"/>
      <c r="HE246" s="15"/>
      <c r="HF246" s="15"/>
      <c r="HG246" s="10"/>
      <c r="HH246" s="10"/>
      <c r="HI246" s="21"/>
      <c r="HJ246" s="21"/>
      <c r="HM246" s="21"/>
      <c r="HN246" s="15"/>
      <c r="HO246" s="15"/>
      <c r="HP246" s="15"/>
      <c r="HQ246" s="15"/>
      <c r="HR246" s="15"/>
      <c r="HS246" s="15"/>
      <c r="HT246" s="15"/>
      <c r="HU246" s="15"/>
      <c r="HV246" s="15"/>
      <c r="HW246" s="15"/>
      <c r="HX246" s="10"/>
      <c r="HY246" s="10"/>
      <c r="HZ246" s="21"/>
      <c r="IA246" s="21"/>
      <c r="ID246" s="21"/>
      <c r="IE246" s="15"/>
      <c r="IF246" s="15"/>
      <c r="IG246" s="15"/>
      <c r="IH246" s="15"/>
      <c r="II246" s="15"/>
      <c r="IJ246" s="15"/>
      <c r="IK246" s="15"/>
      <c r="IL246" s="15"/>
      <c r="IM246" s="15"/>
      <c r="IN246" s="15"/>
      <c r="IO246" s="10"/>
      <c r="IP246" s="10"/>
      <c r="IQ246" s="21"/>
      <c r="IR246" s="21"/>
      <c r="IU246" s="21"/>
      <c r="IV246" s="15"/>
      <c r="IW246" s="15"/>
      <c r="IX246" s="15"/>
      <c r="IY246" s="15"/>
      <c r="IZ246" s="15"/>
      <c r="JA246" s="15"/>
      <c r="JB246" s="15"/>
      <c r="JC246" s="15"/>
      <c r="JD246" s="15"/>
      <c r="JE246" s="15"/>
      <c r="JF246" s="10"/>
      <c r="JG246" s="10"/>
      <c r="JH246" s="21"/>
      <c r="JI246" s="21"/>
      <c r="JL246" s="21"/>
      <c r="JM246" s="15"/>
      <c r="JN246" s="15"/>
      <c r="JO246" s="15"/>
      <c r="JP246" s="15"/>
      <c r="JQ246" s="15"/>
      <c r="JR246" s="15"/>
      <c r="JS246" s="15"/>
      <c r="JT246" s="15"/>
      <c r="JU246" s="15"/>
      <c r="JV246" s="15"/>
      <c r="JW246" s="10"/>
      <c r="JX246" s="10"/>
      <c r="JY246" s="21"/>
      <c r="JZ246" s="21"/>
      <c r="KC246" s="21"/>
      <c r="KD246" s="15"/>
      <c r="KE246" s="15"/>
      <c r="KF246" s="15"/>
      <c r="KG246" s="15"/>
      <c r="KH246" s="15"/>
      <c r="KI246" s="15"/>
      <c r="KJ246" s="15"/>
      <c r="KK246" s="15"/>
      <c r="KL246" s="15"/>
      <c r="KM246" s="15"/>
      <c r="KN246" s="10"/>
      <c r="KO246" s="10"/>
      <c r="KP246" s="21"/>
      <c r="KQ246" s="21"/>
      <c r="KT246" s="21"/>
      <c r="KU246" s="15"/>
      <c r="KV246" s="15"/>
      <c r="KW246" s="15"/>
      <c r="KX246" s="15"/>
      <c r="KY246" s="15"/>
      <c r="KZ246" s="15"/>
      <c r="LA246" s="15"/>
      <c r="LB246" s="15"/>
      <c r="LC246" s="15"/>
      <c r="LD246" s="15"/>
      <c r="LE246" s="10"/>
      <c r="LF246" s="10"/>
      <c r="LG246" s="21"/>
      <c r="LH246" s="21"/>
      <c r="LK246" s="21"/>
      <c r="LL246" s="15"/>
      <c r="LM246" s="15"/>
      <c r="LN246" s="15"/>
      <c r="LO246" s="15"/>
      <c r="LP246" s="15"/>
      <c r="LQ246" s="15"/>
      <c r="LR246" s="15"/>
      <c r="LS246" s="15"/>
      <c r="LT246" s="15"/>
      <c r="LU246" s="15"/>
      <c r="LV246" s="10"/>
      <c r="LW246" s="10"/>
      <c r="LX246" s="21"/>
      <c r="LY246" s="21"/>
      <c r="MB246" s="21"/>
      <c r="MC246" s="15"/>
      <c r="MD246" s="15"/>
      <c r="ME246" s="15"/>
      <c r="MF246" s="15"/>
      <c r="MG246" s="15"/>
      <c r="MH246" s="15"/>
      <c r="MI246" s="15"/>
      <c r="MJ246" s="15"/>
      <c r="MK246" s="15"/>
      <c r="ML246" s="15"/>
      <c r="MM246" s="10"/>
      <c r="MN246" s="10"/>
      <c r="MO246" s="21"/>
      <c r="MP246" s="21"/>
      <c r="MS246" s="21"/>
      <c r="MT246" s="15"/>
      <c r="MU246" s="15"/>
      <c r="MV246" s="15"/>
      <c r="MW246" s="15"/>
      <c r="MX246" s="15"/>
      <c r="MY246" s="15"/>
      <c r="MZ246" s="15"/>
      <c r="NA246" s="15"/>
      <c r="NB246" s="15"/>
      <c r="NC246" s="15"/>
      <c r="ND246" s="10"/>
      <c r="NE246" s="10"/>
      <c r="NF246" s="21"/>
      <c r="NG246" s="21"/>
      <c r="NJ246" s="21"/>
      <c r="NK246" s="15"/>
      <c r="NL246" s="15"/>
      <c r="NM246" s="15"/>
      <c r="NN246" s="15"/>
      <c r="NO246" s="15"/>
      <c r="NP246" s="15"/>
      <c r="NQ246" s="15"/>
      <c r="NR246" s="15"/>
      <c r="NS246" s="15"/>
      <c r="NT246" s="15"/>
      <c r="NU246" s="10"/>
      <c r="NV246" s="10"/>
      <c r="NW246" s="21"/>
      <c r="NX246" s="21"/>
      <c r="OA246" s="21"/>
      <c r="OB246" s="15"/>
      <c r="OC246" s="15"/>
      <c r="OD246" s="15"/>
      <c r="OE246" s="15"/>
      <c r="OF246" s="15"/>
      <c r="OG246" s="15"/>
      <c r="OH246" s="15"/>
      <c r="OI246" s="15"/>
      <c r="OJ246" s="15"/>
      <c r="OK246" s="15"/>
      <c r="OL246" s="10"/>
      <c r="OM246" s="10"/>
      <c r="ON246" s="21"/>
      <c r="OO246" s="21"/>
      <c r="OR246" s="21"/>
      <c r="OS246" s="15"/>
      <c r="OT246" s="15"/>
      <c r="OU246" s="15"/>
      <c r="OV246" s="15"/>
      <c r="OW246" s="15"/>
      <c r="OX246" s="15"/>
      <c r="OY246" s="15"/>
      <c r="OZ246" s="15"/>
      <c r="PA246" s="15"/>
      <c r="PB246" s="15"/>
      <c r="PC246" s="10"/>
      <c r="PD246" s="10"/>
      <c r="PE246" s="21"/>
      <c r="PF246" s="21"/>
      <c r="PI246" s="21"/>
      <c r="PJ246" s="15"/>
      <c r="PK246" s="15"/>
      <c r="PL246" s="15"/>
      <c r="PM246" s="15"/>
      <c r="PN246" s="15"/>
      <c r="PO246" s="15"/>
      <c r="PP246" s="15"/>
      <c r="PQ246" s="15"/>
      <c r="PR246" s="15"/>
      <c r="PS246" s="15"/>
      <c r="PT246" s="10"/>
      <c r="PU246" s="10"/>
      <c r="PV246" s="21"/>
      <c r="PW246" s="21"/>
      <c r="PZ246" s="21"/>
      <c r="QA246" s="15"/>
      <c r="QB246" s="15"/>
      <c r="QC246" s="15"/>
      <c r="QD246" s="15"/>
      <c r="QE246" s="15"/>
      <c r="QF246" s="15"/>
      <c r="QG246" s="15"/>
      <c r="QH246" s="15"/>
      <c r="QI246" s="15"/>
      <c r="QJ246" s="15"/>
      <c r="QK246" s="10"/>
      <c r="QL246" s="10"/>
      <c r="QM246" s="21"/>
      <c r="QN246" s="21"/>
      <c r="QQ246" s="21"/>
      <c r="QR246" s="15"/>
      <c r="QS246" s="15"/>
      <c r="QT246" s="15"/>
      <c r="QU246" s="15"/>
      <c r="QV246" s="15"/>
      <c r="QW246" s="15"/>
      <c r="QX246" s="15"/>
      <c r="QY246" s="15"/>
      <c r="QZ246" s="15"/>
      <c r="RA246" s="15"/>
      <c r="RB246" s="10"/>
      <c r="RC246" s="10"/>
      <c r="RD246" s="21"/>
      <c r="RE246" s="21"/>
      <c r="RH246" s="21"/>
      <c r="RI246" s="15"/>
      <c r="RJ246" s="15"/>
      <c r="RK246" s="15"/>
      <c r="RL246" s="15"/>
      <c r="RM246" s="15"/>
      <c r="RN246" s="15"/>
      <c r="RO246" s="15"/>
      <c r="RP246" s="15"/>
      <c r="RQ246" s="15"/>
      <c r="RR246" s="15"/>
      <c r="RS246" s="10"/>
      <c r="RT246" s="10"/>
      <c r="RU246" s="21"/>
      <c r="RV246" s="21"/>
      <c r="RY246" s="21"/>
      <c r="RZ246" s="15"/>
      <c r="SA246" s="15"/>
      <c r="SB246" s="15"/>
      <c r="SC246" s="15"/>
      <c r="SD246" s="15"/>
      <c r="SE246" s="15"/>
      <c r="SF246" s="15"/>
      <c r="SG246" s="15"/>
      <c r="SH246" s="15"/>
      <c r="SI246" s="15"/>
      <c r="SJ246" s="10"/>
      <c r="SK246" s="10"/>
      <c r="SL246" s="21"/>
      <c r="SM246" s="21"/>
      <c r="SP246" s="21"/>
      <c r="SQ246" s="15"/>
      <c r="SR246" s="15"/>
      <c r="SS246" s="15"/>
      <c r="ST246" s="15"/>
      <c r="SU246" s="15"/>
      <c r="SV246" s="15"/>
      <c r="SW246" s="15"/>
      <c r="SX246" s="15"/>
      <c r="SY246" s="15"/>
      <c r="SZ246" s="15"/>
      <c r="TA246" s="10"/>
      <c r="TB246" s="10"/>
      <c r="TC246" s="21"/>
      <c r="TD246" s="21"/>
      <c r="TG246" s="21"/>
      <c r="TH246" s="15"/>
      <c r="TI246" s="15"/>
      <c r="TJ246" s="15"/>
      <c r="TK246" s="15"/>
      <c r="TL246" s="15"/>
      <c r="TM246" s="15"/>
      <c r="TN246" s="15"/>
      <c r="TO246" s="15"/>
      <c r="TP246" s="15"/>
      <c r="TQ246" s="15"/>
      <c r="TR246" s="10"/>
      <c r="TS246" s="10"/>
      <c r="TT246" s="21"/>
      <c r="TU246" s="21"/>
      <c r="TX246" s="21"/>
      <c r="TY246" s="15"/>
      <c r="TZ246" s="15"/>
      <c r="UA246" s="15"/>
      <c r="UB246" s="15"/>
      <c r="UC246" s="15"/>
      <c r="UD246" s="15"/>
      <c r="UE246" s="15"/>
      <c r="UF246" s="15"/>
      <c r="UG246" s="15"/>
      <c r="UH246" s="15"/>
      <c r="UI246" s="10"/>
      <c r="UJ246" s="10"/>
      <c r="UK246" s="21"/>
      <c r="UL246" s="21"/>
      <c r="UO246" s="21"/>
      <c r="UP246" s="15"/>
      <c r="UQ246" s="15"/>
      <c r="UR246" s="15"/>
      <c r="US246" s="15"/>
      <c r="UT246" s="15"/>
      <c r="UU246" s="15"/>
      <c r="UV246" s="15"/>
      <c r="UW246" s="15"/>
      <c r="UX246" s="15"/>
      <c r="UY246" s="15"/>
      <c r="UZ246" s="10"/>
      <c r="VA246" s="10"/>
      <c r="VB246" s="21"/>
      <c r="VC246" s="21"/>
      <c r="VF246" s="21"/>
      <c r="VG246" s="15"/>
      <c r="VH246" s="15"/>
      <c r="VI246" s="15"/>
      <c r="VJ246" s="15"/>
      <c r="VK246" s="15"/>
      <c r="VL246" s="15"/>
      <c r="VM246" s="15"/>
      <c r="VN246" s="15"/>
      <c r="VO246" s="15"/>
      <c r="VP246" s="15"/>
      <c r="VQ246" s="10"/>
      <c r="VR246" s="10"/>
      <c r="VS246" s="21"/>
      <c r="VT246" s="21"/>
      <c r="VW246" s="21"/>
      <c r="VX246" s="15"/>
      <c r="VY246" s="15"/>
      <c r="VZ246" s="15"/>
      <c r="WA246" s="15"/>
      <c r="WB246" s="15"/>
      <c r="WC246" s="15"/>
      <c r="WD246" s="15"/>
      <c r="WE246" s="15"/>
      <c r="WF246" s="15"/>
      <c r="WG246" s="15"/>
      <c r="WH246" s="10"/>
      <c r="WI246" s="10"/>
      <c r="WJ246" s="21"/>
      <c r="WK246" s="21"/>
      <c r="WN246" s="21"/>
      <c r="WO246" s="15"/>
      <c r="WP246" s="15"/>
      <c r="WQ246" s="15"/>
      <c r="WR246" s="15"/>
      <c r="WS246" s="15"/>
      <c r="WT246" s="15"/>
      <c r="WU246" s="15"/>
      <c r="WV246" s="15"/>
      <c r="WW246" s="15"/>
      <c r="WX246" s="15"/>
      <c r="WY246" s="10"/>
      <c r="WZ246" s="10"/>
      <c r="XA246" s="21"/>
      <c r="XB246" s="21"/>
      <c r="XE246" s="21"/>
      <c r="XF246" s="15"/>
      <c r="XG246" s="15"/>
      <c r="XH246" s="15"/>
      <c r="XI246" s="15"/>
      <c r="XJ246" s="15"/>
      <c r="XK246" s="15"/>
      <c r="XL246" s="15"/>
      <c r="XM246" s="15"/>
      <c r="XN246" s="15"/>
      <c r="XO246" s="15"/>
      <c r="XP246" s="10"/>
      <c r="XQ246" s="10"/>
      <c r="XR246" s="21"/>
      <c r="XS246" s="21"/>
      <c r="XV246" s="21"/>
      <c r="XW246" s="15"/>
      <c r="XX246" s="15"/>
      <c r="XY246" s="15"/>
      <c r="XZ246" s="15"/>
      <c r="YA246" s="15"/>
      <c r="YB246" s="15"/>
      <c r="YC246" s="15"/>
      <c r="YD246" s="15"/>
      <c r="YE246" s="15"/>
      <c r="YF246" s="15"/>
      <c r="YG246" s="10"/>
      <c r="YH246" s="10"/>
      <c r="YI246" s="21"/>
      <c r="YJ246" s="21"/>
      <c r="YM246" s="21"/>
      <c r="YN246" s="15"/>
      <c r="YO246" s="15"/>
      <c r="YP246" s="15"/>
      <c r="YQ246" s="15"/>
      <c r="YR246" s="15"/>
      <c r="YS246" s="15"/>
      <c r="YT246" s="15"/>
      <c r="YU246" s="15"/>
      <c r="YV246" s="15"/>
      <c r="YW246" s="15"/>
      <c r="YX246" s="10"/>
      <c r="YY246" s="10"/>
      <c r="YZ246" s="21"/>
      <c r="ZA246" s="21"/>
      <c r="ZD246" s="21"/>
      <c r="ZE246" s="15"/>
      <c r="ZF246" s="15"/>
      <c r="ZG246" s="15"/>
      <c r="ZH246" s="15"/>
      <c r="ZI246" s="15"/>
      <c r="ZJ246" s="15"/>
      <c r="ZK246" s="15"/>
      <c r="ZL246" s="15"/>
      <c r="ZM246" s="15"/>
      <c r="ZN246" s="15"/>
      <c r="ZO246" s="10"/>
      <c r="ZP246" s="10"/>
      <c r="ZQ246" s="21"/>
      <c r="ZR246" s="21"/>
      <c r="ZU246" s="21"/>
      <c r="ZV246" s="15"/>
      <c r="ZW246" s="15"/>
      <c r="ZX246" s="15"/>
      <c r="ZY246" s="15"/>
      <c r="ZZ246" s="15"/>
      <c r="AAA246" s="15"/>
      <c r="AAB246" s="15"/>
      <c r="AAC246" s="15"/>
      <c r="AAD246" s="15"/>
      <c r="AAE246" s="15"/>
      <c r="AAF246" s="10"/>
      <c r="AAG246" s="10"/>
      <c r="AAH246" s="21"/>
      <c r="AAI246" s="21"/>
      <c r="AAL246" s="21"/>
      <c r="AAM246" s="15"/>
      <c r="AAN246" s="15"/>
      <c r="AAO246" s="15"/>
      <c r="AAP246" s="15"/>
      <c r="AAQ246" s="15"/>
      <c r="AAR246" s="15"/>
      <c r="AAS246" s="15"/>
      <c r="AAT246" s="15"/>
      <c r="AAU246" s="15"/>
      <c r="AAV246" s="15"/>
      <c r="AAW246" s="10"/>
      <c r="AAX246" s="10"/>
      <c r="AAY246" s="21"/>
      <c r="AAZ246" s="21"/>
      <c r="ABC246" s="21"/>
      <c r="ABD246" s="15"/>
      <c r="ABE246" s="15"/>
      <c r="ABF246" s="15"/>
      <c r="ABG246" s="15"/>
      <c r="ABH246" s="15"/>
      <c r="ABI246" s="15"/>
      <c r="ABJ246" s="15"/>
      <c r="ABK246" s="15"/>
      <c r="ABL246" s="15"/>
      <c r="ABM246" s="15"/>
      <c r="ABN246" s="10"/>
      <c r="ABO246" s="10"/>
      <c r="ABP246" s="21"/>
      <c r="ABQ246" s="21"/>
      <c r="ABT246" s="21"/>
      <c r="ABU246" s="15"/>
      <c r="ABV246" s="15"/>
      <c r="ABW246" s="15"/>
      <c r="ABX246" s="15"/>
      <c r="ABY246" s="15"/>
      <c r="ABZ246" s="15"/>
      <c r="ACA246" s="15"/>
      <c r="ACB246" s="15"/>
      <c r="ACC246" s="15"/>
      <c r="ACD246" s="15"/>
      <c r="ACE246" s="10"/>
      <c r="ACF246" s="10"/>
      <c r="ACG246" s="21"/>
      <c r="ACH246" s="21"/>
      <c r="ACK246" s="21"/>
      <c r="ACL246" s="15"/>
      <c r="ACM246" s="15"/>
      <c r="ACN246" s="15"/>
      <c r="ACO246" s="15"/>
      <c r="ACP246" s="15"/>
      <c r="ACQ246" s="15"/>
      <c r="ACR246" s="15"/>
      <c r="ACS246" s="15"/>
      <c r="ACT246" s="15"/>
      <c r="ACU246" s="15"/>
      <c r="ACV246" s="10"/>
      <c r="ACW246" s="10"/>
      <c r="ACX246" s="21"/>
      <c r="ACY246" s="21"/>
      <c r="ADB246" s="21"/>
      <c r="ADC246" s="15"/>
      <c r="ADD246" s="15"/>
      <c r="ADE246" s="15"/>
      <c r="ADF246" s="15"/>
      <c r="ADG246" s="15"/>
      <c r="ADH246" s="15"/>
      <c r="ADI246" s="15"/>
      <c r="ADJ246" s="15"/>
      <c r="ADK246" s="15"/>
      <c r="ADL246" s="15"/>
      <c r="ADM246" s="10"/>
      <c r="ADN246" s="10"/>
      <c r="ADO246" s="21"/>
      <c r="ADP246" s="21"/>
      <c r="ADS246" s="21"/>
      <c r="ADT246" s="15"/>
      <c r="ADU246" s="15"/>
      <c r="ADV246" s="15"/>
      <c r="ADW246" s="15"/>
      <c r="ADX246" s="15"/>
      <c r="ADY246" s="15"/>
      <c r="ADZ246" s="15"/>
      <c r="AEA246" s="15"/>
      <c r="AEB246" s="15"/>
      <c r="AEC246" s="15"/>
      <c r="AED246" s="10"/>
      <c r="AEE246" s="10"/>
      <c r="AEF246" s="21"/>
      <c r="AEG246" s="21"/>
      <c r="AEJ246" s="21"/>
      <c r="AEK246" s="15"/>
      <c r="AEL246" s="15"/>
      <c r="AEM246" s="15"/>
      <c r="AEN246" s="15"/>
      <c r="AEO246" s="15"/>
      <c r="AEP246" s="15"/>
      <c r="AEQ246" s="15"/>
      <c r="AER246" s="15"/>
      <c r="AES246" s="15"/>
      <c r="AET246" s="15"/>
      <c r="AEU246" s="10"/>
      <c r="AEV246" s="10"/>
      <c r="AEW246" s="21"/>
      <c r="AEX246" s="21"/>
      <c r="AFA246" s="21"/>
      <c r="AFB246" s="15"/>
      <c r="AFC246" s="15"/>
      <c r="AFD246" s="15"/>
      <c r="AFE246" s="15"/>
      <c r="AFF246" s="15"/>
      <c r="AFG246" s="15"/>
      <c r="AFH246" s="15"/>
      <c r="AFI246" s="15"/>
      <c r="AFJ246" s="15"/>
      <c r="AFK246" s="15"/>
      <c r="AFL246" s="10"/>
      <c r="AFM246" s="10"/>
      <c r="AFN246" s="21"/>
      <c r="AFO246" s="21"/>
      <c r="AFR246" s="21"/>
      <c r="AFS246" s="15"/>
      <c r="AFT246" s="15"/>
      <c r="AFU246" s="15"/>
      <c r="AFV246" s="15"/>
      <c r="AFW246" s="15"/>
      <c r="AFX246" s="15"/>
      <c r="AFY246" s="15"/>
      <c r="AFZ246" s="15"/>
      <c r="AGA246" s="15"/>
      <c r="AGB246" s="15"/>
      <c r="AGC246" s="10"/>
      <c r="AGD246" s="10"/>
      <c r="AGE246" s="21"/>
      <c r="AGF246" s="21"/>
      <c r="AGI246" s="21"/>
      <c r="AGJ246" s="15"/>
      <c r="AGK246" s="15"/>
      <c r="AGL246" s="15"/>
      <c r="AGM246" s="15"/>
      <c r="AGN246" s="15"/>
      <c r="AGO246" s="15"/>
      <c r="AGP246" s="15"/>
      <c r="AGQ246" s="15"/>
      <c r="AGR246" s="15"/>
      <c r="AGS246" s="15"/>
      <c r="AGT246" s="10"/>
      <c r="AGU246" s="10"/>
      <c r="AGV246" s="21"/>
      <c r="AGW246" s="21"/>
      <c r="AGZ246" s="21"/>
      <c r="AHA246" s="15"/>
      <c r="AHB246" s="15"/>
      <c r="AHC246" s="15"/>
      <c r="AHD246" s="15"/>
      <c r="AHE246" s="15"/>
      <c r="AHF246" s="15"/>
      <c r="AHG246" s="15"/>
      <c r="AHH246" s="15"/>
      <c r="AHI246" s="15"/>
      <c r="AHJ246" s="15"/>
      <c r="AHK246" s="10"/>
      <c r="AHL246" s="10"/>
      <c r="AHM246" s="21"/>
      <c r="AHN246" s="21"/>
      <c r="AHQ246" s="21"/>
      <c r="AHR246" s="15"/>
      <c r="AHS246" s="15"/>
      <c r="AHT246" s="15"/>
      <c r="AHU246" s="15"/>
      <c r="AHV246" s="15"/>
      <c r="AHW246" s="15"/>
      <c r="AHX246" s="15"/>
      <c r="AHY246" s="15"/>
      <c r="AHZ246" s="15"/>
      <c r="AIA246" s="15"/>
      <c r="AIB246" s="10"/>
      <c r="AIC246" s="10"/>
      <c r="AID246" s="21"/>
      <c r="AIE246" s="21"/>
      <c r="AIH246" s="21"/>
      <c r="AII246" s="15"/>
      <c r="AIJ246" s="15"/>
      <c r="AIK246" s="15"/>
      <c r="AIL246" s="15"/>
      <c r="AIM246" s="15"/>
      <c r="AIN246" s="15"/>
      <c r="AIO246" s="15"/>
      <c r="AIP246" s="15"/>
      <c r="AIQ246" s="15"/>
      <c r="AIR246" s="15"/>
      <c r="AIS246" s="10"/>
      <c r="AIT246" s="10"/>
      <c r="AIU246" s="21"/>
      <c r="AIV246" s="21"/>
      <c r="AIY246" s="21"/>
      <c r="AIZ246" s="15"/>
      <c r="AJA246" s="15"/>
      <c r="AJB246" s="15"/>
      <c r="AJC246" s="15"/>
      <c r="AJD246" s="15"/>
      <c r="AJE246" s="15"/>
      <c r="AJF246" s="15"/>
      <c r="AJG246" s="15"/>
      <c r="AJH246" s="15"/>
      <c r="AJI246" s="15"/>
      <c r="AJJ246" s="10"/>
      <c r="AJK246" s="10"/>
      <c r="AJL246" s="21"/>
      <c r="AJM246" s="21"/>
      <c r="AJP246" s="21"/>
      <c r="AJQ246" s="15"/>
      <c r="AJR246" s="15"/>
      <c r="AJS246" s="15"/>
      <c r="AJT246" s="15"/>
      <c r="AJU246" s="15"/>
      <c r="AJV246" s="15"/>
      <c r="AJW246" s="15"/>
      <c r="AJX246" s="15"/>
      <c r="AJY246" s="15"/>
      <c r="AJZ246" s="15"/>
      <c r="AKA246" s="10"/>
      <c r="AKB246" s="10"/>
      <c r="AKC246" s="21"/>
      <c r="AKD246" s="21"/>
      <c r="AKG246" s="21"/>
      <c r="AKH246" s="15"/>
      <c r="AKI246" s="15"/>
      <c r="AKJ246" s="15"/>
      <c r="AKK246" s="15"/>
      <c r="AKL246" s="15"/>
      <c r="AKM246" s="15"/>
      <c r="AKN246" s="15"/>
      <c r="AKO246" s="15"/>
      <c r="AKP246" s="15"/>
      <c r="AKQ246" s="15"/>
      <c r="AKR246" s="10"/>
      <c r="AKS246" s="10"/>
      <c r="AKT246" s="21"/>
      <c r="AKU246" s="21"/>
      <c r="AKX246" s="21"/>
      <c r="AKY246" s="15"/>
      <c r="AKZ246" s="15"/>
      <c r="ALA246" s="15"/>
      <c r="ALB246" s="15"/>
      <c r="ALC246" s="15"/>
      <c r="ALD246" s="15"/>
      <c r="ALE246" s="15"/>
      <c r="ALF246" s="15"/>
      <c r="ALG246" s="15"/>
      <c r="ALH246" s="15"/>
      <c r="ALI246" s="10"/>
      <c r="ALJ246" s="10"/>
      <c r="ALK246" s="21"/>
      <c r="ALL246" s="21"/>
      <c r="ALO246" s="21"/>
      <c r="ALP246" s="15"/>
      <c r="ALQ246" s="15"/>
      <c r="ALR246" s="15"/>
      <c r="ALS246" s="15"/>
      <c r="ALT246" s="15"/>
      <c r="ALU246" s="15"/>
      <c r="ALV246" s="15"/>
      <c r="ALW246" s="15"/>
      <c r="ALX246" s="15"/>
      <c r="ALY246" s="15"/>
      <c r="ALZ246" s="10"/>
      <c r="AMA246" s="10"/>
      <c r="AMB246" s="21"/>
      <c r="AMC246" s="21"/>
      <c r="AMF246" s="21"/>
      <c r="AMG246" s="15"/>
      <c r="AMH246" s="15"/>
      <c r="AMI246" s="15"/>
      <c r="AMJ246" s="15"/>
      <c r="AMK246" s="15"/>
      <c r="AML246" s="15"/>
      <c r="AMM246" s="15"/>
      <c r="AMN246" s="15"/>
      <c r="AMO246" s="15"/>
      <c r="AMP246" s="15"/>
      <c r="AMQ246" s="10"/>
      <c r="AMR246" s="10"/>
      <c r="AMS246" s="21"/>
      <c r="AMT246" s="21"/>
      <c r="AMW246" s="21"/>
      <c r="AMX246" s="15"/>
      <c r="AMY246" s="15"/>
      <c r="AMZ246" s="15"/>
      <c r="ANA246" s="15"/>
      <c r="ANB246" s="15"/>
      <c r="ANC246" s="15"/>
      <c r="AND246" s="15"/>
      <c r="ANE246" s="15"/>
      <c r="ANF246" s="15"/>
      <c r="ANG246" s="15"/>
      <c r="ANH246" s="10"/>
      <c r="ANI246" s="10"/>
      <c r="ANJ246" s="21"/>
      <c r="ANK246" s="21"/>
      <c r="ANN246" s="21"/>
      <c r="ANO246" s="15"/>
      <c r="ANP246" s="15"/>
      <c r="ANQ246" s="15"/>
      <c r="ANR246" s="15"/>
      <c r="ANS246" s="15"/>
      <c r="ANT246" s="15"/>
      <c r="ANU246" s="15"/>
      <c r="ANV246" s="15"/>
      <c r="ANW246" s="15"/>
      <c r="ANX246" s="15"/>
      <c r="ANY246" s="10"/>
      <c r="ANZ246" s="10"/>
      <c r="AOA246" s="21"/>
      <c r="AOB246" s="21"/>
      <c r="AOE246" s="21"/>
      <c r="AOF246" s="15"/>
      <c r="AOG246" s="15"/>
      <c r="AOH246" s="15"/>
      <c r="AOI246" s="15"/>
      <c r="AOJ246" s="15"/>
      <c r="AOK246" s="15"/>
      <c r="AOL246" s="15"/>
      <c r="AOM246" s="15"/>
      <c r="AON246" s="15"/>
      <c r="AOO246" s="15"/>
      <c r="AOP246" s="10"/>
      <c r="AOQ246" s="10"/>
      <c r="AOR246" s="21"/>
      <c r="AOS246" s="21"/>
      <c r="AOV246" s="21"/>
      <c r="AOW246" s="15"/>
      <c r="AOX246" s="15"/>
      <c r="AOY246" s="15"/>
      <c r="AOZ246" s="15"/>
      <c r="APA246" s="15"/>
      <c r="APB246" s="15"/>
      <c r="APC246" s="15"/>
      <c r="APD246" s="15"/>
      <c r="APE246" s="15"/>
      <c r="APF246" s="15"/>
      <c r="APG246" s="10"/>
      <c r="APH246" s="10"/>
      <c r="API246" s="21"/>
      <c r="APJ246" s="21"/>
      <c r="APM246" s="21"/>
      <c r="APN246" s="15"/>
      <c r="APO246" s="15"/>
      <c r="APP246" s="15"/>
      <c r="APQ246" s="15"/>
      <c r="APR246" s="15"/>
      <c r="APS246" s="15"/>
      <c r="APT246" s="15"/>
      <c r="APU246" s="15"/>
      <c r="APV246" s="15"/>
      <c r="APW246" s="15"/>
      <c r="APX246" s="10"/>
      <c r="APY246" s="10"/>
      <c r="APZ246" s="21"/>
      <c r="AQA246" s="21"/>
      <c r="AQD246" s="21"/>
      <c r="AQE246" s="15"/>
      <c r="AQF246" s="15"/>
      <c r="AQG246" s="15"/>
      <c r="AQH246" s="15"/>
      <c r="AQI246" s="15"/>
      <c r="AQJ246" s="15"/>
      <c r="AQK246" s="15"/>
      <c r="AQL246" s="15"/>
      <c r="AQM246" s="15"/>
      <c r="AQN246" s="15"/>
      <c r="AQO246" s="10"/>
      <c r="AQP246" s="10"/>
      <c r="AQQ246" s="21"/>
      <c r="AQR246" s="21"/>
      <c r="AQU246" s="21"/>
      <c r="AQV246" s="15"/>
      <c r="AQW246" s="15"/>
      <c r="AQX246" s="15"/>
      <c r="AQY246" s="15"/>
      <c r="AQZ246" s="15"/>
      <c r="ARA246" s="15"/>
      <c r="ARB246" s="15"/>
      <c r="ARC246" s="15"/>
      <c r="ARD246" s="15"/>
      <c r="ARE246" s="15"/>
      <c r="ARF246" s="10"/>
      <c r="ARG246" s="10"/>
      <c r="ARH246" s="21"/>
      <c r="ARI246" s="21"/>
      <c r="ARL246" s="21"/>
      <c r="ARM246" s="15"/>
      <c r="ARN246" s="15"/>
      <c r="ARO246" s="15"/>
      <c r="ARP246" s="15"/>
      <c r="ARQ246" s="15"/>
      <c r="ARR246" s="15"/>
      <c r="ARS246" s="15"/>
      <c r="ART246" s="15"/>
      <c r="ARU246" s="15"/>
      <c r="ARV246" s="15"/>
      <c r="ARW246" s="10"/>
      <c r="ARX246" s="10"/>
      <c r="ARY246" s="21"/>
      <c r="ARZ246" s="21"/>
      <c r="ASC246" s="21"/>
      <c r="ASD246" s="15"/>
      <c r="ASE246" s="15"/>
      <c r="ASF246" s="15"/>
      <c r="ASG246" s="15"/>
      <c r="ASH246" s="15"/>
      <c r="ASI246" s="15"/>
      <c r="ASJ246" s="15"/>
      <c r="ASK246" s="15"/>
      <c r="ASL246" s="15"/>
      <c r="ASM246" s="15"/>
      <c r="ASN246" s="10"/>
      <c r="ASO246" s="10"/>
      <c r="ASP246" s="21"/>
      <c r="ASQ246" s="21"/>
      <c r="AST246" s="21"/>
      <c r="ASU246" s="15"/>
      <c r="ASV246" s="15"/>
      <c r="ASW246" s="15"/>
      <c r="ASX246" s="15"/>
      <c r="ASY246" s="15"/>
      <c r="ASZ246" s="15"/>
      <c r="ATA246" s="15"/>
      <c r="ATB246" s="15"/>
      <c r="ATC246" s="15"/>
      <c r="ATD246" s="15"/>
      <c r="ATE246" s="10"/>
      <c r="ATF246" s="10"/>
      <c r="ATG246" s="21"/>
      <c r="ATH246" s="21"/>
      <c r="ATK246" s="21"/>
      <c r="ATL246" s="15"/>
      <c r="ATM246" s="15"/>
      <c r="ATN246" s="15"/>
      <c r="ATO246" s="15"/>
      <c r="ATP246" s="15"/>
      <c r="ATQ246" s="15"/>
      <c r="ATR246" s="15"/>
      <c r="ATS246" s="15"/>
      <c r="ATT246" s="15"/>
      <c r="ATU246" s="15"/>
      <c r="ATV246" s="10"/>
      <c r="ATW246" s="10"/>
      <c r="ATX246" s="21"/>
      <c r="ATY246" s="21"/>
      <c r="AUB246" s="21"/>
      <c r="AUC246" s="15"/>
      <c r="AUD246" s="15"/>
      <c r="AUE246" s="15"/>
      <c r="AUF246" s="15"/>
      <c r="AUG246" s="15"/>
      <c r="AUH246" s="15"/>
      <c r="AUI246" s="15"/>
      <c r="AUJ246" s="15"/>
      <c r="AUK246" s="15"/>
      <c r="AUL246" s="15"/>
      <c r="AUM246" s="10"/>
      <c r="AUN246" s="10"/>
      <c r="AUO246" s="21"/>
      <c r="AUP246" s="21"/>
      <c r="AUS246" s="21"/>
      <c r="AUT246" s="15"/>
      <c r="AUU246" s="15"/>
      <c r="AUV246" s="15"/>
      <c r="AUW246" s="15"/>
      <c r="AUX246" s="15"/>
      <c r="AUY246" s="15"/>
      <c r="AUZ246" s="15"/>
      <c r="AVA246" s="15"/>
      <c r="AVB246" s="15"/>
      <c r="AVC246" s="15"/>
      <c r="AVD246" s="10"/>
      <c r="AVE246" s="10"/>
      <c r="AVF246" s="21"/>
      <c r="AVG246" s="21"/>
      <c r="AVJ246" s="21"/>
      <c r="AVK246" s="15"/>
      <c r="AVL246" s="15"/>
      <c r="AVM246" s="15"/>
      <c r="AVN246" s="15"/>
      <c r="AVO246" s="15"/>
      <c r="AVP246" s="15"/>
      <c r="AVQ246" s="15"/>
      <c r="AVR246" s="15"/>
      <c r="AVS246" s="15"/>
      <c r="AVT246" s="15"/>
      <c r="AVU246" s="10"/>
      <c r="AVV246" s="10"/>
      <c r="AVW246" s="21"/>
      <c r="AVX246" s="21"/>
      <c r="AWA246" s="21"/>
      <c r="AWB246" s="15"/>
      <c r="AWC246" s="15"/>
      <c r="AWD246" s="15"/>
      <c r="AWE246" s="15"/>
      <c r="AWF246" s="15"/>
      <c r="AWG246" s="15"/>
      <c r="AWH246" s="15"/>
      <c r="AWI246" s="15"/>
      <c r="AWJ246" s="15"/>
      <c r="AWK246" s="15"/>
      <c r="AWL246" s="10"/>
      <c r="AWM246" s="10"/>
      <c r="AWN246" s="21"/>
      <c r="AWO246" s="21"/>
      <c r="AWR246" s="21"/>
      <c r="AWS246" s="15"/>
      <c r="AWT246" s="15"/>
      <c r="AWU246" s="15"/>
      <c r="AWV246" s="15"/>
      <c r="AWW246" s="15"/>
      <c r="AWX246" s="15"/>
      <c r="AWY246" s="15"/>
      <c r="AWZ246" s="15"/>
      <c r="AXA246" s="15"/>
      <c r="AXB246" s="15"/>
      <c r="AXC246" s="10"/>
      <c r="AXD246" s="10"/>
      <c r="AXE246" s="21"/>
      <c r="AXF246" s="21"/>
      <c r="AXI246" s="21"/>
      <c r="AXJ246" s="15"/>
      <c r="AXK246" s="15"/>
      <c r="AXL246" s="15"/>
      <c r="AXM246" s="15"/>
      <c r="AXN246" s="15"/>
      <c r="AXO246" s="15"/>
      <c r="AXP246" s="15"/>
      <c r="AXQ246" s="15"/>
      <c r="AXR246" s="15"/>
      <c r="AXS246" s="15"/>
      <c r="AXT246" s="10"/>
      <c r="AXU246" s="10"/>
      <c r="AXV246" s="21"/>
      <c r="AXW246" s="21"/>
      <c r="AXZ246" s="21"/>
      <c r="AYA246" s="15"/>
      <c r="AYB246" s="15"/>
      <c r="AYC246" s="15"/>
      <c r="AYD246" s="15"/>
      <c r="AYE246" s="15"/>
      <c r="AYF246" s="15"/>
      <c r="AYG246" s="15"/>
      <c r="AYH246" s="15"/>
      <c r="AYI246" s="15"/>
      <c r="AYJ246" s="15"/>
      <c r="AYK246" s="10"/>
      <c r="AYL246" s="10"/>
      <c r="AYM246" s="21"/>
      <c r="AYN246" s="21"/>
      <c r="AYQ246" s="21"/>
      <c r="AYR246" s="15"/>
      <c r="AYS246" s="15"/>
      <c r="AYT246" s="15"/>
      <c r="AYU246" s="15"/>
      <c r="AYV246" s="15"/>
      <c r="AYW246" s="15"/>
      <c r="AYX246" s="15"/>
      <c r="AYY246" s="15"/>
      <c r="AYZ246" s="15"/>
      <c r="AZA246" s="15"/>
      <c r="AZB246" s="10"/>
      <c r="AZC246" s="10"/>
      <c r="AZD246" s="21"/>
      <c r="AZE246" s="21"/>
      <c r="AZH246" s="21"/>
      <c r="AZI246" s="15"/>
      <c r="AZJ246" s="15"/>
      <c r="AZK246" s="15"/>
      <c r="AZL246" s="15"/>
      <c r="AZM246" s="15"/>
      <c r="AZN246" s="15"/>
      <c r="AZO246" s="15"/>
      <c r="AZP246" s="15"/>
      <c r="AZQ246" s="15"/>
      <c r="AZR246" s="15"/>
      <c r="AZS246" s="10"/>
      <c r="AZT246" s="10"/>
      <c r="AZU246" s="21"/>
      <c r="AZV246" s="21"/>
      <c r="AZY246" s="21"/>
      <c r="AZZ246" s="15"/>
      <c r="BAA246" s="15"/>
      <c r="BAB246" s="15"/>
      <c r="BAC246" s="15"/>
      <c r="BAD246" s="15"/>
      <c r="BAE246" s="15"/>
      <c r="BAF246" s="15"/>
      <c r="BAG246" s="15"/>
      <c r="BAH246" s="15"/>
      <c r="BAI246" s="15"/>
      <c r="BAJ246" s="10"/>
      <c r="BAK246" s="10"/>
      <c r="BAL246" s="21"/>
      <c r="BAM246" s="21"/>
      <c r="BAP246" s="21"/>
      <c r="BAQ246" s="15"/>
      <c r="BAR246" s="15"/>
      <c r="BAS246" s="15"/>
      <c r="BAT246" s="15"/>
      <c r="BAU246" s="15"/>
      <c r="BAV246" s="15"/>
      <c r="BAW246" s="15"/>
      <c r="BAX246" s="15"/>
      <c r="BAY246" s="15"/>
      <c r="BAZ246" s="15"/>
      <c r="BBA246" s="10"/>
      <c r="BBB246" s="10"/>
      <c r="BBC246" s="21"/>
      <c r="BBD246" s="21"/>
      <c r="BBG246" s="21"/>
      <c r="BBH246" s="15"/>
      <c r="BBI246" s="15"/>
      <c r="BBJ246" s="15"/>
      <c r="BBK246" s="15"/>
      <c r="BBL246" s="15"/>
      <c r="BBM246" s="15"/>
      <c r="BBN246" s="15"/>
      <c r="BBO246" s="15"/>
      <c r="BBP246" s="15"/>
      <c r="BBQ246" s="15"/>
      <c r="BBR246" s="10"/>
      <c r="BBS246" s="10"/>
      <c r="BBT246" s="21"/>
      <c r="BBU246" s="21"/>
      <c r="BBX246" s="21"/>
      <c r="BBY246" s="15"/>
      <c r="BBZ246" s="15"/>
      <c r="BCA246" s="15"/>
      <c r="BCB246" s="15"/>
      <c r="BCC246" s="15"/>
      <c r="BCD246" s="15"/>
      <c r="BCE246" s="15"/>
      <c r="BCF246" s="15"/>
      <c r="BCG246" s="15"/>
      <c r="BCH246" s="15"/>
      <c r="BCI246" s="10"/>
      <c r="BCJ246" s="10"/>
      <c r="BCK246" s="21"/>
      <c r="BCL246" s="21"/>
      <c r="BCO246" s="21"/>
      <c r="BCP246" s="15"/>
      <c r="BCQ246" s="15"/>
      <c r="BCR246" s="15"/>
      <c r="BCS246" s="15"/>
      <c r="BCT246" s="15"/>
      <c r="BCU246" s="15"/>
      <c r="BCV246" s="15"/>
      <c r="BCW246" s="15"/>
      <c r="BCX246" s="15"/>
      <c r="BCY246" s="15"/>
      <c r="BCZ246" s="10"/>
      <c r="BDA246" s="10"/>
      <c r="BDB246" s="21"/>
      <c r="BDC246" s="21"/>
      <c r="BDF246" s="21"/>
      <c r="BDG246" s="15"/>
      <c r="BDH246" s="15"/>
      <c r="BDI246" s="15"/>
      <c r="BDJ246" s="15"/>
      <c r="BDK246" s="15"/>
      <c r="BDL246" s="15"/>
      <c r="BDM246" s="15"/>
      <c r="BDN246" s="15"/>
      <c r="BDO246" s="15"/>
      <c r="BDP246" s="15"/>
      <c r="BDQ246" s="10"/>
      <c r="BDR246" s="10"/>
      <c r="BDS246" s="21"/>
      <c r="BDT246" s="21"/>
      <c r="BDW246" s="21"/>
      <c r="BDX246" s="15"/>
      <c r="BDY246" s="15"/>
      <c r="BDZ246" s="15"/>
      <c r="BEA246" s="15"/>
      <c r="BEB246" s="15"/>
      <c r="BEC246" s="15"/>
      <c r="BED246" s="15"/>
      <c r="BEE246" s="15"/>
      <c r="BEF246" s="15"/>
      <c r="BEG246" s="15"/>
      <c r="BEH246" s="10"/>
      <c r="BEI246" s="10"/>
      <c r="BEJ246" s="21"/>
      <c r="BEK246" s="21"/>
      <c r="BEN246" s="21"/>
      <c r="BEO246" s="15"/>
      <c r="BEP246" s="15"/>
      <c r="BEQ246" s="15"/>
      <c r="BER246" s="15"/>
      <c r="BES246" s="15"/>
      <c r="BET246" s="15"/>
      <c r="BEU246" s="15"/>
      <c r="BEV246" s="15"/>
      <c r="BEW246" s="15"/>
      <c r="BEX246" s="15"/>
      <c r="BEY246" s="10"/>
      <c r="BEZ246" s="10"/>
      <c r="BFA246" s="21"/>
      <c r="BFB246" s="21"/>
      <c r="BFE246" s="21"/>
      <c r="BFF246" s="15"/>
      <c r="BFG246" s="15"/>
      <c r="BFH246" s="15"/>
      <c r="BFI246" s="15"/>
      <c r="BFJ246" s="15"/>
      <c r="BFK246" s="15"/>
      <c r="BFL246" s="15"/>
      <c r="BFM246" s="15"/>
      <c r="BFN246" s="15"/>
      <c r="BFO246" s="15"/>
      <c r="BFP246" s="10"/>
      <c r="BFQ246" s="10"/>
      <c r="BFR246" s="21"/>
      <c r="BFS246" s="21"/>
      <c r="BFV246" s="21"/>
      <c r="BFW246" s="15"/>
      <c r="BFX246" s="15"/>
      <c r="BFY246" s="15"/>
      <c r="BFZ246" s="15"/>
      <c r="BGA246" s="15"/>
      <c r="BGB246" s="15"/>
      <c r="BGC246" s="15"/>
      <c r="BGD246" s="15"/>
      <c r="BGE246" s="15"/>
      <c r="BGF246" s="15"/>
      <c r="BGG246" s="10"/>
      <c r="BGH246" s="10"/>
      <c r="BGI246" s="21"/>
      <c r="BGJ246" s="21"/>
      <c r="BGM246" s="21"/>
      <c r="BGN246" s="15"/>
      <c r="BGO246" s="15"/>
      <c r="BGP246" s="15"/>
      <c r="BGQ246" s="15"/>
      <c r="BGR246" s="15"/>
      <c r="BGS246" s="15"/>
      <c r="BGT246" s="15"/>
      <c r="BGU246" s="15"/>
      <c r="BGV246" s="15"/>
      <c r="BGW246" s="15"/>
      <c r="BGX246" s="10"/>
      <c r="BGY246" s="10"/>
      <c r="BGZ246" s="21"/>
      <c r="BHA246" s="21"/>
      <c r="BHD246" s="21"/>
      <c r="BHE246" s="15"/>
      <c r="BHF246" s="15"/>
      <c r="BHG246" s="15"/>
      <c r="BHH246" s="15"/>
      <c r="BHI246" s="15"/>
      <c r="BHJ246" s="15"/>
      <c r="BHK246" s="15"/>
      <c r="BHL246" s="15"/>
      <c r="BHM246" s="15"/>
      <c r="BHN246" s="15"/>
      <c r="BHO246" s="10"/>
      <c r="BHP246" s="10"/>
      <c r="BHQ246" s="21"/>
      <c r="BHR246" s="21"/>
      <c r="BHU246" s="21"/>
      <c r="BHV246" s="15"/>
      <c r="BHW246" s="15"/>
      <c r="BHX246" s="15"/>
      <c r="BHY246" s="15"/>
      <c r="BHZ246" s="15"/>
      <c r="BIA246" s="15"/>
      <c r="BIB246" s="15"/>
      <c r="BIC246" s="15"/>
      <c r="BID246" s="15"/>
      <c r="BIE246" s="15"/>
      <c r="BIF246" s="10"/>
      <c r="BIG246" s="10"/>
      <c r="BIH246" s="21"/>
      <c r="BII246" s="21"/>
      <c r="BIL246" s="21"/>
      <c r="BIM246" s="15"/>
      <c r="BIN246" s="15"/>
      <c r="BIO246" s="15"/>
      <c r="BIP246" s="15"/>
      <c r="BIQ246" s="15"/>
      <c r="BIR246" s="15"/>
      <c r="BIS246" s="15"/>
      <c r="BIT246" s="15"/>
      <c r="BIU246" s="15"/>
      <c r="BIV246" s="15"/>
      <c r="BIW246" s="10"/>
      <c r="BIX246" s="10"/>
      <c r="BIY246" s="21"/>
      <c r="BIZ246" s="21"/>
      <c r="BJC246" s="21"/>
      <c r="BJD246" s="15"/>
      <c r="BJE246" s="15"/>
      <c r="BJF246" s="15"/>
      <c r="BJG246" s="15"/>
      <c r="BJH246" s="15"/>
      <c r="BJI246" s="15"/>
      <c r="BJJ246" s="15"/>
      <c r="BJK246" s="15"/>
      <c r="BJL246" s="15"/>
      <c r="BJM246" s="15"/>
      <c r="BJN246" s="10"/>
      <c r="BJO246" s="10"/>
      <c r="BJP246" s="21"/>
      <c r="BJQ246" s="21"/>
      <c r="BJT246" s="21"/>
      <c r="BJU246" s="15"/>
      <c r="BJV246" s="15"/>
      <c r="BJW246" s="15"/>
      <c r="BJX246" s="15"/>
      <c r="BJY246" s="15"/>
      <c r="BJZ246" s="15"/>
      <c r="BKA246" s="15"/>
      <c r="BKB246" s="15"/>
      <c r="BKC246" s="15"/>
      <c r="BKD246" s="15"/>
      <c r="BKE246" s="10"/>
      <c r="BKF246" s="10"/>
      <c r="BKG246" s="21"/>
      <c r="BKH246" s="21"/>
      <c r="BKK246" s="21"/>
      <c r="BKL246" s="15"/>
      <c r="BKM246" s="15"/>
      <c r="BKN246" s="15"/>
      <c r="BKO246" s="15"/>
      <c r="BKP246" s="15"/>
      <c r="BKQ246" s="15"/>
      <c r="BKR246" s="15"/>
      <c r="BKS246" s="15"/>
      <c r="BKT246" s="15"/>
      <c r="BKU246" s="15"/>
      <c r="BKV246" s="10"/>
      <c r="BKW246" s="10"/>
      <c r="BKX246" s="21"/>
      <c r="BKY246" s="21"/>
      <c r="BLB246" s="21"/>
      <c r="BLC246" s="15"/>
      <c r="BLD246" s="15"/>
      <c r="BLE246" s="15"/>
      <c r="BLF246" s="15"/>
      <c r="BLG246" s="15"/>
      <c r="BLH246" s="15"/>
      <c r="BLI246" s="15"/>
      <c r="BLJ246" s="15"/>
      <c r="BLK246" s="15"/>
      <c r="BLL246" s="15"/>
      <c r="BLM246" s="10"/>
      <c r="BLN246" s="10"/>
      <c r="BLO246" s="21"/>
      <c r="BLP246" s="21"/>
      <c r="BLS246" s="21"/>
      <c r="BLT246" s="15"/>
      <c r="BLU246" s="15"/>
      <c r="BLV246" s="15"/>
      <c r="BLW246" s="15"/>
      <c r="BLX246" s="15"/>
      <c r="BLY246" s="15"/>
      <c r="BLZ246" s="15"/>
      <c r="BMA246" s="15"/>
      <c r="BMB246" s="15"/>
      <c r="BMC246" s="15"/>
      <c r="BMD246" s="10"/>
      <c r="BME246" s="10"/>
      <c r="BMF246" s="21"/>
      <c r="BMG246" s="21"/>
      <c r="BMJ246" s="21"/>
      <c r="BMK246" s="15"/>
      <c r="BML246" s="15"/>
      <c r="BMM246" s="15"/>
      <c r="BMN246" s="15"/>
      <c r="BMO246" s="15"/>
      <c r="BMP246" s="15"/>
      <c r="BMQ246" s="15"/>
      <c r="BMR246" s="15"/>
      <c r="BMS246" s="15"/>
      <c r="BMT246" s="15"/>
      <c r="BMU246" s="10"/>
      <c r="BMV246" s="10"/>
      <c r="BMW246" s="21"/>
      <c r="BMX246" s="21"/>
      <c r="BNA246" s="21"/>
      <c r="BNB246" s="15"/>
      <c r="BNC246" s="15"/>
      <c r="BND246" s="15"/>
      <c r="BNE246" s="15"/>
      <c r="BNF246" s="15"/>
      <c r="BNG246" s="15"/>
      <c r="BNH246" s="15"/>
      <c r="BNI246" s="15"/>
      <c r="BNJ246" s="15"/>
      <c r="BNK246" s="15"/>
      <c r="BNL246" s="10"/>
      <c r="BNM246" s="10"/>
      <c r="BNN246" s="21"/>
      <c r="BNO246" s="21"/>
      <c r="BNR246" s="21"/>
      <c r="BNS246" s="15"/>
      <c r="BNT246" s="15"/>
      <c r="BNU246" s="15"/>
      <c r="BNV246" s="15"/>
      <c r="BNW246" s="15"/>
      <c r="BNX246" s="15"/>
      <c r="BNY246" s="15"/>
      <c r="BNZ246" s="15"/>
      <c r="BOA246" s="15"/>
      <c r="BOB246" s="15"/>
      <c r="BOC246" s="10"/>
      <c r="BOD246" s="10"/>
      <c r="BOE246" s="21"/>
      <c r="BOF246" s="21"/>
      <c r="BOI246" s="21"/>
      <c r="BOJ246" s="15"/>
      <c r="BOK246" s="15"/>
      <c r="BOL246" s="15"/>
      <c r="BOM246" s="15"/>
      <c r="BON246" s="15"/>
      <c r="BOO246" s="15"/>
      <c r="BOP246" s="15"/>
      <c r="BOQ246" s="15"/>
      <c r="BOR246" s="15"/>
      <c r="BOS246" s="15"/>
      <c r="BOT246" s="10"/>
      <c r="BOU246" s="10"/>
      <c r="BOV246" s="21"/>
      <c r="BOW246" s="21"/>
      <c r="BOZ246" s="21"/>
      <c r="BPA246" s="15"/>
      <c r="BPB246" s="15"/>
      <c r="BPC246" s="15"/>
      <c r="BPD246" s="15"/>
      <c r="BPE246" s="15"/>
      <c r="BPF246" s="15"/>
      <c r="BPG246" s="15"/>
      <c r="BPH246" s="15"/>
      <c r="BPI246" s="15"/>
      <c r="BPJ246" s="15"/>
      <c r="BPK246" s="10"/>
      <c r="BPL246" s="10"/>
      <c r="BPM246" s="21"/>
      <c r="BPN246" s="21"/>
      <c r="BPQ246" s="21"/>
      <c r="BPR246" s="15"/>
      <c r="BPS246" s="15"/>
      <c r="BPT246" s="15"/>
      <c r="BPU246" s="15"/>
      <c r="BPV246" s="15"/>
      <c r="BPW246" s="15"/>
      <c r="BPX246" s="15"/>
      <c r="BPY246" s="15"/>
      <c r="BPZ246" s="15"/>
      <c r="BQA246" s="15"/>
      <c r="BQB246" s="10"/>
      <c r="BQC246" s="10"/>
      <c r="BQD246" s="21"/>
      <c r="BQE246" s="21"/>
      <c r="BQH246" s="21"/>
      <c r="BQI246" s="15"/>
      <c r="BQJ246" s="15"/>
      <c r="BQK246" s="15"/>
      <c r="BQL246" s="15"/>
      <c r="BQM246" s="15"/>
      <c r="BQN246" s="15"/>
      <c r="BQO246" s="15"/>
      <c r="BQP246" s="15"/>
      <c r="BQQ246" s="15"/>
      <c r="BQR246" s="15"/>
      <c r="BQS246" s="10"/>
      <c r="BQT246" s="10"/>
      <c r="BQU246" s="21"/>
      <c r="BQV246" s="21"/>
      <c r="BQY246" s="21"/>
      <c r="BQZ246" s="15"/>
      <c r="BRA246" s="15"/>
      <c r="BRB246" s="15"/>
      <c r="BRC246" s="15"/>
      <c r="BRD246" s="15"/>
      <c r="BRE246" s="15"/>
      <c r="BRF246" s="15"/>
      <c r="BRG246" s="15"/>
      <c r="BRH246" s="15"/>
      <c r="BRI246" s="15"/>
      <c r="BRJ246" s="10"/>
      <c r="BRK246" s="10"/>
      <c r="BRL246" s="21"/>
      <c r="BRM246" s="21"/>
      <c r="BRP246" s="21"/>
      <c r="BRQ246" s="15"/>
      <c r="BRR246" s="15"/>
      <c r="BRS246" s="15"/>
      <c r="BRT246" s="15"/>
      <c r="BRU246" s="15"/>
      <c r="BRV246" s="15"/>
      <c r="BRW246" s="15"/>
      <c r="BRX246" s="15"/>
      <c r="BRY246" s="15"/>
      <c r="BRZ246" s="15"/>
      <c r="BSA246" s="10"/>
      <c r="BSB246" s="10"/>
      <c r="BSC246" s="21"/>
      <c r="BSD246" s="21"/>
      <c r="BSG246" s="21"/>
      <c r="BSH246" s="15"/>
      <c r="BSI246" s="15"/>
      <c r="BSJ246" s="15"/>
      <c r="BSK246" s="15"/>
      <c r="BSL246" s="15"/>
      <c r="BSM246" s="15"/>
      <c r="BSN246" s="15"/>
      <c r="BSO246" s="15"/>
      <c r="BSP246" s="15"/>
      <c r="BSQ246" s="15"/>
      <c r="BSR246" s="10"/>
      <c r="BSS246" s="10"/>
      <c r="BST246" s="21"/>
      <c r="BSU246" s="21"/>
      <c r="BSX246" s="21"/>
      <c r="BSY246" s="15"/>
      <c r="BSZ246" s="15"/>
      <c r="BTA246" s="15"/>
      <c r="BTB246" s="15"/>
      <c r="BTC246" s="15"/>
      <c r="BTD246" s="15"/>
      <c r="BTE246" s="15"/>
      <c r="BTF246" s="15"/>
      <c r="BTG246" s="15"/>
      <c r="BTH246" s="15"/>
      <c r="BTI246" s="10"/>
      <c r="BTJ246" s="10"/>
      <c r="BTK246" s="21"/>
      <c r="BTL246" s="21"/>
      <c r="BTO246" s="21"/>
      <c r="BTP246" s="15"/>
      <c r="BTQ246" s="15"/>
      <c r="BTR246" s="15"/>
      <c r="BTS246" s="15"/>
      <c r="BTT246" s="15"/>
      <c r="BTU246" s="15"/>
      <c r="BTV246" s="15"/>
      <c r="BTW246" s="15"/>
      <c r="BTX246" s="15"/>
      <c r="BTY246" s="15"/>
      <c r="BTZ246" s="10"/>
      <c r="BUA246" s="10"/>
      <c r="BUB246" s="21"/>
      <c r="BUC246" s="21"/>
      <c r="BUF246" s="21"/>
      <c r="BUG246" s="15"/>
      <c r="BUH246" s="15"/>
      <c r="BUI246" s="15"/>
      <c r="BUJ246" s="15"/>
      <c r="BUK246" s="15"/>
      <c r="BUL246" s="15"/>
      <c r="BUM246" s="15"/>
      <c r="BUN246" s="15"/>
      <c r="BUO246" s="15"/>
      <c r="BUP246" s="15"/>
      <c r="BUQ246" s="10"/>
      <c r="BUR246" s="10"/>
      <c r="BUS246" s="21"/>
      <c r="BUT246" s="21"/>
      <c r="BUW246" s="21"/>
      <c r="BUX246" s="15"/>
      <c r="BUY246" s="15"/>
      <c r="BUZ246" s="15"/>
      <c r="BVA246" s="15"/>
      <c r="BVB246" s="15"/>
      <c r="BVC246" s="15"/>
      <c r="BVD246" s="15"/>
      <c r="BVE246" s="15"/>
      <c r="BVF246" s="15"/>
      <c r="BVG246" s="15"/>
      <c r="BVH246" s="10"/>
      <c r="BVI246" s="10"/>
      <c r="BVJ246" s="21"/>
      <c r="BVK246" s="21"/>
      <c r="BVN246" s="21"/>
      <c r="BVO246" s="15"/>
      <c r="BVP246" s="15"/>
      <c r="BVQ246" s="15"/>
      <c r="BVR246" s="15"/>
      <c r="BVS246" s="15"/>
      <c r="BVT246" s="15"/>
      <c r="BVU246" s="15"/>
      <c r="BVV246" s="15"/>
      <c r="BVW246" s="15"/>
      <c r="BVX246" s="15"/>
      <c r="BVY246" s="10"/>
      <c r="BVZ246" s="10"/>
      <c r="BWA246" s="21"/>
      <c r="BWB246" s="21"/>
      <c r="BWE246" s="21"/>
      <c r="BWF246" s="15"/>
      <c r="BWG246" s="15"/>
      <c r="BWH246" s="15"/>
      <c r="BWI246" s="15"/>
      <c r="BWJ246" s="15"/>
      <c r="BWK246" s="15"/>
      <c r="BWL246" s="15"/>
      <c r="BWM246" s="15"/>
      <c r="BWN246" s="15"/>
      <c r="BWO246" s="15"/>
      <c r="BWP246" s="10"/>
      <c r="BWQ246" s="10"/>
      <c r="BWR246" s="21"/>
      <c r="BWS246" s="21"/>
      <c r="BWV246" s="21"/>
      <c r="BWW246" s="15"/>
      <c r="BWX246" s="15"/>
      <c r="BWY246" s="15"/>
      <c r="BWZ246" s="15"/>
      <c r="BXA246" s="15"/>
      <c r="BXB246" s="15"/>
      <c r="BXC246" s="15"/>
      <c r="BXD246" s="15"/>
      <c r="BXE246" s="15"/>
      <c r="BXF246" s="15"/>
      <c r="BXG246" s="10"/>
      <c r="BXH246" s="10"/>
      <c r="BXI246" s="21"/>
      <c r="BXJ246" s="21"/>
      <c r="BXM246" s="21"/>
      <c r="BXN246" s="15"/>
      <c r="BXO246" s="15"/>
      <c r="BXP246" s="15"/>
      <c r="BXQ246" s="15"/>
      <c r="BXR246" s="15"/>
      <c r="BXS246" s="15"/>
      <c r="BXT246" s="15"/>
      <c r="BXU246" s="15"/>
      <c r="BXV246" s="15"/>
      <c r="BXW246" s="15"/>
      <c r="BXX246" s="10"/>
      <c r="BXY246" s="10"/>
      <c r="BXZ246" s="21"/>
      <c r="BYA246" s="21"/>
      <c r="BYD246" s="21"/>
      <c r="BYE246" s="15"/>
      <c r="BYF246" s="15"/>
      <c r="BYG246" s="15"/>
      <c r="BYH246" s="15"/>
      <c r="BYI246" s="15"/>
      <c r="BYJ246" s="15"/>
      <c r="BYK246" s="15"/>
      <c r="BYL246" s="15"/>
      <c r="BYM246" s="15"/>
      <c r="BYN246" s="15"/>
      <c r="BYO246" s="10"/>
      <c r="BYP246" s="10"/>
      <c r="BYQ246" s="21"/>
      <c r="BYR246" s="21"/>
      <c r="BYU246" s="21"/>
      <c r="BYV246" s="15"/>
      <c r="BYW246" s="15"/>
      <c r="BYX246" s="15"/>
      <c r="BYY246" s="15"/>
      <c r="BYZ246" s="15"/>
      <c r="BZA246" s="15"/>
      <c r="BZB246" s="15"/>
      <c r="BZC246" s="15"/>
      <c r="BZD246" s="15"/>
      <c r="BZE246" s="15"/>
      <c r="BZF246" s="10"/>
      <c r="BZG246" s="10"/>
      <c r="BZH246" s="21"/>
      <c r="BZI246" s="21"/>
      <c r="BZL246" s="21"/>
      <c r="BZM246" s="15"/>
      <c r="BZN246" s="15"/>
      <c r="BZO246" s="15"/>
      <c r="BZP246" s="15"/>
      <c r="BZQ246" s="15"/>
      <c r="BZR246" s="15"/>
      <c r="BZS246" s="15"/>
      <c r="BZT246" s="15"/>
      <c r="BZU246" s="15"/>
      <c r="BZV246" s="15"/>
      <c r="BZW246" s="10"/>
      <c r="BZX246" s="10"/>
      <c r="BZY246" s="21"/>
      <c r="BZZ246" s="21"/>
      <c r="CAC246" s="21"/>
      <c r="CAD246" s="15"/>
      <c r="CAE246" s="15"/>
      <c r="CAF246" s="15"/>
      <c r="CAG246" s="15"/>
      <c r="CAH246" s="15"/>
      <c r="CAI246" s="15"/>
      <c r="CAJ246" s="15"/>
      <c r="CAK246" s="15"/>
      <c r="CAL246" s="15"/>
      <c r="CAM246" s="15"/>
      <c r="CAN246" s="10"/>
      <c r="CAO246" s="10"/>
      <c r="CAP246" s="21"/>
      <c r="CAQ246" s="21"/>
      <c r="CAT246" s="21"/>
      <c r="CAU246" s="15"/>
      <c r="CAV246" s="15"/>
      <c r="CAW246" s="15"/>
      <c r="CAX246" s="15"/>
      <c r="CAY246" s="15"/>
      <c r="CAZ246" s="15"/>
      <c r="CBA246" s="15"/>
      <c r="CBB246" s="15"/>
      <c r="CBC246" s="15"/>
      <c r="CBD246" s="15"/>
      <c r="CBE246" s="10"/>
      <c r="CBF246" s="10"/>
      <c r="CBG246" s="21"/>
      <c r="CBH246" s="21"/>
      <c r="CBK246" s="21"/>
      <c r="CBL246" s="15"/>
      <c r="CBM246" s="15"/>
      <c r="CBN246" s="15"/>
      <c r="CBO246" s="15"/>
      <c r="CBP246" s="15"/>
      <c r="CBQ246" s="15"/>
      <c r="CBR246" s="15"/>
      <c r="CBS246" s="15"/>
      <c r="CBT246" s="15"/>
      <c r="CBU246" s="15"/>
      <c r="CBV246" s="10"/>
      <c r="CBW246" s="10"/>
      <c r="CBX246" s="21"/>
      <c r="CBY246" s="21"/>
      <c r="CCB246" s="21"/>
      <c r="CCC246" s="15"/>
      <c r="CCD246" s="15"/>
      <c r="CCE246" s="15"/>
      <c r="CCF246" s="15"/>
      <c r="CCG246" s="15"/>
      <c r="CCH246" s="15"/>
      <c r="CCI246" s="15"/>
      <c r="CCJ246" s="15"/>
      <c r="CCK246" s="15"/>
      <c r="CCL246" s="15"/>
      <c r="CCM246" s="10"/>
      <c r="CCN246" s="10"/>
      <c r="CCO246" s="21"/>
      <c r="CCP246" s="21"/>
      <c r="CCS246" s="21"/>
      <c r="CCT246" s="15"/>
      <c r="CCU246" s="15"/>
      <c r="CCV246" s="15"/>
      <c r="CCW246" s="15"/>
      <c r="CCX246" s="15"/>
      <c r="CCY246" s="15"/>
      <c r="CCZ246" s="15"/>
      <c r="CDA246" s="15"/>
      <c r="CDB246" s="15"/>
      <c r="CDC246" s="15"/>
      <c r="CDD246" s="10"/>
      <c r="CDE246" s="10"/>
      <c r="CDF246" s="21"/>
      <c r="CDG246" s="21"/>
      <c r="CDJ246" s="21"/>
      <c r="CDK246" s="15"/>
      <c r="CDL246" s="15"/>
      <c r="CDM246" s="15"/>
      <c r="CDN246" s="15"/>
      <c r="CDO246" s="15"/>
      <c r="CDP246" s="15"/>
      <c r="CDQ246" s="15"/>
      <c r="CDR246" s="15"/>
      <c r="CDS246" s="15"/>
      <c r="CDT246" s="15"/>
      <c r="CDU246" s="10"/>
      <c r="CDV246" s="10"/>
      <c r="CDW246" s="21"/>
      <c r="CDX246" s="21"/>
      <c r="CEA246" s="21"/>
      <c r="CEB246" s="15"/>
      <c r="CEC246" s="15"/>
      <c r="CED246" s="15"/>
      <c r="CEE246" s="15"/>
      <c r="CEF246" s="15"/>
      <c r="CEG246" s="15"/>
      <c r="CEH246" s="15"/>
      <c r="CEI246" s="15"/>
      <c r="CEJ246" s="15"/>
      <c r="CEK246" s="15"/>
      <c r="CEL246" s="10"/>
      <c r="CEM246" s="10"/>
      <c r="CEN246" s="21"/>
      <c r="CEO246" s="21"/>
      <c r="CER246" s="21"/>
      <c r="CES246" s="15"/>
      <c r="CET246" s="15"/>
      <c r="CEU246" s="15"/>
      <c r="CEV246" s="15"/>
      <c r="CEW246" s="15"/>
      <c r="CEX246" s="15"/>
      <c r="CEY246" s="15"/>
      <c r="CEZ246" s="15"/>
      <c r="CFA246" s="15"/>
      <c r="CFB246" s="15"/>
      <c r="CFC246" s="10"/>
      <c r="CFD246" s="10"/>
      <c r="CFE246" s="21"/>
      <c r="CFF246" s="21"/>
      <c r="CFI246" s="21"/>
      <c r="CFJ246" s="15"/>
      <c r="CFK246" s="15"/>
      <c r="CFL246" s="15"/>
      <c r="CFM246" s="15"/>
      <c r="CFN246" s="15"/>
      <c r="CFO246" s="15"/>
      <c r="CFP246" s="15"/>
      <c r="CFQ246" s="15"/>
      <c r="CFR246" s="15"/>
      <c r="CFS246" s="15"/>
      <c r="CFT246" s="10"/>
      <c r="CFU246" s="10"/>
      <c r="CFV246" s="21"/>
      <c r="CFW246" s="21"/>
      <c r="CFZ246" s="21"/>
      <c r="CGA246" s="15"/>
      <c r="CGB246" s="15"/>
      <c r="CGC246" s="15"/>
      <c r="CGD246" s="15"/>
      <c r="CGE246" s="15"/>
      <c r="CGF246" s="15"/>
      <c r="CGG246" s="15"/>
      <c r="CGH246" s="15"/>
      <c r="CGI246" s="15"/>
      <c r="CGJ246" s="15"/>
      <c r="CGK246" s="10"/>
      <c r="CGL246" s="10"/>
      <c r="CGM246" s="21"/>
      <c r="CGN246" s="21"/>
      <c r="CGQ246" s="21"/>
      <c r="CGR246" s="15"/>
      <c r="CGS246" s="15"/>
      <c r="CGT246" s="15"/>
      <c r="CGU246" s="15"/>
      <c r="CGV246" s="15"/>
      <c r="CGW246" s="15"/>
      <c r="CGX246" s="15"/>
      <c r="CGY246" s="15"/>
      <c r="CGZ246" s="15"/>
      <c r="CHA246" s="15"/>
      <c r="CHB246" s="10"/>
      <c r="CHC246" s="10"/>
      <c r="CHD246" s="21"/>
      <c r="CHE246" s="21"/>
      <c r="CHH246" s="21"/>
      <c r="CHI246" s="15"/>
      <c r="CHJ246" s="15"/>
      <c r="CHK246" s="15"/>
      <c r="CHL246" s="15"/>
      <c r="CHM246" s="15"/>
      <c r="CHN246" s="15"/>
      <c r="CHO246" s="15"/>
      <c r="CHP246" s="15"/>
      <c r="CHQ246" s="15"/>
      <c r="CHR246" s="15"/>
      <c r="CHS246" s="10"/>
      <c r="CHT246" s="10"/>
      <c r="CHU246" s="21"/>
      <c r="CHV246" s="21"/>
      <c r="CHY246" s="21"/>
      <c r="CHZ246" s="15"/>
      <c r="CIA246" s="15"/>
      <c r="CIB246" s="15"/>
      <c r="CIC246" s="15"/>
      <c r="CID246" s="15"/>
      <c r="CIE246" s="15"/>
      <c r="CIF246" s="15"/>
      <c r="CIG246" s="15"/>
      <c r="CIH246" s="15"/>
      <c r="CII246" s="15"/>
      <c r="CIJ246" s="10"/>
      <c r="CIK246" s="10"/>
      <c r="CIL246" s="21"/>
      <c r="CIM246" s="21"/>
      <c r="CIP246" s="21"/>
      <c r="CIQ246" s="15"/>
      <c r="CIR246" s="15"/>
      <c r="CIS246" s="15"/>
      <c r="CIT246" s="15"/>
      <c r="CIU246" s="15"/>
      <c r="CIV246" s="15"/>
      <c r="CIW246" s="15"/>
      <c r="CIX246" s="15"/>
      <c r="CIY246" s="15"/>
      <c r="CIZ246" s="15"/>
      <c r="CJA246" s="10"/>
      <c r="CJB246" s="10"/>
      <c r="CJC246" s="21"/>
      <c r="CJD246" s="21"/>
      <c r="CJG246" s="21"/>
      <c r="CJH246" s="15"/>
      <c r="CJI246" s="15"/>
      <c r="CJJ246" s="15"/>
      <c r="CJK246" s="15"/>
      <c r="CJL246" s="15"/>
      <c r="CJM246" s="15"/>
      <c r="CJN246" s="15"/>
      <c r="CJO246" s="15"/>
      <c r="CJP246" s="15"/>
      <c r="CJQ246" s="15"/>
      <c r="CJR246" s="10"/>
      <c r="CJS246" s="10"/>
      <c r="CJT246" s="21"/>
      <c r="CJU246" s="21"/>
      <c r="CJX246" s="21"/>
      <c r="CJY246" s="15"/>
      <c r="CJZ246" s="15"/>
      <c r="CKA246" s="15"/>
      <c r="CKB246" s="15"/>
      <c r="CKC246" s="15"/>
      <c r="CKD246" s="15"/>
      <c r="CKE246" s="15"/>
      <c r="CKF246" s="15"/>
      <c r="CKG246" s="15"/>
      <c r="CKH246" s="15"/>
      <c r="CKI246" s="10"/>
      <c r="CKJ246" s="10"/>
      <c r="CKK246" s="21"/>
      <c r="CKL246" s="21"/>
      <c r="CKO246" s="21"/>
      <c r="CKP246" s="15"/>
      <c r="CKQ246" s="15"/>
      <c r="CKR246" s="15"/>
      <c r="CKS246" s="15"/>
      <c r="CKT246" s="15"/>
      <c r="CKU246" s="15"/>
      <c r="CKV246" s="15"/>
      <c r="CKW246" s="15"/>
      <c r="CKX246" s="15"/>
      <c r="CKY246" s="15"/>
      <c r="CKZ246" s="10"/>
      <c r="CLA246" s="10"/>
      <c r="CLB246" s="21"/>
      <c r="CLC246" s="21"/>
      <c r="CLF246" s="21"/>
      <c r="CLG246" s="15"/>
      <c r="CLH246" s="15"/>
      <c r="CLI246" s="15"/>
      <c r="CLJ246" s="15"/>
      <c r="CLK246" s="15"/>
      <c r="CLL246" s="15"/>
      <c r="CLM246" s="15"/>
      <c r="CLN246" s="15"/>
      <c r="CLO246" s="15"/>
      <c r="CLP246" s="15"/>
      <c r="CLQ246" s="10"/>
      <c r="CLR246" s="10"/>
      <c r="CLS246" s="21"/>
      <c r="CLT246" s="21"/>
      <c r="CLW246" s="21"/>
      <c r="CLX246" s="15"/>
      <c r="CLY246" s="15"/>
      <c r="CLZ246" s="15"/>
      <c r="CMA246" s="15"/>
      <c r="CMB246" s="15"/>
      <c r="CMC246" s="15"/>
      <c r="CMD246" s="15"/>
      <c r="CME246" s="15"/>
      <c r="CMF246" s="15"/>
      <c r="CMG246" s="15"/>
      <c r="CMH246" s="10"/>
      <c r="CMI246" s="10"/>
      <c r="CMJ246" s="21"/>
      <c r="CMK246" s="21"/>
      <c r="CMN246" s="21"/>
      <c r="CMO246" s="15"/>
      <c r="CMP246" s="15"/>
      <c r="CMQ246" s="15"/>
      <c r="CMR246" s="15"/>
      <c r="CMS246" s="15"/>
      <c r="CMT246" s="15"/>
      <c r="CMU246" s="15"/>
      <c r="CMV246" s="15"/>
      <c r="CMW246" s="15"/>
      <c r="CMX246" s="15"/>
      <c r="CMY246" s="10"/>
      <c r="CMZ246" s="10"/>
      <c r="CNA246" s="21"/>
      <c r="CNB246" s="21"/>
      <c r="CNE246" s="21"/>
      <c r="CNF246" s="15"/>
      <c r="CNG246" s="15"/>
      <c r="CNH246" s="15"/>
      <c r="CNI246" s="15"/>
      <c r="CNJ246" s="15"/>
      <c r="CNK246" s="15"/>
      <c r="CNL246" s="15"/>
      <c r="CNM246" s="15"/>
      <c r="CNN246" s="15"/>
      <c r="CNO246" s="15"/>
      <c r="CNP246" s="10"/>
      <c r="CNQ246" s="10"/>
      <c r="CNR246" s="21"/>
      <c r="CNS246" s="21"/>
      <c r="CNV246" s="21"/>
      <c r="CNW246" s="15"/>
      <c r="CNX246" s="15"/>
      <c r="CNY246" s="15"/>
      <c r="CNZ246" s="15"/>
      <c r="COA246" s="15"/>
      <c r="COB246" s="15"/>
      <c r="COC246" s="15"/>
      <c r="COD246" s="15"/>
      <c r="COE246" s="15"/>
      <c r="COF246" s="15"/>
      <c r="COG246" s="10"/>
      <c r="COH246" s="10"/>
      <c r="COI246" s="21"/>
      <c r="COJ246" s="21"/>
      <c r="COM246" s="21"/>
      <c r="CON246" s="15"/>
      <c r="COO246" s="15"/>
      <c r="COP246" s="15"/>
      <c r="COQ246" s="15"/>
      <c r="COR246" s="15"/>
      <c r="COS246" s="15"/>
      <c r="COT246" s="15"/>
      <c r="COU246" s="15"/>
      <c r="COV246" s="15"/>
      <c r="COW246" s="15"/>
      <c r="COX246" s="10"/>
      <c r="COY246" s="10"/>
      <c r="COZ246" s="21"/>
      <c r="CPA246" s="21"/>
      <c r="CPD246" s="21"/>
      <c r="CPE246" s="15"/>
      <c r="CPF246" s="15"/>
      <c r="CPG246" s="15"/>
      <c r="CPH246" s="15"/>
      <c r="CPI246" s="15"/>
      <c r="CPJ246" s="15"/>
      <c r="CPK246" s="15"/>
      <c r="CPL246" s="15"/>
      <c r="CPM246" s="15"/>
      <c r="CPN246" s="15"/>
      <c r="CPO246" s="10"/>
      <c r="CPP246" s="10"/>
      <c r="CPQ246" s="21"/>
      <c r="CPR246" s="21"/>
      <c r="CPU246" s="21"/>
      <c r="CPV246" s="15"/>
      <c r="CPW246" s="15"/>
      <c r="CPX246" s="15"/>
      <c r="CPY246" s="15"/>
      <c r="CPZ246" s="15"/>
      <c r="CQA246" s="15"/>
      <c r="CQB246" s="15"/>
      <c r="CQC246" s="15"/>
      <c r="CQD246" s="15"/>
      <c r="CQE246" s="15"/>
      <c r="CQF246" s="10"/>
      <c r="CQG246" s="10"/>
      <c r="CQH246" s="21"/>
      <c r="CQI246" s="21"/>
      <c r="CQL246" s="21"/>
      <c r="CQM246" s="15"/>
      <c r="CQN246" s="15"/>
      <c r="CQO246" s="15"/>
      <c r="CQP246" s="15"/>
      <c r="CQQ246" s="15"/>
      <c r="CQR246" s="15"/>
      <c r="CQS246" s="15"/>
      <c r="CQT246" s="15"/>
      <c r="CQU246" s="15"/>
      <c r="CQV246" s="15"/>
      <c r="CQW246" s="10"/>
      <c r="CQX246" s="10"/>
      <c r="CQY246" s="21"/>
      <c r="CQZ246" s="21"/>
      <c r="CRC246" s="21"/>
      <c r="CRD246" s="15"/>
      <c r="CRE246" s="15"/>
      <c r="CRF246" s="15"/>
      <c r="CRG246" s="15"/>
      <c r="CRH246" s="15"/>
      <c r="CRI246" s="15"/>
      <c r="CRJ246" s="15"/>
      <c r="CRK246" s="15"/>
      <c r="CRL246" s="15"/>
      <c r="CRM246" s="15"/>
      <c r="CRN246" s="10"/>
      <c r="CRO246" s="10"/>
      <c r="CRP246" s="21"/>
      <c r="CRQ246" s="21"/>
      <c r="CRT246" s="21"/>
      <c r="CRU246" s="15"/>
      <c r="CRV246" s="15"/>
      <c r="CRW246" s="15"/>
      <c r="CRX246" s="15"/>
      <c r="CRY246" s="15"/>
      <c r="CRZ246" s="15"/>
      <c r="CSA246" s="15"/>
      <c r="CSB246" s="15"/>
      <c r="CSC246" s="15"/>
      <c r="CSD246" s="15"/>
      <c r="CSE246" s="10"/>
      <c r="CSF246" s="10"/>
      <c r="CSG246" s="21"/>
      <c r="CSH246" s="21"/>
      <c r="CSK246" s="21"/>
      <c r="CSL246" s="15"/>
      <c r="CSM246" s="15"/>
      <c r="CSN246" s="15"/>
      <c r="CSO246" s="15"/>
      <c r="CSP246" s="15"/>
      <c r="CSQ246" s="15"/>
      <c r="CSR246" s="15"/>
      <c r="CSS246" s="15"/>
      <c r="CST246" s="15"/>
      <c r="CSU246" s="15"/>
      <c r="CSV246" s="10"/>
      <c r="CSW246" s="10"/>
      <c r="CSX246" s="21"/>
      <c r="CSY246" s="21"/>
      <c r="CTB246" s="21"/>
      <c r="CTC246" s="15"/>
      <c r="CTD246" s="15"/>
      <c r="CTE246" s="15"/>
      <c r="CTF246" s="15"/>
      <c r="CTG246" s="15"/>
      <c r="CTH246" s="15"/>
      <c r="CTI246" s="15"/>
      <c r="CTJ246" s="15"/>
      <c r="CTK246" s="15"/>
      <c r="CTL246" s="15"/>
      <c r="CTM246" s="10"/>
      <c r="CTN246" s="10"/>
      <c r="CTO246" s="21"/>
      <c r="CTP246" s="21"/>
      <c r="CTS246" s="21"/>
      <c r="CTT246" s="15"/>
      <c r="CTU246" s="15"/>
      <c r="CTV246" s="15"/>
      <c r="CTW246" s="15"/>
      <c r="CTX246" s="15"/>
      <c r="CTY246" s="15"/>
      <c r="CTZ246" s="15"/>
      <c r="CUA246" s="15"/>
      <c r="CUB246" s="15"/>
      <c r="CUC246" s="15"/>
      <c r="CUD246" s="10"/>
      <c r="CUE246" s="10"/>
      <c r="CUF246" s="21"/>
      <c r="CUG246" s="21"/>
      <c r="CUJ246" s="21"/>
      <c r="CUK246" s="15"/>
      <c r="CUL246" s="15"/>
      <c r="CUM246" s="15"/>
      <c r="CUN246" s="15"/>
      <c r="CUO246" s="15"/>
      <c r="CUP246" s="15"/>
      <c r="CUQ246" s="15"/>
      <c r="CUR246" s="15"/>
      <c r="CUS246" s="15"/>
      <c r="CUT246" s="15"/>
      <c r="CUU246" s="10"/>
      <c r="CUV246" s="10"/>
      <c r="CUW246" s="21"/>
      <c r="CUX246" s="21"/>
      <c r="CVA246" s="21"/>
      <c r="CVB246" s="15"/>
      <c r="CVC246" s="15"/>
      <c r="CVD246" s="15"/>
      <c r="CVE246" s="15"/>
      <c r="CVF246" s="15"/>
      <c r="CVG246" s="15"/>
      <c r="CVH246" s="15"/>
      <c r="CVI246" s="15"/>
      <c r="CVJ246" s="15"/>
      <c r="CVK246" s="15"/>
      <c r="CVL246" s="10"/>
      <c r="CVM246" s="10"/>
      <c r="CVN246" s="21"/>
      <c r="CVO246" s="21"/>
      <c r="CVR246" s="21"/>
      <c r="CVS246" s="15"/>
      <c r="CVT246" s="15"/>
      <c r="CVU246" s="15"/>
      <c r="CVV246" s="15"/>
      <c r="CVW246" s="15"/>
      <c r="CVX246" s="15"/>
      <c r="CVY246" s="15"/>
      <c r="CVZ246" s="15"/>
      <c r="CWA246" s="15"/>
      <c r="CWB246" s="15"/>
      <c r="CWC246" s="10"/>
      <c r="CWD246" s="10"/>
      <c r="CWE246" s="21"/>
      <c r="CWF246" s="21"/>
      <c r="CWI246" s="21"/>
      <c r="CWJ246" s="15"/>
      <c r="CWK246" s="15"/>
      <c r="CWL246" s="15"/>
      <c r="CWM246" s="15"/>
      <c r="CWN246" s="15"/>
      <c r="CWO246" s="15"/>
      <c r="CWP246" s="15"/>
      <c r="CWQ246" s="15"/>
      <c r="CWR246" s="15"/>
      <c r="CWS246" s="15"/>
      <c r="CWT246" s="10"/>
      <c r="CWU246" s="10"/>
      <c r="CWV246" s="21"/>
      <c r="CWW246" s="21"/>
      <c r="CWZ246" s="21"/>
      <c r="CXA246" s="15"/>
      <c r="CXB246" s="15"/>
      <c r="CXC246" s="15"/>
      <c r="CXD246" s="15"/>
      <c r="CXE246" s="15"/>
      <c r="CXF246" s="15"/>
      <c r="CXG246" s="15"/>
      <c r="CXH246" s="15"/>
      <c r="CXI246" s="15"/>
      <c r="CXJ246" s="15"/>
      <c r="CXK246" s="10"/>
      <c r="CXL246" s="10"/>
      <c r="CXM246" s="21"/>
      <c r="CXN246" s="21"/>
      <c r="CXQ246" s="21"/>
      <c r="CXR246" s="15"/>
      <c r="CXS246" s="15"/>
      <c r="CXT246" s="15"/>
      <c r="CXU246" s="15"/>
      <c r="CXV246" s="15"/>
      <c r="CXW246" s="15"/>
      <c r="CXX246" s="15"/>
      <c r="CXY246" s="15"/>
      <c r="CXZ246" s="15"/>
      <c r="CYA246" s="15"/>
      <c r="CYB246" s="10"/>
      <c r="CYC246" s="10"/>
      <c r="CYD246" s="21"/>
      <c r="CYE246" s="21"/>
      <c r="CYH246" s="21"/>
      <c r="CYI246" s="15"/>
      <c r="CYJ246" s="15"/>
      <c r="CYK246" s="15"/>
      <c r="CYL246" s="15"/>
      <c r="CYM246" s="15"/>
      <c r="CYN246" s="15"/>
      <c r="CYO246" s="15"/>
      <c r="CYP246" s="15"/>
      <c r="CYQ246" s="15"/>
      <c r="CYR246" s="15"/>
      <c r="CYS246" s="10"/>
      <c r="CYT246" s="10"/>
      <c r="CYU246" s="21"/>
      <c r="CYV246" s="21"/>
      <c r="CYY246" s="21"/>
      <c r="CYZ246" s="15"/>
      <c r="CZA246" s="15"/>
      <c r="CZB246" s="15"/>
      <c r="CZC246" s="15"/>
      <c r="CZD246" s="15"/>
      <c r="CZE246" s="15"/>
      <c r="CZF246" s="15"/>
      <c r="CZG246" s="15"/>
      <c r="CZH246" s="15"/>
      <c r="CZI246" s="15"/>
      <c r="CZJ246" s="10"/>
      <c r="CZK246" s="10"/>
      <c r="CZL246" s="21"/>
      <c r="CZM246" s="21"/>
      <c r="CZP246" s="21"/>
      <c r="CZQ246" s="15"/>
      <c r="CZR246" s="15"/>
      <c r="CZS246" s="15"/>
      <c r="CZT246" s="15"/>
      <c r="CZU246" s="15"/>
      <c r="CZV246" s="15"/>
      <c r="CZW246" s="15"/>
      <c r="CZX246" s="15"/>
      <c r="CZY246" s="15"/>
      <c r="CZZ246" s="15"/>
      <c r="DAA246" s="10"/>
      <c r="DAB246" s="10"/>
      <c r="DAC246" s="21"/>
      <c r="DAD246" s="21"/>
      <c r="DAG246" s="21"/>
      <c r="DAH246" s="15"/>
      <c r="DAI246" s="15"/>
      <c r="DAJ246" s="15"/>
      <c r="DAK246" s="15"/>
      <c r="DAL246" s="15"/>
      <c r="DAM246" s="15"/>
      <c r="DAN246" s="15"/>
      <c r="DAO246" s="15"/>
      <c r="DAP246" s="15"/>
      <c r="DAQ246" s="15"/>
      <c r="DAR246" s="10"/>
      <c r="DAS246" s="10"/>
      <c r="DAT246" s="21"/>
      <c r="DAU246" s="21"/>
      <c r="DAX246" s="21"/>
      <c r="DAY246" s="15"/>
      <c r="DAZ246" s="15"/>
      <c r="DBA246" s="15"/>
      <c r="DBB246" s="15"/>
      <c r="DBC246" s="15"/>
      <c r="DBD246" s="15"/>
      <c r="DBE246" s="15"/>
      <c r="DBF246" s="15"/>
      <c r="DBG246" s="15"/>
      <c r="DBH246" s="15"/>
      <c r="DBI246" s="10"/>
      <c r="DBJ246" s="10"/>
      <c r="DBK246" s="21"/>
      <c r="DBL246" s="21"/>
      <c r="DBO246" s="21"/>
      <c r="DBP246" s="15"/>
      <c r="DBQ246" s="15"/>
      <c r="DBR246" s="15"/>
      <c r="DBS246" s="15"/>
      <c r="DBT246" s="15"/>
      <c r="DBU246" s="15"/>
      <c r="DBV246" s="15"/>
      <c r="DBW246" s="15"/>
      <c r="DBX246" s="15"/>
      <c r="DBY246" s="15"/>
      <c r="DBZ246" s="10"/>
      <c r="DCA246" s="10"/>
      <c r="DCB246" s="21"/>
      <c r="DCC246" s="21"/>
      <c r="DCF246" s="21"/>
      <c r="DCG246" s="15"/>
      <c r="DCH246" s="15"/>
      <c r="DCI246" s="15"/>
      <c r="DCJ246" s="15"/>
      <c r="DCK246" s="15"/>
      <c r="DCL246" s="15"/>
      <c r="DCM246" s="15"/>
      <c r="DCN246" s="15"/>
      <c r="DCO246" s="15"/>
      <c r="DCP246" s="15"/>
      <c r="DCQ246" s="10"/>
      <c r="DCR246" s="10"/>
      <c r="DCS246" s="21"/>
      <c r="DCT246" s="21"/>
      <c r="DCW246" s="21"/>
      <c r="DCX246" s="15"/>
      <c r="DCY246" s="15"/>
      <c r="DCZ246" s="15"/>
      <c r="DDA246" s="15"/>
      <c r="DDB246" s="15"/>
      <c r="DDC246" s="15"/>
      <c r="DDD246" s="15"/>
      <c r="DDE246" s="15"/>
      <c r="DDF246" s="15"/>
      <c r="DDG246" s="15"/>
      <c r="DDH246" s="10"/>
      <c r="DDI246" s="10"/>
      <c r="DDJ246" s="21"/>
      <c r="DDK246" s="21"/>
      <c r="DDN246" s="21"/>
      <c r="DDO246" s="15"/>
      <c r="DDP246" s="15"/>
      <c r="DDQ246" s="15"/>
      <c r="DDR246" s="15"/>
      <c r="DDS246" s="15"/>
      <c r="DDT246" s="15"/>
      <c r="DDU246" s="15"/>
      <c r="DDV246" s="15"/>
      <c r="DDW246" s="15"/>
      <c r="DDX246" s="15"/>
      <c r="DDY246" s="10"/>
      <c r="DDZ246" s="10"/>
      <c r="DEA246" s="21"/>
      <c r="DEB246" s="21"/>
      <c r="DEE246" s="21"/>
      <c r="DEF246" s="15"/>
      <c r="DEG246" s="15"/>
      <c r="DEH246" s="15"/>
      <c r="DEI246" s="15"/>
      <c r="DEJ246" s="15"/>
      <c r="DEK246" s="15"/>
      <c r="DEL246" s="15"/>
      <c r="DEM246" s="15"/>
      <c r="DEN246" s="15"/>
      <c r="DEO246" s="15"/>
      <c r="DEP246" s="10"/>
      <c r="DEQ246" s="10"/>
      <c r="DER246" s="21"/>
      <c r="DES246" s="21"/>
      <c r="DEV246" s="21"/>
      <c r="DEW246" s="15"/>
      <c r="DEX246" s="15"/>
      <c r="DEY246" s="15"/>
      <c r="DEZ246" s="15"/>
      <c r="DFA246" s="15"/>
      <c r="DFB246" s="15"/>
      <c r="DFC246" s="15"/>
      <c r="DFD246" s="15"/>
      <c r="DFE246" s="15"/>
      <c r="DFF246" s="15"/>
      <c r="DFG246" s="10"/>
      <c r="DFH246" s="10"/>
      <c r="DFI246" s="21"/>
      <c r="DFJ246" s="21"/>
      <c r="DFM246" s="21"/>
      <c r="DFN246" s="15"/>
      <c r="DFO246" s="15"/>
      <c r="DFP246" s="15"/>
      <c r="DFQ246" s="15"/>
      <c r="DFR246" s="15"/>
      <c r="DFS246" s="15"/>
      <c r="DFT246" s="15"/>
      <c r="DFU246" s="15"/>
      <c r="DFV246" s="15"/>
      <c r="DFW246" s="15"/>
      <c r="DFX246" s="10"/>
      <c r="DFY246" s="10"/>
      <c r="DFZ246" s="21"/>
      <c r="DGA246" s="21"/>
      <c r="DGD246" s="21"/>
      <c r="DGE246" s="15"/>
      <c r="DGF246" s="15"/>
      <c r="DGG246" s="15"/>
      <c r="DGH246" s="15"/>
      <c r="DGI246" s="15"/>
      <c r="DGJ246" s="15"/>
      <c r="DGK246" s="15"/>
      <c r="DGL246" s="15"/>
      <c r="DGM246" s="15"/>
      <c r="DGN246" s="15"/>
      <c r="DGO246" s="10"/>
      <c r="DGP246" s="10"/>
      <c r="DGQ246" s="21"/>
      <c r="DGR246" s="21"/>
      <c r="DGU246" s="21"/>
      <c r="DGV246" s="15"/>
      <c r="DGW246" s="15"/>
      <c r="DGX246" s="15"/>
      <c r="DGY246" s="15"/>
      <c r="DGZ246" s="15"/>
      <c r="DHA246" s="15"/>
      <c r="DHB246" s="15"/>
      <c r="DHC246" s="15"/>
      <c r="DHD246" s="15"/>
      <c r="DHE246" s="15"/>
      <c r="DHF246" s="10"/>
      <c r="DHG246" s="10"/>
      <c r="DHH246" s="21"/>
      <c r="DHI246" s="21"/>
      <c r="DHL246" s="21"/>
      <c r="DHM246" s="15"/>
      <c r="DHN246" s="15"/>
      <c r="DHO246" s="15"/>
      <c r="DHP246" s="15"/>
      <c r="DHQ246" s="15"/>
      <c r="DHR246" s="15"/>
      <c r="DHS246" s="15"/>
      <c r="DHT246" s="15"/>
      <c r="DHU246" s="15"/>
      <c r="DHV246" s="15"/>
      <c r="DHW246" s="10"/>
      <c r="DHX246" s="10"/>
      <c r="DHY246" s="21"/>
      <c r="DHZ246" s="21"/>
      <c r="DIC246" s="21"/>
      <c r="DID246" s="15"/>
      <c r="DIE246" s="15"/>
      <c r="DIF246" s="15"/>
      <c r="DIG246" s="15"/>
      <c r="DIH246" s="15"/>
      <c r="DII246" s="15"/>
      <c r="DIJ246" s="15"/>
      <c r="DIK246" s="15"/>
      <c r="DIL246" s="15"/>
      <c r="DIM246" s="15"/>
      <c r="DIN246" s="10"/>
      <c r="DIO246" s="10"/>
      <c r="DIP246" s="21"/>
      <c r="DIQ246" s="21"/>
      <c r="DIT246" s="21"/>
      <c r="DIU246" s="15"/>
      <c r="DIV246" s="15"/>
      <c r="DIW246" s="15"/>
      <c r="DIX246" s="15"/>
      <c r="DIY246" s="15"/>
      <c r="DIZ246" s="15"/>
      <c r="DJA246" s="15"/>
      <c r="DJB246" s="15"/>
      <c r="DJC246" s="15"/>
      <c r="DJD246" s="15"/>
      <c r="DJE246" s="10"/>
      <c r="DJF246" s="10"/>
      <c r="DJG246" s="21"/>
      <c r="DJH246" s="21"/>
      <c r="DJK246" s="21"/>
      <c r="DJL246" s="15"/>
      <c r="DJM246" s="15"/>
      <c r="DJN246" s="15"/>
      <c r="DJO246" s="15"/>
      <c r="DJP246" s="15"/>
      <c r="DJQ246" s="15"/>
      <c r="DJR246" s="15"/>
      <c r="DJS246" s="15"/>
      <c r="DJT246" s="15"/>
      <c r="DJU246" s="15"/>
      <c r="DJV246" s="10"/>
      <c r="DJW246" s="10"/>
      <c r="DJX246" s="21"/>
      <c r="DJY246" s="21"/>
      <c r="DKB246" s="21"/>
      <c r="DKC246" s="15"/>
      <c r="DKD246" s="15"/>
      <c r="DKE246" s="15"/>
      <c r="DKF246" s="15"/>
      <c r="DKG246" s="15"/>
      <c r="DKH246" s="15"/>
      <c r="DKI246" s="15"/>
      <c r="DKJ246" s="15"/>
      <c r="DKK246" s="15"/>
      <c r="DKL246" s="15"/>
      <c r="DKM246" s="10"/>
      <c r="DKN246" s="10"/>
      <c r="DKO246" s="21"/>
      <c r="DKP246" s="21"/>
      <c r="DKS246" s="21"/>
      <c r="DKT246" s="15"/>
      <c r="DKU246" s="15"/>
      <c r="DKV246" s="15"/>
      <c r="DKW246" s="15"/>
      <c r="DKX246" s="15"/>
      <c r="DKY246" s="15"/>
      <c r="DKZ246" s="15"/>
      <c r="DLA246" s="15"/>
      <c r="DLB246" s="15"/>
      <c r="DLC246" s="15"/>
      <c r="DLD246" s="10"/>
      <c r="DLE246" s="10"/>
      <c r="DLF246" s="21"/>
      <c r="DLG246" s="21"/>
      <c r="DLJ246" s="21"/>
      <c r="DLK246" s="15"/>
      <c r="DLL246" s="15"/>
      <c r="DLM246" s="15"/>
      <c r="DLN246" s="15"/>
      <c r="DLO246" s="15"/>
      <c r="DLP246" s="15"/>
      <c r="DLQ246" s="15"/>
      <c r="DLR246" s="15"/>
      <c r="DLS246" s="15"/>
      <c r="DLT246" s="15"/>
      <c r="DLU246" s="10"/>
      <c r="DLV246" s="10"/>
      <c r="DLW246" s="21"/>
      <c r="DLX246" s="21"/>
      <c r="DMA246" s="21"/>
      <c r="DMB246" s="15"/>
      <c r="DMC246" s="15"/>
      <c r="DMD246" s="15"/>
      <c r="DME246" s="15"/>
      <c r="DMF246" s="15"/>
      <c r="DMG246" s="15"/>
      <c r="DMH246" s="15"/>
      <c r="DMI246" s="15"/>
      <c r="DMJ246" s="15"/>
      <c r="DMK246" s="15"/>
      <c r="DML246" s="10"/>
      <c r="DMM246" s="10"/>
      <c r="DMN246" s="21"/>
      <c r="DMO246" s="21"/>
      <c r="DMR246" s="21"/>
      <c r="DMS246" s="15"/>
      <c r="DMT246" s="15"/>
      <c r="DMU246" s="15"/>
      <c r="DMV246" s="15"/>
      <c r="DMW246" s="15"/>
      <c r="DMX246" s="15"/>
      <c r="DMY246" s="15"/>
      <c r="DMZ246" s="15"/>
      <c r="DNA246" s="15"/>
      <c r="DNB246" s="15"/>
      <c r="DNC246" s="10"/>
      <c r="DND246" s="10"/>
      <c r="DNE246" s="21"/>
      <c r="DNF246" s="21"/>
      <c r="DNI246" s="21"/>
      <c r="DNJ246" s="15"/>
      <c r="DNK246" s="15"/>
      <c r="DNL246" s="15"/>
      <c r="DNM246" s="15"/>
      <c r="DNN246" s="15"/>
      <c r="DNO246" s="15"/>
      <c r="DNP246" s="15"/>
      <c r="DNQ246" s="15"/>
      <c r="DNR246" s="15"/>
      <c r="DNS246" s="15"/>
      <c r="DNT246" s="10"/>
      <c r="DNU246" s="10"/>
      <c r="DNV246" s="21"/>
      <c r="DNW246" s="21"/>
      <c r="DNZ246" s="21"/>
      <c r="DOA246" s="15"/>
      <c r="DOB246" s="15"/>
      <c r="DOC246" s="15"/>
      <c r="DOD246" s="15"/>
      <c r="DOE246" s="15"/>
      <c r="DOF246" s="15"/>
      <c r="DOG246" s="15"/>
      <c r="DOH246" s="15"/>
      <c r="DOI246" s="15"/>
      <c r="DOJ246" s="15"/>
      <c r="DOK246" s="10"/>
      <c r="DOL246" s="10"/>
      <c r="DOM246" s="21"/>
      <c r="DON246" s="21"/>
      <c r="DOQ246" s="21"/>
      <c r="DOR246" s="15"/>
      <c r="DOS246" s="15"/>
      <c r="DOT246" s="15"/>
      <c r="DOU246" s="15"/>
      <c r="DOV246" s="15"/>
      <c r="DOW246" s="15"/>
      <c r="DOX246" s="15"/>
      <c r="DOY246" s="15"/>
      <c r="DOZ246" s="15"/>
      <c r="DPA246" s="15"/>
      <c r="DPB246" s="10"/>
      <c r="DPC246" s="10"/>
      <c r="DPD246" s="21"/>
      <c r="DPE246" s="21"/>
      <c r="DPH246" s="21"/>
      <c r="DPI246" s="15"/>
      <c r="DPJ246" s="15"/>
      <c r="DPK246" s="15"/>
      <c r="DPL246" s="15"/>
      <c r="DPM246" s="15"/>
      <c r="DPN246" s="15"/>
      <c r="DPO246" s="15"/>
      <c r="DPP246" s="15"/>
      <c r="DPQ246" s="15"/>
      <c r="DPR246" s="15"/>
      <c r="DPS246" s="10"/>
      <c r="DPT246" s="10"/>
      <c r="DPU246" s="21"/>
      <c r="DPV246" s="21"/>
      <c r="DPY246" s="21"/>
      <c r="DPZ246" s="15"/>
      <c r="DQA246" s="15"/>
      <c r="DQB246" s="15"/>
      <c r="DQC246" s="15"/>
      <c r="DQD246" s="15"/>
      <c r="DQE246" s="15"/>
      <c r="DQF246" s="15"/>
      <c r="DQG246" s="15"/>
      <c r="DQH246" s="15"/>
      <c r="DQI246" s="15"/>
      <c r="DQJ246" s="10"/>
      <c r="DQK246" s="10"/>
      <c r="DQL246" s="21"/>
      <c r="DQM246" s="21"/>
      <c r="DQP246" s="21"/>
      <c r="DQQ246" s="15"/>
      <c r="DQR246" s="15"/>
      <c r="DQS246" s="15"/>
      <c r="DQT246" s="15"/>
      <c r="DQU246" s="15"/>
      <c r="DQV246" s="15"/>
      <c r="DQW246" s="15"/>
      <c r="DQX246" s="15"/>
      <c r="DQY246" s="15"/>
      <c r="DQZ246" s="15"/>
      <c r="DRA246" s="10"/>
      <c r="DRB246" s="10"/>
      <c r="DRC246" s="21"/>
      <c r="DRD246" s="21"/>
      <c r="DRG246" s="21"/>
      <c r="DRH246" s="15"/>
      <c r="DRI246" s="15"/>
      <c r="DRJ246" s="15"/>
      <c r="DRK246" s="15"/>
      <c r="DRL246" s="15"/>
      <c r="DRM246" s="15"/>
      <c r="DRN246" s="15"/>
      <c r="DRO246" s="15"/>
      <c r="DRP246" s="15"/>
      <c r="DRQ246" s="15"/>
      <c r="DRR246" s="10"/>
      <c r="DRS246" s="10"/>
      <c r="DRT246" s="21"/>
      <c r="DRU246" s="21"/>
      <c r="DRX246" s="21"/>
      <c r="DRY246" s="15"/>
      <c r="DRZ246" s="15"/>
      <c r="DSA246" s="15"/>
      <c r="DSB246" s="15"/>
      <c r="DSC246" s="15"/>
      <c r="DSD246" s="15"/>
      <c r="DSE246" s="15"/>
      <c r="DSF246" s="15"/>
      <c r="DSG246" s="15"/>
      <c r="DSH246" s="15"/>
      <c r="DSI246" s="10"/>
      <c r="DSJ246" s="10"/>
      <c r="DSK246" s="21"/>
      <c r="DSL246" s="21"/>
      <c r="DSO246" s="21"/>
      <c r="DSP246" s="15"/>
      <c r="DSQ246" s="15"/>
      <c r="DSR246" s="15"/>
      <c r="DSS246" s="15"/>
      <c r="DST246" s="15"/>
      <c r="DSU246" s="15"/>
      <c r="DSV246" s="15"/>
      <c r="DSW246" s="15"/>
      <c r="DSX246" s="15"/>
      <c r="DSY246" s="15"/>
      <c r="DSZ246" s="10"/>
      <c r="DTA246" s="10"/>
      <c r="DTB246" s="21"/>
      <c r="DTC246" s="21"/>
      <c r="DTF246" s="21"/>
      <c r="DTG246" s="15"/>
      <c r="DTH246" s="15"/>
      <c r="DTI246" s="15"/>
      <c r="DTJ246" s="15"/>
      <c r="DTK246" s="15"/>
      <c r="DTL246" s="15"/>
      <c r="DTM246" s="15"/>
      <c r="DTN246" s="15"/>
      <c r="DTO246" s="15"/>
      <c r="DTP246" s="15"/>
      <c r="DTQ246" s="10"/>
      <c r="DTR246" s="10"/>
      <c r="DTS246" s="21"/>
      <c r="DTT246" s="21"/>
      <c r="DTW246" s="21"/>
      <c r="DTX246" s="15"/>
      <c r="DTY246" s="15"/>
      <c r="DTZ246" s="15"/>
      <c r="DUA246" s="15"/>
      <c r="DUB246" s="15"/>
      <c r="DUC246" s="15"/>
      <c r="DUD246" s="15"/>
      <c r="DUE246" s="15"/>
      <c r="DUF246" s="15"/>
      <c r="DUG246" s="15"/>
      <c r="DUH246" s="10"/>
      <c r="DUI246" s="10"/>
      <c r="DUJ246" s="21"/>
      <c r="DUK246" s="21"/>
      <c r="DUN246" s="21"/>
      <c r="DUO246" s="15"/>
      <c r="DUP246" s="15"/>
      <c r="DUQ246" s="15"/>
      <c r="DUR246" s="15"/>
      <c r="DUS246" s="15"/>
      <c r="DUT246" s="15"/>
      <c r="DUU246" s="15"/>
      <c r="DUV246" s="15"/>
      <c r="DUW246" s="15"/>
      <c r="DUX246" s="15"/>
      <c r="DUY246" s="10"/>
      <c r="DUZ246" s="10"/>
      <c r="DVA246" s="21"/>
      <c r="DVB246" s="21"/>
      <c r="DVE246" s="21"/>
      <c r="DVF246" s="15"/>
      <c r="DVG246" s="15"/>
      <c r="DVH246" s="15"/>
      <c r="DVI246" s="15"/>
      <c r="DVJ246" s="15"/>
      <c r="DVK246" s="15"/>
      <c r="DVL246" s="15"/>
      <c r="DVM246" s="15"/>
      <c r="DVN246" s="15"/>
      <c r="DVO246" s="15"/>
      <c r="DVP246" s="10"/>
      <c r="DVQ246" s="10"/>
      <c r="DVR246" s="21"/>
      <c r="DVS246" s="21"/>
      <c r="DVV246" s="21"/>
      <c r="DVW246" s="15"/>
      <c r="DVX246" s="15"/>
      <c r="DVY246" s="15"/>
      <c r="DVZ246" s="15"/>
      <c r="DWA246" s="15"/>
      <c r="DWB246" s="15"/>
      <c r="DWC246" s="15"/>
      <c r="DWD246" s="15"/>
      <c r="DWE246" s="15"/>
      <c r="DWF246" s="15"/>
      <c r="DWG246" s="10"/>
      <c r="DWH246" s="10"/>
      <c r="DWI246" s="21"/>
      <c r="DWJ246" s="21"/>
      <c r="DWM246" s="21"/>
      <c r="DWN246" s="15"/>
      <c r="DWO246" s="15"/>
      <c r="DWP246" s="15"/>
      <c r="DWQ246" s="15"/>
      <c r="DWR246" s="15"/>
      <c r="DWS246" s="15"/>
      <c r="DWT246" s="15"/>
      <c r="DWU246" s="15"/>
      <c r="DWV246" s="15"/>
      <c r="DWW246" s="15"/>
      <c r="DWX246" s="10"/>
      <c r="DWY246" s="10"/>
      <c r="DWZ246" s="21"/>
      <c r="DXA246" s="21"/>
      <c r="DXD246" s="21"/>
      <c r="DXE246" s="15"/>
      <c r="DXF246" s="15"/>
      <c r="DXG246" s="15"/>
      <c r="DXH246" s="15"/>
      <c r="DXI246" s="15"/>
      <c r="DXJ246" s="15"/>
      <c r="DXK246" s="15"/>
      <c r="DXL246" s="15"/>
      <c r="DXM246" s="15"/>
      <c r="DXN246" s="15"/>
      <c r="DXO246" s="10"/>
      <c r="DXP246" s="10"/>
      <c r="DXQ246" s="21"/>
      <c r="DXR246" s="21"/>
      <c r="DXU246" s="21"/>
      <c r="DXV246" s="15"/>
      <c r="DXW246" s="15"/>
      <c r="DXX246" s="15"/>
      <c r="DXY246" s="15"/>
      <c r="DXZ246" s="15"/>
      <c r="DYA246" s="15"/>
      <c r="DYB246" s="15"/>
      <c r="DYC246" s="15"/>
      <c r="DYD246" s="15"/>
      <c r="DYE246" s="15"/>
      <c r="DYF246" s="10"/>
      <c r="DYG246" s="10"/>
      <c r="DYH246" s="21"/>
      <c r="DYI246" s="21"/>
      <c r="DYL246" s="21"/>
      <c r="DYM246" s="15"/>
      <c r="DYN246" s="15"/>
      <c r="DYO246" s="15"/>
      <c r="DYP246" s="15"/>
      <c r="DYQ246" s="15"/>
      <c r="DYR246" s="15"/>
      <c r="DYS246" s="15"/>
      <c r="DYT246" s="15"/>
      <c r="DYU246" s="15"/>
      <c r="DYV246" s="15"/>
      <c r="DYW246" s="10"/>
      <c r="DYX246" s="10"/>
      <c r="DYY246" s="21"/>
      <c r="DYZ246" s="21"/>
      <c r="DZC246" s="21"/>
      <c r="DZD246" s="15"/>
      <c r="DZE246" s="15"/>
      <c r="DZF246" s="15"/>
      <c r="DZG246" s="15"/>
      <c r="DZH246" s="15"/>
      <c r="DZI246" s="15"/>
      <c r="DZJ246" s="15"/>
      <c r="DZK246" s="15"/>
      <c r="DZL246" s="15"/>
      <c r="DZM246" s="15"/>
      <c r="DZN246" s="10"/>
      <c r="DZO246" s="10"/>
      <c r="DZP246" s="21"/>
      <c r="DZQ246" s="21"/>
      <c r="DZT246" s="21"/>
      <c r="DZU246" s="15"/>
      <c r="DZV246" s="15"/>
      <c r="DZW246" s="15"/>
      <c r="DZX246" s="15"/>
      <c r="DZY246" s="15"/>
      <c r="DZZ246" s="15"/>
      <c r="EAA246" s="15"/>
      <c r="EAB246" s="15"/>
      <c r="EAC246" s="15"/>
      <c r="EAD246" s="15"/>
      <c r="EAE246" s="10"/>
      <c r="EAF246" s="10"/>
      <c r="EAG246" s="21"/>
      <c r="EAH246" s="21"/>
      <c r="EAK246" s="21"/>
      <c r="EAL246" s="15"/>
      <c r="EAM246" s="15"/>
      <c r="EAN246" s="15"/>
      <c r="EAO246" s="15"/>
      <c r="EAP246" s="15"/>
      <c r="EAQ246" s="15"/>
      <c r="EAR246" s="15"/>
      <c r="EAS246" s="15"/>
      <c r="EAT246" s="15"/>
      <c r="EAU246" s="15"/>
      <c r="EAV246" s="10"/>
      <c r="EAW246" s="10"/>
      <c r="EAX246" s="21"/>
      <c r="EAY246" s="21"/>
      <c r="EBB246" s="21"/>
      <c r="EBC246" s="15"/>
      <c r="EBD246" s="15"/>
      <c r="EBE246" s="15"/>
      <c r="EBF246" s="15"/>
      <c r="EBG246" s="15"/>
      <c r="EBH246" s="15"/>
      <c r="EBI246" s="15"/>
      <c r="EBJ246" s="15"/>
      <c r="EBK246" s="15"/>
      <c r="EBL246" s="15"/>
      <c r="EBM246" s="10"/>
      <c r="EBN246" s="10"/>
      <c r="EBO246" s="21"/>
      <c r="EBP246" s="21"/>
      <c r="EBS246" s="21"/>
      <c r="EBT246" s="15"/>
      <c r="EBU246" s="15"/>
      <c r="EBV246" s="15"/>
      <c r="EBW246" s="15"/>
      <c r="EBX246" s="15"/>
      <c r="EBY246" s="15"/>
      <c r="EBZ246" s="15"/>
      <c r="ECA246" s="15"/>
      <c r="ECB246" s="15"/>
      <c r="ECC246" s="15"/>
      <c r="ECD246" s="10"/>
      <c r="ECE246" s="10"/>
      <c r="ECF246" s="21"/>
      <c r="ECG246" s="21"/>
      <c r="ECJ246" s="21"/>
      <c r="ECK246" s="15"/>
      <c r="ECL246" s="15"/>
      <c r="ECM246" s="15"/>
      <c r="ECN246" s="15"/>
      <c r="ECO246" s="15"/>
      <c r="ECP246" s="15"/>
      <c r="ECQ246" s="15"/>
      <c r="ECR246" s="15"/>
      <c r="ECS246" s="15"/>
      <c r="ECT246" s="15"/>
      <c r="ECU246" s="10"/>
      <c r="ECV246" s="10"/>
      <c r="ECW246" s="21"/>
      <c r="ECX246" s="21"/>
      <c r="EDA246" s="21"/>
      <c r="EDB246" s="15"/>
      <c r="EDC246" s="15"/>
      <c r="EDD246" s="15"/>
      <c r="EDE246" s="15"/>
      <c r="EDF246" s="15"/>
      <c r="EDG246" s="15"/>
      <c r="EDH246" s="15"/>
      <c r="EDI246" s="15"/>
      <c r="EDJ246" s="15"/>
      <c r="EDK246" s="15"/>
      <c r="EDL246" s="10"/>
      <c r="EDM246" s="10"/>
      <c r="EDN246" s="21"/>
      <c r="EDO246" s="21"/>
      <c r="EDR246" s="21"/>
      <c r="EDS246" s="15"/>
      <c r="EDT246" s="15"/>
      <c r="EDU246" s="15"/>
      <c r="EDV246" s="15"/>
      <c r="EDW246" s="15"/>
      <c r="EDX246" s="15"/>
      <c r="EDY246" s="15"/>
      <c r="EDZ246" s="15"/>
      <c r="EEA246" s="15"/>
      <c r="EEB246" s="15"/>
      <c r="EEC246" s="10"/>
      <c r="EED246" s="10"/>
      <c r="EEE246" s="21"/>
      <c r="EEF246" s="21"/>
      <c r="EEI246" s="21"/>
      <c r="EEJ246" s="15"/>
      <c r="EEK246" s="15"/>
      <c r="EEL246" s="15"/>
      <c r="EEM246" s="15"/>
      <c r="EEN246" s="15"/>
      <c r="EEO246" s="15"/>
      <c r="EEP246" s="15"/>
      <c r="EEQ246" s="15"/>
      <c r="EER246" s="15"/>
      <c r="EES246" s="15"/>
      <c r="EET246" s="10"/>
      <c r="EEU246" s="10"/>
      <c r="EEV246" s="21"/>
      <c r="EEW246" s="21"/>
      <c r="EEZ246" s="21"/>
      <c r="EFA246" s="15"/>
      <c r="EFB246" s="15"/>
      <c r="EFC246" s="15"/>
      <c r="EFD246" s="15"/>
      <c r="EFE246" s="15"/>
      <c r="EFF246" s="15"/>
      <c r="EFG246" s="15"/>
      <c r="EFH246" s="15"/>
      <c r="EFI246" s="15"/>
      <c r="EFJ246" s="15"/>
      <c r="EFK246" s="10"/>
      <c r="EFL246" s="10"/>
      <c r="EFM246" s="21"/>
      <c r="EFN246" s="21"/>
      <c r="EFQ246" s="21"/>
      <c r="EFR246" s="15"/>
      <c r="EFS246" s="15"/>
      <c r="EFT246" s="15"/>
      <c r="EFU246" s="15"/>
      <c r="EFV246" s="15"/>
      <c r="EFW246" s="15"/>
      <c r="EFX246" s="15"/>
      <c r="EFY246" s="15"/>
      <c r="EFZ246" s="15"/>
      <c r="EGA246" s="15"/>
      <c r="EGB246" s="10"/>
      <c r="EGC246" s="10"/>
      <c r="EGD246" s="21"/>
      <c r="EGE246" s="21"/>
      <c r="EGH246" s="21"/>
      <c r="EGI246" s="15"/>
      <c r="EGJ246" s="15"/>
      <c r="EGK246" s="15"/>
      <c r="EGL246" s="15"/>
      <c r="EGM246" s="15"/>
      <c r="EGN246" s="15"/>
      <c r="EGO246" s="15"/>
      <c r="EGP246" s="15"/>
      <c r="EGQ246" s="15"/>
      <c r="EGR246" s="15"/>
      <c r="EGS246" s="10"/>
      <c r="EGT246" s="10"/>
      <c r="EGU246" s="21"/>
      <c r="EGV246" s="21"/>
      <c r="EGY246" s="21"/>
      <c r="EGZ246" s="15"/>
      <c r="EHA246" s="15"/>
      <c r="EHB246" s="15"/>
      <c r="EHC246" s="15"/>
      <c r="EHD246" s="15"/>
      <c r="EHE246" s="15"/>
      <c r="EHF246" s="15"/>
      <c r="EHG246" s="15"/>
      <c r="EHH246" s="15"/>
      <c r="EHI246" s="15"/>
      <c r="EHJ246" s="10"/>
      <c r="EHK246" s="10"/>
      <c r="EHL246" s="21"/>
      <c r="EHM246" s="21"/>
      <c r="EHP246" s="21"/>
      <c r="EHQ246" s="15"/>
      <c r="EHR246" s="15"/>
      <c r="EHS246" s="15"/>
      <c r="EHT246" s="15"/>
      <c r="EHU246" s="15"/>
      <c r="EHV246" s="15"/>
      <c r="EHW246" s="15"/>
      <c r="EHX246" s="15"/>
      <c r="EHY246" s="15"/>
      <c r="EHZ246" s="15"/>
      <c r="EIA246" s="10"/>
      <c r="EIB246" s="10"/>
      <c r="EIC246" s="21"/>
      <c r="EID246" s="21"/>
      <c r="EIG246" s="21"/>
      <c r="EIH246" s="15"/>
      <c r="EII246" s="15"/>
      <c r="EIJ246" s="15"/>
      <c r="EIK246" s="15"/>
      <c r="EIL246" s="15"/>
      <c r="EIM246" s="15"/>
      <c r="EIN246" s="15"/>
      <c r="EIO246" s="15"/>
      <c r="EIP246" s="15"/>
      <c r="EIQ246" s="15"/>
      <c r="EIR246" s="10"/>
      <c r="EIS246" s="10"/>
      <c r="EIT246" s="21"/>
      <c r="EIU246" s="21"/>
      <c r="EIX246" s="21"/>
      <c r="EIY246" s="15"/>
      <c r="EIZ246" s="15"/>
      <c r="EJA246" s="15"/>
      <c r="EJB246" s="15"/>
      <c r="EJC246" s="15"/>
      <c r="EJD246" s="15"/>
      <c r="EJE246" s="15"/>
      <c r="EJF246" s="15"/>
      <c r="EJG246" s="15"/>
      <c r="EJH246" s="15"/>
      <c r="EJI246" s="10"/>
      <c r="EJJ246" s="10"/>
      <c r="EJK246" s="21"/>
      <c r="EJL246" s="21"/>
      <c r="EJO246" s="21"/>
      <c r="EJP246" s="15"/>
      <c r="EJQ246" s="15"/>
      <c r="EJR246" s="15"/>
      <c r="EJS246" s="15"/>
      <c r="EJT246" s="15"/>
      <c r="EJU246" s="15"/>
      <c r="EJV246" s="15"/>
      <c r="EJW246" s="15"/>
      <c r="EJX246" s="15"/>
      <c r="EJY246" s="15"/>
      <c r="EJZ246" s="10"/>
      <c r="EKA246" s="10"/>
      <c r="EKB246" s="21"/>
      <c r="EKC246" s="21"/>
      <c r="EKF246" s="21"/>
      <c r="EKG246" s="15"/>
      <c r="EKH246" s="15"/>
      <c r="EKI246" s="15"/>
      <c r="EKJ246" s="15"/>
      <c r="EKK246" s="15"/>
      <c r="EKL246" s="15"/>
      <c r="EKM246" s="15"/>
      <c r="EKN246" s="15"/>
      <c r="EKO246" s="15"/>
      <c r="EKP246" s="15"/>
      <c r="EKQ246" s="10"/>
      <c r="EKR246" s="10"/>
      <c r="EKS246" s="21"/>
      <c r="EKT246" s="21"/>
      <c r="EKW246" s="21"/>
      <c r="EKX246" s="15"/>
      <c r="EKY246" s="15"/>
      <c r="EKZ246" s="15"/>
      <c r="ELA246" s="15"/>
      <c r="ELB246" s="15"/>
      <c r="ELC246" s="15"/>
      <c r="ELD246" s="15"/>
      <c r="ELE246" s="15"/>
      <c r="ELF246" s="15"/>
      <c r="ELG246" s="15"/>
      <c r="ELH246" s="10"/>
      <c r="ELI246" s="10"/>
      <c r="ELJ246" s="21"/>
      <c r="ELK246" s="21"/>
      <c r="ELN246" s="21"/>
      <c r="ELO246" s="15"/>
      <c r="ELP246" s="15"/>
      <c r="ELQ246" s="15"/>
      <c r="ELR246" s="15"/>
      <c r="ELS246" s="15"/>
      <c r="ELT246" s="15"/>
      <c r="ELU246" s="15"/>
      <c r="ELV246" s="15"/>
      <c r="ELW246" s="15"/>
      <c r="ELX246" s="15"/>
      <c r="ELY246" s="10"/>
      <c r="ELZ246" s="10"/>
      <c r="EMA246" s="21"/>
      <c r="EMB246" s="21"/>
      <c r="EME246" s="21"/>
      <c r="EMF246" s="15"/>
      <c r="EMG246" s="15"/>
      <c r="EMH246" s="15"/>
      <c r="EMI246" s="15"/>
      <c r="EMJ246" s="15"/>
      <c r="EMK246" s="15"/>
      <c r="EML246" s="15"/>
      <c r="EMM246" s="15"/>
      <c r="EMN246" s="15"/>
      <c r="EMO246" s="15"/>
      <c r="EMP246" s="10"/>
      <c r="EMQ246" s="10"/>
      <c r="EMR246" s="21"/>
      <c r="EMS246" s="21"/>
      <c r="EMV246" s="21"/>
      <c r="EMW246" s="15"/>
      <c r="EMX246" s="15"/>
      <c r="EMY246" s="15"/>
      <c r="EMZ246" s="15"/>
      <c r="ENA246" s="15"/>
      <c r="ENB246" s="15"/>
      <c r="ENC246" s="15"/>
      <c r="END246" s="15"/>
      <c r="ENE246" s="15"/>
      <c r="ENF246" s="15"/>
      <c r="ENG246" s="10"/>
      <c r="ENH246" s="10"/>
      <c r="ENI246" s="21"/>
      <c r="ENJ246" s="21"/>
      <c r="ENM246" s="21"/>
      <c r="ENN246" s="15"/>
      <c r="ENO246" s="15"/>
      <c r="ENP246" s="15"/>
      <c r="ENQ246" s="15"/>
      <c r="ENR246" s="15"/>
      <c r="ENS246" s="15"/>
      <c r="ENT246" s="15"/>
      <c r="ENU246" s="15"/>
      <c r="ENV246" s="15"/>
      <c r="ENW246" s="15"/>
      <c r="ENX246" s="10"/>
      <c r="ENY246" s="10"/>
      <c r="ENZ246" s="21"/>
      <c r="EOA246" s="21"/>
      <c r="EOD246" s="21"/>
      <c r="EOE246" s="15"/>
      <c r="EOF246" s="15"/>
      <c r="EOG246" s="15"/>
      <c r="EOH246" s="15"/>
      <c r="EOI246" s="15"/>
      <c r="EOJ246" s="15"/>
      <c r="EOK246" s="15"/>
      <c r="EOL246" s="15"/>
      <c r="EOM246" s="15"/>
      <c r="EON246" s="15"/>
      <c r="EOO246" s="10"/>
      <c r="EOP246" s="10"/>
      <c r="EOQ246" s="21"/>
      <c r="EOR246" s="21"/>
      <c r="EOU246" s="21"/>
      <c r="EOV246" s="15"/>
      <c r="EOW246" s="15"/>
      <c r="EOX246" s="15"/>
      <c r="EOY246" s="15"/>
      <c r="EOZ246" s="15"/>
      <c r="EPA246" s="15"/>
      <c r="EPB246" s="15"/>
      <c r="EPC246" s="15"/>
      <c r="EPD246" s="15"/>
      <c r="EPE246" s="15"/>
      <c r="EPF246" s="10"/>
      <c r="EPG246" s="10"/>
      <c r="EPH246" s="21"/>
      <c r="EPI246" s="21"/>
      <c r="EPL246" s="21"/>
      <c r="EPM246" s="15"/>
      <c r="EPN246" s="15"/>
      <c r="EPO246" s="15"/>
      <c r="EPP246" s="15"/>
      <c r="EPQ246" s="15"/>
      <c r="EPR246" s="15"/>
      <c r="EPS246" s="15"/>
      <c r="EPT246" s="15"/>
      <c r="EPU246" s="15"/>
      <c r="EPV246" s="15"/>
      <c r="EPW246" s="10"/>
      <c r="EPX246" s="10"/>
      <c r="EPY246" s="21"/>
      <c r="EPZ246" s="21"/>
      <c r="EQC246" s="21"/>
      <c r="EQD246" s="15"/>
      <c r="EQE246" s="15"/>
      <c r="EQF246" s="15"/>
      <c r="EQG246" s="15"/>
      <c r="EQH246" s="15"/>
      <c r="EQI246" s="15"/>
      <c r="EQJ246" s="15"/>
      <c r="EQK246" s="15"/>
      <c r="EQL246" s="15"/>
      <c r="EQM246" s="15"/>
      <c r="EQN246" s="10"/>
      <c r="EQO246" s="10"/>
      <c r="EQP246" s="21"/>
      <c r="EQQ246" s="21"/>
      <c r="EQT246" s="21"/>
      <c r="EQU246" s="15"/>
      <c r="EQV246" s="15"/>
      <c r="EQW246" s="15"/>
      <c r="EQX246" s="15"/>
      <c r="EQY246" s="15"/>
      <c r="EQZ246" s="15"/>
      <c r="ERA246" s="15"/>
      <c r="ERB246" s="15"/>
      <c r="ERC246" s="15"/>
      <c r="ERD246" s="15"/>
      <c r="ERE246" s="10"/>
      <c r="ERF246" s="10"/>
      <c r="ERG246" s="21"/>
      <c r="ERH246" s="21"/>
      <c r="ERK246" s="21"/>
      <c r="ERL246" s="15"/>
      <c r="ERM246" s="15"/>
      <c r="ERN246" s="15"/>
      <c r="ERO246" s="15"/>
      <c r="ERP246" s="15"/>
      <c r="ERQ246" s="15"/>
      <c r="ERR246" s="15"/>
      <c r="ERS246" s="15"/>
      <c r="ERT246" s="15"/>
      <c r="ERU246" s="15"/>
      <c r="ERV246" s="10"/>
      <c r="ERW246" s="10"/>
      <c r="ERX246" s="21"/>
      <c r="ERY246" s="21"/>
      <c r="ESB246" s="21"/>
      <c r="ESC246" s="15"/>
      <c r="ESD246" s="15"/>
      <c r="ESE246" s="15"/>
      <c r="ESF246" s="15"/>
      <c r="ESG246" s="15"/>
      <c r="ESH246" s="15"/>
      <c r="ESI246" s="15"/>
      <c r="ESJ246" s="15"/>
      <c r="ESK246" s="15"/>
      <c r="ESL246" s="15"/>
      <c r="ESM246" s="10"/>
      <c r="ESN246" s="10"/>
      <c r="ESO246" s="21"/>
      <c r="ESP246" s="21"/>
      <c r="ESS246" s="21"/>
      <c r="EST246" s="15"/>
      <c r="ESU246" s="15"/>
      <c r="ESV246" s="15"/>
      <c r="ESW246" s="15"/>
      <c r="ESX246" s="15"/>
      <c r="ESY246" s="15"/>
      <c r="ESZ246" s="15"/>
      <c r="ETA246" s="15"/>
      <c r="ETB246" s="15"/>
      <c r="ETC246" s="15"/>
      <c r="ETD246" s="10"/>
      <c r="ETE246" s="10"/>
      <c r="ETF246" s="21"/>
      <c r="ETG246" s="21"/>
      <c r="ETJ246" s="21"/>
      <c r="ETK246" s="15"/>
      <c r="ETL246" s="15"/>
      <c r="ETM246" s="15"/>
      <c r="ETN246" s="15"/>
      <c r="ETO246" s="15"/>
      <c r="ETP246" s="15"/>
      <c r="ETQ246" s="15"/>
      <c r="ETR246" s="15"/>
      <c r="ETS246" s="15"/>
      <c r="ETT246" s="15"/>
      <c r="ETU246" s="10"/>
      <c r="ETV246" s="10"/>
      <c r="ETW246" s="21"/>
      <c r="ETX246" s="21"/>
      <c r="EUA246" s="21"/>
      <c r="EUB246" s="15"/>
      <c r="EUC246" s="15"/>
      <c r="EUD246" s="15"/>
      <c r="EUE246" s="15"/>
      <c r="EUF246" s="15"/>
      <c r="EUG246" s="15"/>
      <c r="EUH246" s="15"/>
      <c r="EUI246" s="15"/>
      <c r="EUJ246" s="15"/>
      <c r="EUK246" s="15"/>
      <c r="EUL246" s="10"/>
      <c r="EUM246" s="10"/>
      <c r="EUN246" s="21"/>
      <c r="EUO246" s="21"/>
      <c r="EUR246" s="21"/>
      <c r="EUS246" s="15"/>
      <c r="EUT246" s="15"/>
      <c r="EUU246" s="15"/>
      <c r="EUV246" s="15"/>
      <c r="EUW246" s="15"/>
      <c r="EUX246" s="15"/>
      <c r="EUY246" s="15"/>
      <c r="EUZ246" s="15"/>
      <c r="EVA246" s="15"/>
      <c r="EVB246" s="15"/>
      <c r="EVC246" s="10"/>
      <c r="EVD246" s="10"/>
      <c r="EVE246" s="21"/>
      <c r="EVF246" s="21"/>
      <c r="EVI246" s="21"/>
      <c r="EVJ246" s="15"/>
      <c r="EVK246" s="15"/>
      <c r="EVL246" s="15"/>
      <c r="EVM246" s="15"/>
      <c r="EVN246" s="15"/>
      <c r="EVO246" s="15"/>
      <c r="EVP246" s="15"/>
      <c r="EVQ246" s="15"/>
      <c r="EVR246" s="15"/>
      <c r="EVS246" s="15"/>
      <c r="EVT246" s="10"/>
      <c r="EVU246" s="10"/>
      <c r="EVV246" s="21"/>
      <c r="EVW246" s="21"/>
      <c r="EVZ246" s="21"/>
      <c r="EWA246" s="15"/>
      <c r="EWB246" s="15"/>
      <c r="EWC246" s="15"/>
      <c r="EWD246" s="15"/>
      <c r="EWE246" s="15"/>
      <c r="EWF246" s="15"/>
      <c r="EWG246" s="15"/>
      <c r="EWH246" s="15"/>
      <c r="EWI246" s="15"/>
      <c r="EWJ246" s="15"/>
      <c r="EWK246" s="10"/>
      <c r="EWL246" s="10"/>
      <c r="EWM246" s="21"/>
      <c r="EWN246" s="21"/>
      <c r="EWQ246" s="21"/>
      <c r="EWR246" s="15"/>
      <c r="EWS246" s="15"/>
      <c r="EWT246" s="15"/>
      <c r="EWU246" s="15"/>
      <c r="EWV246" s="15"/>
      <c r="EWW246" s="15"/>
      <c r="EWX246" s="15"/>
      <c r="EWY246" s="15"/>
      <c r="EWZ246" s="15"/>
      <c r="EXA246" s="15"/>
      <c r="EXB246" s="10"/>
      <c r="EXC246" s="10"/>
      <c r="EXD246" s="21"/>
      <c r="EXE246" s="21"/>
      <c r="EXH246" s="21"/>
      <c r="EXI246" s="15"/>
      <c r="EXJ246" s="15"/>
      <c r="EXK246" s="15"/>
      <c r="EXL246" s="15"/>
      <c r="EXM246" s="15"/>
      <c r="EXN246" s="15"/>
      <c r="EXO246" s="15"/>
      <c r="EXP246" s="15"/>
      <c r="EXQ246" s="15"/>
      <c r="EXR246" s="15"/>
      <c r="EXS246" s="10"/>
      <c r="EXT246" s="10"/>
      <c r="EXU246" s="21"/>
      <c r="EXV246" s="21"/>
      <c r="EXY246" s="21"/>
      <c r="EXZ246" s="15"/>
      <c r="EYA246" s="15"/>
      <c r="EYB246" s="15"/>
      <c r="EYC246" s="15"/>
      <c r="EYD246" s="15"/>
      <c r="EYE246" s="15"/>
      <c r="EYF246" s="15"/>
      <c r="EYG246" s="15"/>
      <c r="EYH246" s="15"/>
      <c r="EYI246" s="15"/>
      <c r="EYJ246" s="10"/>
      <c r="EYK246" s="10"/>
      <c r="EYL246" s="21"/>
      <c r="EYM246" s="21"/>
      <c r="EYP246" s="21"/>
      <c r="EYQ246" s="15"/>
      <c r="EYR246" s="15"/>
      <c r="EYS246" s="15"/>
      <c r="EYT246" s="15"/>
      <c r="EYU246" s="15"/>
      <c r="EYV246" s="15"/>
      <c r="EYW246" s="15"/>
      <c r="EYX246" s="15"/>
      <c r="EYY246" s="15"/>
      <c r="EYZ246" s="15"/>
      <c r="EZA246" s="10"/>
      <c r="EZB246" s="10"/>
      <c r="EZC246" s="21"/>
      <c r="EZD246" s="21"/>
      <c r="EZG246" s="21"/>
      <c r="EZH246" s="15"/>
      <c r="EZI246" s="15"/>
      <c r="EZJ246" s="15"/>
      <c r="EZK246" s="15"/>
      <c r="EZL246" s="15"/>
      <c r="EZM246" s="15"/>
      <c r="EZN246" s="15"/>
      <c r="EZO246" s="15"/>
      <c r="EZP246" s="15"/>
      <c r="EZQ246" s="15"/>
      <c r="EZR246" s="10"/>
      <c r="EZS246" s="10"/>
      <c r="EZT246" s="21"/>
      <c r="EZU246" s="21"/>
      <c r="EZX246" s="21"/>
      <c r="EZY246" s="15"/>
      <c r="EZZ246" s="15"/>
      <c r="FAA246" s="15"/>
      <c r="FAB246" s="15"/>
      <c r="FAC246" s="15"/>
      <c r="FAD246" s="15"/>
      <c r="FAE246" s="15"/>
      <c r="FAF246" s="15"/>
      <c r="FAG246" s="15"/>
      <c r="FAH246" s="15"/>
      <c r="FAI246" s="10"/>
      <c r="FAJ246" s="10"/>
      <c r="FAK246" s="21"/>
      <c r="FAL246" s="21"/>
      <c r="FAO246" s="21"/>
      <c r="FAP246" s="15"/>
      <c r="FAQ246" s="15"/>
      <c r="FAR246" s="15"/>
      <c r="FAS246" s="15"/>
      <c r="FAT246" s="15"/>
      <c r="FAU246" s="15"/>
      <c r="FAV246" s="15"/>
      <c r="FAW246" s="15"/>
      <c r="FAX246" s="15"/>
      <c r="FAY246" s="15"/>
      <c r="FAZ246" s="10"/>
      <c r="FBA246" s="10"/>
      <c r="FBB246" s="21"/>
      <c r="FBC246" s="21"/>
      <c r="FBF246" s="21"/>
      <c r="FBG246" s="15"/>
      <c r="FBH246" s="15"/>
      <c r="FBI246" s="15"/>
      <c r="FBJ246" s="15"/>
      <c r="FBK246" s="15"/>
      <c r="FBL246" s="15"/>
      <c r="FBM246" s="15"/>
      <c r="FBN246" s="15"/>
      <c r="FBO246" s="15"/>
      <c r="FBP246" s="15"/>
      <c r="FBQ246" s="10"/>
      <c r="FBR246" s="10"/>
      <c r="FBS246" s="21"/>
      <c r="FBT246" s="21"/>
      <c r="FBW246" s="21"/>
      <c r="FBX246" s="15"/>
      <c r="FBY246" s="15"/>
      <c r="FBZ246" s="15"/>
      <c r="FCA246" s="15"/>
      <c r="FCB246" s="15"/>
      <c r="FCC246" s="15"/>
      <c r="FCD246" s="15"/>
      <c r="FCE246" s="15"/>
      <c r="FCF246" s="15"/>
      <c r="FCG246" s="15"/>
      <c r="FCH246" s="10"/>
      <c r="FCI246" s="10"/>
      <c r="FCJ246" s="21"/>
      <c r="FCK246" s="21"/>
      <c r="FCN246" s="21"/>
      <c r="FCO246" s="15"/>
      <c r="FCP246" s="15"/>
      <c r="FCQ246" s="15"/>
      <c r="FCR246" s="15"/>
      <c r="FCS246" s="15"/>
      <c r="FCT246" s="15"/>
      <c r="FCU246" s="15"/>
      <c r="FCV246" s="15"/>
      <c r="FCW246" s="15"/>
      <c r="FCX246" s="15"/>
      <c r="FCY246" s="10"/>
      <c r="FCZ246" s="10"/>
      <c r="FDA246" s="21"/>
      <c r="FDB246" s="21"/>
      <c r="FDE246" s="21"/>
      <c r="FDF246" s="15"/>
      <c r="FDG246" s="15"/>
      <c r="FDH246" s="15"/>
      <c r="FDI246" s="15"/>
      <c r="FDJ246" s="15"/>
      <c r="FDK246" s="15"/>
      <c r="FDL246" s="15"/>
      <c r="FDM246" s="15"/>
      <c r="FDN246" s="15"/>
      <c r="FDO246" s="15"/>
      <c r="FDP246" s="10"/>
      <c r="FDQ246" s="10"/>
      <c r="FDR246" s="21"/>
      <c r="FDS246" s="21"/>
      <c r="FDV246" s="21"/>
      <c r="FDW246" s="15"/>
      <c r="FDX246" s="15"/>
      <c r="FDY246" s="15"/>
      <c r="FDZ246" s="15"/>
      <c r="FEA246" s="15"/>
      <c r="FEB246" s="15"/>
      <c r="FEC246" s="15"/>
      <c r="FED246" s="15"/>
      <c r="FEE246" s="15"/>
      <c r="FEF246" s="15"/>
      <c r="FEG246" s="10"/>
      <c r="FEH246" s="10"/>
      <c r="FEI246" s="21"/>
      <c r="FEJ246" s="21"/>
      <c r="FEM246" s="21"/>
      <c r="FEN246" s="15"/>
      <c r="FEO246" s="15"/>
      <c r="FEP246" s="15"/>
      <c r="FEQ246" s="15"/>
      <c r="FER246" s="15"/>
      <c r="FES246" s="15"/>
      <c r="FET246" s="15"/>
      <c r="FEU246" s="15"/>
      <c r="FEV246" s="15"/>
      <c r="FEW246" s="15"/>
      <c r="FEX246" s="10"/>
      <c r="FEY246" s="10"/>
      <c r="FEZ246" s="21"/>
      <c r="FFA246" s="21"/>
      <c r="FFD246" s="21"/>
      <c r="FFE246" s="15"/>
      <c r="FFF246" s="15"/>
      <c r="FFG246" s="15"/>
      <c r="FFH246" s="15"/>
      <c r="FFI246" s="15"/>
      <c r="FFJ246" s="15"/>
      <c r="FFK246" s="15"/>
      <c r="FFL246" s="15"/>
      <c r="FFM246" s="15"/>
      <c r="FFN246" s="15"/>
      <c r="FFO246" s="10"/>
      <c r="FFP246" s="10"/>
      <c r="FFQ246" s="21"/>
      <c r="FFR246" s="21"/>
      <c r="FFU246" s="21"/>
      <c r="FFV246" s="15"/>
      <c r="FFW246" s="15"/>
      <c r="FFX246" s="15"/>
      <c r="FFY246" s="15"/>
      <c r="FFZ246" s="15"/>
      <c r="FGA246" s="15"/>
      <c r="FGB246" s="15"/>
      <c r="FGC246" s="15"/>
      <c r="FGD246" s="15"/>
      <c r="FGE246" s="15"/>
      <c r="FGF246" s="10"/>
      <c r="FGG246" s="10"/>
      <c r="FGH246" s="21"/>
      <c r="FGI246" s="21"/>
      <c r="FGL246" s="21"/>
      <c r="FGM246" s="15"/>
      <c r="FGN246" s="15"/>
      <c r="FGO246" s="15"/>
      <c r="FGP246" s="15"/>
      <c r="FGQ246" s="15"/>
      <c r="FGR246" s="15"/>
      <c r="FGS246" s="15"/>
      <c r="FGT246" s="15"/>
      <c r="FGU246" s="15"/>
      <c r="FGV246" s="15"/>
      <c r="FGW246" s="10"/>
      <c r="FGX246" s="10"/>
      <c r="FGY246" s="21"/>
      <c r="FGZ246" s="21"/>
      <c r="FHC246" s="21"/>
      <c r="FHD246" s="15"/>
      <c r="FHE246" s="15"/>
      <c r="FHF246" s="15"/>
      <c r="FHG246" s="15"/>
      <c r="FHH246" s="15"/>
      <c r="FHI246" s="15"/>
      <c r="FHJ246" s="15"/>
      <c r="FHK246" s="15"/>
      <c r="FHL246" s="15"/>
      <c r="FHM246" s="15"/>
      <c r="FHN246" s="10"/>
      <c r="FHO246" s="10"/>
      <c r="FHP246" s="21"/>
      <c r="FHQ246" s="21"/>
      <c r="FHT246" s="21"/>
      <c r="FHU246" s="15"/>
      <c r="FHV246" s="15"/>
      <c r="FHW246" s="15"/>
      <c r="FHX246" s="15"/>
      <c r="FHY246" s="15"/>
      <c r="FHZ246" s="15"/>
      <c r="FIA246" s="15"/>
      <c r="FIB246" s="15"/>
      <c r="FIC246" s="15"/>
      <c r="FID246" s="15"/>
      <c r="FIE246" s="10"/>
      <c r="FIF246" s="10"/>
      <c r="FIG246" s="21"/>
      <c r="FIH246" s="21"/>
      <c r="FIK246" s="21"/>
      <c r="FIL246" s="15"/>
      <c r="FIM246" s="15"/>
      <c r="FIN246" s="15"/>
      <c r="FIO246" s="15"/>
      <c r="FIP246" s="15"/>
      <c r="FIQ246" s="15"/>
      <c r="FIR246" s="15"/>
      <c r="FIS246" s="15"/>
      <c r="FIT246" s="15"/>
      <c r="FIU246" s="15"/>
      <c r="FIV246" s="10"/>
      <c r="FIW246" s="10"/>
      <c r="FIX246" s="21"/>
      <c r="FIY246" s="21"/>
      <c r="FJB246" s="21"/>
      <c r="FJC246" s="15"/>
      <c r="FJD246" s="15"/>
      <c r="FJE246" s="15"/>
      <c r="FJF246" s="15"/>
      <c r="FJG246" s="15"/>
      <c r="FJH246" s="15"/>
      <c r="FJI246" s="15"/>
      <c r="FJJ246" s="15"/>
      <c r="FJK246" s="15"/>
      <c r="FJL246" s="15"/>
      <c r="FJM246" s="10"/>
      <c r="FJN246" s="10"/>
      <c r="FJO246" s="21"/>
      <c r="FJP246" s="21"/>
      <c r="FJS246" s="21"/>
      <c r="FJT246" s="15"/>
      <c r="FJU246" s="15"/>
      <c r="FJV246" s="15"/>
      <c r="FJW246" s="15"/>
      <c r="FJX246" s="15"/>
      <c r="FJY246" s="15"/>
      <c r="FJZ246" s="15"/>
      <c r="FKA246" s="15"/>
      <c r="FKB246" s="15"/>
      <c r="FKC246" s="15"/>
      <c r="FKD246" s="10"/>
      <c r="FKE246" s="10"/>
      <c r="FKF246" s="21"/>
      <c r="FKG246" s="21"/>
      <c r="FKJ246" s="21"/>
      <c r="FKK246" s="15"/>
      <c r="FKL246" s="15"/>
      <c r="FKM246" s="15"/>
      <c r="FKN246" s="15"/>
      <c r="FKO246" s="15"/>
      <c r="FKP246" s="15"/>
      <c r="FKQ246" s="15"/>
      <c r="FKR246" s="15"/>
      <c r="FKS246" s="15"/>
      <c r="FKT246" s="15"/>
      <c r="FKU246" s="10"/>
      <c r="FKV246" s="10"/>
      <c r="FKW246" s="21"/>
      <c r="FKX246" s="21"/>
      <c r="FLA246" s="21"/>
      <c r="FLB246" s="15"/>
      <c r="FLC246" s="15"/>
      <c r="FLD246" s="15"/>
      <c r="FLE246" s="15"/>
      <c r="FLF246" s="15"/>
      <c r="FLG246" s="15"/>
      <c r="FLH246" s="15"/>
      <c r="FLI246" s="15"/>
      <c r="FLJ246" s="15"/>
      <c r="FLK246" s="15"/>
      <c r="FLL246" s="10"/>
      <c r="FLM246" s="10"/>
      <c r="FLN246" s="21"/>
      <c r="FLO246" s="21"/>
      <c r="FLR246" s="21"/>
      <c r="FLS246" s="15"/>
      <c r="FLT246" s="15"/>
      <c r="FLU246" s="15"/>
      <c r="FLV246" s="15"/>
      <c r="FLW246" s="15"/>
      <c r="FLX246" s="15"/>
      <c r="FLY246" s="15"/>
      <c r="FLZ246" s="15"/>
      <c r="FMA246" s="15"/>
      <c r="FMB246" s="15"/>
      <c r="FMC246" s="10"/>
      <c r="FMD246" s="10"/>
      <c r="FME246" s="21"/>
      <c r="FMF246" s="21"/>
      <c r="FMI246" s="21"/>
      <c r="FMJ246" s="15"/>
      <c r="FMK246" s="15"/>
      <c r="FML246" s="15"/>
      <c r="FMM246" s="15"/>
      <c r="FMN246" s="15"/>
      <c r="FMO246" s="15"/>
      <c r="FMP246" s="15"/>
      <c r="FMQ246" s="15"/>
      <c r="FMR246" s="15"/>
      <c r="FMS246" s="15"/>
      <c r="FMT246" s="10"/>
      <c r="FMU246" s="10"/>
      <c r="FMV246" s="21"/>
      <c r="FMW246" s="21"/>
      <c r="FMZ246" s="21"/>
      <c r="FNA246" s="15"/>
      <c r="FNB246" s="15"/>
      <c r="FNC246" s="15"/>
      <c r="FND246" s="15"/>
      <c r="FNE246" s="15"/>
      <c r="FNF246" s="15"/>
      <c r="FNG246" s="15"/>
      <c r="FNH246" s="15"/>
      <c r="FNI246" s="15"/>
      <c r="FNJ246" s="15"/>
      <c r="FNK246" s="10"/>
      <c r="FNL246" s="10"/>
      <c r="FNM246" s="21"/>
      <c r="FNN246" s="21"/>
      <c r="FNQ246" s="21"/>
      <c r="FNR246" s="15"/>
      <c r="FNS246" s="15"/>
      <c r="FNT246" s="15"/>
      <c r="FNU246" s="15"/>
      <c r="FNV246" s="15"/>
      <c r="FNW246" s="15"/>
      <c r="FNX246" s="15"/>
      <c r="FNY246" s="15"/>
      <c r="FNZ246" s="15"/>
      <c r="FOA246" s="15"/>
      <c r="FOB246" s="10"/>
      <c r="FOC246" s="10"/>
      <c r="FOD246" s="21"/>
      <c r="FOE246" s="21"/>
      <c r="FOH246" s="21"/>
      <c r="FOI246" s="15"/>
      <c r="FOJ246" s="15"/>
      <c r="FOK246" s="15"/>
      <c r="FOL246" s="15"/>
      <c r="FOM246" s="15"/>
      <c r="FON246" s="15"/>
      <c r="FOO246" s="15"/>
      <c r="FOP246" s="15"/>
      <c r="FOQ246" s="15"/>
      <c r="FOR246" s="15"/>
      <c r="FOS246" s="10"/>
      <c r="FOT246" s="10"/>
      <c r="FOU246" s="21"/>
      <c r="FOV246" s="21"/>
      <c r="FOY246" s="21"/>
      <c r="FOZ246" s="15"/>
      <c r="FPA246" s="15"/>
      <c r="FPB246" s="15"/>
      <c r="FPC246" s="15"/>
      <c r="FPD246" s="15"/>
      <c r="FPE246" s="15"/>
      <c r="FPF246" s="15"/>
      <c r="FPG246" s="15"/>
      <c r="FPH246" s="15"/>
      <c r="FPI246" s="15"/>
      <c r="FPJ246" s="10"/>
      <c r="FPK246" s="10"/>
      <c r="FPL246" s="21"/>
      <c r="FPM246" s="21"/>
      <c r="FPP246" s="21"/>
      <c r="FPQ246" s="15"/>
      <c r="FPR246" s="15"/>
      <c r="FPS246" s="15"/>
      <c r="FPT246" s="15"/>
      <c r="FPU246" s="15"/>
      <c r="FPV246" s="15"/>
      <c r="FPW246" s="15"/>
      <c r="FPX246" s="15"/>
      <c r="FPY246" s="15"/>
      <c r="FPZ246" s="15"/>
      <c r="FQA246" s="10"/>
      <c r="FQB246" s="10"/>
      <c r="FQC246" s="21"/>
      <c r="FQD246" s="21"/>
      <c r="FQG246" s="21"/>
      <c r="FQH246" s="15"/>
      <c r="FQI246" s="15"/>
      <c r="FQJ246" s="15"/>
      <c r="FQK246" s="15"/>
      <c r="FQL246" s="15"/>
      <c r="FQM246" s="15"/>
      <c r="FQN246" s="15"/>
      <c r="FQO246" s="15"/>
      <c r="FQP246" s="15"/>
      <c r="FQQ246" s="15"/>
      <c r="FQR246" s="10"/>
      <c r="FQS246" s="10"/>
      <c r="FQT246" s="21"/>
      <c r="FQU246" s="21"/>
      <c r="FQX246" s="21"/>
      <c r="FQY246" s="15"/>
      <c r="FQZ246" s="15"/>
      <c r="FRA246" s="15"/>
      <c r="FRB246" s="15"/>
      <c r="FRC246" s="15"/>
      <c r="FRD246" s="15"/>
      <c r="FRE246" s="15"/>
      <c r="FRF246" s="15"/>
      <c r="FRG246" s="15"/>
      <c r="FRH246" s="15"/>
      <c r="FRI246" s="10"/>
      <c r="FRJ246" s="10"/>
      <c r="FRK246" s="21"/>
      <c r="FRL246" s="21"/>
      <c r="FRO246" s="21"/>
      <c r="FRP246" s="15"/>
      <c r="FRQ246" s="15"/>
      <c r="FRR246" s="15"/>
      <c r="FRS246" s="15"/>
      <c r="FRT246" s="15"/>
      <c r="FRU246" s="15"/>
      <c r="FRV246" s="15"/>
      <c r="FRW246" s="15"/>
      <c r="FRX246" s="15"/>
      <c r="FRY246" s="15"/>
      <c r="FRZ246" s="10"/>
      <c r="FSA246" s="10"/>
      <c r="FSB246" s="21"/>
      <c r="FSC246" s="21"/>
      <c r="FSF246" s="21"/>
      <c r="FSG246" s="15"/>
      <c r="FSH246" s="15"/>
      <c r="FSI246" s="15"/>
      <c r="FSJ246" s="15"/>
      <c r="FSK246" s="15"/>
      <c r="FSL246" s="15"/>
      <c r="FSM246" s="15"/>
      <c r="FSN246" s="15"/>
      <c r="FSO246" s="15"/>
      <c r="FSP246" s="15"/>
      <c r="FSQ246" s="10"/>
      <c r="FSR246" s="10"/>
      <c r="FSS246" s="21"/>
      <c r="FST246" s="21"/>
      <c r="FSW246" s="21"/>
      <c r="FSX246" s="15"/>
      <c r="FSY246" s="15"/>
      <c r="FSZ246" s="15"/>
      <c r="FTA246" s="15"/>
      <c r="FTB246" s="15"/>
      <c r="FTC246" s="15"/>
      <c r="FTD246" s="15"/>
      <c r="FTE246" s="15"/>
      <c r="FTF246" s="15"/>
      <c r="FTG246" s="15"/>
      <c r="FTH246" s="10"/>
      <c r="FTI246" s="10"/>
      <c r="FTJ246" s="21"/>
      <c r="FTK246" s="21"/>
      <c r="FTN246" s="21"/>
      <c r="FTO246" s="15"/>
      <c r="FTP246" s="15"/>
      <c r="FTQ246" s="15"/>
      <c r="FTR246" s="15"/>
      <c r="FTS246" s="15"/>
      <c r="FTT246" s="15"/>
      <c r="FTU246" s="15"/>
      <c r="FTV246" s="15"/>
      <c r="FTW246" s="15"/>
      <c r="FTX246" s="15"/>
      <c r="FTY246" s="10"/>
      <c r="FTZ246" s="10"/>
      <c r="FUA246" s="21"/>
      <c r="FUB246" s="21"/>
      <c r="FUE246" s="21"/>
      <c r="FUF246" s="15"/>
      <c r="FUG246" s="15"/>
      <c r="FUH246" s="15"/>
      <c r="FUI246" s="15"/>
      <c r="FUJ246" s="15"/>
      <c r="FUK246" s="15"/>
      <c r="FUL246" s="15"/>
      <c r="FUM246" s="15"/>
      <c r="FUN246" s="15"/>
      <c r="FUO246" s="15"/>
      <c r="FUP246" s="10"/>
      <c r="FUQ246" s="10"/>
      <c r="FUR246" s="21"/>
      <c r="FUS246" s="21"/>
      <c r="FUV246" s="21"/>
      <c r="FUW246" s="15"/>
      <c r="FUX246" s="15"/>
      <c r="FUY246" s="15"/>
      <c r="FUZ246" s="15"/>
      <c r="FVA246" s="15"/>
      <c r="FVB246" s="15"/>
      <c r="FVC246" s="15"/>
      <c r="FVD246" s="15"/>
      <c r="FVE246" s="15"/>
      <c r="FVF246" s="15"/>
      <c r="FVG246" s="10"/>
      <c r="FVH246" s="10"/>
      <c r="FVI246" s="21"/>
      <c r="FVJ246" s="21"/>
      <c r="FVM246" s="21"/>
      <c r="FVN246" s="15"/>
      <c r="FVO246" s="15"/>
      <c r="FVP246" s="15"/>
      <c r="FVQ246" s="15"/>
      <c r="FVR246" s="15"/>
      <c r="FVS246" s="15"/>
      <c r="FVT246" s="15"/>
      <c r="FVU246" s="15"/>
      <c r="FVV246" s="15"/>
      <c r="FVW246" s="15"/>
      <c r="FVX246" s="10"/>
      <c r="FVY246" s="10"/>
      <c r="FVZ246" s="21"/>
      <c r="FWA246" s="21"/>
      <c r="FWD246" s="21"/>
      <c r="FWE246" s="15"/>
      <c r="FWF246" s="15"/>
      <c r="FWG246" s="15"/>
      <c r="FWH246" s="15"/>
      <c r="FWI246" s="15"/>
      <c r="FWJ246" s="15"/>
      <c r="FWK246" s="15"/>
      <c r="FWL246" s="15"/>
      <c r="FWM246" s="15"/>
      <c r="FWN246" s="15"/>
      <c r="FWO246" s="10"/>
      <c r="FWP246" s="10"/>
      <c r="FWQ246" s="21"/>
      <c r="FWR246" s="21"/>
      <c r="FWU246" s="21"/>
      <c r="FWV246" s="15"/>
      <c r="FWW246" s="15"/>
      <c r="FWX246" s="15"/>
      <c r="FWY246" s="15"/>
      <c r="FWZ246" s="15"/>
      <c r="FXA246" s="15"/>
      <c r="FXB246" s="15"/>
      <c r="FXC246" s="15"/>
      <c r="FXD246" s="15"/>
      <c r="FXE246" s="15"/>
      <c r="FXF246" s="10"/>
      <c r="FXG246" s="10"/>
      <c r="FXH246" s="21"/>
      <c r="FXI246" s="21"/>
      <c r="FXL246" s="21"/>
      <c r="FXM246" s="15"/>
      <c r="FXN246" s="15"/>
      <c r="FXO246" s="15"/>
      <c r="FXP246" s="15"/>
      <c r="FXQ246" s="15"/>
      <c r="FXR246" s="15"/>
      <c r="FXS246" s="15"/>
      <c r="FXT246" s="15"/>
      <c r="FXU246" s="15"/>
      <c r="FXV246" s="15"/>
      <c r="FXW246" s="10"/>
      <c r="FXX246" s="10"/>
      <c r="FXY246" s="21"/>
      <c r="FXZ246" s="21"/>
      <c r="FYC246" s="21"/>
      <c r="FYD246" s="15"/>
      <c r="FYE246" s="15"/>
      <c r="FYF246" s="15"/>
      <c r="FYG246" s="15"/>
      <c r="FYH246" s="15"/>
      <c r="FYI246" s="15"/>
      <c r="FYJ246" s="15"/>
      <c r="FYK246" s="15"/>
      <c r="FYL246" s="15"/>
      <c r="FYM246" s="15"/>
      <c r="FYN246" s="10"/>
      <c r="FYO246" s="10"/>
      <c r="FYP246" s="21"/>
      <c r="FYQ246" s="21"/>
      <c r="FYT246" s="21"/>
      <c r="FYU246" s="15"/>
      <c r="FYV246" s="15"/>
      <c r="FYW246" s="15"/>
      <c r="FYX246" s="15"/>
      <c r="FYY246" s="15"/>
      <c r="FYZ246" s="15"/>
      <c r="FZA246" s="15"/>
      <c r="FZB246" s="15"/>
      <c r="FZC246" s="15"/>
      <c r="FZD246" s="15"/>
      <c r="FZE246" s="10"/>
      <c r="FZF246" s="10"/>
      <c r="FZG246" s="21"/>
      <c r="FZH246" s="21"/>
      <c r="FZK246" s="21"/>
      <c r="FZL246" s="15"/>
      <c r="FZM246" s="15"/>
      <c r="FZN246" s="15"/>
      <c r="FZO246" s="15"/>
      <c r="FZP246" s="15"/>
      <c r="FZQ246" s="15"/>
      <c r="FZR246" s="15"/>
      <c r="FZS246" s="15"/>
      <c r="FZT246" s="15"/>
      <c r="FZU246" s="15"/>
      <c r="FZV246" s="10"/>
      <c r="FZW246" s="10"/>
      <c r="FZX246" s="21"/>
      <c r="FZY246" s="21"/>
      <c r="GAB246" s="21"/>
      <c r="GAC246" s="15"/>
      <c r="GAD246" s="15"/>
      <c r="GAE246" s="15"/>
      <c r="GAF246" s="15"/>
      <c r="GAG246" s="15"/>
      <c r="GAH246" s="15"/>
      <c r="GAI246" s="15"/>
      <c r="GAJ246" s="15"/>
      <c r="GAK246" s="15"/>
      <c r="GAL246" s="15"/>
      <c r="GAM246" s="10"/>
      <c r="GAN246" s="10"/>
      <c r="GAO246" s="21"/>
      <c r="GAP246" s="21"/>
      <c r="GAS246" s="21"/>
      <c r="GAT246" s="15"/>
      <c r="GAU246" s="15"/>
      <c r="GAV246" s="15"/>
      <c r="GAW246" s="15"/>
      <c r="GAX246" s="15"/>
      <c r="GAY246" s="15"/>
      <c r="GAZ246" s="15"/>
      <c r="GBA246" s="15"/>
      <c r="GBB246" s="15"/>
      <c r="GBC246" s="15"/>
      <c r="GBD246" s="10"/>
      <c r="GBE246" s="10"/>
      <c r="GBF246" s="21"/>
      <c r="GBG246" s="21"/>
      <c r="GBJ246" s="21"/>
      <c r="GBK246" s="15"/>
      <c r="GBL246" s="15"/>
      <c r="GBM246" s="15"/>
      <c r="GBN246" s="15"/>
      <c r="GBO246" s="15"/>
      <c r="GBP246" s="15"/>
      <c r="GBQ246" s="15"/>
      <c r="GBR246" s="15"/>
      <c r="GBS246" s="15"/>
      <c r="GBT246" s="15"/>
      <c r="GBU246" s="10"/>
      <c r="GBV246" s="10"/>
      <c r="GBW246" s="21"/>
      <c r="GBX246" s="21"/>
      <c r="GCA246" s="21"/>
      <c r="GCB246" s="15"/>
      <c r="GCC246" s="15"/>
      <c r="GCD246" s="15"/>
      <c r="GCE246" s="15"/>
      <c r="GCF246" s="15"/>
      <c r="GCG246" s="15"/>
      <c r="GCH246" s="15"/>
      <c r="GCI246" s="15"/>
      <c r="GCJ246" s="15"/>
      <c r="GCK246" s="15"/>
      <c r="GCL246" s="10"/>
      <c r="GCM246" s="10"/>
      <c r="GCN246" s="21"/>
      <c r="GCO246" s="21"/>
      <c r="GCR246" s="21"/>
      <c r="GCS246" s="15"/>
      <c r="GCT246" s="15"/>
      <c r="GCU246" s="15"/>
      <c r="GCV246" s="15"/>
      <c r="GCW246" s="15"/>
      <c r="GCX246" s="15"/>
      <c r="GCY246" s="15"/>
      <c r="GCZ246" s="15"/>
      <c r="GDA246" s="15"/>
      <c r="GDB246" s="15"/>
      <c r="GDC246" s="10"/>
      <c r="GDD246" s="10"/>
      <c r="GDE246" s="21"/>
      <c r="GDF246" s="21"/>
      <c r="GDI246" s="21"/>
      <c r="GDJ246" s="15"/>
      <c r="GDK246" s="15"/>
      <c r="GDL246" s="15"/>
      <c r="GDM246" s="15"/>
      <c r="GDN246" s="15"/>
      <c r="GDO246" s="15"/>
      <c r="GDP246" s="15"/>
      <c r="GDQ246" s="15"/>
      <c r="GDR246" s="15"/>
      <c r="GDS246" s="15"/>
      <c r="GDT246" s="10"/>
      <c r="GDU246" s="10"/>
      <c r="GDV246" s="21"/>
      <c r="GDW246" s="21"/>
      <c r="GDZ246" s="21"/>
      <c r="GEA246" s="15"/>
      <c r="GEB246" s="15"/>
      <c r="GEC246" s="15"/>
      <c r="GED246" s="15"/>
      <c r="GEE246" s="15"/>
      <c r="GEF246" s="15"/>
      <c r="GEG246" s="15"/>
      <c r="GEH246" s="15"/>
      <c r="GEI246" s="15"/>
      <c r="GEJ246" s="15"/>
      <c r="GEK246" s="10"/>
      <c r="GEL246" s="10"/>
      <c r="GEM246" s="21"/>
      <c r="GEN246" s="21"/>
      <c r="GEQ246" s="21"/>
      <c r="GER246" s="15"/>
      <c r="GES246" s="15"/>
      <c r="GET246" s="15"/>
      <c r="GEU246" s="15"/>
      <c r="GEV246" s="15"/>
      <c r="GEW246" s="15"/>
      <c r="GEX246" s="15"/>
      <c r="GEY246" s="15"/>
      <c r="GEZ246" s="15"/>
      <c r="GFA246" s="15"/>
      <c r="GFB246" s="10"/>
      <c r="GFC246" s="10"/>
      <c r="GFD246" s="21"/>
      <c r="GFE246" s="21"/>
      <c r="GFH246" s="21"/>
      <c r="GFI246" s="15"/>
      <c r="GFJ246" s="15"/>
      <c r="GFK246" s="15"/>
      <c r="GFL246" s="15"/>
      <c r="GFM246" s="15"/>
      <c r="GFN246" s="15"/>
      <c r="GFO246" s="15"/>
      <c r="GFP246" s="15"/>
      <c r="GFQ246" s="15"/>
      <c r="GFR246" s="15"/>
      <c r="GFS246" s="10"/>
      <c r="GFT246" s="10"/>
      <c r="GFU246" s="21"/>
      <c r="GFV246" s="21"/>
      <c r="GFY246" s="21"/>
      <c r="GFZ246" s="15"/>
      <c r="GGA246" s="15"/>
      <c r="GGB246" s="15"/>
      <c r="GGC246" s="15"/>
      <c r="GGD246" s="15"/>
      <c r="GGE246" s="15"/>
      <c r="GGF246" s="15"/>
      <c r="GGG246" s="15"/>
      <c r="GGH246" s="15"/>
      <c r="GGI246" s="15"/>
      <c r="GGJ246" s="10"/>
      <c r="GGK246" s="10"/>
      <c r="GGL246" s="21"/>
      <c r="GGM246" s="21"/>
      <c r="GGP246" s="21"/>
      <c r="GGQ246" s="15"/>
      <c r="GGR246" s="15"/>
      <c r="GGS246" s="15"/>
      <c r="GGT246" s="15"/>
      <c r="GGU246" s="15"/>
      <c r="GGV246" s="15"/>
      <c r="GGW246" s="15"/>
      <c r="GGX246" s="15"/>
      <c r="GGY246" s="15"/>
      <c r="GGZ246" s="15"/>
      <c r="GHA246" s="10"/>
      <c r="GHB246" s="10"/>
      <c r="GHC246" s="21"/>
      <c r="GHD246" s="21"/>
      <c r="GHG246" s="21"/>
      <c r="GHH246" s="15"/>
      <c r="GHI246" s="15"/>
      <c r="GHJ246" s="15"/>
      <c r="GHK246" s="15"/>
      <c r="GHL246" s="15"/>
      <c r="GHM246" s="15"/>
      <c r="GHN246" s="15"/>
      <c r="GHO246" s="15"/>
      <c r="GHP246" s="15"/>
      <c r="GHQ246" s="15"/>
      <c r="GHR246" s="10"/>
      <c r="GHS246" s="10"/>
      <c r="GHT246" s="21"/>
      <c r="GHU246" s="21"/>
      <c r="GHX246" s="21"/>
      <c r="GHY246" s="15"/>
      <c r="GHZ246" s="15"/>
      <c r="GIA246" s="15"/>
      <c r="GIB246" s="15"/>
      <c r="GIC246" s="15"/>
      <c r="GID246" s="15"/>
      <c r="GIE246" s="15"/>
      <c r="GIF246" s="15"/>
      <c r="GIG246" s="15"/>
      <c r="GIH246" s="15"/>
      <c r="GII246" s="10"/>
      <c r="GIJ246" s="10"/>
      <c r="GIK246" s="21"/>
      <c r="GIL246" s="21"/>
      <c r="GIO246" s="21"/>
      <c r="GIP246" s="15"/>
      <c r="GIQ246" s="15"/>
      <c r="GIR246" s="15"/>
      <c r="GIS246" s="15"/>
      <c r="GIT246" s="15"/>
      <c r="GIU246" s="15"/>
      <c r="GIV246" s="15"/>
      <c r="GIW246" s="15"/>
      <c r="GIX246" s="15"/>
      <c r="GIY246" s="15"/>
      <c r="GIZ246" s="10"/>
      <c r="GJA246" s="10"/>
      <c r="GJB246" s="21"/>
      <c r="GJC246" s="21"/>
      <c r="GJF246" s="21"/>
      <c r="GJG246" s="15"/>
      <c r="GJH246" s="15"/>
      <c r="GJI246" s="15"/>
      <c r="GJJ246" s="15"/>
      <c r="GJK246" s="15"/>
      <c r="GJL246" s="15"/>
      <c r="GJM246" s="15"/>
      <c r="GJN246" s="15"/>
      <c r="GJO246" s="15"/>
      <c r="GJP246" s="15"/>
      <c r="GJQ246" s="10"/>
      <c r="GJR246" s="10"/>
      <c r="GJS246" s="21"/>
      <c r="GJT246" s="21"/>
      <c r="GJW246" s="21"/>
      <c r="GJX246" s="15"/>
      <c r="GJY246" s="15"/>
      <c r="GJZ246" s="15"/>
      <c r="GKA246" s="15"/>
      <c r="GKB246" s="15"/>
      <c r="GKC246" s="15"/>
      <c r="GKD246" s="15"/>
      <c r="GKE246" s="15"/>
      <c r="GKF246" s="15"/>
      <c r="GKG246" s="15"/>
      <c r="GKH246" s="10"/>
      <c r="GKI246" s="10"/>
      <c r="GKJ246" s="21"/>
      <c r="GKK246" s="21"/>
      <c r="GKN246" s="21"/>
      <c r="GKO246" s="15"/>
      <c r="GKP246" s="15"/>
      <c r="GKQ246" s="15"/>
      <c r="GKR246" s="15"/>
      <c r="GKS246" s="15"/>
      <c r="GKT246" s="15"/>
      <c r="GKU246" s="15"/>
      <c r="GKV246" s="15"/>
      <c r="GKW246" s="15"/>
      <c r="GKX246" s="15"/>
      <c r="GKY246" s="10"/>
      <c r="GKZ246" s="10"/>
      <c r="GLA246" s="21"/>
      <c r="GLB246" s="21"/>
      <c r="GLE246" s="21"/>
      <c r="GLF246" s="15"/>
      <c r="GLG246" s="15"/>
      <c r="GLH246" s="15"/>
      <c r="GLI246" s="15"/>
      <c r="GLJ246" s="15"/>
      <c r="GLK246" s="15"/>
      <c r="GLL246" s="15"/>
      <c r="GLM246" s="15"/>
      <c r="GLN246" s="15"/>
      <c r="GLO246" s="15"/>
      <c r="GLP246" s="10"/>
      <c r="GLQ246" s="10"/>
      <c r="GLR246" s="21"/>
      <c r="GLS246" s="21"/>
      <c r="GLV246" s="21"/>
      <c r="GLW246" s="15"/>
      <c r="GLX246" s="15"/>
      <c r="GLY246" s="15"/>
      <c r="GLZ246" s="15"/>
      <c r="GMA246" s="15"/>
      <c r="GMB246" s="15"/>
      <c r="GMC246" s="15"/>
      <c r="GMD246" s="15"/>
      <c r="GME246" s="15"/>
      <c r="GMF246" s="15"/>
      <c r="GMG246" s="10"/>
      <c r="GMH246" s="10"/>
      <c r="GMI246" s="21"/>
      <c r="GMJ246" s="21"/>
      <c r="GMM246" s="21"/>
      <c r="GMN246" s="15"/>
      <c r="GMO246" s="15"/>
      <c r="GMP246" s="15"/>
      <c r="GMQ246" s="15"/>
      <c r="GMR246" s="15"/>
      <c r="GMS246" s="15"/>
      <c r="GMT246" s="15"/>
      <c r="GMU246" s="15"/>
      <c r="GMV246" s="15"/>
      <c r="GMW246" s="15"/>
      <c r="GMX246" s="10"/>
      <c r="GMY246" s="10"/>
      <c r="GMZ246" s="21"/>
      <c r="GNA246" s="21"/>
      <c r="GND246" s="21"/>
      <c r="GNE246" s="15"/>
      <c r="GNF246" s="15"/>
      <c r="GNG246" s="15"/>
      <c r="GNH246" s="15"/>
      <c r="GNI246" s="15"/>
      <c r="GNJ246" s="15"/>
      <c r="GNK246" s="15"/>
      <c r="GNL246" s="15"/>
      <c r="GNM246" s="15"/>
      <c r="GNN246" s="15"/>
      <c r="GNO246" s="10"/>
      <c r="GNP246" s="10"/>
      <c r="GNQ246" s="21"/>
      <c r="GNR246" s="21"/>
      <c r="GNU246" s="21"/>
      <c r="GNV246" s="15"/>
      <c r="GNW246" s="15"/>
      <c r="GNX246" s="15"/>
      <c r="GNY246" s="15"/>
      <c r="GNZ246" s="15"/>
      <c r="GOA246" s="15"/>
      <c r="GOB246" s="15"/>
      <c r="GOC246" s="15"/>
      <c r="GOD246" s="15"/>
      <c r="GOE246" s="15"/>
      <c r="GOF246" s="10"/>
      <c r="GOG246" s="10"/>
      <c r="GOH246" s="21"/>
      <c r="GOI246" s="21"/>
      <c r="GOL246" s="21"/>
      <c r="GOM246" s="15"/>
      <c r="GON246" s="15"/>
      <c r="GOO246" s="15"/>
      <c r="GOP246" s="15"/>
      <c r="GOQ246" s="15"/>
      <c r="GOR246" s="15"/>
      <c r="GOS246" s="15"/>
      <c r="GOT246" s="15"/>
      <c r="GOU246" s="15"/>
      <c r="GOV246" s="15"/>
      <c r="GOW246" s="10"/>
      <c r="GOX246" s="10"/>
      <c r="GOY246" s="21"/>
      <c r="GOZ246" s="21"/>
      <c r="GPC246" s="21"/>
      <c r="GPD246" s="15"/>
      <c r="GPE246" s="15"/>
      <c r="GPF246" s="15"/>
      <c r="GPG246" s="15"/>
      <c r="GPH246" s="15"/>
      <c r="GPI246" s="15"/>
      <c r="GPJ246" s="15"/>
      <c r="GPK246" s="15"/>
      <c r="GPL246" s="15"/>
      <c r="GPM246" s="15"/>
      <c r="GPN246" s="10"/>
      <c r="GPO246" s="10"/>
      <c r="GPP246" s="21"/>
      <c r="GPQ246" s="21"/>
      <c r="GPT246" s="21"/>
      <c r="GPU246" s="15"/>
      <c r="GPV246" s="15"/>
      <c r="GPW246" s="15"/>
      <c r="GPX246" s="15"/>
      <c r="GPY246" s="15"/>
      <c r="GPZ246" s="15"/>
      <c r="GQA246" s="15"/>
      <c r="GQB246" s="15"/>
      <c r="GQC246" s="15"/>
      <c r="GQD246" s="15"/>
      <c r="GQE246" s="10"/>
      <c r="GQF246" s="10"/>
      <c r="GQG246" s="21"/>
      <c r="GQH246" s="21"/>
      <c r="GQK246" s="21"/>
      <c r="GQL246" s="15"/>
      <c r="GQM246" s="15"/>
      <c r="GQN246" s="15"/>
      <c r="GQO246" s="15"/>
      <c r="GQP246" s="15"/>
      <c r="GQQ246" s="15"/>
      <c r="GQR246" s="15"/>
      <c r="GQS246" s="15"/>
      <c r="GQT246" s="15"/>
      <c r="GQU246" s="15"/>
      <c r="GQV246" s="10"/>
      <c r="GQW246" s="10"/>
      <c r="GQX246" s="21"/>
      <c r="GQY246" s="21"/>
      <c r="GRB246" s="21"/>
      <c r="GRC246" s="15"/>
      <c r="GRD246" s="15"/>
      <c r="GRE246" s="15"/>
      <c r="GRF246" s="15"/>
      <c r="GRG246" s="15"/>
      <c r="GRH246" s="15"/>
      <c r="GRI246" s="15"/>
      <c r="GRJ246" s="15"/>
      <c r="GRK246" s="15"/>
      <c r="GRL246" s="15"/>
      <c r="GRM246" s="10"/>
      <c r="GRN246" s="10"/>
      <c r="GRO246" s="21"/>
      <c r="GRP246" s="21"/>
      <c r="GRS246" s="21"/>
      <c r="GRT246" s="15"/>
      <c r="GRU246" s="15"/>
      <c r="GRV246" s="15"/>
      <c r="GRW246" s="15"/>
      <c r="GRX246" s="15"/>
      <c r="GRY246" s="15"/>
      <c r="GRZ246" s="15"/>
      <c r="GSA246" s="15"/>
      <c r="GSB246" s="15"/>
      <c r="GSC246" s="15"/>
      <c r="GSD246" s="10"/>
      <c r="GSE246" s="10"/>
      <c r="GSF246" s="21"/>
      <c r="GSG246" s="21"/>
      <c r="GSJ246" s="21"/>
      <c r="GSK246" s="15"/>
      <c r="GSL246" s="15"/>
      <c r="GSM246" s="15"/>
      <c r="GSN246" s="15"/>
      <c r="GSO246" s="15"/>
      <c r="GSP246" s="15"/>
      <c r="GSQ246" s="15"/>
      <c r="GSR246" s="15"/>
      <c r="GSS246" s="15"/>
      <c r="GST246" s="15"/>
      <c r="GSU246" s="10"/>
      <c r="GSV246" s="10"/>
      <c r="GSW246" s="21"/>
      <c r="GSX246" s="21"/>
      <c r="GTA246" s="21"/>
      <c r="GTB246" s="15"/>
      <c r="GTC246" s="15"/>
      <c r="GTD246" s="15"/>
      <c r="GTE246" s="15"/>
      <c r="GTF246" s="15"/>
      <c r="GTG246" s="15"/>
      <c r="GTH246" s="15"/>
      <c r="GTI246" s="15"/>
      <c r="GTJ246" s="15"/>
      <c r="GTK246" s="15"/>
      <c r="GTL246" s="10"/>
      <c r="GTM246" s="10"/>
      <c r="GTN246" s="21"/>
      <c r="GTO246" s="21"/>
      <c r="GTR246" s="21"/>
      <c r="GTS246" s="15"/>
      <c r="GTT246" s="15"/>
      <c r="GTU246" s="15"/>
      <c r="GTV246" s="15"/>
      <c r="GTW246" s="15"/>
      <c r="GTX246" s="15"/>
      <c r="GTY246" s="15"/>
      <c r="GTZ246" s="15"/>
      <c r="GUA246" s="15"/>
      <c r="GUB246" s="15"/>
      <c r="GUC246" s="10"/>
      <c r="GUD246" s="10"/>
      <c r="GUE246" s="21"/>
      <c r="GUF246" s="21"/>
      <c r="GUI246" s="21"/>
      <c r="GUJ246" s="15"/>
      <c r="GUK246" s="15"/>
      <c r="GUL246" s="15"/>
      <c r="GUM246" s="15"/>
      <c r="GUN246" s="15"/>
      <c r="GUO246" s="15"/>
      <c r="GUP246" s="15"/>
      <c r="GUQ246" s="15"/>
      <c r="GUR246" s="15"/>
      <c r="GUS246" s="15"/>
      <c r="GUT246" s="10"/>
      <c r="GUU246" s="10"/>
      <c r="GUV246" s="21"/>
      <c r="GUW246" s="21"/>
      <c r="GUZ246" s="21"/>
      <c r="GVA246" s="15"/>
      <c r="GVB246" s="15"/>
      <c r="GVC246" s="15"/>
      <c r="GVD246" s="15"/>
      <c r="GVE246" s="15"/>
      <c r="GVF246" s="15"/>
      <c r="GVG246" s="15"/>
      <c r="GVH246" s="15"/>
      <c r="GVI246" s="15"/>
      <c r="GVJ246" s="15"/>
      <c r="GVK246" s="10"/>
      <c r="GVL246" s="10"/>
      <c r="GVM246" s="21"/>
      <c r="GVN246" s="21"/>
      <c r="GVQ246" s="21"/>
      <c r="GVR246" s="15"/>
      <c r="GVS246" s="15"/>
      <c r="GVT246" s="15"/>
      <c r="GVU246" s="15"/>
      <c r="GVV246" s="15"/>
      <c r="GVW246" s="15"/>
      <c r="GVX246" s="15"/>
      <c r="GVY246" s="15"/>
      <c r="GVZ246" s="15"/>
      <c r="GWA246" s="15"/>
      <c r="GWB246" s="10"/>
      <c r="GWC246" s="10"/>
      <c r="GWD246" s="21"/>
      <c r="GWE246" s="21"/>
      <c r="GWH246" s="21"/>
      <c r="GWI246" s="15"/>
      <c r="GWJ246" s="15"/>
      <c r="GWK246" s="15"/>
      <c r="GWL246" s="15"/>
      <c r="GWM246" s="15"/>
      <c r="GWN246" s="15"/>
      <c r="GWO246" s="15"/>
      <c r="GWP246" s="15"/>
      <c r="GWQ246" s="15"/>
      <c r="GWR246" s="15"/>
      <c r="GWS246" s="10"/>
      <c r="GWT246" s="10"/>
      <c r="GWU246" s="21"/>
      <c r="GWV246" s="21"/>
      <c r="GWY246" s="21"/>
      <c r="GWZ246" s="15"/>
      <c r="GXA246" s="15"/>
      <c r="GXB246" s="15"/>
      <c r="GXC246" s="15"/>
      <c r="GXD246" s="15"/>
      <c r="GXE246" s="15"/>
      <c r="GXF246" s="15"/>
      <c r="GXG246" s="15"/>
      <c r="GXH246" s="15"/>
      <c r="GXI246" s="15"/>
      <c r="GXJ246" s="10"/>
      <c r="GXK246" s="10"/>
      <c r="GXL246" s="21"/>
      <c r="GXM246" s="21"/>
      <c r="GXP246" s="21"/>
      <c r="GXQ246" s="15"/>
      <c r="GXR246" s="15"/>
      <c r="GXS246" s="15"/>
      <c r="GXT246" s="15"/>
      <c r="GXU246" s="15"/>
      <c r="GXV246" s="15"/>
      <c r="GXW246" s="15"/>
      <c r="GXX246" s="15"/>
      <c r="GXY246" s="15"/>
      <c r="GXZ246" s="15"/>
      <c r="GYA246" s="10"/>
      <c r="GYB246" s="10"/>
      <c r="GYC246" s="21"/>
      <c r="GYD246" s="21"/>
      <c r="GYG246" s="21"/>
      <c r="GYH246" s="15"/>
      <c r="GYI246" s="15"/>
      <c r="GYJ246" s="15"/>
      <c r="GYK246" s="15"/>
      <c r="GYL246" s="15"/>
      <c r="GYM246" s="15"/>
      <c r="GYN246" s="15"/>
      <c r="GYO246" s="15"/>
      <c r="GYP246" s="15"/>
      <c r="GYQ246" s="15"/>
      <c r="GYR246" s="10"/>
      <c r="GYS246" s="10"/>
      <c r="GYT246" s="21"/>
      <c r="GYU246" s="21"/>
      <c r="GYX246" s="21"/>
      <c r="GYY246" s="15"/>
      <c r="GYZ246" s="15"/>
      <c r="GZA246" s="15"/>
      <c r="GZB246" s="15"/>
      <c r="GZC246" s="15"/>
      <c r="GZD246" s="15"/>
      <c r="GZE246" s="15"/>
      <c r="GZF246" s="15"/>
      <c r="GZG246" s="15"/>
      <c r="GZH246" s="15"/>
      <c r="GZI246" s="10"/>
      <c r="GZJ246" s="10"/>
      <c r="GZK246" s="21"/>
      <c r="GZL246" s="21"/>
      <c r="GZO246" s="21"/>
      <c r="GZP246" s="15"/>
      <c r="GZQ246" s="15"/>
      <c r="GZR246" s="15"/>
      <c r="GZS246" s="15"/>
      <c r="GZT246" s="15"/>
      <c r="GZU246" s="15"/>
      <c r="GZV246" s="15"/>
      <c r="GZW246" s="15"/>
      <c r="GZX246" s="15"/>
      <c r="GZY246" s="15"/>
      <c r="GZZ246" s="10"/>
      <c r="HAA246" s="10"/>
      <c r="HAB246" s="21"/>
      <c r="HAC246" s="21"/>
      <c r="HAF246" s="21"/>
      <c r="HAG246" s="15"/>
      <c r="HAH246" s="15"/>
      <c r="HAI246" s="15"/>
      <c r="HAJ246" s="15"/>
      <c r="HAK246" s="15"/>
      <c r="HAL246" s="15"/>
      <c r="HAM246" s="15"/>
      <c r="HAN246" s="15"/>
      <c r="HAO246" s="15"/>
      <c r="HAP246" s="15"/>
      <c r="HAQ246" s="10"/>
      <c r="HAR246" s="10"/>
      <c r="HAS246" s="21"/>
      <c r="HAT246" s="21"/>
      <c r="HAW246" s="21"/>
      <c r="HAX246" s="15"/>
      <c r="HAY246" s="15"/>
      <c r="HAZ246" s="15"/>
      <c r="HBA246" s="15"/>
      <c r="HBB246" s="15"/>
      <c r="HBC246" s="15"/>
      <c r="HBD246" s="15"/>
      <c r="HBE246" s="15"/>
      <c r="HBF246" s="15"/>
      <c r="HBG246" s="15"/>
      <c r="HBH246" s="10"/>
      <c r="HBI246" s="10"/>
      <c r="HBJ246" s="21"/>
      <c r="HBK246" s="21"/>
      <c r="HBN246" s="21"/>
      <c r="HBO246" s="15"/>
      <c r="HBP246" s="15"/>
      <c r="HBQ246" s="15"/>
      <c r="HBR246" s="15"/>
      <c r="HBS246" s="15"/>
      <c r="HBT246" s="15"/>
      <c r="HBU246" s="15"/>
      <c r="HBV246" s="15"/>
      <c r="HBW246" s="15"/>
      <c r="HBX246" s="15"/>
      <c r="HBY246" s="10"/>
      <c r="HBZ246" s="10"/>
      <c r="HCA246" s="21"/>
      <c r="HCB246" s="21"/>
      <c r="HCE246" s="21"/>
      <c r="HCF246" s="15"/>
      <c r="HCG246" s="15"/>
      <c r="HCH246" s="15"/>
      <c r="HCI246" s="15"/>
      <c r="HCJ246" s="15"/>
      <c r="HCK246" s="15"/>
      <c r="HCL246" s="15"/>
      <c r="HCM246" s="15"/>
      <c r="HCN246" s="15"/>
      <c r="HCO246" s="15"/>
      <c r="HCP246" s="10"/>
      <c r="HCQ246" s="10"/>
      <c r="HCR246" s="21"/>
      <c r="HCS246" s="21"/>
      <c r="HCV246" s="21"/>
      <c r="HCW246" s="15"/>
      <c r="HCX246" s="15"/>
      <c r="HCY246" s="15"/>
      <c r="HCZ246" s="15"/>
      <c r="HDA246" s="15"/>
      <c r="HDB246" s="15"/>
      <c r="HDC246" s="15"/>
      <c r="HDD246" s="15"/>
      <c r="HDE246" s="15"/>
      <c r="HDF246" s="15"/>
      <c r="HDG246" s="10"/>
      <c r="HDH246" s="10"/>
      <c r="HDI246" s="21"/>
      <c r="HDJ246" s="21"/>
      <c r="HDM246" s="21"/>
      <c r="HDN246" s="15"/>
      <c r="HDO246" s="15"/>
      <c r="HDP246" s="15"/>
      <c r="HDQ246" s="15"/>
      <c r="HDR246" s="15"/>
      <c r="HDS246" s="15"/>
      <c r="HDT246" s="15"/>
      <c r="HDU246" s="15"/>
      <c r="HDV246" s="15"/>
      <c r="HDW246" s="15"/>
      <c r="HDX246" s="10"/>
      <c r="HDY246" s="10"/>
      <c r="HDZ246" s="21"/>
      <c r="HEA246" s="21"/>
      <c r="HED246" s="21"/>
      <c r="HEE246" s="15"/>
      <c r="HEF246" s="15"/>
      <c r="HEG246" s="15"/>
      <c r="HEH246" s="15"/>
      <c r="HEI246" s="15"/>
      <c r="HEJ246" s="15"/>
      <c r="HEK246" s="15"/>
      <c r="HEL246" s="15"/>
      <c r="HEM246" s="15"/>
      <c r="HEN246" s="15"/>
      <c r="HEO246" s="10"/>
      <c r="HEP246" s="10"/>
      <c r="HEQ246" s="21"/>
      <c r="HER246" s="21"/>
      <c r="HEU246" s="21"/>
      <c r="HEV246" s="15"/>
      <c r="HEW246" s="15"/>
      <c r="HEX246" s="15"/>
      <c r="HEY246" s="15"/>
      <c r="HEZ246" s="15"/>
      <c r="HFA246" s="15"/>
      <c r="HFB246" s="15"/>
      <c r="HFC246" s="15"/>
      <c r="HFD246" s="15"/>
      <c r="HFE246" s="15"/>
      <c r="HFF246" s="10"/>
      <c r="HFG246" s="10"/>
      <c r="HFH246" s="21"/>
      <c r="HFI246" s="21"/>
      <c r="HFL246" s="21"/>
      <c r="HFM246" s="15"/>
      <c r="HFN246" s="15"/>
      <c r="HFO246" s="15"/>
      <c r="HFP246" s="15"/>
      <c r="HFQ246" s="15"/>
      <c r="HFR246" s="15"/>
      <c r="HFS246" s="15"/>
      <c r="HFT246" s="15"/>
      <c r="HFU246" s="15"/>
      <c r="HFV246" s="15"/>
      <c r="HFW246" s="10"/>
      <c r="HFX246" s="10"/>
      <c r="HFY246" s="21"/>
      <c r="HFZ246" s="21"/>
      <c r="HGC246" s="21"/>
      <c r="HGD246" s="15"/>
      <c r="HGE246" s="15"/>
      <c r="HGF246" s="15"/>
      <c r="HGG246" s="15"/>
      <c r="HGH246" s="15"/>
      <c r="HGI246" s="15"/>
      <c r="HGJ246" s="15"/>
      <c r="HGK246" s="15"/>
      <c r="HGL246" s="15"/>
      <c r="HGM246" s="15"/>
      <c r="HGN246" s="10"/>
      <c r="HGO246" s="10"/>
      <c r="HGP246" s="21"/>
      <c r="HGQ246" s="21"/>
      <c r="HGT246" s="21"/>
      <c r="HGU246" s="15"/>
      <c r="HGV246" s="15"/>
      <c r="HGW246" s="15"/>
      <c r="HGX246" s="15"/>
      <c r="HGY246" s="15"/>
      <c r="HGZ246" s="15"/>
      <c r="HHA246" s="15"/>
      <c r="HHB246" s="15"/>
      <c r="HHC246" s="15"/>
      <c r="HHD246" s="15"/>
      <c r="HHE246" s="10"/>
      <c r="HHF246" s="10"/>
      <c r="HHG246" s="21"/>
      <c r="HHH246" s="21"/>
      <c r="HHK246" s="21"/>
      <c r="HHL246" s="15"/>
      <c r="HHM246" s="15"/>
      <c r="HHN246" s="15"/>
      <c r="HHO246" s="15"/>
      <c r="HHP246" s="15"/>
      <c r="HHQ246" s="15"/>
      <c r="HHR246" s="15"/>
      <c r="HHS246" s="15"/>
      <c r="HHT246" s="15"/>
      <c r="HHU246" s="15"/>
      <c r="HHV246" s="10"/>
      <c r="HHW246" s="10"/>
      <c r="HHX246" s="21"/>
      <c r="HHY246" s="21"/>
      <c r="HIB246" s="21"/>
      <c r="HIC246" s="15"/>
      <c r="HID246" s="15"/>
      <c r="HIE246" s="15"/>
      <c r="HIF246" s="15"/>
      <c r="HIG246" s="15"/>
      <c r="HIH246" s="15"/>
      <c r="HII246" s="15"/>
      <c r="HIJ246" s="15"/>
      <c r="HIK246" s="15"/>
      <c r="HIL246" s="15"/>
      <c r="HIM246" s="10"/>
      <c r="HIN246" s="10"/>
      <c r="HIO246" s="21"/>
      <c r="HIP246" s="21"/>
      <c r="HIS246" s="21"/>
      <c r="HIT246" s="15"/>
      <c r="HIU246" s="15"/>
      <c r="HIV246" s="15"/>
      <c r="HIW246" s="15"/>
      <c r="HIX246" s="15"/>
      <c r="HIY246" s="15"/>
      <c r="HIZ246" s="15"/>
      <c r="HJA246" s="15"/>
      <c r="HJB246" s="15"/>
      <c r="HJC246" s="15"/>
      <c r="HJD246" s="10"/>
      <c r="HJE246" s="10"/>
      <c r="HJF246" s="21"/>
      <c r="HJG246" s="21"/>
      <c r="HJJ246" s="21"/>
      <c r="HJK246" s="15"/>
      <c r="HJL246" s="15"/>
      <c r="HJM246" s="15"/>
      <c r="HJN246" s="15"/>
      <c r="HJO246" s="15"/>
      <c r="HJP246" s="15"/>
      <c r="HJQ246" s="15"/>
      <c r="HJR246" s="15"/>
      <c r="HJS246" s="15"/>
      <c r="HJT246" s="15"/>
      <c r="HJU246" s="10"/>
      <c r="HJV246" s="10"/>
      <c r="HJW246" s="21"/>
      <c r="HJX246" s="21"/>
      <c r="HKA246" s="21"/>
      <c r="HKB246" s="15"/>
      <c r="HKC246" s="15"/>
      <c r="HKD246" s="15"/>
      <c r="HKE246" s="15"/>
      <c r="HKF246" s="15"/>
      <c r="HKG246" s="15"/>
      <c r="HKH246" s="15"/>
      <c r="HKI246" s="15"/>
      <c r="HKJ246" s="15"/>
      <c r="HKK246" s="15"/>
      <c r="HKL246" s="10"/>
      <c r="HKM246" s="10"/>
      <c r="HKN246" s="21"/>
      <c r="HKO246" s="21"/>
      <c r="HKR246" s="21"/>
      <c r="HKS246" s="15"/>
      <c r="HKT246" s="15"/>
      <c r="HKU246" s="15"/>
      <c r="HKV246" s="15"/>
      <c r="HKW246" s="15"/>
      <c r="HKX246" s="15"/>
      <c r="HKY246" s="15"/>
      <c r="HKZ246" s="15"/>
      <c r="HLA246" s="15"/>
      <c r="HLB246" s="15"/>
      <c r="HLC246" s="10"/>
      <c r="HLD246" s="10"/>
      <c r="HLE246" s="21"/>
      <c r="HLF246" s="21"/>
      <c r="HLI246" s="21"/>
      <c r="HLJ246" s="15"/>
      <c r="HLK246" s="15"/>
      <c r="HLL246" s="15"/>
      <c r="HLM246" s="15"/>
      <c r="HLN246" s="15"/>
      <c r="HLO246" s="15"/>
      <c r="HLP246" s="15"/>
      <c r="HLQ246" s="15"/>
      <c r="HLR246" s="15"/>
      <c r="HLS246" s="15"/>
      <c r="HLT246" s="10"/>
      <c r="HLU246" s="10"/>
      <c r="HLV246" s="21"/>
      <c r="HLW246" s="21"/>
      <c r="HLZ246" s="21"/>
      <c r="HMA246" s="15"/>
      <c r="HMB246" s="15"/>
      <c r="HMC246" s="15"/>
      <c r="HMD246" s="15"/>
      <c r="HME246" s="15"/>
      <c r="HMF246" s="15"/>
      <c r="HMG246" s="15"/>
      <c r="HMH246" s="15"/>
      <c r="HMI246" s="15"/>
      <c r="HMJ246" s="15"/>
      <c r="HMK246" s="10"/>
      <c r="HML246" s="10"/>
      <c r="HMM246" s="21"/>
      <c r="HMN246" s="21"/>
      <c r="HMQ246" s="21"/>
      <c r="HMR246" s="15"/>
      <c r="HMS246" s="15"/>
      <c r="HMT246" s="15"/>
      <c r="HMU246" s="15"/>
      <c r="HMV246" s="15"/>
      <c r="HMW246" s="15"/>
      <c r="HMX246" s="15"/>
      <c r="HMY246" s="15"/>
      <c r="HMZ246" s="15"/>
      <c r="HNA246" s="15"/>
      <c r="HNB246" s="10"/>
      <c r="HNC246" s="10"/>
      <c r="HND246" s="21"/>
      <c r="HNE246" s="21"/>
      <c r="HNH246" s="21"/>
      <c r="HNI246" s="15"/>
      <c r="HNJ246" s="15"/>
      <c r="HNK246" s="15"/>
      <c r="HNL246" s="15"/>
      <c r="HNM246" s="15"/>
      <c r="HNN246" s="15"/>
      <c r="HNO246" s="15"/>
      <c r="HNP246" s="15"/>
      <c r="HNQ246" s="15"/>
      <c r="HNR246" s="15"/>
      <c r="HNS246" s="10"/>
      <c r="HNT246" s="10"/>
      <c r="HNU246" s="21"/>
      <c r="HNV246" s="21"/>
      <c r="HNY246" s="21"/>
      <c r="HNZ246" s="15"/>
      <c r="HOA246" s="15"/>
      <c r="HOB246" s="15"/>
      <c r="HOC246" s="15"/>
      <c r="HOD246" s="15"/>
      <c r="HOE246" s="15"/>
      <c r="HOF246" s="15"/>
      <c r="HOG246" s="15"/>
      <c r="HOH246" s="15"/>
      <c r="HOI246" s="15"/>
      <c r="HOJ246" s="10"/>
      <c r="HOK246" s="10"/>
      <c r="HOL246" s="21"/>
      <c r="HOM246" s="21"/>
      <c r="HOP246" s="21"/>
      <c r="HOQ246" s="15"/>
      <c r="HOR246" s="15"/>
      <c r="HOS246" s="15"/>
      <c r="HOT246" s="15"/>
      <c r="HOU246" s="15"/>
      <c r="HOV246" s="15"/>
      <c r="HOW246" s="15"/>
      <c r="HOX246" s="15"/>
      <c r="HOY246" s="15"/>
      <c r="HOZ246" s="15"/>
      <c r="HPA246" s="10"/>
      <c r="HPB246" s="10"/>
      <c r="HPC246" s="21"/>
      <c r="HPD246" s="21"/>
      <c r="HPG246" s="21"/>
      <c r="HPH246" s="15"/>
      <c r="HPI246" s="15"/>
      <c r="HPJ246" s="15"/>
      <c r="HPK246" s="15"/>
      <c r="HPL246" s="15"/>
      <c r="HPM246" s="15"/>
      <c r="HPN246" s="15"/>
      <c r="HPO246" s="15"/>
      <c r="HPP246" s="15"/>
      <c r="HPQ246" s="15"/>
      <c r="HPR246" s="10"/>
      <c r="HPS246" s="10"/>
      <c r="HPT246" s="21"/>
      <c r="HPU246" s="21"/>
      <c r="HPX246" s="21"/>
      <c r="HPY246" s="15"/>
      <c r="HPZ246" s="15"/>
      <c r="HQA246" s="15"/>
      <c r="HQB246" s="15"/>
      <c r="HQC246" s="15"/>
      <c r="HQD246" s="15"/>
      <c r="HQE246" s="15"/>
      <c r="HQF246" s="15"/>
      <c r="HQG246" s="15"/>
      <c r="HQH246" s="15"/>
      <c r="HQI246" s="10"/>
      <c r="HQJ246" s="10"/>
      <c r="HQK246" s="21"/>
      <c r="HQL246" s="21"/>
      <c r="HQO246" s="21"/>
      <c r="HQP246" s="15"/>
      <c r="HQQ246" s="15"/>
      <c r="HQR246" s="15"/>
      <c r="HQS246" s="15"/>
      <c r="HQT246" s="15"/>
      <c r="HQU246" s="15"/>
      <c r="HQV246" s="15"/>
      <c r="HQW246" s="15"/>
      <c r="HQX246" s="15"/>
      <c r="HQY246" s="15"/>
      <c r="HQZ246" s="10"/>
      <c r="HRA246" s="10"/>
      <c r="HRB246" s="21"/>
      <c r="HRC246" s="21"/>
      <c r="HRF246" s="21"/>
      <c r="HRG246" s="15"/>
      <c r="HRH246" s="15"/>
      <c r="HRI246" s="15"/>
      <c r="HRJ246" s="15"/>
      <c r="HRK246" s="15"/>
      <c r="HRL246" s="15"/>
      <c r="HRM246" s="15"/>
      <c r="HRN246" s="15"/>
      <c r="HRO246" s="15"/>
      <c r="HRP246" s="15"/>
      <c r="HRQ246" s="10"/>
      <c r="HRR246" s="10"/>
      <c r="HRS246" s="21"/>
      <c r="HRT246" s="21"/>
      <c r="HRW246" s="21"/>
      <c r="HRX246" s="15"/>
      <c r="HRY246" s="15"/>
      <c r="HRZ246" s="15"/>
      <c r="HSA246" s="15"/>
      <c r="HSB246" s="15"/>
      <c r="HSC246" s="15"/>
      <c r="HSD246" s="15"/>
      <c r="HSE246" s="15"/>
      <c r="HSF246" s="15"/>
      <c r="HSG246" s="15"/>
      <c r="HSH246" s="10"/>
      <c r="HSI246" s="10"/>
      <c r="HSJ246" s="21"/>
      <c r="HSK246" s="21"/>
      <c r="HSN246" s="21"/>
      <c r="HSO246" s="15"/>
      <c r="HSP246" s="15"/>
      <c r="HSQ246" s="15"/>
      <c r="HSR246" s="15"/>
      <c r="HSS246" s="15"/>
      <c r="HST246" s="15"/>
      <c r="HSU246" s="15"/>
      <c r="HSV246" s="15"/>
      <c r="HSW246" s="15"/>
      <c r="HSX246" s="15"/>
      <c r="HSY246" s="10"/>
      <c r="HSZ246" s="10"/>
      <c r="HTA246" s="21"/>
      <c r="HTB246" s="21"/>
      <c r="HTE246" s="21"/>
      <c r="HTF246" s="15"/>
      <c r="HTG246" s="15"/>
      <c r="HTH246" s="15"/>
      <c r="HTI246" s="15"/>
      <c r="HTJ246" s="15"/>
      <c r="HTK246" s="15"/>
      <c r="HTL246" s="15"/>
      <c r="HTM246" s="15"/>
      <c r="HTN246" s="15"/>
      <c r="HTO246" s="15"/>
      <c r="HTP246" s="10"/>
      <c r="HTQ246" s="10"/>
      <c r="HTR246" s="21"/>
      <c r="HTS246" s="21"/>
      <c r="HTV246" s="21"/>
      <c r="HTW246" s="15"/>
      <c r="HTX246" s="15"/>
      <c r="HTY246" s="15"/>
      <c r="HTZ246" s="15"/>
      <c r="HUA246" s="15"/>
      <c r="HUB246" s="15"/>
      <c r="HUC246" s="15"/>
      <c r="HUD246" s="15"/>
      <c r="HUE246" s="15"/>
      <c r="HUF246" s="15"/>
      <c r="HUG246" s="10"/>
      <c r="HUH246" s="10"/>
      <c r="HUI246" s="21"/>
      <c r="HUJ246" s="21"/>
      <c r="HUM246" s="21"/>
      <c r="HUN246" s="15"/>
      <c r="HUO246" s="15"/>
      <c r="HUP246" s="15"/>
      <c r="HUQ246" s="15"/>
      <c r="HUR246" s="15"/>
      <c r="HUS246" s="15"/>
      <c r="HUT246" s="15"/>
      <c r="HUU246" s="15"/>
      <c r="HUV246" s="15"/>
      <c r="HUW246" s="15"/>
      <c r="HUX246" s="10"/>
      <c r="HUY246" s="10"/>
      <c r="HUZ246" s="21"/>
      <c r="HVA246" s="21"/>
      <c r="HVD246" s="21"/>
      <c r="HVE246" s="15"/>
      <c r="HVF246" s="15"/>
      <c r="HVG246" s="15"/>
      <c r="HVH246" s="15"/>
      <c r="HVI246" s="15"/>
      <c r="HVJ246" s="15"/>
      <c r="HVK246" s="15"/>
      <c r="HVL246" s="15"/>
      <c r="HVM246" s="15"/>
      <c r="HVN246" s="15"/>
      <c r="HVO246" s="10"/>
      <c r="HVP246" s="10"/>
      <c r="HVQ246" s="21"/>
      <c r="HVR246" s="21"/>
      <c r="HVU246" s="21"/>
      <c r="HVV246" s="15"/>
      <c r="HVW246" s="15"/>
      <c r="HVX246" s="15"/>
      <c r="HVY246" s="15"/>
      <c r="HVZ246" s="15"/>
      <c r="HWA246" s="15"/>
      <c r="HWB246" s="15"/>
      <c r="HWC246" s="15"/>
      <c r="HWD246" s="15"/>
      <c r="HWE246" s="15"/>
      <c r="HWF246" s="10"/>
      <c r="HWG246" s="10"/>
      <c r="HWH246" s="21"/>
      <c r="HWI246" s="21"/>
      <c r="HWL246" s="21"/>
      <c r="HWM246" s="15"/>
      <c r="HWN246" s="15"/>
      <c r="HWO246" s="15"/>
      <c r="HWP246" s="15"/>
      <c r="HWQ246" s="15"/>
      <c r="HWR246" s="15"/>
      <c r="HWS246" s="15"/>
      <c r="HWT246" s="15"/>
      <c r="HWU246" s="15"/>
      <c r="HWV246" s="15"/>
      <c r="HWW246" s="10"/>
      <c r="HWX246" s="10"/>
      <c r="HWY246" s="21"/>
      <c r="HWZ246" s="21"/>
      <c r="HXC246" s="21"/>
      <c r="HXD246" s="15"/>
      <c r="HXE246" s="15"/>
      <c r="HXF246" s="15"/>
      <c r="HXG246" s="15"/>
      <c r="HXH246" s="15"/>
      <c r="HXI246" s="15"/>
      <c r="HXJ246" s="15"/>
      <c r="HXK246" s="15"/>
      <c r="HXL246" s="15"/>
      <c r="HXM246" s="15"/>
      <c r="HXN246" s="10"/>
      <c r="HXO246" s="10"/>
      <c r="HXP246" s="21"/>
      <c r="HXQ246" s="21"/>
      <c r="HXT246" s="21"/>
      <c r="HXU246" s="15"/>
      <c r="HXV246" s="15"/>
      <c r="HXW246" s="15"/>
      <c r="HXX246" s="15"/>
      <c r="HXY246" s="15"/>
      <c r="HXZ246" s="15"/>
      <c r="HYA246" s="15"/>
      <c r="HYB246" s="15"/>
      <c r="HYC246" s="15"/>
      <c r="HYD246" s="15"/>
      <c r="HYE246" s="10"/>
      <c r="HYF246" s="10"/>
      <c r="HYG246" s="21"/>
      <c r="HYH246" s="21"/>
      <c r="HYK246" s="21"/>
      <c r="HYL246" s="15"/>
      <c r="HYM246" s="15"/>
      <c r="HYN246" s="15"/>
      <c r="HYO246" s="15"/>
      <c r="HYP246" s="15"/>
      <c r="HYQ246" s="15"/>
      <c r="HYR246" s="15"/>
      <c r="HYS246" s="15"/>
      <c r="HYT246" s="15"/>
      <c r="HYU246" s="15"/>
      <c r="HYV246" s="10"/>
      <c r="HYW246" s="10"/>
      <c r="HYX246" s="21"/>
      <c r="HYY246" s="21"/>
      <c r="HZB246" s="21"/>
      <c r="HZC246" s="15"/>
      <c r="HZD246" s="15"/>
      <c r="HZE246" s="15"/>
      <c r="HZF246" s="15"/>
      <c r="HZG246" s="15"/>
      <c r="HZH246" s="15"/>
      <c r="HZI246" s="15"/>
      <c r="HZJ246" s="15"/>
      <c r="HZK246" s="15"/>
      <c r="HZL246" s="15"/>
      <c r="HZM246" s="10"/>
      <c r="HZN246" s="10"/>
      <c r="HZO246" s="21"/>
      <c r="HZP246" s="21"/>
      <c r="HZS246" s="21"/>
      <c r="HZT246" s="15"/>
      <c r="HZU246" s="15"/>
      <c r="HZV246" s="15"/>
      <c r="HZW246" s="15"/>
      <c r="HZX246" s="15"/>
      <c r="HZY246" s="15"/>
      <c r="HZZ246" s="15"/>
      <c r="IAA246" s="15"/>
      <c r="IAB246" s="15"/>
      <c r="IAC246" s="15"/>
      <c r="IAD246" s="10"/>
      <c r="IAE246" s="10"/>
      <c r="IAF246" s="21"/>
      <c r="IAG246" s="21"/>
      <c r="IAJ246" s="21"/>
      <c r="IAK246" s="15"/>
      <c r="IAL246" s="15"/>
      <c r="IAM246" s="15"/>
      <c r="IAN246" s="15"/>
      <c r="IAO246" s="15"/>
      <c r="IAP246" s="15"/>
      <c r="IAQ246" s="15"/>
      <c r="IAR246" s="15"/>
      <c r="IAS246" s="15"/>
      <c r="IAT246" s="15"/>
      <c r="IAU246" s="10"/>
      <c r="IAV246" s="10"/>
      <c r="IAW246" s="21"/>
      <c r="IAX246" s="21"/>
      <c r="IBA246" s="21"/>
      <c r="IBB246" s="15"/>
      <c r="IBC246" s="15"/>
      <c r="IBD246" s="15"/>
      <c r="IBE246" s="15"/>
      <c r="IBF246" s="15"/>
      <c r="IBG246" s="15"/>
      <c r="IBH246" s="15"/>
      <c r="IBI246" s="15"/>
      <c r="IBJ246" s="15"/>
      <c r="IBK246" s="15"/>
      <c r="IBL246" s="10"/>
      <c r="IBM246" s="10"/>
      <c r="IBN246" s="21"/>
      <c r="IBO246" s="21"/>
      <c r="IBR246" s="21"/>
      <c r="IBS246" s="15"/>
      <c r="IBT246" s="15"/>
      <c r="IBU246" s="15"/>
      <c r="IBV246" s="15"/>
      <c r="IBW246" s="15"/>
      <c r="IBX246" s="15"/>
      <c r="IBY246" s="15"/>
      <c r="IBZ246" s="15"/>
      <c r="ICA246" s="15"/>
      <c r="ICB246" s="15"/>
      <c r="ICC246" s="10"/>
      <c r="ICD246" s="10"/>
      <c r="ICE246" s="21"/>
      <c r="ICF246" s="21"/>
      <c r="ICI246" s="21"/>
      <c r="ICJ246" s="15"/>
      <c r="ICK246" s="15"/>
      <c r="ICL246" s="15"/>
      <c r="ICM246" s="15"/>
      <c r="ICN246" s="15"/>
      <c r="ICO246" s="15"/>
      <c r="ICP246" s="15"/>
      <c r="ICQ246" s="15"/>
      <c r="ICR246" s="15"/>
      <c r="ICS246" s="15"/>
      <c r="ICT246" s="10"/>
      <c r="ICU246" s="10"/>
      <c r="ICV246" s="21"/>
      <c r="ICW246" s="21"/>
      <c r="ICZ246" s="21"/>
      <c r="IDA246" s="15"/>
      <c r="IDB246" s="15"/>
      <c r="IDC246" s="15"/>
      <c r="IDD246" s="15"/>
      <c r="IDE246" s="15"/>
      <c r="IDF246" s="15"/>
      <c r="IDG246" s="15"/>
      <c r="IDH246" s="15"/>
      <c r="IDI246" s="15"/>
      <c r="IDJ246" s="15"/>
      <c r="IDK246" s="10"/>
      <c r="IDL246" s="10"/>
      <c r="IDM246" s="21"/>
      <c r="IDN246" s="21"/>
      <c r="IDQ246" s="21"/>
      <c r="IDR246" s="15"/>
      <c r="IDS246" s="15"/>
      <c r="IDT246" s="15"/>
      <c r="IDU246" s="15"/>
      <c r="IDV246" s="15"/>
      <c r="IDW246" s="15"/>
      <c r="IDX246" s="15"/>
      <c r="IDY246" s="15"/>
      <c r="IDZ246" s="15"/>
      <c r="IEA246" s="15"/>
      <c r="IEB246" s="10"/>
      <c r="IEC246" s="10"/>
      <c r="IED246" s="21"/>
      <c r="IEE246" s="21"/>
      <c r="IEH246" s="21"/>
      <c r="IEI246" s="15"/>
      <c r="IEJ246" s="15"/>
      <c r="IEK246" s="15"/>
      <c r="IEL246" s="15"/>
      <c r="IEM246" s="15"/>
      <c r="IEN246" s="15"/>
      <c r="IEO246" s="15"/>
      <c r="IEP246" s="15"/>
      <c r="IEQ246" s="15"/>
      <c r="IER246" s="15"/>
      <c r="IES246" s="10"/>
      <c r="IET246" s="10"/>
      <c r="IEU246" s="21"/>
      <c r="IEV246" s="21"/>
      <c r="IEY246" s="21"/>
      <c r="IEZ246" s="15"/>
      <c r="IFA246" s="15"/>
      <c r="IFB246" s="15"/>
      <c r="IFC246" s="15"/>
      <c r="IFD246" s="15"/>
      <c r="IFE246" s="15"/>
      <c r="IFF246" s="15"/>
      <c r="IFG246" s="15"/>
      <c r="IFH246" s="15"/>
      <c r="IFI246" s="15"/>
      <c r="IFJ246" s="10"/>
      <c r="IFK246" s="10"/>
      <c r="IFL246" s="21"/>
      <c r="IFM246" s="21"/>
      <c r="IFP246" s="21"/>
      <c r="IFQ246" s="15"/>
      <c r="IFR246" s="15"/>
      <c r="IFS246" s="15"/>
      <c r="IFT246" s="15"/>
      <c r="IFU246" s="15"/>
      <c r="IFV246" s="15"/>
      <c r="IFW246" s="15"/>
      <c r="IFX246" s="15"/>
      <c r="IFY246" s="15"/>
      <c r="IFZ246" s="15"/>
      <c r="IGA246" s="10"/>
      <c r="IGB246" s="10"/>
      <c r="IGC246" s="21"/>
      <c r="IGD246" s="21"/>
      <c r="IGG246" s="21"/>
      <c r="IGH246" s="15"/>
      <c r="IGI246" s="15"/>
      <c r="IGJ246" s="15"/>
      <c r="IGK246" s="15"/>
      <c r="IGL246" s="15"/>
      <c r="IGM246" s="15"/>
      <c r="IGN246" s="15"/>
      <c r="IGO246" s="15"/>
      <c r="IGP246" s="15"/>
      <c r="IGQ246" s="15"/>
      <c r="IGR246" s="10"/>
      <c r="IGS246" s="10"/>
      <c r="IGT246" s="21"/>
      <c r="IGU246" s="21"/>
      <c r="IGX246" s="21"/>
      <c r="IGY246" s="15"/>
      <c r="IGZ246" s="15"/>
      <c r="IHA246" s="15"/>
      <c r="IHB246" s="15"/>
      <c r="IHC246" s="15"/>
      <c r="IHD246" s="15"/>
      <c r="IHE246" s="15"/>
      <c r="IHF246" s="15"/>
      <c r="IHG246" s="15"/>
      <c r="IHH246" s="15"/>
      <c r="IHI246" s="10"/>
      <c r="IHJ246" s="10"/>
      <c r="IHK246" s="21"/>
      <c r="IHL246" s="21"/>
      <c r="IHO246" s="21"/>
      <c r="IHP246" s="15"/>
      <c r="IHQ246" s="15"/>
      <c r="IHR246" s="15"/>
      <c r="IHS246" s="15"/>
      <c r="IHT246" s="15"/>
      <c r="IHU246" s="15"/>
      <c r="IHV246" s="15"/>
      <c r="IHW246" s="15"/>
      <c r="IHX246" s="15"/>
      <c r="IHY246" s="15"/>
      <c r="IHZ246" s="10"/>
      <c r="IIA246" s="10"/>
      <c r="IIB246" s="21"/>
      <c r="IIC246" s="21"/>
      <c r="IIF246" s="21"/>
      <c r="IIG246" s="15"/>
      <c r="IIH246" s="15"/>
      <c r="III246" s="15"/>
      <c r="IIJ246" s="15"/>
      <c r="IIK246" s="15"/>
      <c r="IIL246" s="15"/>
      <c r="IIM246" s="15"/>
      <c r="IIN246" s="15"/>
      <c r="IIO246" s="15"/>
      <c r="IIP246" s="15"/>
      <c r="IIQ246" s="10"/>
      <c r="IIR246" s="10"/>
      <c r="IIS246" s="21"/>
      <c r="IIT246" s="21"/>
      <c r="IIW246" s="21"/>
      <c r="IIX246" s="15"/>
      <c r="IIY246" s="15"/>
      <c r="IIZ246" s="15"/>
      <c r="IJA246" s="15"/>
      <c r="IJB246" s="15"/>
      <c r="IJC246" s="15"/>
      <c r="IJD246" s="15"/>
      <c r="IJE246" s="15"/>
      <c r="IJF246" s="15"/>
      <c r="IJG246" s="15"/>
      <c r="IJH246" s="10"/>
      <c r="IJI246" s="10"/>
      <c r="IJJ246" s="21"/>
      <c r="IJK246" s="21"/>
      <c r="IJN246" s="21"/>
      <c r="IJO246" s="15"/>
      <c r="IJP246" s="15"/>
      <c r="IJQ246" s="15"/>
      <c r="IJR246" s="15"/>
      <c r="IJS246" s="15"/>
      <c r="IJT246" s="15"/>
      <c r="IJU246" s="15"/>
      <c r="IJV246" s="15"/>
      <c r="IJW246" s="15"/>
      <c r="IJX246" s="15"/>
      <c r="IJY246" s="10"/>
      <c r="IJZ246" s="10"/>
      <c r="IKA246" s="21"/>
      <c r="IKB246" s="21"/>
      <c r="IKE246" s="21"/>
      <c r="IKF246" s="15"/>
      <c r="IKG246" s="15"/>
      <c r="IKH246" s="15"/>
      <c r="IKI246" s="15"/>
      <c r="IKJ246" s="15"/>
      <c r="IKK246" s="15"/>
      <c r="IKL246" s="15"/>
      <c r="IKM246" s="15"/>
      <c r="IKN246" s="15"/>
      <c r="IKO246" s="15"/>
      <c r="IKP246" s="10"/>
      <c r="IKQ246" s="10"/>
      <c r="IKR246" s="21"/>
      <c r="IKS246" s="21"/>
      <c r="IKV246" s="21"/>
      <c r="IKW246" s="15"/>
      <c r="IKX246" s="15"/>
      <c r="IKY246" s="15"/>
      <c r="IKZ246" s="15"/>
      <c r="ILA246" s="15"/>
      <c r="ILB246" s="15"/>
      <c r="ILC246" s="15"/>
      <c r="ILD246" s="15"/>
      <c r="ILE246" s="15"/>
      <c r="ILF246" s="15"/>
      <c r="ILG246" s="10"/>
      <c r="ILH246" s="10"/>
      <c r="ILI246" s="21"/>
      <c r="ILJ246" s="21"/>
      <c r="ILM246" s="21"/>
      <c r="ILN246" s="15"/>
      <c r="ILO246" s="15"/>
      <c r="ILP246" s="15"/>
      <c r="ILQ246" s="15"/>
      <c r="ILR246" s="15"/>
      <c r="ILS246" s="15"/>
      <c r="ILT246" s="15"/>
      <c r="ILU246" s="15"/>
      <c r="ILV246" s="15"/>
      <c r="ILW246" s="15"/>
      <c r="ILX246" s="10"/>
      <c r="ILY246" s="10"/>
      <c r="ILZ246" s="21"/>
      <c r="IMA246" s="21"/>
      <c r="IMD246" s="21"/>
      <c r="IME246" s="15"/>
      <c r="IMF246" s="15"/>
      <c r="IMG246" s="15"/>
      <c r="IMH246" s="15"/>
      <c r="IMI246" s="15"/>
      <c r="IMJ246" s="15"/>
      <c r="IMK246" s="15"/>
      <c r="IML246" s="15"/>
      <c r="IMM246" s="15"/>
      <c r="IMN246" s="15"/>
      <c r="IMO246" s="10"/>
      <c r="IMP246" s="10"/>
      <c r="IMQ246" s="21"/>
      <c r="IMR246" s="21"/>
      <c r="IMU246" s="21"/>
      <c r="IMV246" s="15"/>
      <c r="IMW246" s="15"/>
      <c r="IMX246" s="15"/>
      <c r="IMY246" s="15"/>
      <c r="IMZ246" s="15"/>
      <c r="INA246" s="15"/>
      <c r="INB246" s="15"/>
      <c r="INC246" s="15"/>
      <c r="IND246" s="15"/>
      <c r="INE246" s="15"/>
      <c r="INF246" s="10"/>
      <c r="ING246" s="10"/>
      <c r="INH246" s="21"/>
      <c r="INI246" s="21"/>
      <c r="INL246" s="21"/>
      <c r="INM246" s="15"/>
      <c r="INN246" s="15"/>
      <c r="INO246" s="15"/>
      <c r="INP246" s="15"/>
      <c r="INQ246" s="15"/>
      <c r="INR246" s="15"/>
      <c r="INS246" s="15"/>
      <c r="INT246" s="15"/>
      <c r="INU246" s="15"/>
      <c r="INV246" s="15"/>
      <c r="INW246" s="10"/>
      <c r="INX246" s="10"/>
      <c r="INY246" s="21"/>
      <c r="INZ246" s="21"/>
      <c r="IOC246" s="21"/>
      <c r="IOD246" s="15"/>
      <c r="IOE246" s="15"/>
      <c r="IOF246" s="15"/>
      <c r="IOG246" s="15"/>
      <c r="IOH246" s="15"/>
      <c r="IOI246" s="15"/>
      <c r="IOJ246" s="15"/>
      <c r="IOK246" s="15"/>
      <c r="IOL246" s="15"/>
      <c r="IOM246" s="15"/>
      <c r="ION246" s="10"/>
      <c r="IOO246" s="10"/>
      <c r="IOP246" s="21"/>
      <c r="IOQ246" s="21"/>
      <c r="IOT246" s="21"/>
      <c r="IOU246" s="15"/>
      <c r="IOV246" s="15"/>
      <c r="IOW246" s="15"/>
      <c r="IOX246" s="15"/>
      <c r="IOY246" s="15"/>
      <c r="IOZ246" s="15"/>
      <c r="IPA246" s="15"/>
      <c r="IPB246" s="15"/>
      <c r="IPC246" s="15"/>
      <c r="IPD246" s="15"/>
      <c r="IPE246" s="10"/>
      <c r="IPF246" s="10"/>
      <c r="IPG246" s="21"/>
      <c r="IPH246" s="21"/>
      <c r="IPK246" s="21"/>
      <c r="IPL246" s="15"/>
      <c r="IPM246" s="15"/>
      <c r="IPN246" s="15"/>
      <c r="IPO246" s="15"/>
      <c r="IPP246" s="15"/>
      <c r="IPQ246" s="15"/>
      <c r="IPR246" s="15"/>
      <c r="IPS246" s="15"/>
      <c r="IPT246" s="15"/>
      <c r="IPU246" s="15"/>
      <c r="IPV246" s="10"/>
      <c r="IPW246" s="10"/>
      <c r="IPX246" s="21"/>
      <c r="IPY246" s="21"/>
      <c r="IQB246" s="21"/>
      <c r="IQC246" s="15"/>
      <c r="IQD246" s="15"/>
      <c r="IQE246" s="15"/>
      <c r="IQF246" s="15"/>
      <c r="IQG246" s="15"/>
      <c r="IQH246" s="15"/>
      <c r="IQI246" s="15"/>
      <c r="IQJ246" s="15"/>
      <c r="IQK246" s="15"/>
      <c r="IQL246" s="15"/>
      <c r="IQM246" s="10"/>
      <c r="IQN246" s="10"/>
      <c r="IQO246" s="21"/>
      <c r="IQP246" s="21"/>
      <c r="IQS246" s="21"/>
      <c r="IQT246" s="15"/>
      <c r="IQU246" s="15"/>
      <c r="IQV246" s="15"/>
      <c r="IQW246" s="15"/>
      <c r="IQX246" s="15"/>
      <c r="IQY246" s="15"/>
      <c r="IQZ246" s="15"/>
      <c r="IRA246" s="15"/>
      <c r="IRB246" s="15"/>
      <c r="IRC246" s="15"/>
      <c r="IRD246" s="10"/>
      <c r="IRE246" s="10"/>
      <c r="IRF246" s="21"/>
      <c r="IRG246" s="21"/>
      <c r="IRJ246" s="21"/>
      <c r="IRK246" s="15"/>
      <c r="IRL246" s="15"/>
      <c r="IRM246" s="15"/>
      <c r="IRN246" s="15"/>
      <c r="IRO246" s="15"/>
      <c r="IRP246" s="15"/>
      <c r="IRQ246" s="15"/>
      <c r="IRR246" s="15"/>
      <c r="IRS246" s="15"/>
      <c r="IRT246" s="15"/>
      <c r="IRU246" s="10"/>
      <c r="IRV246" s="10"/>
      <c r="IRW246" s="21"/>
      <c r="IRX246" s="21"/>
      <c r="ISA246" s="21"/>
      <c r="ISB246" s="15"/>
      <c r="ISC246" s="15"/>
      <c r="ISD246" s="15"/>
      <c r="ISE246" s="15"/>
      <c r="ISF246" s="15"/>
      <c r="ISG246" s="15"/>
      <c r="ISH246" s="15"/>
      <c r="ISI246" s="15"/>
      <c r="ISJ246" s="15"/>
      <c r="ISK246" s="15"/>
      <c r="ISL246" s="10"/>
      <c r="ISM246" s="10"/>
      <c r="ISN246" s="21"/>
      <c r="ISO246" s="21"/>
      <c r="ISR246" s="21"/>
      <c r="ISS246" s="15"/>
      <c r="IST246" s="15"/>
      <c r="ISU246" s="15"/>
      <c r="ISV246" s="15"/>
      <c r="ISW246" s="15"/>
      <c r="ISX246" s="15"/>
      <c r="ISY246" s="15"/>
      <c r="ISZ246" s="15"/>
      <c r="ITA246" s="15"/>
      <c r="ITB246" s="15"/>
      <c r="ITC246" s="10"/>
      <c r="ITD246" s="10"/>
      <c r="ITE246" s="21"/>
      <c r="ITF246" s="21"/>
      <c r="ITI246" s="21"/>
      <c r="ITJ246" s="15"/>
      <c r="ITK246" s="15"/>
      <c r="ITL246" s="15"/>
      <c r="ITM246" s="15"/>
      <c r="ITN246" s="15"/>
      <c r="ITO246" s="15"/>
      <c r="ITP246" s="15"/>
      <c r="ITQ246" s="15"/>
      <c r="ITR246" s="15"/>
      <c r="ITS246" s="15"/>
      <c r="ITT246" s="10"/>
      <c r="ITU246" s="10"/>
      <c r="ITV246" s="21"/>
      <c r="ITW246" s="21"/>
      <c r="ITZ246" s="21"/>
      <c r="IUA246" s="15"/>
      <c r="IUB246" s="15"/>
      <c r="IUC246" s="15"/>
      <c r="IUD246" s="15"/>
      <c r="IUE246" s="15"/>
      <c r="IUF246" s="15"/>
      <c r="IUG246" s="15"/>
      <c r="IUH246" s="15"/>
      <c r="IUI246" s="15"/>
      <c r="IUJ246" s="15"/>
      <c r="IUK246" s="10"/>
      <c r="IUL246" s="10"/>
      <c r="IUM246" s="21"/>
      <c r="IUN246" s="21"/>
      <c r="IUQ246" s="21"/>
      <c r="IUR246" s="15"/>
      <c r="IUS246" s="15"/>
      <c r="IUT246" s="15"/>
      <c r="IUU246" s="15"/>
      <c r="IUV246" s="15"/>
      <c r="IUW246" s="15"/>
      <c r="IUX246" s="15"/>
      <c r="IUY246" s="15"/>
      <c r="IUZ246" s="15"/>
      <c r="IVA246" s="15"/>
      <c r="IVB246" s="10"/>
      <c r="IVC246" s="10"/>
      <c r="IVD246" s="21"/>
      <c r="IVE246" s="21"/>
      <c r="IVH246" s="21"/>
      <c r="IVI246" s="15"/>
      <c r="IVJ246" s="15"/>
      <c r="IVK246" s="15"/>
      <c r="IVL246" s="15"/>
      <c r="IVM246" s="15"/>
      <c r="IVN246" s="15"/>
      <c r="IVO246" s="15"/>
      <c r="IVP246" s="15"/>
      <c r="IVQ246" s="15"/>
      <c r="IVR246" s="15"/>
      <c r="IVS246" s="10"/>
      <c r="IVT246" s="10"/>
      <c r="IVU246" s="21"/>
      <c r="IVV246" s="21"/>
      <c r="IVY246" s="21"/>
      <c r="IVZ246" s="15"/>
      <c r="IWA246" s="15"/>
      <c r="IWB246" s="15"/>
      <c r="IWC246" s="15"/>
      <c r="IWD246" s="15"/>
      <c r="IWE246" s="15"/>
      <c r="IWF246" s="15"/>
      <c r="IWG246" s="15"/>
      <c r="IWH246" s="15"/>
      <c r="IWI246" s="15"/>
      <c r="IWJ246" s="10"/>
      <c r="IWK246" s="10"/>
      <c r="IWL246" s="21"/>
      <c r="IWM246" s="21"/>
      <c r="IWP246" s="21"/>
      <c r="IWQ246" s="15"/>
      <c r="IWR246" s="15"/>
      <c r="IWS246" s="15"/>
      <c r="IWT246" s="15"/>
      <c r="IWU246" s="15"/>
      <c r="IWV246" s="15"/>
      <c r="IWW246" s="15"/>
      <c r="IWX246" s="15"/>
      <c r="IWY246" s="15"/>
      <c r="IWZ246" s="15"/>
      <c r="IXA246" s="10"/>
      <c r="IXB246" s="10"/>
      <c r="IXC246" s="21"/>
      <c r="IXD246" s="21"/>
      <c r="IXG246" s="21"/>
      <c r="IXH246" s="15"/>
      <c r="IXI246" s="15"/>
      <c r="IXJ246" s="15"/>
      <c r="IXK246" s="15"/>
      <c r="IXL246" s="15"/>
      <c r="IXM246" s="15"/>
      <c r="IXN246" s="15"/>
      <c r="IXO246" s="15"/>
      <c r="IXP246" s="15"/>
      <c r="IXQ246" s="15"/>
      <c r="IXR246" s="10"/>
      <c r="IXS246" s="10"/>
      <c r="IXT246" s="21"/>
      <c r="IXU246" s="21"/>
      <c r="IXX246" s="21"/>
      <c r="IXY246" s="15"/>
      <c r="IXZ246" s="15"/>
      <c r="IYA246" s="15"/>
      <c r="IYB246" s="15"/>
      <c r="IYC246" s="15"/>
      <c r="IYD246" s="15"/>
      <c r="IYE246" s="15"/>
      <c r="IYF246" s="15"/>
      <c r="IYG246" s="15"/>
      <c r="IYH246" s="15"/>
      <c r="IYI246" s="10"/>
      <c r="IYJ246" s="10"/>
      <c r="IYK246" s="21"/>
      <c r="IYL246" s="21"/>
      <c r="IYO246" s="21"/>
      <c r="IYP246" s="15"/>
      <c r="IYQ246" s="15"/>
      <c r="IYR246" s="15"/>
      <c r="IYS246" s="15"/>
      <c r="IYT246" s="15"/>
      <c r="IYU246" s="15"/>
      <c r="IYV246" s="15"/>
      <c r="IYW246" s="15"/>
      <c r="IYX246" s="15"/>
      <c r="IYY246" s="15"/>
      <c r="IYZ246" s="10"/>
      <c r="IZA246" s="10"/>
      <c r="IZB246" s="21"/>
      <c r="IZC246" s="21"/>
      <c r="IZF246" s="21"/>
      <c r="IZG246" s="15"/>
      <c r="IZH246" s="15"/>
      <c r="IZI246" s="15"/>
      <c r="IZJ246" s="15"/>
      <c r="IZK246" s="15"/>
      <c r="IZL246" s="15"/>
      <c r="IZM246" s="15"/>
      <c r="IZN246" s="15"/>
      <c r="IZO246" s="15"/>
      <c r="IZP246" s="15"/>
      <c r="IZQ246" s="10"/>
      <c r="IZR246" s="10"/>
      <c r="IZS246" s="21"/>
      <c r="IZT246" s="21"/>
      <c r="IZW246" s="21"/>
      <c r="IZX246" s="15"/>
      <c r="IZY246" s="15"/>
      <c r="IZZ246" s="15"/>
      <c r="JAA246" s="15"/>
      <c r="JAB246" s="15"/>
      <c r="JAC246" s="15"/>
      <c r="JAD246" s="15"/>
      <c r="JAE246" s="15"/>
      <c r="JAF246" s="15"/>
      <c r="JAG246" s="15"/>
      <c r="JAH246" s="10"/>
      <c r="JAI246" s="10"/>
      <c r="JAJ246" s="21"/>
      <c r="JAK246" s="21"/>
      <c r="JAN246" s="21"/>
      <c r="JAO246" s="15"/>
      <c r="JAP246" s="15"/>
      <c r="JAQ246" s="15"/>
      <c r="JAR246" s="15"/>
      <c r="JAS246" s="15"/>
      <c r="JAT246" s="15"/>
      <c r="JAU246" s="15"/>
      <c r="JAV246" s="15"/>
      <c r="JAW246" s="15"/>
      <c r="JAX246" s="15"/>
      <c r="JAY246" s="10"/>
      <c r="JAZ246" s="10"/>
      <c r="JBA246" s="21"/>
      <c r="JBB246" s="21"/>
      <c r="JBE246" s="21"/>
      <c r="JBF246" s="15"/>
      <c r="JBG246" s="15"/>
      <c r="JBH246" s="15"/>
      <c r="JBI246" s="15"/>
      <c r="JBJ246" s="15"/>
      <c r="JBK246" s="15"/>
      <c r="JBL246" s="15"/>
      <c r="JBM246" s="15"/>
      <c r="JBN246" s="15"/>
      <c r="JBO246" s="15"/>
      <c r="JBP246" s="10"/>
      <c r="JBQ246" s="10"/>
      <c r="JBR246" s="21"/>
      <c r="JBS246" s="21"/>
      <c r="JBV246" s="21"/>
      <c r="JBW246" s="15"/>
      <c r="JBX246" s="15"/>
      <c r="JBY246" s="15"/>
      <c r="JBZ246" s="15"/>
      <c r="JCA246" s="15"/>
      <c r="JCB246" s="15"/>
      <c r="JCC246" s="15"/>
      <c r="JCD246" s="15"/>
      <c r="JCE246" s="15"/>
      <c r="JCF246" s="15"/>
      <c r="JCG246" s="10"/>
      <c r="JCH246" s="10"/>
      <c r="JCI246" s="21"/>
      <c r="JCJ246" s="21"/>
      <c r="JCM246" s="21"/>
      <c r="JCN246" s="15"/>
      <c r="JCO246" s="15"/>
      <c r="JCP246" s="15"/>
      <c r="JCQ246" s="15"/>
      <c r="JCR246" s="15"/>
      <c r="JCS246" s="15"/>
      <c r="JCT246" s="15"/>
      <c r="JCU246" s="15"/>
      <c r="JCV246" s="15"/>
      <c r="JCW246" s="15"/>
      <c r="JCX246" s="10"/>
      <c r="JCY246" s="10"/>
      <c r="JCZ246" s="21"/>
      <c r="JDA246" s="21"/>
      <c r="JDD246" s="21"/>
      <c r="JDE246" s="15"/>
      <c r="JDF246" s="15"/>
      <c r="JDG246" s="15"/>
      <c r="JDH246" s="15"/>
      <c r="JDI246" s="15"/>
      <c r="JDJ246" s="15"/>
      <c r="JDK246" s="15"/>
      <c r="JDL246" s="15"/>
      <c r="JDM246" s="15"/>
      <c r="JDN246" s="15"/>
      <c r="JDO246" s="10"/>
      <c r="JDP246" s="10"/>
      <c r="JDQ246" s="21"/>
      <c r="JDR246" s="21"/>
      <c r="JDU246" s="21"/>
      <c r="JDV246" s="15"/>
      <c r="JDW246" s="15"/>
      <c r="JDX246" s="15"/>
      <c r="JDY246" s="15"/>
      <c r="JDZ246" s="15"/>
      <c r="JEA246" s="15"/>
      <c r="JEB246" s="15"/>
      <c r="JEC246" s="15"/>
      <c r="JED246" s="15"/>
      <c r="JEE246" s="15"/>
      <c r="JEF246" s="10"/>
      <c r="JEG246" s="10"/>
      <c r="JEH246" s="21"/>
      <c r="JEI246" s="21"/>
      <c r="JEL246" s="21"/>
      <c r="JEM246" s="15"/>
      <c r="JEN246" s="15"/>
      <c r="JEO246" s="15"/>
      <c r="JEP246" s="15"/>
      <c r="JEQ246" s="15"/>
      <c r="JER246" s="15"/>
      <c r="JES246" s="15"/>
      <c r="JET246" s="15"/>
      <c r="JEU246" s="15"/>
      <c r="JEV246" s="15"/>
      <c r="JEW246" s="10"/>
      <c r="JEX246" s="10"/>
      <c r="JEY246" s="21"/>
      <c r="JEZ246" s="21"/>
      <c r="JFC246" s="21"/>
      <c r="JFD246" s="15"/>
      <c r="JFE246" s="15"/>
      <c r="JFF246" s="15"/>
      <c r="JFG246" s="15"/>
      <c r="JFH246" s="15"/>
      <c r="JFI246" s="15"/>
      <c r="JFJ246" s="15"/>
      <c r="JFK246" s="15"/>
      <c r="JFL246" s="15"/>
      <c r="JFM246" s="15"/>
      <c r="JFN246" s="10"/>
      <c r="JFO246" s="10"/>
      <c r="JFP246" s="21"/>
      <c r="JFQ246" s="21"/>
      <c r="JFT246" s="21"/>
      <c r="JFU246" s="15"/>
      <c r="JFV246" s="15"/>
      <c r="JFW246" s="15"/>
      <c r="JFX246" s="15"/>
      <c r="JFY246" s="15"/>
      <c r="JFZ246" s="15"/>
      <c r="JGA246" s="15"/>
      <c r="JGB246" s="15"/>
      <c r="JGC246" s="15"/>
      <c r="JGD246" s="15"/>
      <c r="JGE246" s="10"/>
      <c r="JGF246" s="10"/>
      <c r="JGG246" s="21"/>
      <c r="JGH246" s="21"/>
      <c r="JGK246" s="21"/>
      <c r="JGL246" s="15"/>
      <c r="JGM246" s="15"/>
      <c r="JGN246" s="15"/>
      <c r="JGO246" s="15"/>
      <c r="JGP246" s="15"/>
      <c r="JGQ246" s="15"/>
      <c r="JGR246" s="15"/>
      <c r="JGS246" s="15"/>
      <c r="JGT246" s="15"/>
      <c r="JGU246" s="15"/>
      <c r="JGV246" s="10"/>
      <c r="JGW246" s="10"/>
      <c r="JGX246" s="21"/>
      <c r="JGY246" s="21"/>
      <c r="JHB246" s="21"/>
      <c r="JHC246" s="15"/>
      <c r="JHD246" s="15"/>
      <c r="JHE246" s="15"/>
      <c r="JHF246" s="15"/>
      <c r="JHG246" s="15"/>
      <c r="JHH246" s="15"/>
      <c r="JHI246" s="15"/>
      <c r="JHJ246" s="15"/>
      <c r="JHK246" s="15"/>
      <c r="JHL246" s="15"/>
      <c r="JHM246" s="10"/>
      <c r="JHN246" s="10"/>
      <c r="JHO246" s="21"/>
      <c r="JHP246" s="21"/>
      <c r="JHS246" s="21"/>
      <c r="JHT246" s="15"/>
      <c r="JHU246" s="15"/>
      <c r="JHV246" s="15"/>
      <c r="JHW246" s="15"/>
      <c r="JHX246" s="15"/>
      <c r="JHY246" s="15"/>
      <c r="JHZ246" s="15"/>
      <c r="JIA246" s="15"/>
      <c r="JIB246" s="15"/>
      <c r="JIC246" s="15"/>
      <c r="JID246" s="10"/>
      <c r="JIE246" s="10"/>
      <c r="JIF246" s="21"/>
      <c r="JIG246" s="21"/>
      <c r="JIJ246" s="21"/>
      <c r="JIK246" s="15"/>
      <c r="JIL246" s="15"/>
      <c r="JIM246" s="15"/>
      <c r="JIN246" s="15"/>
      <c r="JIO246" s="15"/>
      <c r="JIP246" s="15"/>
      <c r="JIQ246" s="15"/>
      <c r="JIR246" s="15"/>
      <c r="JIS246" s="15"/>
      <c r="JIT246" s="15"/>
      <c r="JIU246" s="10"/>
      <c r="JIV246" s="10"/>
      <c r="JIW246" s="21"/>
      <c r="JIX246" s="21"/>
      <c r="JJA246" s="21"/>
      <c r="JJB246" s="15"/>
      <c r="JJC246" s="15"/>
      <c r="JJD246" s="15"/>
      <c r="JJE246" s="15"/>
      <c r="JJF246" s="15"/>
      <c r="JJG246" s="15"/>
      <c r="JJH246" s="15"/>
      <c r="JJI246" s="15"/>
      <c r="JJJ246" s="15"/>
      <c r="JJK246" s="15"/>
      <c r="JJL246" s="10"/>
      <c r="JJM246" s="10"/>
      <c r="JJN246" s="21"/>
      <c r="JJO246" s="21"/>
      <c r="JJR246" s="21"/>
      <c r="JJS246" s="15"/>
      <c r="JJT246" s="15"/>
      <c r="JJU246" s="15"/>
      <c r="JJV246" s="15"/>
      <c r="JJW246" s="15"/>
      <c r="JJX246" s="15"/>
      <c r="JJY246" s="15"/>
      <c r="JJZ246" s="15"/>
      <c r="JKA246" s="15"/>
      <c r="JKB246" s="15"/>
      <c r="JKC246" s="10"/>
      <c r="JKD246" s="10"/>
      <c r="JKE246" s="21"/>
      <c r="JKF246" s="21"/>
      <c r="JKI246" s="21"/>
      <c r="JKJ246" s="15"/>
      <c r="JKK246" s="15"/>
      <c r="JKL246" s="15"/>
      <c r="JKM246" s="15"/>
      <c r="JKN246" s="15"/>
      <c r="JKO246" s="15"/>
      <c r="JKP246" s="15"/>
      <c r="JKQ246" s="15"/>
      <c r="JKR246" s="15"/>
      <c r="JKS246" s="15"/>
      <c r="JKT246" s="10"/>
      <c r="JKU246" s="10"/>
      <c r="JKV246" s="21"/>
      <c r="JKW246" s="21"/>
      <c r="JKZ246" s="21"/>
      <c r="JLA246" s="15"/>
      <c r="JLB246" s="15"/>
      <c r="JLC246" s="15"/>
      <c r="JLD246" s="15"/>
      <c r="JLE246" s="15"/>
      <c r="JLF246" s="15"/>
      <c r="JLG246" s="15"/>
      <c r="JLH246" s="15"/>
      <c r="JLI246" s="15"/>
      <c r="JLJ246" s="15"/>
      <c r="JLK246" s="10"/>
      <c r="JLL246" s="10"/>
      <c r="JLM246" s="21"/>
      <c r="JLN246" s="21"/>
      <c r="JLQ246" s="21"/>
      <c r="JLR246" s="15"/>
      <c r="JLS246" s="15"/>
      <c r="JLT246" s="15"/>
      <c r="JLU246" s="15"/>
      <c r="JLV246" s="15"/>
      <c r="JLW246" s="15"/>
      <c r="JLX246" s="15"/>
      <c r="JLY246" s="15"/>
      <c r="JLZ246" s="15"/>
      <c r="JMA246" s="15"/>
      <c r="JMB246" s="10"/>
      <c r="JMC246" s="10"/>
      <c r="JMD246" s="21"/>
      <c r="JME246" s="21"/>
      <c r="JMH246" s="21"/>
      <c r="JMI246" s="15"/>
      <c r="JMJ246" s="15"/>
      <c r="JMK246" s="15"/>
      <c r="JML246" s="15"/>
      <c r="JMM246" s="15"/>
      <c r="JMN246" s="15"/>
      <c r="JMO246" s="15"/>
      <c r="JMP246" s="15"/>
      <c r="JMQ246" s="15"/>
      <c r="JMR246" s="15"/>
      <c r="JMS246" s="10"/>
      <c r="JMT246" s="10"/>
      <c r="JMU246" s="21"/>
      <c r="JMV246" s="21"/>
      <c r="JMY246" s="21"/>
      <c r="JMZ246" s="15"/>
      <c r="JNA246" s="15"/>
      <c r="JNB246" s="15"/>
      <c r="JNC246" s="15"/>
      <c r="JND246" s="15"/>
      <c r="JNE246" s="15"/>
      <c r="JNF246" s="15"/>
      <c r="JNG246" s="15"/>
      <c r="JNH246" s="15"/>
      <c r="JNI246" s="15"/>
      <c r="JNJ246" s="10"/>
      <c r="JNK246" s="10"/>
      <c r="JNL246" s="21"/>
      <c r="JNM246" s="21"/>
      <c r="JNP246" s="21"/>
      <c r="JNQ246" s="15"/>
      <c r="JNR246" s="15"/>
      <c r="JNS246" s="15"/>
      <c r="JNT246" s="15"/>
      <c r="JNU246" s="15"/>
      <c r="JNV246" s="15"/>
      <c r="JNW246" s="15"/>
      <c r="JNX246" s="15"/>
      <c r="JNY246" s="15"/>
      <c r="JNZ246" s="15"/>
      <c r="JOA246" s="10"/>
      <c r="JOB246" s="10"/>
      <c r="JOC246" s="21"/>
      <c r="JOD246" s="21"/>
      <c r="JOG246" s="21"/>
      <c r="JOH246" s="15"/>
      <c r="JOI246" s="15"/>
      <c r="JOJ246" s="15"/>
      <c r="JOK246" s="15"/>
      <c r="JOL246" s="15"/>
      <c r="JOM246" s="15"/>
      <c r="JON246" s="15"/>
      <c r="JOO246" s="15"/>
      <c r="JOP246" s="15"/>
      <c r="JOQ246" s="15"/>
      <c r="JOR246" s="10"/>
      <c r="JOS246" s="10"/>
      <c r="JOT246" s="21"/>
      <c r="JOU246" s="21"/>
      <c r="JOX246" s="21"/>
      <c r="JOY246" s="15"/>
      <c r="JOZ246" s="15"/>
      <c r="JPA246" s="15"/>
      <c r="JPB246" s="15"/>
      <c r="JPC246" s="15"/>
      <c r="JPD246" s="15"/>
      <c r="JPE246" s="15"/>
      <c r="JPF246" s="15"/>
      <c r="JPG246" s="15"/>
      <c r="JPH246" s="15"/>
      <c r="JPI246" s="10"/>
      <c r="JPJ246" s="10"/>
      <c r="JPK246" s="21"/>
      <c r="JPL246" s="21"/>
      <c r="JPO246" s="21"/>
      <c r="JPP246" s="15"/>
      <c r="JPQ246" s="15"/>
      <c r="JPR246" s="15"/>
      <c r="JPS246" s="15"/>
      <c r="JPT246" s="15"/>
      <c r="JPU246" s="15"/>
      <c r="JPV246" s="15"/>
      <c r="JPW246" s="15"/>
      <c r="JPX246" s="15"/>
      <c r="JPY246" s="15"/>
      <c r="JPZ246" s="10"/>
      <c r="JQA246" s="10"/>
      <c r="JQB246" s="21"/>
      <c r="JQC246" s="21"/>
      <c r="JQF246" s="21"/>
      <c r="JQG246" s="15"/>
      <c r="JQH246" s="15"/>
      <c r="JQI246" s="15"/>
      <c r="JQJ246" s="15"/>
      <c r="JQK246" s="15"/>
      <c r="JQL246" s="15"/>
      <c r="JQM246" s="15"/>
      <c r="JQN246" s="15"/>
      <c r="JQO246" s="15"/>
      <c r="JQP246" s="15"/>
      <c r="JQQ246" s="10"/>
      <c r="JQR246" s="10"/>
      <c r="JQS246" s="21"/>
      <c r="JQT246" s="21"/>
      <c r="JQW246" s="21"/>
      <c r="JQX246" s="15"/>
      <c r="JQY246" s="15"/>
      <c r="JQZ246" s="15"/>
      <c r="JRA246" s="15"/>
      <c r="JRB246" s="15"/>
      <c r="JRC246" s="15"/>
      <c r="JRD246" s="15"/>
      <c r="JRE246" s="15"/>
      <c r="JRF246" s="15"/>
      <c r="JRG246" s="15"/>
      <c r="JRH246" s="10"/>
      <c r="JRI246" s="10"/>
      <c r="JRJ246" s="21"/>
      <c r="JRK246" s="21"/>
      <c r="JRN246" s="21"/>
      <c r="JRO246" s="15"/>
      <c r="JRP246" s="15"/>
      <c r="JRQ246" s="15"/>
      <c r="JRR246" s="15"/>
      <c r="JRS246" s="15"/>
      <c r="JRT246" s="15"/>
      <c r="JRU246" s="15"/>
      <c r="JRV246" s="15"/>
      <c r="JRW246" s="15"/>
      <c r="JRX246" s="15"/>
      <c r="JRY246" s="10"/>
      <c r="JRZ246" s="10"/>
      <c r="JSA246" s="21"/>
      <c r="JSB246" s="21"/>
      <c r="JSE246" s="21"/>
      <c r="JSF246" s="15"/>
      <c r="JSG246" s="15"/>
      <c r="JSH246" s="15"/>
      <c r="JSI246" s="15"/>
      <c r="JSJ246" s="15"/>
      <c r="JSK246" s="15"/>
      <c r="JSL246" s="15"/>
      <c r="JSM246" s="15"/>
      <c r="JSN246" s="15"/>
      <c r="JSO246" s="15"/>
      <c r="JSP246" s="10"/>
      <c r="JSQ246" s="10"/>
      <c r="JSR246" s="21"/>
      <c r="JSS246" s="21"/>
      <c r="JSV246" s="21"/>
      <c r="JSW246" s="15"/>
      <c r="JSX246" s="15"/>
      <c r="JSY246" s="15"/>
      <c r="JSZ246" s="15"/>
      <c r="JTA246" s="15"/>
      <c r="JTB246" s="15"/>
      <c r="JTC246" s="15"/>
      <c r="JTD246" s="15"/>
      <c r="JTE246" s="15"/>
      <c r="JTF246" s="15"/>
      <c r="JTG246" s="10"/>
      <c r="JTH246" s="10"/>
      <c r="JTI246" s="21"/>
      <c r="JTJ246" s="21"/>
      <c r="JTM246" s="21"/>
      <c r="JTN246" s="15"/>
      <c r="JTO246" s="15"/>
      <c r="JTP246" s="15"/>
      <c r="JTQ246" s="15"/>
      <c r="JTR246" s="15"/>
      <c r="JTS246" s="15"/>
      <c r="JTT246" s="15"/>
      <c r="JTU246" s="15"/>
      <c r="JTV246" s="15"/>
      <c r="JTW246" s="15"/>
      <c r="JTX246" s="10"/>
      <c r="JTY246" s="10"/>
      <c r="JTZ246" s="21"/>
      <c r="JUA246" s="21"/>
      <c r="JUD246" s="21"/>
      <c r="JUE246" s="15"/>
      <c r="JUF246" s="15"/>
      <c r="JUG246" s="15"/>
      <c r="JUH246" s="15"/>
      <c r="JUI246" s="15"/>
      <c r="JUJ246" s="15"/>
      <c r="JUK246" s="15"/>
      <c r="JUL246" s="15"/>
      <c r="JUM246" s="15"/>
      <c r="JUN246" s="15"/>
      <c r="JUO246" s="10"/>
      <c r="JUP246" s="10"/>
      <c r="JUQ246" s="21"/>
      <c r="JUR246" s="21"/>
      <c r="JUU246" s="21"/>
      <c r="JUV246" s="15"/>
      <c r="JUW246" s="15"/>
      <c r="JUX246" s="15"/>
      <c r="JUY246" s="15"/>
      <c r="JUZ246" s="15"/>
      <c r="JVA246" s="15"/>
      <c r="JVB246" s="15"/>
      <c r="JVC246" s="15"/>
      <c r="JVD246" s="15"/>
      <c r="JVE246" s="15"/>
      <c r="JVF246" s="10"/>
      <c r="JVG246" s="10"/>
      <c r="JVH246" s="21"/>
      <c r="JVI246" s="21"/>
      <c r="JVL246" s="21"/>
      <c r="JVM246" s="15"/>
      <c r="JVN246" s="15"/>
      <c r="JVO246" s="15"/>
      <c r="JVP246" s="15"/>
      <c r="JVQ246" s="15"/>
      <c r="JVR246" s="15"/>
      <c r="JVS246" s="15"/>
      <c r="JVT246" s="15"/>
      <c r="JVU246" s="15"/>
      <c r="JVV246" s="15"/>
      <c r="JVW246" s="10"/>
      <c r="JVX246" s="10"/>
      <c r="JVY246" s="21"/>
      <c r="JVZ246" s="21"/>
      <c r="JWC246" s="21"/>
      <c r="JWD246" s="15"/>
      <c r="JWE246" s="15"/>
      <c r="JWF246" s="15"/>
      <c r="JWG246" s="15"/>
      <c r="JWH246" s="15"/>
      <c r="JWI246" s="15"/>
      <c r="JWJ246" s="15"/>
      <c r="JWK246" s="15"/>
      <c r="JWL246" s="15"/>
      <c r="JWM246" s="15"/>
      <c r="JWN246" s="10"/>
      <c r="JWO246" s="10"/>
      <c r="JWP246" s="21"/>
      <c r="JWQ246" s="21"/>
      <c r="JWT246" s="21"/>
      <c r="JWU246" s="15"/>
      <c r="JWV246" s="15"/>
      <c r="JWW246" s="15"/>
      <c r="JWX246" s="15"/>
      <c r="JWY246" s="15"/>
      <c r="JWZ246" s="15"/>
      <c r="JXA246" s="15"/>
      <c r="JXB246" s="15"/>
      <c r="JXC246" s="15"/>
      <c r="JXD246" s="15"/>
      <c r="JXE246" s="10"/>
      <c r="JXF246" s="10"/>
      <c r="JXG246" s="21"/>
      <c r="JXH246" s="21"/>
      <c r="JXK246" s="21"/>
      <c r="JXL246" s="15"/>
      <c r="JXM246" s="15"/>
      <c r="JXN246" s="15"/>
      <c r="JXO246" s="15"/>
      <c r="JXP246" s="15"/>
      <c r="JXQ246" s="15"/>
      <c r="JXR246" s="15"/>
      <c r="JXS246" s="15"/>
      <c r="JXT246" s="15"/>
      <c r="JXU246" s="15"/>
      <c r="JXV246" s="10"/>
      <c r="JXW246" s="10"/>
      <c r="JXX246" s="21"/>
      <c r="JXY246" s="21"/>
      <c r="JYB246" s="21"/>
      <c r="JYC246" s="15"/>
      <c r="JYD246" s="15"/>
      <c r="JYE246" s="15"/>
      <c r="JYF246" s="15"/>
      <c r="JYG246" s="15"/>
      <c r="JYH246" s="15"/>
      <c r="JYI246" s="15"/>
      <c r="JYJ246" s="15"/>
      <c r="JYK246" s="15"/>
      <c r="JYL246" s="15"/>
      <c r="JYM246" s="10"/>
      <c r="JYN246" s="10"/>
      <c r="JYO246" s="21"/>
      <c r="JYP246" s="21"/>
      <c r="JYS246" s="21"/>
      <c r="JYT246" s="15"/>
      <c r="JYU246" s="15"/>
      <c r="JYV246" s="15"/>
      <c r="JYW246" s="15"/>
      <c r="JYX246" s="15"/>
      <c r="JYY246" s="15"/>
      <c r="JYZ246" s="15"/>
      <c r="JZA246" s="15"/>
      <c r="JZB246" s="15"/>
      <c r="JZC246" s="15"/>
      <c r="JZD246" s="10"/>
      <c r="JZE246" s="10"/>
      <c r="JZF246" s="21"/>
      <c r="JZG246" s="21"/>
      <c r="JZJ246" s="21"/>
      <c r="JZK246" s="15"/>
      <c r="JZL246" s="15"/>
      <c r="JZM246" s="15"/>
      <c r="JZN246" s="15"/>
      <c r="JZO246" s="15"/>
      <c r="JZP246" s="15"/>
      <c r="JZQ246" s="15"/>
      <c r="JZR246" s="15"/>
      <c r="JZS246" s="15"/>
      <c r="JZT246" s="15"/>
      <c r="JZU246" s="10"/>
      <c r="JZV246" s="10"/>
      <c r="JZW246" s="21"/>
      <c r="JZX246" s="21"/>
      <c r="KAA246" s="21"/>
      <c r="KAB246" s="15"/>
      <c r="KAC246" s="15"/>
      <c r="KAD246" s="15"/>
      <c r="KAE246" s="15"/>
      <c r="KAF246" s="15"/>
      <c r="KAG246" s="15"/>
      <c r="KAH246" s="15"/>
      <c r="KAI246" s="15"/>
      <c r="KAJ246" s="15"/>
      <c r="KAK246" s="15"/>
      <c r="KAL246" s="10"/>
      <c r="KAM246" s="10"/>
      <c r="KAN246" s="21"/>
      <c r="KAO246" s="21"/>
      <c r="KAR246" s="21"/>
      <c r="KAS246" s="15"/>
      <c r="KAT246" s="15"/>
      <c r="KAU246" s="15"/>
      <c r="KAV246" s="15"/>
      <c r="KAW246" s="15"/>
      <c r="KAX246" s="15"/>
      <c r="KAY246" s="15"/>
      <c r="KAZ246" s="15"/>
      <c r="KBA246" s="15"/>
      <c r="KBB246" s="15"/>
      <c r="KBC246" s="10"/>
      <c r="KBD246" s="10"/>
      <c r="KBE246" s="21"/>
      <c r="KBF246" s="21"/>
      <c r="KBI246" s="21"/>
      <c r="KBJ246" s="15"/>
      <c r="KBK246" s="15"/>
      <c r="KBL246" s="15"/>
      <c r="KBM246" s="15"/>
      <c r="KBN246" s="15"/>
      <c r="KBO246" s="15"/>
      <c r="KBP246" s="15"/>
      <c r="KBQ246" s="15"/>
      <c r="KBR246" s="15"/>
      <c r="KBS246" s="15"/>
      <c r="KBT246" s="10"/>
      <c r="KBU246" s="10"/>
      <c r="KBV246" s="21"/>
      <c r="KBW246" s="21"/>
      <c r="KBZ246" s="21"/>
      <c r="KCA246" s="15"/>
      <c r="KCB246" s="15"/>
      <c r="KCC246" s="15"/>
      <c r="KCD246" s="15"/>
      <c r="KCE246" s="15"/>
      <c r="KCF246" s="15"/>
      <c r="KCG246" s="15"/>
      <c r="KCH246" s="15"/>
      <c r="KCI246" s="15"/>
      <c r="KCJ246" s="15"/>
      <c r="KCK246" s="10"/>
      <c r="KCL246" s="10"/>
      <c r="KCM246" s="21"/>
      <c r="KCN246" s="21"/>
      <c r="KCQ246" s="21"/>
      <c r="KCR246" s="15"/>
      <c r="KCS246" s="15"/>
      <c r="KCT246" s="15"/>
      <c r="KCU246" s="15"/>
      <c r="KCV246" s="15"/>
      <c r="KCW246" s="15"/>
      <c r="KCX246" s="15"/>
      <c r="KCY246" s="15"/>
      <c r="KCZ246" s="15"/>
      <c r="KDA246" s="15"/>
      <c r="KDB246" s="10"/>
      <c r="KDC246" s="10"/>
      <c r="KDD246" s="21"/>
      <c r="KDE246" s="21"/>
      <c r="KDH246" s="21"/>
      <c r="KDI246" s="15"/>
      <c r="KDJ246" s="15"/>
      <c r="KDK246" s="15"/>
      <c r="KDL246" s="15"/>
      <c r="KDM246" s="15"/>
      <c r="KDN246" s="15"/>
      <c r="KDO246" s="15"/>
      <c r="KDP246" s="15"/>
      <c r="KDQ246" s="15"/>
      <c r="KDR246" s="15"/>
      <c r="KDS246" s="10"/>
      <c r="KDT246" s="10"/>
      <c r="KDU246" s="21"/>
      <c r="KDV246" s="21"/>
      <c r="KDY246" s="21"/>
      <c r="KDZ246" s="15"/>
      <c r="KEA246" s="15"/>
      <c r="KEB246" s="15"/>
      <c r="KEC246" s="15"/>
      <c r="KED246" s="15"/>
      <c r="KEE246" s="15"/>
      <c r="KEF246" s="15"/>
      <c r="KEG246" s="15"/>
      <c r="KEH246" s="15"/>
      <c r="KEI246" s="15"/>
      <c r="KEJ246" s="10"/>
      <c r="KEK246" s="10"/>
      <c r="KEL246" s="21"/>
      <c r="KEM246" s="21"/>
      <c r="KEP246" s="21"/>
      <c r="KEQ246" s="15"/>
      <c r="KER246" s="15"/>
      <c r="KES246" s="15"/>
      <c r="KET246" s="15"/>
      <c r="KEU246" s="15"/>
      <c r="KEV246" s="15"/>
      <c r="KEW246" s="15"/>
      <c r="KEX246" s="15"/>
      <c r="KEY246" s="15"/>
      <c r="KEZ246" s="15"/>
      <c r="KFA246" s="10"/>
      <c r="KFB246" s="10"/>
      <c r="KFC246" s="21"/>
      <c r="KFD246" s="21"/>
      <c r="KFG246" s="21"/>
      <c r="KFH246" s="15"/>
      <c r="KFI246" s="15"/>
      <c r="KFJ246" s="15"/>
      <c r="KFK246" s="15"/>
      <c r="KFL246" s="15"/>
      <c r="KFM246" s="15"/>
      <c r="KFN246" s="15"/>
      <c r="KFO246" s="15"/>
      <c r="KFP246" s="15"/>
      <c r="KFQ246" s="15"/>
      <c r="KFR246" s="10"/>
      <c r="KFS246" s="10"/>
      <c r="KFT246" s="21"/>
      <c r="KFU246" s="21"/>
      <c r="KFX246" s="21"/>
      <c r="KFY246" s="15"/>
      <c r="KFZ246" s="15"/>
      <c r="KGA246" s="15"/>
      <c r="KGB246" s="15"/>
      <c r="KGC246" s="15"/>
      <c r="KGD246" s="15"/>
      <c r="KGE246" s="15"/>
      <c r="KGF246" s="15"/>
      <c r="KGG246" s="15"/>
      <c r="KGH246" s="15"/>
      <c r="KGI246" s="10"/>
      <c r="KGJ246" s="10"/>
      <c r="KGK246" s="21"/>
      <c r="KGL246" s="21"/>
      <c r="KGO246" s="21"/>
      <c r="KGP246" s="15"/>
      <c r="KGQ246" s="15"/>
      <c r="KGR246" s="15"/>
      <c r="KGS246" s="15"/>
      <c r="KGT246" s="15"/>
      <c r="KGU246" s="15"/>
      <c r="KGV246" s="15"/>
      <c r="KGW246" s="15"/>
      <c r="KGX246" s="15"/>
      <c r="KGY246" s="15"/>
      <c r="KGZ246" s="10"/>
      <c r="KHA246" s="10"/>
      <c r="KHB246" s="21"/>
      <c r="KHC246" s="21"/>
      <c r="KHF246" s="21"/>
      <c r="KHG246" s="15"/>
      <c r="KHH246" s="15"/>
      <c r="KHI246" s="15"/>
      <c r="KHJ246" s="15"/>
      <c r="KHK246" s="15"/>
      <c r="KHL246" s="15"/>
      <c r="KHM246" s="15"/>
      <c r="KHN246" s="15"/>
      <c r="KHO246" s="15"/>
      <c r="KHP246" s="15"/>
      <c r="KHQ246" s="10"/>
      <c r="KHR246" s="10"/>
      <c r="KHS246" s="21"/>
      <c r="KHT246" s="21"/>
      <c r="KHW246" s="21"/>
      <c r="KHX246" s="15"/>
      <c r="KHY246" s="15"/>
      <c r="KHZ246" s="15"/>
      <c r="KIA246" s="15"/>
      <c r="KIB246" s="15"/>
      <c r="KIC246" s="15"/>
      <c r="KID246" s="15"/>
      <c r="KIE246" s="15"/>
      <c r="KIF246" s="15"/>
      <c r="KIG246" s="15"/>
      <c r="KIH246" s="10"/>
      <c r="KII246" s="10"/>
      <c r="KIJ246" s="21"/>
      <c r="KIK246" s="21"/>
      <c r="KIN246" s="21"/>
      <c r="KIO246" s="15"/>
      <c r="KIP246" s="15"/>
      <c r="KIQ246" s="15"/>
      <c r="KIR246" s="15"/>
      <c r="KIS246" s="15"/>
      <c r="KIT246" s="15"/>
      <c r="KIU246" s="15"/>
      <c r="KIV246" s="15"/>
      <c r="KIW246" s="15"/>
      <c r="KIX246" s="15"/>
      <c r="KIY246" s="10"/>
      <c r="KIZ246" s="10"/>
      <c r="KJA246" s="21"/>
      <c r="KJB246" s="21"/>
      <c r="KJE246" s="21"/>
      <c r="KJF246" s="15"/>
      <c r="KJG246" s="15"/>
      <c r="KJH246" s="15"/>
      <c r="KJI246" s="15"/>
      <c r="KJJ246" s="15"/>
      <c r="KJK246" s="15"/>
      <c r="KJL246" s="15"/>
      <c r="KJM246" s="15"/>
      <c r="KJN246" s="15"/>
      <c r="KJO246" s="15"/>
      <c r="KJP246" s="10"/>
      <c r="KJQ246" s="10"/>
      <c r="KJR246" s="21"/>
      <c r="KJS246" s="21"/>
      <c r="KJV246" s="21"/>
      <c r="KJW246" s="15"/>
      <c r="KJX246" s="15"/>
      <c r="KJY246" s="15"/>
      <c r="KJZ246" s="15"/>
      <c r="KKA246" s="15"/>
      <c r="KKB246" s="15"/>
      <c r="KKC246" s="15"/>
      <c r="KKD246" s="15"/>
      <c r="KKE246" s="15"/>
      <c r="KKF246" s="15"/>
      <c r="KKG246" s="10"/>
      <c r="KKH246" s="10"/>
      <c r="KKI246" s="21"/>
      <c r="KKJ246" s="21"/>
      <c r="KKM246" s="21"/>
      <c r="KKN246" s="15"/>
      <c r="KKO246" s="15"/>
      <c r="KKP246" s="15"/>
      <c r="KKQ246" s="15"/>
      <c r="KKR246" s="15"/>
      <c r="KKS246" s="15"/>
      <c r="KKT246" s="15"/>
      <c r="KKU246" s="15"/>
      <c r="KKV246" s="15"/>
      <c r="KKW246" s="15"/>
      <c r="KKX246" s="10"/>
      <c r="KKY246" s="10"/>
      <c r="KKZ246" s="21"/>
      <c r="KLA246" s="21"/>
      <c r="KLD246" s="21"/>
      <c r="KLE246" s="15"/>
      <c r="KLF246" s="15"/>
      <c r="KLG246" s="15"/>
      <c r="KLH246" s="15"/>
      <c r="KLI246" s="15"/>
      <c r="KLJ246" s="15"/>
      <c r="KLK246" s="15"/>
      <c r="KLL246" s="15"/>
      <c r="KLM246" s="15"/>
      <c r="KLN246" s="15"/>
      <c r="KLO246" s="10"/>
      <c r="KLP246" s="10"/>
      <c r="KLQ246" s="21"/>
      <c r="KLR246" s="21"/>
      <c r="KLU246" s="21"/>
      <c r="KLV246" s="15"/>
      <c r="KLW246" s="15"/>
      <c r="KLX246" s="15"/>
      <c r="KLY246" s="15"/>
      <c r="KLZ246" s="15"/>
      <c r="KMA246" s="15"/>
      <c r="KMB246" s="15"/>
      <c r="KMC246" s="15"/>
      <c r="KMD246" s="15"/>
      <c r="KME246" s="15"/>
      <c r="KMF246" s="10"/>
      <c r="KMG246" s="10"/>
      <c r="KMH246" s="21"/>
      <c r="KMI246" s="21"/>
      <c r="KML246" s="21"/>
      <c r="KMM246" s="15"/>
      <c r="KMN246" s="15"/>
      <c r="KMO246" s="15"/>
      <c r="KMP246" s="15"/>
      <c r="KMQ246" s="15"/>
      <c r="KMR246" s="15"/>
      <c r="KMS246" s="15"/>
      <c r="KMT246" s="15"/>
      <c r="KMU246" s="15"/>
      <c r="KMV246" s="15"/>
      <c r="KMW246" s="10"/>
      <c r="KMX246" s="10"/>
      <c r="KMY246" s="21"/>
      <c r="KMZ246" s="21"/>
      <c r="KNC246" s="21"/>
      <c r="KND246" s="15"/>
      <c r="KNE246" s="15"/>
      <c r="KNF246" s="15"/>
      <c r="KNG246" s="15"/>
      <c r="KNH246" s="15"/>
      <c r="KNI246" s="15"/>
      <c r="KNJ246" s="15"/>
      <c r="KNK246" s="15"/>
      <c r="KNL246" s="15"/>
      <c r="KNM246" s="15"/>
      <c r="KNN246" s="10"/>
      <c r="KNO246" s="10"/>
      <c r="KNP246" s="21"/>
      <c r="KNQ246" s="21"/>
      <c r="KNT246" s="21"/>
      <c r="KNU246" s="15"/>
      <c r="KNV246" s="15"/>
      <c r="KNW246" s="15"/>
      <c r="KNX246" s="15"/>
      <c r="KNY246" s="15"/>
      <c r="KNZ246" s="15"/>
      <c r="KOA246" s="15"/>
      <c r="KOB246" s="15"/>
      <c r="KOC246" s="15"/>
      <c r="KOD246" s="15"/>
      <c r="KOE246" s="10"/>
      <c r="KOF246" s="10"/>
      <c r="KOG246" s="21"/>
      <c r="KOH246" s="21"/>
      <c r="KOK246" s="21"/>
      <c r="KOL246" s="15"/>
      <c r="KOM246" s="15"/>
      <c r="KON246" s="15"/>
      <c r="KOO246" s="15"/>
      <c r="KOP246" s="15"/>
      <c r="KOQ246" s="15"/>
      <c r="KOR246" s="15"/>
      <c r="KOS246" s="15"/>
      <c r="KOT246" s="15"/>
      <c r="KOU246" s="15"/>
      <c r="KOV246" s="10"/>
      <c r="KOW246" s="10"/>
      <c r="KOX246" s="21"/>
      <c r="KOY246" s="21"/>
      <c r="KPB246" s="21"/>
      <c r="KPC246" s="15"/>
      <c r="KPD246" s="15"/>
      <c r="KPE246" s="15"/>
      <c r="KPF246" s="15"/>
      <c r="KPG246" s="15"/>
      <c r="KPH246" s="15"/>
      <c r="KPI246" s="15"/>
      <c r="KPJ246" s="15"/>
      <c r="KPK246" s="15"/>
      <c r="KPL246" s="15"/>
      <c r="KPM246" s="10"/>
      <c r="KPN246" s="10"/>
      <c r="KPO246" s="21"/>
      <c r="KPP246" s="21"/>
      <c r="KPS246" s="21"/>
      <c r="KPT246" s="15"/>
      <c r="KPU246" s="15"/>
      <c r="KPV246" s="15"/>
      <c r="KPW246" s="15"/>
      <c r="KPX246" s="15"/>
      <c r="KPY246" s="15"/>
      <c r="KPZ246" s="15"/>
      <c r="KQA246" s="15"/>
      <c r="KQB246" s="15"/>
      <c r="KQC246" s="15"/>
      <c r="KQD246" s="10"/>
      <c r="KQE246" s="10"/>
      <c r="KQF246" s="21"/>
      <c r="KQG246" s="21"/>
      <c r="KQJ246" s="21"/>
      <c r="KQK246" s="15"/>
      <c r="KQL246" s="15"/>
      <c r="KQM246" s="15"/>
      <c r="KQN246" s="15"/>
      <c r="KQO246" s="15"/>
      <c r="KQP246" s="15"/>
      <c r="KQQ246" s="15"/>
      <c r="KQR246" s="15"/>
      <c r="KQS246" s="15"/>
      <c r="KQT246" s="15"/>
      <c r="KQU246" s="10"/>
      <c r="KQV246" s="10"/>
      <c r="KQW246" s="21"/>
      <c r="KQX246" s="21"/>
      <c r="KRA246" s="21"/>
      <c r="KRB246" s="15"/>
      <c r="KRC246" s="15"/>
      <c r="KRD246" s="15"/>
      <c r="KRE246" s="15"/>
      <c r="KRF246" s="15"/>
      <c r="KRG246" s="15"/>
      <c r="KRH246" s="15"/>
      <c r="KRI246" s="15"/>
      <c r="KRJ246" s="15"/>
      <c r="KRK246" s="15"/>
      <c r="KRL246" s="10"/>
      <c r="KRM246" s="10"/>
      <c r="KRN246" s="21"/>
      <c r="KRO246" s="21"/>
      <c r="KRR246" s="21"/>
      <c r="KRS246" s="15"/>
      <c r="KRT246" s="15"/>
      <c r="KRU246" s="15"/>
      <c r="KRV246" s="15"/>
      <c r="KRW246" s="15"/>
      <c r="KRX246" s="15"/>
      <c r="KRY246" s="15"/>
      <c r="KRZ246" s="15"/>
      <c r="KSA246" s="15"/>
      <c r="KSB246" s="15"/>
      <c r="KSC246" s="10"/>
      <c r="KSD246" s="10"/>
      <c r="KSE246" s="21"/>
      <c r="KSF246" s="21"/>
      <c r="KSI246" s="21"/>
      <c r="KSJ246" s="15"/>
      <c r="KSK246" s="15"/>
      <c r="KSL246" s="15"/>
      <c r="KSM246" s="15"/>
      <c r="KSN246" s="15"/>
      <c r="KSO246" s="15"/>
      <c r="KSP246" s="15"/>
      <c r="KSQ246" s="15"/>
      <c r="KSR246" s="15"/>
      <c r="KSS246" s="15"/>
      <c r="KST246" s="10"/>
      <c r="KSU246" s="10"/>
      <c r="KSV246" s="21"/>
      <c r="KSW246" s="21"/>
      <c r="KSZ246" s="21"/>
      <c r="KTA246" s="15"/>
      <c r="KTB246" s="15"/>
      <c r="KTC246" s="15"/>
      <c r="KTD246" s="15"/>
      <c r="KTE246" s="15"/>
      <c r="KTF246" s="15"/>
      <c r="KTG246" s="15"/>
      <c r="KTH246" s="15"/>
      <c r="KTI246" s="15"/>
      <c r="KTJ246" s="15"/>
      <c r="KTK246" s="10"/>
      <c r="KTL246" s="10"/>
      <c r="KTM246" s="21"/>
      <c r="KTN246" s="21"/>
      <c r="KTQ246" s="21"/>
      <c r="KTR246" s="15"/>
      <c r="KTS246" s="15"/>
      <c r="KTT246" s="15"/>
      <c r="KTU246" s="15"/>
      <c r="KTV246" s="15"/>
      <c r="KTW246" s="15"/>
      <c r="KTX246" s="15"/>
      <c r="KTY246" s="15"/>
      <c r="KTZ246" s="15"/>
      <c r="KUA246" s="15"/>
      <c r="KUB246" s="10"/>
      <c r="KUC246" s="10"/>
      <c r="KUD246" s="21"/>
      <c r="KUE246" s="21"/>
      <c r="KUH246" s="21"/>
      <c r="KUI246" s="15"/>
      <c r="KUJ246" s="15"/>
      <c r="KUK246" s="15"/>
      <c r="KUL246" s="15"/>
      <c r="KUM246" s="15"/>
      <c r="KUN246" s="15"/>
      <c r="KUO246" s="15"/>
      <c r="KUP246" s="15"/>
      <c r="KUQ246" s="15"/>
      <c r="KUR246" s="15"/>
      <c r="KUS246" s="10"/>
      <c r="KUT246" s="10"/>
      <c r="KUU246" s="21"/>
      <c r="KUV246" s="21"/>
      <c r="KUY246" s="21"/>
      <c r="KUZ246" s="15"/>
      <c r="KVA246" s="15"/>
      <c r="KVB246" s="15"/>
      <c r="KVC246" s="15"/>
      <c r="KVD246" s="15"/>
      <c r="KVE246" s="15"/>
      <c r="KVF246" s="15"/>
      <c r="KVG246" s="15"/>
      <c r="KVH246" s="15"/>
      <c r="KVI246" s="15"/>
      <c r="KVJ246" s="10"/>
      <c r="KVK246" s="10"/>
      <c r="KVL246" s="21"/>
      <c r="KVM246" s="21"/>
      <c r="KVP246" s="21"/>
      <c r="KVQ246" s="15"/>
      <c r="KVR246" s="15"/>
      <c r="KVS246" s="15"/>
      <c r="KVT246" s="15"/>
      <c r="KVU246" s="15"/>
      <c r="KVV246" s="15"/>
      <c r="KVW246" s="15"/>
      <c r="KVX246" s="15"/>
      <c r="KVY246" s="15"/>
      <c r="KVZ246" s="15"/>
      <c r="KWA246" s="10"/>
      <c r="KWB246" s="10"/>
      <c r="KWC246" s="21"/>
      <c r="KWD246" s="21"/>
      <c r="KWG246" s="21"/>
      <c r="KWH246" s="15"/>
      <c r="KWI246" s="15"/>
      <c r="KWJ246" s="15"/>
      <c r="KWK246" s="15"/>
      <c r="KWL246" s="15"/>
      <c r="KWM246" s="15"/>
      <c r="KWN246" s="15"/>
      <c r="KWO246" s="15"/>
      <c r="KWP246" s="15"/>
      <c r="KWQ246" s="15"/>
      <c r="KWR246" s="10"/>
      <c r="KWS246" s="10"/>
      <c r="KWT246" s="21"/>
      <c r="KWU246" s="21"/>
      <c r="KWX246" s="21"/>
      <c r="KWY246" s="15"/>
      <c r="KWZ246" s="15"/>
      <c r="KXA246" s="15"/>
      <c r="KXB246" s="15"/>
      <c r="KXC246" s="15"/>
      <c r="KXD246" s="15"/>
      <c r="KXE246" s="15"/>
      <c r="KXF246" s="15"/>
      <c r="KXG246" s="15"/>
      <c r="KXH246" s="15"/>
      <c r="KXI246" s="10"/>
      <c r="KXJ246" s="10"/>
      <c r="KXK246" s="21"/>
      <c r="KXL246" s="21"/>
      <c r="KXO246" s="21"/>
      <c r="KXP246" s="15"/>
      <c r="KXQ246" s="15"/>
      <c r="KXR246" s="15"/>
      <c r="KXS246" s="15"/>
      <c r="KXT246" s="15"/>
      <c r="KXU246" s="15"/>
      <c r="KXV246" s="15"/>
      <c r="KXW246" s="15"/>
      <c r="KXX246" s="15"/>
      <c r="KXY246" s="15"/>
      <c r="KXZ246" s="10"/>
      <c r="KYA246" s="10"/>
      <c r="KYB246" s="21"/>
      <c r="KYC246" s="21"/>
      <c r="KYF246" s="21"/>
      <c r="KYG246" s="15"/>
      <c r="KYH246" s="15"/>
      <c r="KYI246" s="15"/>
      <c r="KYJ246" s="15"/>
      <c r="KYK246" s="15"/>
      <c r="KYL246" s="15"/>
      <c r="KYM246" s="15"/>
      <c r="KYN246" s="15"/>
      <c r="KYO246" s="15"/>
      <c r="KYP246" s="15"/>
      <c r="KYQ246" s="10"/>
      <c r="KYR246" s="10"/>
      <c r="KYS246" s="21"/>
      <c r="KYT246" s="21"/>
      <c r="KYW246" s="21"/>
      <c r="KYX246" s="15"/>
      <c r="KYY246" s="15"/>
      <c r="KYZ246" s="15"/>
      <c r="KZA246" s="15"/>
      <c r="KZB246" s="15"/>
      <c r="KZC246" s="15"/>
      <c r="KZD246" s="15"/>
      <c r="KZE246" s="15"/>
      <c r="KZF246" s="15"/>
      <c r="KZG246" s="15"/>
      <c r="KZH246" s="10"/>
      <c r="KZI246" s="10"/>
      <c r="KZJ246" s="21"/>
      <c r="KZK246" s="21"/>
      <c r="KZN246" s="21"/>
      <c r="KZO246" s="15"/>
      <c r="KZP246" s="15"/>
      <c r="KZQ246" s="15"/>
      <c r="KZR246" s="15"/>
      <c r="KZS246" s="15"/>
      <c r="KZT246" s="15"/>
      <c r="KZU246" s="15"/>
      <c r="KZV246" s="15"/>
      <c r="KZW246" s="15"/>
      <c r="KZX246" s="15"/>
      <c r="KZY246" s="10"/>
      <c r="KZZ246" s="10"/>
      <c r="LAA246" s="21"/>
      <c r="LAB246" s="21"/>
      <c r="LAE246" s="21"/>
      <c r="LAF246" s="15"/>
      <c r="LAG246" s="15"/>
      <c r="LAH246" s="15"/>
      <c r="LAI246" s="15"/>
      <c r="LAJ246" s="15"/>
      <c r="LAK246" s="15"/>
      <c r="LAL246" s="15"/>
      <c r="LAM246" s="15"/>
      <c r="LAN246" s="15"/>
      <c r="LAO246" s="15"/>
      <c r="LAP246" s="10"/>
      <c r="LAQ246" s="10"/>
      <c r="LAR246" s="21"/>
      <c r="LAS246" s="21"/>
      <c r="LAV246" s="21"/>
      <c r="LAW246" s="15"/>
      <c r="LAX246" s="15"/>
      <c r="LAY246" s="15"/>
      <c r="LAZ246" s="15"/>
      <c r="LBA246" s="15"/>
      <c r="LBB246" s="15"/>
      <c r="LBC246" s="15"/>
      <c r="LBD246" s="15"/>
      <c r="LBE246" s="15"/>
      <c r="LBF246" s="15"/>
      <c r="LBG246" s="10"/>
      <c r="LBH246" s="10"/>
      <c r="LBI246" s="21"/>
      <c r="LBJ246" s="21"/>
      <c r="LBM246" s="21"/>
      <c r="LBN246" s="15"/>
      <c r="LBO246" s="15"/>
      <c r="LBP246" s="15"/>
      <c r="LBQ246" s="15"/>
      <c r="LBR246" s="15"/>
      <c r="LBS246" s="15"/>
      <c r="LBT246" s="15"/>
      <c r="LBU246" s="15"/>
      <c r="LBV246" s="15"/>
      <c r="LBW246" s="15"/>
      <c r="LBX246" s="10"/>
      <c r="LBY246" s="10"/>
      <c r="LBZ246" s="21"/>
      <c r="LCA246" s="21"/>
      <c r="LCD246" s="21"/>
      <c r="LCE246" s="15"/>
      <c r="LCF246" s="15"/>
      <c r="LCG246" s="15"/>
      <c r="LCH246" s="15"/>
      <c r="LCI246" s="15"/>
      <c r="LCJ246" s="15"/>
      <c r="LCK246" s="15"/>
      <c r="LCL246" s="15"/>
      <c r="LCM246" s="15"/>
      <c r="LCN246" s="15"/>
      <c r="LCO246" s="10"/>
      <c r="LCP246" s="10"/>
      <c r="LCQ246" s="21"/>
      <c r="LCR246" s="21"/>
      <c r="LCU246" s="21"/>
      <c r="LCV246" s="15"/>
      <c r="LCW246" s="15"/>
      <c r="LCX246" s="15"/>
      <c r="LCY246" s="15"/>
      <c r="LCZ246" s="15"/>
      <c r="LDA246" s="15"/>
      <c r="LDB246" s="15"/>
      <c r="LDC246" s="15"/>
      <c r="LDD246" s="15"/>
      <c r="LDE246" s="15"/>
      <c r="LDF246" s="10"/>
      <c r="LDG246" s="10"/>
      <c r="LDH246" s="21"/>
      <c r="LDI246" s="21"/>
      <c r="LDL246" s="21"/>
      <c r="LDM246" s="15"/>
      <c r="LDN246" s="15"/>
      <c r="LDO246" s="15"/>
      <c r="LDP246" s="15"/>
      <c r="LDQ246" s="15"/>
      <c r="LDR246" s="15"/>
      <c r="LDS246" s="15"/>
      <c r="LDT246" s="15"/>
      <c r="LDU246" s="15"/>
      <c r="LDV246" s="15"/>
      <c r="LDW246" s="10"/>
      <c r="LDX246" s="10"/>
      <c r="LDY246" s="21"/>
      <c r="LDZ246" s="21"/>
      <c r="LEC246" s="21"/>
      <c r="LED246" s="15"/>
      <c r="LEE246" s="15"/>
      <c r="LEF246" s="15"/>
      <c r="LEG246" s="15"/>
      <c r="LEH246" s="15"/>
      <c r="LEI246" s="15"/>
      <c r="LEJ246" s="15"/>
      <c r="LEK246" s="15"/>
      <c r="LEL246" s="15"/>
      <c r="LEM246" s="15"/>
      <c r="LEN246" s="10"/>
      <c r="LEO246" s="10"/>
      <c r="LEP246" s="21"/>
      <c r="LEQ246" s="21"/>
      <c r="LET246" s="21"/>
      <c r="LEU246" s="15"/>
      <c r="LEV246" s="15"/>
      <c r="LEW246" s="15"/>
      <c r="LEX246" s="15"/>
      <c r="LEY246" s="15"/>
      <c r="LEZ246" s="15"/>
      <c r="LFA246" s="15"/>
      <c r="LFB246" s="15"/>
      <c r="LFC246" s="15"/>
      <c r="LFD246" s="15"/>
      <c r="LFE246" s="10"/>
      <c r="LFF246" s="10"/>
      <c r="LFG246" s="21"/>
      <c r="LFH246" s="21"/>
      <c r="LFK246" s="21"/>
      <c r="LFL246" s="15"/>
      <c r="LFM246" s="15"/>
      <c r="LFN246" s="15"/>
      <c r="LFO246" s="15"/>
      <c r="LFP246" s="15"/>
      <c r="LFQ246" s="15"/>
      <c r="LFR246" s="15"/>
      <c r="LFS246" s="15"/>
      <c r="LFT246" s="15"/>
      <c r="LFU246" s="15"/>
      <c r="LFV246" s="10"/>
      <c r="LFW246" s="10"/>
      <c r="LFX246" s="21"/>
      <c r="LFY246" s="21"/>
      <c r="LGB246" s="21"/>
      <c r="LGC246" s="15"/>
      <c r="LGD246" s="15"/>
      <c r="LGE246" s="15"/>
      <c r="LGF246" s="15"/>
      <c r="LGG246" s="15"/>
      <c r="LGH246" s="15"/>
      <c r="LGI246" s="15"/>
      <c r="LGJ246" s="15"/>
      <c r="LGK246" s="15"/>
      <c r="LGL246" s="15"/>
      <c r="LGM246" s="10"/>
      <c r="LGN246" s="10"/>
      <c r="LGO246" s="21"/>
      <c r="LGP246" s="21"/>
      <c r="LGS246" s="21"/>
      <c r="LGT246" s="15"/>
      <c r="LGU246" s="15"/>
      <c r="LGV246" s="15"/>
      <c r="LGW246" s="15"/>
      <c r="LGX246" s="15"/>
      <c r="LGY246" s="15"/>
      <c r="LGZ246" s="15"/>
      <c r="LHA246" s="15"/>
      <c r="LHB246" s="15"/>
      <c r="LHC246" s="15"/>
      <c r="LHD246" s="10"/>
      <c r="LHE246" s="10"/>
      <c r="LHF246" s="21"/>
      <c r="LHG246" s="21"/>
      <c r="LHJ246" s="21"/>
      <c r="LHK246" s="15"/>
      <c r="LHL246" s="15"/>
      <c r="LHM246" s="15"/>
      <c r="LHN246" s="15"/>
      <c r="LHO246" s="15"/>
      <c r="LHP246" s="15"/>
      <c r="LHQ246" s="15"/>
      <c r="LHR246" s="15"/>
      <c r="LHS246" s="15"/>
      <c r="LHT246" s="15"/>
      <c r="LHU246" s="10"/>
      <c r="LHV246" s="10"/>
      <c r="LHW246" s="21"/>
      <c r="LHX246" s="21"/>
      <c r="LIA246" s="21"/>
      <c r="LIB246" s="15"/>
      <c r="LIC246" s="15"/>
      <c r="LID246" s="15"/>
      <c r="LIE246" s="15"/>
      <c r="LIF246" s="15"/>
      <c r="LIG246" s="15"/>
      <c r="LIH246" s="15"/>
      <c r="LII246" s="15"/>
      <c r="LIJ246" s="15"/>
      <c r="LIK246" s="15"/>
      <c r="LIL246" s="10"/>
      <c r="LIM246" s="10"/>
      <c r="LIN246" s="21"/>
      <c r="LIO246" s="21"/>
      <c r="LIR246" s="21"/>
      <c r="LIS246" s="15"/>
      <c r="LIT246" s="15"/>
      <c r="LIU246" s="15"/>
      <c r="LIV246" s="15"/>
      <c r="LIW246" s="15"/>
      <c r="LIX246" s="15"/>
      <c r="LIY246" s="15"/>
      <c r="LIZ246" s="15"/>
      <c r="LJA246" s="15"/>
      <c r="LJB246" s="15"/>
      <c r="LJC246" s="10"/>
      <c r="LJD246" s="10"/>
      <c r="LJE246" s="21"/>
      <c r="LJF246" s="21"/>
      <c r="LJI246" s="21"/>
      <c r="LJJ246" s="15"/>
      <c r="LJK246" s="15"/>
      <c r="LJL246" s="15"/>
      <c r="LJM246" s="15"/>
      <c r="LJN246" s="15"/>
      <c r="LJO246" s="15"/>
      <c r="LJP246" s="15"/>
      <c r="LJQ246" s="15"/>
      <c r="LJR246" s="15"/>
      <c r="LJS246" s="15"/>
      <c r="LJT246" s="10"/>
      <c r="LJU246" s="10"/>
      <c r="LJV246" s="21"/>
      <c r="LJW246" s="21"/>
      <c r="LJZ246" s="21"/>
      <c r="LKA246" s="15"/>
      <c r="LKB246" s="15"/>
      <c r="LKC246" s="15"/>
      <c r="LKD246" s="15"/>
      <c r="LKE246" s="15"/>
      <c r="LKF246" s="15"/>
      <c r="LKG246" s="15"/>
      <c r="LKH246" s="15"/>
      <c r="LKI246" s="15"/>
      <c r="LKJ246" s="15"/>
      <c r="LKK246" s="10"/>
      <c r="LKL246" s="10"/>
      <c r="LKM246" s="21"/>
      <c r="LKN246" s="21"/>
      <c r="LKQ246" s="21"/>
      <c r="LKR246" s="15"/>
      <c r="LKS246" s="15"/>
      <c r="LKT246" s="15"/>
      <c r="LKU246" s="15"/>
      <c r="LKV246" s="15"/>
      <c r="LKW246" s="15"/>
      <c r="LKX246" s="15"/>
      <c r="LKY246" s="15"/>
      <c r="LKZ246" s="15"/>
      <c r="LLA246" s="15"/>
      <c r="LLB246" s="10"/>
      <c r="LLC246" s="10"/>
      <c r="LLD246" s="21"/>
      <c r="LLE246" s="21"/>
      <c r="LLH246" s="21"/>
      <c r="LLI246" s="15"/>
      <c r="LLJ246" s="15"/>
      <c r="LLK246" s="15"/>
      <c r="LLL246" s="15"/>
      <c r="LLM246" s="15"/>
      <c r="LLN246" s="15"/>
      <c r="LLO246" s="15"/>
      <c r="LLP246" s="15"/>
      <c r="LLQ246" s="15"/>
      <c r="LLR246" s="15"/>
      <c r="LLS246" s="10"/>
      <c r="LLT246" s="10"/>
      <c r="LLU246" s="21"/>
      <c r="LLV246" s="21"/>
      <c r="LLY246" s="21"/>
      <c r="LLZ246" s="15"/>
      <c r="LMA246" s="15"/>
      <c r="LMB246" s="15"/>
      <c r="LMC246" s="15"/>
      <c r="LMD246" s="15"/>
      <c r="LME246" s="15"/>
      <c r="LMF246" s="15"/>
      <c r="LMG246" s="15"/>
      <c r="LMH246" s="15"/>
      <c r="LMI246" s="15"/>
      <c r="LMJ246" s="10"/>
      <c r="LMK246" s="10"/>
      <c r="LML246" s="21"/>
      <c r="LMM246" s="21"/>
      <c r="LMP246" s="21"/>
      <c r="LMQ246" s="15"/>
      <c r="LMR246" s="15"/>
      <c r="LMS246" s="15"/>
      <c r="LMT246" s="15"/>
      <c r="LMU246" s="15"/>
      <c r="LMV246" s="15"/>
      <c r="LMW246" s="15"/>
      <c r="LMX246" s="15"/>
      <c r="LMY246" s="15"/>
      <c r="LMZ246" s="15"/>
      <c r="LNA246" s="10"/>
      <c r="LNB246" s="10"/>
      <c r="LNC246" s="21"/>
      <c r="LND246" s="21"/>
      <c r="LNG246" s="21"/>
      <c r="LNH246" s="15"/>
      <c r="LNI246" s="15"/>
      <c r="LNJ246" s="15"/>
      <c r="LNK246" s="15"/>
      <c r="LNL246" s="15"/>
      <c r="LNM246" s="15"/>
      <c r="LNN246" s="15"/>
      <c r="LNO246" s="15"/>
      <c r="LNP246" s="15"/>
      <c r="LNQ246" s="15"/>
      <c r="LNR246" s="10"/>
      <c r="LNS246" s="10"/>
      <c r="LNT246" s="21"/>
      <c r="LNU246" s="21"/>
      <c r="LNX246" s="21"/>
      <c r="LNY246" s="15"/>
      <c r="LNZ246" s="15"/>
      <c r="LOA246" s="15"/>
      <c r="LOB246" s="15"/>
      <c r="LOC246" s="15"/>
      <c r="LOD246" s="15"/>
      <c r="LOE246" s="15"/>
      <c r="LOF246" s="15"/>
      <c r="LOG246" s="15"/>
      <c r="LOH246" s="15"/>
      <c r="LOI246" s="10"/>
      <c r="LOJ246" s="10"/>
      <c r="LOK246" s="21"/>
      <c r="LOL246" s="21"/>
      <c r="LOO246" s="21"/>
      <c r="LOP246" s="15"/>
      <c r="LOQ246" s="15"/>
      <c r="LOR246" s="15"/>
      <c r="LOS246" s="15"/>
      <c r="LOT246" s="15"/>
      <c r="LOU246" s="15"/>
      <c r="LOV246" s="15"/>
      <c r="LOW246" s="15"/>
      <c r="LOX246" s="15"/>
      <c r="LOY246" s="15"/>
      <c r="LOZ246" s="10"/>
      <c r="LPA246" s="10"/>
      <c r="LPB246" s="21"/>
      <c r="LPC246" s="21"/>
      <c r="LPF246" s="21"/>
      <c r="LPG246" s="15"/>
      <c r="LPH246" s="15"/>
      <c r="LPI246" s="15"/>
      <c r="LPJ246" s="15"/>
      <c r="LPK246" s="15"/>
      <c r="LPL246" s="15"/>
      <c r="LPM246" s="15"/>
      <c r="LPN246" s="15"/>
      <c r="LPO246" s="15"/>
      <c r="LPP246" s="15"/>
      <c r="LPQ246" s="10"/>
      <c r="LPR246" s="10"/>
      <c r="LPS246" s="21"/>
      <c r="LPT246" s="21"/>
      <c r="LPW246" s="21"/>
      <c r="LPX246" s="15"/>
      <c r="LPY246" s="15"/>
      <c r="LPZ246" s="15"/>
      <c r="LQA246" s="15"/>
      <c r="LQB246" s="15"/>
      <c r="LQC246" s="15"/>
      <c r="LQD246" s="15"/>
      <c r="LQE246" s="15"/>
      <c r="LQF246" s="15"/>
      <c r="LQG246" s="15"/>
      <c r="LQH246" s="10"/>
      <c r="LQI246" s="10"/>
      <c r="LQJ246" s="21"/>
      <c r="LQK246" s="21"/>
      <c r="LQN246" s="21"/>
      <c r="LQO246" s="15"/>
      <c r="LQP246" s="15"/>
      <c r="LQQ246" s="15"/>
      <c r="LQR246" s="15"/>
      <c r="LQS246" s="15"/>
      <c r="LQT246" s="15"/>
      <c r="LQU246" s="15"/>
      <c r="LQV246" s="15"/>
      <c r="LQW246" s="15"/>
      <c r="LQX246" s="15"/>
      <c r="LQY246" s="10"/>
      <c r="LQZ246" s="10"/>
      <c r="LRA246" s="21"/>
      <c r="LRB246" s="21"/>
      <c r="LRE246" s="21"/>
      <c r="LRF246" s="15"/>
      <c r="LRG246" s="15"/>
      <c r="LRH246" s="15"/>
      <c r="LRI246" s="15"/>
      <c r="LRJ246" s="15"/>
      <c r="LRK246" s="15"/>
      <c r="LRL246" s="15"/>
      <c r="LRM246" s="15"/>
      <c r="LRN246" s="15"/>
      <c r="LRO246" s="15"/>
      <c r="LRP246" s="10"/>
      <c r="LRQ246" s="10"/>
      <c r="LRR246" s="21"/>
      <c r="LRS246" s="21"/>
      <c r="LRV246" s="21"/>
      <c r="LRW246" s="15"/>
      <c r="LRX246" s="15"/>
      <c r="LRY246" s="15"/>
      <c r="LRZ246" s="15"/>
      <c r="LSA246" s="15"/>
      <c r="LSB246" s="15"/>
      <c r="LSC246" s="15"/>
      <c r="LSD246" s="15"/>
      <c r="LSE246" s="15"/>
      <c r="LSF246" s="15"/>
      <c r="LSG246" s="10"/>
      <c r="LSH246" s="10"/>
      <c r="LSI246" s="21"/>
      <c r="LSJ246" s="21"/>
      <c r="LSM246" s="21"/>
      <c r="LSN246" s="15"/>
      <c r="LSO246" s="15"/>
      <c r="LSP246" s="15"/>
      <c r="LSQ246" s="15"/>
      <c r="LSR246" s="15"/>
      <c r="LSS246" s="15"/>
      <c r="LST246" s="15"/>
      <c r="LSU246" s="15"/>
      <c r="LSV246" s="15"/>
      <c r="LSW246" s="15"/>
      <c r="LSX246" s="10"/>
      <c r="LSY246" s="10"/>
      <c r="LSZ246" s="21"/>
      <c r="LTA246" s="21"/>
      <c r="LTD246" s="21"/>
      <c r="LTE246" s="15"/>
      <c r="LTF246" s="15"/>
      <c r="LTG246" s="15"/>
      <c r="LTH246" s="15"/>
      <c r="LTI246" s="15"/>
      <c r="LTJ246" s="15"/>
      <c r="LTK246" s="15"/>
      <c r="LTL246" s="15"/>
      <c r="LTM246" s="15"/>
      <c r="LTN246" s="15"/>
      <c r="LTO246" s="10"/>
      <c r="LTP246" s="10"/>
      <c r="LTQ246" s="21"/>
      <c r="LTR246" s="21"/>
      <c r="LTU246" s="21"/>
      <c r="LTV246" s="15"/>
      <c r="LTW246" s="15"/>
      <c r="LTX246" s="15"/>
      <c r="LTY246" s="15"/>
      <c r="LTZ246" s="15"/>
      <c r="LUA246" s="15"/>
      <c r="LUB246" s="15"/>
      <c r="LUC246" s="15"/>
      <c r="LUD246" s="15"/>
      <c r="LUE246" s="15"/>
      <c r="LUF246" s="10"/>
      <c r="LUG246" s="10"/>
      <c r="LUH246" s="21"/>
      <c r="LUI246" s="21"/>
      <c r="LUL246" s="21"/>
      <c r="LUM246" s="15"/>
      <c r="LUN246" s="15"/>
      <c r="LUO246" s="15"/>
      <c r="LUP246" s="15"/>
      <c r="LUQ246" s="15"/>
      <c r="LUR246" s="15"/>
      <c r="LUS246" s="15"/>
      <c r="LUT246" s="15"/>
      <c r="LUU246" s="15"/>
      <c r="LUV246" s="15"/>
      <c r="LUW246" s="10"/>
      <c r="LUX246" s="10"/>
      <c r="LUY246" s="21"/>
      <c r="LUZ246" s="21"/>
      <c r="LVC246" s="21"/>
      <c r="LVD246" s="15"/>
      <c r="LVE246" s="15"/>
      <c r="LVF246" s="15"/>
      <c r="LVG246" s="15"/>
      <c r="LVH246" s="15"/>
      <c r="LVI246" s="15"/>
      <c r="LVJ246" s="15"/>
      <c r="LVK246" s="15"/>
      <c r="LVL246" s="15"/>
      <c r="LVM246" s="15"/>
      <c r="LVN246" s="10"/>
      <c r="LVO246" s="10"/>
      <c r="LVP246" s="21"/>
      <c r="LVQ246" s="21"/>
      <c r="LVT246" s="21"/>
      <c r="LVU246" s="15"/>
      <c r="LVV246" s="15"/>
      <c r="LVW246" s="15"/>
      <c r="LVX246" s="15"/>
      <c r="LVY246" s="15"/>
      <c r="LVZ246" s="15"/>
      <c r="LWA246" s="15"/>
      <c r="LWB246" s="15"/>
      <c r="LWC246" s="15"/>
      <c r="LWD246" s="15"/>
      <c r="LWE246" s="10"/>
      <c r="LWF246" s="10"/>
      <c r="LWG246" s="21"/>
      <c r="LWH246" s="21"/>
      <c r="LWK246" s="21"/>
      <c r="LWL246" s="15"/>
      <c r="LWM246" s="15"/>
      <c r="LWN246" s="15"/>
      <c r="LWO246" s="15"/>
      <c r="LWP246" s="15"/>
      <c r="LWQ246" s="15"/>
      <c r="LWR246" s="15"/>
      <c r="LWS246" s="15"/>
      <c r="LWT246" s="15"/>
      <c r="LWU246" s="15"/>
      <c r="LWV246" s="10"/>
      <c r="LWW246" s="10"/>
      <c r="LWX246" s="21"/>
      <c r="LWY246" s="21"/>
      <c r="LXB246" s="21"/>
      <c r="LXC246" s="15"/>
      <c r="LXD246" s="15"/>
      <c r="LXE246" s="15"/>
      <c r="LXF246" s="15"/>
      <c r="LXG246" s="15"/>
      <c r="LXH246" s="15"/>
      <c r="LXI246" s="15"/>
      <c r="LXJ246" s="15"/>
      <c r="LXK246" s="15"/>
      <c r="LXL246" s="15"/>
      <c r="LXM246" s="10"/>
      <c r="LXN246" s="10"/>
      <c r="LXO246" s="21"/>
      <c r="LXP246" s="21"/>
      <c r="LXS246" s="21"/>
      <c r="LXT246" s="15"/>
      <c r="LXU246" s="15"/>
      <c r="LXV246" s="15"/>
      <c r="LXW246" s="15"/>
      <c r="LXX246" s="15"/>
      <c r="LXY246" s="15"/>
      <c r="LXZ246" s="15"/>
      <c r="LYA246" s="15"/>
      <c r="LYB246" s="15"/>
      <c r="LYC246" s="15"/>
      <c r="LYD246" s="10"/>
      <c r="LYE246" s="10"/>
      <c r="LYF246" s="21"/>
      <c r="LYG246" s="21"/>
      <c r="LYJ246" s="21"/>
      <c r="LYK246" s="15"/>
      <c r="LYL246" s="15"/>
      <c r="LYM246" s="15"/>
      <c r="LYN246" s="15"/>
      <c r="LYO246" s="15"/>
      <c r="LYP246" s="15"/>
      <c r="LYQ246" s="15"/>
      <c r="LYR246" s="15"/>
      <c r="LYS246" s="15"/>
      <c r="LYT246" s="15"/>
      <c r="LYU246" s="10"/>
      <c r="LYV246" s="10"/>
      <c r="LYW246" s="21"/>
      <c r="LYX246" s="21"/>
      <c r="LZA246" s="21"/>
      <c r="LZB246" s="15"/>
      <c r="LZC246" s="15"/>
      <c r="LZD246" s="15"/>
      <c r="LZE246" s="15"/>
      <c r="LZF246" s="15"/>
      <c r="LZG246" s="15"/>
      <c r="LZH246" s="15"/>
      <c r="LZI246" s="15"/>
      <c r="LZJ246" s="15"/>
      <c r="LZK246" s="15"/>
      <c r="LZL246" s="10"/>
      <c r="LZM246" s="10"/>
      <c r="LZN246" s="21"/>
      <c r="LZO246" s="21"/>
      <c r="LZR246" s="21"/>
      <c r="LZS246" s="15"/>
      <c r="LZT246" s="15"/>
      <c r="LZU246" s="15"/>
      <c r="LZV246" s="15"/>
      <c r="LZW246" s="15"/>
      <c r="LZX246" s="15"/>
      <c r="LZY246" s="15"/>
      <c r="LZZ246" s="15"/>
      <c r="MAA246" s="15"/>
      <c r="MAB246" s="15"/>
      <c r="MAC246" s="10"/>
      <c r="MAD246" s="10"/>
      <c r="MAE246" s="21"/>
      <c r="MAF246" s="21"/>
      <c r="MAI246" s="21"/>
      <c r="MAJ246" s="15"/>
      <c r="MAK246" s="15"/>
      <c r="MAL246" s="15"/>
      <c r="MAM246" s="15"/>
      <c r="MAN246" s="15"/>
      <c r="MAO246" s="15"/>
      <c r="MAP246" s="15"/>
      <c r="MAQ246" s="15"/>
      <c r="MAR246" s="15"/>
      <c r="MAS246" s="15"/>
      <c r="MAT246" s="10"/>
      <c r="MAU246" s="10"/>
      <c r="MAV246" s="21"/>
      <c r="MAW246" s="21"/>
      <c r="MAZ246" s="21"/>
      <c r="MBA246" s="15"/>
      <c r="MBB246" s="15"/>
      <c r="MBC246" s="15"/>
      <c r="MBD246" s="15"/>
      <c r="MBE246" s="15"/>
      <c r="MBF246" s="15"/>
      <c r="MBG246" s="15"/>
      <c r="MBH246" s="15"/>
      <c r="MBI246" s="15"/>
      <c r="MBJ246" s="15"/>
      <c r="MBK246" s="10"/>
      <c r="MBL246" s="10"/>
      <c r="MBM246" s="21"/>
      <c r="MBN246" s="21"/>
      <c r="MBQ246" s="21"/>
      <c r="MBR246" s="15"/>
      <c r="MBS246" s="15"/>
      <c r="MBT246" s="15"/>
      <c r="MBU246" s="15"/>
      <c r="MBV246" s="15"/>
      <c r="MBW246" s="15"/>
      <c r="MBX246" s="15"/>
      <c r="MBY246" s="15"/>
      <c r="MBZ246" s="15"/>
      <c r="MCA246" s="15"/>
      <c r="MCB246" s="10"/>
      <c r="MCC246" s="10"/>
      <c r="MCD246" s="21"/>
      <c r="MCE246" s="21"/>
      <c r="MCH246" s="21"/>
      <c r="MCI246" s="15"/>
      <c r="MCJ246" s="15"/>
      <c r="MCK246" s="15"/>
      <c r="MCL246" s="15"/>
      <c r="MCM246" s="15"/>
      <c r="MCN246" s="15"/>
      <c r="MCO246" s="15"/>
      <c r="MCP246" s="15"/>
      <c r="MCQ246" s="15"/>
      <c r="MCR246" s="15"/>
      <c r="MCS246" s="10"/>
      <c r="MCT246" s="10"/>
      <c r="MCU246" s="21"/>
      <c r="MCV246" s="21"/>
      <c r="MCY246" s="21"/>
      <c r="MCZ246" s="15"/>
      <c r="MDA246" s="15"/>
      <c r="MDB246" s="15"/>
      <c r="MDC246" s="15"/>
      <c r="MDD246" s="15"/>
      <c r="MDE246" s="15"/>
      <c r="MDF246" s="15"/>
      <c r="MDG246" s="15"/>
      <c r="MDH246" s="15"/>
      <c r="MDI246" s="15"/>
      <c r="MDJ246" s="10"/>
      <c r="MDK246" s="10"/>
      <c r="MDL246" s="21"/>
      <c r="MDM246" s="21"/>
      <c r="MDP246" s="21"/>
      <c r="MDQ246" s="15"/>
      <c r="MDR246" s="15"/>
      <c r="MDS246" s="15"/>
      <c r="MDT246" s="15"/>
      <c r="MDU246" s="15"/>
      <c r="MDV246" s="15"/>
      <c r="MDW246" s="15"/>
      <c r="MDX246" s="15"/>
      <c r="MDY246" s="15"/>
      <c r="MDZ246" s="15"/>
      <c r="MEA246" s="10"/>
      <c r="MEB246" s="10"/>
      <c r="MEC246" s="21"/>
      <c r="MED246" s="21"/>
      <c r="MEG246" s="21"/>
      <c r="MEH246" s="15"/>
      <c r="MEI246" s="15"/>
      <c r="MEJ246" s="15"/>
      <c r="MEK246" s="15"/>
      <c r="MEL246" s="15"/>
      <c r="MEM246" s="15"/>
      <c r="MEN246" s="15"/>
      <c r="MEO246" s="15"/>
      <c r="MEP246" s="15"/>
      <c r="MEQ246" s="15"/>
      <c r="MER246" s="10"/>
      <c r="MES246" s="10"/>
      <c r="MET246" s="21"/>
      <c r="MEU246" s="21"/>
      <c r="MEX246" s="21"/>
      <c r="MEY246" s="15"/>
      <c r="MEZ246" s="15"/>
      <c r="MFA246" s="15"/>
      <c r="MFB246" s="15"/>
      <c r="MFC246" s="15"/>
      <c r="MFD246" s="15"/>
      <c r="MFE246" s="15"/>
      <c r="MFF246" s="15"/>
      <c r="MFG246" s="15"/>
      <c r="MFH246" s="15"/>
      <c r="MFI246" s="10"/>
      <c r="MFJ246" s="10"/>
      <c r="MFK246" s="21"/>
      <c r="MFL246" s="21"/>
      <c r="MFO246" s="21"/>
      <c r="MFP246" s="15"/>
      <c r="MFQ246" s="15"/>
      <c r="MFR246" s="15"/>
      <c r="MFS246" s="15"/>
      <c r="MFT246" s="15"/>
      <c r="MFU246" s="15"/>
      <c r="MFV246" s="15"/>
      <c r="MFW246" s="15"/>
      <c r="MFX246" s="15"/>
      <c r="MFY246" s="15"/>
      <c r="MFZ246" s="10"/>
      <c r="MGA246" s="10"/>
      <c r="MGB246" s="21"/>
      <c r="MGC246" s="21"/>
      <c r="MGF246" s="21"/>
      <c r="MGG246" s="15"/>
      <c r="MGH246" s="15"/>
      <c r="MGI246" s="15"/>
      <c r="MGJ246" s="15"/>
      <c r="MGK246" s="15"/>
      <c r="MGL246" s="15"/>
      <c r="MGM246" s="15"/>
      <c r="MGN246" s="15"/>
      <c r="MGO246" s="15"/>
      <c r="MGP246" s="15"/>
      <c r="MGQ246" s="10"/>
      <c r="MGR246" s="10"/>
      <c r="MGS246" s="21"/>
      <c r="MGT246" s="21"/>
      <c r="MGW246" s="21"/>
      <c r="MGX246" s="15"/>
      <c r="MGY246" s="15"/>
      <c r="MGZ246" s="15"/>
      <c r="MHA246" s="15"/>
      <c r="MHB246" s="15"/>
      <c r="MHC246" s="15"/>
      <c r="MHD246" s="15"/>
      <c r="MHE246" s="15"/>
      <c r="MHF246" s="15"/>
      <c r="MHG246" s="15"/>
      <c r="MHH246" s="10"/>
      <c r="MHI246" s="10"/>
      <c r="MHJ246" s="21"/>
      <c r="MHK246" s="21"/>
      <c r="MHN246" s="21"/>
      <c r="MHO246" s="15"/>
      <c r="MHP246" s="15"/>
      <c r="MHQ246" s="15"/>
      <c r="MHR246" s="15"/>
      <c r="MHS246" s="15"/>
      <c r="MHT246" s="15"/>
      <c r="MHU246" s="15"/>
      <c r="MHV246" s="15"/>
      <c r="MHW246" s="15"/>
      <c r="MHX246" s="15"/>
      <c r="MHY246" s="10"/>
      <c r="MHZ246" s="10"/>
      <c r="MIA246" s="21"/>
      <c r="MIB246" s="21"/>
      <c r="MIE246" s="21"/>
      <c r="MIF246" s="15"/>
      <c r="MIG246" s="15"/>
      <c r="MIH246" s="15"/>
      <c r="MII246" s="15"/>
      <c r="MIJ246" s="15"/>
      <c r="MIK246" s="15"/>
      <c r="MIL246" s="15"/>
      <c r="MIM246" s="15"/>
      <c r="MIN246" s="15"/>
      <c r="MIO246" s="15"/>
      <c r="MIP246" s="10"/>
      <c r="MIQ246" s="10"/>
      <c r="MIR246" s="21"/>
      <c r="MIS246" s="21"/>
      <c r="MIV246" s="21"/>
      <c r="MIW246" s="15"/>
      <c r="MIX246" s="15"/>
      <c r="MIY246" s="15"/>
      <c r="MIZ246" s="15"/>
      <c r="MJA246" s="15"/>
      <c r="MJB246" s="15"/>
      <c r="MJC246" s="15"/>
      <c r="MJD246" s="15"/>
      <c r="MJE246" s="15"/>
      <c r="MJF246" s="15"/>
      <c r="MJG246" s="10"/>
      <c r="MJH246" s="10"/>
      <c r="MJI246" s="21"/>
      <c r="MJJ246" s="21"/>
      <c r="MJM246" s="21"/>
      <c r="MJN246" s="15"/>
      <c r="MJO246" s="15"/>
      <c r="MJP246" s="15"/>
      <c r="MJQ246" s="15"/>
      <c r="MJR246" s="15"/>
      <c r="MJS246" s="15"/>
      <c r="MJT246" s="15"/>
      <c r="MJU246" s="15"/>
      <c r="MJV246" s="15"/>
      <c r="MJW246" s="15"/>
      <c r="MJX246" s="10"/>
      <c r="MJY246" s="10"/>
      <c r="MJZ246" s="21"/>
      <c r="MKA246" s="21"/>
      <c r="MKD246" s="21"/>
      <c r="MKE246" s="15"/>
      <c r="MKF246" s="15"/>
      <c r="MKG246" s="15"/>
      <c r="MKH246" s="15"/>
      <c r="MKI246" s="15"/>
      <c r="MKJ246" s="15"/>
      <c r="MKK246" s="15"/>
      <c r="MKL246" s="15"/>
      <c r="MKM246" s="15"/>
      <c r="MKN246" s="15"/>
      <c r="MKO246" s="10"/>
      <c r="MKP246" s="10"/>
      <c r="MKQ246" s="21"/>
      <c r="MKR246" s="21"/>
      <c r="MKU246" s="21"/>
      <c r="MKV246" s="15"/>
      <c r="MKW246" s="15"/>
      <c r="MKX246" s="15"/>
      <c r="MKY246" s="15"/>
      <c r="MKZ246" s="15"/>
      <c r="MLA246" s="15"/>
      <c r="MLB246" s="15"/>
      <c r="MLC246" s="15"/>
      <c r="MLD246" s="15"/>
      <c r="MLE246" s="15"/>
      <c r="MLF246" s="10"/>
      <c r="MLG246" s="10"/>
      <c r="MLH246" s="21"/>
      <c r="MLI246" s="21"/>
      <c r="MLL246" s="21"/>
      <c r="MLM246" s="15"/>
      <c r="MLN246" s="15"/>
      <c r="MLO246" s="15"/>
      <c r="MLP246" s="15"/>
      <c r="MLQ246" s="15"/>
      <c r="MLR246" s="15"/>
      <c r="MLS246" s="15"/>
      <c r="MLT246" s="15"/>
      <c r="MLU246" s="15"/>
      <c r="MLV246" s="15"/>
      <c r="MLW246" s="10"/>
      <c r="MLX246" s="10"/>
      <c r="MLY246" s="21"/>
      <c r="MLZ246" s="21"/>
      <c r="MMC246" s="21"/>
      <c r="MMD246" s="15"/>
      <c r="MME246" s="15"/>
      <c r="MMF246" s="15"/>
      <c r="MMG246" s="15"/>
      <c r="MMH246" s="15"/>
      <c r="MMI246" s="15"/>
      <c r="MMJ246" s="15"/>
      <c r="MMK246" s="15"/>
      <c r="MML246" s="15"/>
      <c r="MMM246" s="15"/>
      <c r="MMN246" s="10"/>
      <c r="MMO246" s="10"/>
      <c r="MMP246" s="21"/>
      <c r="MMQ246" s="21"/>
      <c r="MMT246" s="21"/>
      <c r="MMU246" s="15"/>
      <c r="MMV246" s="15"/>
      <c r="MMW246" s="15"/>
      <c r="MMX246" s="15"/>
      <c r="MMY246" s="15"/>
      <c r="MMZ246" s="15"/>
      <c r="MNA246" s="15"/>
      <c r="MNB246" s="15"/>
      <c r="MNC246" s="15"/>
      <c r="MND246" s="15"/>
      <c r="MNE246" s="10"/>
      <c r="MNF246" s="10"/>
      <c r="MNG246" s="21"/>
      <c r="MNH246" s="21"/>
      <c r="MNK246" s="21"/>
      <c r="MNL246" s="15"/>
      <c r="MNM246" s="15"/>
      <c r="MNN246" s="15"/>
      <c r="MNO246" s="15"/>
      <c r="MNP246" s="15"/>
      <c r="MNQ246" s="15"/>
      <c r="MNR246" s="15"/>
      <c r="MNS246" s="15"/>
      <c r="MNT246" s="15"/>
      <c r="MNU246" s="15"/>
      <c r="MNV246" s="10"/>
      <c r="MNW246" s="10"/>
      <c r="MNX246" s="21"/>
      <c r="MNY246" s="21"/>
      <c r="MOB246" s="21"/>
      <c r="MOC246" s="15"/>
      <c r="MOD246" s="15"/>
      <c r="MOE246" s="15"/>
      <c r="MOF246" s="15"/>
      <c r="MOG246" s="15"/>
      <c r="MOH246" s="15"/>
      <c r="MOI246" s="15"/>
      <c r="MOJ246" s="15"/>
      <c r="MOK246" s="15"/>
      <c r="MOL246" s="15"/>
      <c r="MOM246" s="10"/>
      <c r="MON246" s="10"/>
      <c r="MOO246" s="21"/>
      <c r="MOP246" s="21"/>
      <c r="MOS246" s="21"/>
      <c r="MOT246" s="15"/>
      <c r="MOU246" s="15"/>
      <c r="MOV246" s="15"/>
      <c r="MOW246" s="15"/>
      <c r="MOX246" s="15"/>
      <c r="MOY246" s="15"/>
      <c r="MOZ246" s="15"/>
      <c r="MPA246" s="15"/>
      <c r="MPB246" s="15"/>
      <c r="MPC246" s="15"/>
      <c r="MPD246" s="10"/>
      <c r="MPE246" s="10"/>
      <c r="MPF246" s="21"/>
      <c r="MPG246" s="21"/>
      <c r="MPJ246" s="21"/>
      <c r="MPK246" s="15"/>
      <c r="MPL246" s="15"/>
      <c r="MPM246" s="15"/>
      <c r="MPN246" s="15"/>
      <c r="MPO246" s="15"/>
      <c r="MPP246" s="15"/>
      <c r="MPQ246" s="15"/>
      <c r="MPR246" s="15"/>
      <c r="MPS246" s="15"/>
      <c r="MPT246" s="15"/>
      <c r="MPU246" s="10"/>
      <c r="MPV246" s="10"/>
      <c r="MPW246" s="21"/>
      <c r="MPX246" s="21"/>
      <c r="MQA246" s="21"/>
      <c r="MQB246" s="15"/>
      <c r="MQC246" s="15"/>
      <c r="MQD246" s="15"/>
      <c r="MQE246" s="15"/>
      <c r="MQF246" s="15"/>
      <c r="MQG246" s="15"/>
      <c r="MQH246" s="15"/>
      <c r="MQI246" s="15"/>
      <c r="MQJ246" s="15"/>
      <c r="MQK246" s="15"/>
      <c r="MQL246" s="10"/>
      <c r="MQM246" s="10"/>
      <c r="MQN246" s="21"/>
      <c r="MQO246" s="21"/>
      <c r="MQR246" s="21"/>
      <c r="MQS246" s="15"/>
      <c r="MQT246" s="15"/>
      <c r="MQU246" s="15"/>
      <c r="MQV246" s="15"/>
      <c r="MQW246" s="15"/>
      <c r="MQX246" s="15"/>
      <c r="MQY246" s="15"/>
      <c r="MQZ246" s="15"/>
      <c r="MRA246" s="15"/>
      <c r="MRB246" s="15"/>
      <c r="MRC246" s="10"/>
      <c r="MRD246" s="10"/>
      <c r="MRE246" s="21"/>
      <c r="MRF246" s="21"/>
      <c r="MRI246" s="21"/>
      <c r="MRJ246" s="15"/>
      <c r="MRK246" s="15"/>
      <c r="MRL246" s="15"/>
      <c r="MRM246" s="15"/>
      <c r="MRN246" s="15"/>
      <c r="MRO246" s="15"/>
      <c r="MRP246" s="15"/>
      <c r="MRQ246" s="15"/>
      <c r="MRR246" s="15"/>
      <c r="MRS246" s="15"/>
      <c r="MRT246" s="10"/>
      <c r="MRU246" s="10"/>
      <c r="MRV246" s="21"/>
      <c r="MRW246" s="21"/>
      <c r="MRZ246" s="21"/>
      <c r="MSA246" s="15"/>
      <c r="MSB246" s="15"/>
      <c r="MSC246" s="15"/>
      <c r="MSD246" s="15"/>
      <c r="MSE246" s="15"/>
      <c r="MSF246" s="15"/>
      <c r="MSG246" s="15"/>
      <c r="MSH246" s="15"/>
      <c r="MSI246" s="15"/>
      <c r="MSJ246" s="15"/>
      <c r="MSK246" s="10"/>
      <c r="MSL246" s="10"/>
      <c r="MSM246" s="21"/>
      <c r="MSN246" s="21"/>
      <c r="MSQ246" s="21"/>
      <c r="MSR246" s="15"/>
      <c r="MSS246" s="15"/>
      <c r="MST246" s="15"/>
      <c r="MSU246" s="15"/>
      <c r="MSV246" s="15"/>
      <c r="MSW246" s="15"/>
      <c r="MSX246" s="15"/>
      <c r="MSY246" s="15"/>
      <c r="MSZ246" s="15"/>
      <c r="MTA246" s="15"/>
      <c r="MTB246" s="10"/>
      <c r="MTC246" s="10"/>
      <c r="MTD246" s="21"/>
      <c r="MTE246" s="21"/>
      <c r="MTH246" s="21"/>
      <c r="MTI246" s="15"/>
      <c r="MTJ246" s="15"/>
      <c r="MTK246" s="15"/>
      <c r="MTL246" s="15"/>
      <c r="MTM246" s="15"/>
      <c r="MTN246" s="15"/>
      <c r="MTO246" s="15"/>
      <c r="MTP246" s="15"/>
      <c r="MTQ246" s="15"/>
      <c r="MTR246" s="15"/>
      <c r="MTS246" s="10"/>
      <c r="MTT246" s="10"/>
      <c r="MTU246" s="21"/>
      <c r="MTV246" s="21"/>
      <c r="MTY246" s="21"/>
      <c r="MTZ246" s="15"/>
      <c r="MUA246" s="15"/>
      <c r="MUB246" s="15"/>
      <c r="MUC246" s="15"/>
      <c r="MUD246" s="15"/>
      <c r="MUE246" s="15"/>
      <c r="MUF246" s="15"/>
      <c r="MUG246" s="15"/>
      <c r="MUH246" s="15"/>
      <c r="MUI246" s="15"/>
      <c r="MUJ246" s="10"/>
      <c r="MUK246" s="10"/>
      <c r="MUL246" s="21"/>
      <c r="MUM246" s="21"/>
      <c r="MUP246" s="21"/>
      <c r="MUQ246" s="15"/>
      <c r="MUR246" s="15"/>
      <c r="MUS246" s="15"/>
      <c r="MUT246" s="15"/>
      <c r="MUU246" s="15"/>
      <c r="MUV246" s="15"/>
      <c r="MUW246" s="15"/>
      <c r="MUX246" s="15"/>
      <c r="MUY246" s="15"/>
      <c r="MUZ246" s="15"/>
      <c r="MVA246" s="10"/>
      <c r="MVB246" s="10"/>
      <c r="MVC246" s="21"/>
      <c r="MVD246" s="21"/>
      <c r="MVG246" s="21"/>
      <c r="MVH246" s="15"/>
      <c r="MVI246" s="15"/>
      <c r="MVJ246" s="15"/>
      <c r="MVK246" s="15"/>
      <c r="MVL246" s="15"/>
      <c r="MVM246" s="15"/>
      <c r="MVN246" s="15"/>
      <c r="MVO246" s="15"/>
      <c r="MVP246" s="15"/>
      <c r="MVQ246" s="15"/>
      <c r="MVR246" s="10"/>
      <c r="MVS246" s="10"/>
      <c r="MVT246" s="21"/>
      <c r="MVU246" s="21"/>
      <c r="MVX246" s="21"/>
      <c r="MVY246" s="15"/>
      <c r="MVZ246" s="15"/>
      <c r="MWA246" s="15"/>
      <c r="MWB246" s="15"/>
      <c r="MWC246" s="15"/>
      <c r="MWD246" s="15"/>
      <c r="MWE246" s="15"/>
      <c r="MWF246" s="15"/>
      <c r="MWG246" s="15"/>
      <c r="MWH246" s="15"/>
      <c r="MWI246" s="10"/>
      <c r="MWJ246" s="10"/>
      <c r="MWK246" s="21"/>
      <c r="MWL246" s="21"/>
      <c r="MWO246" s="21"/>
      <c r="MWP246" s="15"/>
      <c r="MWQ246" s="15"/>
      <c r="MWR246" s="15"/>
      <c r="MWS246" s="15"/>
      <c r="MWT246" s="15"/>
      <c r="MWU246" s="15"/>
      <c r="MWV246" s="15"/>
      <c r="MWW246" s="15"/>
      <c r="MWX246" s="15"/>
      <c r="MWY246" s="15"/>
      <c r="MWZ246" s="10"/>
      <c r="MXA246" s="10"/>
      <c r="MXB246" s="21"/>
      <c r="MXC246" s="21"/>
      <c r="MXF246" s="21"/>
      <c r="MXG246" s="15"/>
      <c r="MXH246" s="15"/>
      <c r="MXI246" s="15"/>
      <c r="MXJ246" s="15"/>
      <c r="MXK246" s="15"/>
      <c r="MXL246" s="15"/>
      <c r="MXM246" s="15"/>
      <c r="MXN246" s="15"/>
      <c r="MXO246" s="15"/>
      <c r="MXP246" s="15"/>
      <c r="MXQ246" s="10"/>
      <c r="MXR246" s="10"/>
      <c r="MXS246" s="21"/>
      <c r="MXT246" s="21"/>
      <c r="MXW246" s="21"/>
      <c r="MXX246" s="15"/>
      <c r="MXY246" s="15"/>
      <c r="MXZ246" s="15"/>
      <c r="MYA246" s="15"/>
      <c r="MYB246" s="15"/>
      <c r="MYC246" s="15"/>
      <c r="MYD246" s="15"/>
      <c r="MYE246" s="15"/>
      <c r="MYF246" s="15"/>
      <c r="MYG246" s="15"/>
      <c r="MYH246" s="10"/>
      <c r="MYI246" s="10"/>
      <c r="MYJ246" s="21"/>
      <c r="MYK246" s="21"/>
      <c r="MYN246" s="21"/>
      <c r="MYO246" s="15"/>
      <c r="MYP246" s="15"/>
      <c r="MYQ246" s="15"/>
      <c r="MYR246" s="15"/>
      <c r="MYS246" s="15"/>
      <c r="MYT246" s="15"/>
      <c r="MYU246" s="15"/>
      <c r="MYV246" s="15"/>
      <c r="MYW246" s="15"/>
      <c r="MYX246" s="15"/>
      <c r="MYY246" s="10"/>
      <c r="MYZ246" s="10"/>
      <c r="MZA246" s="21"/>
      <c r="MZB246" s="21"/>
      <c r="MZE246" s="21"/>
      <c r="MZF246" s="15"/>
      <c r="MZG246" s="15"/>
      <c r="MZH246" s="15"/>
      <c r="MZI246" s="15"/>
      <c r="MZJ246" s="15"/>
      <c r="MZK246" s="15"/>
      <c r="MZL246" s="15"/>
      <c r="MZM246" s="15"/>
      <c r="MZN246" s="15"/>
      <c r="MZO246" s="15"/>
      <c r="MZP246" s="10"/>
      <c r="MZQ246" s="10"/>
      <c r="MZR246" s="21"/>
      <c r="MZS246" s="21"/>
      <c r="MZV246" s="21"/>
      <c r="MZW246" s="15"/>
      <c r="MZX246" s="15"/>
      <c r="MZY246" s="15"/>
      <c r="MZZ246" s="15"/>
      <c r="NAA246" s="15"/>
      <c r="NAB246" s="15"/>
      <c r="NAC246" s="15"/>
      <c r="NAD246" s="15"/>
      <c r="NAE246" s="15"/>
      <c r="NAF246" s="15"/>
      <c r="NAG246" s="10"/>
      <c r="NAH246" s="10"/>
      <c r="NAI246" s="21"/>
      <c r="NAJ246" s="21"/>
      <c r="NAM246" s="21"/>
      <c r="NAN246" s="15"/>
      <c r="NAO246" s="15"/>
      <c r="NAP246" s="15"/>
      <c r="NAQ246" s="15"/>
      <c r="NAR246" s="15"/>
      <c r="NAS246" s="15"/>
      <c r="NAT246" s="15"/>
      <c r="NAU246" s="15"/>
      <c r="NAV246" s="15"/>
      <c r="NAW246" s="15"/>
      <c r="NAX246" s="10"/>
      <c r="NAY246" s="10"/>
      <c r="NAZ246" s="21"/>
      <c r="NBA246" s="21"/>
      <c r="NBD246" s="21"/>
      <c r="NBE246" s="15"/>
      <c r="NBF246" s="15"/>
      <c r="NBG246" s="15"/>
      <c r="NBH246" s="15"/>
      <c r="NBI246" s="15"/>
      <c r="NBJ246" s="15"/>
      <c r="NBK246" s="15"/>
      <c r="NBL246" s="15"/>
      <c r="NBM246" s="15"/>
      <c r="NBN246" s="15"/>
      <c r="NBO246" s="10"/>
      <c r="NBP246" s="10"/>
      <c r="NBQ246" s="21"/>
      <c r="NBR246" s="21"/>
      <c r="NBU246" s="21"/>
      <c r="NBV246" s="15"/>
      <c r="NBW246" s="15"/>
      <c r="NBX246" s="15"/>
      <c r="NBY246" s="15"/>
      <c r="NBZ246" s="15"/>
      <c r="NCA246" s="15"/>
      <c r="NCB246" s="15"/>
      <c r="NCC246" s="15"/>
      <c r="NCD246" s="15"/>
      <c r="NCE246" s="15"/>
      <c r="NCF246" s="10"/>
      <c r="NCG246" s="10"/>
      <c r="NCH246" s="21"/>
      <c r="NCI246" s="21"/>
      <c r="NCL246" s="21"/>
      <c r="NCM246" s="15"/>
      <c r="NCN246" s="15"/>
      <c r="NCO246" s="15"/>
      <c r="NCP246" s="15"/>
      <c r="NCQ246" s="15"/>
      <c r="NCR246" s="15"/>
      <c r="NCS246" s="15"/>
      <c r="NCT246" s="15"/>
      <c r="NCU246" s="15"/>
      <c r="NCV246" s="15"/>
      <c r="NCW246" s="10"/>
      <c r="NCX246" s="10"/>
      <c r="NCY246" s="21"/>
      <c r="NCZ246" s="21"/>
      <c r="NDC246" s="21"/>
      <c r="NDD246" s="15"/>
      <c r="NDE246" s="15"/>
      <c r="NDF246" s="15"/>
      <c r="NDG246" s="15"/>
      <c r="NDH246" s="15"/>
      <c r="NDI246" s="15"/>
      <c r="NDJ246" s="15"/>
      <c r="NDK246" s="15"/>
      <c r="NDL246" s="15"/>
      <c r="NDM246" s="15"/>
      <c r="NDN246" s="10"/>
      <c r="NDO246" s="10"/>
      <c r="NDP246" s="21"/>
      <c r="NDQ246" s="21"/>
      <c r="NDT246" s="21"/>
      <c r="NDU246" s="15"/>
      <c r="NDV246" s="15"/>
      <c r="NDW246" s="15"/>
      <c r="NDX246" s="15"/>
      <c r="NDY246" s="15"/>
      <c r="NDZ246" s="15"/>
      <c r="NEA246" s="15"/>
      <c r="NEB246" s="15"/>
      <c r="NEC246" s="15"/>
      <c r="NED246" s="15"/>
      <c r="NEE246" s="10"/>
      <c r="NEF246" s="10"/>
      <c r="NEG246" s="21"/>
      <c r="NEH246" s="21"/>
      <c r="NEK246" s="21"/>
      <c r="NEL246" s="15"/>
      <c r="NEM246" s="15"/>
      <c r="NEN246" s="15"/>
      <c r="NEO246" s="15"/>
      <c r="NEP246" s="15"/>
      <c r="NEQ246" s="15"/>
      <c r="NER246" s="15"/>
      <c r="NES246" s="15"/>
      <c r="NET246" s="15"/>
      <c r="NEU246" s="15"/>
      <c r="NEV246" s="10"/>
      <c r="NEW246" s="10"/>
      <c r="NEX246" s="21"/>
      <c r="NEY246" s="21"/>
      <c r="NFB246" s="21"/>
      <c r="NFC246" s="15"/>
      <c r="NFD246" s="15"/>
      <c r="NFE246" s="15"/>
      <c r="NFF246" s="15"/>
      <c r="NFG246" s="15"/>
      <c r="NFH246" s="15"/>
      <c r="NFI246" s="15"/>
      <c r="NFJ246" s="15"/>
      <c r="NFK246" s="15"/>
      <c r="NFL246" s="15"/>
      <c r="NFM246" s="10"/>
      <c r="NFN246" s="10"/>
      <c r="NFO246" s="21"/>
      <c r="NFP246" s="21"/>
      <c r="NFS246" s="21"/>
      <c r="NFT246" s="15"/>
      <c r="NFU246" s="15"/>
      <c r="NFV246" s="15"/>
      <c r="NFW246" s="15"/>
      <c r="NFX246" s="15"/>
      <c r="NFY246" s="15"/>
      <c r="NFZ246" s="15"/>
      <c r="NGA246" s="15"/>
      <c r="NGB246" s="15"/>
      <c r="NGC246" s="15"/>
      <c r="NGD246" s="10"/>
      <c r="NGE246" s="10"/>
      <c r="NGF246" s="21"/>
      <c r="NGG246" s="21"/>
      <c r="NGJ246" s="21"/>
      <c r="NGK246" s="15"/>
      <c r="NGL246" s="15"/>
      <c r="NGM246" s="15"/>
      <c r="NGN246" s="15"/>
      <c r="NGO246" s="15"/>
      <c r="NGP246" s="15"/>
      <c r="NGQ246" s="15"/>
      <c r="NGR246" s="15"/>
      <c r="NGS246" s="15"/>
      <c r="NGT246" s="15"/>
      <c r="NGU246" s="10"/>
      <c r="NGV246" s="10"/>
      <c r="NGW246" s="21"/>
      <c r="NGX246" s="21"/>
      <c r="NHA246" s="21"/>
      <c r="NHB246" s="15"/>
      <c r="NHC246" s="15"/>
      <c r="NHD246" s="15"/>
      <c r="NHE246" s="15"/>
      <c r="NHF246" s="15"/>
      <c r="NHG246" s="15"/>
      <c r="NHH246" s="15"/>
      <c r="NHI246" s="15"/>
      <c r="NHJ246" s="15"/>
      <c r="NHK246" s="15"/>
      <c r="NHL246" s="10"/>
      <c r="NHM246" s="10"/>
      <c r="NHN246" s="21"/>
      <c r="NHO246" s="21"/>
      <c r="NHR246" s="21"/>
      <c r="NHS246" s="15"/>
      <c r="NHT246" s="15"/>
      <c r="NHU246" s="15"/>
      <c r="NHV246" s="15"/>
      <c r="NHW246" s="15"/>
      <c r="NHX246" s="15"/>
      <c r="NHY246" s="15"/>
      <c r="NHZ246" s="15"/>
      <c r="NIA246" s="15"/>
      <c r="NIB246" s="15"/>
      <c r="NIC246" s="10"/>
      <c r="NID246" s="10"/>
      <c r="NIE246" s="21"/>
      <c r="NIF246" s="21"/>
      <c r="NII246" s="21"/>
      <c r="NIJ246" s="15"/>
      <c r="NIK246" s="15"/>
      <c r="NIL246" s="15"/>
      <c r="NIM246" s="15"/>
      <c r="NIN246" s="15"/>
      <c r="NIO246" s="15"/>
      <c r="NIP246" s="15"/>
      <c r="NIQ246" s="15"/>
      <c r="NIR246" s="15"/>
      <c r="NIS246" s="15"/>
      <c r="NIT246" s="10"/>
      <c r="NIU246" s="10"/>
      <c r="NIV246" s="21"/>
      <c r="NIW246" s="21"/>
      <c r="NIZ246" s="21"/>
      <c r="NJA246" s="15"/>
      <c r="NJB246" s="15"/>
      <c r="NJC246" s="15"/>
      <c r="NJD246" s="15"/>
      <c r="NJE246" s="15"/>
      <c r="NJF246" s="15"/>
      <c r="NJG246" s="15"/>
      <c r="NJH246" s="15"/>
      <c r="NJI246" s="15"/>
      <c r="NJJ246" s="15"/>
      <c r="NJK246" s="10"/>
      <c r="NJL246" s="10"/>
      <c r="NJM246" s="21"/>
      <c r="NJN246" s="21"/>
      <c r="NJQ246" s="21"/>
      <c r="NJR246" s="15"/>
      <c r="NJS246" s="15"/>
      <c r="NJT246" s="15"/>
      <c r="NJU246" s="15"/>
      <c r="NJV246" s="15"/>
      <c r="NJW246" s="15"/>
      <c r="NJX246" s="15"/>
      <c r="NJY246" s="15"/>
      <c r="NJZ246" s="15"/>
      <c r="NKA246" s="15"/>
      <c r="NKB246" s="10"/>
      <c r="NKC246" s="10"/>
      <c r="NKD246" s="21"/>
      <c r="NKE246" s="21"/>
      <c r="NKH246" s="21"/>
      <c r="NKI246" s="15"/>
      <c r="NKJ246" s="15"/>
      <c r="NKK246" s="15"/>
      <c r="NKL246" s="15"/>
      <c r="NKM246" s="15"/>
      <c r="NKN246" s="15"/>
      <c r="NKO246" s="15"/>
      <c r="NKP246" s="15"/>
      <c r="NKQ246" s="15"/>
      <c r="NKR246" s="15"/>
      <c r="NKS246" s="10"/>
      <c r="NKT246" s="10"/>
      <c r="NKU246" s="21"/>
      <c r="NKV246" s="21"/>
      <c r="NKY246" s="21"/>
      <c r="NKZ246" s="15"/>
      <c r="NLA246" s="15"/>
      <c r="NLB246" s="15"/>
      <c r="NLC246" s="15"/>
      <c r="NLD246" s="15"/>
      <c r="NLE246" s="15"/>
      <c r="NLF246" s="15"/>
      <c r="NLG246" s="15"/>
      <c r="NLH246" s="15"/>
      <c r="NLI246" s="15"/>
      <c r="NLJ246" s="10"/>
      <c r="NLK246" s="10"/>
      <c r="NLL246" s="21"/>
      <c r="NLM246" s="21"/>
      <c r="NLP246" s="21"/>
      <c r="NLQ246" s="15"/>
      <c r="NLR246" s="15"/>
      <c r="NLS246" s="15"/>
      <c r="NLT246" s="15"/>
      <c r="NLU246" s="15"/>
      <c r="NLV246" s="15"/>
      <c r="NLW246" s="15"/>
      <c r="NLX246" s="15"/>
      <c r="NLY246" s="15"/>
      <c r="NLZ246" s="15"/>
      <c r="NMA246" s="10"/>
      <c r="NMB246" s="10"/>
      <c r="NMC246" s="21"/>
      <c r="NMD246" s="21"/>
      <c r="NMG246" s="21"/>
      <c r="NMH246" s="15"/>
      <c r="NMI246" s="15"/>
      <c r="NMJ246" s="15"/>
      <c r="NMK246" s="15"/>
      <c r="NML246" s="15"/>
      <c r="NMM246" s="15"/>
      <c r="NMN246" s="15"/>
      <c r="NMO246" s="15"/>
      <c r="NMP246" s="15"/>
      <c r="NMQ246" s="15"/>
      <c r="NMR246" s="10"/>
      <c r="NMS246" s="10"/>
      <c r="NMT246" s="21"/>
      <c r="NMU246" s="21"/>
      <c r="NMX246" s="21"/>
      <c r="NMY246" s="15"/>
      <c r="NMZ246" s="15"/>
      <c r="NNA246" s="15"/>
      <c r="NNB246" s="15"/>
      <c r="NNC246" s="15"/>
      <c r="NND246" s="15"/>
      <c r="NNE246" s="15"/>
      <c r="NNF246" s="15"/>
      <c r="NNG246" s="15"/>
      <c r="NNH246" s="15"/>
      <c r="NNI246" s="10"/>
      <c r="NNJ246" s="10"/>
      <c r="NNK246" s="21"/>
      <c r="NNL246" s="21"/>
      <c r="NNO246" s="21"/>
      <c r="NNP246" s="15"/>
      <c r="NNQ246" s="15"/>
      <c r="NNR246" s="15"/>
      <c r="NNS246" s="15"/>
      <c r="NNT246" s="15"/>
      <c r="NNU246" s="15"/>
      <c r="NNV246" s="15"/>
      <c r="NNW246" s="15"/>
      <c r="NNX246" s="15"/>
      <c r="NNY246" s="15"/>
      <c r="NNZ246" s="10"/>
      <c r="NOA246" s="10"/>
      <c r="NOB246" s="21"/>
      <c r="NOC246" s="21"/>
      <c r="NOF246" s="21"/>
      <c r="NOG246" s="15"/>
      <c r="NOH246" s="15"/>
      <c r="NOI246" s="15"/>
      <c r="NOJ246" s="15"/>
      <c r="NOK246" s="15"/>
      <c r="NOL246" s="15"/>
      <c r="NOM246" s="15"/>
      <c r="NON246" s="15"/>
      <c r="NOO246" s="15"/>
      <c r="NOP246" s="15"/>
      <c r="NOQ246" s="10"/>
      <c r="NOR246" s="10"/>
      <c r="NOS246" s="21"/>
      <c r="NOT246" s="21"/>
      <c r="NOW246" s="21"/>
      <c r="NOX246" s="15"/>
      <c r="NOY246" s="15"/>
      <c r="NOZ246" s="15"/>
      <c r="NPA246" s="15"/>
      <c r="NPB246" s="15"/>
      <c r="NPC246" s="15"/>
      <c r="NPD246" s="15"/>
      <c r="NPE246" s="15"/>
      <c r="NPF246" s="15"/>
      <c r="NPG246" s="15"/>
      <c r="NPH246" s="10"/>
      <c r="NPI246" s="10"/>
      <c r="NPJ246" s="21"/>
      <c r="NPK246" s="21"/>
      <c r="NPN246" s="21"/>
      <c r="NPO246" s="15"/>
      <c r="NPP246" s="15"/>
      <c r="NPQ246" s="15"/>
      <c r="NPR246" s="15"/>
      <c r="NPS246" s="15"/>
      <c r="NPT246" s="15"/>
      <c r="NPU246" s="15"/>
      <c r="NPV246" s="15"/>
      <c r="NPW246" s="15"/>
      <c r="NPX246" s="15"/>
      <c r="NPY246" s="10"/>
      <c r="NPZ246" s="10"/>
      <c r="NQA246" s="21"/>
      <c r="NQB246" s="21"/>
      <c r="NQE246" s="21"/>
      <c r="NQF246" s="15"/>
      <c r="NQG246" s="15"/>
      <c r="NQH246" s="15"/>
      <c r="NQI246" s="15"/>
      <c r="NQJ246" s="15"/>
      <c r="NQK246" s="15"/>
      <c r="NQL246" s="15"/>
      <c r="NQM246" s="15"/>
      <c r="NQN246" s="15"/>
      <c r="NQO246" s="15"/>
      <c r="NQP246" s="10"/>
      <c r="NQQ246" s="10"/>
      <c r="NQR246" s="21"/>
      <c r="NQS246" s="21"/>
      <c r="NQV246" s="21"/>
      <c r="NQW246" s="15"/>
      <c r="NQX246" s="15"/>
      <c r="NQY246" s="15"/>
      <c r="NQZ246" s="15"/>
      <c r="NRA246" s="15"/>
      <c r="NRB246" s="15"/>
      <c r="NRC246" s="15"/>
      <c r="NRD246" s="15"/>
      <c r="NRE246" s="15"/>
      <c r="NRF246" s="15"/>
      <c r="NRG246" s="10"/>
      <c r="NRH246" s="10"/>
      <c r="NRI246" s="21"/>
      <c r="NRJ246" s="21"/>
      <c r="NRM246" s="21"/>
      <c r="NRN246" s="15"/>
      <c r="NRO246" s="15"/>
      <c r="NRP246" s="15"/>
      <c r="NRQ246" s="15"/>
      <c r="NRR246" s="15"/>
      <c r="NRS246" s="15"/>
      <c r="NRT246" s="15"/>
      <c r="NRU246" s="15"/>
      <c r="NRV246" s="15"/>
      <c r="NRW246" s="15"/>
      <c r="NRX246" s="10"/>
      <c r="NRY246" s="10"/>
      <c r="NRZ246" s="21"/>
      <c r="NSA246" s="21"/>
      <c r="NSD246" s="21"/>
      <c r="NSE246" s="15"/>
      <c r="NSF246" s="15"/>
      <c r="NSG246" s="15"/>
      <c r="NSH246" s="15"/>
      <c r="NSI246" s="15"/>
      <c r="NSJ246" s="15"/>
      <c r="NSK246" s="15"/>
      <c r="NSL246" s="15"/>
      <c r="NSM246" s="15"/>
      <c r="NSN246" s="15"/>
      <c r="NSO246" s="10"/>
      <c r="NSP246" s="10"/>
      <c r="NSQ246" s="21"/>
      <c r="NSR246" s="21"/>
      <c r="NSU246" s="21"/>
      <c r="NSV246" s="15"/>
      <c r="NSW246" s="15"/>
      <c r="NSX246" s="15"/>
      <c r="NSY246" s="15"/>
      <c r="NSZ246" s="15"/>
      <c r="NTA246" s="15"/>
      <c r="NTB246" s="15"/>
      <c r="NTC246" s="15"/>
      <c r="NTD246" s="15"/>
      <c r="NTE246" s="15"/>
      <c r="NTF246" s="10"/>
      <c r="NTG246" s="10"/>
      <c r="NTH246" s="21"/>
      <c r="NTI246" s="21"/>
      <c r="NTL246" s="21"/>
      <c r="NTM246" s="15"/>
      <c r="NTN246" s="15"/>
      <c r="NTO246" s="15"/>
      <c r="NTP246" s="15"/>
      <c r="NTQ246" s="15"/>
      <c r="NTR246" s="15"/>
      <c r="NTS246" s="15"/>
      <c r="NTT246" s="15"/>
      <c r="NTU246" s="15"/>
      <c r="NTV246" s="15"/>
      <c r="NTW246" s="10"/>
      <c r="NTX246" s="10"/>
      <c r="NTY246" s="21"/>
      <c r="NTZ246" s="21"/>
      <c r="NUC246" s="21"/>
      <c r="NUD246" s="15"/>
      <c r="NUE246" s="15"/>
      <c r="NUF246" s="15"/>
      <c r="NUG246" s="15"/>
      <c r="NUH246" s="15"/>
      <c r="NUI246" s="15"/>
      <c r="NUJ246" s="15"/>
      <c r="NUK246" s="15"/>
      <c r="NUL246" s="15"/>
      <c r="NUM246" s="15"/>
      <c r="NUN246" s="10"/>
      <c r="NUO246" s="10"/>
      <c r="NUP246" s="21"/>
      <c r="NUQ246" s="21"/>
      <c r="NUT246" s="21"/>
      <c r="NUU246" s="15"/>
      <c r="NUV246" s="15"/>
      <c r="NUW246" s="15"/>
      <c r="NUX246" s="15"/>
      <c r="NUY246" s="15"/>
      <c r="NUZ246" s="15"/>
      <c r="NVA246" s="15"/>
      <c r="NVB246" s="15"/>
      <c r="NVC246" s="15"/>
      <c r="NVD246" s="15"/>
      <c r="NVE246" s="10"/>
      <c r="NVF246" s="10"/>
      <c r="NVG246" s="21"/>
      <c r="NVH246" s="21"/>
      <c r="NVK246" s="21"/>
      <c r="NVL246" s="15"/>
      <c r="NVM246" s="15"/>
      <c r="NVN246" s="15"/>
      <c r="NVO246" s="15"/>
      <c r="NVP246" s="15"/>
      <c r="NVQ246" s="15"/>
      <c r="NVR246" s="15"/>
      <c r="NVS246" s="15"/>
      <c r="NVT246" s="15"/>
      <c r="NVU246" s="15"/>
      <c r="NVV246" s="10"/>
      <c r="NVW246" s="10"/>
      <c r="NVX246" s="21"/>
      <c r="NVY246" s="21"/>
      <c r="NWB246" s="21"/>
      <c r="NWC246" s="15"/>
      <c r="NWD246" s="15"/>
      <c r="NWE246" s="15"/>
      <c r="NWF246" s="15"/>
      <c r="NWG246" s="15"/>
      <c r="NWH246" s="15"/>
      <c r="NWI246" s="15"/>
      <c r="NWJ246" s="15"/>
      <c r="NWK246" s="15"/>
      <c r="NWL246" s="15"/>
      <c r="NWM246" s="10"/>
      <c r="NWN246" s="10"/>
      <c r="NWO246" s="21"/>
      <c r="NWP246" s="21"/>
      <c r="NWS246" s="21"/>
      <c r="NWT246" s="15"/>
      <c r="NWU246" s="15"/>
      <c r="NWV246" s="15"/>
      <c r="NWW246" s="15"/>
      <c r="NWX246" s="15"/>
      <c r="NWY246" s="15"/>
      <c r="NWZ246" s="15"/>
      <c r="NXA246" s="15"/>
      <c r="NXB246" s="15"/>
      <c r="NXC246" s="15"/>
      <c r="NXD246" s="10"/>
      <c r="NXE246" s="10"/>
      <c r="NXF246" s="21"/>
      <c r="NXG246" s="21"/>
      <c r="NXJ246" s="21"/>
      <c r="NXK246" s="15"/>
      <c r="NXL246" s="15"/>
      <c r="NXM246" s="15"/>
      <c r="NXN246" s="15"/>
      <c r="NXO246" s="15"/>
      <c r="NXP246" s="15"/>
      <c r="NXQ246" s="15"/>
      <c r="NXR246" s="15"/>
      <c r="NXS246" s="15"/>
      <c r="NXT246" s="15"/>
      <c r="NXU246" s="10"/>
      <c r="NXV246" s="10"/>
      <c r="NXW246" s="21"/>
      <c r="NXX246" s="21"/>
      <c r="NYA246" s="21"/>
      <c r="NYB246" s="15"/>
      <c r="NYC246" s="15"/>
      <c r="NYD246" s="15"/>
      <c r="NYE246" s="15"/>
      <c r="NYF246" s="15"/>
      <c r="NYG246" s="15"/>
      <c r="NYH246" s="15"/>
      <c r="NYI246" s="15"/>
      <c r="NYJ246" s="15"/>
      <c r="NYK246" s="15"/>
      <c r="NYL246" s="10"/>
      <c r="NYM246" s="10"/>
      <c r="NYN246" s="21"/>
      <c r="NYO246" s="21"/>
      <c r="NYR246" s="21"/>
      <c r="NYS246" s="15"/>
      <c r="NYT246" s="15"/>
      <c r="NYU246" s="15"/>
      <c r="NYV246" s="15"/>
      <c r="NYW246" s="15"/>
      <c r="NYX246" s="15"/>
      <c r="NYY246" s="15"/>
      <c r="NYZ246" s="15"/>
      <c r="NZA246" s="15"/>
      <c r="NZB246" s="15"/>
      <c r="NZC246" s="10"/>
      <c r="NZD246" s="10"/>
      <c r="NZE246" s="21"/>
      <c r="NZF246" s="21"/>
      <c r="NZI246" s="21"/>
      <c r="NZJ246" s="15"/>
      <c r="NZK246" s="15"/>
      <c r="NZL246" s="15"/>
      <c r="NZM246" s="15"/>
      <c r="NZN246" s="15"/>
      <c r="NZO246" s="15"/>
      <c r="NZP246" s="15"/>
      <c r="NZQ246" s="15"/>
      <c r="NZR246" s="15"/>
      <c r="NZS246" s="15"/>
      <c r="NZT246" s="10"/>
      <c r="NZU246" s="10"/>
      <c r="NZV246" s="21"/>
      <c r="NZW246" s="21"/>
      <c r="NZZ246" s="21"/>
      <c r="OAA246" s="15"/>
      <c r="OAB246" s="15"/>
      <c r="OAC246" s="15"/>
      <c r="OAD246" s="15"/>
      <c r="OAE246" s="15"/>
      <c r="OAF246" s="15"/>
      <c r="OAG246" s="15"/>
      <c r="OAH246" s="15"/>
      <c r="OAI246" s="15"/>
      <c r="OAJ246" s="15"/>
      <c r="OAK246" s="10"/>
      <c r="OAL246" s="10"/>
      <c r="OAM246" s="21"/>
      <c r="OAN246" s="21"/>
      <c r="OAQ246" s="21"/>
      <c r="OAR246" s="15"/>
      <c r="OAS246" s="15"/>
      <c r="OAT246" s="15"/>
      <c r="OAU246" s="15"/>
      <c r="OAV246" s="15"/>
      <c r="OAW246" s="15"/>
      <c r="OAX246" s="15"/>
      <c r="OAY246" s="15"/>
      <c r="OAZ246" s="15"/>
      <c r="OBA246" s="15"/>
      <c r="OBB246" s="10"/>
      <c r="OBC246" s="10"/>
      <c r="OBD246" s="21"/>
      <c r="OBE246" s="21"/>
      <c r="OBH246" s="21"/>
      <c r="OBI246" s="15"/>
      <c r="OBJ246" s="15"/>
      <c r="OBK246" s="15"/>
      <c r="OBL246" s="15"/>
      <c r="OBM246" s="15"/>
      <c r="OBN246" s="15"/>
      <c r="OBO246" s="15"/>
      <c r="OBP246" s="15"/>
      <c r="OBQ246" s="15"/>
      <c r="OBR246" s="15"/>
      <c r="OBS246" s="10"/>
      <c r="OBT246" s="10"/>
      <c r="OBU246" s="21"/>
      <c r="OBV246" s="21"/>
      <c r="OBY246" s="21"/>
      <c r="OBZ246" s="15"/>
      <c r="OCA246" s="15"/>
      <c r="OCB246" s="15"/>
      <c r="OCC246" s="15"/>
      <c r="OCD246" s="15"/>
      <c r="OCE246" s="15"/>
      <c r="OCF246" s="15"/>
      <c r="OCG246" s="15"/>
      <c r="OCH246" s="15"/>
      <c r="OCI246" s="15"/>
      <c r="OCJ246" s="10"/>
      <c r="OCK246" s="10"/>
      <c r="OCL246" s="21"/>
      <c r="OCM246" s="21"/>
      <c r="OCP246" s="21"/>
      <c r="OCQ246" s="15"/>
      <c r="OCR246" s="15"/>
      <c r="OCS246" s="15"/>
      <c r="OCT246" s="15"/>
      <c r="OCU246" s="15"/>
      <c r="OCV246" s="15"/>
      <c r="OCW246" s="15"/>
      <c r="OCX246" s="15"/>
      <c r="OCY246" s="15"/>
      <c r="OCZ246" s="15"/>
      <c r="ODA246" s="10"/>
      <c r="ODB246" s="10"/>
      <c r="ODC246" s="21"/>
      <c r="ODD246" s="21"/>
      <c r="ODG246" s="21"/>
      <c r="ODH246" s="15"/>
      <c r="ODI246" s="15"/>
      <c r="ODJ246" s="15"/>
      <c r="ODK246" s="15"/>
      <c r="ODL246" s="15"/>
      <c r="ODM246" s="15"/>
      <c r="ODN246" s="15"/>
      <c r="ODO246" s="15"/>
      <c r="ODP246" s="15"/>
      <c r="ODQ246" s="15"/>
      <c r="ODR246" s="10"/>
      <c r="ODS246" s="10"/>
      <c r="ODT246" s="21"/>
      <c r="ODU246" s="21"/>
      <c r="ODX246" s="21"/>
      <c r="ODY246" s="15"/>
      <c r="ODZ246" s="15"/>
      <c r="OEA246" s="15"/>
      <c r="OEB246" s="15"/>
      <c r="OEC246" s="15"/>
      <c r="OED246" s="15"/>
      <c r="OEE246" s="15"/>
      <c r="OEF246" s="15"/>
      <c r="OEG246" s="15"/>
      <c r="OEH246" s="15"/>
      <c r="OEI246" s="10"/>
      <c r="OEJ246" s="10"/>
      <c r="OEK246" s="21"/>
      <c r="OEL246" s="21"/>
      <c r="OEO246" s="21"/>
      <c r="OEP246" s="15"/>
      <c r="OEQ246" s="15"/>
      <c r="OER246" s="15"/>
      <c r="OES246" s="15"/>
      <c r="OET246" s="15"/>
      <c r="OEU246" s="15"/>
      <c r="OEV246" s="15"/>
      <c r="OEW246" s="15"/>
      <c r="OEX246" s="15"/>
      <c r="OEY246" s="15"/>
      <c r="OEZ246" s="10"/>
      <c r="OFA246" s="10"/>
      <c r="OFB246" s="21"/>
      <c r="OFC246" s="21"/>
      <c r="OFF246" s="21"/>
      <c r="OFG246" s="15"/>
      <c r="OFH246" s="15"/>
      <c r="OFI246" s="15"/>
      <c r="OFJ246" s="15"/>
      <c r="OFK246" s="15"/>
      <c r="OFL246" s="15"/>
      <c r="OFM246" s="15"/>
      <c r="OFN246" s="15"/>
      <c r="OFO246" s="15"/>
      <c r="OFP246" s="15"/>
      <c r="OFQ246" s="10"/>
      <c r="OFR246" s="10"/>
      <c r="OFS246" s="21"/>
      <c r="OFT246" s="21"/>
      <c r="OFW246" s="21"/>
      <c r="OFX246" s="15"/>
      <c r="OFY246" s="15"/>
      <c r="OFZ246" s="15"/>
      <c r="OGA246" s="15"/>
      <c r="OGB246" s="15"/>
      <c r="OGC246" s="15"/>
      <c r="OGD246" s="15"/>
      <c r="OGE246" s="15"/>
      <c r="OGF246" s="15"/>
      <c r="OGG246" s="15"/>
      <c r="OGH246" s="10"/>
      <c r="OGI246" s="10"/>
      <c r="OGJ246" s="21"/>
      <c r="OGK246" s="21"/>
      <c r="OGN246" s="21"/>
      <c r="OGO246" s="15"/>
      <c r="OGP246" s="15"/>
      <c r="OGQ246" s="15"/>
      <c r="OGR246" s="15"/>
      <c r="OGS246" s="15"/>
      <c r="OGT246" s="15"/>
      <c r="OGU246" s="15"/>
      <c r="OGV246" s="15"/>
      <c r="OGW246" s="15"/>
      <c r="OGX246" s="15"/>
      <c r="OGY246" s="10"/>
      <c r="OGZ246" s="10"/>
      <c r="OHA246" s="21"/>
      <c r="OHB246" s="21"/>
      <c r="OHE246" s="21"/>
      <c r="OHF246" s="15"/>
      <c r="OHG246" s="15"/>
      <c r="OHH246" s="15"/>
      <c r="OHI246" s="15"/>
      <c r="OHJ246" s="15"/>
      <c r="OHK246" s="15"/>
      <c r="OHL246" s="15"/>
      <c r="OHM246" s="15"/>
      <c r="OHN246" s="15"/>
      <c r="OHO246" s="15"/>
      <c r="OHP246" s="10"/>
      <c r="OHQ246" s="10"/>
      <c r="OHR246" s="21"/>
      <c r="OHS246" s="21"/>
      <c r="OHV246" s="21"/>
      <c r="OHW246" s="15"/>
      <c r="OHX246" s="15"/>
      <c r="OHY246" s="15"/>
      <c r="OHZ246" s="15"/>
      <c r="OIA246" s="15"/>
      <c r="OIB246" s="15"/>
      <c r="OIC246" s="15"/>
      <c r="OID246" s="15"/>
      <c r="OIE246" s="15"/>
      <c r="OIF246" s="15"/>
      <c r="OIG246" s="10"/>
      <c r="OIH246" s="10"/>
      <c r="OII246" s="21"/>
      <c r="OIJ246" s="21"/>
      <c r="OIM246" s="21"/>
      <c r="OIN246" s="15"/>
      <c r="OIO246" s="15"/>
      <c r="OIP246" s="15"/>
      <c r="OIQ246" s="15"/>
      <c r="OIR246" s="15"/>
      <c r="OIS246" s="15"/>
      <c r="OIT246" s="15"/>
      <c r="OIU246" s="15"/>
      <c r="OIV246" s="15"/>
      <c r="OIW246" s="15"/>
      <c r="OIX246" s="10"/>
      <c r="OIY246" s="10"/>
      <c r="OIZ246" s="21"/>
      <c r="OJA246" s="21"/>
      <c r="OJD246" s="21"/>
      <c r="OJE246" s="15"/>
      <c r="OJF246" s="15"/>
      <c r="OJG246" s="15"/>
      <c r="OJH246" s="15"/>
      <c r="OJI246" s="15"/>
      <c r="OJJ246" s="15"/>
      <c r="OJK246" s="15"/>
      <c r="OJL246" s="15"/>
      <c r="OJM246" s="15"/>
      <c r="OJN246" s="15"/>
      <c r="OJO246" s="10"/>
      <c r="OJP246" s="10"/>
      <c r="OJQ246" s="21"/>
      <c r="OJR246" s="21"/>
      <c r="OJU246" s="21"/>
      <c r="OJV246" s="15"/>
      <c r="OJW246" s="15"/>
      <c r="OJX246" s="15"/>
      <c r="OJY246" s="15"/>
      <c r="OJZ246" s="15"/>
      <c r="OKA246" s="15"/>
      <c r="OKB246" s="15"/>
      <c r="OKC246" s="15"/>
      <c r="OKD246" s="15"/>
      <c r="OKE246" s="15"/>
      <c r="OKF246" s="10"/>
      <c r="OKG246" s="10"/>
      <c r="OKH246" s="21"/>
      <c r="OKI246" s="21"/>
      <c r="OKL246" s="21"/>
      <c r="OKM246" s="15"/>
      <c r="OKN246" s="15"/>
      <c r="OKO246" s="15"/>
      <c r="OKP246" s="15"/>
      <c r="OKQ246" s="15"/>
      <c r="OKR246" s="15"/>
      <c r="OKS246" s="15"/>
      <c r="OKT246" s="15"/>
      <c r="OKU246" s="15"/>
      <c r="OKV246" s="15"/>
      <c r="OKW246" s="10"/>
      <c r="OKX246" s="10"/>
      <c r="OKY246" s="21"/>
      <c r="OKZ246" s="21"/>
      <c r="OLC246" s="21"/>
      <c r="OLD246" s="15"/>
      <c r="OLE246" s="15"/>
      <c r="OLF246" s="15"/>
      <c r="OLG246" s="15"/>
      <c r="OLH246" s="15"/>
      <c r="OLI246" s="15"/>
      <c r="OLJ246" s="15"/>
      <c r="OLK246" s="15"/>
      <c r="OLL246" s="15"/>
      <c r="OLM246" s="15"/>
      <c r="OLN246" s="10"/>
      <c r="OLO246" s="10"/>
      <c r="OLP246" s="21"/>
      <c r="OLQ246" s="21"/>
      <c r="OLT246" s="21"/>
      <c r="OLU246" s="15"/>
      <c r="OLV246" s="15"/>
      <c r="OLW246" s="15"/>
      <c r="OLX246" s="15"/>
      <c r="OLY246" s="15"/>
      <c r="OLZ246" s="15"/>
      <c r="OMA246" s="15"/>
      <c r="OMB246" s="15"/>
      <c r="OMC246" s="15"/>
      <c r="OMD246" s="15"/>
      <c r="OME246" s="10"/>
      <c r="OMF246" s="10"/>
      <c r="OMG246" s="21"/>
      <c r="OMH246" s="21"/>
      <c r="OMK246" s="21"/>
      <c r="OML246" s="15"/>
      <c r="OMM246" s="15"/>
      <c r="OMN246" s="15"/>
      <c r="OMO246" s="15"/>
      <c r="OMP246" s="15"/>
      <c r="OMQ246" s="15"/>
      <c r="OMR246" s="15"/>
      <c r="OMS246" s="15"/>
      <c r="OMT246" s="15"/>
      <c r="OMU246" s="15"/>
      <c r="OMV246" s="10"/>
      <c r="OMW246" s="10"/>
      <c r="OMX246" s="21"/>
      <c r="OMY246" s="21"/>
      <c r="ONB246" s="21"/>
      <c r="ONC246" s="15"/>
      <c r="OND246" s="15"/>
      <c r="ONE246" s="15"/>
      <c r="ONF246" s="15"/>
      <c r="ONG246" s="15"/>
      <c r="ONH246" s="15"/>
      <c r="ONI246" s="15"/>
      <c r="ONJ246" s="15"/>
      <c r="ONK246" s="15"/>
      <c r="ONL246" s="15"/>
      <c r="ONM246" s="10"/>
      <c r="ONN246" s="10"/>
      <c r="ONO246" s="21"/>
      <c r="ONP246" s="21"/>
      <c r="ONS246" s="21"/>
      <c r="ONT246" s="15"/>
      <c r="ONU246" s="15"/>
      <c r="ONV246" s="15"/>
      <c r="ONW246" s="15"/>
      <c r="ONX246" s="15"/>
      <c r="ONY246" s="15"/>
      <c r="ONZ246" s="15"/>
      <c r="OOA246" s="15"/>
      <c r="OOB246" s="15"/>
      <c r="OOC246" s="15"/>
      <c r="OOD246" s="10"/>
      <c r="OOE246" s="10"/>
      <c r="OOF246" s="21"/>
      <c r="OOG246" s="21"/>
      <c r="OOJ246" s="21"/>
      <c r="OOK246" s="15"/>
      <c r="OOL246" s="15"/>
      <c r="OOM246" s="15"/>
      <c r="OON246" s="15"/>
      <c r="OOO246" s="15"/>
      <c r="OOP246" s="15"/>
      <c r="OOQ246" s="15"/>
      <c r="OOR246" s="15"/>
      <c r="OOS246" s="15"/>
      <c r="OOT246" s="15"/>
      <c r="OOU246" s="10"/>
      <c r="OOV246" s="10"/>
      <c r="OOW246" s="21"/>
      <c r="OOX246" s="21"/>
      <c r="OPA246" s="21"/>
      <c r="OPB246" s="15"/>
      <c r="OPC246" s="15"/>
      <c r="OPD246" s="15"/>
      <c r="OPE246" s="15"/>
      <c r="OPF246" s="15"/>
      <c r="OPG246" s="15"/>
      <c r="OPH246" s="15"/>
      <c r="OPI246" s="15"/>
      <c r="OPJ246" s="15"/>
      <c r="OPK246" s="15"/>
      <c r="OPL246" s="10"/>
      <c r="OPM246" s="10"/>
      <c r="OPN246" s="21"/>
      <c r="OPO246" s="21"/>
      <c r="OPR246" s="21"/>
      <c r="OPS246" s="15"/>
      <c r="OPT246" s="15"/>
      <c r="OPU246" s="15"/>
      <c r="OPV246" s="15"/>
      <c r="OPW246" s="15"/>
      <c r="OPX246" s="15"/>
      <c r="OPY246" s="15"/>
      <c r="OPZ246" s="15"/>
      <c r="OQA246" s="15"/>
      <c r="OQB246" s="15"/>
      <c r="OQC246" s="10"/>
      <c r="OQD246" s="10"/>
      <c r="OQE246" s="21"/>
      <c r="OQF246" s="21"/>
      <c r="OQI246" s="21"/>
      <c r="OQJ246" s="15"/>
      <c r="OQK246" s="15"/>
      <c r="OQL246" s="15"/>
      <c r="OQM246" s="15"/>
      <c r="OQN246" s="15"/>
      <c r="OQO246" s="15"/>
      <c r="OQP246" s="15"/>
      <c r="OQQ246" s="15"/>
      <c r="OQR246" s="15"/>
      <c r="OQS246" s="15"/>
      <c r="OQT246" s="10"/>
      <c r="OQU246" s="10"/>
      <c r="OQV246" s="21"/>
      <c r="OQW246" s="21"/>
      <c r="OQZ246" s="21"/>
      <c r="ORA246" s="15"/>
      <c r="ORB246" s="15"/>
      <c r="ORC246" s="15"/>
      <c r="ORD246" s="15"/>
      <c r="ORE246" s="15"/>
      <c r="ORF246" s="15"/>
      <c r="ORG246" s="15"/>
      <c r="ORH246" s="15"/>
      <c r="ORI246" s="15"/>
      <c r="ORJ246" s="15"/>
      <c r="ORK246" s="10"/>
      <c r="ORL246" s="10"/>
      <c r="ORM246" s="21"/>
      <c r="ORN246" s="21"/>
      <c r="ORQ246" s="21"/>
      <c r="ORR246" s="15"/>
      <c r="ORS246" s="15"/>
      <c r="ORT246" s="15"/>
      <c r="ORU246" s="15"/>
      <c r="ORV246" s="15"/>
      <c r="ORW246" s="15"/>
      <c r="ORX246" s="15"/>
      <c r="ORY246" s="15"/>
      <c r="ORZ246" s="15"/>
      <c r="OSA246" s="15"/>
      <c r="OSB246" s="10"/>
      <c r="OSC246" s="10"/>
      <c r="OSD246" s="21"/>
      <c r="OSE246" s="21"/>
      <c r="OSH246" s="21"/>
      <c r="OSI246" s="15"/>
      <c r="OSJ246" s="15"/>
      <c r="OSK246" s="15"/>
      <c r="OSL246" s="15"/>
      <c r="OSM246" s="15"/>
      <c r="OSN246" s="15"/>
      <c r="OSO246" s="15"/>
      <c r="OSP246" s="15"/>
      <c r="OSQ246" s="15"/>
      <c r="OSR246" s="15"/>
      <c r="OSS246" s="10"/>
      <c r="OST246" s="10"/>
      <c r="OSU246" s="21"/>
      <c r="OSV246" s="21"/>
      <c r="OSY246" s="21"/>
      <c r="OSZ246" s="15"/>
      <c r="OTA246" s="15"/>
      <c r="OTB246" s="15"/>
      <c r="OTC246" s="15"/>
      <c r="OTD246" s="15"/>
      <c r="OTE246" s="15"/>
      <c r="OTF246" s="15"/>
      <c r="OTG246" s="15"/>
      <c r="OTH246" s="15"/>
      <c r="OTI246" s="15"/>
      <c r="OTJ246" s="10"/>
      <c r="OTK246" s="10"/>
      <c r="OTL246" s="21"/>
      <c r="OTM246" s="21"/>
      <c r="OTP246" s="21"/>
      <c r="OTQ246" s="15"/>
      <c r="OTR246" s="15"/>
      <c r="OTS246" s="15"/>
      <c r="OTT246" s="15"/>
      <c r="OTU246" s="15"/>
      <c r="OTV246" s="15"/>
      <c r="OTW246" s="15"/>
      <c r="OTX246" s="15"/>
      <c r="OTY246" s="15"/>
      <c r="OTZ246" s="15"/>
      <c r="OUA246" s="10"/>
      <c r="OUB246" s="10"/>
      <c r="OUC246" s="21"/>
      <c r="OUD246" s="21"/>
      <c r="OUG246" s="21"/>
      <c r="OUH246" s="15"/>
      <c r="OUI246" s="15"/>
      <c r="OUJ246" s="15"/>
      <c r="OUK246" s="15"/>
      <c r="OUL246" s="15"/>
      <c r="OUM246" s="15"/>
      <c r="OUN246" s="15"/>
      <c r="OUO246" s="15"/>
      <c r="OUP246" s="15"/>
      <c r="OUQ246" s="15"/>
      <c r="OUR246" s="10"/>
      <c r="OUS246" s="10"/>
      <c r="OUT246" s="21"/>
      <c r="OUU246" s="21"/>
      <c r="OUX246" s="21"/>
      <c r="OUY246" s="15"/>
      <c r="OUZ246" s="15"/>
      <c r="OVA246" s="15"/>
      <c r="OVB246" s="15"/>
      <c r="OVC246" s="15"/>
      <c r="OVD246" s="15"/>
      <c r="OVE246" s="15"/>
      <c r="OVF246" s="15"/>
      <c r="OVG246" s="15"/>
      <c r="OVH246" s="15"/>
      <c r="OVI246" s="10"/>
      <c r="OVJ246" s="10"/>
      <c r="OVK246" s="21"/>
      <c r="OVL246" s="21"/>
      <c r="OVO246" s="21"/>
      <c r="OVP246" s="15"/>
      <c r="OVQ246" s="15"/>
      <c r="OVR246" s="15"/>
      <c r="OVS246" s="15"/>
      <c r="OVT246" s="15"/>
      <c r="OVU246" s="15"/>
      <c r="OVV246" s="15"/>
      <c r="OVW246" s="15"/>
      <c r="OVX246" s="15"/>
      <c r="OVY246" s="15"/>
      <c r="OVZ246" s="10"/>
      <c r="OWA246" s="10"/>
      <c r="OWB246" s="21"/>
      <c r="OWC246" s="21"/>
      <c r="OWF246" s="21"/>
      <c r="OWG246" s="15"/>
      <c r="OWH246" s="15"/>
      <c r="OWI246" s="15"/>
      <c r="OWJ246" s="15"/>
      <c r="OWK246" s="15"/>
      <c r="OWL246" s="15"/>
      <c r="OWM246" s="15"/>
      <c r="OWN246" s="15"/>
      <c r="OWO246" s="15"/>
      <c r="OWP246" s="15"/>
      <c r="OWQ246" s="10"/>
      <c r="OWR246" s="10"/>
      <c r="OWS246" s="21"/>
      <c r="OWT246" s="21"/>
      <c r="OWW246" s="21"/>
      <c r="OWX246" s="15"/>
      <c r="OWY246" s="15"/>
      <c r="OWZ246" s="15"/>
      <c r="OXA246" s="15"/>
      <c r="OXB246" s="15"/>
      <c r="OXC246" s="15"/>
      <c r="OXD246" s="15"/>
      <c r="OXE246" s="15"/>
      <c r="OXF246" s="15"/>
      <c r="OXG246" s="15"/>
      <c r="OXH246" s="10"/>
      <c r="OXI246" s="10"/>
      <c r="OXJ246" s="21"/>
      <c r="OXK246" s="21"/>
      <c r="OXN246" s="21"/>
      <c r="OXO246" s="15"/>
      <c r="OXP246" s="15"/>
      <c r="OXQ246" s="15"/>
      <c r="OXR246" s="15"/>
      <c r="OXS246" s="15"/>
      <c r="OXT246" s="15"/>
      <c r="OXU246" s="15"/>
      <c r="OXV246" s="15"/>
      <c r="OXW246" s="15"/>
      <c r="OXX246" s="15"/>
      <c r="OXY246" s="10"/>
      <c r="OXZ246" s="10"/>
      <c r="OYA246" s="21"/>
      <c r="OYB246" s="21"/>
      <c r="OYE246" s="21"/>
      <c r="OYF246" s="15"/>
      <c r="OYG246" s="15"/>
      <c r="OYH246" s="15"/>
      <c r="OYI246" s="15"/>
      <c r="OYJ246" s="15"/>
      <c r="OYK246" s="15"/>
      <c r="OYL246" s="15"/>
      <c r="OYM246" s="15"/>
      <c r="OYN246" s="15"/>
      <c r="OYO246" s="15"/>
      <c r="OYP246" s="10"/>
      <c r="OYQ246" s="10"/>
      <c r="OYR246" s="21"/>
      <c r="OYS246" s="21"/>
      <c r="OYV246" s="21"/>
      <c r="OYW246" s="15"/>
      <c r="OYX246" s="15"/>
      <c r="OYY246" s="15"/>
      <c r="OYZ246" s="15"/>
      <c r="OZA246" s="15"/>
      <c r="OZB246" s="15"/>
      <c r="OZC246" s="15"/>
      <c r="OZD246" s="15"/>
      <c r="OZE246" s="15"/>
      <c r="OZF246" s="15"/>
      <c r="OZG246" s="10"/>
      <c r="OZH246" s="10"/>
      <c r="OZI246" s="21"/>
      <c r="OZJ246" s="21"/>
      <c r="OZM246" s="21"/>
      <c r="OZN246" s="15"/>
      <c r="OZO246" s="15"/>
      <c r="OZP246" s="15"/>
      <c r="OZQ246" s="15"/>
      <c r="OZR246" s="15"/>
      <c r="OZS246" s="15"/>
      <c r="OZT246" s="15"/>
      <c r="OZU246" s="15"/>
      <c r="OZV246" s="15"/>
      <c r="OZW246" s="15"/>
      <c r="OZX246" s="10"/>
      <c r="OZY246" s="10"/>
      <c r="OZZ246" s="21"/>
      <c r="PAA246" s="21"/>
      <c r="PAD246" s="21"/>
      <c r="PAE246" s="15"/>
      <c r="PAF246" s="15"/>
      <c r="PAG246" s="15"/>
      <c r="PAH246" s="15"/>
      <c r="PAI246" s="15"/>
      <c r="PAJ246" s="15"/>
      <c r="PAK246" s="15"/>
      <c r="PAL246" s="15"/>
      <c r="PAM246" s="15"/>
      <c r="PAN246" s="15"/>
      <c r="PAO246" s="10"/>
      <c r="PAP246" s="10"/>
      <c r="PAQ246" s="21"/>
      <c r="PAR246" s="21"/>
      <c r="PAU246" s="21"/>
      <c r="PAV246" s="15"/>
      <c r="PAW246" s="15"/>
      <c r="PAX246" s="15"/>
      <c r="PAY246" s="15"/>
      <c r="PAZ246" s="15"/>
      <c r="PBA246" s="15"/>
      <c r="PBB246" s="15"/>
      <c r="PBC246" s="15"/>
      <c r="PBD246" s="15"/>
      <c r="PBE246" s="15"/>
      <c r="PBF246" s="10"/>
      <c r="PBG246" s="10"/>
      <c r="PBH246" s="21"/>
      <c r="PBI246" s="21"/>
      <c r="PBL246" s="21"/>
      <c r="PBM246" s="15"/>
      <c r="PBN246" s="15"/>
      <c r="PBO246" s="15"/>
      <c r="PBP246" s="15"/>
      <c r="PBQ246" s="15"/>
      <c r="PBR246" s="15"/>
      <c r="PBS246" s="15"/>
      <c r="PBT246" s="15"/>
      <c r="PBU246" s="15"/>
      <c r="PBV246" s="15"/>
      <c r="PBW246" s="10"/>
      <c r="PBX246" s="10"/>
      <c r="PBY246" s="21"/>
      <c r="PBZ246" s="21"/>
      <c r="PCC246" s="21"/>
      <c r="PCD246" s="15"/>
      <c r="PCE246" s="15"/>
      <c r="PCF246" s="15"/>
      <c r="PCG246" s="15"/>
      <c r="PCH246" s="15"/>
      <c r="PCI246" s="15"/>
      <c r="PCJ246" s="15"/>
      <c r="PCK246" s="15"/>
      <c r="PCL246" s="15"/>
      <c r="PCM246" s="15"/>
      <c r="PCN246" s="10"/>
      <c r="PCO246" s="10"/>
      <c r="PCP246" s="21"/>
      <c r="PCQ246" s="21"/>
      <c r="PCT246" s="21"/>
      <c r="PCU246" s="15"/>
      <c r="PCV246" s="15"/>
      <c r="PCW246" s="15"/>
      <c r="PCX246" s="15"/>
      <c r="PCY246" s="15"/>
      <c r="PCZ246" s="15"/>
      <c r="PDA246" s="15"/>
      <c r="PDB246" s="15"/>
      <c r="PDC246" s="15"/>
      <c r="PDD246" s="15"/>
      <c r="PDE246" s="10"/>
      <c r="PDF246" s="10"/>
      <c r="PDG246" s="21"/>
      <c r="PDH246" s="21"/>
      <c r="PDK246" s="21"/>
      <c r="PDL246" s="15"/>
      <c r="PDM246" s="15"/>
      <c r="PDN246" s="15"/>
      <c r="PDO246" s="15"/>
      <c r="PDP246" s="15"/>
      <c r="PDQ246" s="15"/>
      <c r="PDR246" s="15"/>
      <c r="PDS246" s="15"/>
      <c r="PDT246" s="15"/>
      <c r="PDU246" s="15"/>
      <c r="PDV246" s="10"/>
      <c r="PDW246" s="10"/>
      <c r="PDX246" s="21"/>
      <c r="PDY246" s="21"/>
      <c r="PEB246" s="21"/>
      <c r="PEC246" s="15"/>
      <c r="PED246" s="15"/>
      <c r="PEE246" s="15"/>
      <c r="PEF246" s="15"/>
      <c r="PEG246" s="15"/>
      <c r="PEH246" s="15"/>
      <c r="PEI246" s="15"/>
      <c r="PEJ246" s="15"/>
      <c r="PEK246" s="15"/>
      <c r="PEL246" s="15"/>
      <c r="PEM246" s="10"/>
      <c r="PEN246" s="10"/>
      <c r="PEO246" s="21"/>
      <c r="PEP246" s="21"/>
      <c r="PES246" s="21"/>
      <c r="PET246" s="15"/>
      <c r="PEU246" s="15"/>
      <c r="PEV246" s="15"/>
      <c r="PEW246" s="15"/>
      <c r="PEX246" s="15"/>
      <c r="PEY246" s="15"/>
      <c r="PEZ246" s="15"/>
      <c r="PFA246" s="15"/>
      <c r="PFB246" s="15"/>
      <c r="PFC246" s="15"/>
      <c r="PFD246" s="10"/>
      <c r="PFE246" s="10"/>
      <c r="PFF246" s="21"/>
      <c r="PFG246" s="21"/>
      <c r="PFJ246" s="21"/>
      <c r="PFK246" s="15"/>
      <c r="PFL246" s="15"/>
      <c r="PFM246" s="15"/>
      <c r="PFN246" s="15"/>
      <c r="PFO246" s="15"/>
      <c r="PFP246" s="15"/>
      <c r="PFQ246" s="15"/>
      <c r="PFR246" s="15"/>
      <c r="PFS246" s="15"/>
      <c r="PFT246" s="15"/>
      <c r="PFU246" s="10"/>
      <c r="PFV246" s="10"/>
      <c r="PFW246" s="21"/>
      <c r="PFX246" s="21"/>
      <c r="PGA246" s="21"/>
      <c r="PGB246" s="15"/>
      <c r="PGC246" s="15"/>
      <c r="PGD246" s="15"/>
      <c r="PGE246" s="15"/>
      <c r="PGF246" s="15"/>
      <c r="PGG246" s="15"/>
      <c r="PGH246" s="15"/>
      <c r="PGI246" s="15"/>
      <c r="PGJ246" s="15"/>
      <c r="PGK246" s="15"/>
      <c r="PGL246" s="10"/>
      <c r="PGM246" s="10"/>
      <c r="PGN246" s="21"/>
      <c r="PGO246" s="21"/>
      <c r="PGR246" s="21"/>
      <c r="PGS246" s="15"/>
      <c r="PGT246" s="15"/>
      <c r="PGU246" s="15"/>
      <c r="PGV246" s="15"/>
      <c r="PGW246" s="15"/>
      <c r="PGX246" s="15"/>
      <c r="PGY246" s="15"/>
      <c r="PGZ246" s="15"/>
      <c r="PHA246" s="15"/>
      <c r="PHB246" s="15"/>
      <c r="PHC246" s="10"/>
      <c r="PHD246" s="10"/>
      <c r="PHE246" s="21"/>
      <c r="PHF246" s="21"/>
      <c r="PHI246" s="21"/>
      <c r="PHJ246" s="15"/>
      <c r="PHK246" s="15"/>
      <c r="PHL246" s="15"/>
      <c r="PHM246" s="15"/>
      <c r="PHN246" s="15"/>
      <c r="PHO246" s="15"/>
      <c r="PHP246" s="15"/>
      <c r="PHQ246" s="15"/>
      <c r="PHR246" s="15"/>
      <c r="PHS246" s="15"/>
      <c r="PHT246" s="10"/>
      <c r="PHU246" s="10"/>
      <c r="PHV246" s="21"/>
      <c r="PHW246" s="21"/>
      <c r="PHZ246" s="21"/>
      <c r="PIA246" s="15"/>
      <c r="PIB246" s="15"/>
      <c r="PIC246" s="15"/>
      <c r="PID246" s="15"/>
      <c r="PIE246" s="15"/>
      <c r="PIF246" s="15"/>
      <c r="PIG246" s="15"/>
      <c r="PIH246" s="15"/>
      <c r="PII246" s="15"/>
      <c r="PIJ246" s="15"/>
      <c r="PIK246" s="10"/>
      <c r="PIL246" s="10"/>
      <c r="PIM246" s="21"/>
      <c r="PIN246" s="21"/>
      <c r="PIQ246" s="21"/>
      <c r="PIR246" s="15"/>
      <c r="PIS246" s="15"/>
      <c r="PIT246" s="15"/>
      <c r="PIU246" s="15"/>
      <c r="PIV246" s="15"/>
      <c r="PIW246" s="15"/>
      <c r="PIX246" s="15"/>
      <c r="PIY246" s="15"/>
      <c r="PIZ246" s="15"/>
      <c r="PJA246" s="15"/>
      <c r="PJB246" s="10"/>
      <c r="PJC246" s="10"/>
      <c r="PJD246" s="21"/>
      <c r="PJE246" s="21"/>
      <c r="PJH246" s="21"/>
      <c r="PJI246" s="15"/>
      <c r="PJJ246" s="15"/>
      <c r="PJK246" s="15"/>
      <c r="PJL246" s="15"/>
      <c r="PJM246" s="15"/>
      <c r="PJN246" s="15"/>
      <c r="PJO246" s="15"/>
      <c r="PJP246" s="15"/>
      <c r="PJQ246" s="15"/>
      <c r="PJR246" s="15"/>
      <c r="PJS246" s="10"/>
      <c r="PJT246" s="10"/>
      <c r="PJU246" s="21"/>
      <c r="PJV246" s="21"/>
      <c r="PJY246" s="21"/>
      <c r="PJZ246" s="15"/>
      <c r="PKA246" s="15"/>
      <c r="PKB246" s="15"/>
      <c r="PKC246" s="15"/>
      <c r="PKD246" s="15"/>
      <c r="PKE246" s="15"/>
      <c r="PKF246" s="15"/>
      <c r="PKG246" s="15"/>
      <c r="PKH246" s="15"/>
      <c r="PKI246" s="15"/>
      <c r="PKJ246" s="10"/>
      <c r="PKK246" s="10"/>
      <c r="PKL246" s="21"/>
      <c r="PKM246" s="21"/>
      <c r="PKP246" s="21"/>
      <c r="PKQ246" s="15"/>
      <c r="PKR246" s="15"/>
      <c r="PKS246" s="15"/>
      <c r="PKT246" s="15"/>
      <c r="PKU246" s="15"/>
      <c r="PKV246" s="15"/>
      <c r="PKW246" s="15"/>
      <c r="PKX246" s="15"/>
      <c r="PKY246" s="15"/>
      <c r="PKZ246" s="15"/>
      <c r="PLA246" s="10"/>
      <c r="PLB246" s="10"/>
      <c r="PLC246" s="21"/>
      <c r="PLD246" s="21"/>
      <c r="PLG246" s="21"/>
      <c r="PLH246" s="15"/>
      <c r="PLI246" s="15"/>
      <c r="PLJ246" s="15"/>
      <c r="PLK246" s="15"/>
      <c r="PLL246" s="15"/>
      <c r="PLM246" s="15"/>
      <c r="PLN246" s="15"/>
      <c r="PLO246" s="15"/>
      <c r="PLP246" s="15"/>
      <c r="PLQ246" s="15"/>
      <c r="PLR246" s="10"/>
      <c r="PLS246" s="10"/>
      <c r="PLT246" s="21"/>
      <c r="PLU246" s="21"/>
      <c r="PLX246" s="21"/>
      <c r="PLY246" s="15"/>
      <c r="PLZ246" s="15"/>
      <c r="PMA246" s="15"/>
      <c r="PMB246" s="15"/>
      <c r="PMC246" s="15"/>
      <c r="PMD246" s="15"/>
      <c r="PME246" s="15"/>
      <c r="PMF246" s="15"/>
      <c r="PMG246" s="15"/>
      <c r="PMH246" s="15"/>
      <c r="PMI246" s="10"/>
      <c r="PMJ246" s="10"/>
      <c r="PMK246" s="21"/>
      <c r="PML246" s="21"/>
      <c r="PMO246" s="21"/>
      <c r="PMP246" s="15"/>
      <c r="PMQ246" s="15"/>
      <c r="PMR246" s="15"/>
      <c r="PMS246" s="15"/>
      <c r="PMT246" s="15"/>
      <c r="PMU246" s="15"/>
      <c r="PMV246" s="15"/>
      <c r="PMW246" s="15"/>
      <c r="PMX246" s="15"/>
      <c r="PMY246" s="15"/>
      <c r="PMZ246" s="10"/>
      <c r="PNA246" s="10"/>
      <c r="PNB246" s="21"/>
      <c r="PNC246" s="21"/>
      <c r="PNF246" s="21"/>
      <c r="PNG246" s="15"/>
      <c r="PNH246" s="15"/>
      <c r="PNI246" s="15"/>
      <c r="PNJ246" s="15"/>
      <c r="PNK246" s="15"/>
      <c r="PNL246" s="15"/>
      <c r="PNM246" s="15"/>
      <c r="PNN246" s="15"/>
      <c r="PNO246" s="15"/>
      <c r="PNP246" s="15"/>
      <c r="PNQ246" s="10"/>
      <c r="PNR246" s="10"/>
      <c r="PNS246" s="21"/>
      <c r="PNT246" s="21"/>
      <c r="PNW246" s="21"/>
      <c r="PNX246" s="15"/>
      <c r="PNY246" s="15"/>
      <c r="PNZ246" s="15"/>
      <c r="POA246" s="15"/>
      <c r="POB246" s="15"/>
      <c r="POC246" s="15"/>
      <c r="POD246" s="15"/>
      <c r="POE246" s="15"/>
      <c r="POF246" s="15"/>
      <c r="POG246" s="15"/>
      <c r="POH246" s="10"/>
      <c r="POI246" s="10"/>
      <c r="POJ246" s="21"/>
      <c r="POK246" s="21"/>
      <c r="PON246" s="21"/>
      <c r="POO246" s="15"/>
      <c r="POP246" s="15"/>
      <c r="POQ246" s="15"/>
      <c r="POR246" s="15"/>
      <c r="POS246" s="15"/>
      <c r="POT246" s="15"/>
      <c r="POU246" s="15"/>
      <c r="POV246" s="15"/>
      <c r="POW246" s="15"/>
      <c r="POX246" s="15"/>
      <c r="POY246" s="10"/>
      <c r="POZ246" s="10"/>
      <c r="PPA246" s="21"/>
      <c r="PPB246" s="21"/>
      <c r="PPE246" s="21"/>
      <c r="PPF246" s="15"/>
      <c r="PPG246" s="15"/>
      <c r="PPH246" s="15"/>
      <c r="PPI246" s="15"/>
      <c r="PPJ246" s="15"/>
      <c r="PPK246" s="15"/>
      <c r="PPL246" s="15"/>
      <c r="PPM246" s="15"/>
      <c r="PPN246" s="15"/>
      <c r="PPO246" s="15"/>
      <c r="PPP246" s="10"/>
      <c r="PPQ246" s="10"/>
      <c r="PPR246" s="21"/>
      <c r="PPS246" s="21"/>
      <c r="PPV246" s="21"/>
      <c r="PPW246" s="15"/>
      <c r="PPX246" s="15"/>
      <c r="PPY246" s="15"/>
      <c r="PPZ246" s="15"/>
      <c r="PQA246" s="15"/>
      <c r="PQB246" s="15"/>
      <c r="PQC246" s="15"/>
      <c r="PQD246" s="15"/>
      <c r="PQE246" s="15"/>
      <c r="PQF246" s="15"/>
      <c r="PQG246" s="10"/>
      <c r="PQH246" s="10"/>
      <c r="PQI246" s="21"/>
      <c r="PQJ246" s="21"/>
      <c r="PQM246" s="21"/>
      <c r="PQN246" s="15"/>
      <c r="PQO246" s="15"/>
      <c r="PQP246" s="15"/>
      <c r="PQQ246" s="15"/>
      <c r="PQR246" s="15"/>
      <c r="PQS246" s="15"/>
      <c r="PQT246" s="15"/>
      <c r="PQU246" s="15"/>
      <c r="PQV246" s="15"/>
      <c r="PQW246" s="15"/>
      <c r="PQX246" s="10"/>
      <c r="PQY246" s="10"/>
      <c r="PQZ246" s="21"/>
      <c r="PRA246" s="21"/>
      <c r="PRD246" s="21"/>
      <c r="PRE246" s="15"/>
      <c r="PRF246" s="15"/>
      <c r="PRG246" s="15"/>
      <c r="PRH246" s="15"/>
      <c r="PRI246" s="15"/>
      <c r="PRJ246" s="15"/>
      <c r="PRK246" s="15"/>
      <c r="PRL246" s="15"/>
      <c r="PRM246" s="15"/>
      <c r="PRN246" s="15"/>
      <c r="PRO246" s="10"/>
      <c r="PRP246" s="10"/>
      <c r="PRQ246" s="21"/>
      <c r="PRR246" s="21"/>
      <c r="PRU246" s="21"/>
      <c r="PRV246" s="15"/>
      <c r="PRW246" s="15"/>
      <c r="PRX246" s="15"/>
      <c r="PRY246" s="15"/>
      <c r="PRZ246" s="15"/>
      <c r="PSA246" s="15"/>
      <c r="PSB246" s="15"/>
      <c r="PSC246" s="15"/>
      <c r="PSD246" s="15"/>
      <c r="PSE246" s="15"/>
      <c r="PSF246" s="10"/>
      <c r="PSG246" s="10"/>
      <c r="PSH246" s="21"/>
      <c r="PSI246" s="21"/>
      <c r="PSL246" s="21"/>
      <c r="PSM246" s="15"/>
      <c r="PSN246" s="15"/>
      <c r="PSO246" s="15"/>
      <c r="PSP246" s="15"/>
      <c r="PSQ246" s="15"/>
      <c r="PSR246" s="15"/>
      <c r="PSS246" s="15"/>
      <c r="PST246" s="15"/>
      <c r="PSU246" s="15"/>
      <c r="PSV246" s="15"/>
      <c r="PSW246" s="10"/>
      <c r="PSX246" s="10"/>
      <c r="PSY246" s="21"/>
      <c r="PSZ246" s="21"/>
      <c r="PTC246" s="21"/>
      <c r="PTD246" s="15"/>
      <c r="PTE246" s="15"/>
      <c r="PTF246" s="15"/>
      <c r="PTG246" s="15"/>
      <c r="PTH246" s="15"/>
      <c r="PTI246" s="15"/>
      <c r="PTJ246" s="15"/>
      <c r="PTK246" s="15"/>
      <c r="PTL246" s="15"/>
      <c r="PTM246" s="15"/>
      <c r="PTN246" s="10"/>
      <c r="PTO246" s="10"/>
      <c r="PTP246" s="21"/>
      <c r="PTQ246" s="21"/>
      <c r="PTT246" s="21"/>
      <c r="PTU246" s="15"/>
      <c r="PTV246" s="15"/>
      <c r="PTW246" s="15"/>
      <c r="PTX246" s="15"/>
      <c r="PTY246" s="15"/>
      <c r="PTZ246" s="15"/>
      <c r="PUA246" s="15"/>
      <c r="PUB246" s="15"/>
      <c r="PUC246" s="15"/>
      <c r="PUD246" s="15"/>
      <c r="PUE246" s="10"/>
      <c r="PUF246" s="10"/>
      <c r="PUG246" s="21"/>
      <c r="PUH246" s="21"/>
      <c r="PUK246" s="21"/>
      <c r="PUL246" s="15"/>
      <c r="PUM246" s="15"/>
      <c r="PUN246" s="15"/>
      <c r="PUO246" s="15"/>
      <c r="PUP246" s="15"/>
      <c r="PUQ246" s="15"/>
      <c r="PUR246" s="15"/>
      <c r="PUS246" s="15"/>
      <c r="PUT246" s="15"/>
      <c r="PUU246" s="15"/>
      <c r="PUV246" s="10"/>
      <c r="PUW246" s="10"/>
      <c r="PUX246" s="21"/>
      <c r="PUY246" s="21"/>
      <c r="PVB246" s="21"/>
      <c r="PVC246" s="15"/>
      <c r="PVD246" s="15"/>
      <c r="PVE246" s="15"/>
      <c r="PVF246" s="15"/>
      <c r="PVG246" s="15"/>
      <c r="PVH246" s="15"/>
      <c r="PVI246" s="15"/>
      <c r="PVJ246" s="15"/>
      <c r="PVK246" s="15"/>
      <c r="PVL246" s="15"/>
      <c r="PVM246" s="10"/>
      <c r="PVN246" s="10"/>
      <c r="PVO246" s="21"/>
      <c r="PVP246" s="21"/>
      <c r="PVS246" s="21"/>
      <c r="PVT246" s="15"/>
      <c r="PVU246" s="15"/>
      <c r="PVV246" s="15"/>
      <c r="PVW246" s="15"/>
      <c r="PVX246" s="15"/>
      <c r="PVY246" s="15"/>
      <c r="PVZ246" s="15"/>
      <c r="PWA246" s="15"/>
      <c r="PWB246" s="15"/>
      <c r="PWC246" s="15"/>
      <c r="PWD246" s="10"/>
      <c r="PWE246" s="10"/>
      <c r="PWF246" s="21"/>
      <c r="PWG246" s="21"/>
      <c r="PWJ246" s="21"/>
      <c r="PWK246" s="15"/>
      <c r="PWL246" s="15"/>
      <c r="PWM246" s="15"/>
      <c r="PWN246" s="15"/>
      <c r="PWO246" s="15"/>
      <c r="PWP246" s="15"/>
      <c r="PWQ246" s="15"/>
      <c r="PWR246" s="15"/>
      <c r="PWS246" s="15"/>
      <c r="PWT246" s="15"/>
      <c r="PWU246" s="10"/>
      <c r="PWV246" s="10"/>
      <c r="PWW246" s="21"/>
      <c r="PWX246" s="21"/>
      <c r="PXA246" s="21"/>
      <c r="PXB246" s="15"/>
      <c r="PXC246" s="15"/>
      <c r="PXD246" s="15"/>
      <c r="PXE246" s="15"/>
      <c r="PXF246" s="15"/>
      <c r="PXG246" s="15"/>
      <c r="PXH246" s="15"/>
      <c r="PXI246" s="15"/>
      <c r="PXJ246" s="15"/>
      <c r="PXK246" s="15"/>
      <c r="PXL246" s="10"/>
      <c r="PXM246" s="10"/>
      <c r="PXN246" s="21"/>
      <c r="PXO246" s="21"/>
      <c r="PXR246" s="21"/>
      <c r="PXS246" s="15"/>
      <c r="PXT246" s="15"/>
      <c r="PXU246" s="15"/>
      <c r="PXV246" s="15"/>
      <c r="PXW246" s="15"/>
      <c r="PXX246" s="15"/>
      <c r="PXY246" s="15"/>
      <c r="PXZ246" s="15"/>
      <c r="PYA246" s="15"/>
      <c r="PYB246" s="15"/>
      <c r="PYC246" s="10"/>
      <c r="PYD246" s="10"/>
      <c r="PYE246" s="21"/>
      <c r="PYF246" s="21"/>
      <c r="PYI246" s="21"/>
      <c r="PYJ246" s="15"/>
      <c r="PYK246" s="15"/>
      <c r="PYL246" s="15"/>
      <c r="PYM246" s="15"/>
      <c r="PYN246" s="15"/>
      <c r="PYO246" s="15"/>
      <c r="PYP246" s="15"/>
      <c r="PYQ246" s="15"/>
      <c r="PYR246" s="15"/>
      <c r="PYS246" s="15"/>
      <c r="PYT246" s="10"/>
      <c r="PYU246" s="10"/>
      <c r="PYV246" s="21"/>
      <c r="PYW246" s="21"/>
      <c r="PYZ246" s="21"/>
      <c r="PZA246" s="15"/>
      <c r="PZB246" s="15"/>
      <c r="PZC246" s="15"/>
      <c r="PZD246" s="15"/>
      <c r="PZE246" s="15"/>
      <c r="PZF246" s="15"/>
      <c r="PZG246" s="15"/>
      <c r="PZH246" s="15"/>
      <c r="PZI246" s="15"/>
      <c r="PZJ246" s="15"/>
      <c r="PZK246" s="10"/>
      <c r="PZL246" s="10"/>
      <c r="PZM246" s="21"/>
      <c r="PZN246" s="21"/>
      <c r="PZQ246" s="21"/>
      <c r="PZR246" s="15"/>
      <c r="PZS246" s="15"/>
      <c r="PZT246" s="15"/>
      <c r="PZU246" s="15"/>
      <c r="PZV246" s="15"/>
      <c r="PZW246" s="15"/>
      <c r="PZX246" s="15"/>
      <c r="PZY246" s="15"/>
      <c r="PZZ246" s="15"/>
      <c r="QAA246" s="15"/>
      <c r="QAB246" s="10"/>
      <c r="QAC246" s="10"/>
      <c r="QAD246" s="21"/>
      <c r="QAE246" s="21"/>
      <c r="QAH246" s="21"/>
      <c r="QAI246" s="15"/>
      <c r="QAJ246" s="15"/>
      <c r="QAK246" s="15"/>
      <c r="QAL246" s="15"/>
      <c r="QAM246" s="15"/>
      <c r="QAN246" s="15"/>
      <c r="QAO246" s="15"/>
      <c r="QAP246" s="15"/>
      <c r="QAQ246" s="15"/>
      <c r="QAR246" s="15"/>
      <c r="QAS246" s="10"/>
      <c r="QAT246" s="10"/>
      <c r="QAU246" s="21"/>
      <c r="QAV246" s="21"/>
      <c r="QAY246" s="21"/>
      <c r="QAZ246" s="15"/>
      <c r="QBA246" s="15"/>
      <c r="QBB246" s="15"/>
      <c r="QBC246" s="15"/>
      <c r="QBD246" s="15"/>
      <c r="QBE246" s="15"/>
      <c r="QBF246" s="15"/>
      <c r="QBG246" s="15"/>
      <c r="QBH246" s="15"/>
      <c r="QBI246" s="15"/>
      <c r="QBJ246" s="10"/>
      <c r="QBK246" s="10"/>
      <c r="QBL246" s="21"/>
      <c r="QBM246" s="21"/>
      <c r="QBP246" s="21"/>
      <c r="QBQ246" s="15"/>
      <c r="QBR246" s="15"/>
      <c r="QBS246" s="15"/>
      <c r="QBT246" s="15"/>
      <c r="QBU246" s="15"/>
      <c r="QBV246" s="15"/>
      <c r="QBW246" s="15"/>
      <c r="QBX246" s="15"/>
      <c r="QBY246" s="15"/>
      <c r="QBZ246" s="15"/>
      <c r="QCA246" s="10"/>
      <c r="QCB246" s="10"/>
      <c r="QCC246" s="21"/>
      <c r="QCD246" s="21"/>
      <c r="QCG246" s="21"/>
      <c r="QCH246" s="15"/>
      <c r="QCI246" s="15"/>
      <c r="QCJ246" s="15"/>
      <c r="QCK246" s="15"/>
      <c r="QCL246" s="15"/>
      <c r="QCM246" s="15"/>
      <c r="QCN246" s="15"/>
      <c r="QCO246" s="15"/>
      <c r="QCP246" s="15"/>
      <c r="QCQ246" s="15"/>
      <c r="QCR246" s="10"/>
      <c r="QCS246" s="10"/>
      <c r="QCT246" s="21"/>
      <c r="QCU246" s="21"/>
      <c r="QCX246" s="21"/>
      <c r="QCY246" s="15"/>
      <c r="QCZ246" s="15"/>
      <c r="QDA246" s="15"/>
      <c r="QDB246" s="15"/>
      <c r="QDC246" s="15"/>
      <c r="QDD246" s="15"/>
      <c r="QDE246" s="15"/>
      <c r="QDF246" s="15"/>
      <c r="QDG246" s="15"/>
      <c r="QDH246" s="15"/>
      <c r="QDI246" s="10"/>
      <c r="QDJ246" s="10"/>
      <c r="QDK246" s="21"/>
      <c r="QDL246" s="21"/>
      <c r="QDO246" s="21"/>
      <c r="QDP246" s="15"/>
      <c r="QDQ246" s="15"/>
      <c r="QDR246" s="15"/>
      <c r="QDS246" s="15"/>
      <c r="QDT246" s="15"/>
      <c r="QDU246" s="15"/>
      <c r="QDV246" s="15"/>
      <c r="QDW246" s="15"/>
      <c r="QDX246" s="15"/>
      <c r="QDY246" s="15"/>
      <c r="QDZ246" s="10"/>
      <c r="QEA246" s="10"/>
      <c r="QEB246" s="21"/>
      <c r="QEC246" s="21"/>
      <c r="QEF246" s="21"/>
      <c r="QEG246" s="15"/>
      <c r="QEH246" s="15"/>
      <c r="QEI246" s="15"/>
      <c r="QEJ246" s="15"/>
      <c r="QEK246" s="15"/>
      <c r="QEL246" s="15"/>
      <c r="QEM246" s="15"/>
      <c r="QEN246" s="15"/>
      <c r="QEO246" s="15"/>
      <c r="QEP246" s="15"/>
      <c r="QEQ246" s="10"/>
      <c r="QER246" s="10"/>
      <c r="QES246" s="21"/>
      <c r="QET246" s="21"/>
      <c r="QEW246" s="21"/>
      <c r="QEX246" s="15"/>
      <c r="QEY246" s="15"/>
      <c r="QEZ246" s="15"/>
      <c r="QFA246" s="15"/>
      <c r="QFB246" s="15"/>
      <c r="QFC246" s="15"/>
      <c r="QFD246" s="15"/>
      <c r="QFE246" s="15"/>
      <c r="QFF246" s="15"/>
      <c r="QFG246" s="15"/>
      <c r="QFH246" s="10"/>
      <c r="QFI246" s="10"/>
      <c r="QFJ246" s="21"/>
      <c r="QFK246" s="21"/>
      <c r="QFN246" s="21"/>
      <c r="QFO246" s="15"/>
      <c r="QFP246" s="15"/>
      <c r="QFQ246" s="15"/>
      <c r="QFR246" s="15"/>
      <c r="QFS246" s="15"/>
      <c r="QFT246" s="15"/>
      <c r="QFU246" s="15"/>
      <c r="QFV246" s="15"/>
      <c r="QFW246" s="15"/>
      <c r="QFX246" s="15"/>
      <c r="QFY246" s="10"/>
      <c r="QFZ246" s="10"/>
      <c r="QGA246" s="21"/>
      <c r="QGB246" s="21"/>
      <c r="QGE246" s="21"/>
      <c r="QGF246" s="15"/>
      <c r="QGG246" s="15"/>
      <c r="QGH246" s="15"/>
      <c r="QGI246" s="15"/>
      <c r="QGJ246" s="15"/>
      <c r="QGK246" s="15"/>
      <c r="QGL246" s="15"/>
      <c r="QGM246" s="15"/>
      <c r="QGN246" s="15"/>
      <c r="QGO246" s="15"/>
      <c r="QGP246" s="10"/>
      <c r="QGQ246" s="10"/>
      <c r="QGR246" s="21"/>
      <c r="QGS246" s="21"/>
      <c r="QGV246" s="21"/>
      <c r="QGW246" s="15"/>
      <c r="QGX246" s="15"/>
      <c r="QGY246" s="15"/>
      <c r="QGZ246" s="15"/>
      <c r="QHA246" s="15"/>
      <c r="QHB246" s="15"/>
      <c r="QHC246" s="15"/>
      <c r="QHD246" s="15"/>
      <c r="QHE246" s="15"/>
      <c r="QHF246" s="15"/>
      <c r="QHG246" s="10"/>
      <c r="QHH246" s="10"/>
      <c r="QHI246" s="21"/>
      <c r="QHJ246" s="21"/>
      <c r="QHM246" s="21"/>
      <c r="QHN246" s="15"/>
      <c r="QHO246" s="15"/>
      <c r="QHP246" s="15"/>
      <c r="QHQ246" s="15"/>
      <c r="QHR246" s="15"/>
      <c r="QHS246" s="15"/>
      <c r="QHT246" s="15"/>
      <c r="QHU246" s="15"/>
      <c r="QHV246" s="15"/>
      <c r="QHW246" s="15"/>
      <c r="QHX246" s="10"/>
      <c r="QHY246" s="10"/>
      <c r="QHZ246" s="21"/>
      <c r="QIA246" s="21"/>
      <c r="QID246" s="21"/>
      <c r="QIE246" s="15"/>
      <c r="QIF246" s="15"/>
      <c r="QIG246" s="15"/>
      <c r="QIH246" s="15"/>
      <c r="QII246" s="15"/>
      <c r="QIJ246" s="15"/>
      <c r="QIK246" s="15"/>
      <c r="QIL246" s="15"/>
      <c r="QIM246" s="15"/>
      <c r="QIN246" s="15"/>
      <c r="QIO246" s="10"/>
      <c r="QIP246" s="10"/>
      <c r="QIQ246" s="21"/>
      <c r="QIR246" s="21"/>
      <c r="QIU246" s="21"/>
      <c r="QIV246" s="15"/>
      <c r="QIW246" s="15"/>
      <c r="QIX246" s="15"/>
      <c r="QIY246" s="15"/>
      <c r="QIZ246" s="15"/>
      <c r="QJA246" s="15"/>
      <c r="QJB246" s="15"/>
      <c r="QJC246" s="15"/>
      <c r="QJD246" s="15"/>
      <c r="QJE246" s="15"/>
      <c r="QJF246" s="10"/>
      <c r="QJG246" s="10"/>
      <c r="QJH246" s="21"/>
      <c r="QJI246" s="21"/>
      <c r="QJL246" s="21"/>
      <c r="QJM246" s="15"/>
      <c r="QJN246" s="15"/>
      <c r="QJO246" s="15"/>
      <c r="QJP246" s="15"/>
      <c r="QJQ246" s="15"/>
      <c r="QJR246" s="15"/>
      <c r="QJS246" s="15"/>
      <c r="QJT246" s="15"/>
      <c r="QJU246" s="15"/>
      <c r="QJV246" s="15"/>
      <c r="QJW246" s="10"/>
      <c r="QJX246" s="10"/>
      <c r="QJY246" s="21"/>
      <c r="QJZ246" s="21"/>
      <c r="QKC246" s="21"/>
      <c r="QKD246" s="15"/>
      <c r="QKE246" s="15"/>
      <c r="QKF246" s="15"/>
      <c r="QKG246" s="15"/>
      <c r="QKH246" s="15"/>
      <c r="QKI246" s="15"/>
      <c r="QKJ246" s="15"/>
      <c r="QKK246" s="15"/>
      <c r="QKL246" s="15"/>
      <c r="QKM246" s="15"/>
      <c r="QKN246" s="10"/>
      <c r="QKO246" s="10"/>
      <c r="QKP246" s="21"/>
      <c r="QKQ246" s="21"/>
      <c r="QKT246" s="21"/>
      <c r="QKU246" s="15"/>
      <c r="QKV246" s="15"/>
      <c r="QKW246" s="15"/>
      <c r="QKX246" s="15"/>
      <c r="QKY246" s="15"/>
      <c r="QKZ246" s="15"/>
      <c r="QLA246" s="15"/>
      <c r="QLB246" s="15"/>
      <c r="QLC246" s="15"/>
      <c r="QLD246" s="15"/>
      <c r="QLE246" s="10"/>
      <c r="QLF246" s="10"/>
      <c r="QLG246" s="21"/>
      <c r="QLH246" s="21"/>
      <c r="QLK246" s="21"/>
      <c r="QLL246" s="15"/>
      <c r="QLM246" s="15"/>
      <c r="QLN246" s="15"/>
      <c r="QLO246" s="15"/>
      <c r="QLP246" s="15"/>
      <c r="QLQ246" s="15"/>
      <c r="QLR246" s="15"/>
      <c r="QLS246" s="15"/>
      <c r="QLT246" s="15"/>
      <c r="QLU246" s="15"/>
      <c r="QLV246" s="10"/>
      <c r="QLW246" s="10"/>
      <c r="QLX246" s="21"/>
      <c r="QLY246" s="21"/>
      <c r="QMB246" s="21"/>
      <c r="QMC246" s="15"/>
      <c r="QMD246" s="15"/>
      <c r="QME246" s="15"/>
      <c r="QMF246" s="15"/>
      <c r="QMG246" s="15"/>
      <c r="QMH246" s="15"/>
      <c r="QMI246" s="15"/>
      <c r="QMJ246" s="15"/>
      <c r="QMK246" s="15"/>
      <c r="QML246" s="15"/>
      <c r="QMM246" s="10"/>
      <c r="QMN246" s="10"/>
      <c r="QMO246" s="21"/>
      <c r="QMP246" s="21"/>
      <c r="QMS246" s="21"/>
      <c r="QMT246" s="15"/>
      <c r="QMU246" s="15"/>
      <c r="QMV246" s="15"/>
      <c r="QMW246" s="15"/>
      <c r="QMX246" s="15"/>
      <c r="QMY246" s="15"/>
      <c r="QMZ246" s="15"/>
      <c r="QNA246" s="15"/>
      <c r="QNB246" s="15"/>
      <c r="QNC246" s="15"/>
      <c r="QND246" s="10"/>
      <c r="QNE246" s="10"/>
      <c r="QNF246" s="21"/>
      <c r="QNG246" s="21"/>
      <c r="QNJ246" s="21"/>
      <c r="QNK246" s="15"/>
      <c r="QNL246" s="15"/>
      <c r="QNM246" s="15"/>
      <c r="QNN246" s="15"/>
      <c r="QNO246" s="15"/>
      <c r="QNP246" s="15"/>
      <c r="QNQ246" s="15"/>
      <c r="QNR246" s="15"/>
      <c r="QNS246" s="15"/>
      <c r="QNT246" s="15"/>
      <c r="QNU246" s="10"/>
      <c r="QNV246" s="10"/>
      <c r="QNW246" s="21"/>
      <c r="QNX246" s="21"/>
      <c r="QOA246" s="21"/>
      <c r="QOB246" s="15"/>
      <c r="QOC246" s="15"/>
      <c r="QOD246" s="15"/>
      <c r="QOE246" s="15"/>
      <c r="QOF246" s="15"/>
      <c r="QOG246" s="15"/>
      <c r="QOH246" s="15"/>
      <c r="QOI246" s="15"/>
      <c r="QOJ246" s="15"/>
      <c r="QOK246" s="15"/>
      <c r="QOL246" s="10"/>
      <c r="QOM246" s="10"/>
      <c r="QON246" s="21"/>
      <c r="QOO246" s="21"/>
      <c r="QOR246" s="21"/>
      <c r="QOS246" s="15"/>
      <c r="QOT246" s="15"/>
      <c r="QOU246" s="15"/>
      <c r="QOV246" s="15"/>
      <c r="QOW246" s="15"/>
      <c r="QOX246" s="15"/>
      <c r="QOY246" s="15"/>
      <c r="QOZ246" s="15"/>
      <c r="QPA246" s="15"/>
      <c r="QPB246" s="15"/>
      <c r="QPC246" s="10"/>
      <c r="QPD246" s="10"/>
      <c r="QPE246" s="21"/>
      <c r="QPF246" s="21"/>
      <c r="QPI246" s="21"/>
      <c r="QPJ246" s="15"/>
      <c r="QPK246" s="15"/>
      <c r="QPL246" s="15"/>
      <c r="QPM246" s="15"/>
      <c r="QPN246" s="15"/>
      <c r="QPO246" s="15"/>
      <c r="QPP246" s="15"/>
      <c r="QPQ246" s="15"/>
      <c r="QPR246" s="15"/>
      <c r="QPS246" s="15"/>
      <c r="QPT246" s="10"/>
      <c r="QPU246" s="10"/>
      <c r="QPV246" s="21"/>
      <c r="QPW246" s="21"/>
      <c r="QPZ246" s="21"/>
      <c r="QQA246" s="15"/>
      <c r="QQB246" s="15"/>
      <c r="QQC246" s="15"/>
      <c r="QQD246" s="15"/>
      <c r="QQE246" s="15"/>
      <c r="QQF246" s="15"/>
      <c r="QQG246" s="15"/>
      <c r="QQH246" s="15"/>
      <c r="QQI246" s="15"/>
      <c r="QQJ246" s="15"/>
      <c r="QQK246" s="10"/>
      <c r="QQL246" s="10"/>
      <c r="QQM246" s="21"/>
      <c r="QQN246" s="21"/>
      <c r="QQQ246" s="21"/>
      <c r="QQR246" s="15"/>
      <c r="QQS246" s="15"/>
      <c r="QQT246" s="15"/>
      <c r="QQU246" s="15"/>
      <c r="QQV246" s="15"/>
      <c r="QQW246" s="15"/>
      <c r="QQX246" s="15"/>
      <c r="QQY246" s="15"/>
      <c r="QQZ246" s="15"/>
      <c r="QRA246" s="15"/>
      <c r="QRB246" s="10"/>
      <c r="QRC246" s="10"/>
      <c r="QRD246" s="21"/>
      <c r="QRE246" s="21"/>
      <c r="QRH246" s="21"/>
      <c r="QRI246" s="15"/>
      <c r="QRJ246" s="15"/>
      <c r="QRK246" s="15"/>
      <c r="QRL246" s="15"/>
      <c r="QRM246" s="15"/>
      <c r="QRN246" s="15"/>
      <c r="QRO246" s="15"/>
      <c r="QRP246" s="15"/>
      <c r="QRQ246" s="15"/>
      <c r="QRR246" s="15"/>
      <c r="QRS246" s="10"/>
      <c r="QRT246" s="10"/>
      <c r="QRU246" s="21"/>
      <c r="QRV246" s="21"/>
      <c r="QRY246" s="21"/>
      <c r="QRZ246" s="15"/>
      <c r="QSA246" s="15"/>
      <c r="QSB246" s="15"/>
      <c r="QSC246" s="15"/>
      <c r="QSD246" s="15"/>
      <c r="QSE246" s="15"/>
      <c r="QSF246" s="15"/>
      <c r="QSG246" s="15"/>
      <c r="QSH246" s="15"/>
      <c r="QSI246" s="15"/>
      <c r="QSJ246" s="10"/>
      <c r="QSK246" s="10"/>
      <c r="QSL246" s="21"/>
      <c r="QSM246" s="21"/>
      <c r="QSP246" s="21"/>
      <c r="QSQ246" s="15"/>
      <c r="QSR246" s="15"/>
      <c r="QSS246" s="15"/>
      <c r="QST246" s="15"/>
      <c r="QSU246" s="15"/>
      <c r="QSV246" s="15"/>
      <c r="QSW246" s="15"/>
      <c r="QSX246" s="15"/>
      <c r="QSY246" s="15"/>
      <c r="QSZ246" s="15"/>
      <c r="QTA246" s="10"/>
      <c r="QTB246" s="10"/>
      <c r="QTC246" s="21"/>
      <c r="QTD246" s="21"/>
      <c r="QTG246" s="21"/>
      <c r="QTH246" s="15"/>
      <c r="QTI246" s="15"/>
      <c r="QTJ246" s="15"/>
      <c r="QTK246" s="15"/>
      <c r="QTL246" s="15"/>
      <c r="QTM246" s="15"/>
      <c r="QTN246" s="15"/>
      <c r="QTO246" s="15"/>
      <c r="QTP246" s="15"/>
      <c r="QTQ246" s="15"/>
      <c r="QTR246" s="10"/>
      <c r="QTS246" s="10"/>
      <c r="QTT246" s="21"/>
      <c r="QTU246" s="21"/>
      <c r="QTX246" s="21"/>
      <c r="QTY246" s="15"/>
      <c r="QTZ246" s="15"/>
      <c r="QUA246" s="15"/>
      <c r="QUB246" s="15"/>
      <c r="QUC246" s="15"/>
      <c r="QUD246" s="15"/>
      <c r="QUE246" s="15"/>
      <c r="QUF246" s="15"/>
      <c r="QUG246" s="15"/>
      <c r="QUH246" s="15"/>
      <c r="QUI246" s="10"/>
      <c r="QUJ246" s="10"/>
      <c r="QUK246" s="21"/>
      <c r="QUL246" s="21"/>
      <c r="QUO246" s="21"/>
      <c r="QUP246" s="15"/>
      <c r="QUQ246" s="15"/>
      <c r="QUR246" s="15"/>
      <c r="QUS246" s="15"/>
      <c r="QUT246" s="15"/>
      <c r="QUU246" s="15"/>
      <c r="QUV246" s="15"/>
      <c r="QUW246" s="15"/>
      <c r="QUX246" s="15"/>
      <c r="QUY246" s="15"/>
      <c r="QUZ246" s="10"/>
      <c r="QVA246" s="10"/>
      <c r="QVB246" s="21"/>
      <c r="QVC246" s="21"/>
      <c r="QVF246" s="21"/>
      <c r="QVG246" s="15"/>
      <c r="QVH246" s="15"/>
      <c r="QVI246" s="15"/>
      <c r="QVJ246" s="15"/>
      <c r="QVK246" s="15"/>
      <c r="QVL246" s="15"/>
      <c r="QVM246" s="15"/>
      <c r="QVN246" s="15"/>
      <c r="QVO246" s="15"/>
      <c r="QVP246" s="15"/>
      <c r="QVQ246" s="10"/>
      <c r="QVR246" s="10"/>
      <c r="QVS246" s="21"/>
      <c r="QVT246" s="21"/>
      <c r="QVW246" s="21"/>
      <c r="QVX246" s="15"/>
      <c r="QVY246" s="15"/>
      <c r="QVZ246" s="15"/>
      <c r="QWA246" s="15"/>
      <c r="QWB246" s="15"/>
      <c r="QWC246" s="15"/>
      <c r="QWD246" s="15"/>
      <c r="QWE246" s="15"/>
      <c r="QWF246" s="15"/>
      <c r="QWG246" s="15"/>
      <c r="QWH246" s="10"/>
      <c r="QWI246" s="10"/>
      <c r="QWJ246" s="21"/>
      <c r="QWK246" s="21"/>
      <c r="QWN246" s="21"/>
      <c r="QWO246" s="15"/>
      <c r="QWP246" s="15"/>
      <c r="QWQ246" s="15"/>
      <c r="QWR246" s="15"/>
      <c r="QWS246" s="15"/>
      <c r="QWT246" s="15"/>
      <c r="QWU246" s="15"/>
      <c r="QWV246" s="15"/>
      <c r="QWW246" s="15"/>
      <c r="QWX246" s="15"/>
      <c r="QWY246" s="10"/>
      <c r="QWZ246" s="10"/>
      <c r="QXA246" s="21"/>
      <c r="QXB246" s="21"/>
      <c r="QXE246" s="21"/>
      <c r="QXF246" s="15"/>
      <c r="QXG246" s="15"/>
      <c r="QXH246" s="15"/>
      <c r="QXI246" s="15"/>
      <c r="QXJ246" s="15"/>
      <c r="QXK246" s="15"/>
      <c r="QXL246" s="15"/>
      <c r="QXM246" s="15"/>
      <c r="QXN246" s="15"/>
      <c r="QXO246" s="15"/>
      <c r="QXP246" s="10"/>
      <c r="QXQ246" s="10"/>
      <c r="QXR246" s="21"/>
      <c r="QXS246" s="21"/>
      <c r="QXV246" s="21"/>
      <c r="QXW246" s="15"/>
      <c r="QXX246" s="15"/>
      <c r="QXY246" s="15"/>
      <c r="QXZ246" s="15"/>
      <c r="QYA246" s="15"/>
      <c r="QYB246" s="15"/>
      <c r="QYC246" s="15"/>
      <c r="QYD246" s="15"/>
      <c r="QYE246" s="15"/>
      <c r="QYF246" s="15"/>
      <c r="QYG246" s="10"/>
      <c r="QYH246" s="10"/>
      <c r="QYI246" s="21"/>
      <c r="QYJ246" s="21"/>
      <c r="QYM246" s="21"/>
      <c r="QYN246" s="15"/>
      <c r="QYO246" s="15"/>
      <c r="QYP246" s="15"/>
      <c r="QYQ246" s="15"/>
      <c r="QYR246" s="15"/>
      <c r="QYS246" s="15"/>
      <c r="QYT246" s="15"/>
      <c r="QYU246" s="15"/>
      <c r="QYV246" s="15"/>
      <c r="QYW246" s="15"/>
      <c r="QYX246" s="10"/>
      <c r="QYY246" s="10"/>
      <c r="QYZ246" s="21"/>
      <c r="QZA246" s="21"/>
      <c r="QZD246" s="21"/>
      <c r="QZE246" s="15"/>
      <c r="QZF246" s="15"/>
      <c r="QZG246" s="15"/>
      <c r="QZH246" s="15"/>
      <c r="QZI246" s="15"/>
      <c r="QZJ246" s="15"/>
      <c r="QZK246" s="15"/>
      <c r="QZL246" s="15"/>
      <c r="QZM246" s="15"/>
      <c r="QZN246" s="15"/>
      <c r="QZO246" s="10"/>
      <c r="QZP246" s="10"/>
      <c r="QZQ246" s="21"/>
      <c r="QZR246" s="21"/>
      <c r="QZU246" s="21"/>
      <c r="QZV246" s="15"/>
      <c r="QZW246" s="15"/>
      <c r="QZX246" s="15"/>
      <c r="QZY246" s="15"/>
      <c r="QZZ246" s="15"/>
      <c r="RAA246" s="15"/>
      <c r="RAB246" s="15"/>
      <c r="RAC246" s="15"/>
      <c r="RAD246" s="15"/>
      <c r="RAE246" s="15"/>
      <c r="RAF246" s="10"/>
      <c r="RAG246" s="10"/>
      <c r="RAH246" s="21"/>
      <c r="RAI246" s="21"/>
      <c r="RAL246" s="21"/>
      <c r="RAM246" s="15"/>
      <c r="RAN246" s="15"/>
      <c r="RAO246" s="15"/>
      <c r="RAP246" s="15"/>
      <c r="RAQ246" s="15"/>
      <c r="RAR246" s="15"/>
      <c r="RAS246" s="15"/>
      <c r="RAT246" s="15"/>
      <c r="RAU246" s="15"/>
      <c r="RAV246" s="15"/>
      <c r="RAW246" s="10"/>
      <c r="RAX246" s="10"/>
      <c r="RAY246" s="21"/>
      <c r="RAZ246" s="21"/>
      <c r="RBC246" s="21"/>
      <c r="RBD246" s="15"/>
      <c r="RBE246" s="15"/>
      <c r="RBF246" s="15"/>
      <c r="RBG246" s="15"/>
      <c r="RBH246" s="15"/>
      <c r="RBI246" s="15"/>
      <c r="RBJ246" s="15"/>
      <c r="RBK246" s="15"/>
      <c r="RBL246" s="15"/>
      <c r="RBM246" s="15"/>
      <c r="RBN246" s="10"/>
      <c r="RBO246" s="10"/>
      <c r="RBP246" s="21"/>
      <c r="RBQ246" s="21"/>
      <c r="RBT246" s="21"/>
      <c r="RBU246" s="15"/>
      <c r="RBV246" s="15"/>
      <c r="RBW246" s="15"/>
      <c r="RBX246" s="15"/>
      <c r="RBY246" s="15"/>
      <c r="RBZ246" s="15"/>
      <c r="RCA246" s="15"/>
      <c r="RCB246" s="15"/>
      <c r="RCC246" s="15"/>
      <c r="RCD246" s="15"/>
      <c r="RCE246" s="10"/>
      <c r="RCF246" s="10"/>
      <c r="RCG246" s="21"/>
      <c r="RCH246" s="21"/>
      <c r="RCK246" s="21"/>
      <c r="RCL246" s="15"/>
      <c r="RCM246" s="15"/>
      <c r="RCN246" s="15"/>
      <c r="RCO246" s="15"/>
      <c r="RCP246" s="15"/>
      <c r="RCQ246" s="15"/>
      <c r="RCR246" s="15"/>
      <c r="RCS246" s="15"/>
      <c r="RCT246" s="15"/>
      <c r="RCU246" s="15"/>
      <c r="RCV246" s="10"/>
      <c r="RCW246" s="10"/>
      <c r="RCX246" s="21"/>
      <c r="RCY246" s="21"/>
      <c r="RDB246" s="21"/>
      <c r="RDC246" s="15"/>
      <c r="RDD246" s="15"/>
      <c r="RDE246" s="15"/>
      <c r="RDF246" s="15"/>
      <c r="RDG246" s="15"/>
      <c r="RDH246" s="15"/>
      <c r="RDI246" s="15"/>
      <c r="RDJ246" s="15"/>
      <c r="RDK246" s="15"/>
      <c r="RDL246" s="15"/>
      <c r="RDM246" s="10"/>
      <c r="RDN246" s="10"/>
      <c r="RDO246" s="21"/>
      <c r="RDP246" s="21"/>
      <c r="RDS246" s="21"/>
      <c r="RDT246" s="15"/>
      <c r="RDU246" s="15"/>
      <c r="RDV246" s="15"/>
      <c r="RDW246" s="15"/>
      <c r="RDX246" s="15"/>
      <c r="RDY246" s="15"/>
      <c r="RDZ246" s="15"/>
      <c r="REA246" s="15"/>
      <c r="REB246" s="15"/>
      <c r="REC246" s="15"/>
      <c r="RED246" s="10"/>
      <c r="REE246" s="10"/>
      <c r="REF246" s="21"/>
      <c r="REG246" s="21"/>
      <c r="REJ246" s="21"/>
      <c r="REK246" s="15"/>
      <c r="REL246" s="15"/>
      <c r="REM246" s="15"/>
      <c r="REN246" s="15"/>
      <c r="REO246" s="15"/>
      <c r="REP246" s="15"/>
      <c r="REQ246" s="15"/>
      <c r="RER246" s="15"/>
      <c r="RES246" s="15"/>
      <c r="RET246" s="15"/>
      <c r="REU246" s="10"/>
      <c r="REV246" s="10"/>
      <c r="REW246" s="21"/>
      <c r="REX246" s="21"/>
      <c r="RFA246" s="21"/>
      <c r="RFB246" s="15"/>
      <c r="RFC246" s="15"/>
      <c r="RFD246" s="15"/>
      <c r="RFE246" s="15"/>
      <c r="RFF246" s="15"/>
      <c r="RFG246" s="15"/>
      <c r="RFH246" s="15"/>
      <c r="RFI246" s="15"/>
      <c r="RFJ246" s="15"/>
      <c r="RFK246" s="15"/>
      <c r="RFL246" s="10"/>
      <c r="RFM246" s="10"/>
      <c r="RFN246" s="21"/>
      <c r="RFO246" s="21"/>
      <c r="RFR246" s="21"/>
      <c r="RFS246" s="15"/>
      <c r="RFT246" s="15"/>
      <c r="RFU246" s="15"/>
      <c r="RFV246" s="15"/>
      <c r="RFW246" s="15"/>
      <c r="RFX246" s="15"/>
      <c r="RFY246" s="15"/>
      <c r="RFZ246" s="15"/>
      <c r="RGA246" s="15"/>
      <c r="RGB246" s="15"/>
      <c r="RGC246" s="10"/>
      <c r="RGD246" s="10"/>
      <c r="RGE246" s="21"/>
      <c r="RGF246" s="21"/>
      <c r="RGI246" s="21"/>
      <c r="RGJ246" s="15"/>
      <c r="RGK246" s="15"/>
      <c r="RGL246" s="15"/>
      <c r="RGM246" s="15"/>
      <c r="RGN246" s="15"/>
      <c r="RGO246" s="15"/>
      <c r="RGP246" s="15"/>
      <c r="RGQ246" s="15"/>
      <c r="RGR246" s="15"/>
      <c r="RGS246" s="15"/>
      <c r="RGT246" s="10"/>
      <c r="RGU246" s="10"/>
      <c r="RGV246" s="21"/>
      <c r="RGW246" s="21"/>
      <c r="RGZ246" s="21"/>
      <c r="RHA246" s="15"/>
      <c r="RHB246" s="15"/>
      <c r="RHC246" s="15"/>
      <c r="RHD246" s="15"/>
      <c r="RHE246" s="15"/>
      <c r="RHF246" s="15"/>
      <c r="RHG246" s="15"/>
      <c r="RHH246" s="15"/>
      <c r="RHI246" s="15"/>
      <c r="RHJ246" s="15"/>
      <c r="RHK246" s="10"/>
      <c r="RHL246" s="10"/>
      <c r="RHM246" s="21"/>
      <c r="RHN246" s="21"/>
      <c r="RHQ246" s="21"/>
      <c r="RHR246" s="15"/>
      <c r="RHS246" s="15"/>
      <c r="RHT246" s="15"/>
      <c r="RHU246" s="15"/>
      <c r="RHV246" s="15"/>
      <c r="RHW246" s="15"/>
      <c r="RHX246" s="15"/>
      <c r="RHY246" s="15"/>
      <c r="RHZ246" s="15"/>
      <c r="RIA246" s="15"/>
      <c r="RIB246" s="10"/>
      <c r="RIC246" s="10"/>
      <c r="RID246" s="21"/>
      <c r="RIE246" s="21"/>
      <c r="RIH246" s="21"/>
      <c r="RII246" s="15"/>
      <c r="RIJ246" s="15"/>
      <c r="RIK246" s="15"/>
      <c r="RIL246" s="15"/>
      <c r="RIM246" s="15"/>
      <c r="RIN246" s="15"/>
      <c r="RIO246" s="15"/>
      <c r="RIP246" s="15"/>
      <c r="RIQ246" s="15"/>
      <c r="RIR246" s="15"/>
      <c r="RIS246" s="10"/>
      <c r="RIT246" s="10"/>
      <c r="RIU246" s="21"/>
      <c r="RIV246" s="21"/>
      <c r="RIY246" s="21"/>
      <c r="RIZ246" s="15"/>
      <c r="RJA246" s="15"/>
      <c r="RJB246" s="15"/>
      <c r="RJC246" s="15"/>
      <c r="RJD246" s="15"/>
      <c r="RJE246" s="15"/>
      <c r="RJF246" s="15"/>
      <c r="RJG246" s="15"/>
      <c r="RJH246" s="15"/>
      <c r="RJI246" s="15"/>
      <c r="RJJ246" s="10"/>
      <c r="RJK246" s="10"/>
      <c r="RJL246" s="21"/>
      <c r="RJM246" s="21"/>
      <c r="RJP246" s="21"/>
      <c r="RJQ246" s="15"/>
      <c r="RJR246" s="15"/>
      <c r="RJS246" s="15"/>
      <c r="RJT246" s="15"/>
      <c r="RJU246" s="15"/>
      <c r="RJV246" s="15"/>
      <c r="RJW246" s="15"/>
      <c r="RJX246" s="15"/>
      <c r="RJY246" s="15"/>
      <c r="RJZ246" s="15"/>
      <c r="RKA246" s="10"/>
      <c r="RKB246" s="10"/>
      <c r="RKC246" s="21"/>
      <c r="RKD246" s="21"/>
      <c r="RKG246" s="21"/>
      <c r="RKH246" s="15"/>
      <c r="RKI246" s="15"/>
      <c r="RKJ246" s="15"/>
      <c r="RKK246" s="15"/>
      <c r="RKL246" s="15"/>
      <c r="RKM246" s="15"/>
      <c r="RKN246" s="15"/>
      <c r="RKO246" s="15"/>
      <c r="RKP246" s="15"/>
      <c r="RKQ246" s="15"/>
      <c r="RKR246" s="10"/>
      <c r="RKS246" s="10"/>
      <c r="RKT246" s="21"/>
      <c r="RKU246" s="21"/>
      <c r="RKX246" s="21"/>
      <c r="RKY246" s="15"/>
      <c r="RKZ246" s="15"/>
      <c r="RLA246" s="15"/>
      <c r="RLB246" s="15"/>
      <c r="RLC246" s="15"/>
      <c r="RLD246" s="15"/>
      <c r="RLE246" s="15"/>
      <c r="RLF246" s="15"/>
      <c r="RLG246" s="15"/>
      <c r="RLH246" s="15"/>
      <c r="RLI246" s="10"/>
      <c r="RLJ246" s="10"/>
      <c r="RLK246" s="21"/>
      <c r="RLL246" s="21"/>
      <c r="RLO246" s="21"/>
      <c r="RLP246" s="15"/>
      <c r="RLQ246" s="15"/>
      <c r="RLR246" s="15"/>
      <c r="RLS246" s="15"/>
      <c r="RLT246" s="15"/>
      <c r="RLU246" s="15"/>
      <c r="RLV246" s="15"/>
      <c r="RLW246" s="15"/>
      <c r="RLX246" s="15"/>
      <c r="RLY246" s="15"/>
      <c r="RLZ246" s="10"/>
      <c r="RMA246" s="10"/>
      <c r="RMB246" s="21"/>
      <c r="RMC246" s="21"/>
      <c r="RMF246" s="21"/>
      <c r="RMG246" s="15"/>
      <c r="RMH246" s="15"/>
      <c r="RMI246" s="15"/>
      <c r="RMJ246" s="15"/>
      <c r="RMK246" s="15"/>
      <c r="RML246" s="15"/>
      <c r="RMM246" s="15"/>
      <c r="RMN246" s="15"/>
      <c r="RMO246" s="15"/>
      <c r="RMP246" s="15"/>
      <c r="RMQ246" s="10"/>
      <c r="RMR246" s="10"/>
      <c r="RMS246" s="21"/>
      <c r="RMT246" s="21"/>
      <c r="RMW246" s="21"/>
      <c r="RMX246" s="15"/>
      <c r="RMY246" s="15"/>
      <c r="RMZ246" s="15"/>
      <c r="RNA246" s="15"/>
      <c r="RNB246" s="15"/>
      <c r="RNC246" s="15"/>
      <c r="RND246" s="15"/>
      <c r="RNE246" s="15"/>
      <c r="RNF246" s="15"/>
      <c r="RNG246" s="15"/>
      <c r="RNH246" s="10"/>
      <c r="RNI246" s="10"/>
      <c r="RNJ246" s="21"/>
      <c r="RNK246" s="21"/>
      <c r="RNN246" s="21"/>
      <c r="RNO246" s="15"/>
      <c r="RNP246" s="15"/>
      <c r="RNQ246" s="15"/>
      <c r="RNR246" s="15"/>
      <c r="RNS246" s="15"/>
      <c r="RNT246" s="15"/>
      <c r="RNU246" s="15"/>
      <c r="RNV246" s="15"/>
      <c r="RNW246" s="15"/>
      <c r="RNX246" s="15"/>
      <c r="RNY246" s="10"/>
      <c r="RNZ246" s="10"/>
      <c r="ROA246" s="21"/>
      <c r="ROB246" s="21"/>
      <c r="ROE246" s="21"/>
      <c r="ROF246" s="15"/>
      <c r="ROG246" s="15"/>
      <c r="ROH246" s="15"/>
      <c r="ROI246" s="15"/>
      <c r="ROJ246" s="15"/>
      <c r="ROK246" s="15"/>
      <c r="ROL246" s="15"/>
      <c r="ROM246" s="15"/>
      <c r="RON246" s="15"/>
      <c r="ROO246" s="15"/>
      <c r="ROP246" s="10"/>
      <c r="ROQ246" s="10"/>
      <c r="ROR246" s="21"/>
      <c r="ROS246" s="21"/>
      <c r="ROV246" s="21"/>
      <c r="ROW246" s="15"/>
      <c r="ROX246" s="15"/>
      <c r="ROY246" s="15"/>
      <c r="ROZ246" s="15"/>
      <c r="RPA246" s="15"/>
      <c r="RPB246" s="15"/>
      <c r="RPC246" s="15"/>
      <c r="RPD246" s="15"/>
      <c r="RPE246" s="15"/>
      <c r="RPF246" s="15"/>
      <c r="RPG246" s="10"/>
      <c r="RPH246" s="10"/>
      <c r="RPI246" s="21"/>
      <c r="RPJ246" s="21"/>
      <c r="RPM246" s="21"/>
      <c r="RPN246" s="15"/>
      <c r="RPO246" s="15"/>
      <c r="RPP246" s="15"/>
      <c r="RPQ246" s="15"/>
      <c r="RPR246" s="15"/>
      <c r="RPS246" s="15"/>
      <c r="RPT246" s="15"/>
      <c r="RPU246" s="15"/>
      <c r="RPV246" s="15"/>
      <c r="RPW246" s="15"/>
      <c r="RPX246" s="10"/>
      <c r="RPY246" s="10"/>
      <c r="RPZ246" s="21"/>
      <c r="RQA246" s="21"/>
      <c r="RQD246" s="21"/>
      <c r="RQE246" s="15"/>
      <c r="RQF246" s="15"/>
      <c r="RQG246" s="15"/>
      <c r="RQH246" s="15"/>
      <c r="RQI246" s="15"/>
      <c r="RQJ246" s="15"/>
      <c r="RQK246" s="15"/>
      <c r="RQL246" s="15"/>
      <c r="RQM246" s="15"/>
      <c r="RQN246" s="15"/>
      <c r="RQO246" s="10"/>
      <c r="RQP246" s="10"/>
      <c r="RQQ246" s="21"/>
      <c r="RQR246" s="21"/>
      <c r="RQU246" s="21"/>
      <c r="RQV246" s="15"/>
      <c r="RQW246" s="15"/>
      <c r="RQX246" s="15"/>
      <c r="RQY246" s="15"/>
      <c r="RQZ246" s="15"/>
      <c r="RRA246" s="15"/>
      <c r="RRB246" s="15"/>
      <c r="RRC246" s="15"/>
      <c r="RRD246" s="15"/>
      <c r="RRE246" s="15"/>
      <c r="RRF246" s="10"/>
      <c r="RRG246" s="10"/>
      <c r="RRH246" s="21"/>
      <c r="RRI246" s="21"/>
      <c r="RRL246" s="21"/>
      <c r="RRM246" s="15"/>
      <c r="RRN246" s="15"/>
      <c r="RRO246" s="15"/>
      <c r="RRP246" s="15"/>
      <c r="RRQ246" s="15"/>
      <c r="RRR246" s="15"/>
      <c r="RRS246" s="15"/>
      <c r="RRT246" s="15"/>
      <c r="RRU246" s="15"/>
      <c r="RRV246" s="15"/>
      <c r="RRW246" s="10"/>
      <c r="RRX246" s="10"/>
      <c r="RRY246" s="21"/>
      <c r="RRZ246" s="21"/>
      <c r="RSC246" s="21"/>
      <c r="RSD246" s="15"/>
      <c r="RSE246" s="15"/>
      <c r="RSF246" s="15"/>
      <c r="RSG246" s="15"/>
      <c r="RSH246" s="15"/>
      <c r="RSI246" s="15"/>
      <c r="RSJ246" s="15"/>
      <c r="RSK246" s="15"/>
      <c r="RSL246" s="15"/>
      <c r="RSM246" s="15"/>
      <c r="RSN246" s="10"/>
      <c r="RSO246" s="10"/>
      <c r="RSP246" s="21"/>
      <c r="RSQ246" s="21"/>
      <c r="RST246" s="21"/>
      <c r="RSU246" s="15"/>
      <c r="RSV246" s="15"/>
      <c r="RSW246" s="15"/>
      <c r="RSX246" s="15"/>
      <c r="RSY246" s="15"/>
      <c r="RSZ246" s="15"/>
      <c r="RTA246" s="15"/>
      <c r="RTB246" s="15"/>
      <c r="RTC246" s="15"/>
      <c r="RTD246" s="15"/>
      <c r="RTE246" s="10"/>
      <c r="RTF246" s="10"/>
      <c r="RTG246" s="21"/>
      <c r="RTH246" s="21"/>
      <c r="RTK246" s="21"/>
      <c r="RTL246" s="15"/>
      <c r="RTM246" s="15"/>
      <c r="RTN246" s="15"/>
      <c r="RTO246" s="15"/>
      <c r="RTP246" s="15"/>
      <c r="RTQ246" s="15"/>
      <c r="RTR246" s="15"/>
      <c r="RTS246" s="15"/>
      <c r="RTT246" s="15"/>
      <c r="RTU246" s="15"/>
      <c r="RTV246" s="10"/>
      <c r="RTW246" s="10"/>
      <c r="RTX246" s="21"/>
      <c r="RTY246" s="21"/>
      <c r="RUB246" s="21"/>
      <c r="RUC246" s="15"/>
      <c r="RUD246" s="15"/>
      <c r="RUE246" s="15"/>
      <c r="RUF246" s="15"/>
      <c r="RUG246" s="15"/>
      <c r="RUH246" s="15"/>
      <c r="RUI246" s="15"/>
      <c r="RUJ246" s="15"/>
      <c r="RUK246" s="15"/>
      <c r="RUL246" s="15"/>
      <c r="RUM246" s="10"/>
      <c r="RUN246" s="10"/>
      <c r="RUO246" s="21"/>
      <c r="RUP246" s="21"/>
      <c r="RUS246" s="21"/>
      <c r="RUT246" s="15"/>
      <c r="RUU246" s="15"/>
      <c r="RUV246" s="15"/>
      <c r="RUW246" s="15"/>
      <c r="RUX246" s="15"/>
      <c r="RUY246" s="15"/>
      <c r="RUZ246" s="15"/>
      <c r="RVA246" s="15"/>
      <c r="RVB246" s="15"/>
      <c r="RVC246" s="15"/>
      <c r="RVD246" s="10"/>
      <c r="RVE246" s="10"/>
      <c r="RVF246" s="21"/>
      <c r="RVG246" s="21"/>
      <c r="RVJ246" s="21"/>
      <c r="RVK246" s="15"/>
      <c r="RVL246" s="15"/>
      <c r="RVM246" s="15"/>
      <c r="RVN246" s="15"/>
      <c r="RVO246" s="15"/>
      <c r="RVP246" s="15"/>
      <c r="RVQ246" s="15"/>
      <c r="RVR246" s="15"/>
      <c r="RVS246" s="15"/>
      <c r="RVT246" s="15"/>
      <c r="RVU246" s="10"/>
      <c r="RVV246" s="10"/>
      <c r="RVW246" s="21"/>
      <c r="RVX246" s="21"/>
      <c r="RWA246" s="21"/>
      <c r="RWB246" s="15"/>
      <c r="RWC246" s="15"/>
      <c r="RWD246" s="15"/>
      <c r="RWE246" s="15"/>
      <c r="RWF246" s="15"/>
      <c r="RWG246" s="15"/>
      <c r="RWH246" s="15"/>
      <c r="RWI246" s="15"/>
      <c r="RWJ246" s="15"/>
      <c r="RWK246" s="15"/>
      <c r="RWL246" s="10"/>
      <c r="RWM246" s="10"/>
      <c r="RWN246" s="21"/>
      <c r="RWO246" s="21"/>
      <c r="RWR246" s="21"/>
      <c r="RWS246" s="15"/>
      <c r="RWT246" s="15"/>
      <c r="RWU246" s="15"/>
      <c r="RWV246" s="15"/>
      <c r="RWW246" s="15"/>
      <c r="RWX246" s="15"/>
      <c r="RWY246" s="15"/>
      <c r="RWZ246" s="15"/>
      <c r="RXA246" s="15"/>
      <c r="RXB246" s="15"/>
      <c r="RXC246" s="10"/>
      <c r="RXD246" s="10"/>
      <c r="RXE246" s="21"/>
      <c r="RXF246" s="21"/>
      <c r="RXI246" s="21"/>
      <c r="RXJ246" s="15"/>
      <c r="RXK246" s="15"/>
      <c r="RXL246" s="15"/>
      <c r="RXM246" s="15"/>
      <c r="RXN246" s="15"/>
      <c r="RXO246" s="15"/>
      <c r="RXP246" s="15"/>
      <c r="RXQ246" s="15"/>
      <c r="RXR246" s="15"/>
      <c r="RXS246" s="15"/>
      <c r="RXT246" s="10"/>
      <c r="RXU246" s="10"/>
      <c r="RXV246" s="21"/>
      <c r="RXW246" s="21"/>
      <c r="RXZ246" s="21"/>
      <c r="RYA246" s="15"/>
      <c r="RYB246" s="15"/>
      <c r="RYC246" s="15"/>
      <c r="RYD246" s="15"/>
      <c r="RYE246" s="15"/>
      <c r="RYF246" s="15"/>
      <c r="RYG246" s="15"/>
      <c r="RYH246" s="15"/>
      <c r="RYI246" s="15"/>
      <c r="RYJ246" s="15"/>
      <c r="RYK246" s="10"/>
      <c r="RYL246" s="10"/>
      <c r="RYM246" s="21"/>
      <c r="RYN246" s="21"/>
      <c r="RYQ246" s="21"/>
      <c r="RYR246" s="15"/>
      <c r="RYS246" s="15"/>
      <c r="RYT246" s="15"/>
      <c r="RYU246" s="15"/>
      <c r="RYV246" s="15"/>
      <c r="RYW246" s="15"/>
      <c r="RYX246" s="15"/>
      <c r="RYY246" s="15"/>
      <c r="RYZ246" s="15"/>
      <c r="RZA246" s="15"/>
      <c r="RZB246" s="10"/>
      <c r="RZC246" s="10"/>
      <c r="RZD246" s="21"/>
      <c r="RZE246" s="21"/>
      <c r="RZH246" s="21"/>
      <c r="RZI246" s="15"/>
      <c r="RZJ246" s="15"/>
      <c r="RZK246" s="15"/>
      <c r="RZL246" s="15"/>
      <c r="RZM246" s="15"/>
      <c r="RZN246" s="15"/>
      <c r="RZO246" s="15"/>
      <c r="RZP246" s="15"/>
      <c r="RZQ246" s="15"/>
      <c r="RZR246" s="15"/>
      <c r="RZS246" s="10"/>
      <c r="RZT246" s="10"/>
      <c r="RZU246" s="21"/>
      <c r="RZV246" s="21"/>
      <c r="RZY246" s="21"/>
      <c r="RZZ246" s="15"/>
      <c r="SAA246" s="15"/>
      <c r="SAB246" s="15"/>
      <c r="SAC246" s="15"/>
      <c r="SAD246" s="15"/>
      <c r="SAE246" s="15"/>
      <c r="SAF246" s="15"/>
      <c r="SAG246" s="15"/>
      <c r="SAH246" s="15"/>
      <c r="SAI246" s="15"/>
      <c r="SAJ246" s="10"/>
      <c r="SAK246" s="10"/>
      <c r="SAL246" s="21"/>
      <c r="SAM246" s="21"/>
      <c r="SAP246" s="21"/>
      <c r="SAQ246" s="15"/>
      <c r="SAR246" s="15"/>
      <c r="SAS246" s="15"/>
      <c r="SAT246" s="15"/>
      <c r="SAU246" s="15"/>
      <c r="SAV246" s="15"/>
      <c r="SAW246" s="15"/>
      <c r="SAX246" s="15"/>
      <c r="SAY246" s="15"/>
      <c r="SAZ246" s="15"/>
      <c r="SBA246" s="10"/>
      <c r="SBB246" s="10"/>
      <c r="SBC246" s="21"/>
      <c r="SBD246" s="21"/>
      <c r="SBG246" s="21"/>
      <c r="SBH246" s="15"/>
      <c r="SBI246" s="15"/>
      <c r="SBJ246" s="15"/>
      <c r="SBK246" s="15"/>
      <c r="SBL246" s="15"/>
      <c r="SBM246" s="15"/>
      <c r="SBN246" s="15"/>
      <c r="SBO246" s="15"/>
      <c r="SBP246" s="15"/>
      <c r="SBQ246" s="15"/>
      <c r="SBR246" s="10"/>
      <c r="SBS246" s="10"/>
      <c r="SBT246" s="21"/>
      <c r="SBU246" s="21"/>
      <c r="SBX246" s="21"/>
      <c r="SBY246" s="15"/>
      <c r="SBZ246" s="15"/>
      <c r="SCA246" s="15"/>
      <c r="SCB246" s="15"/>
      <c r="SCC246" s="15"/>
      <c r="SCD246" s="15"/>
      <c r="SCE246" s="15"/>
      <c r="SCF246" s="15"/>
      <c r="SCG246" s="15"/>
      <c r="SCH246" s="15"/>
      <c r="SCI246" s="10"/>
      <c r="SCJ246" s="10"/>
      <c r="SCK246" s="21"/>
      <c r="SCL246" s="21"/>
      <c r="SCO246" s="21"/>
      <c r="SCP246" s="15"/>
      <c r="SCQ246" s="15"/>
      <c r="SCR246" s="15"/>
      <c r="SCS246" s="15"/>
      <c r="SCT246" s="15"/>
      <c r="SCU246" s="15"/>
      <c r="SCV246" s="15"/>
      <c r="SCW246" s="15"/>
      <c r="SCX246" s="15"/>
      <c r="SCY246" s="15"/>
      <c r="SCZ246" s="10"/>
      <c r="SDA246" s="10"/>
      <c r="SDB246" s="21"/>
      <c r="SDC246" s="21"/>
      <c r="SDF246" s="21"/>
      <c r="SDG246" s="15"/>
      <c r="SDH246" s="15"/>
      <c r="SDI246" s="15"/>
      <c r="SDJ246" s="15"/>
      <c r="SDK246" s="15"/>
      <c r="SDL246" s="15"/>
      <c r="SDM246" s="15"/>
      <c r="SDN246" s="15"/>
      <c r="SDO246" s="15"/>
      <c r="SDP246" s="15"/>
      <c r="SDQ246" s="10"/>
      <c r="SDR246" s="10"/>
      <c r="SDS246" s="21"/>
      <c r="SDT246" s="21"/>
      <c r="SDW246" s="21"/>
      <c r="SDX246" s="15"/>
      <c r="SDY246" s="15"/>
      <c r="SDZ246" s="15"/>
      <c r="SEA246" s="15"/>
      <c r="SEB246" s="15"/>
      <c r="SEC246" s="15"/>
      <c r="SED246" s="15"/>
      <c r="SEE246" s="15"/>
      <c r="SEF246" s="15"/>
      <c r="SEG246" s="15"/>
      <c r="SEH246" s="10"/>
      <c r="SEI246" s="10"/>
      <c r="SEJ246" s="21"/>
      <c r="SEK246" s="21"/>
      <c r="SEN246" s="21"/>
      <c r="SEO246" s="15"/>
      <c r="SEP246" s="15"/>
      <c r="SEQ246" s="15"/>
      <c r="SER246" s="15"/>
      <c r="SES246" s="15"/>
      <c r="SET246" s="15"/>
      <c r="SEU246" s="15"/>
      <c r="SEV246" s="15"/>
      <c r="SEW246" s="15"/>
      <c r="SEX246" s="15"/>
      <c r="SEY246" s="10"/>
      <c r="SEZ246" s="10"/>
      <c r="SFA246" s="21"/>
      <c r="SFB246" s="21"/>
      <c r="SFE246" s="21"/>
      <c r="SFF246" s="15"/>
      <c r="SFG246" s="15"/>
      <c r="SFH246" s="15"/>
      <c r="SFI246" s="15"/>
      <c r="SFJ246" s="15"/>
      <c r="SFK246" s="15"/>
      <c r="SFL246" s="15"/>
      <c r="SFM246" s="15"/>
      <c r="SFN246" s="15"/>
      <c r="SFO246" s="15"/>
      <c r="SFP246" s="10"/>
      <c r="SFQ246" s="10"/>
      <c r="SFR246" s="21"/>
      <c r="SFS246" s="21"/>
      <c r="SFV246" s="21"/>
      <c r="SFW246" s="15"/>
      <c r="SFX246" s="15"/>
      <c r="SFY246" s="15"/>
      <c r="SFZ246" s="15"/>
      <c r="SGA246" s="15"/>
      <c r="SGB246" s="15"/>
      <c r="SGC246" s="15"/>
      <c r="SGD246" s="15"/>
      <c r="SGE246" s="15"/>
      <c r="SGF246" s="15"/>
      <c r="SGG246" s="10"/>
      <c r="SGH246" s="10"/>
      <c r="SGI246" s="21"/>
      <c r="SGJ246" s="21"/>
      <c r="SGM246" s="21"/>
      <c r="SGN246" s="15"/>
      <c r="SGO246" s="15"/>
      <c r="SGP246" s="15"/>
      <c r="SGQ246" s="15"/>
      <c r="SGR246" s="15"/>
      <c r="SGS246" s="15"/>
      <c r="SGT246" s="15"/>
      <c r="SGU246" s="15"/>
      <c r="SGV246" s="15"/>
      <c r="SGW246" s="15"/>
      <c r="SGX246" s="10"/>
      <c r="SGY246" s="10"/>
      <c r="SGZ246" s="21"/>
      <c r="SHA246" s="21"/>
      <c r="SHD246" s="21"/>
      <c r="SHE246" s="15"/>
      <c r="SHF246" s="15"/>
      <c r="SHG246" s="15"/>
      <c r="SHH246" s="15"/>
      <c r="SHI246" s="15"/>
      <c r="SHJ246" s="15"/>
      <c r="SHK246" s="15"/>
      <c r="SHL246" s="15"/>
      <c r="SHM246" s="15"/>
      <c r="SHN246" s="15"/>
      <c r="SHO246" s="10"/>
      <c r="SHP246" s="10"/>
      <c r="SHQ246" s="21"/>
      <c r="SHR246" s="21"/>
      <c r="SHU246" s="21"/>
      <c r="SHV246" s="15"/>
      <c r="SHW246" s="15"/>
      <c r="SHX246" s="15"/>
      <c r="SHY246" s="15"/>
      <c r="SHZ246" s="15"/>
      <c r="SIA246" s="15"/>
      <c r="SIB246" s="15"/>
      <c r="SIC246" s="15"/>
      <c r="SID246" s="15"/>
      <c r="SIE246" s="15"/>
      <c r="SIF246" s="10"/>
      <c r="SIG246" s="10"/>
      <c r="SIH246" s="21"/>
      <c r="SII246" s="21"/>
      <c r="SIL246" s="21"/>
      <c r="SIM246" s="15"/>
      <c r="SIN246" s="15"/>
      <c r="SIO246" s="15"/>
      <c r="SIP246" s="15"/>
      <c r="SIQ246" s="15"/>
      <c r="SIR246" s="15"/>
      <c r="SIS246" s="15"/>
      <c r="SIT246" s="15"/>
      <c r="SIU246" s="15"/>
      <c r="SIV246" s="15"/>
      <c r="SIW246" s="10"/>
      <c r="SIX246" s="10"/>
      <c r="SIY246" s="21"/>
      <c r="SIZ246" s="21"/>
      <c r="SJC246" s="21"/>
      <c r="SJD246" s="15"/>
      <c r="SJE246" s="15"/>
      <c r="SJF246" s="15"/>
      <c r="SJG246" s="15"/>
      <c r="SJH246" s="15"/>
      <c r="SJI246" s="15"/>
      <c r="SJJ246" s="15"/>
      <c r="SJK246" s="15"/>
      <c r="SJL246" s="15"/>
      <c r="SJM246" s="15"/>
      <c r="SJN246" s="10"/>
      <c r="SJO246" s="10"/>
      <c r="SJP246" s="21"/>
      <c r="SJQ246" s="21"/>
      <c r="SJT246" s="21"/>
      <c r="SJU246" s="15"/>
      <c r="SJV246" s="15"/>
      <c r="SJW246" s="15"/>
      <c r="SJX246" s="15"/>
      <c r="SJY246" s="15"/>
      <c r="SJZ246" s="15"/>
      <c r="SKA246" s="15"/>
      <c r="SKB246" s="15"/>
      <c r="SKC246" s="15"/>
      <c r="SKD246" s="15"/>
      <c r="SKE246" s="10"/>
      <c r="SKF246" s="10"/>
      <c r="SKG246" s="21"/>
      <c r="SKH246" s="21"/>
      <c r="SKK246" s="21"/>
      <c r="SKL246" s="15"/>
      <c r="SKM246" s="15"/>
      <c r="SKN246" s="15"/>
      <c r="SKO246" s="15"/>
      <c r="SKP246" s="15"/>
      <c r="SKQ246" s="15"/>
      <c r="SKR246" s="15"/>
      <c r="SKS246" s="15"/>
      <c r="SKT246" s="15"/>
      <c r="SKU246" s="15"/>
      <c r="SKV246" s="10"/>
      <c r="SKW246" s="10"/>
      <c r="SKX246" s="21"/>
      <c r="SKY246" s="21"/>
      <c r="SLB246" s="21"/>
      <c r="SLC246" s="15"/>
      <c r="SLD246" s="15"/>
      <c r="SLE246" s="15"/>
      <c r="SLF246" s="15"/>
      <c r="SLG246" s="15"/>
      <c r="SLH246" s="15"/>
      <c r="SLI246" s="15"/>
      <c r="SLJ246" s="15"/>
      <c r="SLK246" s="15"/>
      <c r="SLL246" s="15"/>
      <c r="SLM246" s="10"/>
      <c r="SLN246" s="10"/>
      <c r="SLO246" s="21"/>
      <c r="SLP246" s="21"/>
      <c r="SLS246" s="21"/>
      <c r="SLT246" s="15"/>
      <c r="SLU246" s="15"/>
      <c r="SLV246" s="15"/>
      <c r="SLW246" s="15"/>
      <c r="SLX246" s="15"/>
      <c r="SLY246" s="15"/>
      <c r="SLZ246" s="15"/>
      <c r="SMA246" s="15"/>
      <c r="SMB246" s="15"/>
      <c r="SMC246" s="15"/>
      <c r="SMD246" s="10"/>
      <c r="SME246" s="10"/>
      <c r="SMF246" s="21"/>
      <c r="SMG246" s="21"/>
      <c r="SMJ246" s="21"/>
      <c r="SMK246" s="15"/>
      <c r="SML246" s="15"/>
      <c r="SMM246" s="15"/>
      <c r="SMN246" s="15"/>
      <c r="SMO246" s="15"/>
      <c r="SMP246" s="15"/>
      <c r="SMQ246" s="15"/>
      <c r="SMR246" s="15"/>
      <c r="SMS246" s="15"/>
      <c r="SMT246" s="15"/>
      <c r="SMU246" s="10"/>
      <c r="SMV246" s="10"/>
      <c r="SMW246" s="21"/>
      <c r="SMX246" s="21"/>
      <c r="SNA246" s="21"/>
      <c r="SNB246" s="15"/>
      <c r="SNC246" s="15"/>
      <c r="SND246" s="15"/>
      <c r="SNE246" s="15"/>
      <c r="SNF246" s="15"/>
      <c r="SNG246" s="15"/>
      <c r="SNH246" s="15"/>
      <c r="SNI246" s="15"/>
      <c r="SNJ246" s="15"/>
      <c r="SNK246" s="15"/>
      <c r="SNL246" s="10"/>
      <c r="SNM246" s="10"/>
      <c r="SNN246" s="21"/>
      <c r="SNO246" s="21"/>
      <c r="SNR246" s="21"/>
      <c r="SNS246" s="15"/>
      <c r="SNT246" s="15"/>
      <c r="SNU246" s="15"/>
      <c r="SNV246" s="15"/>
      <c r="SNW246" s="15"/>
      <c r="SNX246" s="15"/>
      <c r="SNY246" s="15"/>
      <c r="SNZ246" s="15"/>
      <c r="SOA246" s="15"/>
      <c r="SOB246" s="15"/>
      <c r="SOC246" s="10"/>
      <c r="SOD246" s="10"/>
      <c r="SOE246" s="21"/>
      <c r="SOF246" s="21"/>
      <c r="SOI246" s="21"/>
      <c r="SOJ246" s="15"/>
      <c r="SOK246" s="15"/>
      <c r="SOL246" s="15"/>
      <c r="SOM246" s="15"/>
      <c r="SON246" s="15"/>
      <c r="SOO246" s="15"/>
      <c r="SOP246" s="15"/>
      <c r="SOQ246" s="15"/>
      <c r="SOR246" s="15"/>
      <c r="SOS246" s="15"/>
      <c r="SOT246" s="10"/>
      <c r="SOU246" s="10"/>
      <c r="SOV246" s="21"/>
      <c r="SOW246" s="21"/>
      <c r="SOZ246" s="21"/>
      <c r="SPA246" s="15"/>
      <c r="SPB246" s="15"/>
      <c r="SPC246" s="15"/>
      <c r="SPD246" s="15"/>
      <c r="SPE246" s="15"/>
      <c r="SPF246" s="15"/>
      <c r="SPG246" s="15"/>
      <c r="SPH246" s="15"/>
      <c r="SPI246" s="15"/>
      <c r="SPJ246" s="15"/>
      <c r="SPK246" s="10"/>
      <c r="SPL246" s="10"/>
      <c r="SPM246" s="21"/>
      <c r="SPN246" s="21"/>
      <c r="SPQ246" s="21"/>
      <c r="SPR246" s="15"/>
      <c r="SPS246" s="15"/>
      <c r="SPT246" s="15"/>
      <c r="SPU246" s="15"/>
      <c r="SPV246" s="15"/>
      <c r="SPW246" s="15"/>
      <c r="SPX246" s="15"/>
      <c r="SPY246" s="15"/>
      <c r="SPZ246" s="15"/>
      <c r="SQA246" s="15"/>
      <c r="SQB246" s="10"/>
      <c r="SQC246" s="10"/>
      <c r="SQD246" s="21"/>
      <c r="SQE246" s="21"/>
      <c r="SQH246" s="21"/>
      <c r="SQI246" s="15"/>
      <c r="SQJ246" s="15"/>
      <c r="SQK246" s="15"/>
      <c r="SQL246" s="15"/>
      <c r="SQM246" s="15"/>
      <c r="SQN246" s="15"/>
      <c r="SQO246" s="15"/>
      <c r="SQP246" s="15"/>
      <c r="SQQ246" s="15"/>
      <c r="SQR246" s="15"/>
      <c r="SQS246" s="10"/>
      <c r="SQT246" s="10"/>
      <c r="SQU246" s="21"/>
      <c r="SQV246" s="21"/>
      <c r="SQY246" s="21"/>
      <c r="SQZ246" s="15"/>
      <c r="SRA246" s="15"/>
      <c r="SRB246" s="15"/>
      <c r="SRC246" s="15"/>
      <c r="SRD246" s="15"/>
      <c r="SRE246" s="15"/>
      <c r="SRF246" s="15"/>
      <c r="SRG246" s="15"/>
      <c r="SRH246" s="15"/>
      <c r="SRI246" s="15"/>
      <c r="SRJ246" s="10"/>
      <c r="SRK246" s="10"/>
      <c r="SRL246" s="21"/>
      <c r="SRM246" s="21"/>
      <c r="SRP246" s="21"/>
      <c r="SRQ246" s="15"/>
      <c r="SRR246" s="15"/>
      <c r="SRS246" s="15"/>
      <c r="SRT246" s="15"/>
      <c r="SRU246" s="15"/>
      <c r="SRV246" s="15"/>
      <c r="SRW246" s="15"/>
      <c r="SRX246" s="15"/>
      <c r="SRY246" s="15"/>
      <c r="SRZ246" s="15"/>
      <c r="SSA246" s="10"/>
      <c r="SSB246" s="10"/>
      <c r="SSC246" s="21"/>
      <c r="SSD246" s="21"/>
      <c r="SSG246" s="21"/>
      <c r="SSH246" s="15"/>
      <c r="SSI246" s="15"/>
      <c r="SSJ246" s="15"/>
      <c r="SSK246" s="15"/>
      <c r="SSL246" s="15"/>
      <c r="SSM246" s="15"/>
      <c r="SSN246" s="15"/>
      <c r="SSO246" s="15"/>
      <c r="SSP246" s="15"/>
      <c r="SSQ246" s="15"/>
      <c r="SSR246" s="10"/>
      <c r="SSS246" s="10"/>
      <c r="SST246" s="21"/>
      <c r="SSU246" s="21"/>
      <c r="SSX246" s="21"/>
      <c r="SSY246" s="15"/>
      <c r="SSZ246" s="15"/>
      <c r="STA246" s="15"/>
      <c r="STB246" s="15"/>
      <c r="STC246" s="15"/>
      <c r="STD246" s="15"/>
      <c r="STE246" s="15"/>
      <c r="STF246" s="15"/>
      <c r="STG246" s="15"/>
      <c r="STH246" s="15"/>
      <c r="STI246" s="10"/>
      <c r="STJ246" s="10"/>
      <c r="STK246" s="21"/>
      <c r="STL246" s="21"/>
      <c r="STO246" s="21"/>
      <c r="STP246" s="15"/>
      <c r="STQ246" s="15"/>
      <c r="STR246" s="15"/>
      <c r="STS246" s="15"/>
      <c r="STT246" s="15"/>
      <c r="STU246" s="15"/>
      <c r="STV246" s="15"/>
      <c r="STW246" s="15"/>
      <c r="STX246" s="15"/>
      <c r="STY246" s="15"/>
      <c r="STZ246" s="10"/>
      <c r="SUA246" s="10"/>
      <c r="SUB246" s="21"/>
      <c r="SUC246" s="21"/>
      <c r="SUF246" s="21"/>
      <c r="SUG246" s="15"/>
      <c r="SUH246" s="15"/>
      <c r="SUI246" s="15"/>
      <c r="SUJ246" s="15"/>
      <c r="SUK246" s="15"/>
      <c r="SUL246" s="15"/>
      <c r="SUM246" s="15"/>
      <c r="SUN246" s="15"/>
      <c r="SUO246" s="15"/>
      <c r="SUP246" s="15"/>
      <c r="SUQ246" s="10"/>
      <c r="SUR246" s="10"/>
      <c r="SUS246" s="21"/>
      <c r="SUT246" s="21"/>
      <c r="SUW246" s="21"/>
      <c r="SUX246" s="15"/>
      <c r="SUY246" s="15"/>
      <c r="SUZ246" s="15"/>
      <c r="SVA246" s="15"/>
      <c r="SVB246" s="15"/>
      <c r="SVC246" s="15"/>
      <c r="SVD246" s="15"/>
      <c r="SVE246" s="15"/>
      <c r="SVF246" s="15"/>
      <c r="SVG246" s="15"/>
      <c r="SVH246" s="10"/>
      <c r="SVI246" s="10"/>
      <c r="SVJ246" s="21"/>
      <c r="SVK246" s="21"/>
      <c r="SVN246" s="21"/>
      <c r="SVO246" s="15"/>
      <c r="SVP246" s="15"/>
      <c r="SVQ246" s="15"/>
      <c r="SVR246" s="15"/>
      <c r="SVS246" s="15"/>
      <c r="SVT246" s="15"/>
      <c r="SVU246" s="15"/>
      <c r="SVV246" s="15"/>
      <c r="SVW246" s="15"/>
      <c r="SVX246" s="15"/>
      <c r="SVY246" s="10"/>
      <c r="SVZ246" s="10"/>
      <c r="SWA246" s="21"/>
      <c r="SWB246" s="21"/>
      <c r="SWE246" s="21"/>
      <c r="SWF246" s="15"/>
      <c r="SWG246" s="15"/>
      <c r="SWH246" s="15"/>
      <c r="SWI246" s="15"/>
      <c r="SWJ246" s="15"/>
      <c r="SWK246" s="15"/>
      <c r="SWL246" s="15"/>
      <c r="SWM246" s="15"/>
      <c r="SWN246" s="15"/>
      <c r="SWO246" s="15"/>
      <c r="SWP246" s="10"/>
      <c r="SWQ246" s="10"/>
      <c r="SWR246" s="21"/>
      <c r="SWS246" s="21"/>
      <c r="SWV246" s="21"/>
      <c r="SWW246" s="15"/>
      <c r="SWX246" s="15"/>
      <c r="SWY246" s="15"/>
      <c r="SWZ246" s="15"/>
      <c r="SXA246" s="15"/>
      <c r="SXB246" s="15"/>
      <c r="SXC246" s="15"/>
      <c r="SXD246" s="15"/>
      <c r="SXE246" s="15"/>
      <c r="SXF246" s="15"/>
      <c r="SXG246" s="10"/>
      <c r="SXH246" s="10"/>
      <c r="SXI246" s="21"/>
      <c r="SXJ246" s="21"/>
      <c r="SXM246" s="21"/>
      <c r="SXN246" s="15"/>
      <c r="SXO246" s="15"/>
      <c r="SXP246" s="15"/>
      <c r="SXQ246" s="15"/>
      <c r="SXR246" s="15"/>
      <c r="SXS246" s="15"/>
      <c r="SXT246" s="15"/>
      <c r="SXU246" s="15"/>
      <c r="SXV246" s="15"/>
      <c r="SXW246" s="15"/>
      <c r="SXX246" s="10"/>
      <c r="SXY246" s="10"/>
      <c r="SXZ246" s="21"/>
      <c r="SYA246" s="21"/>
      <c r="SYD246" s="21"/>
      <c r="SYE246" s="15"/>
      <c r="SYF246" s="15"/>
      <c r="SYG246" s="15"/>
      <c r="SYH246" s="15"/>
      <c r="SYI246" s="15"/>
      <c r="SYJ246" s="15"/>
      <c r="SYK246" s="15"/>
      <c r="SYL246" s="15"/>
      <c r="SYM246" s="15"/>
      <c r="SYN246" s="15"/>
      <c r="SYO246" s="10"/>
      <c r="SYP246" s="10"/>
      <c r="SYQ246" s="21"/>
      <c r="SYR246" s="21"/>
      <c r="SYU246" s="21"/>
      <c r="SYV246" s="15"/>
      <c r="SYW246" s="15"/>
      <c r="SYX246" s="15"/>
      <c r="SYY246" s="15"/>
      <c r="SYZ246" s="15"/>
      <c r="SZA246" s="15"/>
      <c r="SZB246" s="15"/>
      <c r="SZC246" s="15"/>
      <c r="SZD246" s="15"/>
      <c r="SZE246" s="15"/>
      <c r="SZF246" s="10"/>
      <c r="SZG246" s="10"/>
      <c r="SZH246" s="21"/>
      <c r="SZI246" s="21"/>
      <c r="SZL246" s="21"/>
      <c r="SZM246" s="15"/>
      <c r="SZN246" s="15"/>
      <c r="SZO246" s="15"/>
      <c r="SZP246" s="15"/>
      <c r="SZQ246" s="15"/>
      <c r="SZR246" s="15"/>
      <c r="SZS246" s="15"/>
      <c r="SZT246" s="15"/>
      <c r="SZU246" s="15"/>
      <c r="SZV246" s="15"/>
      <c r="SZW246" s="10"/>
      <c r="SZX246" s="10"/>
      <c r="SZY246" s="21"/>
      <c r="SZZ246" s="21"/>
      <c r="TAC246" s="21"/>
      <c r="TAD246" s="15"/>
      <c r="TAE246" s="15"/>
      <c r="TAF246" s="15"/>
      <c r="TAG246" s="15"/>
      <c r="TAH246" s="15"/>
      <c r="TAI246" s="15"/>
      <c r="TAJ246" s="15"/>
      <c r="TAK246" s="15"/>
      <c r="TAL246" s="15"/>
      <c r="TAM246" s="15"/>
      <c r="TAN246" s="10"/>
      <c r="TAO246" s="10"/>
      <c r="TAP246" s="21"/>
      <c r="TAQ246" s="21"/>
      <c r="TAT246" s="21"/>
      <c r="TAU246" s="15"/>
      <c r="TAV246" s="15"/>
      <c r="TAW246" s="15"/>
      <c r="TAX246" s="15"/>
      <c r="TAY246" s="15"/>
      <c r="TAZ246" s="15"/>
      <c r="TBA246" s="15"/>
      <c r="TBB246" s="15"/>
      <c r="TBC246" s="15"/>
      <c r="TBD246" s="15"/>
      <c r="TBE246" s="10"/>
      <c r="TBF246" s="10"/>
      <c r="TBG246" s="21"/>
      <c r="TBH246" s="21"/>
      <c r="TBK246" s="21"/>
      <c r="TBL246" s="15"/>
      <c r="TBM246" s="15"/>
      <c r="TBN246" s="15"/>
      <c r="TBO246" s="15"/>
      <c r="TBP246" s="15"/>
      <c r="TBQ246" s="15"/>
      <c r="TBR246" s="15"/>
      <c r="TBS246" s="15"/>
      <c r="TBT246" s="15"/>
      <c r="TBU246" s="15"/>
      <c r="TBV246" s="10"/>
      <c r="TBW246" s="10"/>
      <c r="TBX246" s="21"/>
      <c r="TBY246" s="21"/>
      <c r="TCB246" s="21"/>
      <c r="TCC246" s="15"/>
      <c r="TCD246" s="15"/>
      <c r="TCE246" s="15"/>
      <c r="TCF246" s="15"/>
      <c r="TCG246" s="15"/>
      <c r="TCH246" s="15"/>
      <c r="TCI246" s="15"/>
      <c r="TCJ246" s="15"/>
      <c r="TCK246" s="15"/>
      <c r="TCL246" s="15"/>
      <c r="TCM246" s="10"/>
      <c r="TCN246" s="10"/>
      <c r="TCO246" s="21"/>
      <c r="TCP246" s="21"/>
      <c r="TCS246" s="21"/>
      <c r="TCT246" s="15"/>
      <c r="TCU246" s="15"/>
      <c r="TCV246" s="15"/>
      <c r="TCW246" s="15"/>
      <c r="TCX246" s="15"/>
      <c r="TCY246" s="15"/>
      <c r="TCZ246" s="15"/>
      <c r="TDA246" s="15"/>
      <c r="TDB246" s="15"/>
      <c r="TDC246" s="15"/>
      <c r="TDD246" s="10"/>
      <c r="TDE246" s="10"/>
      <c r="TDF246" s="21"/>
      <c r="TDG246" s="21"/>
      <c r="TDJ246" s="21"/>
      <c r="TDK246" s="15"/>
      <c r="TDL246" s="15"/>
      <c r="TDM246" s="15"/>
      <c r="TDN246" s="15"/>
      <c r="TDO246" s="15"/>
      <c r="TDP246" s="15"/>
      <c r="TDQ246" s="15"/>
      <c r="TDR246" s="15"/>
      <c r="TDS246" s="15"/>
      <c r="TDT246" s="15"/>
      <c r="TDU246" s="10"/>
      <c r="TDV246" s="10"/>
      <c r="TDW246" s="21"/>
      <c r="TDX246" s="21"/>
      <c r="TEA246" s="21"/>
      <c r="TEB246" s="15"/>
      <c r="TEC246" s="15"/>
      <c r="TED246" s="15"/>
      <c r="TEE246" s="15"/>
      <c r="TEF246" s="15"/>
      <c r="TEG246" s="15"/>
      <c r="TEH246" s="15"/>
      <c r="TEI246" s="15"/>
      <c r="TEJ246" s="15"/>
      <c r="TEK246" s="15"/>
      <c r="TEL246" s="10"/>
      <c r="TEM246" s="10"/>
      <c r="TEN246" s="21"/>
      <c r="TEO246" s="21"/>
      <c r="TER246" s="21"/>
      <c r="TES246" s="15"/>
      <c r="TET246" s="15"/>
      <c r="TEU246" s="15"/>
      <c r="TEV246" s="15"/>
      <c r="TEW246" s="15"/>
      <c r="TEX246" s="15"/>
      <c r="TEY246" s="15"/>
      <c r="TEZ246" s="15"/>
      <c r="TFA246" s="15"/>
      <c r="TFB246" s="15"/>
      <c r="TFC246" s="10"/>
      <c r="TFD246" s="10"/>
      <c r="TFE246" s="21"/>
      <c r="TFF246" s="21"/>
      <c r="TFI246" s="21"/>
      <c r="TFJ246" s="15"/>
      <c r="TFK246" s="15"/>
      <c r="TFL246" s="15"/>
      <c r="TFM246" s="15"/>
      <c r="TFN246" s="15"/>
      <c r="TFO246" s="15"/>
      <c r="TFP246" s="15"/>
      <c r="TFQ246" s="15"/>
      <c r="TFR246" s="15"/>
      <c r="TFS246" s="15"/>
      <c r="TFT246" s="10"/>
      <c r="TFU246" s="10"/>
      <c r="TFV246" s="21"/>
      <c r="TFW246" s="21"/>
      <c r="TFZ246" s="21"/>
      <c r="TGA246" s="15"/>
      <c r="TGB246" s="15"/>
      <c r="TGC246" s="15"/>
      <c r="TGD246" s="15"/>
      <c r="TGE246" s="15"/>
      <c r="TGF246" s="15"/>
      <c r="TGG246" s="15"/>
      <c r="TGH246" s="15"/>
      <c r="TGI246" s="15"/>
      <c r="TGJ246" s="15"/>
      <c r="TGK246" s="10"/>
      <c r="TGL246" s="10"/>
      <c r="TGM246" s="21"/>
      <c r="TGN246" s="21"/>
      <c r="TGQ246" s="21"/>
      <c r="TGR246" s="15"/>
      <c r="TGS246" s="15"/>
      <c r="TGT246" s="15"/>
      <c r="TGU246" s="15"/>
      <c r="TGV246" s="15"/>
      <c r="TGW246" s="15"/>
      <c r="TGX246" s="15"/>
      <c r="TGY246" s="15"/>
      <c r="TGZ246" s="15"/>
      <c r="THA246" s="15"/>
      <c r="THB246" s="10"/>
      <c r="THC246" s="10"/>
      <c r="THD246" s="21"/>
      <c r="THE246" s="21"/>
      <c r="THH246" s="21"/>
      <c r="THI246" s="15"/>
      <c r="THJ246" s="15"/>
      <c r="THK246" s="15"/>
      <c r="THL246" s="15"/>
      <c r="THM246" s="15"/>
      <c r="THN246" s="15"/>
      <c r="THO246" s="15"/>
      <c r="THP246" s="15"/>
      <c r="THQ246" s="15"/>
      <c r="THR246" s="15"/>
      <c r="THS246" s="10"/>
      <c r="THT246" s="10"/>
      <c r="THU246" s="21"/>
      <c r="THV246" s="21"/>
      <c r="THY246" s="21"/>
      <c r="THZ246" s="15"/>
      <c r="TIA246" s="15"/>
      <c r="TIB246" s="15"/>
      <c r="TIC246" s="15"/>
      <c r="TID246" s="15"/>
      <c r="TIE246" s="15"/>
      <c r="TIF246" s="15"/>
      <c r="TIG246" s="15"/>
      <c r="TIH246" s="15"/>
      <c r="TII246" s="15"/>
      <c r="TIJ246" s="10"/>
      <c r="TIK246" s="10"/>
      <c r="TIL246" s="21"/>
      <c r="TIM246" s="21"/>
      <c r="TIP246" s="21"/>
      <c r="TIQ246" s="15"/>
      <c r="TIR246" s="15"/>
      <c r="TIS246" s="15"/>
      <c r="TIT246" s="15"/>
      <c r="TIU246" s="15"/>
      <c r="TIV246" s="15"/>
      <c r="TIW246" s="15"/>
      <c r="TIX246" s="15"/>
      <c r="TIY246" s="15"/>
      <c r="TIZ246" s="15"/>
      <c r="TJA246" s="10"/>
      <c r="TJB246" s="10"/>
      <c r="TJC246" s="21"/>
      <c r="TJD246" s="21"/>
      <c r="TJG246" s="21"/>
      <c r="TJH246" s="15"/>
      <c r="TJI246" s="15"/>
      <c r="TJJ246" s="15"/>
      <c r="TJK246" s="15"/>
      <c r="TJL246" s="15"/>
      <c r="TJM246" s="15"/>
      <c r="TJN246" s="15"/>
      <c r="TJO246" s="15"/>
      <c r="TJP246" s="15"/>
      <c r="TJQ246" s="15"/>
      <c r="TJR246" s="10"/>
      <c r="TJS246" s="10"/>
      <c r="TJT246" s="21"/>
      <c r="TJU246" s="21"/>
      <c r="TJX246" s="21"/>
      <c r="TJY246" s="15"/>
      <c r="TJZ246" s="15"/>
      <c r="TKA246" s="15"/>
      <c r="TKB246" s="15"/>
      <c r="TKC246" s="15"/>
      <c r="TKD246" s="15"/>
      <c r="TKE246" s="15"/>
      <c r="TKF246" s="15"/>
      <c r="TKG246" s="15"/>
      <c r="TKH246" s="15"/>
      <c r="TKI246" s="10"/>
      <c r="TKJ246" s="10"/>
      <c r="TKK246" s="21"/>
      <c r="TKL246" s="21"/>
      <c r="TKO246" s="21"/>
      <c r="TKP246" s="15"/>
      <c r="TKQ246" s="15"/>
      <c r="TKR246" s="15"/>
      <c r="TKS246" s="15"/>
      <c r="TKT246" s="15"/>
      <c r="TKU246" s="15"/>
      <c r="TKV246" s="15"/>
      <c r="TKW246" s="15"/>
      <c r="TKX246" s="15"/>
      <c r="TKY246" s="15"/>
      <c r="TKZ246" s="10"/>
      <c r="TLA246" s="10"/>
      <c r="TLB246" s="21"/>
      <c r="TLC246" s="21"/>
      <c r="TLF246" s="21"/>
      <c r="TLG246" s="15"/>
      <c r="TLH246" s="15"/>
      <c r="TLI246" s="15"/>
      <c r="TLJ246" s="15"/>
      <c r="TLK246" s="15"/>
      <c r="TLL246" s="15"/>
      <c r="TLM246" s="15"/>
      <c r="TLN246" s="15"/>
      <c r="TLO246" s="15"/>
      <c r="TLP246" s="15"/>
      <c r="TLQ246" s="10"/>
      <c r="TLR246" s="10"/>
      <c r="TLS246" s="21"/>
      <c r="TLT246" s="21"/>
      <c r="TLW246" s="21"/>
      <c r="TLX246" s="15"/>
      <c r="TLY246" s="15"/>
      <c r="TLZ246" s="15"/>
      <c r="TMA246" s="15"/>
      <c r="TMB246" s="15"/>
      <c r="TMC246" s="15"/>
      <c r="TMD246" s="15"/>
      <c r="TME246" s="15"/>
      <c r="TMF246" s="15"/>
      <c r="TMG246" s="15"/>
      <c r="TMH246" s="10"/>
      <c r="TMI246" s="10"/>
      <c r="TMJ246" s="21"/>
      <c r="TMK246" s="21"/>
      <c r="TMN246" s="21"/>
      <c r="TMO246" s="15"/>
      <c r="TMP246" s="15"/>
      <c r="TMQ246" s="15"/>
      <c r="TMR246" s="15"/>
      <c r="TMS246" s="15"/>
      <c r="TMT246" s="15"/>
      <c r="TMU246" s="15"/>
      <c r="TMV246" s="15"/>
      <c r="TMW246" s="15"/>
      <c r="TMX246" s="15"/>
      <c r="TMY246" s="10"/>
      <c r="TMZ246" s="10"/>
      <c r="TNA246" s="21"/>
      <c r="TNB246" s="21"/>
      <c r="TNE246" s="21"/>
      <c r="TNF246" s="15"/>
      <c r="TNG246" s="15"/>
      <c r="TNH246" s="15"/>
      <c r="TNI246" s="15"/>
      <c r="TNJ246" s="15"/>
      <c r="TNK246" s="15"/>
      <c r="TNL246" s="15"/>
      <c r="TNM246" s="15"/>
      <c r="TNN246" s="15"/>
      <c r="TNO246" s="15"/>
      <c r="TNP246" s="10"/>
      <c r="TNQ246" s="10"/>
      <c r="TNR246" s="21"/>
      <c r="TNS246" s="21"/>
      <c r="TNV246" s="21"/>
      <c r="TNW246" s="15"/>
      <c r="TNX246" s="15"/>
      <c r="TNY246" s="15"/>
      <c r="TNZ246" s="15"/>
      <c r="TOA246" s="15"/>
      <c r="TOB246" s="15"/>
      <c r="TOC246" s="15"/>
      <c r="TOD246" s="15"/>
      <c r="TOE246" s="15"/>
      <c r="TOF246" s="15"/>
      <c r="TOG246" s="10"/>
      <c r="TOH246" s="10"/>
      <c r="TOI246" s="21"/>
      <c r="TOJ246" s="21"/>
      <c r="TOM246" s="21"/>
      <c r="TON246" s="15"/>
      <c r="TOO246" s="15"/>
      <c r="TOP246" s="15"/>
      <c r="TOQ246" s="15"/>
      <c r="TOR246" s="15"/>
      <c r="TOS246" s="15"/>
      <c r="TOT246" s="15"/>
      <c r="TOU246" s="15"/>
      <c r="TOV246" s="15"/>
      <c r="TOW246" s="15"/>
      <c r="TOX246" s="10"/>
      <c r="TOY246" s="10"/>
      <c r="TOZ246" s="21"/>
      <c r="TPA246" s="21"/>
      <c r="TPD246" s="21"/>
      <c r="TPE246" s="15"/>
      <c r="TPF246" s="15"/>
      <c r="TPG246" s="15"/>
      <c r="TPH246" s="15"/>
      <c r="TPI246" s="15"/>
      <c r="TPJ246" s="15"/>
      <c r="TPK246" s="15"/>
      <c r="TPL246" s="15"/>
      <c r="TPM246" s="15"/>
      <c r="TPN246" s="15"/>
      <c r="TPO246" s="10"/>
      <c r="TPP246" s="10"/>
      <c r="TPQ246" s="21"/>
      <c r="TPR246" s="21"/>
      <c r="TPU246" s="21"/>
      <c r="TPV246" s="15"/>
      <c r="TPW246" s="15"/>
      <c r="TPX246" s="15"/>
      <c r="TPY246" s="15"/>
      <c r="TPZ246" s="15"/>
      <c r="TQA246" s="15"/>
      <c r="TQB246" s="15"/>
      <c r="TQC246" s="15"/>
      <c r="TQD246" s="15"/>
      <c r="TQE246" s="15"/>
      <c r="TQF246" s="10"/>
      <c r="TQG246" s="10"/>
      <c r="TQH246" s="21"/>
      <c r="TQI246" s="21"/>
      <c r="TQL246" s="21"/>
      <c r="TQM246" s="15"/>
      <c r="TQN246" s="15"/>
      <c r="TQO246" s="15"/>
      <c r="TQP246" s="15"/>
      <c r="TQQ246" s="15"/>
      <c r="TQR246" s="15"/>
      <c r="TQS246" s="15"/>
      <c r="TQT246" s="15"/>
      <c r="TQU246" s="15"/>
      <c r="TQV246" s="15"/>
      <c r="TQW246" s="10"/>
      <c r="TQX246" s="10"/>
      <c r="TQY246" s="21"/>
      <c r="TQZ246" s="21"/>
      <c r="TRC246" s="21"/>
      <c r="TRD246" s="15"/>
      <c r="TRE246" s="15"/>
      <c r="TRF246" s="15"/>
      <c r="TRG246" s="15"/>
      <c r="TRH246" s="15"/>
      <c r="TRI246" s="15"/>
      <c r="TRJ246" s="15"/>
      <c r="TRK246" s="15"/>
      <c r="TRL246" s="15"/>
      <c r="TRM246" s="15"/>
      <c r="TRN246" s="10"/>
      <c r="TRO246" s="10"/>
      <c r="TRP246" s="21"/>
      <c r="TRQ246" s="21"/>
      <c r="TRT246" s="21"/>
      <c r="TRU246" s="15"/>
      <c r="TRV246" s="15"/>
      <c r="TRW246" s="15"/>
      <c r="TRX246" s="15"/>
      <c r="TRY246" s="15"/>
      <c r="TRZ246" s="15"/>
      <c r="TSA246" s="15"/>
      <c r="TSB246" s="15"/>
      <c r="TSC246" s="15"/>
      <c r="TSD246" s="15"/>
      <c r="TSE246" s="10"/>
      <c r="TSF246" s="10"/>
      <c r="TSG246" s="21"/>
      <c r="TSH246" s="21"/>
      <c r="TSK246" s="21"/>
      <c r="TSL246" s="15"/>
      <c r="TSM246" s="15"/>
      <c r="TSN246" s="15"/>
      <c r="TSO246" s="15"/>
      <c r="TSP246" s="15"/>
      <c r="TSQ246" s="15"/>
      <c r="TSR246" s="15"/>
      <c r="TSS246" s="15"/>
      <c r="TST246" s="15"/>
      <c r="TSU246" s="15"/>
      <c r="TSV246" s="10"/>
      <c r="TSW246" s="10"/>
      <c r="TSX246" s="21"/>
      <c r="TSY246" s="21"/>
      <c r="TTB246" s="21"/>
      <c r="TTC246" s="15"/>
      <c r="TTD246" s="15"/>
      <c r="TTE246" s="15"/>
      <c r="TTF246" s="15"/>
      <c r="TTG246" s="15"/>
      <c r="TTH246" s="15"/>
      <c r="TTI246" s="15"/>
      <c r="TTJ246" s="15"/>
      <c r="TTK246" s="15"/>
      <c r="TTL246" s="15"/>
      <c r="TTM246" s="10"/>
      <c r="TTN246" s="10"/>
      <c r="TTO246" s="21"/>
      <c r="TTP246" s="21"/>
      <c r="TTS246" s="21"/>
      <c r="TTT246" s="15"/>
      <c r="TTU246" s="15"/>
      <c r="TTV246" s="15"/>
      <c r="TTW246" s="15"/>
      <c r="TTX246" s="15"/>
      <c r="TTY246" s="15"/>
      <c r="TTZ246" s="15"/>
      <c r="TUA246" s="15"/>
      <c r="TUB246" s="15"/>
      <c r="TUC246" s="15"/>
      <c r="TUD246" s="10"/>
      <c r="TUE246" s="10"/>
      <c r="TUF246" s="21"/>
      <c r="TUG246" s="21"/>
      <c r="TUJ246" s="21"/>
      <c r="TUK246" s="15"/>
      <c r="TUL246" s="15"/>
      <c r="TUM246" s="15"/>
      <c r="TUN246" s="15"/>
      <c r="TUO246" s="15"/>
      <c r="TUP246" s="15"/>
      <c r="TUQ246" s="15"/>
      <c r="TUR246" s="15"/>
      <c r="TUS246" s="15"/>
      <c r="TUT246" s="15"/>
      <c r="TUU246" s="10"/>
      <c r="TUV246" s="10"/>
      <c r="TUW246" s="21"/>
      <c r="TUX246" s="21"/>
      <c r="TVA246" s="21"/>
      <c r="TVB246" s="15"/>
      <c r="TVC246" s="15"/>
      <c r="TVD246" s="15"/>
      <c r="TVE246" s="15"/>
      <c r="TVF246" s="15"/>
      <c r="TVG246" s="15"/>
      <c r="TVH246" s="15"/>
      <c r="TVI246" s="15"/>
      <c r="TVJ246" s="15"/>
      <c r="TVK246" s="15"/>
      <c r="TVL246" s="10"/>
      <c r="TVM246" s="10"/>
      <c r="TVN246" s="21"/>
      <c r="TVO246" s="21"/>
      <c r="TVR246" s="21"/>
      <c r="TVS246" s="15"/>
      <c r="TVT246" s="15"/>
      <c r="TVU246" s="15"/>
      <c r="TVV246" s="15"/>
      <c r="TVW246" s="15"/>
      <c r="TVX246" s="15"/>
      <c r="TVY246" s="15"/>
      <c r="TVZ246" s="15"/>
      <c r="TWA246" s="15"/>
      <c r="TWB246" s="15"/>
      <c r="TWC246" s="10"/>
      <c r="TWD246" s="10"/>
      <c r="TWE246" s="21"/>
      <c r="TWF246" s="21"/>
      <c r="TWI246" s="21"/>
      <c r="TWJ246" s="15"/>
      <c r="TWK246" s="15"/>
      <c r="TWL246" s="15"/>
      <c r="TWM246" s="15"/>
      <c r="TWN246" s="15"/>
      <c r="TWO246" s="15"/>
      <c r="TWP246" s="15"/>
      <c r="TWQ246" s="15"/>
      <c r="TWR246" s="15"/>
      <c r="TWS246" s="15"/>
      <c r="TWT246" s="10"/>
      <c r="TWU246" s="10"/>
      <c r="TWV246" s="21"/>
      <c r="TWW246" s="21"/>
      <c r="TWZ246" s="21"/>
      <c r="TXA246" s="15"/>
      <c r="TXB246" s="15"/>
      <c r="TXC246" s="15"/>
      <c r="TXD246" s="15"/>
      <c r="TXE246" s="15"/>
      <c r="TXF246" s="15"/>
      <c r="TXG246" s="15"/>
      <c r="TXH246" s="15"/>
      <c r="TXI246" s="15"/>
      <c r="TXJ246" s="15"/>
      <c r="TXK246" s="10"/>
      <c r="TXL246" s="10"/>
      <c r="TXM246" s="21"/>
      <c r="TXN246" s="21"/>
      <c r="TXQ246" s="21"/>
      <c r="TXR246" s="15"/>
      <c r="TXS246" s="15"/>
      <c r="TXT246" s="15"/>
      <c r="TXU246" s="15"/>
      <c r="TXV246" s="15"/>
      <c r="TXW246" s="15"/>
      <c r="TXX246" s="15"/>
      <c r="TXY246" s="15"/>
      <c r="TXZ246" s="15"/>
      <c r="TYA246" s="15"/>
      <c r="TYB246" s="10"/>
      <c r="TYC246" s="10"/>
      <c r="TYD246" s="21"/>
      <c r="TYE246" s="21"/>
      <c r="TYH246" s="21"/>
      <c r="TYI246" s="15"/>
      <c r="TYJ246" s="15"/>
      <c r="TYK246" s="15"/>
      <c r="TYL246" s="15"/>
      <c r="TYM246" s="15"/>
      <c r="TYN246" s="15"/>
      <c r="TYO246" s="15"/>
      <c r="TYP246" s="15"/>
      <c r="TYQ246" s="15"/>
      <c r="TYR246" s="15"/>
      <c r="TYS246" s="10"/>
      <c r="TYT246" s="10"/>
      <c r="TYU246" s="21"/>
      <c r="TYV246" s="21"/>
      <c r="TYY246" s="21"/>
      <c r="TYZ246" s="15"/>
      <c r="TZA246" s="15"/>
      <c r="TZB246" s="15"/>
      <c r="TZC246" s="15"/>
      <c r="TZD246" s="15"/>
      <c r="TZE246" s="15"/>
      <c r="TZF246" s="15"/>
      <c r="TZG246" s="15"/>
      <c r="TZH246" s="15"/>
      <c r="TZI246" s="15"/>
      <c r="TZJ246" s="10"/>
      <c r="TZK246" s="10"/>
      <c r="TZL246" s="21"/>
      <c r="TZM246" s="21"/>
      <c r="TZP246" s="21"/>
      <c r="TZQ246" s="15"/>
      <c r="TZR246" s="15"/>
      <c r="TZS246" s="15"/>
      <c r="TZT246" s="15"/>
      <c r="TZU246" s="15"/>
      <c r="TZV246" s="15"/>
      <c r="TZW246" s="15"/>
      <c r="TZX246" s="15"/>
      <c r="TZY246" s="15"/>
      <c r="TZZ246" s="15"/>
      <c r="UAA246" s="10"/>
      <c r="UAB246" s="10"/>
      <c r="UAC246" s="21"/>
      <c r="UAD246" s="21"/>
      <c r="UAG246" s="21"/>
      <c r="UAH246" s="15"/>
      <c r="UAI246" s="15"/>
      <c r="UAJ246" s="15"/>
      <c r="UAK246" s="15"/>
      <c r="UAL246" s="15"/>
      <c r="UAM246" s="15"/>
      <c r="UAN246" s="15"/>
      <c r="UAO246" s="15"/>
      <c r="UAP246" s="15"/>
      <c r="UAQ246" s="15"/>
      <c r="UAR246" s="10"/>
      <c r="UAS246" s="10"/>
      <c r="UAT246" s="21"/>
      <c r="UAU246" s="21"/>
      <c r="UAX246" s="21"/>
      <c r="UAY246" s="15"/>
      <c r="UAZ246" s="15"/>
      <c r="UBA246" s="15"/>
      <c r="UBB246" s="15"/>
      <c r="UBC246" s="15"/>
      <c r="UBD246" s="15"/>
      <c r="UBE246" s="15"/>
      <c r="UBF246" s="15"/>
      <c r="UBG246" s="15"/>
      <c r="UBH246" s="15"/>
      <c r="UBI246" s="10"/>
      <c r="UBJ246" s="10"/>
      <c r="UBK246" s="21"/>
      <c r="UBL246" s="21"/>
      <c r="UBO246" s="21"/>
      <c r="UBP246" s="15"/>
      <c r="UBQ246" s="15"/>
      <c r="UBR246" s="15"/>
      <c r="UBS246" s="15"/>
      <c r="UBT246" s="15"/>
      <c r="UBU246" s="15"/>
      <c r="UBV246" s="15"/>
      <c r="UBW246" s="15"/>
      <c r="UBX246" s="15"/>
      <c r="UBY246" s="15"/>
      <c r="UBZ246" s="10"/>
      <c r="UCA246" s="10"/>
      <c r="UCB246" s="21"/>
      <c r="UCC246" s="21"/>
      <c r="UCF246" s="21"/>
      <c r="UCG246" s="15"/>
      <c r="UCH246" s="15"/>
      <c r="UCI246" s="15"/>
      <c r="UCJ246" s="15"/>
      <c r="UCK246" s="15"/>
      <c r="UCL246" s="15"/>
      <c r="UCM246" s="15"/>
      <c r="UCN246" s="15"/>
      <c r="UCO246" s="15"/>
      <c r="UCP246" s="15"/>
      <c r="UCQ246" s="10"/>
      <c r="UCR246" s="10"/>
      <c r="UCS246" s="21"/>
      <c r="UCT246" s="21"/>
      <c r="UCW246" s="21"/>
      <c r="UCX246" s="15"/>
      <c r="UCY246" s="15"/>
      <c r="UCZ246" s="15"/>
      <c r="UDA246" s="15"/>
      <c r="UDB246" s="15"/>
      <c r="UDC246" s="15"/>
      <c r="UDD246" s="15"/>
      <c r="UDE246" s="15"/>
      <c r="UDF246" s="15"/>
      <c r="UDG246" s="15"/>
      <c r="UDH246" s="10"/>
      <c r="UDI246" s="10"/>
      <c r="UDJ246" s="21"/>
      <c r="UDK246" s="21"/>
      <c r="UDN246" s="21"/>
      <c r="UDO246" s="15"/>
      <c r="UDP246" s="15"/>
      <c r="UDQ246" s="15"/>
      <c r="UDR246" s="15"/>
      <c r="UDS246" s="15"/>
      <c r="UDT246" s="15"/>
      <c r="UDU246" s="15"/>
      <c r="UDV246" s="15"/>
      <c r="UDW246" s="15"/>
      <c r="UDX246" s="15"/>
      <c r="UDY246" s="10"/>
      <c r="UDZ246" s="10"/>
      <c r="UEA246" s="21"/>
      <c r="UEB246" s="21"/>
      <c r="UEE246" s="21"/>
      <c r="UEF246" s="15"/>
      <c r="UEG246" s="15"/>
      <c r="UEH246" s="15"/>
      <c r="UEI246" s="15"/>
      <c r="UEJ246" s="15"/>
      <c r="UEK246" s="15"/>
      <c r="UEL246" s="15"/>
      <c r="UEM246" s="15"/>
      <c r="UEN246" s="15"/>
      <c r="UEO246" s="15"/>
      <c r="UEP246" s="10"/>
      <c r="UEQ246" s="10"/>
      <c r="UER246" s="21"/>
      <c r="UES246" s="21"/>
      <c r="UEV246" s="21"/>
      <c r="UEW246" s="15"/>
      <c r="UEX246" s="15"/>
      <c r="UEY246" s="15"/>
      <c r="UEZ246" s="15"/>
      <c r="UFA246" s="15"/>
      <c r="UFB246" s="15"/>
      <c r="UFC246" s="15"/>
      <c r="UFD246" s="15"/>
      <c r="UFE246" s="15"/>
      <c r="UFF246" s="15"/>
      <c r="UFG246" s="10"/>
      <c r="UFH246" s="10"/>
      <c r="UFI246" s="21"/>
      <c r="UFJ246" s="21"/>
      <c r="UFM246" s="21"/>
      <c r="UFN246" s="15"/>
      <c r="UFO246" s="15"/>
      <c r="UFP246" s="15"/>
      <c r="UFQ246" s="15"/>
      <c r="UFR246" s="15"/>
      <c r="UFS246" s="15"/>
      <c r="UFT246" s="15"/>
      <c r="UFU246" s="15"/>
      <c r="UFV246" s="15"/>
      <c r="UFW246" s="15"/>
      <c r="UFX246" s="10"/>
      <c r="UFY246" s="10"/>
      <c r="UFZ246" s="21"/>
      <c r="UGA246" s="21"/>
      <c r="UGD246" s="21"/>
      <c r="UGE246" s="15"/>
      <c r="UGF246" s="15"/>
      <c r="UGG246" s="15"/>
      <c r="UGH246" s="15"/>
      <c r="UGI246" s="15"/>
      <c r="UGJ246" s="15"/>
      <c r="UGK246" s="15"/>
      <c r="UGL246" s="15"/>
      <c r="UGM246" s="15"/>
      <c r="UGN246" s="15"/>
      <c r="UGO246" s="10"/>
      <c r="UGP246" s="10"/>
      <c r="UGQ246" s="21"/>
      <c r="UGR246" s="21"/>
      <c r="UGU246" s="21"/>
      <c r="UGV246" s="15"/>
      <c r="UGW246" s="15"/>
      <c r="UGX246" s="15"/>
      <c r="UGY246" s="15"/>
      <c r="UGZ246" s="15"/>
      <c r="UHA246" s="15"/>
      <c r="UHB246" s="15"/>
      <c r="UHC246" s="15"/>
      <c r="UHD246" s="15"/>
      <c r="UHE246" s="15"/>
      <c r="UHF246" s="10"/>
      <c r="UHG246" s="10"/>
      <c r="UHH246" s="21"/>
      <c r="UHI246" s="21"/>
      <c r="UHL246" s="21"/>
      <c r="UHM246" s="15"/>
      <c r="UHN246" s="15"/>
      <c r="UHO246" s="15"/>
      <c r="UHP246" s="15"/>
      <c r="UHQ246" s="15"/>
      <c r="UHR246" s="15"/>
      <c r="UHS246" s="15"/>
      <c r="UHT246" s="15"/>
      <c r="UHU246" s="15"/>
      <c r="UHV246" s="15"/>
      <c r="UHW246" s="10"/>
      <c r="UHX246" s="10"/>
      <c r="UHY246" s="21"/>
      <c r="UHZ246" s="21"/>
      <c r="UIC246" s="21"/>
      <c r="UID246" s="15"/>
      <c r="UIE246" s="15"/>
      <c r="UIF246" s="15"/>
      <c r="UIG246" s="15"/>
      <c r="UIH246" s="15"/>
      <c r="UII246" s="15"/>
      <c r="UIJ246" s="15"/>
      <c r="UIK246" s="15"/>
      <c r="UIL246" s="15"/>
      <c r="UIM246" s="15"/>
      <c r="UIN246" s="10"/>
      <c r="UIO246" s="10"/>
      <c r="UIP246" s="21"/>
      <c r="UIQ246" s="21"/>
      <c r="UIT246" s="21"/>
      <c r="UIU246" s="15"/>
      <c r="UIV246" s="15"/>
      <c r="UIW246" s="15"/>
      <c r="UIX246" s="15"/>
      <c r="UIY246" s="15"/>
      <c r="UIZ246" s="15"/>
      <c r="UJA246" s="15"/>
      <c r="UJB246" s="15"/>
      <c r="UJC246" s="15"/>
      <c r="UJD246" s="15"/>
      <c r="UJE246" s="10"/>
      <c r="UJF246" s="10"/>
      <c r="UJG246" s="21"/>
      <c r="UJH246" s="21"/>
      <c r="UJK246" s="21"/>
      <c r="UJL246" s="15"/>
      <c r="UJM246" s="15"/>
      <c r="UJN246" s="15"/>
      <c r="UJO246" s="15"/>
      <c r="UJP246" s="15"/>
      <c r="UJQ246" s="15"/>
      <c r="UJR246" s="15"/>
      <c r="UJS246" s="15"/>
      <c r="UJT246" s="15"/>
      <c r="UJU246" s="15"/>
      <c r="UJV246" s="10"/>
      <c r="UJW246" s="10"/>
      <c r="UJX246" s="21"/>
      <c r="UJY246" s="21"/>
      <c r="UKB246" s="21"/>
      <c r="UKC246" s="15"/>
      <c r="UKD246" s="15"/>
      <c r="UKE246" s="15"/>
      <c r="UKF246" s="15"/>
      <c r="UKG246" s="15"/>
      <c r="UKH246" s="15"/>
      <c r="UKI246" s="15"/>
      <c r="UKJ246" s="15"/>
      <c r="UKK246" s="15"/>
      <c r="UKL246" s="15"/>
      <c r="UKM246" s="10"/>
      <c r="UKN246" s="10"/>
      <c r="UKO246" s="21"/>
      <c r="UKP246" s="21"/>
      <c r="UKS246" s="21"/>
      <c r="UKT246" s="15"/>
      <c r="UKU246" s="15"/>
      <c r="UKV246" s="15"/>
      <c r="UKW246" s="15"/>
      <c r="UKX246" s="15"/>
      <c r="UKY246" s="15"/>
      <c r="UKZ246" s="15"/>
      <c r="ULA246" s="15"/>
      <c r="ULB246" s="15"/>
      <c r="ULC246" s="15"/>
      <c r="ULD246" s="10"/>
      <c r="ULE246" s="10"/>
      <c r="ULF246" s="21"/>
      <c r="ULG246" s="21"/>
      <c r="ULJ246" s="21"/>
      <c r="ULK246" s="15"/>
      <c r="ULL246" s="15"/>
      <c r="ULM246" s="15"/>
      <c r="ULN246" s="15"/>
      <c r="ULO246" s="15"/>
      <c r="ULP246" s="15"/>
      <c r="ULQ246" s="15"/>
      <c r="ULR246" s="15"/>
      <c r="ULS246" s="15"/>
      <c r="ULT246" s="15"/>
      <c r="ULU246" s="10"/>
      <c r="ULV246" s="10"/>
      <c r="ULW246" s="21"/>
      <c r="ULX246" s="21"/>
      <c r="UMA246" s="21"/>
      <c r="UMB246" s="15"/>
      <c r="UMC246" s="15"/>
      <c r="UMD246" s="15"/>
      <c r="UME246" s="15"/>
      <c r="UMF246" s="15"/>
      <c r="UMG246" s="15"/>
      <c r="UMH246" s="15"/>
      <c r="UMI246" s="15"/>
      <c r="UMJ246" s="15"/>
      <c r="UMK246" s="15"/>
      <c r="UML246" s="10"/>
      <c r="UMM246" s="10"/>
      <c r="UMN246" s="21"/>
      <c r="UMO246" s="21"/>
      <c r="UMR246" s="21"/>
      <c r="UMS246" s="15"/>
      <c r="UMT246" s="15"/>
      <c r="UMU246" s="15"/>
      <c r="UMV246" s="15"/>
      <c r="UMW246" s="15"/>
      <c r="UMX246" s="15"/>
      <c r="UMY246" s="15"/>
      <c r="UMZ246" s="15"/>
      <c r="UNA246" s="15"/>
      <c r="UNB246" s="15"/>
      <c r="UNC246" s="10"/>
      <c r="UND246" s="10"/>
      <c r="UNE246" s="21"/>
      <c r="UNF246" s="21"/>
      <c r="UNI246" s="21"/>
      <c r="UNJ246" s="15"/>
      <c r="UNK246" s="15"/>
      <c r="UNL246" s="15"/>
      <c r="UNM246" s="15"/>
      <c r="UNN246" s="15"/>
      <c r="UNO246" s="15"/>
      <c r="UNP246" s="15"/>
      <c r="UNQ246" s="15"/>
      <c r="UNR246" s="15"/>
      <c r="UNS246" s="15"/>
      <c r="UNT246" s="10"/>
      <c r="UNU246" s="10"/>
      <c r="UNV246" s="21"/>
      <c r="UNW246" s="21"/>
      <c r="UNZ246" s="21"/>
      <c r="UOA246" s="15"/>
      <c r="UOB246" s="15"/>
      <c r="UOC246" s="15"/>
      <c r="UOD246" s="15"/>
      <c r="UOE246" s="15"/>
      <c r="UOF246" s="15"/>
      <c r="UOG246" s="15"/>
      <c r="UOH246" s="15"/>
      <c r="UOI246" s="15"/>
      <c r="UOJ246" s="15"/>
      <c r="UOK246" s="10"/>
      <c r="UOL246" s="10"/>
      <c r="UOM246" s="21"/>
      <c r="UON246" s="21"/>
      <c r="UOQ246" s="21"/>
      <c r="UOR246" s="15"/>
      <c r="UOS246" s="15"/>
      <c r="UOT246" s="15"/>
      <c r="UOU246" s="15"/>
      <c r="UOV246" s="15"/>
      <c r="UOW246" s="15"/>
      <c r="UOX246" s="15"/>
      <c r="UOY246" s="15"/>
      <c r="UOZ246" s="15"/>
      <c r="UPA246" s="15"/>
      <c r="UPB246" s="10"/>
      <c r="UPC246" s="10"/>
      <c r="UPD246" s="21"/>
      <c r="UPE246" s="21"/>
      <c r="UPH246" s="21"/>
      <c r="UPI246" s="15"/>
      <c r="UPJ246" s="15"/>
      <c r="UPK246" s="15"/>
      <c r="UPL246" s="15"/>
      <c r="UPM246" s="15"/>
      <c r="UPN246" s="15"/>
      <c r="UPO246" s="15"/>
      <c r="UPP246" s="15"/>
      <c r="UPQ246" s="15"/>
      <c r="UPR246" s="15"/>
      <c r="UPS246" s="10"/>
      <c r="UPT246" s="10"/>
      <c r="UPU246" s="21"/>
      <c r="UPV246" s="21"/>
      <c r="UPY246" s="21"/>
      <c r="UPZ246" s="15"/>
      <c r="UQA246" s="15"/>
      <c r="UQB246" s="15"/>
      <c r="UQC246" s="15"/>
      <c r="UQD246" s="15"/>
      <c r="UQE246" s="15"/>
      <c r="UQF246" s="15"/>
      <c r="UQG246" s="15"/>
      <c r="UQH246" s="15"/>
      <c r="UQI246" s="15"/>
      <c r="UQJ246" s="10"/>
      <c r="UQK246" s="10"/>
      <c r="UQL246" s="21"/>
      <c r="UQM246" s="21"/>
      <c r="UQP246" s="21"/>
      <c r="UQQ246" s="15"/>
      <c r="UQR246" s="15"/>
      <c r="UQS246" s="15"/>
      <c r="UQT246" s="15"/>
      <c r="UQU246" s="15"/>
      <c r="UQV246" s="15"/>
      <c r="UQW246" s="15"/>
      <c r="UQX246" s="15"/>
      <c r="UQY246" s="15"/>
      <c r="UQZ246" s="15"/>
      <c r="URA246" s="10"/>
      <c r="URB246" s="10"/>
      <c r="URC246" s="21"/>
      <c r="URD246" s="21"/>
      <c r="URG246" s="21"/>
      <c r="URH246" s="15"/>
      <c r="URI246" s="15"/>
      <c r="URJ246" s="15"/>
      <c r="URK246" s="15"/>
      <c r="URL246" s="15"/>
      <c r="URM246" s="15"/>
      <c r="URN246" s="15"/>
      <c r="URO246" s="15"/>
      <c r="URP246" s="15"/>
      <c r="URQ246" s="15"/>
      <c r="URR246" s="10"/>
      <c r="URS246" s="10"/>
      <c r="URT246" s="21"/>
      <c r="URU246" s="21"/>
      <c r="URX246" s="21"/>
      <c r="URY246" s="15"/>
      <c r="URZ246" s="15"/>
      <c r="USA246" s="15"/>
      <c r="USB246" s="15"/>
      <c r="USC246" s="15"/>
      <c r="USD246" s="15"/>
      <c r="USE246" s="15"/>
      <c r="USF246" s="15"/>
      <c r="USG246" s="15"/>
      <c r="USH246" s="15"/>
      <c r="USI246" s="10"/>
      <c r="USJ246" s="10"/>
      <c r="USK246" s="21"/>
      <c r="USL246" s="21"/>
      <c r="USO246" s="21"/>
      <c r="USP246" s="15"/>
      <c r="USQ246" s="15"/>
      <c r="USR246" s="15"/>
      <c r="USS246" s="15"/>
      <c r="UST246" s="15"/>
      <c r="USU246" s="15"/>
      <c r="USV246" s="15"/>
      <c r="USW246" s="15"/>
      <c r="USX246" s="15"/>
      <c r="USY246" s="15"/>
      <c r="USZ246" s="10"/>
      <c r="UTA246" s="10"/>
      <c r="UTB246" s="21"/>
      <c r="UTC246" s="21"/>
      <c r="UTF246" s="21"/>
      <c r="UTG246" s="15"/>
      <c r="UTH246" s="15"/>
      <c r="UTI246" s="15"/>
      <c r="UTJ246" s="15"/>
      <c r="UTK246" s="15"/>
      <c r="UTL246" s="15"/>
      <c r="UTM246" s="15"/>
      <c r="UTN246" s="15"/>
      <c r="UTO246" s="15"/>
      <c r="UTP246" s="15"/>
      <c r="UTQ246" s="10"/>
      <c r="UTR246" s="10"/>
      <c r="UTS246" s="21"/>
      <c r="UTT246" s="21"/>
      <c r="UTW246" s="21"/>
      <c r="UTX246" s="15"/>
      <c r="UTY246" s="15"/>
      <c r="UTZ246" s="15"/>
      <c r="UUA246" s="15"/>
      <c r="UUB246" s="15"/>
      <c r="UUC246" s="15"/>
      <c r="UUD246" s="15"/>
      <c r="UUE246" s="15"/>
      <c r="UUF246" s="15"/>
      <c r="UUG246" s="15"/>
      <c r="UUH246" s="10"/>
      <c r="UUI246" s="10"/>
      <c r="UUJ246" s="21"/>
      <c r="UUK246" s="21"/>
      <c r="UUN246" s="21"/>
      <c r="UUO246" s="15"/>
      <c r="UUP246" s="15"/>
      <c r="UUQ246" s="15"/>
      <c r="UUR246" s="15"/>
      <c r="UUS246" s="15"/>
      <c r="UUT246" s="15"/>
      <c r="UUU246" s="15"/>
      <c r="UUV246" s="15"/>
      <c r="UUW246" s="15"/>
      <c r="UUX246" s="15"/>
      <c r="UUY246" s="10"/>
      <c r="UUZ246" s="10"/>
      <c r="UVA246" s="21"/>
      <c r="UVB246" s="21"/>
      <c r="UVE246" s="21"/>
      <c r="UVF246" s="15"/>
      <c r="UVG246" s="15"/>
      <c r="UVH246" s="15"/>
      <c r="UVI246" s="15"/>
      <c r="UVJ246" s="15"/>
      <c r="UVK246" s="15"/>
      <c r="UVL246" s="15"/>
      <c r="UVM246" s="15"/>
      <c r="UVN246" s="15"/>
      <c r="UVO246" s="15"/>
      <c r="UVP246" s="10"/>
      <c r="UVQ246" s="10"/>
      <c r="UVR246" s="21"/>
      <c r="UVS246" s="21"/>
      <c r="UVV246" s="21"/>
      <c r="UVW246" s="15"/>
      <c r="UVX246" s="15"/>
      <c r="UVY246" s="15"/>
      <c r="UVZ246" s="15"/>
      <c r="UWA246" s="15"/>
      <c r="UWB246" s="15"/>
      <c r="UWC246" s="15"/>
      <c r="UWD246" s="15"/>
      <c r="UWE246" s="15"/>
      <c r="UWF246" s="15"/>
      <c r="UWG246" s="10"/>
      <c r="UWH246" s="10"/>
      <c r="UWI246" s="21"/>
      <c r="UWJ246" s="21"/>
      <c r="UWM246" s="21"/>
      <c r="UWN246" s="15"/>
      <c r="UWO246" s="15"/>
      <c r="UWP246" s="15"/>
      <c r="UWQ246" s="15"/>
      <c r="UWR246" s="15"/>
      <c r="UWS246" s="15"/>
      <c r="UWT246" s="15"/>
      <c r="UWU246" s="15"/>
      <c r="UWV246" s="15"/>
      <c r="UWW246" s="15"/>
      <c r="UWX246" s="10"/>
      <c r="UWY246" s="10"/>
      <c r="UWZ246" s="21"/>
      <c r="UXA246" s="21"/>
      <c r="UXD246" s="21"/>
      <c r="UXE246" s="15"/>
      <c r="UXF246" s="15"/>
      <c r="UXG246" s="15"/>
      <c r="UXH246" s="15"/>
      <c r="UXI246" s="15"/>
      <c r="UXJ246" s="15"/>
      <c r="UXK246" s="15"/>
      <c r="UXL246" s="15"/>
      <c r="UXM246" s="15"/>
      <c r="UXN246" s="15"/>
      <c r="UXO246" s="10"/>
      <c r="UXP246" s="10"/>
      <c r="UXQ246" s="21"/>
      <c r="UXR246" s="21"/>
      <c r="UXU246" s="21"/>
      <c r="UXV246" s="15"/>
      <c r="UXW246" s="15"/>
      <c r="UXX246" s="15"/>
      <c r="UXY246" s="15"/>
      <c r="UXZ246" s="15"/>
      <c r="UYA246" s="15"/>
      <c r="UYB246" s="15"/>
      <c r="UYC246" s="15"/>
      <c r="UYD246" s="15"/>
      <c r="UYE246" s="15"/>
      <c r="UYF246" s="10"/>
      <c r="UYG246" s="10"/>
      <c r="UYH246" s="21"/>
      <c r="UYI246" s="21"/>
      <c r="UYL246" s="21"/>
      <c r="UYM246" s="15"/>
      <c r="UYN246" s="15"/>
      <c r="UYO246" s="15"/>
      <c r="UYP246" s="15"/>
      <c r="UYQ246" s="15"/>
      <c r="UYR246" s="15"/>
      <c r="UYS246" s="15"/>
      <c r="UYT246" s="15"/>
      <c r="UYU246" s="15"/>
      <c r="UYV246" s="15"/>
      <c r="UYW246" s="10"/>
      <c r="UYX246" s="10"/>
      <c r="UYY246" s="21"/>
      <c r="UYZ246" s="21"/>
      <c r="UZC246" s="21"/>
      <c r="UZD246" s="15"/>
      <c r="UZE246" s="15"/>
      <c r="UZF246" s="15"/>
      <c r="UZG246" s="15"/>
      <c r="UZH246" s="15"/>
      <c r="UZI246" s="15"/>
      <c r="UZJ246" s="15"/>
      <c r="UZK246" s="15"/>
      <c r="UZL246" s="15"/>
      <c r="UZM246" s="15"/>
      <c r="UZN246" s="10"/>
      <c r="UZO246" s="10"/>
      <c r="UZP246" s="21"/>
      <c r="UZQ246" s="21"/>
      <c r="UZT246" s="21"/>
      <c r="UZU246" s="15"/>
      <c r="UZV246" s="15"/>
      <c r="UZW246" s="15"/>
      <c r="UZX246" s="15"/>
      <c r="UZY246" s="15"/>
      <c r="UZZ246" s="15"/>
      <c r="VAA246" s="15"/>
      <c r="VAB246" s="15"/>
      <c r="VAC246" s="15"/>
      <c r="VAD246" s="15"/>
      <c r="VAE246" s="10"/>
      <c r="VAF246" s="10"/>
      <c r="VAG246" s="21"/>
      <c r="VAH246" s="21"/>
      <c r="VAK246" s="21"/>
      <c r="VAL246" s="15"/>
      <c r="VAM246" s="15"/>
      <c r="VAN246" s="15"/>
      <c r="VAO246" s="15"/>
      <c r="VAP246" s="15"/>
      <c r="VAQ246" s="15"/>
      <c r="VAR246" s="15"/>
      <c r="VAS246" s="15"/>
      <c r="VAT246" s="15"/>
      <c r="VAU246" s="15"/>
      <c r="VAV246" s="10"/>
      <c r="VAW246" s="10"/>
      <c r="VAX246" s="21"/>
      <c r="VAY246" s="21"/>
      <c r="VBB246" s="21"/>
      <c r="VBC246" s="15"/>
      <c r="VBD246" s="15"/>
      <c r="VBE246" s="15"/>
      <c r="VBF246" s="15"/>
      <c r="VBG246" s="15"/>
      <c r="VBH246" s="15"/>
      <c r="VBI246" s="15"/>
      <c r="VBJ246" s="15"/>
      <c r="VBK246" s="15"/>
      <c r="VBL246" s="15"/>
      <c r="VBM246" s="10"/>
      <c r="VBN246" s="10"/>
      <c r="VBO246" s="21"/>
      <c r="VBP246" s="21"/>
      <c r="VBS246" s="21"/>
      <c r="VBT246" s="15"/>
      <c r="VBU246" s="15"/>
      <c r="VBV246" s="15"/>
      <c r="VBW246" s="15"/>
      <c r="VBX246" s="15"/>
      <c r="VBY246" s="15"/>
      <c r="VBZ246" s="15"/>
      <c r="VCA246" s="15"/>
      <c r="VCB246" s="15"/>
      <c r="VCC246" s="15"/>
      <c r="VCD246" s="10"/>
      <c r="VCE246" s="10"/>
      <c r="VCF246" s="21"/>
      <c r="VCG246" s="21"/>
      <c r="VCJ246" s="21"/>
      <c r="VCK246" s="15"/>
      <c r="VCL246" s="15"/>
      <c r="VCM246" s="15"/>
      <c r="VCN246" s="15"/>
      <c r="VCO246" s="15"/>
      <c r="VCP246" s="15"/>
      <c r="VCQ246" s="15"/>
      <c r="VCR246" s="15"/>
      <c r="VCS246" s="15"/>
      <c r="VCT246" s="15"/>
      <c r="VCU246" s="10"/>
      <c r="VCV246" s="10"/>
      <c r="VCW246" s="21"/>
      <c r="VCX246" s="21"/>
      <c r="VDA246" s="21"/>
      <c r="VDB246" s="15"/>
      <c r="VDC246" s="15"/>
      <c r="VDD246" s="15"/>
      <c r="VDE246" s="15"/>
      <c r="VDF246" s="15"/>
      <c r="VDG246" s="15"/>
      <c r="VDH246" s="15"/>
      <c r="VDI246" s="15"/>
      <c r="VDJ246" s="15"/>
      <c r="VDK246" s="15"/>
      <c r="VDL246" s="10"/>
      <c r="VDM246" s="10"/>
      <c r="VDN246" s="21"/>
      <c r="VDO246" s="21"/>
      <c r="VDR246" s="21"/>
      <c r="VDS246" s="15"/>
      <c r="VDT246" s="15"/>
      <c r="VDU246" s="15"/>
      <c r="VDV246" s="15"/>
      <c r="VDW246" s="15"/>
      <c r="VDX246" s="15"/>
      <c r="VDY246" s="15"/>
      <c r="VDZ246" s="15"/>
      <c r="VEA246" s="15"/>
      <c r="VEB246" s="15"/>
      <c r="VEC246" s="10"/>
      <c r="VED246" s="10"/>
      <c r="VEE246" s="21"/>
      <c r="VEF246" s="21"/>
      <c r="VEI246" s="21"/>
      <c r="VEJ246" s="15"/>
      <c r="VEK246" s="15"/>
      <c r="VEL246" s="15"/>
      <c r="VEM246" s="15"/>
      <c r="VEN246" s="15"/>
      <c r="VEO246" s="15"/>
      <c r="VEP246" s="15"/>
      <c r="VEQ246" s="15"/>
      <c r="VER246" s="15"/>
      <c r="VES246" s="15"/>
      <c r="VET246" s="10"/>
      <c r="VEU246" s="10"/>
      <c r="VEV246" s="21"/>
      <c r="VEW246" s="21"/>
      <c r="VEZ246" s="21"/>
      <c r="VFA246" s="15"/>
      <c r="VFB246" s="15"/>
      <c r="VFC246" s="15"/>
      <c r="VFD246" s="15"/>
      <c r="VFE246" s="15"/>
      <c r="VFF246" s="15"/>
      <c r="VFG246" s="15"/>
      <c r="VFH246" s="15"/>
      <c r="VFI246" s="15"/>
      <c r="VFJ246" s="15"/>
      <c r="VFK246" s="10"/>
      <c r="VFL246" s="10"/>
      <c r="VFM246" s="21"/>
      <c r="VFN246" s="21"/>
      <c r="VFQ246" s="21"/>
      <c r="VFR246" s="15"/>
      <c r="VFS246" s="15"/>
      <c r="VFT246" s="15"/>
      <c r="VFU246" s="15"/>
      <c r="VFV246" s="15"/>
      <c r="VFW246" s="15"/>
      <c r="VFX246" s="15"/>
      <c r="VFY246" s="15"/>
      <c r="VFZ246" s="15"/>
      <c r="VGA246" s="15"/>
      <c r="VGB246" s="10"/>
      <c r="VGC246" s="10"/>
      <c r="VGD246" s="21"/>
      <c r="VGE246" s="21"/>
      <c r="VGH246" s="21"/>
      <c r="VGI246" s="15"/>
      <c r="VGJ246" s="15"/>
      <c r="VGK246" s="15"/>
      <c r="VGL246" s="15"/>
      <c r="VGM246" s="15"/>
      <c r="VGN246" s="15"/>
      <c r="VGO246" s="15"/>
      <c r="VGP246" s="15"/>
      <c r="VGQ246" s="15"/>
      <c r="VGR246" s="15"/>
      <c r="VGS246" s="10"/>
      <c r="VGT246" s="10"/>
      <c r="VGU246" s="21"/>
      <c r="VGV246" s="21"/>
      <c r="VGY246" s="21"/>
      <c r="VGZ246" s="15"/>
      <c r="VHA246" s="15"/>
      <c r="VHB246" s="15"/>
      <c r="VHC246" s="15"/>
      <c r="VHD246" s="15"/>
      <c r="VHE246" s="15"/>
      <c r="VHF246" s="15"/>
      <c r="VHG246" s="15"/>
      <c r="VHH246" s="15"/>
      <c r="VHI246" s="15"/>
      <c r="VHJ246" s="10"/>
      <c r="VHK246" s="10"/>
      <c r="VHL246" s="21"/>
      <c r="VHM246" s="21"/>
      <c r="VHP246" s="21"/>
      <c r="VHQ246" s="15"/>
      <c r="VHR246" s="15"/>
      <c r="VHS246" s="15"/>
      <c r="VHT246" s="15"/>
      <c r="VHU246" s="15"/>
      <c r="VHV246" s="15"/>
      <c r="VHW246" s="15"/>
      <c r="VHX246" s="15"/>
      <c r="VHY246" s="15"/>
      <c r="VHZ246" s="15"/>
      <c r="VIA246" s="10"/>
      <c r="VIB246" s="10"/>
      <c r="VIC246" s="21"/>
      <c r="VID246" s="21"/>
      <c r="VIG246" s="21"/>
      <c r="VIH246" s="15"/>
      <c r="VII246" s="15"/>
      <c r="VIJ246" s="15"/>
      <c r="VIK246" s="15"/>
      <c r="VIL246" s="15"/>
      <c r="VIM246" s="15"/>
      <c r="VIN246" s="15"/>
      <c r="VIO246" s="15"/>
      <c r="VIP246" s="15"/>
      <c r="VIQ246" s="15"/>
      <c r="VIR246" s="10"/>
      <c r="VIS246" s="10"/>
      <c r="VIT246" s="21"/>
      <c r="VIU246" s="21"/>
      <c r="VIX246" s="21"/>
      <c r="VIY246" s="15"/>
      <c r="VIZ246" s="15"/>
      <c r="VJA246" s="15"/>
      <c r="VJB246" s="15"/>
      <c r="VJC246" s="15"/>
      <c r="VJD246" s="15"/>
      <c r="VJE246" s="15"/>
      <c r="VJF246" s="15"/>
      <c r="VJG246" s="15"/>
      <c r="VJH246" s="15"/>
      <c r="VJI246" s="10"/>
      <c r="VJJ246" s="10"/>
      <c r="VJK246" s="21"/>
      <c r="VJL246" s="21"/>
      <c r="VJO246" s="21"/>
      <c r="VJP246" s="15"/>
      <c r="VJQ246" s="15"/>
      <c r="VJR246" s="15"/>
      <c r="VJS246" s="15"/>
      <c r="VJT246" s="15"/>
      <c r="VJU246" s="15"/>
      <c r="VJV246" s="15"/>
      <c r="VJW246" s="15"/>
      <c r="VJX246" s="15"/>
      <c r="VJY246" s="15"/>
      <c r="VJZ246" s="10"/>
      <c r="VKA246" s="10"/>
      <c r="VKB246" s="21"/>
      <c r="VKC246" s="21"/>
      <c r="VKF246" s="21"/>
      <c r="VKG246" s="15"/>
      <c r="VKH246" s="15"/>
      <c r="VKI246" s="15"/>
      <c r="VKJ246" s="15"/>
      <c r="VKK246" s="15"/>
      <c r="VKL246" s="15"/>
      <c r="VKM246" s="15"/>
      <c r="VKN246" s="15"/>
      <c r="VKO246" s="15"/>
      <c r="VKP246" s="15"/>
      <c r="VKQ246" s="10"/>
      <c r="VKR246" s="10"/>
      <c r="VKS246" s="21"/>
      <c r="VKT246" s="21"/>
      <c r="VKW246" s="21"/>
      <c r="VKX246" s="15"/>
      <c r="VKY246" s="15"/>
      <c r="VKZ246" s="15"/>
      <c r="VLA246" s="15"/>
      <c r="VLB246" s="15"/>
      <c r="VLC246" s="15"/>
      <c r="VLD246" s="15"/>
      <c r="VLE246" s="15"/>
      <c r="VLF246" s="15"/>
      <c r="VLG246" s="15"/>
      <c r="VLH246" s="10"/>
      <c r="VLI246" s="10"/>
      <c r="VLJ246" s="21"/>
      <c r="VLK246" s="21"/>
      <c r="VLN246" s="21"/>
      <c r="VLO246" s="15"/>
      <c r="VLP246" s="15"/>
      <c r="VLQ246" s="15"/>
      <c r="VLR246" s="15"/>
      <c r="VLS246" s="15"/>
      <c r="VLT246" s="15"/>
      <c r="VLU246" s="15"/>
      <c r="VLV246" s="15"/>
      <c r="VLW246" s="15"/>
      <c r="VLX246" s="15"/>
      <c r="VLY246" s="10"/>
      <c r="VLZ246" s="10"/>
      <c r="VMA246" s="21"/>
      <c r="VMB246" s="21"/>
      <c r="VME246" s="21"/>
      <c r="VMF246" s="15"/>
      <c r="VMG246" s="15"/>
      <c r="VMH246" s="15"/>
      <c r="VMI246" s="15"/>
      <c r="VMJ246" s="15"/>
      <c r="VMK246" s="15"/>
      <c r="VML246" s="15"/>
      <c r="VMM246" s="15"/>
      <c r="VMN246" s="15"/>
      <c r="VMO246" s="15"/>
      <c r="VMP246" s="10"/>
      <c r="VMQ246" s="10"/>
      <c r="VMR246" s="21"/>
      <c r="VMS246" s="21"/>
      <c r="VMV246" s="21"/>
      <c r="VMW246" s="15"/>
      <c r="VMX246" s="15"/>
      <c r="VMY246" s="15"/>
      <c r="VMZ246" s="15"/>
      <c r="VNA246" s="15"/>
      <c r="VNB246" s="15"/>
      <c r="VNC246" s="15"/>
      <c r="VND246" s="15"/>
      <c r="VNE246" s="15"/>
      <c r="VNF246" s="15"/>
      <c r="VNG246" s="10"/>
      <c r="VNH246" s="10"/>
      <c r="VNI246" s="21"/>
      <c r="VNJ246" s="21"/>
      <c r="VNM246" s="21"/>
      <c r="VNN246" s="15"/>
      <c r="VNO246" s="15"/>
      <c r="VNP246" s="15"/>
      <c r="VNQ246" s="15"/>
      <c r="VNR246" s="15"/>
      <c r="VNS246" s="15"/>
      <c r="VNT246" s="15"/>
      <c r="VNU246" s="15"/>
      <c r="VNV246" s="15"/>
      <c r="VNW246" s="15"/>
      <c r="VNX246" s="10"/>
      <c r="VNY246" s="10"/>
      <c r="VNZ246" s="21"/>
      <c r="VOA246" s="21"/>
      <c r="VOD246" s="21"/>
      <c r="VOE246" s="15"/>
      <c r="VOF246" s="15"/>
      <c r="VOG246" s="15"/>
      <c r="VOH246" s="15"/>
      <c r="VOI246" s="15"/>
      <c r="VOJ246" s="15"/>
      <c r="VOK246" s="15"/>
      <c r="VOL246" s="15"/>
      <c r="VOM246" s="15"/>
      <c r="VON246" s="15"/>
      <c r="VOO246" s="10"/>
      <c r="VOP246" s="10"/>
      <c r="VOQ246" s="21"/>
      <c r="VOR246" s="21"/>
      <c r="VOU246" s="21"/>
      <c r="VOV246" s="15"/>
      <c r="VOW246" s="15"/>
      <c r="VOX246" s="15"/>
      <c r="VOY246" s="15"/>
      <c r="VOZ246" s="15"/>
      <c r="VPA246" s="15"/>
      <c r="VPB246" s="15"/>
      <c r="VPC246" s="15"/>
      <c r="VPD246" s="15"/>
      <c r="VPE246" s="15"/>
      <c r="VPF246" s="10"/>
      <c r="VPG246" s="10"/>
      <c r="VPH246" s="21"/>
      <c r="VPI246" s="21"/>
      <c r="VPL246" s="21"/>
      <c r="VPM246" s="15"/>
      <c r="VPN246" s="15"/>
      <c r="VPO246" s="15"/>
      <c r="VPP246" s="15"/>
      <c r="VPQ246" s="15"/>
      <c r="VPR246" s="15"/>
      <c r="VPS246" s="15"/>
      <c r="VPT246" s="15"/>
      <c r="VPU246" s="15"/>
      <c r="VPV246" s="15"/>
      <c r="VPW246" s="10"/>
      <c r="VPX246" s="10"/>
      <c r="VPY246" s="21"/>
      <c r="VPZ246" s="21"/>
      <c r="VQC246" s="21"/>
      <c r="VQD246" s="15"/>
      <c r="VQE246" s="15"/>
      <c r="VQF246" s="15"/>
      <c r="VQG246" s="15"/>
      <c r="VQH246" s="15"/>
      <c r="VQI246" s="15"/>
      <c r="VQJ246" s="15"/>
      <c r="VQK246" s="15"/>
      <c r="VQL246" s="15"/>
      <c r="VQM246" s="15"/>
      <c r="VQN246" s="10"/>
      <c r="VQO246" s="10"/>
      <c r="VQP246" s="21"/>
      <c r="VQQ246" s="21"/>
      <c r="VQT246" s="21"/>
      <c r="VQU246" s="15"/>
      <c r="VQV246" s="15"/>
      <c r="VQW246" s="15"/>
      <c r="VQX246" s="15"/>
      <c r="VQY246" s="15"/>
      <c r="VQZ246" s="15"/>
      <c r="VRA246" s="15"/>
      <c r="VRB246" s="15"/>
      <c r="VRC246" s="15"/>
      <c r="VRD246" s="15"/>
      <c r="VRE246" s="10"/>
      <c r="VRF246" s="10"/>
      <c r="VRG246" s="21"/>
      <c r="VRH246" s="21"/>
      <c r="VRK246" s="21"/>
      <c r="VRL246" s="15"/>
      <c r="VRM246" s="15"/>
      <c r="VRN246" s="15"/>
      <c r="VRO246" s="15"/>
      <c r="VRP246" s="15"/>
      <c r="VRQ246" s="15"/>
      <c r="VRR246" s="15"/>
      <c r="VRS246" s="15"/>
      <c r="VRT246" s="15"/>
      <c r="VRU246" s="15"/>
      <c r="VRV246" s="10"/>
      <c r="VRW246" s="10"/>
      <c r="VRX246" s="21"/>
      <c r="VRY246" s="21"/>
      <c r="VSB246" s="21"/>
      <c r="VSC246" s="15"/>
      <c r="VSD246" s="15"/>
      <c r="VSE246" s="15"/>
      <c r="VSF246" s="15"/>
      <c r="VSG246" s="15"/>
      <c r="VSH246" s="15"/>
      <c r="VSI246" s="15"/>
      <c r="VSJ246" s="15"/>
      <c r="VSK246" s="15"/>
      <c r="VSL246" s="15"/>
      <c r="VSM246" s="10"/>
      <c r="VSN246" s="10"/>
      <c r="VSO246" s="21"/>
      <c r="VSP246" s="21"/>
      <c r="VSS246" s="21"/>
      <c r="VST246" s="15"/>
      <c r="VSU246" s="15"/>
      <c r="VSV246" s="15"/>
      <c r="VSW246" s="15"/>
      <c r="VSX246" s="15"/>
      <c r="VSY246" s="15"/>
      <c r="VSZ246" s="15"/>
      <c r="VTA246" s="15"/>
      <c r="VTB246" s="15"/>
      <c r="VTC246" s="15"/>
      <c r="VTD246" s="10"/>
      <c r="VTE246" s="10"/>
      <c r="VTF246" s="21"/>
      <c r="VTG246" s="21"/>
      <c r="VTJ246" s="21"/>
      <c r="VTK246" s="15"/>
      <c r="VTL246" s="15"/>
      <c r="VTM246" s="15"/>
      <c r="VTN246" s="15"/>
      <c r="VTO246" s="15"/>
      <c r="VTP246" s="15"/>
      <c r="VTQ246" s="15"/>
      <c r="VTR246" s="15"/>
      <c r="VTS246" s="15"/>
      <c r="VTT246" s="15"/>
      <c r="VTU246" s="10"/>
      <c r="VTV246" s="10"/>
      <c r="VTW246" s="21"/>
      <c r="VTX246" s="21"/>
      <c r="VUA246" s="21"/>
      <c r="VUB246" s="15"/>
      <c r="VUC246" s="15"/>
      <c r="VUD246" s="15"/>
      <c r="VUE246" s="15"/>
      <c r="VUF246" s="15"/>
      <c r="VUG246" s="15"/>
      <c r="VUH246" s="15"/>
      <c r="VUI246" s="15"/>
      <c r="VUJ246" s="15"/>
      <c r="VUK246" s="15"/>
      <c r="VUL246" s="10"/>
      <c r="VUM246" s="10"/>
      <c r="VUN246" s="21"/>
      <c r="VUO246" s="21"/>
      <c r="VUR246" s="21"/>
      <c r="VUS246" s="15"/>
      <c r="VUT246" s="15"/>
      <c r="VUU246" s="15"/>
      <c r="VUV246" s="15"/>
      <c r="VUW246" s="15"/>
      <c r="VUX246" s="15"/>
      <c r="VUY246" s="15"/>
      <c r="VUZ246" s="15"/>
      <c r="VVA246" s="15"/>
      <c r="VVB246" s="15"/>
      <c r="VVC246" s="10"/>
      <c r="VVD246" s="10"/>
      <c r="VVE246" s="21"/>
      <c r="VVF246" s="21"/>
      <c r="VVI246" s="21"/>
      <c r="VVJ246" s="15"/>
      <c r="VVK246" s="15"/>
      <c r="VVL246" s="15"/>
      <c r="VVM246" s="15"/>
      <c r="VVN246" s="15"/>
      <c r="VVO246" s="15"/>
      <c r="VVP246" s="15"/>
      <c r="VVQ246" s="15"/>
      <c r="VVR246" s="15"/>
      <c r="VVS246" s="15"/>
      <c r="VVT246" s="10"/>
      <c r="VVU246" s="10"/>
      <c r="VVV246" s="21"/>
      <c r="VVW246" s="21"/>
      <c r="VVZ246" s="21"/>
      <c r="VWA246" s="15"/>
      <c r="VWB246" s="15"/>
      <c r="VWC246" s="15"/>
      <c r="VWD246" s="15"/>
      <c r="VWE246" s="15"/>
      <c r="VWF246" s="15"/>
      <c r="VWG246" s="15"/>
      <c r="VWH246" s="15"/>
      <c r="VWI246" s="15"/>
      <c r="VWJ246" s="15"/>
      <c r="VWK246" s="10"/>
      <c r="VWL246" s="10"/>
      <c r="VWM246" s="21"/>
      <c r="VWN246" s="21"/>
      <c r="VWQ246" s="21"/>
      <c r="VWR246" s="15"/>
      <c r="VWS246" s="15"/>
      <c r="VWT246" s="15"/>
      <c r="VWU246" s="15"/>
      <c r="VWV246" s="15"/>
      <c r="VWW246" s="15"/>
      <c r="VWX246" s="15"/>
      <c r="VWY246" s="15"/>
      <c r="VWZ246" s="15"/>
      <c r="VXA246" s="15"/>
      <c r="VXB246" s="10"/>
      <c r="VXC246" s="10"/>
      <c r="VXD246" s="21"/>
      <c r="VXE246" s="21"/>
      <c r="VXH246" s="21"/>
      <c r="VXI246" s="15"/>
      <c r="VXJ246" s="15"/>
      <c r="VXK246" s="15"/>
      <c r="VXL246" s="15"/>
      <c r="VXM246" s="15"/>
      <c r="VXN246" s="15"/>
      <c r="VXO246" s="15"/>
      <c r="VXP246" s="15"/>
      <c r="VXQ246" s="15"/>
      <c r="VXR246" s="15"/>
      <c r="VXS246" s="10"/>
      <c r="VXT246" s="10"/>
      <c r="VXU246" s="21"/>
      <c r="VXV246" s="21"/>
      <c r="VXY246" s="21"/>
      <c r="VXZ246" s="15"/>
      <c r="VYA246" s="15"/>
      <c r="VYB246" s="15"/>
      <c r="VYC246" s="15"/>
      <c r="VYD246" s="15"/>
      <c r="VYE246" s="15"/>
      <c r="VYF246" s="15"/>
      <c r="VYG246" s="15"/>
      <c r="VYH246" s="15"/>
      <c r="VYI246" s="15"/>
      <c r="VYJ246" s="10"/>
      <c r="VYK246" s="10"/>
      <c r="VYL246" s="21"/>
      <c r="VYM246" s="21"/>
      <c r="VYP246" s="21"/>
      <c r="VYQ246" s="15"/>
      <c r="VYR246" s="15"/>
      <c r="VYS246" s="15"/>
      <c r="VYT246" s="15"/>
      <c r="VYU246" s="15"/>
      <c r="VYV246" s="15"/>
      <c r="VYW246" s="15"/>
      <c r="VYX246" s="15"/>
      <c r="VYY246" s="15"/>
      <c r="VYZ246" s="15"/>
      <c r="VZA246" s="10"/>
      <c r="VZB246" s="10"/>
      <c r="VZC246" s="21"/>
      <c r="VZD246" s="21"/>
      <c r="VZG246" s="21"/>
      <c r="VZH246" s="15"/>
      <c r="VZI246" s="15"/>
      <c r="VZJ246" s="15"/>
      <c r="VZK246" s="15"/>
      <c r="VZL246" s="15"/>
      <c r="VZM246" s="15"/>
      <c r="VZN246" s="15"/>
      <c r="VZO246" s="15"/>
      <c r="VZP246" s="15"/>
      <c r="VZQ246" s="15"/>
      <c r="VZR246" s="10"/>
      <c r="VZS246" s="10"/>
      <c r="VZT246" s="21"/>
      <c r="VZU246" s="21"/>
      <c r="VZX246" s="21"/>
      <c r="VZY246" s="15"/>
      <c r="VZZ246" s="15"/>
      <c r="WAA246" s="15"/>
      <c r="WAB246" s="15"/>
      <c r="WAC246" s="15"/>
      <c r="WAD246" s="15"/>
      <c r="WAE246" s="15"/>
      <c r="WAF246" s="15"/>
      <c r="WAG246" s="15"/>
      <c r="WAH246" s="15"/>
      <c r="WAI246" s="10"/>
      <c r="WAJ246" s="10"/>
      <c r="WAK246" s="21"/>
      <c r="WAL246" s="21"/>
      <c r="WAO246" s="21"/>
      <c r="WAP246" s="15"/>
      <c r="WAQ246" s="15"/>
      <c r="WAR246" s="15"/>
      <c r="WAS246" s="15"/>
      <c r="WAT246" s="15"/>
      <c r="WAU246" s="15"/>
      <c r="WAV246" s="15"/>
      <c r="WAW246" s="15"/>
      <c r="WAX246" s="15"/>
      <c r="WAY246" s="15"/>
      <c r="WAZ246" s="10"/>
      <c r="WBA246" s="10"/>
      <c r="WBB246" s="21"/>
      <c r="WBC246" s="21"/>
      <c r="WBF246" s="21"/>
      <c r="WBG246" s="15"/>
      <c r="WBH246" s="15"/>
      <c r="WBI246" s="15"/>
      <c r="WBJ246" s="15"/>
      <c r="WBK246" s="15"/>
      <c r="WBL246" s="15"/>
      <c r="WBM246" s="15"/>
      <c r="WBN246" s="15"/>
      <c r="WBO246" s="15"/>
      <c r="WBP246" s="15"/>
      <c r="WBQ246" s="10"/>
      <c r="WBR246" s="10"/>
      <c r="WBS246" s="21"/>
      <c r="WBT246" s="21"/>
      <c r="WBW246" s="21"/>
      <c r="WBX246" s="15"/>
      <c r="WBY246" s="15"/>
      <c r="WBZ246" s="15"/>
      <c r="WCA246" s="15"/>
      <c r="WCB246" s="15"/>
      <c r="WCC246" s="15"/>
      <c r="WCD246" s="15"/>
      <c r="WCE246" s="15"/>
      <c r="WCF246" s="15"/>
      <c r="WCG246" s="15"/>
      <c r="WCH246" s="10"/>
      <c r="WCI246" s="10"/>
      <c r="WCJ246" s="21"/>
      <c r="WCK246" s="21"/>
      <c r="WCN246" s="21"/>
      <c r="WCO246" s="15"/>
      <c r="WCP246" s="15"/>
      <c r="WCQ246" s="15"/>
      <c r="WCR246" s="15"/>
      <c r="WCS246" s="15"/>
      <c r="WCT246" s="15"/>
      <c r="WCU246" s="15"/>
      <c r="WCV246" s="15"/>
      <c r="WCW246" s="15"/>
      <c r="WCX246" s="15"/>
      <c r="WCY246" s="10"/>
      <c r="WCZ246" s="10"/>
      <c r="WDA246" s="21"/>
      <c r="WDB246" s="21"/>
      <c r="WDE246" s="21"/>
      <c r="WDF246" s="15"/>
      <c r="WDG246" s="15"/>
      <c r="WDH246" s="15"/>
      <c r="WDI246" s="15"/>
      <c r="WDJ246" s="15"/>
      <c r="WDK246" s="15"/>
      <c r="WDL246" s="15"/>
      <c r="WDM246" s="15"/>
      <c r="WDN246" s="15"/>
      <c r="WDO246" s="15"/>
      <c r="WDP246" s="10"/>
      <c r="WDQ246" s="10"/>
      <c r="WDR246" s="21"/>
      <c r="WDS246" s="21"/>
      <c r="WDV246" s="21"/>
      <c r="WDW246" s="15"/>
      <c r="WDX246" s="15"/>
      <c r="WDY246" s="15"/>
      <c r="WDZ246" s="15"/>
      <c r="WEA246" s="15"/>
      <c r="WEB246" s="15"/>
      <c r="WEC246" s="15"/>
      <c r="WED246" s="15"/>
      <c r="WEE246" s="15"/>
      <c r="WEF246" s="15"/>
      <c r="WEG246" s="10"/>
      <c r="WEH246" s="10"/>
      <c r="WEI246" s="21"/>
      <c r="WEJ246" s="21"/>
      <c r="WEM246" s="21"/>
      <c r="WEN246" s="15"/>
      <c r="WEO246" s="15"/>
      <c r="WEP246" s="15"/>
      <c r="WEQ246" s="15"/>
      <c r="WER246" s="15"/>
      <c r="WES246" s="15"/>
      <c r="WET246" s="15"/>
      <c r="WEU246" s="15"/>
      <c r="WEV246" s="15"/>
      <c r="WEW246" s="15"/>
      <c r="WEX246" s="10"/>
      <c r="WEY246" s="10"/>
      <c r="WEZ246" s="21"/>
      <c r="WFA246" s="21"/>
      <c r="WFD246" s="21"/>
      <c r="WFE246" s="15"/>
      <c r="WFF246" s="15"/>
      <c r="WFG246" s="15"/>
      <c r="WFH246" s="15"/>
      <c r="WFI246" s="15"/>
      <c r="WFJ246" s="15"/>
      <c r="WFK246" s="15"/>
      <c r="WFL246" s="15"/>
      <c r="WFM246" s="15"/>
      <c r="WFN246" s="15"/>
      <c r="WFO246" s="10"/>
      <c r="WFP246" s="10"/>
      <c r="WFQ246" s="21"/>
      <c r="WFR246" s="21"/>
      <c r="WFU246" s="21"/>
      <c r="WFV246" s="15"/>
      <c r="WFW246" s="15"/>
      <c r="WFX246" s="15"/>
      <c r="WFY246" s="15"/>
      <c r="WFZ246" s="15"/>
      <c r="WGA246" s="15"/>
      <c r="WGB246" s="15"/>
      <c r="WGC246" s="15"/>
      <c r="WGD246" s="15"/>
      <c r="WGE246" s="15"/>
      <c r="WGF246" s="10"/>
      <c r="WGG246" s="10"/>
      <c r="WGH246" s="21"/>
      <c r="WGI246" s="21"/>
      <c r="WGL246" s="21"/>
      <c r="WGM246" s="15"/>
      <c r="WGN246" s="15"/>
      <c r="WGO246" s="15"/>
      <c r="WGP246" s="15"/>
      <c r="WGQ246" s="15"/>
      <c r="WGR246" s="15"/>
      <c r="WGS246" s="15"/>
      <c r="WGT246" s="15"/>
      <c r="WGU246" s="15"/>
      <c r="WGV246" s="15"/>
      <c r="WGW246" s="10"/>
      <c r="WGX246" s="10"/>
      <c r="WGY246" s="21"/>
      <c r="WGZ246" s="21"/>
      <c r="WHC246" s="21"/>
      <c r="WHD246" s="15"/>
      <c r="WHE246" s="15"/>
      <c r="WHF246" s="15"/>
      <c r="WHG246" s="15"/>
      <c r="WHH246" s="15"/>
      <c r="WHI246" s="15"/>
      <c r="WHJ246" s="15"/>
      <c r="WHK246" s="15"/>
      <c r="WHL246" s="15"/>
      <c r="WHM246" s="15"/>
      <c r="WHN246" s="10"/>
      <c r="WHO246" s="10"/>
      <c r="WHP246" s="21"/>
      <c r="WHQ246" s="21"/>
      <c r="WHT246" s="21"/>
      <c r="WHU246" s="15"/>
      <c r="WHV246" s="15"/>
      <c r="WHW246" s="15"/>
      <c r="WHX246" s="15"/>
      <c r="WHY246" s="15"/>
      <c r="WHZ246" s="15"/>
      <c r="WIA246" s="15"/>
      <c r="WIB246" s="15"/>
      <c r="WIC246" s="15"/>
      <c r="WID246" s="15"/>
      <c r="WIE246" s="10"/>
      <c r="WIF246" s="10"/>
      <c r="WIG246" s="21"/>
      <c r="WIH246" s="21"/>
      <c r="WIK246" s="21"/>
      <c r="WIL246" s="15"/>
      <c r="WIM246" s="15"/>
      <c r="WIN246" s="15"/>
      <c r="WIO246" s="15"/>
      <c r="WIP246" s="15"/>
      <c r="WIQ246" s="15"/>
      <c r="WIR246" s="15"/>
      <c r="WIS246" s="15"/>
      <c r="WIT246" s="15"/>
      <c r="WIU246" s="15"/>
      <c r="WIV246" s="10"/>
      <c r="WIW246" s="10"/>
      <c r="WIX246" s="21"/>
      <c r="WIY246" s="21"/>
      <c r="WJB246" s="21"/>
      <c r="WJC246" s="15"/>
      <c r="WJD246" s="15"/>
      <c r="WJE246" s="15"/>
      <c r="WJF246" s="15"/>
      <c r="WJG246" s="15"/>
      <c r="WJH246" s="15"/>
      <c r="WJI246" s="15"/>
      <c r="WJJ246" s="15"/>
      <c r="WJK246" s="15"/>
      <c r="WJL246" s="15"/>
      <c r="WJM246" s="10"/>
      <c r="WJN246" s="10"/>
      <c r="WJO246" s="21"/>
      <c r="WJP246" s="21"/>
      <c r="WJS246" s="21"/>
      <c r="WJT246" s="15"/>
      <c r="WJU246" s="15"/>
      <c r="WJV246" s="15"/>
      <c r="WJW246" s="15"/>
      <c r="WJX246" s="15"/>
      <c r="WJY246" s="15"/>
      <c r="WJZ246" s="15"/>
      <c r="WKA246" s="15"/>
      <c r="WKB246" s="15"/>
      <c r="WKC246" s="15"/>
      <c r="WKD246" s="10"/>
      <c r="WKE246" s="10"/>
      <c r="WKF246" s="21"/>
      <c r="WKG246" s="21"/>
      <c r="WKJ246" s="21"/>
      <c r="WKK246" s="15"/>
      <c r="WKL246" s="15"/>
      <c r="WKM246" s="15"/>
      <c r="WKN246" s="15"/>
      <c r="WKO246" s="15"/>
      <c r="WKP246" s="15"/>
      <c r="WKQ246" s="15"/>
      <c r="WKR246" s="15"/>
      <c r="WKS246" s="15"/>
      <c r="WKT246" s="15"/>
      <c r="WKU246" s="10"/>
      <c r="WKV246" s="10"/>
      <c r="WKW246" s="21"/>
      <c r="WKX246" s="21"/>
      <c r="WLA246" s="21"/>
      <c r="WLB246" s="15"/>
      <c r="WLC246" s="15"/>
      <c r="WLD246" s="15"/>
      <c r="WLE246" s="15"/>
      <c r="WLF246" s="15"/>
      <c r="WLG246" s="15"/>
      <c r="WLH246" s="15"/>
      <c r="WLI246" s="15"/>
      <c r="WLJ246" s="15"/>
      <c r="WLK246" s="15"/>
      <c r="WLL246" s="10"/>
      <c r="WLM246" s="10"/>
      <c r="WLN246" s="21"/>
      <c r="WLO246" s="21"/>
      <c r="WLR246" s="21"/>
      <c r="WLS246" s="15"/>
      <c r="WLT246" s="15"/>
      <c r="WLU246" s="15"/>
      <c r="WLV246" s="15"/>
      <c r="WLW246" s="15"/>
      <c r="WLX246" s="15"/>
      <c r="WLY246" s="15"/>
      <c r="WLZ246" s="15"/>
      <c r="WMA246" s="15"/>
      <c r="WMB246" s="15"/>
      <c r="WMC246" s="10"/>
      <c r="WMD246" s="10"/>
      <c r="WME246" s="21"/>
      <c r="WMF246" s="21"/>
      <c r="WMI246" s="21"/>
      <c r="WMJ246" s="15"/>
      <c r="WMK246" s="15"/>
      <c r="WML246" s="15"/>
      <c r="WMM246" s="15"/>
      <c r="WMN246" s="15"/>
      <c r="WMO246" s="15"/>
      <c r="WMP246" s="15"/>
      <c r="WMQ246" s="15"/>
      <c r="WMR246" s="15"/>
      <c r="WMS246" s="15"/>
      <c r="WMT246" s="10"/>
      <c r="WMU246" s="10"/>
      <c r="WMV246" s="21"/>
      <c r="WMW246" s="21"/>
      <c r="WMZ246" s="21"/>
      <c r="WNA246" s="15"/>
      <c r="WNB246" s="15"/>
      <c r="WNC246" s="15"/>
      <c r="WND246" s="15"/>
      <c r="WNE246" s="15"/>
      <c r="WNF246" s="15"/>
      <c r="WNG246" s="15"/>
      <c r="WNH246" s="15"/>
      <c r="WNI246" s="15"/>
      <c r="WNJ246" s="15"/>
      <c r="WNK246" s="10"/>
      <c r="WNL246" s="10"/>
      <c r="WNM246" s="21"/>
      <c r="WNN246" s="21"/>
      <c r="WNQ246" s="21"/>
      <c r="WNR246" s="15"/>
      <c r="WNS246" s="15"/>
      <c r="WNT246" s="15"/>
      <c r="WNU246" s="15"/>
      <c r="WNV246" s="15"/>
      <c r="WNW246" s="15"/>
      <c r="WNX246" s="15"/>
      <c r="WNY246" s="15"/>
      <c r="WNZ246" s="15"/>
      <c r="WOA246" s="15"/>
      <c r="WOB246" s="10"/>
      <c r="WOC246" s="10"/>
      <c r="WOD246" s="21"/>
      <c r="WOE246" s="21"/>
      <c r="WOH246" s="21"/>
      <c r="WOI246" s="15"/>
      <c r="WOJ246" s="15"/>
      <c r="WOK246" s="15"/>
      <c r="WOL246" s="15"/>
      <c r="WOM246" s="15"/>
      <c r="WON246" s="15"/>
      <c r="WOO246" s="15"/>
      <c r="WOP246" s="15"/>
      <c r="WOQ246" s="15"/>
      <c r="WOR246" s="15"/>
      <c r="WOS246" s="10"/>
      <c r="WOT246" s="10"/>
      <c r="WOU246" s="21"/>
      <c r="WOV246" s="21"/>
      <c r="WOY246" s="21"/>
      <c r="WOZ246" s="15"/>
      <c r="WPA246" s="15"/>
      <c r="WPB246" s="15"/>
      <c r="WPC246" s="15"/>
      <c r="WPD246" s="15"/>
      <c r="WPE246" s="15"/>
      <c r="WPF246" s="15"/>
      <c r="WPG246" s="15"/>
      <c r="WPH246" s="15"/>
      <c r="WPI246" s="15"/>
      <c r="WPJ246" s="10"/>
      <c r="WPK246" s="10"/>
      <c r="WPL246" s="21"/>
      <c r="WPM246" s="21"/>
      <c r="WPP246" s="21"/>
      <c r="WPQ246" s="15"/>
      <c r="WPR246" s="15"/>
      <c r="WPS246" s="15"/>
      <c r="WPT246" s="15"/>
      <c r="WPU246" s="15"/>
      <c r="WPV246" s="15"/>
      <c r="WPW246" s="15"/>
      <c r="WPX246" s="15"/>
      <c r="WPY246" s="15"/>
      <c r="WPZ246" s="15"/>
      <c r="WQA246" s="10"/>
      <c r="WQB246" s="10"/>
      <c r="WQC246" s="21"/>
      <c r="WQD246" s="21"/>
      <c r="WQG246" s="21"/>
      <c r="WQH246" s="15"/>
      <c r="WQI246" s="15"/>
      <c r="WQJ246" s="15"/>
      <c r="WQK246" s="15"/>
      <c r="WQL246" s="15"/>
      <c r="WQM246" s="15"/>
      <c r="WQN246" s="15"/>
      <c r="WQO246" s="15"/>
      <c r="WQP246" s="15"/>
      <c r="WQQ246" s="15"/>
      <c r="WQR246" s="10"/>
      <c r="WQS246" s="10"/>
      <c r="WQT246" s="21"/>
      <c r="WQU246" s="21"/>
      <c r="WQX246" s="21"/>
      <c r="WQY246" s="15"/>
      <c r="WQZ246" s="15"/>
      <c r="WRA246" s="15"/>
      <c r="WRB246" s="15"/>
      <c r="WRC246" s="15"/>
      <c r="WRD246" s="15"/>
      <c r="WRE246" s="15"/>
      <c r="WRF246" s="15"/>
      <c r="WRG246" s="15"/>
      <c r="WRH246" s="15"/>
      <c r="WRI246" s="10"/>
      <c r="WRJ246" s="10"/>
      <c r="WRK246" s="21"/>
      <c r="WRL246" s="21"/>
      <c r="WRO246" s="21"/>
      <c r="WRP246" s="15"/>
      <c r="WRQ246" s="15"/>
      <c r="WRR246" s="15"/>
      <c r="WRS246" s="15"/>
      <c r="WRT246" s="15"/>
      <c r="WRU246" s="15"/>
      <c r="WRV246" s="15"/>
      <c r="WRW246" s="15"/>
      <c r="WRX246" s="15"/>
      <c r="WRY246" s="15"/>
      <c r="WRZ246" s="10"/>
      <c r="WSA246" s="10"/>
      <c r="WSB246" s="21"/>
      <c r="WSC246" s="21"/>
      <c r="WSF246" s="21"/>
      <c r="WSG246" s="15"/>
      <c r="WSH246" s="15"/>
      <c r="WSI246" s="15"/>
      <c r="WSJ246" s="15"/>
      <c r="WSK246" s="15"/>
      <c r="WSL246" s="15"/>
      <c r="WSM246" s="15"/>
      <c r="WSN246" s="15"/>
      <c r="WSO246" s="15"/>
      <c r="WSP246" s="15"/>
      <c r="WSQ246" s="10"/>
      <c r="WSR246" s="10"/>
      <c r="WSS246" s="21"/>
      <c r="WST246" s="21"/>
      <c r="WSW246" s="21"/>
      <c r="WSX246" s="15"/>
      <c r="WSY246" s="15"/>
      <c r="WSZ246" s="15"/>
      <c r="WTA246" s="15"/>
      <c r="WTB246" s="15"/>
      <c r="WTC246" s="15"/>
      <c r="WTD246" s="15"/>
      <c r="WTE246" s="15"/>
      <c r="WTF246" s="15"/>
      <c r="WTG246" s="15"/>
      <c r="WTH246" s="10"/>
      <c r="WTI246" s="10"/>
      <c r="WTJ246" s="21"/>
      <c r="WTK246" s="21"/>
      <c r="WTN246" s="21"/>
      <c r="WTO246" s="15"/>
      <c r="WTP246" s="15"/>
      <c r="WTQ246" s="15"/>
      <c r="WTR246" s="15"/>
      <c r="WTS246" s="15"/>
      <c r="WTT246" s="15"/>
      <c r="WTU246" s="15"/>
      <c r="WTV246" s="15"/>
      <c r="WTW246" s="15"/>
      <c r="WTX246" s="15"/>
      <c r="WTY246" s="10"/>
      <c r="WTZ246" s="10"/>
      <c r="WUA246" s="21"/>
      <c r="WUB246" s="21"/>
      <c r="WUE246" s="21"/>
      <c r="WUF246" s="15"/>
      <c r="WUG246" s="15"/>
      <c r="WUH246" s="15"/>
      <c r="WUI246" s="15"/>
      <c r="WUJ246" s="15"/>
      <c r="WUK246" s="15"/>
      <c r="WUL246" s="15"/>
      <c r="WUM246" s="15"/>
      <c r="WUN246" s="15"/>
      <c r="WUO246" s="15"/>
      <c r="WUP246" s="10"/>
      <c r="WUQ246" s="10"/>
      <c r="WUR246" s="21"/>
      <c r="WUS246" s="21"/>
      <c r="WUV246" s="21"/>
      <c r="WUW246" s="15"/>
      <c r="WUX246" s="15"/>
      <c r="WUY246" s="15"/>
      <c r="WUZ246" s="15"/>
      <c r="WVA246" s="15"/>
      <c r="WVB246" s="15"/>
      <c r="WVC246" s="15"/>
      <c r="WVD246" s="15"/>
      <c r="WVE246" s="15"/>
      <c r="WVF246" s="15"/>
      <c r="WVG246" s="10"/>
      <c r="WVH246" s="10"/>
      <c r="WVI246" s="21"/>
      <c r="WVJ246" s="21"/>
      <c r="WVM246" s="21"/>
      <c r="WVN246" s="15"/>
      <c r="WVO246" s="15"/>
      <c r="WVP246" s="15"/>
      <c r="WVQ246" s="15"/>
      <c r="WVR246" s="15"/>
      <c r="WVS246" s="15"/>
      <c r="WVT246" s="15"/>
      <c r="WVU246" s="15"/>
      <c r="WVV246" s="15"/>
      <c r="WVW246" s="15"/>
      <c r="WVX246" s="10"/>
      <c r="WVY246" s="10"/>
      <c r="WVZ246" s="21"/>
      <c r="WWA246" s="21"/>
      <c r="WWD246" s="21"/>
      <c r="WWE246" s="15"/>
      <c r="WWF246" s="15"/>
      <c r="WWG246" s="15"/>
      <c r="WWH246" s="15"/>
      <c r="WWI246" s="15"/>
      <c r="WWJ246" s="15"/>
      <c r="WWK246" s="15"/>
      <c r="WWL246" s="15"/>
      <c r="WWM246" s="15"/>
      <c r="WWN246" s="15"/>
      <c r="WWO246" s="10"/>
      <c r="WWP246" s="10"/>
      <c r="WWQ246" s="21"/>
      <c r="WWR246" s="21"/>
      <c r="WWU246" s="21"/>
      <c r="WWV246" s="15"/>
      <c r="WWW246" s="15"/>
      <c r="WWX246" s="15"/>
      <c r="WWY246" s="15"/>
      <c r="WWZ246" s="15"/>
      <c r="WXA246" s="15"/>
      <c r="WXB246" s="15"/>
      <c r="WXC246" s="15"/>
      <c r="WXD246" s="15"/>
      <c r="WXE246" s="15"/>
      <c r="WXF246" s="10"/>
      <c r="WXG246" s="10"/>
      <c r="WXH246" s="21"/>
      <c r="WXI246" s="21"/>
      <c r="WXL246" s="21"/>
      <c r="WXM246" s="15"/>
      <c r="WXN246" s="15"/>
      <c r="WXO246" s="15"/>
      <c r="WXP246" s="15"/>
      <c r="WXQ246" s="15"/>
      <c r="WXR246" s="15"/>
      <c r="WXS246" s="15"/>
      <c r="WXT246" s="15"/>
      <c r="WXU246" s="15"/>
      <c r="WXV246" s="15"/>
      <c r="WXW246" s="10"/>
      <c r="WXX246" s="10"/>
      <c r="WXY246" s="21"/>
      <c r="WXZ246" s="21"/>
      <c r="WYC246" s="21"/>
      <c r="WYD246" s="15"/>
      <c r="WYE246" s="15"/>
      <c r="WYF246" s="15"/>
      <c r="WYG246" s="15"/>
      <c r="WYH246" s="15"/>
      <c r="WYI246" s="15"/>
      <c r="WYJ246" s="15"/>
      <c r="WYK246" s="15"/>
      <c r="WYL246" s="15"/>
      <c r="WYM246" s="15"/>
      <c r="WYN246" s="10"/>
      <c r="WYO246" s="10"/>
      <c r="WYP246" s="21"/>
      <c r="WYQ246" s="21"/>
      <c r="WYT246" s="21"/>
      <c r="WYU246" s="15"/>
      <c r="WYV246" s="15"/>
      <c r="WYW246" s="15"/>
      <c r="WYX246" s="15"/>
      <c r="WYY246" s="15"/>
      <c r="WYZ246" s="15"/>
      <c r="WZA246" s="15"/>
      <c r="WZB246" s="15"/>
      <c r="WZC246" s="15"/>
      <c r="WZD246" s="15"/>
      <c r="WZE246" s="10"/>
      <c r="WZF246" s="10"/>
      <c r="WZG246" s="21"/>
      <c r="WZH246" s="21"/>
      <c r="WZK246" s="21"/>
      <c r="WZL246" s="15"/>
      <c r="WZM246" s="15"/>
      <c r="WZN246" s="15"/>
      <c r="WZO246" s="15"/>
      <c r="WZP246" s="15"/>
      <c r="WZQ246" s="15"/>
      <c r="WZR246" s="15"/>
      <c r="WZS246" s="15"/>
      <c r="WZT246" s="15"/>
      <c r="WZU246" s="15"/>
      <c r="WZV246" s="10"/>
      <c r="WZW246" s="10"/>
      <c r="WZX246" s="21"/>
      <c r="WZY246" s="21"/>
      <c r="XAB246" s="21"/>
      <c r="XAC246" s="15"/>
      <c r="XAD246" s="15"/>
      <c r="XAE246" s="15"/>
      <c r="XAF246" s="15"/>
      <c r="XAG246" s="15"/>
      <c r="XAH246" s="15"/>
      <c r="XAI246" s="15"/>
      <c r="XAJ246" s="15"/>
      <c r="XAK246" s="15"/>
      <c r="XAL246" s="15"/>
      <c r="XAM246" s="10"/>
      <c r="XAN246" s="10"/>
      <c r="XAO246" s="21"/>
      <c r="XAP246" s="21"/>
      <c r="XAS246" s="21"/>
      <c r="XAT246" s="15"/>
      <c r="XAU246" s="15"/>
      <c r="XAV246" s="15"/>
      <c r="XAW246" s="15"/>
      <c r="XAX246" s="15"/>
      <c r="XAY246" s="15"/>
      <c r="XAZ246" s="15"/>
      <c r="XBA246" s="15"/>
      <c r="XBB246" s="15"/>
      <c r="XBC246" s="15"/>
      <c r="XBD246" s="10"/>
      <c r="XBE246" s="10"/>
      <c r="XBF246" s="21"/>
      <c r="XBG246" s="21"/>
      <c r="XBJ246" s="21"/>
      <c r="XBK246" s="15"/>
      <c r="XBL246" s="15"/>
      <c r="XBM246" s="15"/>
      <c r="XBN246" s="15"/>
      <c r="XBO246" s="15"/>
      <c r="XBP246" s="15"/>
      <c r="XBQ246" s="15"/>
      <c r="XBR246" s="15"/>
      <c r="XBS246" s="15"/>
      <c r="XBT246" s="15"/>
      <c r="XBU246" s="10"/>
      <c r="XBV246" s="10"/>
      <c r="XBW246" s="21"/>
      <c r="XBX246" s="21"/>
      <c r="XCA246" s="21"/>
      <c r="XCB246" s="15"/>
      <c r="XCC246" s="15"/>
      <c r="XCD246" s="15"/>
      <c r="XCE246" s="15"/>
      <c r="XCF246" s="15"/>
      <c r="XCG246" s="15"/>
      <c r="XCH246" s="15"/>
      <c r="XCI246" s="15"/>
      <c r="XCJ246" s="15"/>
      <c r="XCK246" s="15"/>
      <c r="XCL246" s="10"/>
      <c r="XCM246" s="10"/>
      <c r="XCN246" s="21"/>
      <c r="XCO246" s="21"/>
      <c r="XCR246" s="21"/>
      <c r="XCS246" s="15"/>
      <c r="XCT246" s="15"/>
      <c r="XCU246" s="15"/>
      <c r="XCV246" s="15"/>
      <c r="XCW246" s="15"/>
      <c r="XCX246" s="15"/>
      <c r="XCY246" s="15"/>
      <c r="XCZ246" s="15"/>
      <c r="XDA246" s="15"/>
      <c r="XDB246" s="15"/>
      <c r="XDC246" s="10"/>
      <c r="XDD246" s="10"/>
      <c r="XDE246" s="21"/>
      <c r="XDF246" s="21"/>
      <c r="XDI246" s="21"/>
      <c r="XDJ246" s="15"/>
      <c r="XDK246" s="15"/>
      <c r="XDL246" s="15"/>
      <c r="XDM246" s="15"/>
      <c r="XDN246" s="15"/>
      <c r="XDO246" s="15"/>
      <c r="XDP246" s="15"/>
      <c r="XDQ246" s="15"/>
      <c r="XDR246" s="15"/>
      <c r="XDS246" s="15"/>
      <c r="XDT246" s="10"/>
      <c r="XDU246" s="10"/>
      <c r="XDV246" s="21"/>
      <c r="XDW246" s="21"/>
      <c r="XDZ246" s="21"/>
      <c r="XEA246" s="15"/>
      <c r="XEB246" s="15"/>
      <c r="XEC246" s="15"/>
      <c r="XED246" s="15"/>
      <c r="XEE246" s="15"/>
      <c r="XEF246" s="15"/>
      <c r="XEG246" s="15"/>
      <c r="XEH246" s="15"/>
      <c r="XEI246" s="15"/>
      <c r="XEJ246" s="15"/>
      <c r="XEK246" s="10"/>
      <c r="XEL246" s="10"/>
      <c r="XEM246" s="21"/>
      <c r="XEN246" s="21"/>
      <c r="XEQ246" s="21"/>
      <c r="XER246" s="15"/>
      <c r="XES246" s="15"/>
      <c r="XET246" s="15"/>
      <c r="XEU246" s="15"/>
      <c r="XEV246" s="15"/>
      <c r="XEW246" s="15"/>
      <c r="XEX246" s="15"/>
      <c r="XEY246" s="15"/>
      <c r="XEZ246" s="15"/>
      <c r="XFA246" s="15"/>
      <c r="XFB246" s="10"/>
      <c r="XFC246" s="10"/>
      <c r="XFD246" s="21"/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517</v>
      </c>
      <c r="E247" s="32" t="s">
        <v>166</v>
      </c>
      <c r="F247" s="32" t="s">
        <v>518</v>
      </c>
      <c r="G247" s="32" t="s">
        <v>519</v>
      </c>
      <c r="H247" s="32" t="s">
        <v>352</v>
      </c>
      <c r="I247" s="31" t="s">
        <v>520</v>
      </c>
      <c r="J247" s="31">
        <v>99</v>
      </c>
      <c r="K247" s="33" t="s">
        <v>693</v>
      </c>
      <c r="L247" s="33">
        <v>40</v>
      </c>
      <c r="M247" s="34" t="s">
        <v>949</v>
      </c>
      <c r="N247" s="34" t="s">
        <v>1800</v>
      </c>
      <c r="O247" s="35">
        <v>1</v>
      </c>
      <c r="P247" s="35"/>
      <c r="Q247" s="32"/>
      <c r="S247" s="1">
        <f t="shared" si="85"/>
        <v>0</v>
      </c>
      <c r="T247" s="1">
        <f t="shared" si="86"/>
        <v>0</v>
      </c>
      <c r="U247" s="1">
        <f t="shared" si="87"/>
        <v>0</v>
      </c>
      <c r="V247" s="1">
        <f t="shared" si="88"/>
        <v>0</v>
      </c>
      <c r="W247" s="1">
        <f t="shared" si="89"/>
        <v>0</v>
      </c>
      <c r="X247" s="1">
        <f t="shared" si="90"/>
        <v>0</v>
      </c>
      <c r="Y247" s="1">
        <f t="shared" si="91"/>
        <v>0</v>
      </c>
      <c r="Z247" s="1">
        <f t="shared" si="92"/>
        <v>0</v>
      </c>
      <c r="AA247" s="1">
        <f t="shared" si="93"/>
        <v>0</v>
      </c>
      <c r="AB247" s="1">
        <f t="shared" si="94"/>
        <v>0</v>
      </c>
      <c r="AD247" s="1">
        <f t="shared" si="95"/>
        <v>0</v>
      </c>
      <c r="AE247" s="1">
        <f t="shared" si="96"/>
        <v>1</v>
      </c>
      <c r="AF247" s="1">
        <f t="shared" si="97"/>
        <v>0</v>
      </c>
      <c r="AG247" s="1">
        <f t="shared" si="98"/>
        <v>1</v>
      </c>
      <c r="AH247" s="1">
        <f t="shared" si="99"/>
        <v>0</v>
      </c>
      <c r="AI247" s="1">
        <f t="shared" si="100"/>
        <v>1</v>
      </c>
    </row>
    <row r="248" spans="1:4094 4097:8191 8194:12288 12291:16384" ht="13.9" customHeight="1" x14ac:dyDescent="0.25">
      <c r="A248" s="38">
        <v>0</v>
      </c>
      <c r="B248" s="38">
        <v>1</v>
      </c>
      <c r="C248" s="38">
        <v>6</v>
      </c>
      <c r="D248" s="39" t="s">
        <v>1788</v>
      </c>
      <c r="E248" s="39" t="s">
        <v>1789</v>
      </c>
      <c r="F248" s="39" t="s">
        <v>1790</v>
      </c>
      <c r="G248" s="39"/>
      <c r="H248" s="39" t="s">
        <v>352</v>
      </c>
      <c r="I248" s="38" t="s">
        <v>1791</v>
      </c>
      <c r="J248" s="38"/>
      <c r="K248" s="40" t="s">
        <v>694</v>
      </c>
      <c r="L248" s="40"/>
      <c r="M248" s="41"/>
      <c r="N248" s="42"/>
      <c r="O248" s="43"/>
      <c r="P248" s="43">
        <v>1</v>
      </c>
      <c r="Q248" s="39"/>
      <c r="S248" s="1">
        <f t="shared" si="85"/>
        <v>0</v>
      </c>
      <c r="T248" s="1">
        <f t="shared" si="86"/>
        <v>0</v>
      </c>
      <c r="U248" s="1">
        <f t="shared" si="87"/>
        <v>0</v>
      </c>
      <c r="V248" s="1">
        <f t="shared" si="88"/>
        <v>0</v>
      </c>
      <c r="W248" s="1">
        <f t="shared" si="89"/>
        <v>0</v>
      </c>
      <c r="X248" s="1">
        <f t="shared" si="90"/>
        <v>0</v>
      </c>
      <c r="Y248" s="1">
        <f t="shared" si="91"/>
        <v>0</v>
      </c>
      <c r="Z248" s="1">
        <f t="shared" si="92"/>
        <v>0</v>
      </c>
      <c r="AA248" s="1">
        <f t="shared" si="93"/>
        <v>0</v>
      </c>
      <c r="AB248" s="1">
        <f t="shared" si="94"/>
        <v>0</v>
      </c>
      <c r="AD248" s="1">
        <f t="shared" si="95"/>
        <v>0</v>
      </c>
      <c r="AE248" s="1">
        <f t="shared" si="96"/>
        <v>0</v>
      </c>
      <c r="AF248" s="1">
        <f t="shared" si="97"/>
        <v>0</v>
      </c>
      <c r="AG248" s="1">
        <f t="shared" si="98"/>
        <v>0</v>
      </c>
      <c r="AH248" s="1">
        <f t="shared" si="99"/>
        <v>1</v>
      </c>
      <c r="AI248" s="1">
        <f t="shared" si="100"/>
        <v>0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2036</v>
      </c>
      <c r="E249" s="32" t="s">
        <v>166</v>
      </c>
      <c r="F249" s="32" t="s">
        <v>2037</v>
      </c>
      <c r="G249" s="32"/>
      <c r="H249" s="32" t="s">
        <v>352</v>
      </c>
      <c r="I249" s="31" t="s">
        <v>2038</v>
      </c>
      <c r="J249" s="31"/>
      <c r="K249" s="33" t="s">
        <v>694</v>
      </c>
      <c r="L249" s="33"/>
      <c r="M249" s="34"/>
      <c r="N249" s="34" t="s">
        <v>1700</v>
      </c>
      <c r="O249" s="35">
        <v>1</v>
      </c>
      <c r="P249" s="35"/>
      <c r="Q249" s="32" t="s">
        <v>2039</v>
      </c>
      <c r="S249" s="1">
        <f t="shared" si="85"/>
        <v>0</v>
      </c>
      <c r="T249" s="1">
        <f t="shared" si="86"/>
        <v>0</v>
      </c>
      <c r="U249" s="1">
        <f t="shared" si="87"/>
        <v>0</v>
      </c>
      <c r="V249" s="1">
        <f t="shared" si="88"/>
        <v>0</v>
      </c>
      <c r="W249" s="1">
        <f t="shared" si="89"/>
        <v>0</v>
      </c>
      <c r="X249" s="1">
        <f t="shared" si="90"/>
        <v>0</v>
      </c>
      <c r="Y249" s="1">
        <f t="shared" si="91"/>
        <v>0</v>
      </c>
      <c r="Z249" s="1">
        <f t="shared" si="92"/>
        <v>0</v>
      </c>
      <c r="AA249" s="1">
        <f t="shared" si="93"/>
        <v>0</v>
      </c>
      <c r="AB249" s="1">
        <f t="shared" si="94"/>
        <v>0</v>
      </c>
      <c r="AD249" s="1">
        <f t="shared" si="95"/>
        <v>0</v>
      </c>
      <c r="AE249" s="1">
        <f t="shared" si="96"/>
        <v>1</v>
      </c>
      <c r="AF249" s="1">
        <f t="shared" si="97"/>
        <v>0</v>
      </c>
      <c r="AG249" s="1">
        <f t="shared" si="98"/>
        <v>1</v>
      </c>
      <c r="AH249" s="1">
        <f t="shared" si="99"/>
        <v>0</v>
      </c>
      <c r="AI249" s="1">
        <f t="shared" si="100"/>
        <v>1</v>
      </c>
    </row>
    <row r="250" spans="1:4094 4097:8191 8194:12288 12291:16384" ht="13.9" customHeight="1" x14ac:dyDescent="0.25">
      <c r="A250" s="31">
        <v>0</v>
      </c>
      <c r="B250" s="31">
        <v>1</v>
      </c>
      <c r="C250" s="31">
        <v>6</v>
      </c>
      <c r="D250" s="32" t="s">
        <v>1443</v>
      </c>
      <c r="E250" s="32" t="s">
        <v>166</v>
      </c>
      <c r="F250" s="32" t="s">
        <v>1445</v>
      </c>
      <c r="G250" s="32" t="s">
        <v>1446</v>
      </c>
      <c r="H250" s="32" t="s">
        <v>352</v>
      </c>
      <c r="I250" s="31" t="s">
        <v>1444</v>
      </c>
      <c r="J250" s="31">
        <v>99</v>
      </c>
      <c r="K250" s="33" t="s">
        <v>694</v>
      </c>
      <c r="L250" s="33">
        <v>62</v>
      </c>
      <c r="M250" s="34"/>
      <c r="N250" s="34" t="s">
        <v>1701</v>
      </c>
      <c r="O250" s="35">
        <v>1</v>
      </c>
      <c r="P250" s="35"/>
      <c r="Q250" s="32"/>
      <c r="S250" s="1">
        <f t="shared" si="85"/>
        <v>0</v>
      </c>
      <c r="T250" s="1">
        <f t="shared" si="86"/>
        <v>0</v>
      </c>
      <c r="U250" s="1">
        <f t="shared" si="87"/>
        <v>0</v>
      </c>
      <c r="V250" s="1">
        <f t="shared" si="88"/>
        <v>0</v>
      </c>
      <c r="W250" s="1">
        <f t="shared" si="89"/>
        <v>0</v>
      </c>
      <c r="X250" s="1">
        <f t="shared" si="90"/>
        <v>0</v>
      </c>
      <c r="Y250" s="1">
        <f t="shared" si="91"/>
        <v>0</v>
      </c>
      <c r="Z250" s="1">
        <f t="shared" si="92"/>
        <v>0</v>
      </c>
      <c r="AA250" s="1">
        <f t="shared" si="93"/>
        <v>0</v>
      </c>
      <c r="AB250" s="1">
        <f t="shared" si="94"/>
        <v>0</v>
      </c>
      <c r="AD250" s="1">
        <f t="shared" si="95"/>
        <v>0</v>
      </c>
      <c r="AE250" s="1">
        <f t="shared" si="96"/>
        <v>1</v>
      </c>
      <c r="AF250" s="1">
        <f t="shared" si="97"/>
        <v>0</v>
      </c>
      <c r="AG250" s="1">
        <f t="shared" si="98"/>
        <v>1</v>
      </c>
      <c r="AH250" s="1">
        <f t="shared" si="99"/>
        <v>0</v>
      </c>
      <c r="AI250" s="1">
        <f t="shared" si="100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1165</v>
      </c>
      <c r="E251" s="32" t="s">
        <v>164</v>
      </c>
      <c r="F251" s="32" t="s">
        <v>1631</v>
      </c>
      <c r="G251" s="32" t="s">
        <v>212</v>
      </c>
      <c r="H251" s="32" t="s">
        <v>352</v>
      </c>
      <c r="I251" s="31" t="s">
        <v>1166</v>
      </c>
      <c r="J251" s="31">
        <v>1</v>
      </c>
      <c r="K251" s="33" t="s">
        <v>939</v>
      </c>
      <c r="L251" s="33" t="s">
        <v>678</v>
      </c>
      <c r="M251" s="34" t="s">
        <v>1533</v>
      </c>
      <c r="N251" s="34" t="s">
        <v>1707</v>
      </c>
      <c r="O251" s="35">
        <v>1</v>
      </c>
      <c r="P251" s="35"/>
      <c r="Q251" s="32"/>
      <c r="S251" s="1">
        <f t="shared" si="85"/>
        <v>1</v>
      </c>
      <c r="T251" s="1">
        <f t="shared" si="86"/>
        <v>0</v>
      </c>
      <c r="U251" s="1">
        <f t="shared" si="87"/>
        <v>0</v>
      </c>
      <c r="V251" s="1">
        <f t="shared" si="88"/>
        <v>0</v>
      </c>
      <c r="W251" s="1">
        <f t="shared" si="89"/>
        <v>0</v>
      </c>
      <c r="X251" s="1">
        <f t="shared" si="90"/>
        <v>0</v>
      </c>
      <c r="Y251" s="1">
        <f t="shared" si="91"/>
        <v>0</v>
      </c>
      <c r="Z251" s="1">
        <f t="shared" si="92"/>
        <v>0</v>
      </c>
      <c r="AA251" s="1">
        <f t="shared" si="93"/>
        <v>0</v>
      </c>
      <c r="AB251" s="1">
        <f t="shared" si="94"/>
        <v>0</v>
      </c>
      <c r="AD251" s="1">
        <f t="shared" si="95"/>
        <v>0</v>
      </c>
      <c r="AE251" s="1">
        <f t="shared" si="96"/>
        <v>1</v>
      </c>
      <c r="AF251" s="1">
        <f t="shared" si="97"/>
        <v>0</v>
      </c>
      <c r="AG251" s="1">
        <f t="shared" si="98"/>
        <v>1</v>
      </c>
      <c r="AH251" s="1">
        <f t="shared" si="99"/>
        <v>0</v>
      </c>
      <c r="AI251" s="1">
        <f t="shared" si="100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2017</v>
      </c>
      <c r="E252" s="32" t="s">
        <v>2018</v>
      </c>
      <c r="F252" s="32" t="s">
        <v>2019</v>
      </c>
      <c r="G252" s="32" t="s">
        <v>207</v>
      </c>
      <c r="H252" s="32" t="s">
        <v>352</v>
      </c>
      <c r="I252" s="31" t="s">
        <v>2020</v>
      </c>
      <c r="J252" s="31">
        <v>3</v>
      </c>
      <c r="K252" s="33" t="s">
        <v>694</v>
      </c>
      <c r="L252" s="33">
        <v>30</v>
      </c>
      <c r="M252" s="34" t="s">
        <v>2021</v>
      </c>
      <c r="N252" s="34" t="s">
        <v>1800</v>
      </c>
      <c r="O252" s="35">
        <v>1</v>
      </c>
      <c r="P252" s="35"/>
      <c r="Q252" s="32"/>
      <c r="S252" s="1">
        <f t="shared" si="85"/>
        <v>0</v>
      </c>
      <c r="T252" s="1">
        <f t="shared" si="86"/>
        <v>0</v>
      </c>
      <c r="U252" s="1">
        <f t="shared" si="87"/>
        <v>1</v>
      </c>
      <c r="V252" s="1">
        <f t="shared" si="88"/>
        <v>0</v>
      </c>
      <c r="W252" s="1">
        <f t="shared" si="89"/>
        <v>0</v>
      </c>
      <c r="X252" s="1">
        <f t="shared" si="90"/>
        <v>0</v>
      </c>
      <c r="Y252" s="1">
        <f t="shared" si="91"/>
        <v>0</v>
      </c>
      <c r="Z252" s="1">
        <f t="shared" si="92"/>
        <v>0</v>
      </c>
      <c r="AA252" s="1">
        <f t="shared" si="93"/>
        <v>0</v>
      </c>
      <c r="AB252" s="1">
        <f t="shared" si="94"/>
        <v>0</v>
      </c>
      <c r="AD252" s="1">
        <f t="shared" si="95"/>
        <v>0</v>
      </c>
      <c r="AE252" s="1">
        <f t="shared" si="96"/>
        <v>1</v>
      </c>
      <c r="AF252" s="1">
        <f t="shared" si="97"/>
        <v>0</v>
      </c>
      <c r="AG252" s="1">
        <f t="shared" si="98"/>
        <v>1</v>
      </c>
      <c r="AH252" s="1">
        <f t="shared" si="99"/>
        <v>0</v>
      </c>
      <c r="AI252" s="1">
        <f t="shared" si="100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97</v>
      </c>
      <c r="E253" s="32" t="s">
        <v>166</v>
      </c>
      <c r="F253" s="32" t="s">
        <v>294</v>
      </c>
      <c r="G253" s="32" t="s">
        <v>283</v>
      </c>
      <c r="H253" s="32" t="s">
        <v>352</v>
      </c>
      <c r="I253" s="31" t="s">
        <v>1095</v>
      </c>
      <c r="J253" s="31">
        <v>10</v>
      </c>
      <c r="K253" s="33" t="s">
        <v>933</v>
      </c>
      <c r="L253" s="33" t="s">
        <v>685</v>
      </c>
      <c r="M253" s="34" t="s">
        <v>696</v>
      </c>
      <c r="N253" s="34" t="s">
        <v>1701</v>
      </c>
      <c r="O253" s="35">
        <v>1</v>
      </c>
      <c r="P253" s="35"/>
      <c r="Q253" s="32"/>
      <c r="S253" s="1">
        <f t="shared" si="85"/>
        <v>0</v>
      </c>
      <c r="T253" s="1">
        <f t="shared" si="86"/>
        <v>0</v>
      </c>
      <c r="U253" s="1">
        <f t="shared" si="87"/>
        <v>0</v>
      </c>
      <c r="V253" s="1">
        <f t="shared" si="88"/>
        <v>0</v>
      </c>
      <c r="W253" s="1">
        <f t="shared" si="89"/>
        <v>0</v>
      </c>
      <c r="X253" s="1">
        <f t="shared" si="90"/>
        <v>0</v>
      </c>
      <c r="Y253" s="1">
        <f t="shared" si="91"/>
        <v>0</v>
      </c>
      <c r="Z253" s="1">
        <f t="shared" si="92"/>
        <v>0</v>
      </c>
      <c r="AA253" s="1">
        <f t="shared" si="93"/>
        <v>0</v>
      </c>
      <c r="AB253" s="1">
        <f t="shared" si="94"/>
        <v>1</v>
      </c>
      <c r="AD253" s="1">
        <f t="shared" si="95"/>
        <v>0</v>
      </c>
      <c r="AE253" s="1">
        <f t="shared" si="96"/>
        <v>1</v>
      </c>
      <c r="AF253" s="1">
        <f t="shared" si="97"/>
        <v>0</v>
      </c>
      <c r="AG253" s="1">
        <f t="shared" si="98"/>
        <v>1</v>
      </c>
      <c r="AH253" s="1">
        <f t="shared" si="99"/>
        <v>0</v>
      </c>
      <c r="AI253" s="1">
        <f t="shared" si="100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595</v>
      </c>
      <c r="E254" s="32" t="s">
        <v>164</v>
      </c>
      <c r="F254" s="32" t="s">
        <v>597</v>
      </c>
      <c r="G254" s="32" t="s">
        <v>39</v>
      </c>
      <c r="H254" s="32" t="s">
        <v>352</v>
      </c>
      <c r="I254" s="31" t="s">
        <v>596</v>
      </c>
      <c r="J254" s="31">
        <v>99</v>
      </c>
      <c r="K254" s="33" t="s">
        <v>933</v>
      </c>
      <c r="L254" s="33" t="s">
        <v>684</v>
      </c>
      <c r="M254" s="34" t="s">
        <v>947</v>
      </c>
      <c r="N254" s="34" t="s">
        <v>1701</v>
      </c>
      <c r="O254" s="35">
        <v>1</v>
      </c>
      <c r="P254" s="35"/>
      <c r="Q254" s="32"/>
      <c r="S254" s="1">
        <f t="shared" si="85"/>
        <v>0</v>
      </c>
      <c r="T254" s="1">
        <f t="shared" si="86"/>
        <v>0</v>
      </c>
      <c r="U254" s="1">
        <f t="shared" si="87"/>
        <v>0</v>
      </c>
      <c r="V254" s="1">
        <f t="shared" si="88"/>
        <v>0</v>
      </c>
      <c r="W254" s="1">
        <f t="shared" si="89"/>
        <v>0</v>
      </c>
      <c r="X254" s="1">
        <f t="shared" si="90"/>
        <v>0</v>
      </c>
      <c r="Y254" s="1">
        <f t="shared" si="91"/>
        <v>0</v>
      </c>
      <c r="Z254" s="1">
        <f t="shared" si="92"/>
        <v>0</v>
      </c>
      <c r="AA254" s="1">
        <f t="shared" si="93"/>
        <v>0</v>
      </c>
      <c r="AB254" s="1">
        <f t="shared" si="94"/>
        <v>0</v>
      </c>
      <c r="AD254" s="1">
        <f t="shared" si="95"/>
        <v>0</v>
      </c>
      <c r="AE254" s="1">
        <f t="shared" si="96"/>
        <v>1</v>
      </c>
      <c r="AF254" s="1">
        <f t="shared" si="97"/>
        <v>0</v>
      </c>
      <c r="AG254" s="1">
        <f t="shared" si="98"/>
        <v>1</v>
      </c>
      <c r="AH254" s="1">
        <f t="shared" si="99"/>
        <v>0</v>
      </c>
      <c r="AI254" s="1">
        <f t="shared" si="100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1134</v>
      </c>
      <c r="E255" s="32" t="s">
        <v>164</v>
      </c>
      <c r="F255" s="32" t="s">
        <v>1136</v>
      </c>
      <c r="G255" s="32" t="s">
        <v>219</v>
      </c>
      <c r="H255" s="32" t="s">
        <v>352</v>
      </c>
      <c r="I255" s="31" t="s">
        <v>1135</v>
      </c>
      <c r="J255" s="31">
        <v>8</v>
      </c>
      <c r="K255" s="33" t="s">
        <v>693</v>
      </c>
      <c r="L255" s="33" t="s">
        <v>1673</v>
      </c>
      <c r="M255" s="34" t="s">
        <v>1368</v>
      </c>
      <c r="N255" s="34" t="s">
        <v>1700</v>
      </c>
      <c r="O255" s="35">
        <v>1</v>
      </c>
      <c r="P255" s="35"/>
      <c r="Q255" s="32"/>
      <c r="S255" s="1">
        <f t="shared" si="85"/>
        <v>0</v>
      </c>
      <c r="T255" s="1">
        <f t="shared" si="86"/>
        <v>0</v>
      </c>
      <c r="U255" s="1">
        <f t="shared" si="87"/>
        <v>0</v>
      </c>
      <c r="V255" s="1">
        <f t="shared" si="88"/>
        <v>0</v>
      </c>
      <c r="W255" s="1">
        <f t="shared" si="89"/>
        <v>0</v>
      </c>
      <c r="X255" s="1">
        <f t="shared" si="90"/>
        <v>0</v>
      </c>
      <c r="Y255" s="1">
        <f t="shared" si="91"/>
        <v>0</v>
      </c>
      <c r="Z255" s="1">
        <f t="shared" si="92"/>
        <v>1</v>
      </c>
      <c r="AA255" s="1">
        <f t="shared" si="93"/>
        <v>0</v>
      </c>
      <c r="AB255" s="1">
        <f t="shared" si="94"/>
        <v>0</v>
      </c>
      <c r="AD255" s="1">
        <f t="shared" si="95"/>
        <v>0</v>
      </c>
      <c r="AE255" s="1">
        <f t="shared" si="96"/>
        <v>1</v>
      </c>
      <c r="AF255" s="1">
        <f t="shared" si="97"/>
        <v>0</v>
      </c>
      <c r="AG255" s="1">
        <f t="shared" si="98"/>
        <v>1</v>
      </c>
      <c r="AH255" s="1">
        <f t="shared" si="99"/>
        <v>0</v>
      </c>
      <c r="AI255" s="1">
        <f t="shared" si="100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558</v>
      </c>
      <c r="E256" s="32" t="s">
        <v>166</v>
      </c>
      <c r="F256" s="32" t="s">
        <v>653</v>
      </c>
      <c r="G256" s="32" t="s">
        <v>201</v>
      </c>
      <c r="H256" s="32" t="s">
        <v>352</v>
      </c>
      <c r="I256" s="31" t="s">
        <v>575</v>
      </c>
      <c r="J256" s="31">
        <v>10</v>
      </c>
      <c r="K256" s="33" t="s">
        <v>939</v>
      </c>
      <c r="L256" s="33" t="s">
        <v>684</v>
      </c>
      <c r="M256" s="34" t="s">
        <v>696</v>
      </c>
      <c r="N256" s="34" t="s">
        <v>1700</v>
      </c>
      <c r="O256" s="35">
        <v>1</v>
      </c>
      <c r="P256" s="35"/>
      <c r="Q256" s="36"/>
      <c r="S256" s="1">
        <f t="shared" si="85"/>
        <v>0</v>
      </c>
      <c r="T256" s="1">
        <f t="shared" si="86"/>
        <v>0</v>
      </c>
      <c r="U256" s="1">
        <f t="shared" si="87"/>
        <v>0</v>
      </c>
      <c r="V256" s="1">
        <f t="shared" si="88"/>
        <v>0</v>
      </c>
      <c r="W256" s="1">
        <f t="shared" si="89"/>
        <v>0</v>
      </c>
      <c r="X256" s="1">
        <f t="shared" si="90"/>
        <v>0</v>
      </c>
      <c r="Y256" s="1">
        <f t="shared" si="91"/>
        <v>0</v>
      </c>
      <c r="Z256" s="1">
        <f t="shared" si="92"/>
        <v>0</v>
      </c>
      <c r="AA256" s="1">
        <f t="shared" si="93"/>
        <v>0</v>
      </c>
      <c r="AB256" s="1">
        <f t="shared" si="94"/>
        <v>1</v>
      </c>
      <c r="AD256" s="1">
        <f t="shared" si="95"/>
        <v>0</v>
      </c>
      <c r="AE256" s="1">
        <f t="shared" si="96"/>
        <v>1</v>
      </c>
      <c r="AF256" s="1">
        <f t="shared" si="97"/>
        <v>0</v>
      </c>
      <c r="AG256" s="1">
        <f t="shared" si="98"/>
        <v>1</v>
      </c>
      <c r="AH256" s="1">
        <f t="shared" si="99"/>
        <v>0</v>
      </c>
      <c r="AI256" s="1">
        <f t="shared" si="100"/>
        <v>1</v>
      </c>
    </row>
    <row r="257" spans="1:35" ht="14.25" customHeight="1" x14ac:dyDescent="0.25">
      <c r="A257" s="31">
        <v>0</v>
      </c>
      <c r="B257" s="31">
        <v>1</v>
      </c>
      <c r="C257" s="31">
        <v>6</v>
      </c>
      <c r="D257" s="32" t="s">
        <v>876</v>
      </c>
      <c r="E257" s="32" t="s">
        <v>166</v>
      </c>
      <c r="F257" s="32" t="s">
        <v>916</v>
      </c>
      <c r="G257" s="32" t="s">
        <v>917</v>
      </c>
      <c r="H257" s="32" t="s">
        <v>352</v>
      </c>
      <c r="I257" s="31" t="s">
        <v>930</v>
      </c>
      <c r="J257" s="31">
        <v>99</v>
      </c>
      <c r="K257" s="33" t="s">
        <v>693</v>
      </c>
      <c r="L257" s="33" t="s">
        <v>680</v>
      </c>
      <c r="M257" s="34" t="s">
        <v>1369</v>
      </c>
      <c r="N257" s="34" t="s">
        <v>1713</v>
      </c>
      <c r="O257" s="35">
        <v>1</v>
      </c>
      <c r="P257" s="35"/>
      <c r="Q257" s="32"/>
      <c r="S257" s="1">
        <f t="shared" si="85"/>
        <v>0</v>
      </c>
      <c r="T257" s="1">
        <f t="shared" si="86"/>
        <v>0</v>
      </c>
      <c r="U257" s="1">
        <f t="shared" si="87"/>
        <v>0</v>
      </c>
      <c r="V257" s="1">
        <f t="shared" si="88"/>
        <v>0</v>
      </c>
      <c r="W257" s="1">
        <f t="shared" si="89"/>
        <v>0</v>
      </c>
      <c r="X257" s="1">
        <f t="shared" si="90"/>
        <v>0</v>
      </c>
      <c r="Y257" s="1">
        <f t="shared" si="91"/>
        <v>0</v>
      </c>
      <c r="Z257" s="1">
        <f t="shared" si="92"/>
        <v>0</v>
      </c>
      <c r="AA257" s="1">
        <f t="shared" si="93"/>
        <v>0</v>
      </c>
      <c r="AB257" s="1">
        <f t="shared" si="94"/>
        <v>0</v>
      </c>
      <c r="AD257" s="1">
        <f t="shared" si="95"/>
        <v>0</v>
      </c>
      <c r="AE257" s="1">
        <f t="shared" si="96"/>
        <v>1</v>
      </c>
      <c r="AF257" s="1">
        <f t="shared" si="97"/>
        <v>0</v>
      </c>
      <c r="AG257" s="1">
        <f t="shared" si="98"/>
        <v>1</v>
      </c>
      <c r="AH257" s="1">
        <f t="shared" si="99"/>
        <v>0</v>
      </c>
      <c r="AI257" s="1">
        <f t="shared" si="100"/>
        <v>1</v>
      </c>
    </row>
    <row r="258" spans="1:35" ht="14.25" customHeight="1" x14ac:dyDescent="0.25">
      <c r="A258" s="31">
        <v>0</v>
      </c>
      <c r="B258" s="31">
        <v>1</v>
      </c>
      <c r="C258" s="31">
        <v>6</v>
      </c>
      <c r="D258" s="32" t="s">
        <v>99</v>
      </c>
      <c r="E258" s="32" t="s">
        <v>166</v>
      </c>
      <c r="F258" s="32" t="s">
        <v>654</v>
      </c>
      <c r="G258" s="32" t="s">
        <v>656</v>
      </c>
      <c r="H258" s="32" t="s">
        <v>352</v>
      </c>
      <c r="I258" s="31" t="s">
        <v>444</v>
      </c>
      <c r="J258" s="31">
        <v>99</v>
      </c>
      <c r="K258" s="33" t="s">
        <v>713</v>
      </c>
      <c r="L258" s="33" t="s">
        <v>687</v>
      </c>
      <c r="M258" s="34" t="s">
        <v>698</v>
      </c>
      <c r="N258" s="34" t="s">
        <v>1701</v>
      </c>
      <c r="O258" s="35">
        <v>1</v>
      </c>
      <c r="P258" s="35"/>
      <c r="Q258" s="32"/>
      <c r="S258" s="1">
        <f t="shared" si="85"/>
        <v>0</v>
      </c>
      <c r="T258" s="1">
        <f t="shared" si="86"/>
        <v>0</v>
      </c>
      <c r="U258" s="1">
        <f t="shared" si="87"/>
        <v>0</v>
      </c>
      <c r="V258" s="1">
        <f t="shared" si="88"/>
        <v>0</v>
      </c>
      <c r="W258" s="1">
        <f t="shared" si="89"/>
        <v>0</v>
      </c>
      <c r="X258" s="1">
        <f t="shared" si="90"/>
        <v>0</v>
      </c>
      <c r="Y258" s="1">
        <f t="shared" si="91"/>
        <v>0</v>
      </c>
      <c r="Z258" s="1">
        <f t="shared" si="92"/>
        <v>0</v>
      </c>
      <c r="AA258" s="1">
        <f t="shared" si="93"/>
        <v>0</v>
      </c>
      <c r="AB258" s="1">
        <f t="shared" si="94"/>
        <v>0</v>
      </c>
      <c r="AD258" s="1">
        <f t="shared" si="95"/>
        <v>0</v>
      </c>
      <c r="AE258" s="1">
        <f t="shared" si="96"/>
        <v>1</v>
      </c>
      <c r="AF258" s="1">
        <f t="shared" si="97"/>
        <v>0</v>
      </c>
      <c r="AG258" s="1">
        <f t="shared" si="98"/>
        <v>1</v>
      </c>
      <c r="AH258" s="1">
        <f t="shared" si="99"/>
        <v>0</v>
      </c>
      <c r="AI258" s="1">
        <f t="shared" si="100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86</v>
      </c>
      <c r="E259" s="32" t="s">
        <v>29</v>
      </c>
      <c r="F259" s="32" t="s">
        <v>655</v>
      </c>
      <c r="G259" s="32" t="s">
        <v>656</v>
      </c>
      <c r="H259" s="32" t="s">
        <v>352</v>
      </c>
      <c r="I259" s="31" t="s">
        <v>623</v>
      </c>
      <c r="J259" s="31">
        <v>99</v>
      </c>
      <c r="K259" s="33" t="s">
        <v>931</v>
      </c>
      <c r="L259" s="33" t="s">
        <v>684</v>
      </c>
      <c r="M259" s="34" t="s">
        <v>1370</v>
      </c>
      <c r="N259" s="34" t="s">
        <v>1687</v>
      </c>
      <c r="O259" s="35">
        <v>1</v>
      </c>
      <c r="P259" s="35">
        <v>1</v>
      </c>
      <c r="Q259" s="32"/>
      <c r="S259" s="1">
        <f t="shared" si="85"/>
        <v>0</v>
      </c>
      <c r="T259" s="1">
        <f t="shared" si="86"/>
        <v>0</v>
      </c>
      <c r="U259" s="1">
        <f t="shared" si="87"/>
        <v>0</v>
      </c>
      <c r="V259" s="1">
        <f t="shared" si="88"/>
        <v>0</v>
      </c>
      <c r="W259" s="1">
        <f t="shared" si="89"/>
        <v>0</v>
      </c>
      <c r="X259" s="1">
        <f t="shared" si="90"/>
        <v>0</v>
      </c>
      <c r="Y259" s="1">
        <f t="shared" si="91"/>
        <v>0</v>
      </c>
      <c r="Z259" s="1">
        <f t="shared" si="92"/>
        <v>0</v>
      </c>
      <c r="AA259" s="1">
        <f t="shared" si="93"/>
        <v>0</v>
      </c>
      <c r="AB259" s="1">
        <f t="shared" si="94"/>
        <v>0</v>
      </c>
      <c r="AD259" s="1">
        <f t="shared" si="95"/>
        <v>1</v>
      </c>
      <c r="AE259" s="1">
        <f t="shared" si="96"/>
        <v>0</v>
      </c>
      <c r="AF259" s="1">
        <f t="shared" si="97"/>
        <v>1</v>
      </c>
      <c r="AG259" s="1">
        <f t="shared" si="98"/>
        <v>0</v>
      </c>
      <c r="AH259" s="1">
        <f t="shared" si="99"/>
        <v>1</v>
      </c>
      <c r="AI259" s="1">
        <f t="shared" si="10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642</v>
      </c>
      <c r="E260" s="32" t="s">
        <v>29</v>
      </c>
      <c r="F260" s="32" t="s">
        <v>618</v>
      </c>
      <c r="G260" s="32" t="s">
        <v>231</v>
      </c>
      <c r="H260" s="32" t="s">
        <v>352</v>
      </c>
      <c r="I260" s="31" t="s">
        <v>619</v>
      </c>
      <c r="J260" s="31">
        <v>99</v>
      </c>
      <c r="K260" s="33" t="s">
        <v>704</v>
      </c>
      <c r="L260" s="33" t="s">
        <v>687</v>
      </c>
      <c r="M260" s="34" t="s">
        <v>950</v>
      </c>
      <c r="N260" s="34" t="s">
        <v>1800</v>
      </c>
      <c r="O260" s="35">
        <v>1</v>
      </c>
      <c r="P260" s="35"/>
      <c r="Q260" s="32"/>
      <c r="S260" s="1">
        <f t="shared" si="85"/>
        <v>0</v>
      </c>
      <c r="T260" s="1">
        <f t="shared" si="86"/>
        <v>0</v>
      </c>
      <c r="U260" s="1">
        <f t="shared" si="87"/>
        <v>0</v>
      </c>
      <c r="V260" s="1">
        <f t="shared" si="88"/>
        <v>0</v>
      </c>
      <c r="W260" s="1">
        <f t="shared" si="89"/>
        <v>0</v>
      </c>
      <c r="X260" s="1">
        <f t="shared" si="90"/>
        <v>0</v>
      </c>
      <c r="Y260" s="1">
        <f t="shared" si="91"/>
        <v>0</v>
      </c>
      <c r="Z260" s="1">
        <f t="shared" si="92"/>
        <v>0</v>
      </c>
      <c r="AA260" s="1">
        <f t="shared" si="93"/>
        <v>0</v>
      </c>
      <c r="AB260" s="1">
        <f t="shared" si="94"/>
        <v>0</v>
      </c>
      <c r="AD260" s="1">
        <f t="shared" si="95"/>
        <v>0</v>
      </c>
      <c r="AE260" s="1">
        <f t="shared" si="96"/>
        <v>1</v>
      </c>
      <c r="AF260" s="1">
        <f t="shared" si="97"/>
        <v>0</v>
      </c>
      <c r="AG260" s="1">
        <f t="shared" si="98"/>
        <v>1</v>
      </c>
      <c r="AH260" s="1">
        <f t="shared" si="99"/>
        <v>0</v>
      </c>
      <c r="AI260" s="1">
        <f t="shared" si="100"/>
        <v>1</v>
      </c>
    </row>
    <row r="261" spans="1:35" ht="14.25" customHeight="1" x14ac:dyDescent="0.25">
      <c r="A261" s="15">
        <v>0</v>
      </c>
      <c r="B261" s="15">
        <v>1</v>
      </c>
      <c r="C261" s="15">
        <v>7</v>
      </c>
      <c r="D261" s="16" t="s">
        <v>960</v>
      </c>
      <c r="E261" s="16" t="s">
        <v>29</v>
      </c>
      <c r="F261" s="16" t="s">
        <v>961</v>
      </c>
      <c r="G261" s="16" t="s">
        <v>962</v>
      </c>
      <c r="H261" s="16" t="s">
        <v>352</v>
      </c>
      <c r="I261" s="15" t="s">
        <v>959</v>
      </c>
      <c r="J261" s="15">
        <v>99</v>
      </c>
      <c r="K261" s="10" t="s">
        <v>694</v>
      </c>
      <c r="L261" s="10">
        <v>20</v>
      </c>
      <c r="M261" s="19" t="s">
        <v>950</v>
      </c>
      <c r="N261" s="19"/>
      <c r="Q261" s="16"/>
      <c r="S261" s="1">
        <f t="shared" si="85"/>
        <v>0</v>
      </c>
      <c r="T261" s="1">
        <f t="shared" si="86"/>
        <v>0</v>
      </c>
      <c r="U261" s="1">
        <f t="shared" si="87"/>
        <v>0</v>
      </c>
      <c r="V261" s="1">
        <f t="shared" si="88"/>
        <v>0</v>
      </c>
      <c r="W261" s="1">
        <f t="shared" si="89"/>
        <v>0</v>
      </c>
      <c r="X261" s="1">
        <f t="shared" si="90"/>
        <v>0</v>
      </c>
      <c r="Y261" s="1">
        <f t="shared" si="91"/>
        <v>0</v>
      </c>
      <c r="Z261" s="1">
        <f t="shared" si="92"/>
        <v>0</v>
      </c>
      <c r="AA261" s="1">
        <f t="shared" si="93"/>
        <v>0</v>
      </c>
      <c r="AB261" s="1">
        <f t="shared" si="94"/>
        <v>0</v>
      </c>
      <c r="AD261" s="1">
        <f t="shared" si="95"/>
        <v>0</v>
      </c>
      <c r="AE261" s="1">
        <f t="shared" si="96"/>
        <v>0</v>
      </c>
      <c r="AF261" s="1">
        <f t="shared" si="97"/>
        <v>0</v>
      </c>
      <c r="AG261" s="1">
        <f t="shared" si="98"/>
        <v>0</v>
      </c>
      <c r="AH261" s="1">
        <f t="shared" si="99"/>
        <v>0</v>
      </c>
      <c r="AI261" s="1">
        <f t="shared" si="10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583</v>
      </c>
      <c r="E262" s="32" t="s">
        <v>29</v>
      </c>
      <c r="F262" s="32" t="s">
        <v>584</v>
      </c>
      <c r="G262" s="32" t="s">
        <v>1050</v>
      </c>
      <c r="H262" s="32" t="s">
        <v>352</v>
      </c>
      <c r="I262" s="31" t="s">
        <v>585</v>
      </c>
      <c r="J262" s="31">
        <v>99</v>
      </c>
      <c r="K262" s="33" t="s">
        <v>694</v>
      </c>
      <c r="L262" s="33">
        <v>35</v>
      </c>
      <c r="M262" s="34" t="s">
        <v>1370</v>
      </c>
      <c r="N262" s="34" t="s">
        <v>1687</v>
      </c>
      <c r="O262" s="35">
        <v>1</v>
      </c>
      <c r="P262" s="35">
        <v>1</v>
      </c>
      <c r="Q262" s="32"/>
      <c r="S262" s="1">
        <f t="shared" si="85"/>
        <v>0</v>
      </c>
      <c r="T262" s="1">
        <f t="shared" si="86"/>
        <v>0</v>
      </c>
      <c r="U262" s="1">
        <f t="shared" si="87"/>
        <v>0</v>
      </c>
      <c r="V262" s="1">
        <f t="shared" si="88"/>
        <v>0</v>
      </c>
      <c r="W262" s="1">
        <f t="shared" si="89"/>
        <v>0</v>
      </c>
      <c r="X262" s="1">
        <f t="shared" si="90"/>
        <v>0</v>
      </c>
      <c r="Y262" s="1">
        <f t="shared" si="91"/>
        <v>0</v>
      </c>
      <c r="Z262" s="1">
        <f t="shared" si="92"/>
        <v>0</v>
      </c>
      <c r="AA262" s="1">
        <f t="shared" si="93"/>
        <v>0</v>
      </c>
      <c r="AB262" s="1">
        <f t="shared" si="94"/>
        <v>0</v>
      </c>
      <c r="AD262" s="1">
        <f t="shared" si="95"/>
        <v>1</v>
      </c>
      <c r="AE262" s="1">
        <f t="shared" si="96"/>
        <v>0</v>
      </c>
      <c r="AF262" s="1">
        <f t="shared" si="97"/>
        <v>1</v>
      </c>
      <c r="AG262" s="1">
        <f t="shared" si="98"/>
        <v>0</v>
      </c>
      <c r="AH262" s="1">
        <f t="shared" si="99"/>
        <v>1</v>
      </c>
      <c r="AI262" s="1">
        <f t="shared" si="100"/>
        <v>0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1588</v>
      </c>
      <c r="E263" s="32" t="s">
        <v>29</v>
      </c>
      <c r="F263" s="32" t="s">
        <v>1642</v>
      </c>
      <c r="G263" s="32" t="s">
        <v>310</v>
      </c>
      <c r="H263" s="32" t="s">
        <v>352</v>
      </c>
      <c r="I263" s="31" t="s">
        <v>1589</v>
      </c>
      <c r="J263" s="31"/>
      <c r="K263" s="33" t="s">
        <v>704</v>
      </c>
      <c r="L263" s="33">
        <v>45</v>
      </c>
      <c r="M263" s="34" t="s">
        <v>1751</v>
      </c>
      <c r="N263" s="34" t="s">
        <v>1693</v>
      </c>
      <c r="O263" s="35">
        <v>1</v>
      </c>
      <c r="P263" s="35">
        <v>1</v>
      </c>
      <c r="Q263" s="32"/>
      <c r="S263" s="1">
        <f t="shared" si="85"/>
        <v>0</v>
      </c>
      <c r="T263" s="1">
        <f t="shared" si="86"/>
        <v>0</v>
      </c>
      <c r="U263" s="1">
        <f t="shared" si="87"/>
        <v>0</v>
      </c>
      <c r="V263" s="1">
        <f t="shared" si="88"/>
        <v>0</v>
      </c>
      <c r="W263" s="1">
        <f t="shared" si="89"/>
        <v>0</v>
      </c>
      <c r="X263" s="1">
        <f t="shared" si="90"/>
        <v>0</v>
      </c>
      <c r="Y263" s="1">
        <f t="shared" si="91"/>
        <v>0</v>
      </c>
      <c r="Z263" s="1">
        <f t="shared" si="92"/>
        <v>0</v>
      </c>
      <c r="AA263" s="1">
        <f t="shared" si="93"/>
        <v>0</v>
      </c>
      <c r="AB263" s="1">
        <f t="shared" si="94"/>
        <v>0</v>
      </c>
      <c r="AD263" s="1">
        <f t="shared" si="95"/>
        <v>1</v>
      </c>
      <c r="AE263" s="1">
        <f t="shared" si="96"/>
        <v>0</v>
      </c>
      <c r="AF263" s="1">
        <f t="shared" si="97"/>
        <v>1</v>
      </c>
      <c r="AG263" s="1">
        <f t="shared" si="98"/>
        <v>0</v>
      </c>
      <c r="AH263" s="1">
        <f t="shared" si="99"/>
        <v>1</v>
      </c>
      <c r="AI263" s="1">
        <f t="shared" si="100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840</v>
      </c>
      <c r="E264" s="32" t="s">
        <v>29</v>
      </c>
      <c r="F264" s="32" t="s">
        <v>841</v>
      </c>
      <c r="G264" s="32" t="s">
        <v>201</v>
      </c>
      <c r="H264" s="32" t="s">
        <v>352</v>
      </c>
      <c r="I264" s="31" t="s">
        <v>842</v>
      </c>
      <c r="J264" s="31">
        <v>10</v>
      </c>
      <c r="K264" s="33" t="s">
        <v>704</v>
      </c>
      <c r="L264" s="33" t="s">
        <v>684</v>
      </c>
      <c r="M264" s="34" t="s">
        <v>1370</v>
      </c>
      <c r="N264" s="34" t="s">
        <v>1707</v>
      </c>
      <c r="O264" s="35">
        <v>1</v>
      </c>
      <c r="P264" s="35"/>
      <c r="Q264" s="32"/>
      <c r="S264" s="1">
        <f t="shared" si="85"/>
        <v>0</v>
      </c>
      <c r="T264" s="1">
        <f t="shared" si="86"/>
        <v>0</v>
      </c>
      <c r="U264" s="1">
        <f t="shared" si="87"/>
        <v>0</v>
      </c>
      <c r="V264" s="1">
        <f t="shared" si="88"/>
        <v>0</v>
      </c>
      <c r="W264" s="1">
        <f t="shared" si="89"/>
        <v>0</v>
      </c>
      <c r="X264" s="1">
        <f t="shared" si="90"/>
        <v>0</v>
      </c>
      <c r="Y264" s="1">
        <f t="shared" si="91"/>
        <v>0</v>
      </c>
      <c r="Z264" s="1">
        <f t="shared" si="92"/>
        <v>0</v>
      </c>
      <c r="AA264" s="1">
        <f t="shared" si="93"/>
        <v>0</v>
      </c>
      <c r="AB264" s="1">
        <f t="shared" si="94"/>
        <v>1</v>
      </c>
      <c r="AD264" s="1">
        <f t="shared" si="95"/>
        <v>0</v>
      </c>
      <c r="AE264" s="1">
        <f t="shared" si="96"/>
        <v>1</v>
      </c>
      <c r="AF264" s="1">
        <f t="shared" si="97"/>
        <v>0</v>
      </c>
      <c r="AG264" s="1">
        <f t="shared" si="98"/>
        <v>1</v>
      </c>
      <c r="AH264" s="1">
        <f t="shared" si="99"/>
        <v>0</v>
      </c>
      <c r="AI264" s="1">
        <f t="shared" si="10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40</v>
      </c>
      <c r="E265" s="32" t="s">
        <v>29</v>
      </c>
      <c r="F265" s="32" t="s">
        <v>279</v>
      </c>
      <c r="G265" s="32" t="s">
        <v>229</v>
      </c>
      <c r="H265" s="32" t="s">
        <v>352</v>
      </c>
      <c r="I265" s="31" t="s">
        <v>433</v>
      </c>
      <c r="J265" s="31">
        <v>7</v>
      </c>
      <c r="K265" s="33" t="s">
        <v>704</v>
      </c>
      <c r="L265" s="33" t="s">
        <v>687</v>
      </c>
      <c r="M265" s="34" t="s">
        <v>950</v>
      </c>
      <c r="N265" s="34" t="s">
        <v>1687</v>
      </c>
      <c r="O265" s="35">
        <v>1</v>
      </c>
      <c r="P265" s="35">
        <v>1</v>
      </c>
      <c r="Q265" s="32"/>
      <c r="S265" s="1">
        <f t="shared" si="85"/>
        <v>0</v>
      </c>
      <c r="T265" s="1">
        <f t="shared" si="86"/>
        <v>0</v>
      </c>
      <c r="U265" s="1">
        <f t="shared" si="87"/>
        <v>0</v>
      </c>
      <c r="V265" s="1">
        <f t="shared" si="88"/>
        <v>0</v>
      </c>
      <c r="W265" s="1">
        <f t="shared" si="89"/>
        <v>0</v>
      </c>
      <c r="X265" s="1">
        <f t="shared" si="90"/>
        <v>0</v>
      </c>
      <c r="Y265" s="1">
        <f t="shared" si="91"/>
        <v>1</v>
      </c>
      <c r="Z265" s="1">
        <f t="shared" si="92"/>
        <v>0</v>
      </c>
      <c r="AA265" s="1">
        <f t="shared" si="93"/>
        <v>0</v>
      </c>
      <c r="AB265" s="1">
        <f t="shared" si="94"/>
        <v>0</v>
      </c>
      <c r="AD265" s="1">
        <f t="shared" si="95"/>
        <v>1</v>
      </c>
      <c r="AE265" s="1">
        <f t="shared" si="96"/>
        <v>0</v>
      </c>
      <c r="AF265" s="1">
        <f t="shared" si="97"/>
        <v>1</v>
      </c>
      <c r="AG265" s="1">
        <f t="shared" si="98"/>
        <v>0</v>
      </c>
      <c r="AH265" s="1">
        <f t="shared" si="99"/>
        <v>1</v>
      </c>
      <c r="AI265" s="1">
        <f t="shared" si="100"/>
        <v>0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2" t="s">
        <v>40</v>
      </c>
      <c r="E266" s="32" t="s">
        <v>29</v>
      </c>
      <c r="F266" s="32" t="s">
        <v>1562</v>
      </c>
      <c r="G266" s="32" t="s">
        <v>39</v>
      </c>
      <c r="H266" s="32" t="s">
        <v>352</v>
      </c>
      <c r="I266" s="31" t="s">
        <v>1563</v>
      </c>
      <c r="J266" s="31">
        <v>99</v>
      </c>
      <c r="K266" s="33" t="s">
        <v>704</v>
      </c>
      <c r="L266" s="33" t="s">
        <v>687</v>
      </c>
      <c r="M266" s="34" t="s">
        <v>950</v>
      </c>
      <c r="N266" s="34" t="s">
        <v>1687</v>
      </c>
      <c r="O266" s="35">
        <v>1</v>
      </c>
      <c r="P266" s="35">
        <v>1</v>
      </c>
      <c r="Q266" s="32"/>
      <c r="S266" s="1">
        <f t="shared" si="85"/>
        <v>0</v>
      </c>
      <c r="T266" s="1">
        <f t="shared" si="86"/>
        <v>0</v>
      </c>
      <c r="U266" s="1">
        <f t="shared" si="87"/>
        <v>0</v>
      </c>
      <c r="V266" s="1">
        <f t="shared" si="88"/>
        <v>0</v>
      </c>
      <c r="W266" s="1">
        <f t="shared" si="89"/>
        <v>0</v>
      </c>
      <c r="X266" s="1">
        <f t="shared" si="90"/>
        <v>0</v>
      </c>
      <c r="Y266" s="1">
        <f t="shared" si="91"/>
        <v>0</v>
      </c>
      <c r="Z266" s="1">
        <f t="shared" si="92"/>
        <v>0</v>
      </c>
      <c r="AA266" s="1">
        <f t="shared" si="93"/>
        <v>0</v>
      </c>
      <c r="AB266" s="1">
        <f t="shared" si="94"/>
        <v>0</v>
      </c>
      <c r="AD266" s="1">
        <f t="shared" si="95"/>
        <v>1</v>
      </c>
      <c r="AE266" s="1">
        <f t="shared" si="96"/>
        <v>0</v>
      </c>
      <c r="AF266" s="1">
        <f t="shared" si="97"/>
        <v>0</v>
      </c>
      <c r="AG266" s="1">
        <f t="shared" si="98"/>
        <v>0</v>
      </c>
      <c r="AH266" s="1">
        <f t="shared" si="99"/>
        <v>0</v>
      </c>
      <c r="AI266" s="1">
        <f t="shared" si="10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1447</v>
      </c>
      <c r="E267" s="32" t="s">
        <v>29</v>
      </c>
      <c r="F267" s="32" t="s">
        <v>981</v>
      </c>
      <c r="G267" s="32" t="s">
        <v>1079</v>
      </c>
      <c r="H267" s="32" t="s">
        <v>352</v>
      </c>
      <c r="I267" s="31" t="s">
        <v>1087</v>
      </c>
      <c r="J267" s="31">
        <v>10</v>
      </c>
      <c r="K267" s="33" t="s">
        <v>704</v>
      </c>
      <c r="L267" s="33" t="s">
        <v>685</v>
      </c>
      <c r="M267" s="34" t="s">
        <v>950</v>
      </c>
      <c r="N267" s="34" t="s">
        <v>1696</v>
      </c>
      <c r="O267" s="35">
        <v>1</v>
      </c>
      <c r="P267" s="35"/>
      <c r="Q267" s="32"/>
      <c r="S267" s="1">
        <f t="shared" si="85"/>
        <v>0</v>
      </c>
      <c r="T267" s="1">
        <f t="shared" si="86"/>
        <v>0</v>
      </c>
      <c r="U267" s="1">
        <f t="shared" si="87"/>
        <v>0</v>
      </c>
      <c r="V267" s="1">
        <f t="shared" si="88"/>
        <v>0</v>
      </c>
      <c r="W267" s="1">
        <f t="shared" si="89"/>
        <v>0</v>
      </c>
      <c r="X267" s="1">
        <f t="shared" si="90"/>
        <v>0</v>
      </c>
      <c r="Y267" s="1">
        <f t="shared" si="91"/>
        <v>0</v>
      </c>
      <c r="Z267" s="1">
        <f t="shared" si="92"/>
        <v>0</v>
      </c>
      <c r="AA267" s="1">
        <f t="shared" si="93"/>
        <v>0</v>
      </c>
      <c r="AB267" s="1">
        <f t="shared" si="94"/>
        <v>1</v>
      </c>
      <c r="AD267" s="1">
        <f t="shared" si="95"/>
        <v>0</v>
      </c>
      <c r="AE267" s="1">
        <f t="shared" si="96"/>
        <v>1</v>
      </c>
      <c r="AF267" s="1">
        <f t="shared" si="97"/>
        <v>0</v>
      </c>
      <c r="AG267" s="1">
        <f t="shared" si="98"/>
        <v>1</v>
      </c>
      <c r="AH267" s="1">
        <f t="shared" si="99"/>
        <v>0</v>
      </c>
      <c r="AI267" s="1">
        <f t="shared" si="10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1448</v>
      </c>
      <c r="E268" s="32" t="s">
        <v>29</v>
      </c>
      <c r="F268" s="36" t="s">
        <v>979</v>
      </c>
      <c r="G268" s="36" t="s">
        <v>239</v>
      </c>
      <c r="H268" s="36" t="s">
        <v>352</v>
      </c>
      <c r="I268" s="37" t="s">
        <v>980</v>
      </c>
      <c r="J268" s="31">
        <v>1</v>
      </c>
      <c r="K268" s="33" t="s">
        <v>938</v>
      </c>
      <c r="L268" s="33" t="s">
        <v>685</v>
      </c>
      <c r="M268" s="34" t="s">
        <v>950</v>
      </c>
      <c r="N268" s="34" t="s">
        <v>1752</v>
      </c>
      <c r="O268" s="35">
        <v>1</v>
      </c>
      <c r="P268" s="35"/>
      <c r="Q268" s="36"/>
      <c r="S268" s="1">
        <f t="shared" si="85"/>
        <v>1</v>
      </c>
      <c r="T268" s="1">
        <f t="shared" si="86"/>
        <v>0</v>
      </c>
      <c r="U268" s="1">
        <f t="shared" si="87"/>
        <v>0</v>
      </c>
      <c r="V268" s="1">
        <f t="shared" si="88"/>
        <v>0</v>
      </c>
      <c r="W268" s="1">
        <f t="shared" si="89"/>
        <v>0</v>
      </c>
      <c r="X268" s="1">
        <f t="shared" si="90"/>
        <v>0</v>
      </c>
      <c r="Y268" s="1">
        <f t="shared" si="91"/>
        <v>0</v>
      </c>
      <c r="Z268" s="1">
        <f t="shared" si="92"/>
        <v>0</v>
      </c>
      <c r="AA268" s="1">
        <f t="shared" si="93"/>
        <v>0</v>
      </c>
      <c r="AB268" s="1">
        <f t="shared" si="94"/>
        <v>0</v>
      </c>
      <c r="AD268" s="1">
        <f t="shared" si="95"/>
        <v>0</v>
      </c>
      <c r="AE268" s="1">
        <f t="shared" si="96"/>
        <v>1</v>
      </c>
      <c r="AF268" s="1">
        <f t="shared" si="97"/>
        <v>0</v>
      </c>
      <c r="AG268" s="1">
        <f t="shared" si="98"/>
        <v>1</v>
      </c>
      <c r="AH268" s="1">
        <f t="shared" si="99"/>
        <v>0</v>
      </c>
      <c r="AI268" s="1">
        <f t="shared" si="100"/>
        <v>1</v>
      </c>
    </row>
    <row r="269" spans="1:35" ht="14.25" customHeight="1" x14ac:dyDescent="0.25">
      <c r="A269" s="31">
        <v>1</v>
      </c>
      <c r="B269" s="31">
        <v>1</v>
      </c>
      <c r="C269" s="31">
        <v>7</v>
      </c>
      <c r="D269" s="36" t="s">
        <v>1448</v>
      </c>
      <c r="E269" s="32" t="s">
        <v>29</v>
      </c>
      <c r="F269" s="36" t="s">
        <v>2121</v>
      </c>
      <c r="G269" s="36" t="s">
        <v>219</v>
      </c>
      <c r="H269" s="36" t="s">
        <v>352</v>
      </c>
      <c r="I269" s="37" t="s">
        <v>2122</v>
      </c>
      <c r="J269" s="31">
        <v>8</v>
      </c>
      <c r="K269" s="33" t="s">
        <v>938</v>
      </c>
      <c r="L269" s="33" t="s">
        <v>685</v>
      </c>
      <c r="M269" s="34" t="s">
        <v>950</v>
      </c>
      <c r="N269" s="34" t="s">
        <v>1752</v>
      </c>
      <c r="O269" s="35">
        <v>1</v>
      </c>
      <c r="P269" s="35"/>
      <c r="Q269" s="36"/>
      <c r="S269" s="1">
        <f t="shared" si="85"/>
        <v>0</v>
      </c>
      <c r="T269" s="1">
        <f t="shared" si="86"/>
        <v>0</v>
      </c>
      <c r="U269" s="1">
        <f t="shared" si="87"/>
        <v>0</v>
      </c>
      <c r="V269" s="1">
        <f t="shared" si="88"/>
        <v>0</v>
      </c>
      <c r="W269" s="1">
        <f t="shared" si="89"/>
        <v>0</v>
      </c>
      <c r="X269" s="1">
        <f t="shared" si="90"/>
        <v>0</v>
      </c>
      <c r="Y269" s="1">
        <f t="shared" si="91"/>
        <v>0</v>
      </c>
      <c r="Z269" s="1">
        <f t="shared" si="92"/>
        <v>1</v>
      </c>
      <c r="AA269" s="1">
        <f t="shared" si="93"/>
        <v>0</v>
      </c>
      <c r="AB269" s="1">
        <f t="shared" si="94"/>
        <v>0</v>
      </c>
      <c r="AD269" s="1">
        <f t="shared" si="95"/>
        <v>0</v>
      </c>
      <c r="AE269" s="1">
        <f t="shared" si="96"/>
        <v>1</v>
      </c>
      <c r="AF269" s="1">
        <f t="shared" si="97"/>
        <v>0</v>
      </c>
      <c r="AG269" s="1">
        <f t="shared" si="98"/>
        <v>0</v>
      </c>
      <c r="AH269" s="1">
        <f t="shared" si="99"/>
        <v>0</v>
      </c>
      <c r="AI269" s="1">
        <f t="shared" si="100"/>
        <v>0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877</v>
      </c>
      <c r="E270" s="45" t="s">
        <v>29</v>
      </c>
      <c r="F270" s="45" t="s">
        <v>878</v>
      </c>
      <c r="G270" s="45" t="s">
        <v>39</v>
      </c>
      <c r="H270" s="45" t="s">
        <v>353</v>
      </c>
      <c r="I270" s="44" t="s">
        <v>879</v>
      </c>
      <c r="J270" s="44">
        <v>11</v>
      </c>
      <c r="K270" s="46" t="s">
        <v>694</v>
      </c>
      <c r="L270" s="46">
        <v>35</v>
      </c>
      <c r="M270" s="47" t="s">
        <v>1370</v>
      </c>
      <c r="N270" s="47" t="s">
        <v>1760</v>
      </c>
      <c r="O270" s="48"/>
      <c r="P270" s="48"/>
      <c r="Q270" s="45" t="s">
        <v>1853</v>
      </c>
      <c r="S270" s="1">
        <f t="shared" si="85"/>
        <v>0</v>
      </c>
      <c r="T270" s="1">
        <f t="shared" si="86"/>
        <v>0</v>
      </c>
      <c r="U270" s="1">
        <f t="shared" si="87"/>
        <v>0</v>
      </c>
      <c r="V270" s="1">
        <f t="shared" si="88"/>
        <v>0</v>
      </c>
      <c r="W270" s="1">
        <f t="shared" si="89"/>
        <v>0</v>
      </c>
      <c r="X270" s="1">
        <f t="shared" si="90"/>
        <v>0</v>
      </c>
      <c r="Y270" s="1">
        <f t="shared" si="91"/>
        <v>0</v>
      </c>
      <c r="Z270" s="1">
        <f t="shared" si="92"/>
        <v>0</v>
      </c>
      <c r="AA270" s="1">
        <f t="shared" si="93"/>
        <v>0</v>
      </c>
      <c r="AB270" s="1">
        <f t="shared" si="94"/>
        <v>0</v>
      </c>
      <c r="AD270" s="1">
        <f t="shared" si="95"/>
        <v>0</v>
      </c>
      <c r="AE270" s="1">
        <f t="shared" si="96"/>
        <v>0</v>
      </c>
      <c r="AF270" s="1">
        <f t="shared" si="97"/>
        <v>0</v>
      </c>
      <c r="AG270" s="1">
        <f t="shared" si="98"/>
        <v>0</v>
      </c>
      <c r="AH270" s="1">
        <f t="shared" si="99"/>
        <v>0</v>
      </c>
      <c r="AI270" s="1">
        <f t="shared" si="100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1061</v>
      </c>
      <c r="E271" s="32" t="s">
        <v>29</v>
      </c>
      <c r="F271" s="36" t="s">
        <v>963</v>
      </c>
      <c r="G271" s="36" t="s">
        <v>202</v>
      </c>
      <c r="H271" s="36" t="s">
        <v>352</v>
      </c>
      <c r="I271" s="37" t="s">
        <v>964</v>
      </c>
      <c r="J271" s="31">
        <v>99</v>
      </c>
      <c r="K271" s="33" t="s">
        <v>704</v>
      </c>
      <c r="L271" s="33" t="s">
        <v>685</v>
      </c>
      <c r="M271" s="34" t="s">
        <v>1405</v>
      </c>
      <c r="N271" s="34" t="s">
        <v>1687</v>
      </c>
      <c r="O271" s="35">
        <v>1</v>
      </c>
      <c r="P271" s="35">
        <v>1</v>
      </c>
      <c r="Q271" s="36"/>
      <c r="S271" s="1">
        <f t="shared" si="85"/>
        <v>0</v>
      </c>
      <c r="T271" s="1">
        <f t="shared" si="86"/>
        <v>0</v>
      </c>
      <c r="U271" s="1">
        <f t="shared" si="87"/>
        <v>0</v>
      </c>
      <c r="V271" s="1">
        <f t="shared" si="88"/>
        <v>0</v>
      </c>
      <c r="W271" s="1">
        <f t="shared" si="89"/>
        <v>0</v>
      </c>
      <c r="X271" s="1">
        <f t="shared" si="90"/>
        <v>0</v>
      </c>
      <c r="Y271" s="1">
        <f t="shared" si="91"/>
        <v>0</v>
      </c>
      <c r="Z271" s="1">
        <f t="shared" si="92"/>
        <v>0</v>
      </c>
      <c r="AA271" s="1">
        <f t="shared" si="93"/>
        <v>0</v>
      </c>
      <c r="AB271" s="1">
        <f t="shared" si="94"/>
        <v>0</v>
      </c>
      <c r="AD271" s="1">
        <f t="shared" si="95"/>
        <v>1</v>
      </c>
      <c r="AE271" s="1">
        <f t="shared" si="96"/>
        <v>0</v>
      </c>
      <c r="AF271" s="1">
        <f t="shared" si="97"/>
        <v>1</v>
      </c>
      <c r="AG271" s="1">
        <f t="shared" si="98"/>
        <v>0</v>
      </c>
      <c r="AH271" s="1">
        <f t="shared" si="99"/>
        <v>1</v>
      </c>
      <c r="AI271" s="1">
        <f t="shared" si="100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809</v>
      </c>
      <c r="E272" s="32" t="s">
        <v>29</v>
      </c>
      <c r="F272" s="36" t="s">
        <v>810</v>
      </c>
      <c r="G272" s="36" t="s">
        <v>907</v>
      </c>
      <c r="H272" s="36" t="s">
        <v>352</v>
      </c>
      <c r="I272" s="37" t="s">
        <v>811</v>
      </c>
      <c r="J272" s="31">
        <v>99</v>
      </c>
      <c r="K272" s="33" t="s">
        <v>932</v>
      </c>
      <c r="L272" s="33" t="s">
        <v>685</v>
      </c>
      <c r="M272" s="34" t="s">
        <v>950</v>
      </c>
      <c r="N272" s="34" t="s">
        <v>1776</v>
      </c>
      <c r="O272" s="35">
        <v>1</v>
      </c>
      <c r="P272" s="35"/>
      <c r="Q272" s="36"/>
      <c r="S272" s="1">
        <f t="shared" si="85"/>
        <v>0</v>
      </c>
      <c r="T272" s="1">
        <f t="shared" si="86"/>
        <v>0</v>
      </c>
      <c r="U272" s="1">
        <f t="shared" si="87"/>
        <v>0</v>
      </c>
      <c r="V272" s="1">
        <f t="shared" si="88"/>
        <v>0</v>
      </c>
      <c r="W272" s="1">
        <f t="shared" si="89"/>
        <v>0</v>
      </c>
      <c r="X272" s="1">
        <f t="shared" si="90"/>
        <v>0</v>
      </c>
      <c r="Y272" s="1">
        <f t="shared" si="91"/>
        <v>0</v>
      </c>
      <c r="Z272" s="1">
        <f t="shared" si="92"/>
        <v>0</v>
      </c>
      <c r="AA272" s="1">
        <f t="shared" si="93"/>
        <v>0</v>
      </c>
      <c r="AB272" s="1">
        <f t="shared" si="94"/>
        <v>0</v>
      </c>
      <c r="AD272" s="1">
        <f t="shared" si="95"/>
        <v>0</v>
      </c>
      <c r="AE272" s="1">
        <f t="shared" si="96"/>
        <v>1</v>
      </c>
      <c r="AF272" s="1">
        <f t="shared" si="97"/>
        <v>0</v>
      </c>
      <c r="AG272" s="1">
        <f t="shared" si="98"/>
        <v>1</v>
      </c>
      <c r="AH272" s="1">
        <f t="shared" si="99"/>
        <v>0</v>
      </c>
      <c r="AI272" s="1">
        <f t="shared" si="100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1680</v>
      </c>
      <c r="E273" s="32" t="s">
        <v>29</v>
      </c>
      <c r="F273" s="36" t="s">
        <v>1681</v>
      </c>
      <c r="G273" s="36" t="s">
        <v>248</v>
      </c>
      <c r="H273" s="36" t="s">
        <v>352</v>
      </c>
      <c r="I273" s="37" t="s">
        <v>1682</v>
      </c>
      <c r="J273" s="31"/>
      <c r="K273" s="33" t="s">
        <v>694</v>
      </c>
      <c r="L273" s="33"/>
      <c r="M273" s="34"/>
      <c r="N273" s="34" t="s">
        <v>1687</v>
      </c>
      <c r="O273" s="35">
        <v>1</v>
      </c>
      <c r="P273" s="35">
        <v>1</v>
      </c>
      <c r="Q273" s="36"/>
      <c r="S273" s="1">
        <f t="shared" si="85"/>
        <v>0</v>
      </c>
      <c r="T273" s="1">
        <f t="shared" si="86"/>
        <v>0</v>
      </c>
      <c r="U273" s="1">
        <f t="shared" si="87"/>
        <v>0</v>
      </c>
      <c r="V273" s="1">
        <f t="shared" si="88"/>
        <v>0</v>
      </c>
      <c r="W273" s="1">
        <f t="shared" si="89"/>
        <v>0</v>
      </c>
      <c r="X273" s="1">
        <f t="shared" si="90"/>
        <v>0</v>
      </c>
      <c r="Y273" s="1">
        <f t="shared" si="91"/>
        <v>0</v>
      </c>
      <c r="Z273" s="1">
        <f t="shared" si="92"/>
        <v>0</v>
      </c>
      <c r="AA273" s="1">
        <f t="shared" si="93"/>
        <v>0</v>
      </c>
      <c r="AB273" s="1">
        <f t="shared" si="94"/>
        <v>0</v>
      </c>
      <c r="AD273" s="1">
        <f t="shared" si="95"/>
        <v>1</v>
      </c>
      <c r="AE273" s="1">
        <f t="shared" si="96"/>
        <v>0</v>
      </c>
      <c r="AF273" s="1">
        <f t="shared" si="97"/>
        <v>1</v>
      </c>
      <c r="AG273" s="1">
        <f t="shared" si="98"/>
        <v>0</v>
      </c>
      <c r="AH273" s="1">
        <f t="shared" si="99"/>
        <v>1</v>
      </c>
      <c r="AI273" s="1">
        <f t="shared" si="100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2" t="s">
        <v>880</v>
      </c>
      <c r="E274" s="32" t="s">
        <v>29</v>
      </c>
      <c r="F274" s="32" t="s">
        <v>881</v>
      </c>
      <c r="G274" s="32" t="s">
        <v>227</v>
      </c>
      <c r="H274" s="32" t="s">
        <v>352</v>
      </c>
      <c r="I274" s="31" t="s">
        <v>882</v>
      </c>
      <c r="J274" s="31">
        <v>99</v>
      </c>
      <c r="K274" s="33" t="s">
        <v>704</v>
      </c>
      <c r="L274" s="33" t="s">
        <v>685</v>
      </c>
      <c r="M274" s="34" t="s">
        <v>1371</v>
      </c>
      <c r="N274" s="34" t="s">
        <v>1700</v>
      </c>
      <c r="O274" s="35">
        <v>1</v>
      </c>
      <c r="P274" s="35"/>
      <c r="Q274" s="32"/>
      <c r="S274" s="1">
        <f t="shared" si="85"/>
        <v>0</v>
      </c>
      <c r="T274" s="1">
        <f t="shared" si="86"/>
        <v>0</v>
      </c>
      <c r="U274" s="1">
        <f t="shared" si="87"/>
        <v>0</v>
      </c>
      <c r="V274" s="1">
        <f t="shared" si="88"/>
        <v>0</v>
      </c>
      <c r="W274" s="1">
        <f t="shared" si="89"/>
        <v>0</v>
      </c>
      <c r="X274" s="1">
        <f t="shared" si="90"/>
        <v>0</v>
      </c>
      <c r="Y274" s="1">
        <f t="shared" si="91"/>
        <v>0</v>
      </c>
      <c r="Z274" s="1">
        <f t="shared" si="92"/>
        <v>0</v>
      </c>
      <c r="AA274" s="1">
        <f t="shared" si="93"/>
        <v>0</v>
      </c>
      <c r="AB274" s="1">
        <f t="shared" si="94"/>
        <v>0</v>
      </c>
      <c r="AD274" s="1">
        <f t="shared" si="95"/>
        <v>0</v>
      </c>
      <c r="AE274" s="1">
        <f t="shared" si="96"/>
        <v>1</v>
      </c>
      <c r="AF274" s="1">
        <f t="shared" si="97"/>
        <v>0</v>
      </c>
      <c r="AG274" s="1">
        <f t="shared" si="98"/>
        <v>1</v>
      </c>
      <c r="AH274" s="1">
        <f t="shared" si="99"/>
        <v>0</v>
      </c>
      <c r="AI274" s="1">
        <f t="shared" si="10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88</v>
      </c>
      <c r="E275" s="32" t="s">
        <v>29</v>
      </c>
      <c r="F275" s="32" t="s">
        <v>280</v>
      </c>
      <c r="G275" s="32" t="s">
        <v>281</v>
      </c>
      <c r="H275" s="32" t="s">
        <v>352</v>
      </c>
      <c r="I275" s="31" t="s">
        <v>921</v>
      </c>
      <c r="J275" s="31">
        <v>99</v>
      </c>
      <c r="K275" s="33" t="s">
        <v>932</v>
      </c>
      <c r="L275" s="33" t="s">
        <v>685</v>
      </c>
      <c r="M275" s="34" t="s">
        <v>950</v>
      </c>
      <c r="N275" s="34" t="s">
        <v>1800</v>
      </c>
      <c r="O275" s="35">
        <v>1</v>
      </c>
      <c r="P275" s="35"/>
      <c r="Q275" s="32"/>
      <c r="S275" s="1">
        <f t="shared" si="85"/>
        <v>0</v>
      </c>
      <c r="T275" s="1">
        <f t="shared" si="86"/>
        <v>0</v>
      </c>
      <c r="U275" s="1">
        <f t="shared" si="87"/>
        <v>0</v>
      </c>
      <c r="V275" s="1">
        <f t="shared" si="88"/>
        <v>0</v>
      </c>
      <c r="W275" s="1">
        <f t="shared" si="89"/>
        <v>0</v>
      </c>
      <c r="X275" s="1">
        <f t="shared" si="90"/>
        <v>0</v>
      </c>
      <c r="Y275" s="1">
        <f t="shared" si="91"/>
        <v>0</v>
      </c>
      <c r="Z275" s="1">
        <f t="shared" si="92"/>
        <v>0</v>
      </c>
      <c r="AA275" s="1">
        <f t="shared" si="93"/>
        <v>0</v>
      </c>
      <c r="AB275" s="1">
        <f t="shared" si="94"/>
        <v>0</v>
      </c>
      <c r="AD275" s="1">
        <f t="shared" si="95"/>
        <v>0</v>
      </c>
      <c r="AE275" s="1">
        <f t="shared" si="96"/>
        <v>1</v>
      </c>
      <c r="AF275" s="1">
        <f t="shared" si="97"/>
        <v>0</v>
      </c>
      <c r="AG275" s="1">
        <f t="shared" si="98"/>
        <v>1</v>
      </c>
      <c r="AH275" s="1">
        <f t="shared" si="99"/>
        <v>0</v>
      </c>
      <c r="AI275" s="1">
        <f t="shared" si="100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1597</v>
      </c>
      <c r="E276" s="32" t="s">
        <v>29</v>
      </c>
      <c r="F276" s="36" t="s">
        <v>1496</v>
      </c>
      <c r="G276" s="36" t="s">
        <v>39</v>
      </c>
      <c r="H276" s="36" t="s">
        <v>865</v>
      </c>
      <c r="I276" s="37" t="s">
        <v>1497</v>
      </c>
      <c r="J276" s="31">
        <v>17</v>
      </c>
      <c r="K276" s="33" t="s">
        <v>704</v>
      </c>
      <c r="L276" s="33" t="s">
        <v>688</v>
      </c>
      <c r="M276" s="34" t="s">
        <v>1420</v>
      </c>
      <c r="N276" s="34" t="s">
        <v>1687</v>
      </c>
      <c r="O276" s="35">
        <v>1</v>
      </c>
      <c r="P276" s="35">
        <v>1</v>
      </c>
      <c r="Q276" s="36"/>
      <c r="S276" s="1">
        <f t="shared" si="85"/>
        <v>0</v>
      </c>
      <c r="T276" s="1">
        <f t="shared" si="86"/>
        <v>0</v>
      </c>
      <c r="U276" s="1">
        <f t="shared" si="87"/>
        <v>0</v>
      </c>
      <c r="V276" s="1">
        <f t="shared" si="88"/>
        <v>0</v>
      </c>
      <c r="W276" s="1">
        <f t="shared" si="89"/>
        <v>0</v>
      </c>
      <c r="X276" s="1">
        <f t="shared" si="90"/>
        <v>0</v>
      </c>
      <c r="Y276" s="1">
        <f t="shared" si="91"/>
        <v>0</v>
      </c>
      <c r="Z276" s="1">
        <f t="shared" si="92"/>
        <v>0</v>
      </c>
      <c r="AA276" s="1">
        <f t="shared" si="93"/>
        <v>0</v>
      </c>
      <c r="AB276" s="1">
        <f t="shared" si="94"/>
        <v>0</v>
      </c>
      <c r="AD276" s="1">
        <f t="shared" si="95"/>
        <v>1</v>
      </c>
      <c r="AE276" s="1">
        <f t="shared" si="96"/>
        <v>0</v>
      </c>
      <c r="AF276" s="1">
        <f t="shared" si="97"/>
        <v>1</v>
      </c>
      <c r="AG276" s="1">
        <f t="shared" si="98"/>
        <v>0</v>
      </c>
      <c r="AH276" s="1">
        <f t="shared" si="99"/>
        <v>1</v>
      </c>
      <c r="AI276" s="1">
        <f t="shared" si="100"/>
        <v>0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2" t="s">
        <v>1417</v>
      </c>
      <c r="E277" s="32" t="s">
        <v>29</v>
      </c>
      <c r="F277" s="32" t="s">
        <v>1418</v>
      </c>
      <c r="G277" s="32" t="s">
        <v>319</v>
      </c>
      <c r="H277" s="32" t="s">
        <v>352</v>
      </c>
      <c r="I277" s="31" t="s">
        <v>1419</v>
      </c>
      <c r="J277" s="31">
        <v>99</v>
      </c>
      <c r="K277" s="33" t="s">
        <v>694</v>
      </c>
      <c r="L277" s="33">
        <v>30</v>
      </c>
      <c r="M277" s="34" t="s">
        <v>1420</v>
      </c>
      <c r="N277" s="34" t="s">
        <v>1776</v>
      </c>
      <c r="O277" s="35">
        <v>1</v>
      </c>
      <c r="P277" s="35"/>
      <c r="Q277" s="32"/>
      <c r="S277" s="1">
        <f t="shared" ref="S277:S341" si="111">IF(J277=$S$7,1,0)</f>
        <v>0</v>
      </c>
      <c r="T277" s="1">
        <f t="shared" ref="T277:T341" si="112">IF(J277=$T$7,1,0)</f>
        <v>0</v>
      </c>
      <c r="U277" s="1">
        <f t="shared" ref="U277:U341" si="113">IF(J277=$U$7,1,0)</f>
        <v>0</v>
      </c>
      <c r="V277" s="1">
        <f t="shared" ref="V277:V341" si="114">IF(J277=$V$7,1,0)</f>
        <v>0</v>
      </c>
      <c r="W277" s="1">
        <f t="shared" ref="W277:W341" si="115">IF(J277=$W$7,1,0)</f>
        <v>0</v>
      </c>
      <c r="X277" s="1">
        <f t="shared" ref="X277:X341" si="116">IF(J277=$X$7,1,0)</f>
        <v>0</v>
      </c>
      <c r="Y277" s="1">
        <f t="shared" ref="Y277:Y341" si="117">IF(J277=$Y$7,1,0)</f>
        <v>0</v>
      </c>
      <c r="Z277" s="1">
        <f t="shared" ref="Z277:Z341" si="118">IF(J277=$Z$7,1,0)</f>
        <v>0</v>
      </c>
      <c r="AA277" s="1">
        <f t="shared" ref="AA277:AA341" si="119">IF(J277=$AA$7,1,0)</f>
        <v>0</v>
      </c>
      <c r="AB277" s="1">
        <f t="shared" ref="AB277:AB341" si="120">IF(J277=$AB$7,1,0)</f>
        <v>0</v>
      </c>
      <c r="AD277" s="1">
        <f t="shared" ref="AD277:AD341" si="121">+O277*P277</f>
        <v>0</v>
      </c>
      <c r="AE277" s="1">
        <f t="shared" ref="AE277:AE341" si="122">O277*(1-P277)</f>
        <v>1</v>
      </c>
      <c r="AF277" s="1">
        <f t="shared" si="97"/>
        <v>0</v>
      </c>
      <c r="AG277" s="1">
        <f t="shared" si="98"/>
        <v>1</v>
      </c>
      <c r="AH277" s="1">
        <f t="shared" si="99"/>
        <v>0</v>
      </c>
      <c r="AI277" s="1">
        <f t="shared" si="100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827</v>
      </c>
      <c r="E278" s="32" t="s">
        <v>29</v>
      </c>
      <c r="F278" s="36" t="s">
        <v>828</v>
      </c>
      <c r="G278" s="36" t="s">
        <v>221</v>
      </c>
      <c r="H278" s="36" t="s">
        <v>352</v>
      </c>
      <c r="I278" s="37" t="s">
        <v>829</v>
      </c>
      <c r="J278" s="31">
        <v>99</v>
      </c>
      <c r="K278" s="33" t="s">
        <v>932</v>
      </c>
      <c r="L278" s="33" t="s">
        <v>685</v>
      </c>
      <c r="M278" s="34" t="s">
        <v>950</v>
      </c>
      <c r="N278" s="34" t="s">
        <v>1800</v>
      </c>
      <c r="O278" s="35">
        <v>1</v>
      </c>
      <c r="P278" s="35"/>
      <c r="Q278" s="36"/>
      <c r="S278" s="1">
        <f t="shared" si="111"/>
        <v>0</v>
      </c>
      <c r="T278" s="1">
        <f t="shared" si="112"/>
        <v>0</v>
      </c>
      <c r="U278" s="1">
        <f t="shared" si="113"/>
        <v>0</v>
      </c>
      <c r="V278" s="1">
        <f t="shared" si="114"/>
        <v>0</v>
      </c>
      <c r="W278" s="1">
        <f t="shared" si="115"/>
        <v>0</v>
      </c>
      <c r="X278" s="1">
        <f t="shared" si="116"/>
        <v>0</v>
      </c>
      <c r="Y278" s="1">
        <f t="shared" si="117"/>
        <v>0</v>
      </c>
      <c r="Z278" s="1">
        <f t="shared" si="118"/>
        <v>0</v>
      </c>
      <c r="AA278" s="1">
        <f t="shared" si="119"/>
        <v>0</v>
      </c>
      <c r="AB278" s="1">
        <f t="shared" si="120"/>
        <v>0</v>
      </c>
      <c r="AD278" s="1">
        <f t="shared" si="121"/>
        <v>0</v>
      </c>
      <c r="AE278" s="1">
        <f t="shared" si="122"/>
        <v>1</v>
      </c>
      <c r="AF278" s="1">
        <f t="shared" ref="AF278:AF342" si="123">+O278*P278*(1-A278)</f>
        <v>0</v>
      </c>
      <c r="AG278" s="1">
        <f t="shared" ref="AG278:AG342" si="124">O278*(1-P278)*(1-A278)</f>
        <v>1</v>
      </c>
      <c r="AH278" s="1">
        <f t="shared" ref="AH278:AH342" si="125">+P278*(1-A278)</f>
        <v>0</v>
      </c>
      <c r="AI278" s="1">
        <f t="shared" ref="AI278:AI342" si="126">+(1-A278)*(1-P278)</f>
        <v>1</v>
      </c>
    </row>
    <row r="279" spans="1:35" ht="14.25" customHeight="1" x14ac:dyDescent="0.25">
      <c r="A279" s="31">
        <v>1</v>
      </c>
      <c r="B279" s="31">
        <v>1</v>
      </c>
      <c r="C279" s="31">
        <v>7</v>
      </c>
      <c r="D279" s="36" t="s">
        <v>827</v>
      </c>
      <c r="E279" s="32" t="s">
        <v>29</v>
      </c>
      <c r="F279" s="36" t="s">
        <v>909</v>
      </c>
      <c r="G279" s="36" t="s">
        <v>278</v>
      </c>
      <c r="H279" s="36" t="s">
        <v>352</v>
      </c>
      <c r="I279" s="37" t="s">
        <v>830</v>
      </c>
      <c r="J279" s="31">
        <v>99</v>
      </c>
      <c r="K279" s="33" t="s">
        <v>932</v>
      </c>
      <c r="L279" s="33" t="s">
        <v>685</v>
      </c>
      <c r="M279" s="34" t="s">
        <v>950</v>
      </c>
      <c r="N279" s="34" t="s">
        <v>1800</v>
      </c>
      <c r="O279" s="35">
        <v>1</v>
      </c>
      <c r="P279" s="35"/>
      <c r="Q279" s="36"/>
      <c r="S279" s="1">
        <f t="shared" si="111"/>
        <v>0</v>
      </c>
      <c r="T279" s="1">
        <f t="shared" si="112"/>
        <v>0</v>
      </c>
      <c r="U279" s="1">
        <f t="shared" si="113"/>
        <v>0</v>
      </c>
      <c r="V279" s="1">
        <f t="shared" si="114"/>
        <v>0</v>
      </c>
      <c r="W279" s="1">
        <f t="shared" si="115"/>
        <v>0</v>
      </c>
      <c r="X279" s="1">
        <f t="shared" si="116"/>
        <v>0</v>
      </c>
      <c r="Y279" s="1">
        <f t="shared" si="117"/>
        <v>0</v>
      </c>
      <c r="Z279" s="1">
        <f t="shared" si="118"/>
        <v>0</v>
      </c>
      <c r="AA279" s="1">
        <f t="shared" si="119"/>
        <v>0</v>
      </c>
      <c r="AB279" s="1">
        <f t="shared" si="120"/>
        <v>0</v>
      </c>
      <c r="AD279" s="1">
        <f t="shared" si="121"/>
        <v>0</v>
      </c>
      <c r="AE279" s="1">
        <f t="shared" si="122"/>
        <v>1</v>
      </c>
      <c r="AF279" s="1">
        <f t="shared" si="123"/>
        <v>0</v>
      </c>
      <c r="AG279" s="1">
        <f t="shared" si="124"/>
        <v>0</v>
      </c>
      <c r="AH279" s="1">
        <f t="shared" si="125"/>
        <v>0</v>
      </c>
      <c r="AI279" s="1">
        <f t="shared" si="126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1185</v>
      </c>
      <c r="E280" s="32" t="s">
        <v>29</v>
      </c>
      <c r="F280" s="32" t="s">
        <v>1186</v>
      </c>
      <c r="G280" s="32" t="s">
        <v>237</v>
      </c>
      <c r="H280" s="32" t="s">
        <v>352</v>
      </c>
      <c r="I280" s="31" t="s">
        <v>1327</v>
      </c>
      <c r="J280" s="31">
        <v>99</v>
      </c>
      <c r="K280" s="33" t="s">
        <v>704</v>
      </c>
      <c r="L280" s="33" t="s">
        <v>685</v>
      </c>
      <c r="M280" s="34" t="s">
        <v>1372</v>
      </c>
      <c r="N280" s="34" t="s">
        <v>1707</v>
      </c>
      <c r="O280" s="35">
        <v>1</v>
      </c>
      <c r="P280" s="35"/>
      <c r="Q280" s="32"/>
      <c r="S280" s="1">
        <f t="shared" si="111"/>
        <v>0</v>
      </c>
      <c r="T280" s="1">
        <f t="shared" si="112"/>
        <v>0</v>
      </c>
      <c r="U280" s="1">
        <f t="shared" si="113"/>
        <v>0</v>
      </c>
      <c r="V280" s="1">
        <f t="shared" si="114"/>
        <v>0</v>
      </c>
      <c r="W280" s="1">
        <f t="shared" si="115"/>
        <v>0</v>
      </c>
      <c r="X280" s="1">
        <f t="shared" si="116"/>
        <v>0</v>
      </c>
      <c r="Y280" s="1">
        <f t="shared" si="117"/>
        <v>0</v>
      </c>
      <c r="Z280" s="1">
        <f t="shared" si="118"/>
        <v>0</v>
      </c>
      <c r="AA280" s="1">
        <f t="shared" si="119"/>
        <v>0</v>
      </c>
      <c r="AB280" s="1">
        <f t="shared" si="120"/>
        <v>0</v>
      </c>
      <c r="AD280" s="1">
        <f t="shared" si="121"/>
        <v>0</v>
      </c>
      <c r="AE280" s="1">
        <f t="shared" si="122"/>
        <v>1</v>
      </c>
      <c r="AF280" s="1">
        <f t="shared" si="123"/>
        <v>0</v>
      </c>
      <c r="AG280" s="1">
        <f t="shared" si="124"/>
        <v>1</v>
      </c>
      <c r="AH280" s="1">
        <f t="shared" si="125"/>
        <v>0</v>
      </c>
      <c r="AI280" s="1">
        <f t="shared" si="126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1202</v>
      </c>
      <c r="E281" s="32" t="s">
        <v>29</v>
      </c>
      <c r="F281" s="36" t="s">
        <v>1203</v>
      </c>
      <c r="G281" s="36" t="s">
        <v>237</v>
      </c>
      <c r="H281" s="36" t="s">
        <v>352</v>
      </c>
      <c r="I281" s="37" t="s">
        <v>1204</v>
      </c>
      <c r="J281" s="31">
        <v>99</v>
      </c>
      <c r="K281" s="33" t="s">
        <v>704</v>
      </c>
      <c r="L281" s="33" t="s">
        <v>684</v>
      </c>
      <c r="M281" s="34" t="s">
        <v>1372</v>
      </c>
      <c r="N281" s="34" t="s">
        <v>1776</v>
      </c>
      <c r="O281" s="35">
        <v>1</v>
      </c>
      <c r="P281" s="35"/>
      <c r="Q281" s="36"/>
      <c r="S281" s="1">
        <f t="shared" si="111"/>
        <v>0</v>
      </c>
      <c r="T281" s="1">
        <f t="shared" si="112"/>
        <v>0</v>
      </c>
      <c r="U281" s="1">
        <f t="shared" si="113"/>
        <v>0</v>
      </c>
      <c r="V281" s="1">
        <f t="shared" si="114"/>
        <v>0</v>
      </c>
      <c r="W281" s="1">
        <f t="shared" si="115"/>
        <v>0</v>
      </c>
      <c r="X281" s="1">
        <f t="shared" si="116"/>
        <v>0</v>
      </c>
      <c r="Y281" s="1">
        <f t="shared" si="117"/>
        <v>0</v>
      </c>
      <c r="Z281" s="1">
        <f t="shared" si="118"/>
        <v>0</v>
      </c>
      <c r="AA281" s="1">
        <f t="shared" si="119"/>
        <v>0</v>
      </c>
      <c r="AB281" s="1">
        <f t="shared" si="120"/>
        <v>0</v>
      </c>
      <c r="AD281" s="1">
        <f t="shared" si="121"/>
        <v>0</v>
      </c>
      <c r="AE281" s="1">
        <f t="shared" si="122"/>
        <v>1</v>
      </c>
      <c r="AF281" s="1">
        <f t="shared" si="123"/>
        <v>0</v>
      </c>
      <c r="AG281" s="1">
        <f t="shared" si="124"/>
        <v>1</v>
      </c>
      <c r="AH281" s="1">
        <f t="shared" si="125"/>
        <v>0</v>
      </c>
      <c r="AI281" s="1">
        <f t="shared" si="12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6" t="s">
        <v>92</v>
      </c>
      <c r="E282" s="32" t="s">
        <v>29</v>
      </c>
      <c r="F282" s="36" t="s">
        <v>286</v>
      </c>
      <c r="G282" s="36" t="s">
        <v>189</v>
      </c>
      <c r="H282" s="36" t="s">
        <v>352</v>
      </c>
      <c r="I282" s="37" t="s">
        <v>438</v>
      </c>
      <c r="J282" s="31">
        <v>99</v>
      </c>
      <c r="K282" s="33" t="s">
        <v>704</v>
      </c>
      <c r="L282" s="33" t="s">
        <v>685</v>
      </c>
      <c r="M282" s="34" t="s">
        <v>1373</v>
      </c>
      <c r="N282" s="34" t="s">
        <v>1702</v>
      </c>
      <c r="O282" s="35">
        <v>1</v>
      </c>
      <c r="P282" s="35"/>
      <c r="Q282" s="36"/>
      <c r="S282" s="1">
        <f t="shared" si="111"/>
        <v>0</v>
      </c>
      <c r="T282" s="1">
        <f t="shared" si="112"/>
        <v>0</v>
      </c>
      <c r="U282" s="1">
        <f t="shared" si="113"/>
        <v>0</v>
      </c>
      <c r="V282" s="1">
        <f t="shared" si="114"/>
        <v>0</v>
      </c>
      <c r="W282" s="1">
        <f t="shared" si="115"/>
        <v>0</v>
      </c>
      <c r="X282" s="1">
        <f t="shared" si="116"/>
        <v>0</v>
      </c>
      <c r="Y282" s="1">
        <f t="shared" si="117"/>
        <v>0</v>
      </c>
      <c r="Z282" s="1">
        <f t="shared" si="118"/>
        <v>0</v>
      </c>
      <c r="AA282" s="1">
        <f t="shared" si="119"/>
        <v>0</v>
      </c>
      <c r="AB282" s="1">
        <f t="shared" si="120"/>
        <v>0</v>
      </c>
      <c r="AD282" s="1">
        <f t="shared" si="121"/>
        <v>0</v>
      </c>
      <c r="AE282" s="1">
        <f t="shared" si="122"/>
        <v>1</v>
      </c>
      <c r="AF282" s="1">
        <f t="shared" si="123"/>
        <v>0</v>
      </c>
      <c r="AG282" s="1">
        <f t="shared" si="124"/>
        <v>1</v>
      </c>
      <c r="AH282" s="1">
        <f t="shared" si="125"/>
        <v>0</v>
      </c>
      <c r="AI282" s="1">
        <f t="shared" si="126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851</v>
      </c>
      <c r="E283" s="32" t="s">
        <v>29</v>
      </c>
      <c r="F283" s="32" t="s">
        <v>852</v>
      </c>
      <c r="G283" s="32" t="s">
        <v>193</v>
      </c>
      <c r="H283" s="32" t="s">
        <v>352</v>
      </c>
      <c r="I283" s="31" t="s">
        <v>853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1696</v>
      </c>
      <c r="O283" s="35">
        <v>1</v>
      </c>
      <c r="P283" s="35"/>
      <c r="Q283" s="32"/>
      <c r="S283" s="1">
        <f t="shared" si="111"/>
        <v>0</v>
      </c>
      <c r="T283" s="1">
        <f t="shared" si="112"/>
        <v>0</v>
      </c>
      <c r="U283" s="1">
        <f t="shared" si="113"/>
        <v>0</v>
      </c>
      <c r="V283" s="1">
        <f t="shared" si="114"/>
        <v>0</v>
      </c>
      <c r="W283" s="1">
        <f t="shared" si="115"/>
        <v>0</v>
      </c>
      <c r="X283" s="1">
        <f t="shared" si="116"/>
        <v>0</v>
      </c>
      <c r="Y283" s="1">
        <f t="shared" si="117"/>
        <v>0</v>
      </c>
      <c r="Z283" s="1">
        <f t="shared" si="118"/>
        <v>0</v>
      </c>
      <c r="AA283" s="1">
        <f t="shared" si="119"/>
        <v>1</v>
      </c>
      <c r="AB283" s="1">
        <f t="shared" si="120"/>
        <v>0</v>
      </c>
      <c r="AD283" s="1">
        <f t="shared" si="121"/>
        <v>0</v>
      </c>
      <c r="AE283" s="1">
        <f t="shared" si="122"/>
        <v>1</v>
      </c>
      <c r="AF283" s="1">
        <f t="shared" si="123"/>
        <v>0</v>
      </c>
      <c r="AG283" s="1">
        <f t="shared" si="124"/>
        <v>1</v>
      </c>
      <c r="AH283" s="1">
        <f t="shared" si="125"/>
        <v>0</v>
      </c>
      <c r="AI283" s="1">
        <f t="shared" si="126"/>
        <v>1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851</v>
      </c>
      <c r="E284" s="32" t="s">
        <v>29</v>
      </c>
      <c r="F284" s="32" t="s">
        <v>1045</v>
      </c>
      <c r="G284" s="32" t="s">
        <v>319</v>
      </c>
      <c r="H284" s="32" t="s">
        <v>352</v>
      </c>
      <c r="I284" s="31" t="s">
        <v>1046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1696</v>
      </c>
      <c r="O284" s="35">
        <v>1</v>
      </c>
      <c r="P284" s="35"/>
      <c r="Q284" s="32"/>
      <c r="S284" s="1">
        <f t="shared" si="111"/>
        <v>0</v>
      </c>
      <c r="T284" s="1">
        <f t="shared" si="112"/>
        <v>0</v>
      </c>
      <c r="U284" s="1">
        <f t="shared" si="113"/>
        <v>0</v>
      </c>
      <c r="V284" s="1">
        <f t="shared" si="114"/>
        <v>0</v>
      </c>
      <c r="W284" s="1">
        <f t="shared" si="115"/>
        <v>0</v>
      </c>
      <c r="X284" s="1">
        <f t="shared" si="116"/>
        <v>0</v>
      </c>
      <c r="Y284" s="1">
        <f t="shared" si="117"/>
        <v>0</v>
      </c>
      <c r="Z284" s="1">
        <f t="shared" si="118"/>
        <v>0</v>
      </c>
      <c r="AA284" s="1">
        <f t="shared" si="119"/>
        <v>0</v>
      </c>
      <c r="AB284" s="1">
        <f t="shared" si="120"/>
        <v>0</v>
      </c>
      <c r="AD284" s="1">
        <f t="shared" si="121"/>
        <v>0</v>
      </c>
      <c r="AE284" s="1">
        <f t="shared" si="122"/>
        <v>1</v>
      </c>
      <c r="AF284" s="1">
        <f t="shared" si="123"/>
        <v>0</v>
      </c>
      <c r="AG284" s="1">
        <f t="shared" si="124"/>
        <v>0</v>
      </c>
      <c r="AH284" s="1">
        <f t="shared" si="125"/>
        <v>0</v>
      </c>
      <c r="AI284" s="1">
        <f t="shared" si="126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851</v>
      </c>
      <c r="E285" s="32" t="s">
        <v>29</v>
      </c>
      <c r="F285" s="32" t="s">
        <v>1969</v>
      </c>
      <c r="G285" s="32" t="s">
        <v>193</v>
      </c>
      <c r="H285" s="32" t="s">
        <v>352</v>
      </c>
      <c r="I285" s="31" t="s">
        <v>853</v>
      </c>
      <c r="J285" s="31">
        <v>9</v>
      </c>
      <c r="K285" s="33" t="s">
        <v>704</v>
      </c>
      <c r="L285" s="33" t="s">
        <v>687</v>
      </c>
      <c r="M285" s="34" t="s">
        <v>699</v>
      </c>
      <c r="N285" s="34" t="s">
        <v>1696</v>
      </c>
      <c r="O285" s="35">
        <v>1</v>
      </c>
      <c r="P285" s="35"/>
      <c r="Q285" s="32"/>
      <c r="S285" s="1">
        <f t="shared" si="111"/>
        <v>0</v>
      </c>
      <c r="T285" s="1">
        <f t="shared" si="112"/>
        <v>0</v>
      </c>
      <c r="U285" s="1">
        <f t="shared" si="113"/>
        <v>0</v>
      </c>
      <c r="V285" s="1">
        <f t="shared" si="114"/>
        <v>0</v>
      </c>
      <c r="W285" s="1">
        <f t="shared" si="115"/>
        <v>0</v>
      </c>
      <c r="X285" s="1">
        <f t="shared" si="116"/>
        <v>0</v>
      </c>
      <c r="Y285" s="1">
        <f t="shared" si="117"/>
        <v>0</v>
      </c>
      <c r="Z285" s="1">
        <f t="shared" si="118"/>
        <v>0</v>
      </c>
      <c r="AA285" s="1">
        <f t="shared" si="119"/>
        <v>1</v>
      </c>
      <c r="AB285" s="1">
        <f t="shared" si="120"/>
        <v>0</v>
      </c>
      <c r="AD285" s="1">
        <f t="shared" si="121"/>
        <v>0</v>
      </c>
      <c r="AE285" s="1">
        <f t="shared" si="122"/>
        <v>1</v>
      </c>
      <c r="AF285" s="1">
        <f t="shared" si="123"/>
        <v>0</v>
      </c>
      <c r="AG285" s="1">
        <f t="shared" si="124"/>
        <v>0</v>
      </c>
      <c r="AH285" s="1">
        <f t="shared" si="125"/>
        <v>0</v>
      </c>
      <c r="AI285" s="1">
        <f t="shared" si="126"/>
        <v>0</v>
      </c>
    </row>
    <row r="286" spans="1:35" ht="14.25" customHeight="1" x14ac:dyDescent="0.25">
      <c r="A286" s="31">
        <v>1</v>
      </c>
      <c r="B286" s="31">
        <v>1</v>
      </c>
      <c r="C286" s="31">
        <v>7</v>
      </c>
      <c r="D286" s="32" t="s">
        <v>851</v>
      </c>
      <c r="E286" s="32" t="s">
        <v>29</v>
      </c>
      <c r="F286" s="32" t="s">
        <v>1971</v>
      </c>
      <c r="G286" s="32" t="s">
        <v>208</v>
      </c>
      <c r="H286" s="32" t="s">
        <v>352</v>
      </c>
      <c r="I286" s="31" t="s">
        <v>1970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1696</v>
      </c>
      <c r="O286" s="35">
        <v>1</v>
      </c>
      <c r="P286" s="35"/>
      <c r="Q286" s="32"/>
      <c r="S286" s="1">
        <f t="shared" si="111"/>
        <v>0</v>
      </c>
      <c r="T286" s="1">
        <f t="shared" si="112"/>
        <v>0</v>
      </c>
      <c r="U286" s="1">
        <f t="shared" si="113"/>
        <v>0</v>
      </c>
      <c r="V286" s="1">
        <f t="shared" si="114"/>
        <v>0</v>
      </c>
      <c r="W286" s="1">
        <f t="shared" si="115"/>
        <v>0</v>
      </c>
      <c r="X286" s="1">
        <f t="shared" si="116"/>
        <v>0</v>
      </c>
      <c r="Y286" s="1">
        <f t="shared" si="117"/>
        <v>0</v>
      </c>
      <c r="Z286" s="1">
        <f t="shared" si="118"/>
        <v>0</v>
      </c>
      <c r="AA286" s="1">
        <f t="shared" si="119"/>
        <v>0</v>
      </c>
      <c r="AB286" s="1">
        <f t="shared" si="120"/>
        <v>0</v>
      </c>
      <c r="AD286" s="1">
        <f t="shared" si="121"/>
        <v>0</v>
      </c>
      <c r="AE286" s="1">
        <f t="shared" si="122"/>
        <v>1</v>
      </c>
      <c r="AF286" s="1">
        <f t="shared" si="123"/>
        <v>0</v>
      </c>
      <c r="AG286" s="1">
        <f t="shared" si="124"/>
        <v>0</v>
      </c>
      <c r="AH286" s="1">
        <f t="shared" si="125"/>
        <v>0</v>
      </c>
      <c r="AI286" s="1">
        <f t="shared" si="126"/>
        <v>0</v>
      </c>
    </row>
    <row r="287" spans="1:35" ht="14.25" customHeight="1" x14ac:dyDescent="0.25">
      <c r="A287" s="31">
        <v>1</v>
      </c>
      <c r="B287" s="31">
        <v>1</v>
      </c>
      <c r="C287" s="31">
        <v>7</v>
      </c>
      <c r="D287" s="32" t="s">
        <v>851</v>
      </c>
      <c r="E287" s="32" t="s">
        <v>29</v>
      </c>
      <c r="F287" s="36" t="s">
        <v>1639</v>
      </c>
      <c r="G287" s="36" t="s">
        <v>2123</v>
      </c>
      <c r="H287" s="32" t="s">
        <v>352</v>
      </c>
      <c r="I287" s="37" t="s">
        <v>2124</v>
      </c>
      <c r="J287" s="31">
        <v>99</v>
      </c>
      <c r="K287" s="33" t="s">
        <v>704</v>
      </c>
      <c r="L287" s="33" t="s">
        <v>687</v>
      </c>
      <c r="M287" s="34" t="s">
        <v>699</v>
      </c>
      <c r="N287" s="34" t="s">
        <v>1696</v>
      </c>
      <c r="O287" s="35">
        <v>1</v>
      </c>
      <c r="P287" s="35"/>
      <c r="Q287" s="32"/>
      <c r="S287" s="1">
        <f t="shared" si="111"/>
        <v>0</v>
      </c>
      <c r="T287" s="1">
        <f t="shared" si="112"/>
        <v>0</v>
      </c>
      <c r="U287" s="1">
        <f t="shared" si="113"/>
        <v>0</v>
      </c>
      <c r="V287" s="1">
        <f t="shared" si="114"/>
        <v>0</v>
      </c>
      <c r="W287" s="1">
        <f t="shared" si="115"/>
        <v>0</v>
      </c>
      <c r="X287" s="1">
        <f t="shared" si="116"/>
        <v>0</v>
      </c>
      <c r="Y287" s="1">
        <f t="shared" si="117"/>
        <v>0</v>
      </c>
      <c r="Z287" s="1">
        <f t="shared" si="118"/>
        <v>0</v>
      </c>
      <c r="AA287" s="1">
        <f t="shared" si="119"/>
        <v>0</v>
      </c>
      <c r="AB287" s="1">
        <f t="shared" si="120"/>
        <v>0</v>
      </c>
      <c r="AD287" s="1">
        <f t="shared" si="121"/>
        <v>0</v>
      </c>
      <c r="AE287" s="1">
        <f t="shared" si="122"/>
        <v>1</v>
      </c>
      <c r="AF287" s="1">
        <f t="shared" si="123"/>
        <v>0</v>
      </c>
      <c r="AG287" s="1">
        <f t="shared" si="124"/>
        <v>0</v>
      </c>
      <c r="AH287" s="1">
        <f t="shared" si="125"/>
        <v>0</v>
      </c>
      <c r="AI287" s="1">
        <f t="shared" si="126"/>
        <v>0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95</v>
      </c>
      <c r="E288" s="32" t="s">
        <v>29</v>
      </c>
      <c r="F288" s="36" t="s">
        <v>290</v>
      </c>
      <c r="G288" s="36" t="s">
        <v>291</v>
      </c>
      <c r="H288" s="36" t="s">
        <v>352</v>
      </c>
      <c r="I288" s="37" t="s">
        <v>1094</v>
      </c>
      <c r="J288" s="31">
        <v>99</v>
      </c>
      <c r="K288" s="33" t="s">
        <v>704</v>
      </c>
      <c r="L288" s="33" t="s">
        <v>687</v>
      </c>
      <c r="M288" s="34" t="s">
        <v>699</v>
      </c>
      <c r="N288" s="34" t="s">
        <v>1700</v>
      </c>
      <c r="O288" s="35">
        <v>1</v>
      </c>
      <c r="P288" s="35"/>
      <c r="Q288" s="36"/>
      <c r="S288" s="1">
        <f t="shared" si="111"/>
        <v>0</v>
      </c>
      <c r="T288" s="1">
        <f t="shared" si="112"/>
        <v>0</v>
      </c>
      <c r="U288" s="1">
        <f t="shared" si="113"/>
        <v>0</v>
      </c>
      <c r="V288" s="1">
        <f t="shared" si="114"/>
        <v>0</v>
      </c>
      <c r="W288" s="1">
        <f t="shared" si="115"/>
        <v>0</v>
      </c>
      <c r="X288" s="1">
        <f t="shared" si="116"/>
        <v>0</v>
      </c>
      <c r="Y288" s="1">
        <f t="shared" si="117"/>
        <v>0</v>
      </c>
      <c r="Z288" s="1">
        <f t="shared" si="118"/>
        <v>0</v>
      </c>
      <c r="AA288" s="1">
        <f t="shared" si="119"/>
        <v>0</v>
      </c>
      <c r="AB288" s="1">
        <f t="shared" si="120"/>
        <v>0</v>
      </c>
      <c r="AD288" s="1">
        <f t="shared" si="121"/>
        <v>0</v>
      </c>
      <c r="AE288" s="1">
        <f t="shared" si="122"/>
        <v>1</v>
      </c>
      <c r="AF288" s="1">
        <f t="shared" si="123"/>
        <v>0</v>
      </c>
      <c r="AG288" s="1">
        <f t="shared" si="124"/>
        <v>1</v>
      </c>
      <c r="AH288" s="1">
        <f t="shared" si="125"/>
        <v>0</v>
      </c>
      <c r="AI288" s="1">
        <f t="shared" si="126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6" t="s">
        <v>528</v>
      </c>
      <c r="E289" s="32" t="s">
        <v>29</v>
      </c>
      <c r="F289" s="36" t="s">
        <v>657</v>
      </c>
      <c r="G289" s="36" t="s">
        <v>39</v>
      </c>
      <c r="H289" s="36" t="s">
        <v>529</v>
      </c>
      <c r="I289" s="37" t="s">
        <v>1650</v>
      </c>
      <c r="J289" s="31">
        <v>14</v>
      </c>
      <c r="K289" s="33" t="s">
        <v>931</v>
      </c>
      <c r="L289" s="33">
        <v>40</v>
      </c>
      <c r="M289" s="34" t="s">
        <v>699</v>
      </c>
      <c r="N289" s="34" t="s">
        <v>1696</v>
      </c>
      <c r="O289" s="35">
        <v>1</v>
      </c>
      <c r="P289" s="35"/>
      <c r="Q289" s="36"/>
      <c r="S289" s="1">
        <f t="shared" si="111"/>
        <v>0</v>
      </c>
      <c r="T289" s="1">
        <f t="shared" si="112"/>
        <v>0</v>
      </c>
      <c r="U289" s="1">
        <f t="shared" si="113"/>
        <v>0</v>
      </c>
      <c r="V289" s="1">
        <f t="shared" si="114"/>
        <v>0</v>
      </c>
      <c r="W289" s="1">
        <f t="shared" si="115"/>
        <v>0</v>
      </c>
      <c r="X289" s="1">
        <f t="shared" si="116"/>
        <v>0</v>
      </c>
      <c r="Y289" s="1">
        <f t="shared" si="117"/>
        <v>0</v>
      </c>
      <c r="Z289" s="1">
        <f t="shared" si="118"/>
        <v>0</v>
      </c>
      <c r="AA289" s="1">
        <f t="shared" si="119"/>
        <v>0</v>
      </c>
      <c r="AB289" s="1">
        <f t="shared" si="120"/>
        <v>0</v>
      </c>
      <c r="AD289" s="1">
        <f t="shared" si="121"/>
        <v>0</v>
      </c>
      <c r="AE289" s="1">
        <f t="shared" si="122"/>
        <v>1</v>
      </c>
      <c r="AF289" s="1">
        <f t="shared" si="123"/>
        <v>0</v>
      </c>
      <c r="AG289" s="1">
        <f t="shared" si="124"/>
        <v>1</v>
      </c>
      <c r="AH289" s="1">
        <f t="shared" si="125"/>
        <v>0</v>
      </c>
      <c r="AI289" s="1">
        <f t="shared" si="126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6" t="s">
        <v>1289</v>
      </c>
      <c r="E290" s="32" t="s">
        <v>29</v>
      </c>
      <c r="F290" s="36" t="s">
        <v>1313</v>
      </c>
      <c r="G290" s="36" t="s">
        <v>39</v>
      </c>
      <c r="H290" s="36" t="s">
        <v>352</v>
      </c>
      <c r="I290" s="37" t="s">
        <v>1122</v>
      </c>
      <c r="J290" s="31">
        <v>99</v>
      </c>
      <c r="K290" s="33" t="s">
        <v>704</v>
      </c>
      <c r="L290" s="33" t="s">
        <v>684</v>
      </c>
      <c r="M290" s="34" t="s">
        <v>1374</v>
      </c>
      <c r="N290" s="34" t="s">
        <v>1693</v>
      </c>
      <c r="O290" s="35">
        <v>1</v>
      </c>
      <c r="P290" s="35">
        <v>1</v>
      </c>
      <c r="Q290" s="36"/>
      <c r="S290" s="1">
        <f t="shared" si="111"/>
        <v>0</v>
      </c>
      <c r="T290" s="1">
        <f t="shared" si="112"/>
        <v>0</v>
      </c>
      <c r="U290" s="1">
        <f t="shared" si="113"/>
        <v>0</v>
      </c>
      <c r="V290" s="1">
        <f t="shared" si="114"/>
        <v>0</v>
      </c>
      <c r="W290" s="1">
        <f t="shared" si="115"/>
        <v>0</v>
      </c>
      <c r="X290" s="1">
        <f t="shared" si="116"/>
        <v>0</v>
      </c>
      <c r="Y290" s="1">
        <f t="shared" si="117"/>
        <v>0</v>
      </c>
      <c r="Z290" s="1">
        <f t="shared" si="118"/>
        <v>0</v>
      </c>
      <c r="AA290" s="1">
        <f t="shared" si="119"/>
        <v>0</v>
      </c>
      <c r="AB290" s="1">
        <f t="shared" si="120"/>
        <v>0</v>
      </c>
      <c r="AD290" s="1">
        <f t="shared" si="121"/>
        <v>1</v>
      </c>
      <c r="AE290" s="1">
        <f t="shared" si="122"/>
        <v>0</v>
      </c>
      <c r="AF290" s="1">
        <f t="shared" si="123"/>
        <v>1</v>
      </c>
      <c r="AG290" s="1">
        <f t="shared" si="124"/>
        <v>0</v>
      </c>
      <c r="AH290" s="1">
        <f t="shared" si="125"/>
        <v>1</v>
      </c>
      <c r="AI290" s="1">
        <f t="shared" si="126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96</v>
      </c>
      <c r="E291" s="32" t="s">
        <v>29</v>
      </c>
      <c r="F291" s="32" t="s">
        <v>293</v>
      </c>
      <c r="G291" s="32" t="s">
        <v>262</v>
      </c>
      <c r="H291" s="32" t="s">
        <v>352</v>
      </c>
      <c r="I291" s="31" t="s">
        <v>442</v>
      </c>
      <c r="J291" s="31">
        <v>1</v>
      </c>
      <c r="K291" s="33" t="s">
        <v>704</v>
      </c>
      <c r="L291" s="33" t="s">
        <v>685</v>
      </c>
      <c r="M291" s="34" t="s">
        <v>699</v>
      </c>
      <c r="N291" s="34" t="s">
        <v>1696</v>
      </c>
      <c r="O291" s="35">
        <v>1</v>
      </c>
      <c r="P291" s="35"/>
      <c r="Q291" s="32"/>
      <c r="S291" s="1">
        <f t="shared" si="111"/>
        <v>1</v>
      </c>
      <c r="T291" s="1">
        <f t="shared" si="112"/>
        <v>0</v>
      </c>
      <c r="U291" s="1">
        <f t="shared" si="113"/>
        <v>0</v>
      </c>
      <c r="V291" s="1">
        <f t="shared" si="114"/>
        <v>0</v>
      </c>
      <c r="W291" s="1">
        <f t="shared" si="115"/>
        <v>0</v>
      </c>
      <c r="X291" s="1">
        <f t="shared" si="116"/>
        <v>0</v>
      </c>
      <c r="Y291" s="1">
        <f t="shared" si="117"/>
        <v>0</v>
      </c>
      <c r="Z291" s="1">
        <f t="shared" si="118"/>
        <v>0</v>
      </c>
      <c r="AA291" s="1">
        <f t="shared" si="119"/>
        <v>0</v>
      </c>
      <c r="AB291" s="1">
        <f t="shared" si="120"/>
        <v>0</v>
      </c>
      <c r="AD291" s="1">
        <f t="shared" si="121"/>
        <v>0</v>
      </c>
      <c r="AE291" s="1">
        <f t="shared" si="122"/>
        <v>1</v>
      </c>
      <c r="AF291" s="1">
        <f t="shared" si="123"/>
        <v>0</v>
      </c>
      <c r="AG291" s="1">
        <f t="shared" si="124"/>
        <v>1</v>
      </c>
      <c r="AH291" s="1">
        <f t="shared" si="125"/>
        <v>0</v>
      </c>
      <c r="AI291" s="1">
        <f t="shared" si="126"/>
        <v>1</v>
      </c>
    </row>
    <row r="292" spans="1:35" ht="14.25" customHeight="1" x14ac:dyDescent="0.25">
      <c r="A292" s="15">
        <v>0</v>
      </c>
      <c r="B292" s="15">
        <v>1</v>
      </c>
      <c r="C292" s="15">
        <v>7</v>
      </c>
      <c r="D292" s="16" t="s">
        <v>741</v>
      </c>
      <c r="E292" s="16" t="s">
        <v>29</v>
      </c>
      <c r="F292" s="20" t="s">
        <v>2045</v>
      </c>
      <c r="G292" s="16" t="s">
        <v>39</v>
      </c>
      <c r="H292" s="20" t="s">
        <v>365</v>
      </c>
      <c r="I292" s="21" t="s">
        <v>2046</v>
      </c>
      <c r="J292" s="15">
        <v>18</v>
      </c>
      <c r="K292" s="10" t="s">
        <v>694</v>
      </c>
      <c r="L292" s="10" t="s">
        <v>688</v>
      </c>
      <c r="M292" s="19" t="s">
        <v>699</v>
      </c>
      <c r="N292" s="17"/>
      <c r="Q292" s="16"/>
      <c r="S292" s="1">
        <f t="shared" si="111"/>
        <v>0</v>
      </c>
      <c r="T292" s="1">
        <f t="shared" si="112"/>
        <v>0</v>
      </c>
      <c r="U292" s="1">
        <f t="shared" si="113"/>
        <v>0</v>
      </c>
      <c r="V292" s="1">
        <f t="shared" si="114"/>
        <v>0</v>
      </c>
      <c r="W292" s="1">
        <f t="shared" si="115"/>
        <v>0</v>
      </c>
      <c r="X292" s="1">
        <f t="shared" si="116"/>
        <v>0</v>
      </c>
      <c r="Y292" s="1">
        <f t="shared" si="117"/>
        <v>0</v>
      </c>
      <c r="Z292" s="1">
        <f t="shared" si="118"/>
        <v>0</v>
      </c>
      <c r="AA292" s="1">
        <f t="shared" si="119"/>
        <v>0</v>
      </c>
      <c r="AB292" s="1">
        <f t="shared" si="120"/>
        <v>0</v>
      </c>
      <c r="AD292" s="1">
        <f t="shared" si="121"/>
        <v>0</v>
      </c>
      <c r="AE292" s="1">
        <f t="shared" si="122"/>
        <v>0</v>
      </c>
      <c r="AF292" s="1">
        <f t="shared" si="123"/>
        <v>0</v>
      </c>
      <c r="AG292" s="1">
        <f t="shared" si="124"/>
        <v>0</v>
      </c>
      <c r="AH292" s="1">
        <f t="shared" si="125"/>
        <v>0</v>
      </c>
      <c r="AI292" s="1">
        <f t="shared" si="126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6" t="s">
        <v>1480</v>
      </c>
      <c r="E293" s="32" t="s">
        <v>29</v>
      </c>
      <c r="F293" s="36" t="s">
        <v>1632</v>
      </c>
      <c r="G293" s="36" t="s">
        <v>1633</v>
      </c>
      <c r="H293" s="36" t="s">
        <v>352</v>
      </c>
      <c r="I293" s="37" t="s">
        <v>1481</v>
      </c>
      <c r="J293" s="31">
        <v>99</v>
      </c>
      <c r="K293" s="33" t="s">
        <v>704</v>
      </c>
      <c r="L293" s="33" t="s">
        <v>39</v>
      </c>
      <c r="M293" s="34" t="s">
        <v>39</v>
      </c>
      <c r="N293" s="34" t="s">
        <v>1687</v>
      </c>
      <c r="O293" s="35">
        <v>1</v>
      </c>
      <c r="P293" s="35">
        <v>1</v>
      </c>
      <c r="Q293" s="36"/>
      <c r="S293" s="1">
        <f t="shared" si="111"/>
        <v>0</v>
      </c>
      <c r="T293" s="1">
        <f t="shared" si="112"/>
        <v>0</v>
      </c>
      <c r="U293" s="1">
        <f t="shared" si="113"/>
        <v>0</v>
      </c>
      <c r="V293" s="1">
        <f t="shared" si="114"/>
        <v>0</v>
      </c>
      <c r="W293" s="1">
        <f t="shared" si="115"/>
        <v>0</v>
      </c>
      <c r="X293" s="1">
        <f t="shared" si="116"/>
        <v>0</v>
      </c>
      <c r="Y293" s="1">
        <f t="shared" si="117"/>
        <v>0</v>
      </c>
      <c r="Z293" s="1">
        <f t="shared" si="118"/>
        <v>0</v>
      </c>
      <c r="AA293" s="1">
        <f t="shared" si="119"/>
        <v>0</v>
      </c>
      <c r="AB293" s="1">
        <f t="shared" si="120"/>
        <v>0</v>
      </c>
      <c r="AD293" s="1">
        <f t="shared" si="121"/>
        <v>1</v>
      </c>
      <c r="AE293" s="1">
        <f t="shared" si="122"/>
        <v>0</v>
      </c>
      <c r="AF293" s="1">
        <f t="shared" si="123"/>
        <v>1</v>
      </c>
      <c r="AG293" s="1">
        <f t="shared" si="124"/>
        <v>0</v>
      </c>
      <c r="AH293" s="1">
        <f t="shared" si="125"/>
        <v>1</v>
      </c>
      <c r="AI293" s="1">
        <f t="shared" si="126"/>
        <v>0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1116</v>
      </c>
      <c r="E294" s="32" t="s">
        <v>29</v>
      </c>
      <c r="F294" s="32" t="s">
        <v>1117</v>
      </c>
      <c r="G294" s="32" t="s">
        <v>1119</v>
      </c>
      <c r="H294" s="32" t="s">
        <v>352</v>
      </c>
      <c r="I294" s="31" t="s">
        <v>1118</v>
      </c>
      <c r="J294" s="31">
        <v>99</v>
      </c>
      <c r="K294" s="33" t="s">
        <v>694</v>
      </c>
      <c r="L294" s="33">
        <v>30</v>
      </c>
      <c r="M294" s="34" t="s">
        <v>1375</v>
      </c>
      <c r="N294" s="34" t="s">
        <v>1800</v>
      </c>
      <c r="O294" s="35">
        <v>1</v>
      </c>
      <c r="P294" s="35"/>
      <c r="Q294" s="32"/>
      <c r="S294" s="1">
        <f t="shared" si="111"/>
        <v>0</v>
      </c>
      <c r="T294" s="1">
        <f t="shared" si="112"/>
        <v>0</v>
      </c>
      <c r="U294" s="1">
        <f t="shared" si="113"/>
        <v>0</v>
      </c>
      <c r="V294" s="1">
        <f t="shared" si="114"/>
        <v>0</v>
      </c>
      <c r="W294" s="1">
        <f t="shared" si="115"/>
        <v>0</v>
      </c>
      <c r="X294" s="1">
        <f t="shared" si="116"/>
        <v>0</v>
      </c>
      <c r="Y294" s="1">
        <f t="shared" si="117"/>
        <v>0</v>
      </c>
      <c r="Z294" s="1">
        <f t="shared" si="118"/>
        <v>0</v>
      </c>
      <c r="AA294" s="1">
        <f t="shared" si="119"/>
        <v>0</v>
      </c>
      <c r="AB294" s="1">
        <f t="shared" si="120"/>
        <v>0</v>
      </c>
      <c r="AD294" s="1">
        <f t="shared" si="121"/>
        <v>0</v>
      </c>
      <c r="AE294" s="1">
        <f t="shared" si="122"/>
        <v>1</v>
      </c>
      <c r="AF294" s="1">
        <f t="shared" si="123"/>
        <v>0</v>
      </c>
      <c r="AG294" s="1">
        <f t="shared" si="124"/>
        <v>1</v>
      </c>
      <c r="AH294" s="1">
        <f t="shared" si="125"/>
        <v>0</v>
      </c>
      <c r="AI294" s="1">
        <f t="shared" si="126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98</v>
      </c>
      <c r="E295" s="32" t="s">
        <v>29</v>
      </c>
      <c r="F295" s="32" t="s">
        <v>295</v>
      </c>
      <c r="G295" s="32" t="s">
        <v>196</v>
      </c>
      <c r="H295" s="32" t="s">
        <v>352</v>
      </c>
      <c r="I295" s="31" t="s">
        <v>443</v>
      </c>
      <c r="J295" s="31">
        <v>9</v>
      </c>
      <c r="K295" s="33" t="s">
        <v>694</v>
      </c>
      <c r="L295" s="33">
        <v>30</v>
      </c>
      <c r="M295" s="34" t="s">
        <v>699</v>
      </c>
      <c r="N295" s="34" t="s">
        <v>1696</v>
      </c>
      <c r="O295" s="35">
        <v>1</v>
      </c>
      <c r="P295" s="35"/>
      <c r="Q295" s="32"/>
      <c r="S295" s="1">
        <f t="shared" si="111"/>
        <v>0</v>
      </c>
      <c r="T295" s="1">
        <f t="shared" si="112"/>
        <v>0</v>
      </c>
      <c r="U295" s="1">
        <f t="shared" si="113"/>
        <v>0</v>
      </c>
      <c r="V295" s="1">
        <f t="shared" si="114"/>
        <v>0</v>
      </c>
      <c r="W295" s="1">
        <f t="shared" si="115"/>
        <v>0</v>
      </c>
      <c r="X295" s="1">
        <f t="shared" si="116"/>
        <v>0</v>
      </c>
      <c r="Y295" s="1">
        <f t="shared" si="117"/>
        <v>0</v>
      </c>
      <c r="Z295" s="1">
        <f t="shared" si="118"/>
        <v>0</v>
      </c>
      <c r="AA295" s="1">
        <f t="shared" si="119"/>
        <v>1</v>
      </c>
      <c r="AB295" s="1">
        <f t="shared" si="120"/>
        <v>0</v>
      </c>
      <c r="AD295" s="1">
        <f t="shared" si="121"/>
        <v>0</v>
      </c>
      <c r="AE295" s="1">
        <f t="shared" si="122"/>
        <v>1</v>
      </c>
      <c r="AF295" s="1">
        <f t="shared" si="123"/>
        <v>0</v>
      </c>
      <c r="AG295" s="1">
        <f t="shared" si="124"/>
        <v>1</v>
      </c>
      <c r="AH295" s="1">
        <f t="shared" si="125"/>
        <v>0</v>
      </c>
      <c r="AI295" s="1">
        <f t="shared" si="126"/>
        <v>1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784</v>
      </c>
      <c r="E296" s="32" t="s">
        <v>29</v>
      </c>
      <c r="F296" s="32" t="s">
        <v>763</v>
      </c>
      <c r="G296" s="32" t="s">
        <v>785</v>
      </c>
      <c r="H296" s="32" t="s">
        <v>352</v>
      </c>
      <c r="I296" s="31" t="s">
        <v>929</v>
      </c>
      <c r="J296" s="31">
        <v>99</v>
      </c>
      <c r="K296" s="33" t="s">
        <v>704</v>
      </c>
      <c r="L296" s="33" t="s">
        <v>685</v>
      </c>
      <c r="M296" s="34" t="s">
        <v>699</v>
      </c>
      <c r="N296" s="34" t="s">
        <v>1776</v>
      </c>
      <c r="O296" s="35">
        <v>1</v>
      </c>
      <c r="P296" s="35"/>
      <c r="Q296" s="32"/>
      <c r="S296" s="1">
        <f t="shared" si="111"/>
        <v>0</v>
      </c>
      <c r="T296" s="1">
        <f t="shared" si="112"/>
        <v>0</v>
      </c>
      <c r="U296" s="1">
        <f t="shared" si="113"/>
        <v>0</v>
      </c>
      <c r="V296" s="1">
        <f t="shared" si="114"/>
        <v>0</v>
      </c>
      <c r="W296" s="1">
        <f t="shared" si="115"/>
        <v>0</v>
      </c>
      <c r="X296" s="1">
        <f t="shared" si="116"/>
        <v>0</v>
      </c>
      <c r="Y296" s="1">
        <f t="shared" si="117"/>
        <v>0</v>
      </c>
      <c r="Z296" s="1">
        <f t="shared" si="118"/>
        <v>0</v>
      </c>
      <c r="AA296" s="1">
        <f t="shared" si="119"/>
        <v>0</v>
      </c>
      <c r="AB296" s="1">
        <f t="shared" si="120"/>
        <v>0</v>
      </c>
      <c r="AD296" s="1">
        <f t="shared" si="121"/>
        <v>0</v>
      </c>
      <c r="AE296" s="1">
        <f t="shared" si="122"/>
        <v>1</v>
      </c>
      <c r="AF296" s="1">
        <f t="shared" si="123"/>
        <v>0</v>
      </c>
      <c r="AG296" s="1">
        <f t="shared" si="124"/>
        <v>1</v>
      </c>
      <c r="AH296" s="1">
        <f t="shared" si="125"/>
        <v>0</v>
      </c>
      <c r="AI296" s="1">
        <f t="shared" si="126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1292</v>
      </c>
      <c r="E297" s="32" t="s">
        <v>29</v>
      </c>
      <c r="F297" s="32" t="s">
        <v>1315</v>
      </c>
      <c r="G297" s="32" t="s">
        <v>1153</v>
      </c>
      <c r="H297" s="32" t="s">
        <v>352</v>
      </c>
      <c r="I297" s="31" t="s">
        <v>1652</v>
      </c>
      <c r="J297" s="31">
        <v>99</v>
      </c>
      <c r="K297" s="33" t="s">
        <v>704</v>
      </c>
      <c r="L297" s="33" t="s">
        <v>685</v>
      </c>
      <c r="M297" s="34" t="s">
        <v>1376</v>
      </c>
      <c r="N297" s="34" t="s">
        <v>1713</v>
      </c>
      <c r="O297" s="35">
        <v>1</v>
      </c>
      <c r="P297" s="35"/>
      <c r="Q297" s="32"/>
      <c r="S297" s="1">
        <f t="shared" si="111"/>
        <v>0</v>
      </c>
      <c r="T297" s="1">
        <f t="shared" si="112"/>
        <v>0</v>
      </c>
      <c r="U297" s="1">
        <f t="shared" si="113"/>
        <v>0</v>
      </c>
      <c r="V297" s="1">
        <f t="shared" si="114"/>
        <v>0</v>
      </c>
      <c r="W297" s="1">
        <f t="shared" si="115"/>
        <v>0</v>
      </c>
      <c r="X297" s="1">
        <f t="shared" si="116"/>
        <v>0</v>
      </c>
      <c r="Y297" s="1">
        <f t="shared" si="117"/>
        <v>0</v>
      </c>
      <c r="Z297" s="1">
        <f t="shared" si="118"/>
        <v>0</v>
      </c>
      <c r="AA297" s="1">
        <f t="shared" si="119"/>
        <v>0</v>
      </c>
      <c r="AB297" s="1">
        <f t="shared" si="120"/>
        <v>0</v>
      </c>
      <c r="AD297" s="1">
        <f t="shared" si="121"/>
        <v>0</v>
      </c>
      <c r="AE297" s="1">
        <f t="shared" si="122"/>
        <v>1</v>
      </c>
      <c r="AF297" s="1">
        <f t="shared" si="123"/>
        <v>0</v>
      </c>
      <c r="AG297" s="1">
        <f t="shared" si="124"/>
        <v>1</v>
      </c>
      <c r="AH297" s="1">
        <f t="shared" si="125"/>
        <v>0</v>
      </c>
      <c r="AI297" s="1">
        <f t="shared" si="126"/>
        <v>1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2" t="s">
        <v>1247</v>
      </c>
      <c r="E298" s="32" t="s">
        <v>29</v>
      </c>
      <c r="F298" s="32" t="s">
        <v>1248</v>
      </c>
      <c r="G298" s="32" t="s">
        <v>1249</v>
      </c>
      <c r="H298" s="32" t="s">
        <v>352</v>
      </c>
      <c r="I298" s="31" t="s">
        <v>1250</v>
      </c>
      <c r="J298" s="31">
        <v>99</v>
      </c>
      <c r="K298" s="33" t="s">
        <v>704</v>
      </c>
      <c r="L298" s="33" t="s">
        <v>685</v>
      </c>
      <c r="M298" s="34" t="s">
        <v>699</v>
      </c>
      <c r="N298" s="34" t="s">
        <v>1708</v>
      </c>
      <c r="O298" s="35">
        <v>1</v>
      </c>
      <c r="P298" s="35"/>
      <c r="Q298" s="32"/>
      <c r="S298" s="1">
        <f t="shared" si="111"/>
        <v>0</v>
      </c>
      <c r="T298" s="1">
        <f t="shared" si="112"/>
        <v>0</v>
      </c>
      <c r="U298" s="1">
        <f t="shared" si="113"/>
        <v>0</v>
      </c>
      <c r="V298" s="1">
        <f t="shared" si="114"/>
        <v>0</v>
      </c>
      <c r="W298" s="1">
        <f t="shared" si="115"/>
        <v>0</v>
      </c>
      <c r="X298" s="1">
        <f t="shared" si="116"/>
        <v>0</v>
      </c>
      <c r="Y298" s="1">
        <f t="shared" si="117"/>
        <v>0</v>
      </c>
      <c r="Z298" s="1">
        <f t="shared" si="118"/>
        <v>0</v>
      </c>
      <c r="AA298" s="1">
        <f t="shared" si="119"/>
        <v>0</v>
      </c>
      <c r="AB298" s="1">
        <f t="shared" si="120"/>
        <v>0</v>
      </c>
      <c r="AD298" s="1">
        <f t="shared" si="121"/>
        <v>0</v>
      </c>
      <c r="AE298" s="1">
        <f t="shared" si="122"/>
        <v>1</v>
      </c>
      <c r="AF298" s="1">
        <f t="shared" si="123"/>
        <v>0</v>
      </c>
      <c r="AG298" s="1">
        <f t="shared" si="124"/>
        <v>1</v>
      </c>
      <c r="AH298" s="1">
        <f t="shared" si="125"/>
        <v>0</v>
      </c>
      <c r="AI298" s="1">
        <f t="shared" si="126"/>
        <v>1</v>
      </c>
    </row>
    <row r="299" spans="1:35" ht="14.25" customHeight="1" x14ac:dyDescent="0.25">
      <c r="A299" s="31">
        <v>0</v>
      </c>
      <c r="B299" s="31">
        <v>1</v>
      </c>
      <c r="C299" s="31">
        <v>7</v>
      </c>
      <c r="D299" s="32" t="s">
        <v>700</v>
      </c>
      <c r="E299" s="32" t="s">
        <v>29</v>
      </c>
      <c r="F299" s="32" t="s">
        <v>701</v>
      </c>
      <c r="G299" s="32" t="s">
        <v>183</v>
      </c>
      <c r="H299" s="32" t="s">
        <v>352</v>
      </c>
      <c r="I299" s="31" t="s">
        <v>702</v>
      </c>
      <c r="J299" s="31">
        <v>99</v>
      </c>
      <c r="K299" s="33" t="s">
        <v>932</v>
      </c>
      <c r="L299" s="33" t="s">
        <v>39</v>
      </c>
      <c r="M299" s="34" t="s">
        <v>39</v>
      </c>
      <c r="N299" s="34" t="s">
        <v>1693</v>
      </c>
      <c r="O299" s="35">
        <v>1</v>
      </c>
      <c r="P299" s="35">
        <v>1</v>
      </c>
      <c r="Q299" s="32"/>
      <c r="S299" s="1">
        <f t="shared" si="111"/>
        <v>0</v>
      </c>
      <c r="T299" s="1">
        <f t="shared" si="112"/>
        <v>0</v>
      </c>
      <c r="U299" s="1">
        <f t="shared" si="113"/>
        <v>0</v>
      </c>
      <c r="V299" s="1">
        <f t="shared" si="114"/>
        <v>0</v>
      </c>
      <c r="W299" s="1">
        <f t="shared" si="115"/>
        <v>0</v>
      </c>
      <c r="X299" s="1">
        <f t="shared" si="116"/>
        <v>0</v>
      </c>
      <c r="Y299" s="1">
        <f t="shared" si="117"/>
        <v>0</v>
      </c>
      <c r="Z299" s="1">
        <f t="shared" si="118"/>
        <v>0</v>
      </c>
      <c r="AA299" s="1">
        <f t="shared" si="119"/>
        <v>0</v>
      </c>
      <c r="AB299" s="1">
        <f t="shared" si="120"/>
        <v>0</v>
      </c>
      <c r="AD299" s="1">
        <f t="shared" si="121"/>
        <v>1</v>
      </c>
      <c r="AE299" s="1">
        <f t="shared" si="122"/>
        <v>0</v>
      </c>
      <c r="AF299" s="1">
        <f t="shared" si="123"/>
        <v>1</v>
      </c>
      <c r="AG299" s="1">
        <f t="shared" si="124"/>
        <v>0</v>
      </c>
      <c r="AH299" s="1">
        <f t="shared" si="125"/>
        <v>1</v>
      </c>
      <c r="AI299" s="1">
        <f t="shared" si="126"/>
        <v>0</v>
      </c>
    </row>
    <row r="300" spans="1:35" ht="14.25" customHeight="1" x14ac:dyDescent="0.25">
      <c r="A300" s="31">
        <v>0</v>
      </c>
      <c r="B300" s="31">
        <v>1</v>
      </c>
      <c r="C300" s="31">
        <v>7</v>
      </c>
      <c r="D300" s="36" t="s">
        <v>2076</v>
      </c>
      <c r="E300" s="36" t="s">
        <v>29</v>
      </c>
      <c r="F300" s="36" t="s">
        <v>2077</v>
      </c>
      <c r="G300" s="36" t="s">
        <v>239</v>
      </c>
      <c r="H300" s="36" t="s">
        <v>352</v>
      </c>
      <c r="I300" s="37" t="s">
        <v>2078</v>
      </c>
      <c r="J300" s="31">
        <v>1</v>
      </c>
      <c r="K300" s="33" t="s">
        <v>694</v>
      </c>
      <c r="L300" s="33"/>
      <c r="M300" s="34"/>
      <c r="N300" s="34" t="s">
        <v>1700</v>
      </c>
      <c r="O300" s="35">
        <v>1</v>
      </c>
      <c r="P300" s="35"/>
      <c r="Q300" s="32" t="s">
        <v>2079</v>
      </c>
      <c r="S300" s="1">
        <f t="shared" si="111"/>
        <v>1</v>
      </c>
      <c r="T300" s="1">
        <f t="shared" si="112"/>
        <v>0</v>
      </c>
      <c r="U300" s="1">
        <f t="shared" si="113"/>
        <v>0</v>
      </c>
      <c r="V300" s="1">
        <f t="shared" si="114"/>
        <v>0</v>
      </c>
      <c r="W300" s="1">
        <f t="shared" si="115"/>
        <v>0</v>
      </c>
      <c r="X300" s="1">
        <f t="shared" si="116"/>
        <v>0</v>
      </c>
      <c r="Y300" s="1">
        <f t="shared" si="117"/>
        <v>0</v>
      </c>
      <c r="Z300" s="1">
        <f t="shared" si="118"/>
        <v>0</v>
      </c>
      <c r="AA300" s="1">
        <f t="shared" si="119"/>
        <v>0</v>
      </c>
      <c r="AB300" s="1">
        <f t="shared" si="120"/>
        <v>0</v>
      </c>
      <c r="AD300" s="1">
        <f t="shared" si="121"/>
        <v>0</v>
      </c>
      <c r="AE300" s="1">
        <f t="shared" si="122"/>
        <v>1</v>
      </c>
      <c r="AF300" s="1">
        <f t="shared" si="123"/>
        <v>0</v>
      </c>
      <c r="AG300" s="1">
        <f t="shared" si="124"/>
        <v>1</v>
      </c>
      <c r="AH300" s="1">
        <f t="shared" si="125"/>
        <v>0</v>
      </c>
      <c r="AI300" s="1">
        <f t="shared" si="12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532</v>
      </c>
      <c r="E301" s="32" t="s">
        <v>34</v>
      </c>
      <c r="F301" s="32" t="s">
        <v>533</v>
      </c>
      <c r="G301" s="32" t="s">
        <v>219</v>
      </c>
      <c r="H301" s="32" t="s">
        <v>352</v>
      </c>
      <c r="I301" s="31" t="s">
        <v>534</v>
      </c>
      <c r="J301" s="31">
        <v>8</v>
      </c>
      <c r="K301" s="33" t="s">
        <v>704</v>
      </c>
      <c r="L301" s="33" t="s">
        <v>704</v>
      </c>
      <c r="M301" s="34" t="s">
        <v>705</v>
      </c>
      <c r="N301" s="34" t="s">
        <v>1700</v>
      </c>
      <c r="O301" s="35">
        <v>1</v>
      </c>
      <c r="P301" s="35"/>
      <c r="Q301" s="32"/>
      <c r="S301" s="1">
        <f t="shared" si="111"/>
        <v>0</v>
      </c>
      <c r="T301" s="1">
        <f t="shared" si="112"/>
        <v>0</v>
      </c>
      <c r="U301" s="1">
        <f t="shared" si="113"/>
        <v>0</v>
      </c>
      <c r="V301" s="1">
        <f t="shared" si="114"/>
        <v>0</v>
      </c>
      <c r="W301" s="1">
        <f t="shared" si="115"/>
        <v>0</v>
      </c>
      <c r="X301" s="1">
        <f t="shared" si="116"/>
        <v>0</v>
      </c>
      <c r="Y301" s="1">
        <f t="shared" si="117"/>
        <v>0</v>
      </c>
      <c r="Z301" s="1">
        <f t="shared" si="118"/>
        <v>1</v>
      </c>
      <c r="AA301" s="1">
        <f t="shared" si="119"/>
        <v>0</v>
      </c>
      <c r="AB301" s="1">
        <f t="shared" si="120"/>
        <v>0</v>
      </c>
      <c r="AD301" s="1">
        <f t="shared" si="121"/>
        <v>0</v>
      </c>
      <c r="AE301" s="1">
        <f t="shared" si="122"/>
        <v>1</v>
      </c>
      <c r="AF301" s="1">
        <f t="shared" si="123"/>
        <v>0</v>
      </c>
      <c r="AG301" s="1">
        <f t="shared" si="124"/>
        <v>1</v>
      </c>
      <c r="AH301" s="1">
        <f t="shared" si="125"/>
        <v>0</v>
      </c>
      <c r="AI301" s="1">
        <f t="shared" si="12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1258</v>
      </c>
      <c r="E302" s="32" t="s">
        <v>555</v>
      </c>
      <c r="F302" s="32" t="s">
        <v>1259</v>
      </c>
      <c r="G302" s="32" t="s">
        <v>229</v>
      </c>
      <c r="H302" s="32" t="s">
        <v>352</v>
      </c>
      <c r="I302" s="31" t="s">
        <v>1260</v>
      </c>
      <c r="J302" s="31">
        <v>7</v>
      </c>
      <c r="K302" s="33" t="s">
        <v>704</v>
      </c>
      <c r="L302" s="33" t="s">
        <v>704</v>
      </c>
      <c r="M302" s="34" t="s">
        <v>705</v>
      </c>
      <c r="N302" s="34" t="s">
        <v>1708</v>
      </c>
      <c r="O302" s="35">
        <v>1</v>
      </c>
      <c r="P302" s="35"/>
      <c r="Q302" s="32"/>
      <c r="S302" s="1">
        <f t="shared" si="111"/>
        <v>0</v>
      </c>
      <c r="T302" s="1">
        <f t="shared" si="112"/>
        <v>0</v>
      </c>
      <c r="U302" s="1">
        <f t="shared" si="113"/>
        <v>0</v>
      </c>
      <c r="V302" s="1">
        <f t="shared" si="114"/>
        <v>0</v>
      </c>
      <c r="W302" s="1">
        <f t="shared" si="115"/>
        <v>0</v>
      </c>
      <c r="X302" s="1">
        <f t="shared" si="116"/>
        <v>0</v>
      </c>
      <c r="Y302" s="1">
        <f t="shared" si="117"/>
        <v>1</v>
      </c>
      <c r="Z302" s="1">
        <f t="shared" si="118"/>
        <v>0</v>
      </c>
      <c r="AA302" s="1">
        <f t="shared" si="119"/>
        <v>0</v>
      </c>
      <c r="AB302" s="1">
        <f t="shared" si="120"/>
        <v>0</v>
      </c>
      <c r="AD302" s="1">
        <f t="shared" si="121"/>
        <v>0</v>
      </c>
      <c r="AE302" s="1">
        <f t="shared" si="122"/>
        <v>1</v>
      </c>
      <c r="AF302" s="1">
        <f t="shared" si="123"/>
        <v>0</v>
      </c>
      <c r="AG302" s="1">
        <f t="shared" si="124"/>
        <v>1</v>
      </c>
      <c r="AH302" s="1">
        <f t="shared" si="125"/>
        <v>0</v>
      </c>
      <c r="AI302" s="1">
        <f t="shared" si="126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1294</v>
      </c>
      <c r="E303" s="32" t="s">
        <v>555</v>
      </c>
      <c r="F303" s="32" t="s">
        <v>1933</v>
      </c>
      <c r="G303" s="32" t="s">
        <v>212</v>
      </c>
      <c r="H303" s="32" t="s">
        <v>352</v>
      </c>
      <c r="I303" s="31" t="s">
        <v>1128</v>
      </c>
      <c r="J303" s="31">
        <v>1</v>
      </c>
      <c r="K303" s="33" t="s">
        <v>931</v>
      </c>
      <c r="L303" s="33" t="s">
        <v>704</v>
      </c>
      <c r="M303" s="34" t="s">
        <v>705</v>
      </c>
      <c r="N303" s="34" t="s">
        <v>1713</v>
      </c>
      <c r="O303" s="35">
        <v>1</v>
      </c>
      <c r="P303" s="35"/>
      <c r="Q303" s="32"/>
      <c r="S303" s="1">
        <f t="shared" si="111"/>
        <v>1</v>
      </c>
      <c r="T303" s="1">
        <f t="shared" si="112"/>
        <v>0</v>
      </c>
      <c r="U303" s="1">
        <f t="shared" si="113"/>
        <v>0</v>
      </c>
      <c r="V303" s="1">
        <f t="shared" si="114"/>
        <v>0</v>
      </c>
      <c r="W303" s="1">
        <f t="shared" si="115"/>
        <v>0</v>
      </c>
      <c r="X303" s="1">
        <f t="shared" si="116"/>
        <v>0</v>
      </c>
      <c r="Y303" s="1">
        <f t="shared" si="117"/>
        <v>0</v>
      </c>
      <c r="Z303" s="1">
        <f t="shared" si="118"/>
        <v>0</v>
      </c>
      <c r="AA303" s="1">
        <f t="shared" si="119"/>
        <v>0</v>
      </c>
      <c r="AB303" s="1">
        <f t="shared" si="120"/>
        <v>0</v>
      </c>
      <c r="AD303" s="1">
        <f t="shared" si="121"/>
        <v>0</v>
      </c>
      <c r="AE303" s="1">
        <f t="shared" si="122"/>
        <v>1</v>
      </c>
      <c r="AF303" s="1">
        <f t="shared" si="123"/>
        <v>0</v>
      </c>
      <c r="AG303" s="1">
        <f t="shared" si="124"/>
        <v>1</v>
      </c>
      <c r="AH303" s="1">
        <f t="shared" si="125"/>
        <v>0</v>
      </c>
      <c r="AI303" s="1">
        <f t="shared" si="12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1295</v>
      </c>
      <c r="E304" s="32" t="s">
        <v>555</v>
      </c>
      <c r="F304" s="32" t="s">
        <v>1123</v>
      </c>
      <c r="G304" s="32" t="s">
        <v>283</v>
      </c>
      <c r="H304" s="32" t="s">
        <v>352</v>
      </c>
      <c r="I304" s="31" t="s">
        <v>1124</v>
      </c>
      <c r="J304" s="31">
        <v>10</v>
      </c>
      <c r="K304" s="33" t="s">
        <v>931</v>
      </c>
      <c r="L304" s="33" t="s">
        <v>704</v>
      </c>
      <c r="M304" s="34" t="s">
        <v>705</v>
      </c>
      <c r="N304" s="34" t="s">
        <v>1713</v>
      </c>
      <c r="O304" s="35">
        <v>1</v>
      </c>
      <c r="P304" s="35"/>
      <c r="Q304" s="32"/>
      <c r="S304" s="1">
        <f t="shared" si="111"/>
        <v>0</v>
      </c>
      <c r="T304" s="1">
        <f t="shared" si="112"/>
        <v>0</v>
      </c>
      <c r="U304" s="1">
        <f t="shared" si="113"/>
        <v>0</v>
      </c>
      <c r="V304" s="1">
        <f t="shared" si="114"/>
        <v>0</v>
      </c>
      <c r="W304" s="1">
        <f t="shared" si="115"/>
        <v>0</v>
      </c>
      <c r="X304" s="1">
        <f t="shared" si="116"/>
        <v>0</v>
      </c>
      <c r="Y304" s="1">
        <f t="shared" si="117"/>
        <v>0</v>
      </c>
      <c r="Z304" s="1">
        <f t="shared" si="118"/>
        <v>0</v>
      </c>
      <c r="AA304" s="1">
        <f t="shared" si="119"/>
        <v>0</v>
      </c>
      <c r="AB304" s="1">
        <f t="shared" si="120"/>
        <v>1</v>
      </c>
      <c r="AD304" s="1">
        <f t="shared" si="121"/>
        <v>0</v>
      </c>
      <c r="AE304" s="1">
        <f t="shared" si="122"/>
        <v>1</v>
      </c>
      <c r="AF304" s="1">
        <f t="shared" si="123"/>
        <v>0</v>
      </c>
      <c r="AG304" s="1">
        <f t="shared" si="124"/>
        <v>1</v>
      </c>
      <c r="AH304" s="1">
        <f t="shared" si="125"/>
        <v>0</v>
      </c>
      <c r="AI304" s="1">
        <f t="shared" si="126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2012</v>
      </c>
      <c r="E305" s="32" t="s">
        <v>36</v>
      </c>
      <c r="F305" s="32" t="s">
        <v>2013</v>
      </c>
      <c r="G305" s="32" t="s">
        <v>1446</v>
      </c>
      <c r="H305" s="32" t="s">
        <v>352</v>
      </c>
      <c r="I305" s="31" t="s">
        <v>2015</v>
      </c>
      <c r="J305" s="31">
        <v>99</v>
      </c>
      <c r="K305" s="33" t="s">
        <v>694</v>
      </c>
      <c r="L305" s="33">
        <v>7</v>
      </c>
      <c r="M305" s="34" t="s">
        <v>2014</v>
      </c>
      <c r="N305" s="34" t="s">
        <v>1693</v>
      </c>
      <c r="O305" s="35">
        <v>1</v>
      </c>
      <c r="P305" s="35">
        <v>1</v>
      </c>
      <c r="Q305" s="32" t="s">
        <v>2016</v>
      </c>
      <c r="S305" s="1">
        <f t="shared" si="111"/>
        <v>0</v>
      </c>
      <c r="T305" s="1">
        <f t="shared" si="112"/>
        <v>0</v>
      </c>
      <c r="U305" s="1">
        <f t="shared" si="113"/>
        <v>0</v>
      </c>
      <c r="V305" s="1">
        <f t="shared" si="114"/>
        <v>0</v>
      </c>
      <c r="W305" s="1">
        <f t="shared" si="115"/>
        <v>0</v>
      </c>
      <c r="X305" s="1">
        <f t="shared" si="116"/>
        <v>0</v>
      </c>
      <c r="Y305" s="1">
        <f t="shared" si="117"/>
        <v>0</v>
      </c>
      <c r="Z305" s="1">
        <f t="shared" si="118"/>
        <v>0</v>
      </c>
      <c r="AA305" s="1">
        <f t="shared" si="119"/>
        <v>0</v>
      </c>
      <c r="AB305" s="1">
        <f t="shared" si="120"/>
        <v>0</v>
      </c>
      <c r="AD305" s="1">
        <f t="shared" si="121"/>
        <v>1</v>
      </c>
      <c r="AE305" s="1">
        <f t="shared" si="122"/>
        <v>0</v>
      </c>
      <c r="AF305" s="1">
        <f t="shared" si="123"/>
        <v>1</v>
      </c>
      <c r="AG305" s="1">
        <f t="shared" si="124"/>
        <v>0</v>
      </c>
      <c r="AH305" s="1">
        <f t="shared" si="125"/>
        <v>1</v>
      </c>
      <c r="AI305" s="1">
        <f t="shared" si="126"/>
        <v>0</v>
      </c>
    </row>
    <row r="306" spans="1:35" ht="14.25" customHeight="1" x14ac:dyDescent="0.25">
      <c r="A306" s="15">
        <v>0</v>
      </c>
      <c r="B306" s="15">
        <v>2</v>
      </c>
      <c r="C306" s="15">
        <v>1</v>
      </c>
      <c r="D306" s="16" t="s">
        <v>508</v>
      </c>
      <c r="E306" s="16" t="s">
        <v>34</v>
      </c>
      <c r="F306" s="16" t="s">
        <v>507</v>
      </c>
      <c r="G306" s="16" t="s">
        <v>542</v>
      </c>
      <c r="H306" s="16" t="s">
        <v>352</v>
      </c>
      <c r="I306" s="15" t="s">
        <v>1330</v>
      </c>
      <c r="J306" s="15">
        <v>99</v>
      </c>
      <c r="K306" s="10" t="s">
        <v>932</v>
      </c>
      <c r="L306" s="10" t="s">
        <v>704</v>
      </c>
      <c r="M306" s="19" t="s">
        <v>705</v>
      </c>
      <c r="N306" s="19"/>
      <c r="Q306" s="20" t="s">
        <v>1956</v>
      </c>
      <c r="S306" s="1">
        <f t="shared" si="111"/>
        <v>0</v>
      </c>
      <c r="T306" s="1">
        <f t="shared" si="112"/>
        <v>0</v>
      </c>
      <c r="U306" s="1">
        <f t="shared" si="113"/>
        <v>0</v>
      </c>
      <c r="V306" s="1">
        <f t="shared" si="114"/>
        <v>0</v>
      </c>
      <c r="W306" s="1">
        <f t="shared" si="115"/>
        <v>0</v>
      </c>
      <c r="X306" s="1">
        <f t="shared" si="116"/>
        <v>0</v>
      </c>
      <c r="Y306" s="1">
        <f t="shared" si="117"/>
        <v>0</v>
      </c>
      <c r="Z306" s="1">
        <f t="shared" si="118"/>
        <v>0</v>
      </c>
      <c r="AA306" s="1">
        <f t="shared" si="119"/>
        <v>0</v>
      </c>
      <c r="AB306" s="1">
        <f t="shared" si="120"/>
        <v>0</v>
      </c>
      <c r="AD306" s="1">
        <f t="shared" si="121"/>
        <v>0</v>
      </c>
      <c r="AE306" s="1">
        <f t="shared" si="122"/>
        <v>0</v>
      </c>
      <c r="AF306" s="1">
        <f t="shared" si="123"/>
        <v>0</v>
      </c>
      <c r="AG306" s="1">
        <f t="shared" si="124"/>
        <v>0</v>
      </c>
      <c r="AH306" s="1">
        <f t="shared" si="125"/>
        <v>0</v>
      </c>
      <c r="AI306" s="1">
        <f t="shared" si="12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1019</v>
      </c>
      <c r="E307" s="32" t="s">
        <v>36</v>
      </c>
      <c r="F307" s="32" t="s">
        <v>1620</v>
      </c>
      <c r="G307" s="32" t="s">
        <v>620</v>
      </c>
      <c r="H307" s="32" t="s">
        <v>352</v>
      </c>
      <c r="I307" s="31" t="s">
        <v>1020</v>
      </c>
      <c r="J307" s="31">
        <v>99</v>
      </c>
      <c r="K307" s="33" t="s">
        <v>936</v>
      </c>
      <c r="L307" s="33" t="s">
        <v>704</v>
      </c>
      <c r="M307" s="34" t="s">
        <v>705</v>
      </c>
      <c r="N307" s="34" t="s">
        <v>1693</v>
      </c>
      <c r="O307" s="35">
        <v>1</v>
      </c>
      <c r="P307" s="35">
        <v>1</v>
      </c>
      <c r="Q307" s="32" t="s">
        <v>1849</v>
      </c>
      <c r="S307" s="1">
        <f t="shared" si="111"/>
        <v>0</v>
      </c>
      <c r="T307" s="1">
        <f t="shared" si="112"/>
        <v>0</v>
      </c>
      <c r="U307" s="1">
        <f t="shared" si="113"/>
        <v>0</v>
      </c>
      <c r="V307" s="1">
        <f t="shared" si="114"/>
        <v>0</v>
      </c>
      <c r="W307" s="1">
        <f t="shared" si="115"/>
        <v>0</v>
      </c>
      <c r="X307" s="1">
        <f t="shared" si="116"/>
        <v>0</v>
      </c>
      <c r="Y307" s="1">
        <f t="shared" si="117"/>
        <v>0</v>
      </c>
      <c r="Z307" s="1">
        <f t="shared" si="118"/>
        <v>0</v>
      </c>
      <c r="AA307" s="1">
        <f t="shared" si="119"/>
        <v>0</v>
      </c>
      <c r="AB307" s="1">
        <f t="shared" si="120"/>
        <v>0</v>
      </c>
      <c r="AD307" s="1">
        <f t="shared" si="121"/>
        <v>1</v>
      </c>
      <c r="AE307" s="1">
        <f t="shared" si="122"/>
        <v>0</v>
      </c>
      <c r="AF307" s="1">
        <f t="shared" si="123"/>
        <v>1</v>
      </c>
      <c r="AG307" s="1">
        <f t="shared" si="124"/>
        <v>0</v>
      </c>
      <c r="AH307" s="1">
        <f t="shared" si="125"/>
        <v>1</v>
      </c>
      <c r="AI307" s="1">
        <f t="shared" si="126"/>
        <v>0</v>
      </c>
    </row>
    <row r="308" spans="1:35" ht="14.25" customHeight="1" x14ac:dyDescent="0.25">
      <c r="A308" s="31">
        <v>1</v>
      </c>
      <c r="B308" s="31">
        <v>2</v>
      </c>
      <c r="C308" s="31">
        <v>1</v>
      </c>
      <c r="D308" s="32" t="s">
        <v>49</v>
      </c>
      <c r="E308" s="32" t="s">
        <v>1282</v>
      </c>
      <c r="F308" s="32" t="s">
        <v>190</v>
      </c>
      <c r="G308" s="32" t="s">
        <v>191</v>
      </c>
      <c r="H308" s="32" t="s">
        <v>352</v>
      </c>
      <c r="I308" s="31" t="s">
        <v>384</v>
      </c>
      <c r="J308" s="31">
        <v>99</v>
      </c>
      <c r="K308" s="33" t="s">
        <v>703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111"/>
        <v>0</v>
      </c>
      <c r="T308" s="1">
        <f t="shared" si="112"/>
        <v>0</v>
      </c>
      <c r="U308" s="1">
        <f t="shared" si="113"/>
        <v>0</v>
      </c>
      <c r="V308" s="1">
        <f t="shared" si="114"/>
        <v>0</v>
      </c>
      <c r="W308" s="1">
        <f t="shared" si="115"/>
        <v>0</v>
      </c>
      <c r="X308" s="1">
        <f t="shared" si="116"/>
        <v>0</v>
      </c>
      <c r="Y308" s="1">
        <f t="shared" si="117"/>
        <v>0</v>
      </c>
      <c r="Z308" s="1">
        <f t="shared" si="118"/>
        <v>0</v>
      </c>
      <c r="AA308" s="1">
        <f t="shared" si="119"/>
        <v>0</v>
      </c>
      <c r="AB308" s="1">
        <f t="shared" si="120"/>
        <v>0</v>
      </c>
      <c r="AD308" s="1">
        <f t="shared" si="121"/>
        <v>0</v>
      </c>
      <c r="AE308" s="1">
        <f t="shared" si="122"/>
        <v>1</v>
      </c>
      <c r="AF308" s="1">
        <f t="shared" si="123"/>
        <v>0</v>
      </c>
      <c r="AG308" s="1">
        <f t="shared" si="124"/>
        <v>0</v>
      </c>
      <c r="AH308" s="1">
        <f t="shared" si="125"/>
        <v>0</v>
      </c>
      <c r="AI308" s="1">
        <f t="shared" si="126"/>
        <v>0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1051</v>
      </c>
      <c r="E309" s="32" t="s">
        <v>1282</v>
      </c>
      <c r="F309" s="32" t="s">
        <v>1066</v>
      </c>
      <c r="G309" s="32" t="s">
        <v>201</v>
      </c>
      <c r="H309" s="32" t="s">
        <v>352</v>
      </c>
      <c r="I309" s="31" t="s">
        <v>384</v>
      </c>
      <c r="J309" s="31">
        <v>10</v>
      </c>
      <c r="K309" s="33" t="s">
        <v>703</v>
      </c>
      <c r="L309" s="33" t="s">
        <v>704</v>
      </c>
      <c r="M309" s="34" t="s">
        <v>705</v>
      </c>
      <c r="N309" s="34" t="s">
        <v>1708</v>
      </c>
      <c r="O309" s="35">
        <v>1</v>
      </c>
      <c r="P309" s="35"/>
      <c r="Q309" s="32"/>
      <c r="S309" s="1">
        <f t="shared" si="111"/>
        <v>0</v>
      </c>
      <c r="T309" s="1">
        <f t="shared" si="112"/>
        <v>0</v>
      </c>
      <c r="U309" s="1">
        <f t="shared" si="113"/>
        <v>0</v>
      </c>
      <c r="V309" s="1">
        <f t="shared" si="114"/>
        <v>0</v>
      </c>
      <c r="W309" s="1">
        <f t="shared" si="115"/>
        <v>0</v>
      </c>
      <c r="X309" s="1">
        <f t="shared" si="116"/>
        <v>0</v>
      </c>
      <c r="Y309" s="1">
        <f t="shared" si="117"/>
        <v>0</v>
      </c>
      <c r="Z309" s="1">
        <f t="shared" si="118"/>
        <v>0</v>
      </c>
      <c r="AA309" s="1">
        <f t="shared" si="119"/>
        <v>0</v>
      </c>
      <c r="AB309" s="1">
        <f t="shared" si="120"/>
        <v>1</v>
      </c>
      <c r="AD309" s="1">
        <f t="shared" si="121"/>
        <v>0</v>
      </c>
      <c r="AE309" s="1">
        <f t="shared" si="122"/>
        <v>1</v>
      </c>
      <c r="AF309" s="1">
        <f t="shared" si="123"/>
        <v>0</v>
      </c>
      <c r="AG309" s="1">
        <f t="shared" si="124"/>
        <v>1</v>
      </c>
      <c r="AH309" s="1">
        <f t="shared" si="125"/>
        <v>0</v>
      </c>
      <c r="AI309" s="1">
        <f t="shared" si="12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1241</v>
      </c>
      <c r="E310" s="32" t="s">
        <v>555</v>
      </c>
      <c r="F310" s="32" t="s">
        <v>1242</v>
      </c>
      <c r="G310" s="32" t="s">
        <v>257</v>
      </c>
      <c r="H310" s="32" t="s">
        <v>352</v>
      </c>
      <c r="I310" s="31" t="s">
        <v>1243</v>
      </c>
      <c r="J310" s="31">
        <v>8</v>
      </c>
      <c r="K310" s="33" t="s">
        <v>931</v>
      </c>
      <c r="L310" s="33" t="s">
        <v>704</v>
      </c>
      <c r="M310" s="34" t="s">
        <v>705</v>
      </c>
      <c r="N310" s="34" t="s">
        <v>1700</v>
      </c>
      <c r="O310" s="35">
        <v>1</v>
      </c>
      <c r="P310" s="35"/>
      <c r="Q310" s="32"/>
      <c r="S310" s="1">
        <f t="shared" si="111"/>
        <v>0</v>
      </c>
      <c r="T310" s="1">
        <f t="shared" si="112"/>
        <v>0</v>
      </c>
      <c r="U310" s="1">
        <f t="shared" si="113"/>
        <v>0</v>
      </c>
      <c r="V310" s="1">
        <f t="shared" si="114"/>
        <v>0</v>
      </c>
      <c r="W310" s="1">
        <f t="shared" si="115"/>
        <v>0</v>
      </c>
      <c r="X310" s="1">
        <f t="shared" si="116"/>
        <v>0</v>
      </c>
      <c r="Y310" s="1">
        <f t="shared" si="117"/>
        <v>0</v>
      </c>
      <c r="Z310" s="1">
        <f t="shared" si="118"/>
        <v>1</v>
      </c>
      <c r="AA310" s="1">
        <f t="shared" si="119"/>
        <v>0</v>
      </c>
      <c r="AB310" s="1">
        <f t="shared" si="120"/>
        <v>0</v>
      </c>
      <c r="AD310" s="1">
        <f t="shared" si="121"/>
        <v>0</v>
      </c>
      <c r="AE310" s="1">
        <f t="shared" si="122"/>
        <v>1</v>
      </c>
      <c r="AF310" s="1">
        <f t="shared" si="123"/>
        <v>0</v>
      </c>
      <c r="AG310" s="1">
        <f t="shared" si="124"/>
        <v>1</v>
      </c>
      <c r="AH310" s="1">
        <f t="shared" si="125"/>
        <v>0</v>
      </c>
      <c r="AI310" s="1">
        <f t="shared" si="126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48</v>
      </c>
      <c r="E311" s="16" t="s">
        <v>571</v>
      </c>
      <c r="F311" s="16" t="s">
        <v>188</v>
      </c>
      <c r="G311" s="16" t="s">
        <v>298</v>
      </c>
      <c r="H311" s="16" t="s">
        <v>352</v>
      </c>
      <c r="I311" s="15" t="s">
        <v>383</v>
      </c>
      <c r="J311" s="15">
        <v>99</v>
      </c>
      <c r="K311" s="10" t="s">
        <v>704</v>
      </c>
      <c r="L311" s="10" t="s">
        <v>704</v>
      </c>
      <c r="M311" s="19" t="s">
        <v>705</v>
      </c>
      <c r="N311" s="19"/>
      <c r="Q311" s="16"/>
      <c r="S311" s="1">
        <f t="shared" si="111"/>
        <v>0</v>
      </c>
      <c r="T311" s="1">
        <f t="shared" si="112"/>
        <v>0</v>
      </c>
      <c r="U311" s="1">
        <f t="shared" si="113"/>
        <v>0</v>
      </c>
      <c r="V311" s="1">
        <f t="shared" si="114"/>
        <v>0</v>
      </c>
      <c r="W311" s="1">
        <f t="shared" si="115"/>
        <v>0</v>
      </c>
      <c r="X311" s="1">
        <f t="shared" si="116"/>
        <v>0</v>
      </c>
      <c r="Y311" s="1">
        <f t="shared" si="117"/>
        <v>0</v>
      </c>
      <c r="Z311" s="1">
        <f t="shared" si="118"/>
        <v>0</v>
      </c>
      <c r="AA311" s="1">
        <f t="shared" si="119"/>
        <v>0</v>
      </c>
      <c r="AB311" s="1">
        <f t="shared" si="120"/>
        <v>0</v>
      </c>
      <c r="AD311" s="1">
        <f t="shared" si="121"/>
        <v>0</v>
      </c>
      <c r="AE311" s="1">
        <f t="shared" si="122"/>
        <v>0</v>
      </c>
      <c r="AF311" s="1">
        <f t="shared" si="123"/>
        <v>0</v>
      </c>
      <c r="AG311" s="1">
        <f t="shared" si="124"/>
        <v>0</v>
      </c>
      <c r="AH311" s="1">
        <f t="shared" si="125"/>
        <v>0</v>
      </c>
      <c r="AI311" s="1">
        <f t="shared" si="12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57</v>
      </c>
      <c r="E312" s="32" t="s">
        <v>161</v>
      </c>
      <c r="F312" s="32" t="s">
        <v>658</v>
      </c>
      <c r="G312" s="32" t="s">
        <v>220</v>
      </c>
      <c r="H312" s="32" t="s">
        <v>352</v>
      </c>
      <c r="I312" s="31" t="s">
        <v>394</v>
      </c>
      <c r="J312" s="31">
        <v>99</v>
      </c>
      <c r="K312" s="33" t="s">
        <v>938</v>
      </c>
      <c r="L312" s="33" t="s">
        <v>704</v>
      </c>
      <c r="M312" s="34" t="s">
        <v>705</v>
      </c>
      <c r="N312" s="34" t="s">
        <v>1696</v>
      </c>
      <c r="O312" s="35">
        <v>1</v>
      </c>
      <c r="P312" s="35"/>
      <c r="Q312" s="32"/>
      <c r="S312" s="1">
        <f t="shared" si="111"/>
        <v>0</v>
      </c>
      <c r="T312" s="1">
        <f t="shared" si="112"/>
        <v>0</v>
      </c>
      <c r="U312" s="1">
        <f t="shared" si="113"/>
        <v>0</v>
      </c>
      <c r="V312" s="1">
        <f t="shared" si="114"/>
        <v>0</v>
      </c>
      <c r="W312" s="1">
        <f t="shared" si="115"/>
        <v>0</v>
      </c>
      <c r="X312" s="1">
        <f t="shared" si="116"/>
        <v>0</v>
      </c>
      <c r="Y312" s="1">
        <f t="shared" si="117"/>
        <v>0</v>
      </c>
      <c r="Z312" s="1">
        <f t="shared" si="118"/>
        <v>0</v>
      </c>
      <c r="AA312" s="1">
        <f t="shared" si="119"/>
        <v>0</v>
      </c>
      <c r="AB312" s="1">
        <f t="shared" si="120"/>
        <v>0</v>
      </c>
      <c r="AD312" s="1">
        <f t="shared" si="121"/>
        <v>0</v>
      </c>
      <c r="AE312" s="1">
        <f t="shared" si="122"/>
        <v>1</v>
      </c>
      <c r="AF312" s="1">
        <f t="shared" si="123"/>
        <v>0</v>
      </c>
      <c r="AG312" s="1">
        <f t="shared" si="124"/>
        <v>1</v>
      </c>
      <c r="AH312" s="1">
        <f t="shared" si="125"/>
        <v>0</v>
      </c>
      <c r="AI312" s="1">
        <f t="shared" si="126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511</v>
      </c>
      <c r="E313" s="32" t="s">
        <v>555</v>
      </c>
      <c r="F313" s="32" t="s">
        <v>228</v>
      </c>
      <c r="G313" s="32" t="s">
        <v>229</v>
      </c>
      <c r="H313" s="32" t="s">
        <v>352</v>
      </c>
      <c r="I313" s="31" t="s">
        <v>398</v>
      </c>
      <c r="J313" s="31">
        <v>7</v>
      </c>
      <c r="K313" s="33" t="s">
        <v>931</v>
      </c>
      <c r="L313" s="33" t="s">
        <v>704</v>
      </c>
      <c r="M313" s="34" t="s">
        <v>705</v>
      </c>
      <c r="N313" s="34" t="s">
        <v>1701</v>
      </c>
      <c r="O313" s="35">
        <v>1</v>
      </c>
      <c r="P313" s="35"/>
      <c r="Q313" s="32"/>
      <c r="S313" s="1">
        <f t="shared" si="111"/>
        <v>0</v>
      </c>
      <c r="T313" s="1">
        <f t="shared" si="112"/>
        <v>0</v>
      </c>
      <c r="U313" s="1">
        <f t="shared" si="113"/>
        <v>0</v>
      </c>
      <c r="V313" s="1">
        <f t="shared" si="114"/>
        <v>0</v>
      </c>
      <c r="W313" s="1">
        <f t="shared" si="115"/>
        <v>0</v>
      </c>
      <c r="X313" s="1">
        <f t="shared" si="116"/>
        <v>0</v>
      </c>
      <c r="Y313" s="1">
        <f t="shared" si="117"/>
        <v>1</v>
      </c>
      <c r="Z313" s="1">
        <f t="shared" si="118"/>
        <v>0</v>
      </c>
      <c r="AA313" s="1">
        <f t="shared" si="119"/>
        <v>0</v>
      </c>
      <c r="AB313" s="1">
        <f t="shared" si="120"/>
        <v>0</v>
      </c>
      <c r="AD313" s="1">
        <f t="shared" si="121"/>
        <v>0</v>
      </c>
      <c r="AE313" s="1">
        <f t="shared" si="122"/>
        <v>1</v>
      </c>
      <c r="AF313" s="1">
        <f t="shared" si="123"/>
        <v>0</v>
      </c>
      <c r="AG313" s="1">
        <f t="shared" si="124"/>
        <v>1</v>
      </c>
      <c r="AH313" s="1">
        <f t="shared" si="125"/>
        <v>0</v>
      </c>
      <c r="AI313" s="1">
        <f t="shared" si="12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554</v>
      </c>
      <c r="E314" s="32" t="s">
        <v>555</v>
      </c>
      <c r="F314" s="32" t="s">
        <v>556</v>
      </c>
      <c r="G314" s="32" t="s">
        <v>207</v>
      </c>
      <c r="H314" s="32" t="s">
        <v>352</v>
      </c>
      <c r="I314" s="31" t="s">
        <v>557</v>
      </c>
      <c r="J314" s="31">
        <v>3</v>
      </c>
      <c r="K314" s="33" t="s">
        <v>703</v>
      </c>
      <c r="L314" s="33" t="s">
        <v>704</v>
      </c>
      <c r="M314" s="34" t="s">
        <v>705</v>
      </c>
      <c r="N314" s="34" t="s">
        <v>1693</v>
      </c>
      <c r="O314" s="35">
        <v>1</v>
      </c>
      <c r="P314" s="35">
        <v>1</v>
      </c>
      <c r="Q314" s="32"/>
      <c r="S314" s="1">
        <f t="shared" si="111"/>
        <v>0</v>
      </c>
      <c r="T314" s="1">
        <f t="shared" si="112"/>
        <v>0</v>
      </c>
      <c r="U314" s="1">
        <f t="shared" si="113"/>
        <v>1</v>
      </c>
      <c r="V314" s="1">
        <f t="shared" si="114"/>
        <v>0</v>
      </c>
      <c r="W314" s="1">
        <f t="shared" si="115"/>
        <v>0</v>
      </c>
      <c r="X314" s="1">
        <f t="shared" si="116"/>
        <v>0</v>
      </c>
      <c r="Y314" s="1">
        <f t="shared" si="117"/>
        <v>0</v>
      </c>
      <c r="Z314" s="1">
        <f t="shared" si="118"/>
        <v>0</v>
      </c>
      <c r="AA314" s="1">
        <f t="shared" si="119"/>
        <v>0</v>
      </c>
      <c r="AB314" s="1">
        <f t="shared" si="120"/>
        <v>0</v>
      </c>
      <c r="AD314" s="1">
        <f t="shared" si="121"/>
        <v>1</v>
      </c>
      <c r="AE314" s="1">
        <f t="shared" si="122"/>
        <v>0</v>
      </c>
      <c r="AF314" s="1">
        <f t="shared" si="123"/>
        <v>1</v>
      </c>
      <c r="AG314" s="1">
        <f t="shared" si="124"/>
        <v>0</v>
      </c>
      <c r="AH314" s="1">
        <f t="shared" si="125"/>
        <v>1</v>
      </c>
      <c r="AI314" s="1">
        <f t="shared" si="126"/>
        <v>0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1030</v>
      </c>
      <c r="E315" s="36" t="s">
        <v>32</v>
      </c>
      <c r="F315" s="36" t="s">
        <v>1245</v>
      </c>
      <c r="G315" s="36" t="s">
        <v>531</v>
      </c>
      <c r="H315" s="36" t="s">
        <v>352</v>
      </c>
      <c r="I315" s="37" t="s">
        <v>1246</v>
      </c>
      <c r="J315" s="37">
        <v>6</v>
      </c>
      <c r="K315" s="50" t="s">
        <v>704</v>
      </c>
      <c r="L315" s="33" t="s">
        <v>704</v>
      </c>
      <c r="M315" s="34" t="s">
        <v>705</v>
      </c>
      <c r="N315" s="34" t="s">
        <v>1700</v>
      </c>
      <c r="O315" s="35">
        <v>1</v>
      </c>
      <c r="P315" s="35"/>
      <c r="Q315" s="36"/>
      <c r="S315" s="1">
        <f t="shared" si="111"/>
        <v>0</v>
      </c>
      <c r="T315" s="1">
        <f t="shared" si="112"/>
        <v>0</v>
      </c>
      <c r="U315" s="1">
        <f t="shared" si="113"/>
        <v>0</v>
      </c>
      <c r="V315" s="1">
        <f t="shared" si="114"/>
        <v>0</v>
      </c>
      <c r="W315" s="1">
        <f t="shared" si="115"/>
        <v>0</v>
      </c>
      <c r="X315" s="1">
        <f t="shared" si="116"/>
        <v>1</v>
      </c>
      <c r="Y315" s="1">
        <f t="shared" si="117"/>
        <v>0</v>
      </c>
      <c r="Z315" s="1">
        <f t="shared" si="118"/>
        <v>0</v>
      </c>
      <c r="AA315" s="1">
        <f t="shared" si="119"/>
        <v>0</v>
      </c>
      <c r="AB315" s="1">
        <f t="shared" si="120"/>
        <v>0</v>
      </c>
      <c r="AD315" s="1">
        <f t="shared" si="121"/>
        <v>0</v>
      </c>
      <c r="AE315" s="1">
        <f t="shared" si="122"/>
        <v>1</v>
      </c>
      <c r="AF315" s="1">
        <f t="shared" si="123"/>
        <v>0</v>
      </c>
      <c r="AG315" s="1">
        <f t="shared" si="124"/>
        <v>1</v>
      </c>
      <c r="AH315" s="1">
        <f t="shared" si="125"/>
        <v>0</v>
      </c>
      <c r="AI315" s="1">
        <f t="shared" si="126"/>
        <v>1</v>
      </c>
    </row>
    <row r="316" spans="1:35" ht="14.25" customHeight="1" x14ac:dyDescent="0.25">
      <c r="A316" s="37">
        <v>0</v>
      </c>
      <c r="B316" s="37">
        <v>2</v>
      </c>
      <c r="C316" s="37">
        <v>1</v>
      </c>
      <c r="D316" s="36" t="s">
        <v>896</v>
      </c>
      <c r="E316" s="36" t="s">
        <v>1301</v>
      </c>
      <c r="F316" s="36" t="s">
        <v>770</v>
      </c>
      <c r="G316" s="36" t="s">
        <v>256</v>
      </c>
      <c r="H316" s="36" t="s">
        <v>352</v>
      </c>
      <c r="I316" s="37" t="s">
        <v>922</v>
      </c>
      <c r="J316" s="37">
        <v>99</v>
      </c>
      <c r="K316" s="50" t="s">
        <v>703</v>
      </c>
      <c r="L316" s="33" t="s">
        <v>704</v>
      </c>
      <c r="M316" s="34" t="s">
        <v>705</v>
      </c>
      <c r="N316" s="34" t="s">
        <v>1701</v>
      </c>
      <c r="O316" s="35">
        <v>1</v>
      </c>
      <c r="P316" s="35"/>
      <c r="Q316" s="36"/>
      <c r="S316" s="1">
        <f t="shared" si="111"/>
        <v>0</v>
      </c>
      <c r="T316" s="1">
        <f t="shared" si="112"/>
        <v>0</v>
      </c>
      <c r="U316" s="1">
        <f t="shared" si="113"/>
        <v>0</v>
      </c>
      <c r="V316" s="1">
        <f t="shared" si="114"/>
        <v>0</v>
      </c>
      <c r="W316" s="1">
        <f t="shared" si="115"/>
        <v>0</v>
      </c>
      <c r="X316" s="1">
        <f t="shared" si="116"/>
        <v>0</v>
      </c>
      <c r="Y316" s="1">
        <f t="shared" si="117"/>
        <v>0</v>
      </c>
      <c r="Z316" s="1">
        <f t="shared" si="118"/>
        <v>0</v>
      </c>
      <c r="AA316" s="1">
        <f t="shared" si="119"/>
        <v>0</v>
      </c>
      <c r="AB316" s="1">
        <f t="shared" si="120"/>
        <v>0</v>
      </c>
      <c r="AD316" s="1">
        <f t="shared" si="121"/>
        <v>0</v>
      </c>
      <c r="AE316" s="1">
        <f t="shared" si="122"/>
        <v>1</v>
      </c>
      <c r="AF316" s="1">
        <f t="shared" si="123"/>
        <v>0</v>
      </c>
      <c r="AG316" s="1">
        <f t="shared" si="124"/>
        <v>1</v>
      </c>
      <c r="AH316" s="1">
        <f t="shared" si="125"/>
        <v>0</v>
      </c>
      <c r="AI316" s="1">
        <f t="shared" si="126"/>
        <v>1</v>
      </c>
    </row>
    <row r="317" spans="1:35" ht="14.25" customHeight="1" x14ac:dyDescent="0.25">
      <c r="A317" s="37">
        <v>0</v>
      </c>
      <c r="B317" s="37">
        <v>2</v>
      </c>
      <c r="C317" s="37">
        <v>1</v>
      </c>
      <c r="D317" s="36" t="s">
        <v>1723</v>
      </c>
      <c r="E317" s="36" t="s">
        <v>1724</v>
      </c>
      <c r="F317" s="36" t="s">
        <v>1725</v>
      </c>
      <c r="G317" s="36" t="s">
        <v>179</v>
      </c>
      <c r="H317" s="36" t="s">
        <v>352</v>
      </c>
      <c r="I317" s="37" t="s">
        <v>1726</v>
      </c>
      <c r="J317" s="37"/>
      <c r="K317" s="50" t="s">
        <v>694</v>
      </c>
      <c r="L317" s="33">
        <v>4</v>
      </c>
      <c r="M317" s="34" t="s">
        <v>705</v>
      </c>
      <c r="N317" s="34" t="s">
        <v>1696</v>
      </c>
      <c r="O317" s="35">
        <v>1</v>
      </c>
      <c r="P317" s="35"/>
      <c r="Q317" s="36"/>
      <c r="S317" s="1">
        <f t="shared" si="111"/>
        <v>0</v>
      </c>
      <c r="T317" s="1">
        <f t="shared" si="112"/>
        <v>0</v>
      </c>
      <c r="U317" s="1">
        <f t="shared" si="113"/>
        <v>0</v>
      </c>
      <c r="V317" s="1">
        <f t="shared" si="114"/>
        <v>0</v>
      </c>
      <c r="W317" s="1">
        <f t="shared" si="115"/>
        <v>0</v>
      </c>
      <c r="X317" s="1">
        <f t="shared" si="116"/>
        <v>0</v>
      </c>
      <c r="Y317" s="1">
        <f t="shared" si="117"/>
        <v>0</v>
      </c>
      <c r="Z317" s="1">
        <f t="shared" si="118"/>
        <v>0</v>
      </c>
      <c r="AA317" s="1">
        <f t="shared" si="119"/>
        <v>0</v>
      </c>
      <c r="AB317" s="1">
        <f t="shared" si="120"/>
        <v>0</v>
      </c>
      <c r="AD317" s="1">
        <f t="shared" si="121"/>
        <v>0</v>
      </c>
      <c r="AE317" s="1">
        <f t="shared" si="122"/>
        <v>1</v>
      </c>
      <c r="AF317" s="1">
        <f t="shared" si="123"/>
        <v>0</v>
      </c>
      <c r="AG317" s="1">
        <f t="shared" si="124"/>
        <v>1</v>
      </c>
      <c r="AH317" s="1">
        <f t="shared" si="125"/>
        <v>0</v>
      </c>
      <c r="AI317" s="1">
        <f t="shared" si="12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611</v>
      </c>
      <c r="E318" s="32" t="s">
        <v>612</v>
      </c>
      <c r="F318" s="32" t="s">
        <v>613</v>
      </c>
      <c r="G318" s="32" t="s">
        <v>614</v>
      </c>
      <c r="H318" s="32" t="s">
        <v>352</v>
      </c>
      <c r="I318" s="31" t="s">
        <v>615</v>
      </c>
      <c r="J318" s="31">
        <v>99</v>
      </c>
      <c r="K318" s="33" t="s">
        <v>703</v>
      </c>
      <c r="L318" s="33" t="s">
        <v>704</v>
      </c>
      <c r="M318" s="34" t="s">
        <v>705</v>
      </c>
      <c r="N318" s="34" t="s">
        <v>1708</v>
      </c>
      <c r="O318" s="35">
        <v>1</v>
      </c>
      <c r="P318" s="35"/>
      <c r="Q318" s="32"/>
      <c r="S318" s="1">
        <f t="shared" si="111"/>
        <v>0</v>
      </c>
      <c r="T318" s="1">
        <f t="shared" si="112"/>
        <v>0</v>
      </c>
      <c r="U318" s="1">
        <f t="shared" si="113"/>
        <v>0</v>
      </c>
      <c r="V318" s="1">
        <f t="shared" si="114"/>
        <v>0</v>
      </c>
      <c r="W318" s="1">
        <f t="shared" si="115"/>
        <v>0</v>
      </c>
      <c r="X318" s="1">
        <f t="shared" si="116"/>
        <v>0</v>
      </c>
      <c r="Y318" s="1">
        <f t="shared" si="117"/>
        <v>0</v>
      </c>
      <c r="Z318" s="1">
        <f t="shared" si="118"/>
        <v>0</v>
      </c>
      <c r="AA318" s="1">
        <f t="shared" si="119"/>
        <v>0</v>
      </c>
      <c r="AB318" s="1">
        <f t="shared" si="120"/>
        <v>0</v>
      </c>
      <c r="AD318" s="1">
        <f t="shared" si="121"/>
        <v>0</v>
      </c>
      <c r="AE318" s="1">
        <f t="shared" si="122"/>
        <v>1</v>
      </c>
      <c r="AF318" s="1">
        <f t="shared" si="123"/>
        <v>0</v>
      </c>
      <c r="AG318" s="1">
        <f t="shared" si="124"/>
        <v>1</v>
      </c>
      <c r="AH318" s="1">
        <f t="shared" si="125"/>
        <v>0</v>
      </c>
      <c r="AI318" s="1">
        <f t="shared" si="126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1057</v>
      </c>
      <c r="E319" s="32" t="s">
        <v>1302</v>
      </c>
      <c r="F319" s="32" t="s">
        <v>1624</v>
      </c>
      <c r="G319" s="32" t="s">
        <v>189</v>
      </c>
      <c r="H319" s="32" t="s">
        <v>352</v>
      </c>
      <c r="I319" s="31" t="s">
        <v>1812</v>
      </c>
      <c r="J319" s="31">
        <v>99</v>
      </c>
      <c r="K319" s="33" t="s">
        <v>703</v>
      </c>
      <c r="L319" s="33" t="s">
        <v>704</v>
      </c>
      <c r="M319" s="34" t="s">
        <v>705</v>
      </c>
      <c r="N319" s="34" t="s">
        <v>1696</v>
      </c>
      <c r="O319" s="35">
        <v>1</v>
      </c>
      <c r="P319" s="35"/>
      <c r="Q319" s="32"/>
      <c r="S319" s="1">
        <f t="shared" si="111"/>
        <v>0</v>
      </c>
      <c r="T319" s="1">
        <f t="shared" si="112"/>
        <v>0</v>
      </c>
      <c r="U319" s="1">
        <f t="shared" si="113"/>
        <v>0</v>
      </c>
      <c r="V319" s="1">
        <f t="shared" si="114"/>
        <v>0</v>
      </c>
      <c r="W319" s="1">
        <f t="shared" si="115"/>
        <v>0</v>
      </c>
      <c r="X319" s="1">
        <f t="shared" si="116"/>
        <v>0</v>
      </c>
      <c r="Y319" s="1">
        <f t="shared" si="117"/>
        <v>0</v>
      </c>
      <c r="Z319" s="1">
        <f t="shared" si="118"/>
        <v>0</v>
      </c>
      <c r="AA319" s="1">
        <f t="shared" si="119"/>
        <v>0</v>
      </c>
      <c r="AB319" s="1">
        <f t="shared" si="120"/>
        <v>0</v>
      </c>
      <c r="AD319" s="1">
        <f t="shared" si="121"/>
        <v>0</v>
      </c>
      <c r="AE319" s="1">
        <f t="shared" si="122"/>
        <v>1</v>
      </c>
      <c r="AF319" s="1">
        <f t="shared" si="123"/>
        <v>0</v>
      </c>
      <c r="AG319" s="1">
        <f t="shared" si="124"/>
        <v>1</v>
      </c>
      <c r="AH319" s="1">
        <f t="shared" si="125"/>
        <v>0</v>
      </c>
      <c r="AI319" s="1">
        <f t="shared" si="126"/>
        <v>1</v>
      </c>
    </row>
    <row r="320" spans="1:35" ht="14.25" customHeight="1" x14ac:dyDescent="0.25">
      <c r="A320" s="15">
        <v>0</v>
      </c>
      <c r="B320" s="15">
        <v>2</v>
      </c>
      <c r="C320" s="15">
        <v>1</v>
      </c>
      <c r="D320" s="16" t="s">
        <v>643</v>
      </c>
      <c r="E320" s="16" t="s">
        <v>36</v>
      </c>
      <c r="F320" s="16" t="s">
        <v>659</v>
      </c>
      <c r="G320" s="16" t="s">
        <v>200</v>
      </c>
      <c r="H320" s="16" t="s">
        <v>352</v>
      </c>
      <c r="I320" s="15" t="s">
        <v>982</v>
      </c>
      <c r="J320" s="15">
        <v>99</v>
      </c>
      <c r="K320" s="10" t="s">
        <v>694</v>
      </c>
      <c r="L320" s="10">
        <v>4</v>
      </c>
      <c r="M320" s="19" t="s">
        <v>705</v>
      </c>
      <c r="N320" s="17"/>
      <c r="Q320" s="16"/>
      <c r="S320" s="1">
        <f t="shared" si="111"/>
        <v>0</v>
      </c>
      <c r="T320" s="1">
        <f t="shared" si="112"/>
        <v>0</v>
      </c>
      <c r="U320" s="1">
        <f t="shared" si="113"/>
        <v>0</v>
      </c>
      <c r="V320" s="1">
        <f t="shared" si="114"/>
        <v>0</v>
      </c>
      <c r="W320" s="1">
        <f t="shared" si="115"/>
        <v>0</v>
      </c>
      <c r="X320" s="1">
        <f t="shared" si="116"/>
        <v>0</v>
      </c>
      <c r="Y320" s="1">
        <f t="shared" si="117"/>
        <v>0</v>
      </c>
      <c r="Z320" s="1">
        <f t="shared" si="118"/>
        <v>0</v>
      </c>
      <c r="AA320" s="1">
        <f t="shared" si="119"/>
        <v>0</v>
      </c>
      <c r="AB320" s="1">
        <f t="shared" si="120"/>
        <v>0</v>
      </c>
      <c r="AD320" s="1">
        <f t="shared" si="121"/>
        <v>0</v>
      </c>
      <c r="AE320" s="1">
        <f t="shared" si="122"/>
        <v>0</v>
      </c>
      <c r="AF320" s="1">
        <f t="shared" si="123"/>
        <v>0</v>
      </c>
      <c r="AG320" s="1">
        <f t="shared" si="124"/>
        <v>0</v>
      </c>
      <c r="AH320" s="1">
        <f t="shared" si="125"/>
        <v>0</v>
      </c>
      <c r="AI320" s="1">
        <f t="shared" si="126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1232</v>
      </c>
      <c r="E321" s="32" t="s">
        <v>1233</v>
      </c>
      <c r="F321" s="32" t="s">
        <v>1234</v>
      </c>
      <c r="G321" s="32" t="s">
        <v>1137</v>
      </c>
      <c r="H321" s="32" t="s">
        <v>352</v>
      </c>
      <c r="I321" s="31" t="s">
        <v>1235</v>
      </c>
      <c r="J321" s="31">
        <v>11</v>
      </c>
      <c r="K321" s="33" t="s">
        <v>694</v>
      </c>
      <c r="L321" s="33">
        <v>6</v>
      </c>
      <c r="M321" s="34" t="s">
        <v>1688</v>
      </c>
      <c r="N321" s="34" t="s">
        <v>1800</v>
      </c>
      <c r="O321" s="35">
        <v>1</v>
      </c>
      <c r="P321" s="35"/>
      <c r="Q321" s="32"/>
      <c r="S321" s="1">
        <f t="shared" si="111"/>
        <v>0</v>
      </c>
      <c r="T321" s="1">
        <f t="shared" si="112"/>
        <v>0</v>
      </c>
      <c r="U321" s="1">
        <f t="shared" si="113"/>
        <v>0</v>
      </c>
      <c r="V321" s="1">
        <f t="shared" si="114"/>
        <v>0</v>
      </c>
      <c r="W321" s="1">
        <f t="shared" si="115"/>
        <v>0</v>
      </c>
      <c r="X321" s="1">
        <f t="shared" si="116"/>
        <v>0</v>
      </c>
      <c r="Y321" s="1">
        <f t="shared" si="117"/>
        <v>0</v>
      </c>
      <c r="Z321" s="1">
        <f t="shared" si="118"/>
        <v>0</v>
      </c>
      <c r="AA321" s="1">
        <f t="shared" si="119"/>
        <v>0</v>
      </c>
      <c r="AB321" s="1">
        <f t="shared" si="120"/>
        <v>0</v>
      </c>
      <c r="AD321" s="1">
        <f t="shared" si="121"/>
        <v>0</v>
      </c>
      <c r="AE321" s="1">
        <f t="shared" si="122"/>
        <v>1</v>
      </c>
      <c r="AF321" s="1">
        <f t="shared" si="123"/>
        <v>0</v>
      </c>
      <c r="AG321" s="1">
        <f t="shared" si="124"/>
        <v>1</v>
      </c>
      <c r="AH321" s="1">
        <f t="shared" si="125"/>
        <v>0</v>
      </c>
      <c r="AI321" s="1">
        <f t="shared" si="126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1099</v>
      </c>
      <c r="E322" s="32" t="s">
        <v>1282</v>
      </c>
      <c r="F322" s="32" t="s">
        <v>1097</v>
      </c>
      <c r="G322" s="32" t="s">
        <v>229</v>
      </c>
      <c r="H322" s="32" t="s">
        <v>352</v>
      </c>
      <c r="I322" s="31" t="s">
        <v>1098</v>
      </c>
      <c r="J322" s="31">
        <v>7</v>
      </c>
      <c r="K322" s="33" t="s">
        <v>704</v>
      </c>
      <c r="L322" s="33" t="s">
        <v>1669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111"/>
        <v>0</v>
      </c>
      <c r="T322" s="1">
        <f t="shared" si="112"/>
        <v>0</v>
      </c>
      <c r="U322" s="1">
        <f t="shared" si="113"/>
        <v>0</v>
      </c>
      <c r="V322" s="1">
        <f t="shared" si="114"/>
        <v>0</v>
      </c>
      <c r="W322" s="1">
        <f t="shared" si="115"/>
        <v>0</v>
      </c>
      <c r="X322" s="1">
        <f t="shared" si="116"/>
        <v>0</v>
      </c>
      <c r="Y322" s="1">
        <f t="shared" si="117"/>
        <v>1</v>
      </c>
      <c r="Z322" s="1">
        <f t="shared" si="118"/>
        <v>0</v>
      </c>
      <c r="AA322" s="1">
        <f t="shared" si="119"/>
        <v>0</v>
      </c>
      <c r="AB322" s="1">
        <f t="shared" si="120"/>
        <v>0</v>
      </c>
      <c r="AD322" s="1">
        <f t="shared" si="121"/>
        <v>0</v>
      </c>
      <c r="AE322" s="1">
        <f t="shared" si="122"/>
        <v>1</v>
      </c>
      <c r="AF322" s="1">
        <f t="shared" si="123"/>
        <v>0</v>
      </c>
      <c r="AG322" s="1">
        <f t="shared" si="124"/>
        <v>1</v>
      </c>
      <c r="AH322" s="1">
        <f t="shared" si="125"/>
        <v>0</v>
      </c>
      <c r="AI322" s="1">
        <f t="shared" si="126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985</v>
      </c>
      <c r="E323" s="32" t="s">
        <v>1304</v>
      </c>
      <c r="F323" s="32" t="s">
        <v>986</v>
      </c>
      <c r="G323" s="32" t="s">
        <v>1077</v>
      </c>
      <c r="H323" s="32" t="s">
        <v>352</v>
      </c>
      <c r="I323" s="31" t="s">
        <v>406</v>
      </c>
      <c r="J323" s="31">
        <v>99</v>
      </c>
      <c r="K323" s="33" t="s">
        <v>704</v>
      </c>
      <c r="L323" s="33" t="s">
        <v>704</v>
      </c>
      <c r="M323" s="34" t="s">
        <v>705</v>
      </c>
      <c r="N323" s="34" t="s">
        <v>1696</v>
      </c>
      <c r="O323" s="35">
        <v>1</v>
      </c>
      <c r="P323" s="35"/>
      <c r="Q323" s="32"/>
      <c r="S323" s="1">
        <f t="shared" si="111"/>
        <v>0</v>
      </c>
      <c r="T323" s="1">
        <f t="shared" si="112"/>
        <v>0</v>
      </c>
      <c r="U323" s="1">
        <f t="shared" si="113"/>
        <v>0</v>
      </c>
      <c r="V323" s="1">
        <f t="shared" si="114"/>
        <v>0</v>
      </c>
      <c r="W323" s="1">
        <f t="shared" si="115"/>
        <v>0</v>
      </c>
      <c r="X323" s="1">
        <f t="shared" si="116"/>
        <v>0</v>
      </c>
      <c r="Y323" s="1">
        <f t="shared" si="117"/>
        <v>0</v>
      </c>
      <c r="Z323" s="1">
        <f t="shared" si="118"/>
        <v>0</v>
      </c>
      <c r="AA323" s="1">
        <f t="shared" si="119"/>
        <v>0</v>
      </c>
      <c r="AB323" s="1">
        <f t="shared" si="120"/>
        <v>0</v>
      </c>
      <c r="AD323" s="1">
        <f t="shared" si="121"/>
        <v>0</v>
      </c>
      <c r="AE323" s="1">
        <f t="shared" si="122"/>
        <v>1</v>
      </c>
      <c r="AF323" s="1">
        <f t="shared" si="123"/>
        <v>0</v>
      </c>
      <c r="AG323" s="1">
        <f t="shared" si="124"/>
        <v>1</v>
      </c>
      <c r="AH323" s="1">
        <f t="shared" si="125"/>
        <v>0</v>
      </c>
      <c r="AI323" s="1">
        <f t="shared" si="126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1106</v>
      </c>
      <c r="E324" s="32" t="s">
        <v>555</v>
      </c>
      <c r="F324" s="32" t="s">
        <v>1321</v>
      </c>
      <c r="G324" s="32" t="s">
        <v>264</v>
      </c>
      <c r="H324" s="32" t="s">
        <v>352</v>
      </c>
      <c r="I324" s="31" t="s">
        <v>1107</v>
      </c>
      <c r="J324" s="31">
        <v>8</v>
      </c>
      <c r="K324" s="33" t="s">
        <v>703</v>
      </c>
      <c r="L324" s="33" t="s">
        <v>1669</v>
      </c>
      <c r="M324" s="34" t="s">
        <v>705</v>
      </c>
      <c r="N324" s="34" t="s">
        <v>1700</v>
      </c>
      <c r="O324" s="35">
        <v>1</v>
      </c>
      <c r="P324" s="35"/>
      <c r="Q324" s="32"/>
      <c r="S324" s="1">
        <f t="shared" si="111"/>
        <v>0</v>
      </c>
      <c r="T324" s="1">
        <f t="shared" si="112"/>
        <v>0</v>
      </c>
      <c r="U324" s="1">
        <f t="shared" si="113"/>
        <v>0</v>
      </c>
      <c r="V324" s="1">
        <f t="shared" si="114"/>
        <v>0</v>
      </c>
      <c r="W324" s="1">
        <f t="shared" si="115"/>
        <v>0</v>
      </c>
      <c r="X324" s="1">
        <f t="shared" si="116"/>
        <v>0</v>
      </c>
      <c r="Y324" s="1">
        <f t="shared" si="117"/>
        <v>0</v>
      </c>
      <c r="Z324" s="1">
        <f t="shared" si="118"/>
        <v>1</v>
      </c>
      <c r="AA324" s="1">
        <f t="shared" si="119"/>
        <v>0</v>
      </c>
      <c r="AB324" s="1">
        <f t="shared" si="120"/>
        <v>0</v>
      </c>
      <c r="AD324" s="1">
        <f t="shared" si="121"/>
        <v>0</v>
      </c>
      <c r="AE324" s="1">
        <f t="shared" si="122"/>
        <v>1</v>
      </c>
      <c r="AF324" s="1">
        <f t="shared" si="123"/>
        <v>0</v>
      </c>
      <c r="AG324" s="1">
        <f t="shared" si="124"/>
        <v>1</v>
      </c>
      <c r="AH324" s="1">
        <f t="shared" si="125"/>
        <v>0</v>
      </c>
      <c r="AI324" s="1">
        <f t="shared" si="126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1254</v>
      </c>
      <c r="E325" s="32" t="s">
        <v>1302</v>
      </c>
      <c r="F325" s="32" t="s">
        <v>1251</v>
      </c>
      <c r="G325" s="32" t="s">
        <v>1252</v>
      </c>
      <c r="H325" s="32" t="s">
        <v>352</v>
      </c>
      <c r="I325" s="31" t="s">
        <v>1253</v>
      </c>
      <c r="J325" s="31">
        <v>1</v>
      </c>
      <c r="K325" s="33" t="s">
        <v>703</v>
      </c>
      <c r="L325" s="33" t="s">
        <v>704</v>
      </c>
      <c r="M325" s="34" t="s">
        <v>705</v>
      </c>
      <c r="N325" s="34" t="s">
        <v>1713</v>
      </c>
      <c r="O325" s="35">
        <v>1</v>
      </c>
      <c r="P325" s="35"/>
      <c r="Q325" s="32" t="s">
        <v>1852</v>
      </c>
      <c r="S325" s="1">
        <f t="shared" si="111"/>
        <v>1</v>
      </c>
      <c r="T325" s="1">
        <f t="shared" si="112"/>
        <v>0</v>
      </c>
      <c r="U325" s="1">
        <f t="shared" si="113"/>
        <v>0</v>
      </c>
      <c r="V325" s="1">
        <f t="shared" si="114"/>
        <v>0</v>
      </c>
      <c r="W325" s="1">
        <f t="shared" si="115"/>
        <v>0</v>
      </c>
      <c r="X325" s="1">
        <f t="shared" si="116"/>
        <v>0</v>
      </c>
      <c r="Y325" s="1">
        <f t="shared" si="117"/>
        <v>0</v>
      </c>
      <c r="Z325" s="1">
        <f t="shared" si="118"/>
        <v>0</v>
      </c>
      <c r="AA325" s="1">
        <f t="shared" si="119"/>
        <v>0</v>
      </c>
      <c r="AB325" s="1">
        <f t="shared" si="120"/>
        <v>0</v>
      </c>
      <c r="AD325" s="1">
        <f t="shared" ref="AD325:AD330" si="127">+O325*P325</f>
        <v>0</v>
      </c>
      <c r="AE325" s="1">
        <f t="shared" ref="AE325:AE330" si="128">O325*(1-P325)</f>
        <v>1</v>
      </c>
      <c r="AF325" s="1">
        <f t="shared" ref="AF325:AF330" si="129">+O325*P325*(1-A325)</f>
        <v>0</v>
      </c>
      <c r="AG325" s="1">
        <f t="shared" ref="AG325:AG330" si="130">O325*(1-P325)*(1-A325)</f>
        <v>1</v>
      </c>
      <c r="AH325" s="1">
        <f t="shared" ref="AH325:AH330" si="131">+P325*(1-A325)</f>
        <v>0</v>
      </c>
      <c r="AI325" s="1">
        <f t="shared" ref="AI325:AI330" si="132">+(1-A325)*(1-P325)</f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52</v>
      </c>
      <c r="E326" s="32" t="s">
        <v>32</v>
      </c>
      <c r="F326" s="32" t="s">
        <v>205</v>
      </c>
      <c r="G326" s="32" t="s">
        <v>206</v>
      </c>
      <c r="H326" s="32" t="s">
        <v>352</v>
      </c>
      <c r="I326" s="31" t="s">
        <v>389</v>
      </c>
      <c r="J326" s="31">
        <v>99</v>
      </c>
      <c r="K326" s="33" t="s">
        <v>703</v>
      </c>
      <c r="L326" s="33" t="s">
        <v>704</v>
      </c>
      <c r="M326" s="34" t="s">
        <v>705</v>
      </c>
      <c r="N326" s="34" t="s">
        <v>1693</v>
      </c>
      <c r="O326" s="35">
        <v>1</v>
      </c>
      <c r="P326" s="35">
        <v>1</v>
      </c>
      <c r="Q326" s="32"/>
      <c r="S326" s="1">
        <f t="shared" si="111"/>
        <v>0</v>
      </c>
      <c r="T326" s="1">
        <f t="shared" si="112"/>
        <v>0</v>
      </c>
      <c r="U326" s="1">
        <f t="shared" si="113"/>
        <v>0</v>
      </c>
      <c r="V326" s="1">
        <f t="shared" si="114"/>
        <v>0</v>
      </c>
      <c r="W326" s="1">
        <f t="shared" si="115"/>
        <v>0</v>
      </c>
      <c r="X326" s="1">
        <f t="shared" si="116"/>
        <v>0</v>
      </c>
      <c r="Y326" s="1">
        <f t="shared" si="117"/>
        <v>0</v>
      </c>
      <c r="Z326" s="1">
        <f t="shared" si="118"/>
        <v>0</v>
      </c>
      <c r="AA326" s="1">
        <f t="shared" si="119"/>
        <v>0</v>
      </c>
      <c r="AB326" s="1">
        <f t="shared" si="120"/>
        <v>0</v>
      </c>
      <c r="AD326" s="1">
        <f t="shared" si="127"/>
        <v>1</v>
      </c>
      <c r="AE326" s="1">
        <f t="shared" si="128"/>
        <v>0</v>
      </c>
      <c r="AF326" s="1">
        <f t="shared" si="129"/>
        <v>1</v>
      </c>
      <c r="AG326" s="1">
        <f t="shared" si="130"/>
        <v>0</v>
      </c>
      <c r="AH326" s="1">
        <f t="shared" si="131"/>
        <v>1</v>
      </c>
      <c r="AI326" s="1">
        <f t="shared" si="132"/>
        <v>0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6" t="s">
        <v>2151</v>
      </c>
      <c r="E327" s="36" t="s">
        <v>555</v>
      </c>
      <c r="F327" s="36" t="s">
        <v>2147</v>
      </c>
      <c r="G327" s="36" t="s">
        <v>531</v>
      </c>
      <c r="H327" s="36" t="s">
        <v>352</v>
      </c>
      <c r="I327" s="37" t="s">
        <v>2148</v>
      </c>
      <c r="J327" s="31">
        <v>6</v>
      </c>
      <c r="K327" s="33" t="s">
        <v>694</v>
      </c>
      <c r="L327" s="33"/>
      <c r="M327" s="34"/>
      <c r="N327" s="34" t="s">
        <v>1693</v>
      </c>
      <c r="O327" s="35">
        <v>1</v>
      </c>
      <c r="P327" s="35">
        <v>1</v>
      </c>
      <c r="Q327" s="32" t="s">
        <v>2149</v>
      </c>
      <c r="S327" s="1">
        <f t="shared" si="111"/>
        <v>0</v>
      </c>
      <c r="T327" s="1">
        <f t="shared" si="112"/>
        <v>0</v>
      </c>
      <c r="U327" s="1">
        <f t="shared" si="113"/>
        <v>0</v>
      </c>
      <c r="V327" s="1">
        <f t="shared" si="114"/>
        <v>0</v>
      </c>
      <c r="W327" s="1">
        <f t="shared" si="115"/>
        <v>0</v>
      </c>
      <c r="X327" s="1">
        <f t="shared" si="116"/>
        <v>1</v>
      </c>
      <c r="Y327" s="1">
        <f t="shared" si="117"/>
        <v>0</v>
      </c>
      <c r="Z327" s="1">
        <f t="shared" si="118"/>
        <v>0</v>
      </c>
      <c r="AA327" s="1">
        <f t="shared" si="119"/>
        <v>0</v>
      </c>
      <c r="AB327" s="1">
        <f t="shared" si="120"/>
        <v>0</v>
      </c>
      <c r="AD327" s="1">
        <f t="shared" si="127"/>
        <v>1</v>
      </c>
      <c r="AE327" s="1">
        <f t="shared" si="128"/>
        <v>0</v>
      </c>
      <c r="AF327" s="1">
        <f t="shared" si="129"/>
        <v>1</v>
      </c>
      <c r="AG327" s="1">
        <f t="shared" si="130"/>
        <v>0</v>
      </c>
      <c r="AH327" s="1">
        <f t="shared" si="131"/>
        <v>1</v>
      </c>
      <c r="AI327" s="1">
        <f t="shared" si="132"/>
        <v>0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73</v>
      </c>
      <c r="E328" s="32" t="s">
        <v>555</v>
      </c>
      <c r="F328" s="32" t="s">
        <v>1027</v>
      </c>
      <c r="G328" s="32" t="s">
        <v>189</v>
      </c>
      <c r="H328" s="32" t="s">
        <v>352</v>
      </c>
      <c r="I328" s="31" t="s">
        <v>419</v>
      </c>
      <c r="J328" s="31">
        <v>99</v>
      </c>
      <c r="K328" s="33" t="s">
        <v>931</v>
      </c>
      <c r="L328" s="33" t="s">
        <v>704</v>
      </c>
      <c r="M328" s="34" t="s">
        <v>705</v>
      </c>
      <c r="N328" s="34" t="s">
        <v>1696</v>
      </c>
      <c r="O328" s="35">
        <v>1</v>
      </c>
      <c r="P328" s="35"/>
      <c r="Q328" s="32"/>
      <c r="S328" s="1">
        <f t="shared" si="111"/>
        <v>0</v>
      </c>
      <c r="T328" s="1">
        <f t="shared" si="112"/>
        <v>0</v>
      </c>
      <c r="U328" s="1">
        <f t="shared" si="113"/>
        <v>0</v>
      </c>
      <c r="V328" s="1">
        <f t="shared" si="114"/>
        <v>0</v>
      </c>
      <c r="W328" s="1">
        <f t="shared" si="115"/>
        <v>0</v>
      </c>
      <c r="X328" s="1">
        <f t="shared" si="116"/>
        <v>0</v>
      </c>
      <c r="Y328" s="1">
        <f t="shared" si="117"/>
        <v>0</v>
      </c>
      <c r="Z328" s="1">
        <f t="shared" si="118"/>
        <v>0</v>
      </c>
      <c r="AA328" s="1">
        <f t="shared" si="119"/>
        <v>0</v>
      </c>
      <c r="AB328" s="1">
        <f t="shared" si="120"/>
        <v>0</v>
      </c>
      <c r="AD328" s="1">
        <f t="shared" si="127"/>
        <v>0</v>
      </c>
      <c r="AE328" s="1">
        <f t="shared" si="128"/>
        <v>1</v>
      </c>
      <c r="AF328" s="1">
        <f t="shared" si="129"/>
        <v>0</v>
      </c>
      <c r="AG328" s="1">
        <f t="shared" si="130"/>
        <v>1</v>
      </c>
      <c r="AH328" s="1">
        <f t="shared" si="131"/>
        <v>0</v>
      </c>
      <c r="AI328" s="1">
        <f t="shared" si="132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47</v>
      </c>
      <c r="E329" s="32" t="s">
        <v>32</v>
      </c>
      <c r="F329" s="32" t="s">
        <v>186</v>
      </c>
      <c r="G329" s="32" t="s">
        <v>179</v>
      </c>
      <c r="H329" s="32" t="s">
        <v>352</v>
      </c>
      <c r="I329" s="31" t="s">
        <v>381</v>
      </c>
      <c r="J329" s="31">
        <v>10</v>
      </c>
      <c r="K329" s="33" t="s">
        <v>932</v>
      </c>
      <c r="L329" s="33" t="s">
        <v>704</v>
      </c>
      <c r="M329" s="34" t="s">
        <v>705</v>
      </c>
      <c r="N329" s="34" t="s">
        <v>1696</v>
      </c>
      <c r="O329" s="35">
        <v>1</v>
      </c>
      <c r="P329" s="35"/>
      <c r="Q329" s="32"/>
      <c r="S329" s="1">
        <f t="shared" si="111"/>
        <v>0</v>
      </c>
      <c r="T329" s="1">
        <f t="shared" si="112"/>
        <v>0</v>
      </c>
      <c r="U329" s="1">
        <f t="shared" si="113"/>
        <v>0</v>
      </c>
      <c r="V329" s="1">
        <f t="shared" si="114"/>
        <v>0</v>
      </c>
      <c r="W329" s="1">
        <f t="shared" si="115"/>
        <v>0</v>
      </c>
      <c r="X329" s="1">
        <f t="shared" si="116"/>
        <v>0</v>
      </c>
      <c r="Y329" s="1">
        <f t="shared" si="117"/>
        <v>0</v>
      </c>
      <c r="Z329" s="1">
        <f t="shared" si="118"/>
        <v>0</v>
      </c>
      <c r="AA329" s="1">
        <f t="shared" si="119"/>
        <v>0</v>
      </c>
      <c r="AB329" s="1">
        <f t="shared" si="120"/>
        <v>1</v>
      </c>
      <c r="AD329" s="1">
        <f t="shared" si="127"/>
        <v>0</v>
      </c>
      <c r="AE329" s="1">
        <f t="shared" si="128"/>
        <v>1</v>
      </c>
      <c r="AF329" s="1">
        <f t="shared" si="129"/>
        <v>0</v>
      </c>
      <c r="AG329" s="1">
        <f t="shared" si="130"/>
        <v>1</v>
      </c>
      <c r="AH329" s="1">
        <f t="shared" si="131"/>
        <v>0</v>
      </c>
      <c r="AI329" s="1">
        <f t="shared" si="13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644</v>
      </c>
      <c r="E330" s="32" t="s">
        <v>159</v>
      </c>
      <c r="F330" s="32" t="s">
        <v>187</v>
      </c>
      <c r="G330" s="32" t="s">
        <v>660</v>
      </c>
      <c r="H330" s="32" t="s">
        <v>352</v>
      </c>
      <c r="I330" s="31" t="s">
        <v>382</v>
      </c>
      <c r="J330" s="31">
        <v>99</v>
      </c>
      <c r="K330" s="33" t="s">
        <v>703</v>
      </c>
      <c r="L330" s="33" t="s">
        <v>704</v>
      </c>
      <c r="M330" s="34" t="s">
        <v>705</v>
      </c>
      <c r="N330" s="34" t="s">
        <v>1708</v>
      </c>
      <c r="O330" s="35">
        <v>1</v>
      </c>
      <c r="P330" s="35"/>
      <c r="Q330" s="32"/>
      <c r="S330" s="1">
        <f t="shared" si="111"/>
        <v>0</v>
      </c>
      <c r="T330" s="1">
        <f t="shared" si="112"/>
        <v>0</v>
      </c>
      <c r="U330" s="1">
        <f t="shared" si="113"/>
        <v>0</v>
      </c>
      <c r="V330" s="1">
        <f t="shared" si="114"/>
        <v>0</v>
      </c>
      <c r="W330" s="1">
        <f t="shared" si="115"/>
        <v>0</v>
      </c>
      <c r="X330" s="1">
        <f t="shared" si="116"/>
        <v>0</v>
      </c>
      <c r="Y330" s="1">
        <f t="shared" si="117"/>
        <v>0</v>
      </c>
      <c r="Z330" s="1">
        <f t="shared" si="118"/>
        <v>0</v>
      </c>
      <c r="AA330" s="1">
        <f t="shared" si="119"/>
        <v>0</v>
      </c>
      <c r="AB330" s="1">
        <f t="shared" si="120"/>
        <v>0</v>
      </c>
      <c r="AD330" s="1">
        <f t="shared" si="127"/>
        <v>0</v>
      </c>
      <c r="AE330" s="1">
        <f t="shared" si="128"/>
        <v>1</v>
      </c>
      <c r="AF330" s="1">
        <f t="shared" si="129"/>
        <v>0</v>
      </c>
      <c r="AG330" s="1">
        <f t="shared" si="130"/>
        <v>1</v>
      </c>
      <c r="AH330" s="1">
        <f t="shared" si="131"/>
        <v>0</v>
      </c>
      <c r="AI330" s="1">
        <f t="shared" si="13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1272</v>
      </c>
      <c r="E331" s="32" t="s">
        <v>36</v>
      </c>
      <c r="F331" s="32" t="s">
        <v>1273</v>
      </c>
      <c r="G331" s="32" t="s">
        <v>257</v>
      </c>
      <c r="H331" s="32" t="s">
        <v>352</v>
      </c>
      <c r="I331" s="31" t="s">
        <v>1274</v>
      </c>
      <c r="J331" s="31">
        <v>8</v>
      </c>
      <c r="K331" s="33" t="s">
        <v>936</v>
      </c>
      <c r="L331" s="33" t="s">
        <v>704</v>
      </c>
      <c r="M331" s="34" t="s">
        <v>705</v>
      </c>
      <c r="N331" s="34" t="s">
        <v>1693</v>
      </c>
      <c r="O331" s="35">
        <v>1</v>
      </c>
      <c r="P331" s="35">
        <v>1</v>
      </c>
      <c r="Q331" s="32"/>
      <c r="S331" s="1">
        <f t="shared" si="111"/>
        <v>0</v>
      </c>
      <c r="T331" s="1">
        <f t="shared" si="112"/>
        <v>0</v>
      </c>
      <c r="U331" s="1">
        <f t="shared" si="113"/>
        <v>0</v>
      </c>
      <c r="V331" s="1">
        <f t="shared" si="114"/>
        <v>0</v>
      </c>
      <c r="W331" s="1">
        <f t="shared" si="115"/>
        <v>0</v>
      </c>
      <c r="X331" s="1">
        <f t="shared" si="116"/>
        <v>0</v>
      </c>
      <c r="Y331" s="1">
        <f t="shared" si="117"/>
        <v>0</v>
      </c>
      <c r="Z331" s="1">
        <f t="shared" si="118"/>
        <v>1</v>
      </c>
      <c r="AA331" s="1">
        <f t="shared" si="119"/>
        <v>0</v>
      </c>
      <c r="AB331" s="1">
        <f t="shared" si="120"/>
        <v>0</v>
      </c>
      <c r="AD331" s="1">
        <f t="shared" si="121"/>
        <v>1</v>
      </c>
      <c r="AE331" s="1">
        <f t="shared" si="122"/>
        <v>0</v>
      </c>
      <c r="AF331" s="1">
        <f t="shared" si="123"/>
        <v>1</v>
      </c>
      <c r="AG331" s="1">
        <f t="shared" si="124"/>
        <v>0</v>
      </c>
      <c r="AH331" s="1">
        <f t="shared" si="125"/>
        <v>1</v>
      </c>
      <c r="AI331" s="1">
        <f t="shared" si="126"/>
        <v>0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54</v>
      </c>
      <c r="E332" s="32" t="s">
        <v>555</v>
      </c>
      <c r="F332" s="32" t="s">
        <v>211</v>
      </c>
      <c r="G332" s="32" t="s">
        <v>212</v>
      </c>
      <c r="H332" s="32" t="s">
        <v>352</v>
      </c>
      <c r="I332" s="31" t="s">
        <v>391</v>
      </c>
      <c r="J332" s="31">
        <v>1</v>
      </c>
      <c r="K332" s="33" t="s">
        <v>932</v>
      </c>
      <c r="L332" s="33" t="s">
        <v>704</v>
      </c>
      <c r="M332" s="34" t="s">
        <v>39</v>
      </c>
      <c r="N332" s="34" t="s">
        <v>1696</v>
      </c>
      <c r="O332" s="35">
        <v>1</v>
      </c>
      <c r="P332" s="35"/>
      <c r="Q332" s="32"/>
      <c r="S332" s="1">
        <f t="shared" si="111"/>
        <v>1</v>
      </c>
      <c r="T332" s="1">
        <f t="shared" si="112"/>
        <v>0</v>
      </c>
      <c r="U332" s="1">
        <f t="shared" si="113"/>
        <v>0</v>
      </c>
      <c r="V332" s="1">
        <f t="shared" si="114"/>
        <v>0</v>
      </c>
      <c r="W332" s="1">
        <f t="shared" si="115"/>
        <v>0</v>
      </c>
      <c r="X332" s="1">
        <f t="shared" si="116"/>
        <v>0</v>
      </c>
      <c r="Y332" s="1">
        <f t="shared" si="117"/>
        <v>0</v>
      </c>
      <c r="Z332" s="1">
        <f t="shared" si="118"/>
        <v>0</v>
      </c>
      <c r="AA332" s="1">
        <f t="shared" si="119"/>
        <v>0</v>
      </c>
      <c r="AB332" s="1">
        <f t="shared" si="120"/>
        <v>0</v>
      </c>
      <c r="AD332" s="1">
        <f t="shared" si="121"/>
        <v>0</v>
      </c>
      <c r="AE332" s="1">
        <f t="shared" si="122"/>
        <v>1</v>
      </c>
      <c r="AF332" s="1">
        <f t="shared" si="123"/>
        <v>0</v>
      </c>
      <c r="AG332" s="1">
        <f t="shared" si="124"/>
        <v>1</v>
      </c>
      <c r="AH332" s="1">
        <f t="shared" si="125"/>
        <v>0</v>
      </c>
      <c r="AI332" s="1">
        <f t="shared" si="126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61</v>
      </c>
      <c r="E333" s="32" t="s">
        <v>539</v>
      </c>
      <c r="F333" s="32" t="s">
        <v>232</v>
      </c>
      <c r="G333" s="32" t="s">
        <v>203</v>
      </c>
      <c r="H333" s="32" t="s">
        <v>352</v>
      </c>
      <c r="I333" s="31" t="s">
        <v>399</v>
      </c>
      <c r="J333" s="31">
        <v>7</v>
      </c>
      <c r="K333" s="33" t="s">
        <v>703</v>
      </c>
      <c r="L333" s="33" t="s">
        <v>704</v>
      </c>
      <c r="M333" s="34" t="s">
        <v>705</v>
      </c>
      <c r="N333" s="34" t="s">
        <v>1713</v>
      </c>
      <c r="O333" s="35">
        <v>1</v>
      </c>
      <c r="P333" s="35"/>
      <c r="Q333" s="32"/>
      <c r="S333" s="1">
        <f t="shared" si="111"/>
        <v>0</v>
      </c>
      <c r="T333" s="1">
        <f t="shared" si="112"/>
        <v>0</v>
      </c>
      <c r="U333" s="1">
        <f t="shared" si="113"/>
        <v>0</v>
      </c>
      <c r="V333" s="1">
        <f t="shared" si="114"/>
        <v>0</v>
      </c>
      <c r="W333" s="1">
        <f t="shared" si="115"/>
        <v>0</v>
      </c>
      <c r="X333" s="1">
        <f t="shared" si="116"/>
        <v>0</v>
      </c>
      <c r="Y333" s="1">
        <f t="shared" si="117"/>
        <v>1</v>
      </c>
      <c r="Z333" s="1">
        <f t="shared" si="118"/>
        <v>0</v>
      </c>
      <c r="AA333" s="1">
        <f t="shared" si="119"/>
        <v>0</v>
      </c>
      <c r="AB333" s="1">
        <f t="shared" si="120"/>
        <v>0</v>
      </c>
      <c r="AD333" s="1">
        <f t="shared" si="121"/>
        <v>0</v>
      </c>
      <c r="AE333" s="1">
        <f t="shared" si="122"/>
        <v>1</v>
      </c>
      <c r="AF333" s="1">
        <f t="shared" si="123"/>
        <v>0</v>
      </c>
      <c r="AG333" s="1">
        <f t="shared" si="124"/>
        <v>1</v>
      </c>
      <c r="AH333" s="1">
        <f t="shared" si="125"/>
        <v>0</v>
      </c>
      <c r="AI333" s="1">
        <f t="shared" si="126"/>
        <v>1</v>
      </c>
    </row>
    <row r="334" spans="1:35" ht="14.25" customHeight="1" x14ac:dyDescent="0.25">
      <c r="A334" s="31">
        <v>0</v>
      </c>
      <c r="B334" s="31">
        <v>2</v>
      </c>
      <c r="C334" s="31">
        <v>1</v>
      </c>
      <c r="D334" s="32" t="s">
        <v>1608</v>
      </c>
      <c r="E334" s="32" t="s">
        <v>555</v>
      </c>
      <c r="F334" s="32" t="s">
        <v>1324</v>
      </c>
      <c r="G334" s="32" t="s">
        <v>1252</v>
      </c>
      <c r="H334" s="32" t="s">
        <v>352</v>
      </c>
      <c r="I334" s="31" t="s">
        <v>1139</v>
      </c>
      <c r="J334" s="31">
        <v>99</v>
      </c>
      <c r="K334" s="33" t="s">
        <v>703</v>
      </c>
      <c r="L334" s="33" t="s">
        <v>704</v>
      </c>
      <c r="M334" s="34" t="s">
        <v>705</v>
      </c>
      <c r="N334" s="34" t="s">
        <v>1700</v>
      </c>
      <c r="O334" s="35">
        <v>1</v>
      </c>
      <c r="P334" s="35"/>
      <c r="Q334" s="32" t="s">
        <v>1851</v>
      </c>
      <c r="S334" s="1">
        <f t="shared" si="111"/>
        <v>0</v>
      </c>
      <c r="T334" s="1">
        <f t="shared" si="112"/>
        <v>0</v>
      </c>
      <c r="U334" s="1">
        <f t="shared" si="113"/>
        <v>0</v>
      </c>
      <c r="V334" s="1">
        <f t="shared" si="114"/>
        <v>0</v>
      </c>
      <c r="W334" s="1">
        <f t="shared" si="115"/>
        <v>0</v>
      </c>
      <c r="X334" s="1">
        <f t="shared" si="116"/>
        <v>0</v>
      </c>
      <c r="Y334" s="1">
        <f t="shared" si="117"/>
        <v>0</v>
      </c>
      <c r="Z334" s="1">
        <f t="shared" si="118"/>
        <v>0</v>
      </c>
      <c r="AA334" s="1">
        <f t="shared" si="119"/>
        <v>0</v>
      </c>
      <c r="AB334" s="1">
        <f t="shared" si="120"/>
        <v>0</v>
      </c>
      <c r="AD334" s="1">
        <f t="shared" si="121"/>
        <v>0</v>
      </c>
      <c r="AE334" s="1">
        <f t="shared" si="122"/>
        <v>1</v>
      </c>
      <c r="AF334" s="1">
        <f t="shared" si="123"/>
        <v>0</v>
      </c>
      <c r="AG334" s="1">
        <f t="shared" si="124"/>
        <v>1</v>
      </c>
      <c r="AH334" s="1">
        <f t="shared" si="125"/>
        <v>0</v>
      </c>
      <c r="AI334" s="1">
        <f t="shared" si="126"/>
        <v>1</v>
      </c>
    </row>
    <row r="335" spans="1:35" ht="14.25" customHeight="1" x14ac:dyDescent="0.25">
      <c r="A335" s="31">
        <v>0</v>
      </c>
      <c r="B335" s="31">
        <v>2</v>
      </c>
      <c r="C335" s="31">
        <v>1</v>
      </c>
      <c r="D335" s="32" t="s">
        <v>1734</v>
      </c>
      <c r="E335" s="32" t="s">
        <v>1735</v>
      </c>
      <c r="F335" s="32" t="s">
        <v>1736</v>
      </c>
      <c r="G335" s="32" t="s">
        <v>1737</v>
      </c>
      <c r="H335" s="32" t="s">
        <v>352</v>
      </c>
      <c r="I335" s="31"/>
      <c r="J335" s="31">
        <v>1</v>
      </c>
      <c r="K335" s="33" t="s">
        <v>694</v>
      </c>
      <c r="L335" s="33"/>
      <c r="M335" s="34"/>
      <c r="N335" s="34" t="s">
        <v>1696</v>
      </c>
      <c r="O335" s="35">
        <v>1</v>
      </c>
      <c r="P335" s="35"/>
      <c r="Q335" s="32" t="s">
        <v>1859</v>
      </c>
      <c r="S335" s="1">
        <f t="shared" si="111"/>
        <v>1</v>
      </c>
      <c r="T335" s="1">
        <f t="shared" si="112"/>
        <v>0</v>
      </c>
      <c r="U335" s="1">
        <f t="shared" si="113"/>
        <v>0</v>
      </c>
      <c r="V335" s="1">
        <f t="shared" si="114"/>
        <v>0</v>
      </c>
      <c r="W335" s="1">
        <f t="shared" si="115"/>
        <v>0</v>
      </c>
      <c r="X335" s="1">
        <f t="shared" si="116"/>
        <v>0</v>
      </c>
      <c r="Y335" s="1">
        <f t="shared" si="117"/>
        <v>0</v>
      </c>
      <c r="Z335" s="1">
        <f t="shared" si="118"/>
        <v>0</v>
      </c>
      <c r="AA335" s="1">
        <f t="shared" si="119"/>
        <v>0</v>
      </c>
      <c r="AB335" s="1">
        <f t="shared" si="120"/>
        <v>0</v>
      </c>
      <c r="AD335" s="1">
        <f t="shared" si="121"/>
        <v>0</v>
      </c>
      <c r="AE335" s="1">
        <f t="shared" si="122"/>
        <v>1</v>
      </c>
      <c r="AF335" s="1">
        <f t="shared" si="123"/>
        <v>0</v>
      </c>
      <c r="AG335" s="1">
        <f t="shared" si="124"/>
        <v>1</v>
      </c>
      <c r="AH335" s="1">
        <f t="shared" si="125"/>
        <v>0</v>
      </c>
      <c r="AI335" s="1">
        <f t="shared" si="126"/>
        <v>1</v>
      </c>
    </row>
    <row r="336" spans="1:35" ht="14.25" customHeight="1" x14ac:dyDescent="0.25">
      <c r="A336" s="61">
        <v>0</v>
      </c>
      <c r="B336" s="61">
        <v>2</v>
      </c>
      <c r="C336" s="61">
        <v>1</v>
      </c>
      <c r="D336" s="62" t="s">
        <v>1286</v>
      </c>
      <c r="E336" s="62" t="s">
        <v>1306</v>
      </c>
      <c r="F336" s="62" t="s">
        <v>1269</v>
      </c>
      <c r="G336" s="62" t="s">
        <v>1270</v>
      </c>
      <c r="H336" s="62" t="s">
        <v>352</v>
      </c>
      <c r="I336" s="61" t="s">
        <v>1271</v>
      </c>
      <c r="J336" s="61">
        <v>99</v>
      </c>
      <c r="K336" s="63" t="s">
        <v>932</v>
      </c>
      <c r="L336" s="63" t="s">
        <v>704</v>
      </c>
      <c r="M336" s="64" t="s">
        <v>705</v>
      </c>
      <c r="N336" s="64" t="s">
        <v>1869</v>
      </c>
      <c r="O336" s="65">
        <v>1</v>
      </c>
      <c r="P336" s="65"/>
      <c r="Q336" s="62"/>
      <c r="S336" s="1">
        <f t="shared" si="111"/>
        <v>0</v>
      </c>
      <c r="T336" s="1">
        <f t="shared" si="112"/>
        <v>0</v>
      </c>
      <c r="U336" s="1">
        <f t="shared" si="113"/>
        <v>0</v>
      </c>
      <c r="V336" s="1">
        <f t="shared" si="114"/>
        <v>0</v>
      </c>
      <c r="W336" s="1">
        <f t="shared" si="115"/>
        <v>0</v>
      </c>
      <c r="X336" s="1">
        <f t="shared" si="116"/>
        <v>0</v>
      </c>
      <c r="Y336" s="1">
        <f t="shared" si="117"/>
        <v>0</v>
      </c>
      <c r="Z336" s="1">
        <f t="shared" si="118"/>
        <v>0</v>
      </c>
      <c r="AA336" s="1">
        <f t="shared" si="119"/>
        <v>0</v>
      </c>
      <c r="AB336" s="1">
        <f t="shared" si="120"/>
        <v>0</v>
      </c>
      <c r="AD336" s="1">
        <f t="shared" si="121"/>
        <v>0</v>
      </c>
      <c r="AE336" s="1">
        <f t="shared" si="122"/>
        <v>1</v>
      </c>
      <c r="AF336" s="1">
        <f t="shared" si="123"/>
        <v>0</v>
      </c>
      <c r="AG336" s="1">
        <f t="shared" si="124"/>
        <v>1</v>
      </c>
      <c r="AH336" s="1">
        <f t="shared" si="125"/>
        <v>0</v>
      </c>
      <c r="AI336" s="1">
        <f t="shared" si="126"/>
        <v>1</v>
      </c>
    </row>
    <row r="337" spans="1:35" ht="14.25" customHeight="1" x14ac:dyDescent="0.25">
      <c r="A337" s="15">
        <v>0</v>
      </c>
      <c r="B337" s="15">
        <v>2</v>
      </c>
      <c r="C337" s="15">
        <v>1</v>
      </c>
      <c r="D337" s="16" t="s">
        <v>1281</v>
      </c>
      <c r="E337" s="16" t="s">
        <v>159</v>
      </c>
      <c r="F337" s="16" t="s">
        <v>1283</v>
      </c>
      <c r="G337" s="16" t="s">
        <v>1284</v>
      </c>
      <c r="H337" s="16" t="s">
        <v>352</v>
      </c>
      <c r="I337" s="15" t="s">
        <v>1285</v>
      </c>
      <c r="J337" s="15">
        <v>8</v>
      </c>
      <c r="K337" s="10" t="s">
        <v>704</v>
      </c>
      <c r="L337" s="10" t="s">
        <v>704</v>
      </c>
      <c r="M337" s="19" t="s">
        <v>705</v>
      </c>
      <c r="N337" s="19"/>
      <c r="Q337" s="16"/>
      <c r="S337" s="1">
        <f t="shared" si="111"/>
        <v>0</v>
      </c>
      <c r="T337" s="1">
        <f t="shared" si="112"/>
        <v>0</v>
      </c>
      <c r="U337" s="1">
        <f t="shared" si="113"/>
        <v>0</v>
      </c>
      <c r="V337" s="1">
        <f t="shared" si="114"/>
        <v>0</v>
      </c>
      <c r="W337" s="1">
        <f t="shared" si="115"/>
        <v>0</v>
      </c>
      <c r="X337" s="1">
        <f t="shared" si="116"/>
        <v>0</v>
      </c>
      <c r="Y337" s="1">
        <f t="shared" si="117"/>
        <v>0</v>
      </c>
      <c r="Z337" s="1">
        <f t="shared" si="118"/>
        <v>1</v>
      </c>
      <c r="AA337" s="1">
        <f t="shared" si="119"/>
        <v>0</v>
      </c>
      <c r="AB337" s="1">
        <f t="shared" si="120"/>
        <v>0</v>
      </c>
      <c r="AD337" s="1">
        <f t="shared" si="121"/>
        <v>0</v>
      </c>
      <c r="AE337" s="1">
        <f t="shared" si="122"/>
        <v>0</v>
      </c>
      <c r="AF337" s="1">
        <f t="shared" si="123"/>
        <v>0</v>
      </c>
      <c r="AG337" s="1">
        <f t="shared" si="124"/>
        <v>0</v>
      </c>
      <c r="AH337" s="1">
        <f t="shared" si="125"/>
        <v>0</v>
      </c>
      <c r="AI337" s="1">
        <f t="shared" si="126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1607</v>
      </c>
      <c r="E338" s="32" t="s">
        <v>1140</v>
      </c>
      <c r="F338" s="32" t="s">
        <v>1640</v>
      </c>
      <c r="G338" s="32" t="s">
        <v>189</v>
      </c>
      <c r="H338" s="32" t="s">
        <v>352</v>
      </c>
      <c r="I338" s="31" t="s">
        <v>1568</v>
      </c>
      <c r="J338" s="31">
        <v>99</v>
      </c>
      <c r="K338" s="33" t="s">
        <v>704</v>
      </c>
      <c r="L338" s="33" t="s">
        <v>687</v>
      </c>
      <c r="M338" s="34" t="s">
        <v>1569</v>
      </c>
      <c r="N338" s="34" t="s">
        <v>1713</v>
      </c>
      <c r="O338" s="35">
        <v>1</v>
      </c>
      <c r="P338" s="35"/>
      <c r="Q338" s="32"/>
      <c r="S338" s="1">
        <f t="shared" si="111"/>
        <v>0</v>
      </c>
      <c r="T338" s="1">
        <f t="shared" si="112"/>
        <v>0</v>
      </c>
      <c r="U338" s="1">
        <f t="shared" si="113"/>
        <v>0</v>
      </c>
      <c r="V338" s="1">
        <f t="shared" si="114"/>
        <v>0</v>
      </c>
      <c r="W338" s="1">
        <f t="shared" si="115"/>
        <v>0</v>
      </c>
      <c r="X338" s="1">
        <f t="shared" si="116"/>
        <v>0</v>
      </c>
      <c r="Y338" s="1">
        <f t="shared" si="117"/>
        <v>0</v>
      </c>
      <c r="Z338" s="1">
        <f t="shared" si="118"/>
        <v>0</v>
      </c>
      <c r="AA338" s="1">
        <f t="shared" si="119"/>
        <v>0</v>
      </c>
      <c r="AB338" s="1">
        <f t="shared" si="120"/>
        <v>0</v>
      </c>
      <c r="AD338" s="1">
        <f t="shared" si="121"/>
        <v>0</v>
      </c>
      <c r="AE338" s="1">
        <f t="shared" si="122"/>
        <v>1</v>
      </c>
      <c r="AF338" s="1">
        <f t="shared" si="123"/>
        <v>0</v>
      </c>
      <c r="AG338" s="1">
        <f t="shared" si="124"/>
        <v>1</v>
      </c>
      <c r="AH338" s="1">
        <f t="shared" si="125"/>
        <v>0</v>
      </c>
      <c r="AI338" s="1">
        <f t="shared" si="126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65</v>
      </c>
      <c r="E339" s="32" t="s">
        <v>163</v>
      </c>
      <c r="F339" s="32" t="s">
        <v>242</v>
      </c>
      <c r="G339" s="32" t="s">
        <v>199</v>
      </c>
      <c r="H339" s="32" t="s">
        <v>352</v>
      </c>
      <c r="I339" s="31" t="s">
        <v>405</v>
      </c>
      <c r="J339" s="31">
        <v>2</v>
      </c>
      <c r="K339" s="33" t="s">
        <v>932</v>
      </c>
      <c r="L339" s="33" t="s">
        <v>687</v>
      </c>
      <c r="M339" s="34" t="s">
        <v>706</v>
      </c>
      <c r="N339" s="34" t="s">
        <v>1696</v>
      </c>
      <c r="O339" s="35">
        <v>1</v>
      </c>
      <c r="P339" s="35"/>
      <c r="Q339" s="32"/>
      <c r="S339" s="1">
        <f t="shared" si="111"/>
        <v>0</v>
      </c>
      <c r="T339" s="1">
        <f t="shared" si="112"/>
        <v>1</v>
      </c>
      <c r="U339" s="1">
        <f t="shared" si="113"/>
        <v>0</v>
      </c>
      <c r="V339" s="1">
        <f t="shared" si="114"/>
        <v>0</v>
      </c>
      <c r="W339" s="1">
        <f t="shared" si="115"/>
        <v>0</v>
      </c>
      <c r="X339" s="1">
        <f t="shared" si="116"/>
        <v>0</v>
      </c>
      <c r="Y339" s="1">
        <f t="shared" si="117"/>
        <v>0</v>
      </c>
      <c r="Z339" s="1">
        <f t="shared" si="118"/>
        <v>0</v>
      </c>
      <c r="AA339" s="1">
        <f t="shared" si="119"/>
        <v>0</v>
      </c>
      <c r="AB339" s="1">
        <f t="shared" si="120"/>
        <v>0</v>
      </c>
      <c r="AD339" s="1">
        <f t="shared" si="121"/>
        <v>0</v>
      </c>
      <c r="AE339" s="1">
        <f t="shared" si="122"/>
        <v>1</v>
      </c>
      <c r="AF339" s="1">
        <f t="shared" si="123"/>
        <v>0</v>
      </c>
      <c r="AG339" s="1">
        <f t="shared" si="124"/>
        <v>1</v>
      </c>
      <c r="AH339" s="1">
        <f t="shared" si="125"/>
        <v>0</v>
      </c>
      <c r="AI339" s="1">
        <f t="shared" si="126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1779</v>
      </c>
      <c r="E340" s="32" t="s">
        <v>1780</v>
      </c>
      <c r="F340" s="32" t="s">
        <v>1781</v>
      </c>
      <c r="G340" s="32" t="s">
        <v>195</v>
      </c>
      <c r="H340" s="32" t="s">
        <v>352</v>
      </c>
      <c r="I340" s="31" t="s">
        <v>1782</v>
      </c>
      <c r="J340" s="31"/>
      <c r="K340" s="33" t="s">
        <v>694</v>
      </c>
      <c r="L340" s="33">
        <v>20</v>
      </c>
      <c r="M340" s="34" t="s">
        <v>1783</v>
      </c>
      <c r="N340" s="34" t="s">
        <v>1700</v>
      </c>
      <c r="O340" s="35">
        <v>1</v>
      </c>
      <c r="P340" s="35"/>
      <c r="Q340" s="32"/>
      <c r="S340" s="1">
        <f t="shared" si="111"/>
        <v>0</v>
      </c>
      <c r="T340" s="1">
        <f t="shared" si="112"/>
        <v>0</v>
      </c>
      <c r="U340" s="1">
        <f t="shared" si="113"/>
        <v>0</v>
      </c>
      <c r="V340" s="1">
        <f t="shared" si="114"/>
        <v>0</v>
      </c>
      <c r="W340" s="1">
        <f t="shared" si="115"/>
        <v>0</v>
      </c>
      <c r="X340" s="1">
        <f t="shared" si="116"/>
        <v>0</v>
      </c>
      <c r="Y340" s="1">
        <f t="shared" si="117"/>
        <v>0</v>
      </c>
      <c r="Z340" s="1">
        <f t="shared" si="118"/>
        <v>0</v>
      </c>
      <c r="AA340" s="1">
        <f t="shared" si="119"/>
        <v>0</v>
      </c>
      <c r="AB340" s="1">
        <f t="shared" si="120"/>
        <v>0</v>
      </c>
      <c r="AD340" s="1">
        <f t="shared" si="121"/>
        <v>0</v>
      </c>
      <c r="AE340" s="1">
        <f t="shared" si="122"/>
        <v>1</v>
      </c>
      <c r="AF340" s="1">
        <f t="shared" si="123"/>
        <v>0</v>
      </c>
      <c r="AG340" s="1">
        <f t="shared" si="124"/>
        <v>1</v>
      </c>
      <c r="AH340" s="1">
        <f t="shared" si="125"/>
        <v>0</v>
      </c>
      <c r="AI340" s="1">
        <f t="shared" si="126"/>
        <v>1</v>
      </c>
    </row>
    <row r="341" spans="1:35" ht="14.25" customHeight="1" x14ac:dyDescent="0.25">
      <c r="A341" s="37">
        <v>0</v>
      </c>
      <c r="B341" s="37">
        <v>2</v>
      </c>
      <c r="C341" s="37">
        <v>2</v>
      </c>
      <c r="D341" s="36" t="s">
        <v>2086</v>
      </c>
      <c r="E341" s="36" t="s">
        <v>2084</v>
      </c>
      <c r="F341" s="36" t="s">
        <v>2085</v>
      </c>
      <c r="G341" s="36" t="s">
        <v>256</v>
      </c>
      <c r="H341" s="36" t="s">
        <v>352</v>
      </c>
      <c r="I341" s="37" t="s">
        <v>30</v>
      </c>
      <c r="J341" s="37">
        <v>2</v>
      </c>
      <c r="K341" s="33" t="s">
        <v>694</v>
      </c>
      <c r="L341" s="33"/>
      <c r="M341" s="34"/>
      <c r="N341" s="34" t="s">
        <v>1687</v>
      </c>
      <c r="O341" s="35">
        <v>1</v>
      </c>
      <c r="P341" s="35">
        <v>1</v>
      </c>
      <c r="Q341" s="36"/>
      <c r="S341" s="1">
        <f t="shared" si="111"/>
        <v>0</v>
      </c>
      <c r="T341" s="1">
        <f t="shared" si="112"/>
        <v>1</v>
      </c>
      <c r="U341" s="1">
        <f t="shared" si="113"/>
        <v>0</v>
      </c>
      <c r="V341" s="1">
        <f t="shared" si="114"/>
        <v>0</v>
      </c>
      <c r="W341" s="1">
        <f t="shared" si="115"/>
        <v>0</v>
      </c>
      <c r="X341" s="1">
        <f t="shared" si="116"/>
        <v>0</v>
      </c>
      <c r="Y341" s="1">
        <f t="shared" si="117"/>
        <v>0</v>
      </c>
      <c r="Z341" s="1">
        <f t="shared" si="118"/>
        <v>0</v>
      </c>
      <c r="AA341" s="1">
        <f t="shared" si="119"/>
        <v>0</v>
      </c>
      <c r="AB341" s="1">
        <f t="shared" si="120"/>
        <v>0</v>
      </c>
      <c r="AD341" s="1">
        <f t="shared" si="121"/>
        <v>1</v>
      </c>
      <c r="AE341" s="1">
        <f t="shared" si="122"/>
        <v>0</v>
      </c>
      <c r="AF341" s="1">
        <f t="shared" si="123"/>
        <v>1</v>
      </c>
      <c r="AG341" s="1">
        <f t="shared" si="124"/>
        <v>0</v>
      </c>
      <c r="AH341" s="1">
        <f t="shared" si="125"/>
        <v>1</v>
      </c>
      <c r="AI341" s="1">
        <f t="shared" si="126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1537</v>
      </c>
      <c r="E342" s="32" t="s">
        <v>1538</v>
      </c>
      <c r="F342" s="32" t="s">
        <v>1540</v>
      </c>
      <c r="G342" s="32" t="s">
        <v>1541</v>
      </c>
      <c r="H342" s="32" t="s">
        <v>352</v>
      </c>
      <c r="I342" s="31" t="s">
        <v>1539</v>
      </c>
      <c r="J342" s="31">
        <v>99</v>
      </c>
      <c r="K342" s="33" t="s">
        <v>694</v>
      </c>
      <c r="L342" s="33">
        <v>18</v>
      </c>
      <c r="M342" s="34" t="s">
        <v>1542</v>
      </c>
      <c r="N342" s="34" t="s">
        <v>1700</v>
      </c>
      <c r="O342" s="35">
        <v>1</v>
      </c>
      <c r="P342" s="35"/>
      <c r="Q342" s="32"/>
      <c r="S342" s="1">
        <f t="shared" ref="S342:S406" si="133">IF(J342=$S$7,1,0)</f>
        <v>0</v>
      </c>
      <c r="T342" s="1">
        <f t="shared" ref="T342:T406" si="134">IF(J342=$T$7,1,0)</f>
        <v>0</v>
      </c>
      <c r="U342" s="1">
        <f t="shared" ref="U342:U406" si="135">IF(J342=$U$7,1,0)</f>
        <v>0</v>
      </c>
      <c r="V342" s="1">
        <f t="shared" ref="V342:V406" si="136">IF(J342=$V$7,1,0)</f>
        <v>0</v>
      </c>
      <c r="W342" s="1">
        <f t="shared" ref="W342:W406" si="137">IF(J342=$W$7,1,0)</f>
        <v>0</v>
      </c>
      <c r="X342" s="1">
        <f t="shared" ref="X342:X406" si="138">IF(J342=$X$7,1,0)</f>
        <v>0</v>
      </c>
      <c r="Y342" s="1">
        <f t="shared" ref="Y342:Y406" si="139">IF(J342=$Y$7,1,0)</f>
        <v>0</v>
      </c>
      <c r="Z342" s="1">
        <f t="shared" ref="Z342:Z406" si="140">IF(J342=$Z$7,1,0)</f>
        <v>0</v>
      </c>
      <c r="AA342" s="1">
        <f t="shared" ref="AA342:AA406" si="141">IF(J342=$AA$7,1,0)</f>
        <v>0</v>
      </c>
      <c r="AB342" s="1">
        <f t="shared" ref="AB342:AB406" si="142">IF(J342=$AB$7,1,0)</f>
        <v>0</v>
      </c>
      <c r="AD342" s="1">
        <f t="shared" ref="AD342:AD406" si="143">+O342*P342</f>
        <v>0</v>
      </c>
      <c r="AE342" s="1">
        <f t="shared" ref="AE342:AE406" si="144">O342*(1-P342)</f>
        <v>1</v>
      </c>
      <c r="AF342" s="1">
        <f t="shared" si="123"/>
        <v>0</v>
      </c>
      <c r="AG342" s="1">
        <f t="shared" si="124"/>
        <v>1</v>
      </c>
      <c r="AH342" s="1">
        <f t="shared" si="125"/>
        <v>0</v>
      </c>
      <c r="AI342" s="1">
        <f t="shared" si="126"/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64</v>
      </c>
      <c r="E343" s="32" t="s">
        <v>33</v>
      </c>
      <c r="F343" s="32" t="s">
        <v>240</v>
      </c>
      <c r="G343" s="32" t="s">
        <v>241</v>
      </c>
      <c r="H343" s="32" t="s">
        <v>352</v>
      </c>
      <c r="I343" s="31" t="s">
        <v>404</v>
      </c>
      <c r="J343" s="31">
        <v>1</v>
      </c>
      <c r="K343" s="33" t="s">
        <v>938</v>
      </c>
      <c r="L343" s="33" t="s">
        <v>707</v>
      </c>
      <c r="M343" s="34" t="s">
        <v>708</v>
      </c>
      <c r="N343" s="34" t="s">
        <v>1696</v>
      </c>
      <c r="O343" s="35">
        <v>1</v>
      </c>
      <c r="P343" s="35"/>
      <c r="Q343" s="32"/>
      <c r="S343" s="1">
        <f t="shared" si="133"/>
        <v>1</v>
      </c>
      <c r="T343" s="1">
        <f t="shared" si="134"/>
        <v>0</v>
      </c>
      <c r="U343" s="1">
        <f t="shared" si="135"/>
        <v>0</v>
      </c>
      <c r="V343" s="1">
        <f t="shared" si="136"/>
        <v>0</v>
      </c>
      <c r="W343" s="1">
        <f t="shared" si="137"/>
        <v>0</v>
      </c>
      <c r="X343" s="1">
        <f t="shared" si="138"/>
        <v>0</v>
      </c>
      <c r="Y343" s="1">
        <f t="shared" si="139"/>
        <v>0</v>
      </c>
      <c r="Z343" s="1">
        <f t="shared" si="140"/>
        <v>0</v>
      </c>
      <c r="AA343" s="1">
        <f t="shared" si="141"/>
        <v>0</v>
      </c>
      <c r="AB343" s="1">
        <f t="shared" si="142"/>
        <v>0</v>
      </c>
      <c r="AD343" s="1">
        <f t="shared" si="143"/>
        <v>0</v>
      </c>
      <c r="AE343" s="1">
        <f t="shared" si="144"/>
        <v>1</v>
      </c>
      <c r="AF343" s="1">
        <f t="shared" ref="AF343:AF407" si="145">+O343*P343*(1-A343)</f>
        <v>0</v>
      </c>
      <c r="AG343" s="1">
        <f t="shared" ref="AG343:AG407" si="146">O343*(1-P343)*(1-A343)</f>
        <v>1</v>
      </c>
      <c r="AH343" s="1">
        <f t="shared" ref="AH343:AH407" si="147">+P343*(1-A343)</f>
        <v>0</v>
      </c>
      <c r="AI343" s="1">
        <f t="shared" ref="AI343:AI407" si="148">+(1-A343)*(1-P343)</f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62</v>
      </c>
      <c r="E344" s="32" t="s">
        <v>1063</v>
      </c>
      <c r="F344" s="32" t="s">
        <v>233</v>
      </c>
      <c r="G344" s="32" t="s">
        <v>234</v>
      </c>
      <c r="H344" s="32" t="s">
        <v>352</v>
      </c>
      <c r="I344" s="31" t="s">
        <v>1331</v>
      </c>
      <c r="J344" s="31">
        <v>99</v>
      </c>
      <c r="K344" s="33" t="s">
        <v>932</v>
      </c>
      <c r="L344" s="33" t="s">
        <v>707</v>
      </c>
      <c r="M344" s="34" t="s">
        <v>709</v>
      </c>
      <c r="N344" s="34" t="s">
        <v>1696</v>
      </c>
      <c r="O344" s="35">
        <v>1</v>
      </c>
      <c r="P344" s="35"/>
      <c r="Q344" s="32"/>
      <c r="S344" s="1">
        <f t="shared" si="133"/>
        <v>0</v>
      </c>
      <c r="T344" s="1">
        <f t="shared" si="134"/>
        <v>0</v>
      </c>
      <c r="U344" s="1">
        <f t="shared" si="135"/>
        <v>0</v>
      </c>
      <c r="V344" s="1">
        <f t="shared" si="136"/>
        <v>0</v>
      </c>
      <c r="W344" s="1">
        <f t="shared" si="137"/>
        <v>0</v>
      </c>
      <c r="X344" s="1">
        <f t="shared" si="138"/>
        <v>0</v>
      </c>
      <c r="Y344" s="1">
        <f t="shared" si="139"/>
        <v>0</v>
      </c>
      <c r="Z344" s="1">
        <f t="shared" si="140"/>
        <v>0</v>
      </c>
      <c r="AA344" s="1">
        <f t="shared" si="141"/>
        <v>0</v>
      </c>
      <c r="AB344" s="1">
        <f t="shared" si="142"/>
        <v>0</v>
      </c>
      <c r="AD344" s="1">
        <f t="shared" si="143"/>
        <v>0</v>
      </c>
      <c r="AE344" s="1">
        <f t="shared" si="144"/>
        <v>1</v>
      </c>
      <c r="AF344" s="1">
        <f t="shared" si="145"/>
        <v>0</v>
      </c>
      <c r="AG344" s="1">
        <f t="shared" si="146"/>
        <v>1</v>
      </c>
      <c r="AH344" s="1">
        <f t="shared" si="147"/>
        <v>0</v>
      </c>
      <c r="AI344" s="1">
        <f t="shared" si="148"/>
        <v>1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1676</v>
      </c>
      <c r="E345" s="32" t="s">
        <v>1678</v>
      </c>
      <c r="F345" s="32" t="s">
        <v>1677</v>
      </c>
      <c r="G345" s="32"/>
      <c r="H345" s="32" t="s">
        <v>352</v>
      </c>
      <c r="I345" s="31" t="s">
        <v>1679</v>
      </c>
      <c r="J345" s="31"/>
      <c r="K345" s="33" t="s">
        <v>694</v>
      </c>
      <c r="L345" s="33"/>
      <c r="M345" s="34"/>
      <c r="N345" s="34" t="s">
        <v>1687</v>
      </c>
      <c r="O345" s="35">
        <v>1</v>
      </c>
      <c r="P345" s="35">
        <v>1</v>
      </c>
      <c r="Q345" s="32"/>
      <c r="S345" s="1">
        <f t="shared" si="133"/>
        <v>0</v>
      </c>
      <c r="T345" s="1">
        <f t="shared" si="134"/>
        <v>0</v>
      </c>
      <c r="U345" s="1">
        <f t="shared" si="135"/>
        <v>0</v>
      </c>
      <c r="V345" s="1">
        <f t="shared" si="136"/>
        <v>0</v>
      </c>
      <c r="W345" s="1">
        <f t="shared" si="137"/>
        <v>0</v>
      </c>
      <c r="X345" s="1">
        <f t="shared" si="138"/>
        <v>0</v>
      </c>
      <c r="Y345" s="1">
        <f t="shared" si="139"/>
        <v>0</v>
      </c>
      <c r="Z345" s="1">
        <f t="shared" si="140"/>
        <v>0</v>
      </c>
      <c r="AA345" s="1">
        <f t="shared" si="141"/>
        <v>0</v>
      </c>
      <c r="AB345" s="1">
        <f t="shared" si="142"/>
        <v>0</v>
      </c>
      <c r="AD345" s="1">
        <f t="shared" si="143"/>
        <v>1</v>
      </c>
      <c r="AE345" s="1">
        <f t="shared" si="144"/>
        <v>0</v>
      </c>
      <c r="AF345" s="1">
        <f t="shared" si="145"/>
        <v>1</v>
      </c>
      <c r="AG345" s="1">
        <f t="shared" si="146"/>
        <v>0</v>
      </c>
      <c r="AH345" s="1">
        <f t="shared" si="147"/>
        <v>1</v>
      </c>
      <c r="AI345" s="1">
        <f t="shared" si="14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768</v>
      </c>
      <c r="E346" s="32" t="s">
        <v>888</v>
      </c>
      <c r="F346" s="32" t="s">
        <v>1532</v>
      </c>
      <c r="G346" s="32" t="s">
        <v>229</v>
      </c>
      <c r="H346" s="32" t="s">
        <v>352</v>
      </c>
      <c r="I346" s="31" t="s">
        <v>1654</v>
      </c>
      <c r="J346" s="31">
        <v>7</v>
      </c>
      <c r="K346" s="33" t="s">
        <v>704</v>
      </c>
      <c r="L346" s="33">
        <v>20</v>
      </c>
      <c r="M346" s="34" t="s">
        <v>39</v>
      </c>
      <c r="N346" s="34" t="s">
        <v>1701</v>
      </c>
      <c r="O346" s="35">
        <v>1</v>
      </c>
      <c r="P346" s="35"/>
      <c r="Q346" s="32"/>
      <c r="S346" s="1">
        <f t="shared" si="133"/>
        <v>0</v>
      </c>
      <c r="T346" s="1">
        <f t="shared" si="134"/>
        <v>0</v>
      </c>
      <c r="U346" s="1">
        <f t="shared" si="135"/>
        <v>0</v>
      </c>
      <c r="V346" s="1">
        <f t="shared" si="136"/>
        <v>0</v>
      </c>
      <c r="W346" s="1">
        <f t="shared" si="137"/>
        <v>0</v>
      </c>
      <c r="X346" s="1">
        <f t="shared" si="138"/>
        <v>0</v>
      </c>
      <c r="Y346" s="1">
        <f t="shared" si="139"/>
        <v>1</v>
      </c>
      <c r="Z346" s="1">
        <f t="shared" si="140"/>
        <v>0</v>
      </c>
      <c r="AA346" s="1">
        <f t="shared" si="141"/>
        <v>0</v>
      </c>
      <c r="AB346" s="1">
        <f t="shared" si="142"/>
        <v>0</v>
      </c>
      <c r="AD346" s="1">
        <f t="shared" si="143"/>
        <v>0</v>
      </c>
      <c r="AE346" s="1">
        <f t="shared" si="144"/>
        <v>1</v>
      </c>
      <c r="AF346" s="1">
        <f t="shared" si="145"/>
        <v>0</v>
      </c>
      <c r="AG346" s="1">
        <f t="shared" si="146"/>
        <v>1</v>
      </c>
      <c r="AH346" s="1">
        <f t="shared" si="147"/>
        <v>0</v>
      </c>
      <c r="AI346" s="1">
        <f t="shared" si="14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833</v>
      </c>
      <c r="E347" s="32" t="s">
        <v>537</v>
      </c>
      <c r="F347" s="32" t="s">
        <v>835</v>
      </c>
      <c r="G347" s="32" t="s">
        <v>219</v>
      </c>
      <c r="H347" s="32" t="s">
        <v>352</v>
      </c>
      <c r="I347" s="31" t="s">
        <v>836</v>
      </c>
      <c r="J347" s="31">
        <v>8</v>
      </c>
      <c r="K347" s="33" t="s">
        <v>704</v>
      </c>
      <c r="L347" s="33" t="s">
        <v>707</v>
      </c>
      <c r="M347" s="34" t="s">
        <v>1377</v>
      </c>
      <c r="N347" s="34" t="s">
        <v>1696</v>
      </c>
      <c r="O347" s="35">
        <v>1</v>
      </c>
      <c r="P347" s="35"/>
      <c r="Q347" s="32"/>
      <c r="S347" s="1">
        <f t="shared" si="133"/>
        <v>0</v>
      </c>
      <c r="T347" s="1">
        <f t="shared" si="134"/>
        <v>0</v>
      </c>
      <c r="U347" s="1">
        <f t="shared" si="135"/>
        <v>0</v>
      </c>
      <c r="V347" s="1">
        <f t="shared" si="136"/>
        <v>0</v>
      </c>
      <c r="W347" s="1">
        <f t="shared" si="137"/>
        <v>0</v>
      </c>
      <c r="X347" s="1">
        <f t="shared" si="138"/>
        <v>0</v>
      </c>
      <c r="Y347" s="1">
        <f t="shared" si="139"/>
        <v>0</v>
      </c>
      <c r="Z347" s="1">
        <f t="shared" si="140"/>
        <v>1</v>
      </c>
      <c r="AA347" s="1">
        <f t="shared" si="141"/>
        <v>0</v>
      </c>
      <c r="AB347" s="1">
        <f t="shared" si="142"/>
        <v>0</v>
      </c>
      <c r="AD347" s="1">
        <f t="shared" si="143"/>
        <v>0</v>
      </c>
      <c r="AE347" s="1">
        <f t="shared" si="144"/>
        <v>1</v>
      </c>
      <c r="AF347" s="1">
        <f t="shared" si="145"/>
        <v>0</v>
      </c>
      <c r="AG347" s="1">
        <f t="shared" si="146"/>
        <v>1</v>
      </c>
      <c r="AH347" s="1">
        <f t="shared" si="147"/>
        <v>0</v>
      </c>
      <c r="AI347" s="1">
        <f t="shared" si="148"/>
        <v>1</v>
      </c>
    </row>
    <row r="348" spans="1:35" ht="14.25" customHeight="1" x14ac:dyDescent="0.25">
      <c r="A348" s="31">
        <v>1</v>
      </c>
      <c r="B348" s="31">
        <v>2</v>
      </c>
      <c r="C348" s="31">
        <v>2</v>
      </c>
      <c r="D348" s="32" t="s">
        <v>833</v>
      </c>
      <c r="E348" s="32" t="s">
        <v>537</v>
      </c>
      <c r="F348" s="32" t="s">
        <v>1320</v>
      </c>
      <c r="G348" s="32" t="s">
        <v>193</v>
      </c>
      <c r="H348" s="32" t="s">
        <v>352</v>
      </c>
      <c r="I348" s="31" t="s">
        <v>834</v>
      </c>
      <c r="J348" s="31">
        <v>9</v>
      </c>
      <c r="K348" s="33" t="s">
        <v>704</v>
      </c>
      <c r="L348" s="33" t="s">
        <v>707</v>
      </c>
      <c r="M348" s="34" t="s">
        <v>1377</v>
      </c>
      <c r="N348" s="34" t="s">
        <v>1696</v>
      </c>
      <c r="O348" s="35">
        <v>1</v>
      </c>
      <c r="P348" s="35"/>
      <c r="Q348" s="32"/>
      <c r="S348" s="1">
        <f t="shared" si="133"/>
        <v>0</v>
      </c>
      <c r="T348" s="1">
        <f t="shared" si="134"/>
        <v>0</v>
      </c>
      <c r="U348" s="1">
        <f t="shared" si="135"/>
        <v>0</v>
      </c>
      <c r="V348" s="1">
        <f t="shared" si="136"/>
        <v>0</v>
      </c>
      <c r="W348" s="1">
        <f t="shared" si="137"/>
        <v>0</v>
      </c>
      <c r="X348" s="1">
        <f t="shared" si="138"/>
        <v>0</v>
      </c>
      <c r="Y348" s="1">
        <f t="shared" si="139"/>
        <v>0</v>
      </c>
      <c r="Z348" s="1">
        <f t="shared" si="140"/>
        <v>0</v>
      </c>
      <c r="AA348" s="1">
        <f t="shared" si="141"/>
        <v>1</v>
      </c>
      <c r="AB348" s="1">
        <f t="shared" si="142"/>
        <v>0</v>
      </c>
      <c r="AD348" s="1">
        <f t="shared" si="143"/>
        <v>0</v>
      </c>
      <c r="AE348" s="1">
        <f t="shared" si="144"/>
        <v>1</v>
      </c>
      <c r="AF348" s="1">
        <f t="shared" si="145"/>
        <v>0</v>
      </c>
      <c r="AG348" s="1">
        <f t="shared" si="146"/>
        <v>0</v>
      </c>
      <c r="AH348" s="1">
        <f t="shared" si="147"/>
        <v>0</v>
      </c>
      <c r="AI348" s="1">
        <f t="shared" si="14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897</v>
      </c>
      <c r="E349" s="32" t="s">
        <v>766</v>
      </c>
      <c r="F349" s="32" t="s">
        <v>767</v>
      </c>
      <c r="G349" s="32" t="s">
        <v>229</v>
      </c>
      <c r="H349" s="32" t="s">
        <v>352</v>
      </c>
      <c r="I349" s="31" t="s">
        <v>769</v>
      </c>
      <c r="J349" s="31">
        <v>7</v>
      </c>
      <c r="K349" s="33" t="s">
        <v>703</v>
      </c>
      <c r="L349" s="33">
        <v>15</v>
      </c>
      <c r="M349" s="34" t="s">
        <v>39</v>
      </c>
      <c r="N349" s="34" t="s">
        <v>1696</v>
      </c>
      <c r="O349" s="35">
        <v>1</v>
      </c>
      <c r="P349" s="35"/>
      <c r="Q349" s="32"/>
      <c r="S349" s="1">
        <f t="shared" si="133"/>
        <v>0</v>
      </c>
      <c r="T349" s="1">
        <f t="shared" si="134"/>
        <v>0</v>
      </c>
      <c r="U349" s="1">
        <f t="shared" si="135"/>
        <v>0</v>
      </c>
      <c r="V349" s="1">
        <f t="shared" si="136"/>
        <v>0</v>
      </c>
      <c r="W349" s="1">
        <f t="shared" si="137"/>
        <v>0</v>
      </c>
      <c r="X349" s="1">
        <f t="shared" si="138"/>
        <v>0</v>
      </c>
      <c r="Y349" s="1">
        <f t="shared" si="139"/>
        <v>1</v>
      </c>
      <c r="Z349" s="1">
        <f t="shared" si="140"/>
        <v>0</v>
      </c>
      <c r="AA349" s="1">
        <f t="shared" si="141"/>
        <v>0</v>
      </c>
      <c r="AB349" s="1">
        <f t="shared" si="142"/>
        <v>0</v>
      </c>
      <c r="AD349" s="1">
        <f t="shared" si="143"/>
        <v>0</v>
      </c>
      <c r="AE349" s="1">
        <f t="shared" si="144"/>
        <v>1</v>
      </c>
      <c r="AF349" s="1">
        <f t="shared" si="145"/>
        <v>0</v>
      </c>
      <c r="AG349" s="1">
        <f t="shared" si="146"/>
        <v>1</v>
      </c>
      <c r="AH349" s="1">
        <f t="shared" si="147"/>
        <v>0</v>
      </c>
      <c r="AI349" s="1">
        <f t="shared" si="148"/>
        <v>1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83</v>
      </c>
      <c r="E350" s="32" t="s">
        <v>156</v>
      </c>
      <c r="F350" s="32" t="s">
        <v>1823</v>
      </c>
      <c r="G350" s="32" t="s">
        <v>208</v>
      </c>
      <c r="H350" s="32" t="s">
        <v>352</v>
      </c>
      <c r="I350" s="31" t="s">
        <v>430</v>
      </c>
      <c r="J350" s="31">
        <v>99</v>
      </c>
      <c r="K350" s="33" t="s">
        <v>931</v>
      </c>
      <c r="L350" s="33" t="s">
        <v>695</v>
      </c>
      <c r="M350" s="34" t="s">
        <v>710</v>
      </c>
      <c r="N350" s="34" t="s">
        <v>1696</v>
      </c>
      <c r="O350" s="35">
        <v>1</v>
      </c>
      <c r="P350" s="35"/>
      <c r="Q350" s="32"/>
      <c r="S350" s="1">
        <f t="shared" si="133"/>
        <v>0</v>
      </c>
      <c r="T350" s="1">
        <f t="shared" si="134"/>
        <v>0</v>
      </c>
      <c r="U350" s="1">
        <f t="shared" si="135"/>
        <v>0</v>
      </c>
      <c r="V350" s="1">
        <f t="shared" si="136"/>
        <v>0</v>
      </c>
      <c r="W350" s="1">
        <f t="shared" si="137"/>
        <v>0</v>
      </c>
      <c r="X350" s="1">
        <f t="shared" si="138"/>
        <v>0</v>
      </c>
      <c r="Y350" s="1">
        <f t="shared" si="139"/>
        <v>0</v>
      </c>
      <c r="Z350" s="1">
        <f t="shared" si="140"/>
        <v>0</v>
      </c>
      <c r="AA350" s="1">
        <f t="shared" si="141"/>
        <v>0</v>
      </c>
      <c r="AB350" s="1">
        <f t="shared" si="142"/>
        <v>0</v>
      </c>
      <c r="AD350" s="1">
        <f t="shared" si="143"/>
        <v>0</v>
      </c>
      <c r="AE350" s="1">
        <f t="shared" si="144"/>
        <v>1</v>
      </c>
      <c r="AF350" s="1">
        <f t="shared" si="145"/>
        <v>0</v>
      </c>
      <c r="AG350" s="1">
        <f t="shared" si="146"/>
        <v>1</v>
      </c>
      <c r="AH350" s="1">
        <f t="shared" si="147"/>
        <v>0</v>
      </c>
      <c r="AI350" s="1">
        <f t="shared" si="148"/>
        <v>1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1525</v>
      </c>
      <c r="E351" s="32" t="s">
        <v>1302</v>
      </c>
      <c r="F351" s="32" t="s">
        <v>1526</v>
      </c>
      <c r="G351" s="32" t="s">
        <v>1138</v>
      </c>
      <c r="H351" s="32" t="s">
        <v>352</v>
      </c>
      <c r="I351" s="31" t="s">
        <v>1527</v>
      </c>
      <c r="J351" s="31">
        <v>1</v>
      </c>
      <c r="K351" s="33" t="s">
        <v>704</v>
      </c>
      <c r="L351" s="33" t="s">
        <v>39</v>
      </c>
      <c r="M351" s="34" t="s">
        <v>39</v>
      </c>
      <c r="N351" s="34" t="s">
        <v>1687</v>
      </c>
      <c r="O351" s="35">
        <v>1</v>
      </c>
      <c r="P351" s="35">
        <v>1</v>
      </c>
      <c r="Q351" s="32"/>
      <c r="S351" s="1">
        <f t="shared" si="133"/>
        <v>1</v>
      </c>
      <c r="T351" s="1">
        <f t="shared" si="134"/>
        <v>0</v>
      </c>
      <c r="U351" s="1">
        <f t="shared" si="135"/>
        <v>0</v>
      </c>
      <c r="V351" s="1">
        <f t="shared" si="136"/>
        <v>0</v>
      </c>
      <c r="W351" s="1">
        <f t="shared" si="137"/>
        <v>0</v>
      </c>
      <c r="X351" s="1">
        <f t="shared" si="138"/>
        <v>0</v>
      </c>
      <c r="Y351" s="1">
        <f t="shared" si="139"/>
        <v>0</v>
      </c>
      <c r="Z351" s="1">
        <f t="shared" si="140"/>
        <v>0</v>
      </c>
      <c r="AA351" s="1">
        <f t="shared" si="141"/>
        <v>0</v>
      </c>
      <c r="AB351" s="1">
        <f t="shared" si="142"/>
        <v>0</v>
      </c>
      <c r="AD351" s="1">
        <f t="shared" si="143"/>
        <v>1</v>
      </c>
      <c r="AE351" s="1">
        <f t="shared" si="144"/>
        <v>0</v>
      </c>
      <c r="AF351" s="1">
        <f t="shared" si="145"/>
        <v>1</v>
      </c>
      <c r="AG351" s="1">
        <f t="shared" si="146"/>
        <v>0</v>
      </c>
      <c r="AH351" s="1">
        <f t="shared" si="147"/>
        <v>1</v>
      </c>
      <c r="AI351" s="1">
        <f t="shared" si="148"/>
        <v>0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1697</v>
      </c>
      <c r="E352" s="32" t="s">
        <v>27</v>
      </c>
      <c r="F352" s="32" t="s">
        <v>1021</v>
      </c>
      <c r="G352" s="32" t="s">
        <v>219</v>
      </c>
      <c r="H352" s="32" t="s">
        <v>352</v>
      </c>
      <c r="I352" s="31" t="s">
        <v>1022</v>
      </c>
      <c r="J352" s="31">
        <v>8</v>
      </c>
      <c r="K352" s="33" t="s">
        <v>704</v>
      </c>
      <c r="L352" s="33">
        <v>25</v>
      </c>
      <c r="M352" s="34" t="s">
        <v>1698</v>
      </c>
      <c r="N352" s="34" t="s">
        <v>1687</v>
      </c>
      <c r="O352" s="35">
        <v>1</v>
      </c>
      <c r="P352" s="35">
        <v>1</v>
      </c>
      <c r="Q352" s="32"/>
      <c r="S352" s="1">
        <f t="shared" si="133"/>
        <v>0</v>
      </c>
      <c r="T352" s="1">
        <f t="shared" si="134"/>
        <v>0</v>
      </c>
      <c r="U352" s="1">
        <f t="shared" si="135"/>
        <v>0</v>
      </c>
      <c r="V352" s="1">
        <f t="shared" si="136"/>
        <v>0</v>
      </c>
      <c r="W352" s="1">
        <f t="shared" si="137"/>
        <v>0</v>
      </c>
      <c r="X352" s="1">
        <f t="shared" si="138"/>
        <v>0</v>
      </c>
      <c r="Y352" s="1">
        <f t="shared" si="139"/>
        <v>0</v>
      </c>
      <c r="Z352" s="1">
        <f t="shared" si="140"/>
        <v>1</v>
      </c>
      <c r="AA352" s="1">
        <f t="shared" si="141"/>
        <v>0</v>
      </c>
      <c r="AB352" s="1">
        <f t="shared" si="142"/>
        <v>0</v>
      </c>
      <c r="AD352" s="1">
        <f t="shared" si="143"/>
        <v>1</v>
      </c>
      <c r="AE352" s="1">
        <f t="shared" si="144"/>
        <v>0</v>
      </c>
      <c r="AF352" s="1">
        <f t="shared" si="145"/>
        <v>1</v>
      </c>
      <c r="AG352" s="1">
        <f t="shared" si="146"/>
        <v>0</v>
      </c>
      <c r="AH352" s="1">
        <f t="shared" si="147"/>
        <v>1</v>
      </c>
      <c r="AI352" s="1">
        <f t="shared" si="14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45</v>
      </c>
      <c r="E353" s="32" t="s">
        <v>44</v>
      </c>
      <c r="F353" s="32" t="s">
        <v>661</v>
      </c>
      <c r="G353" s="32" t="s">
        <v>179</v>
      </c>
      <c r="H353" s="32" t="s">
        <v>352</v>
      </c>
      <c r="I353" s="31" t="s">
        <v>927</v>
      </c>
      <c r="J353" s="31">
        <v>10</v>
      </c>
      <c r="K353" s="33" t="s">
        <v>704</v>
      </c>
      <c r="L353" s="33" t="s">
        <v>711</v>
      </c>
      <c r="M353" s="34" t="s">
        <v>712</v>
      </c>
      <c r="N353" s="34" t="s">
        <v>1687</v>
      </c>
      <c r="O353" s="35">
        <v>1</v>
      </c>
      <c r="P353" s="35">
        <v>1</v>
      </c>
      <c r="Q353" s="32"/>
      <c r="S353" s="1">
        <f t="shared" si="133"/>
        <v>0</v>
      </c>
      <c r="T353" s="1">
        <f t="shared" si="134"/>
        <v>0</v>
      </c>
      <c r="U353" s="1">
        <f t="shared" si="135"/>
        <v>0</v>
      </c>
      <c r="V353" s="1">
        <f t="shared" si="136"/>
        <v>0</v>
      </c>
      <c r="W353" s="1">
        <f t="shared" si="137"/>
        <v>0</v>
      </c>
      <c r="X353" s="1">
        <f t="shared" si="138"/>
        <v>0</v>
      </c>
      <c r="Y353" s="1">
        <f t="shared" si="139"/>
        <v>0</v>
      </c>
      <c r="Z353" s="1">
        <f t="shared" si="140"/>
        <v>0</v>
      </c>
      <c r="AA353" s="1">
        <f t="shared" si="141"/>
        <v>0</v>
      </c>
      <c r="AB353" s="1">
        <f t="shared" si="142"/>
        <v>1</v>
      </c>
      <c r="AD353" s="1">
        <f t="shared" si="143"/>
        <v>1</v>
      </c>
      <c r="AE353" s="1">
        <f t="shared" si="144"/>
        <v>0</v>
      </c>
      <c r="AF353" s="1">
        <f t="shared" si="145"/>
        <v>1</v>
      </c>
      <c r="AG353" s="1">
        <f t="shared" si="146"/>
        <v>0</v>
      </c>
      <c r="AH353" s="1">
        <f t="shared" si="147"/>
        <v>1</v>
      </c>
      <c r="AI353" s="1">
        <f t="shared" si="148"/>
        <v>0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1411</v>
      </c>
      <c r="E354" s="32" t="s">
        <v>1614</v>
      </c>
      <c r="F354" s="32" t="s">
        <v>1629</v>
      </c>
      <c r="G354" s="32" t="s">
        <v>229</v>
      </c>
      <c r="H354" s="32" t="s">
        <v>352</v>
      </c>
      <c r="I354" s="31" t="s">
        <v>1412</v>
      </c>
      <c r="J354" s="31">
        <v>99</v>
      </c>
      <c r="K354" s="33" t="s">
        <v>932</v>
      </c>
      <c r="L354" s="33">
        <v>20</v>
      </c>
      <c r="M354" s="34" t="s">
        <v>39</v>
      </c>
      <c r="N354" s="34" t="s">
        <v>1687</v>
      </c>
      <c r="O354" s="35">
        <v>1</v>
      </c>
      <c r="P354" s="35">
        <v>1</v>
      </c>
      <c r="Q354" s="32"/>
      <c r="S354" s="1">
        <f t="shared" si="133"/>
        <v>0</v>
      </c>
      <c r="T354" s="1">
        <f t="shared" si="134"/>
        <v>0</v>
      </c>
      <c r="U354" s="1">
        <f t="shared" si="135"/>
        <v>0</v>
      </c>
      <c r="V354" s="1">
        <f t="shared" si="136"/>
        <v>0</v>
      </c>
      <c r="W354" s="1">
        <f t="shared" si="137"/>
        <v>0</v>
      </c>
      <c r="X354" s="1">
        <f t="shared" si="138"/>
        <v>0</v>
      </c>
      <c r="Y354" s="1">
        <f t="shared" si="139"/>
        <v>0</v>
      </c>
      <c r="Z354" s="1">
        <f t="shared" si="140"/>
        <v>0</v>
      </c>
      <c r="AA354" s="1">
        <f t="shared" si="141"/>
        <v>0</v>
      </c>
      <c r="AB354" s="1">
        <f t="shared" si="142"/>
        <v>0</v>
      </c>
      <c r="AD354" s="1">
        <f t="shared" si="143"/>
        <v>1</v>
      </c>
      <c r="AE354" s="1">
        <f t="shared" si="144"/>
        <v>0</v>
      </c>
      <c r="AF354" s="1">
        <f t="shared" si="145"/>
        <v>1</v>
      </c>
      <c r="AG354" s="1">
        <f t="shared" si="146"/>
        <v>0</v>
      </c>
      <c r="AH354" s="1">
        <f t="shared" si="147"/>
        <v>1</v>
      </c>
      <c r="AI354" s="1">
        <f t="shared" si="148"/>
        <v>0</v>
      </c>
    </row>
    <row r="355" spans="1:35" ht="14.25" customHeight="1" x14ac:dyDescent="0.25">
      <c r="A355" s="58">
        <v>0</v>
      </c>
      <c r="B355" s="58">
        <v>2</v>
      </c>
      <c r="C355" s="58">
        <v>2</v>
      </c>
      <c r="D355" s="49" t="s">
        <v>1938</v>
      </c>
      <c r="E355" s="49" t="s">
        <v>2150</v>
      </c>
      <c r="F355" s="49" t="s">
        <v>1939</v>
      </c>
      <c r="G355" s="49" t="s">
        <v>178</v>
      </c>
      <c r="H355" s="49" t="s">
        <v>352</v>
      </c>
      <c r="I355" s="58" t="s">
        <v>1940</v>
      </c>
      <c r="J355" s="58"/>
      <c r="K355" s="58" t="s">
        <v>694</v>
      </c>
      <c r="L355" s="58"/>
      <c r="M355" s="49"/>
      <c r="N355" s="49"/>
      <c r="O355" s="59"/>
      <c r="P355" s="59">
        <v>1</v>
      </c>
      <c r="Q355" s="49"/>
      <c r="S355" s="1">
        <f t="shared" si="133"/>
        <v>0</v>
      </c>
      <c r="T355" s="1">
        <f t="shared" si="134"/>
        <v>0</v>
      </c>
      <c r="U355" s="1">
        <f t="shared" si="135"/>
        <v>0</v>
      </c>
      <c r="V355" s="1">
        <f t="shared" si="136"/>
        <v>0</v>
      </c>
      <c r="W355" s="1">
        <f t="shared" si="137"/>
        <v>0</v>
      </c>
      <c r="X355" s="1">
        <f t="shared" si="138"/>
        <v>0</v>
      </c>
      <c r="Y355" s="1">
        <f t="shared" si="139"/>
        <v>0</v>
      </c>
      <c r="Z355" s="1">
        <f t="shared" si="140"/>
        <v>0</v>
      </c>
      <c r="AA355" s="1">
        <f t="shared" si="141"/>
        <v>0</v>
      </c>
      <c r="AB355" s="1">
        <f t="shared" si="142"/>
        <v>0</v>
      </c>
      <c r="AD355" s="1">
        <f t="shared" si="143"/>
        <v>0</v>
      </c>
      <c r="AE355" s="1">
        <f t="shared" si="144"/>
        <v>0</v>
      </c>
      <c r="AF355" s="1">
        <f t="shared" si="145"/>
        <v>0</v>
      </c>
      <c r="AG355" s="1">
        <f t="shared" si="146"/>
        <v>0</v>
      </c>
      <c r="AH355" s="1">
        <f t="shared" si="147"/>
        <v>1</v>
      </c>
      <c r="AI355" s="1">
        <f t="shared" si="148"/>
        <v>0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598</v>
      </c>
      <c r="E356" s="32" t="s">
        <v>599</v>
      </c>
      <c r="F356" s="32" t="s">
        <v>600</v>
      </c>
      <c r="G356" s="32" t="s">
        <v>256</v>
      </c>
      <c r="H356" s="32" t="s">
        <v>352</v>
      </c>
      <c r="I356" s="31" t="s">
        <v>601</v>
      </c>
      <c r="J356" s="31">
        <v>99</v>
      </c>
      <c r="K356" s="33" t="s">
        <v>932</v>
      </c>
      <c r="L356" s="33" t="s">
        <v>695</v>
      </c>
      <c r="M356" s="34" t="s">
        <v>1378</v>
      </c>
      <c r="N356" s="34" t="s">
        <v>1696</v>
      </c>
      <c r="O356" s="35">
        <v>1</v>
      </c>
      <c r="P356" s="35"/>
      <c r="Q356" s="32"/>
      <c r="S356" s="1">
        <f t="shared" si="133"/>
        <v>0</v>
      </c>
      <c r="T356" s="1">
        <f t="shared" si="134"/>
        <v>0</v>
      </c>
      <c r="U356" s="1">
        <f t="shared" si="135"/>
        <v>0</v>
      </c>
      <c r="V356" s="1">
        <f t="shared" si="136"/>
        <v>0</v>
      </c>
      <c r="W356" s="1">
        <f t="shared" si="137"/>
        <v>0</v>
      </c>
      <c r="X356" s="1">
        <f t="shared" si="138"/>
        <v>0</v>
      </c>
      <c r="Y356" s="1">
        <f t="shared" si="139"/>
        <v>0</v>
      </c>
      <c r="Z356" s="1">
        <f t="shared" si="140"/>
        <v>0</v>
      </c>
      <c r="AA356" s="1">
        <f t="shared" si="141"/>
        <v>0</v>
      </c>
      <c r="AB356" s="1">
        <f t="shared" si="142"/>
        <v>0</v>
      </c>
      <c r="AD356" s="1">
        <f t="shared" si="143"/>
        <v>0</v>
      </c>
      <c r="AE356" s="1">
        <f t="shared" si="144"/>
        <v>1</v>
      </c>
      <c r="AF356" s="1">
        <f t="shared" si="145"/>
        <v>0</v>
      </c>
      <c r="AG356" s="1">
        <f t="shared" si="146"/>
        <v>1</v>
      </c>
      <c r="AH356" s="1">
        <f t="shared" si="147"/>
        <v>0</v>
      </c>
      <c r="AI356" s="1">
        <f t="shared" si="148"/>
        <v>1</v>
      </c>
    </row>
    <row r="357" spans="1:35" ht="14.25" customHeight="1" x14ac:dyDescent="0.25">
      <c r="A357" s="31">
        <v>0</v>
      </c>
      <c r="B357" s="31">
        <v>2</v>
      </c>
      <c r="C357" s="31">
        <v>2</v>
      </c>
      <c r="D357" s="32" t="s">
        <v>1875</v>
      </c>
      <c r="E357" s="32" t="s">
        <v>1876</v>
      </c>
      <c r="F357" s="32" t="s">
        <v>1877</v>
      </c>
      <c r="G357" s="32" t="s">
        <v>183</v>
      </c>
      <c r="H357" s="32" t="s">
        <v>352</v>
      </c>
      <c r="I357" s="31" t="s">
        <v>1879</v>
      </c>
      <c r="J357" s="31">
        <v>99</v>
      </c>
      <c r="K357" s="33" t="s">
        <v>694</v>
      </c>
      <c r="L357" s="33"/>
      <c r="M357" s="34"/>
      <c r="N357" s="34" t="s">
        <v>1687</v>
      </c>
      <c r="O357" s="35">
        <v>1</v>
      </c>
      <c r="P357" s="35">
        <v>1</v>
      </c>
      <c r="Q357" s="32" t="s">
        <v>1878</v>
      </c>
      <c r="S357" s="1">
        <f t="shared" si="133"/>
        <v>0</v>
      </c>
      <c r="T357" s="1">
        <f t="shared" si="134"/>
        <v>0</v>
      </c>
      <c r="U357" s="1">
        <f t="shared" si="135"/>
        <v>0</v>
      </c>
      <c r="V357" s="1">
        <f t="shared" si="136"/>
        <v>0</v>
      </c>
      <c r="W357" s="1">
        <f t="shared" si="137"/>
        <v>0</v>
      </c>
      <c r="X357" s="1">
        <f t="shared" si="138"/>
        <v>0</v>
      </c>
      <c r="Y357" s="1">
        <f t="shared" si="139"/>
        <v>0</v>
      </c>
      <c r="Z357" s="1">
        <f t="shared" si="140"/>
        <v>0</v>
      </c>
      <c r="AA357" s="1">
        <f t="shared" si="141"/>
        <v>0</v>
      </c>
      <c r="AB357" s="1">
        <f t="shared" si="142"/>
        <v>0</v>
      </c>
      <c r="AD357" s="1">
        <f t="shared" si="143"/>
        <v>1</v>
      </c>
      <c r="AE357" s="1">
        <f t="shared" si="144"/>
        <v>0</v>
      </c>
      <c r="AF357" s="1">
        <f t="shared" si="145"/>
        <v>1</v>
      </c>
      <c r="AG357" s="1">
        <f t="shared" si="146"/>
        <v>0</v>
      </c>
      <c r="AH357" s="1">
        <f t="shared" si="147"/>
        <v>1</v>
      </c>
      <c r="AI357" s="1">
        <f t="shared" si="148"/>
        <v>0</v>
      </c>
    </row>
    <row r="358" spans="1:35" ht="14.25" customHeight="1" x14ac:dyDescent="0.25">
      <c r="A358" s="31">
        <v>0</v>
      </c>
      <c r="B358" s="31">
        <v>2</v>
      </c>
      <c r="C358" s="31">
        <v>2</v>
      </c>
      <c r="D358" s="32" t="s">
        <v>1604</v>
      </c>
      <c r="E358" s="32" t="s">
        <v>1140</v>
      </c>
      <c r="F358" s="32" t="s">
        <v>1635</v>
      </c>
      <c r="G358" s="32" t="s">
        <v>179</v>
      </c>
      <c r="H358" s="32" t="s">
        <v>352</v>
      </c>
      <c r="I358" s="31" t="s">
        <v>1457</v>
      </c>
      <c r="J358" s="31">
        <v>10</v>
      </c>
      <c r="K358" s="33" t="s">
        <v>703</v>
      </c>
      <c r="L358" s="33">
        <v>15</v>
      </c>
      <c r="M358" s="34" t="s">
        <v>39</v>
      </c>
      <c r="N358" s="34" t="s">
        <v>1741</v>
      </c>
      <c r="O358" s="35">
        <v>1</v>
      </c>
      <c r="P358" s="35"/>
      <c r="Q358" s="32"/>
      <c r="S358" s="1">
        <f t="shared" si="133"/>
        <v>0</v>
      </c>
      <c r="T358" s="1">
        <f t="shared" si="134"/>
        <v>0</v>
      </c>
      <c r="U358" s="1">
        <f t="shared" si="135"/>
        <v>0</v>
      </c>
      <c r="V358" s="1">
        <f t="shared" si="136"/>
        <v>0</v>
      </c>
      <c r="W358" s="1">
        <f t="shared" si="137"/>
        <v>0</v>
      </c>
      <c r="X358" s="1">
        <f t="shared" si="138"/>
        <v>0</v>
      </c>
      <c r="Y358" s="1">
        <f t="shared" si="139"/>
        <v>0</v>
      </c>
      <c r="Z358" s="1">
        <f t="shared" si="140"/>
        <v>0</v>
      </c>
      <c r="AA358" s="1">
        <f t="shared" si="141"/>
        <v>0</v>
      </c>
      <c r="AB358" s="1">
        <f t="shared" si="142"/>
        <v>1</v>
      </c>
      <c r="AD358" s="1">
        <f t="shared" si="143"/>
        <v>0</v>
      </c>
      <c r="AE358" s="1">
        <f t="shared" si="144"/>
        <v>1</v>
      </c>
      <c r="AF358" s="1">
        <f t="shared" si="145"/>
        <v>0</v>
      </c>
      <c r="AG358" s="1">
        <f t="shared" si="146"/>
        <v>1</v>
      </c>
      <c r="AH358" s="1">
        <f t="shared" si="147"/>
        <v>0</v>
      </c>
      <c r="AI358" s="1">
        <f t="shared" si="148"/>
        <v>1</v>
      </c>
    </row>
    <row r="359" spans="1:35" ht="14.25" customHeight="1" x14ac:dyDescent="0.25">
      <c r="A359" s="31">
        <v>0</v>
      </c>
      <c r="B359" s="31">
        <v>2</v>
      </c>
      <c r="C359" s="31">
        <v>2</v>
      </c>
      <c r="D359" s="32" t="s">
        <v>843</v>
      </c>
      <c r="E359" s="32" t="s">
        <v>540</v>
      </c>
      <c r="F359" s="32" t="s">
        <v>844</v>
      </c>
      <c r="G359" s="32" t="s">
        <v>312</v>
      </c>
      <c r="H359" s="32" t="s">
        <v>352</v>
      </c>
      <c r="I359" s="31" t="s">
        <v>845</v>
      </c>
      <c r="J359" s="31">
        <v>1</v>
      </c>
      <c r="K359" s="33" t="s">
        <v>703</v>
      </c>
      <c r="L359" s="33">
        <v>25</v>
      </c>
      <c r="M359" s="34" t="s">
        <v>39</v>
      </c>
      <c r="N359" s="34" t="s">
        <v>1696</v>
      </c>
      <c r="O359" s="35">
        <v>1</v>
      </c>
      <c r="P359" s="35"/>
      <c r="Q359" s="32"/>
      <c r="S359" s="1">
        <f t="shared" si="133"/>
        <v>1</v>
      </c>
      <c r="T359" s="1">
        <f t="shared" si="134"/>
        <v>0</v>
      </c>
      <c r="U359" s="1">
        <f t="shared" si="135"/>
        <v>0</v>
      </c>
      <c r="V359" s="1">
        <f t="shared" si="136"/>
        <v>0</v>
      </c>
      <c r="W359" s="1">
        <f t="shared" si="137"/>
        <v>0</v>
      </c>
      <c r="X359" s="1">
        <f t="shared" si="138"/>
        <v>0</v>
      </c>
      <c r="Y359" s="1">
        <f t="shared" si="139"/>
        <v>0</v>
      </c>
      <c r="Z359" s="1">
        <f t="shared" si="140"/>
        <v>0</v>
      </c>
      <c r="AA359" s="1">
        <f t="shared" si="141"/>
        <v>0</v>
      </c>
      <c r="AB359" s="1">
        <f t="shared" si="142"/>
        <v>0</v>
      </c>
      <c r="AD359" s="1">
        <f t="shared" si="143"/>
        <v>0</v>
      </c>
      <c r="AE359" s="1">
        <f t="shared" si="144"/>
        <v>1</v>
      </c>
      <c r="AF359" s="1">
        <f t="shared" si="145"/>
        <v>0</v>
      </c>
      <c r="AG359" s="1">
        <f t="shared" si="146"/>
        <v>1</v>
      </c>
      <c r="AH359" s="1">
        <f t="shared" si="147"/>
        <v>0</v>
      </c>
      <c r="AI359" s="1">
        <f t="shared" si="148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562</v>
      </c>
      <c r="E360" s="32" t="s">
        <v>38</v>
      </c>
      <c r="F360" s="32" t="s">
        <v>236</v>
      </c>
      <c r="G360" s="32" t="s">
        <v>535</v>
      </c>
      <c r="H360" s="32" t="s">
        <v>352</v>
      </c>
      <c r="I360" s="31" t="s">
        <v>401</v>
      </c>
      <c r="J360" s="31">
        <v>1</v>
      </c>
      <c r="K360" s="33" t="s">
        <v>703</v>
      </c>
      <c r="L360" s="33" t="s">
        <v>715</v>
      </c>
      <c r="M360" s="34" t="s">
        <v>716</v>
      </c>
      <c r="N360" s="34" t="s">
        <v>1687</v>
      </c>
      <c r="O360" s="35">
        <v>1</v>
      </c>
      <c r="P360" s="35">
        <v>1</v>
      </c>
      <c r="Q360" s="32"/>
      <c r="S360" s="1">
        <f t="shared" si="133"/>
        <v>1</v>
      </c>
      <c r="T360" s="1">
        <f t="shared" si="134"/>
        <v>0</v>
      </c>
      <c r="U360" s="1">
        <f t="shared" si="135"/>
        <v>0</v>
      </c>
      <c r="V360" s="1">
        <f t="shared" si="136"/>
        <v>0</v>
      </c>
      <c r="W360" s="1">
        <f t="shared" si="137"/>
        <v>0</v>
      </c>
      <c r="X360" s="1">
        <f t="shared" si="138"/>
        <v>0</v>
      </c>
      <c r="Y360" s="1">
        <f t="shared" si="139"/>
        <v>0</v>
      </c>
      <c r="Z360" s="1">
        <f t="shared" si="140"/>
        <v>0</v>
      </c>
      <c r="AA360" s="1">
        <f t="shared" si="141"/>
        <v>0</v>
      </c>
      <c r="AB360" s="1">
        <f t="shared" si="142"/>
        <v>0</v>
      </c>
      <c r="AD360" s="1">
        <f t="shared" si="143"/>
        <v>1</v>
      </c>
      <c r="AE360" s="1">
        <f t="shared" si="144"/>
        <v>0</v>
      </c>
      <c r="AF360" s="1">
        <f t="shared" si="145"/>
        <v>1</v>
      </c>
      <c r="AG360" s="1">
        <f t="shared" si="146"/>
        <v>0</v>
      </c>
      <c r="AH360" s="1">
        <f t="shared" si="147"/>
        <v>1</v>
      </c>
      <c r="AI360" s="1">
        <f t="shared" si="148"/>
        <v>0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831</v>
      </c>
      <c r="E361" s="32" t="s">
        <v>34</v>
      </c>
      <c r="F361" s="32" t="s">
        <v>905</v>
      </c>
      <c r="G361" s="32" t="s">
        <v>630</v>
      </c>
      <c r="H361" s="32" t="s">
        <v>352</v>
      </c>
      <c r="I361" s="31" t="s">
        <v>832</v>
      </c>
      <c r="J361" s="31">
        <v>1</v>
      </c>
      <c r="K361" s="33" t="s">
        <v>931</v>
      </c>
      <c r="L361" s="33" t="s">
        <v>720</v>
      </c>
      <c r="M361" s="34" t="s">
        <v>714</v>
      </c>
      <c r="N361" s="34" t="s">
        <v>1696</v>
      </c>
      <c r="O361" s="35">
        <v>1</v>
      </c>
      <c r="P361" s="35"/>
      <c r="Q361" s="32"/>
      <c r="S361" s="1">
        <f t="shared" si="133"/>
        <v>1</v>
      </c>
      <c r="T361" s="1">
        <f t="shared" si="134"/>
        <v>0</v>
      </c>
      <c r="U361" s="1">
        <f t="shared" si="135"/>
        <v>0</v>
      </c>
      <c r="V361" s="1">
        <f t="shared" si="136"/>
        <v>0</v>
      </c>
      <c r="W361" s="1">
        <f t="shared" si="137"/>
        <v>0</v>
      </c>
      <c r="X361" s="1">
        <f t="shared" si="138"/>
        <v>0</v>
      </c>
      <c r="Y361" s="1">
        <f t="shared" si="139"/>
        <v>0</v>
      </c>
      <c r="Z361" s="1">
        <f t="shared" si="140"/>
        <v>0</v>
      </c>
      <c r="AA361" s="1">
        <f t="shared" si="141"/>
        <v>0</v>
      </c>
      <c r="AB361" s="1">
        <f t="shared" si="142"/>
        <v>0</v>
      </c>
      <c r="AD361" s="1">
        <f t="shared" si="143"/>
        <v>0</v>
      </c>
      <c r="AE361" s="1">
        <f t="shared" si="144"/>
        <v>1</v>
      </c>
      <c r="AF361" s="1">
        <f t="shared" si="145"/>
        <v>0</v>
      </c>
      <c r="AG361" s="1">
        <f t="shared" si="146"/>
        <v>1</v>
      </c>
      <c r="AH361" s="1">
        <f t="shared" si="147"/>
        <v>0</v>
      </c>
      <c r="AI361" s="1">
        <f t="shared" si="14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774</v>
      </c>
      <c r="E362" s="32" t="s">
        <v>32</v>
      </c>
      <c r="F362" s="32" t="s">
        <v>775</v>
      </c>
      <c r="G362" s="32" t="s">
        <v>250</v>
      </c>
      <c r="H362" s="32" t="s">
        <v>352</v>
      </c>
      <c r="I362" s="31" t="s">
        <v>776</v>
      </c>
      <c r="J362" s="31">
        <v>99</v>
      </c>
      <c r="K362" s="33" t="s">
        <v>704</v>
      </c>
      <c r="L362" s="33" t="s">
        <v>713</v>
      </c>
      <c r="M362" s="34" t="s">
        <v>714</v>
      </c>
      <c r="N362" s="34" t="s">
        <v>1800</v>
      </c>
      <c r="O362" s="35">
        <v>1</v>
      </c>
      <c r="P362" s="35"/>
      <c r="Q362" s="32"/>
      <c r="S362" s="1">
        <f t="shared" si="133"/>
        <v>0</v>
      </c>
      <c r="T362" s="1">
        <f t="shared" si="134"/>
        <v>0</v>
      </c>
      <c r="U362" s="1">
        <f t="shared" si="135"/>
        <v>0</v>
      </c>
      <c r="V362" s="1">
        <f t="shared" si="136"/>
        <v>0</v>
      </c>
      <c r="W362" s="1">
        <f t="shared" si="137"/>
        <v>0</v>
      </c>
      <c r="X362" s="1">
        <f t="shared" si="138"/>
        <v>0</v>
      </c>
      <c r="Y362" s="1">
        <f t="shared" si="139"/>
        <v>0</v>
      </c>
      <c r="Z362" s="1">
        <f t="shared" si="140"/>
        <v>0</v>
      </c>
      <c r="AA362" s="1">
        <f t="shared" si="141"/>
        <v>0</v>
      </c>
      <c r="AB362" s="1">
        <f t="shared" si="142"/>
        <v>0</v>
      </c>
      <c r="AD362" s="1">
        <f t="shared" si="143"/>
        <v>0</v>
      </c>
      <c r="AE362" s="1">
        <f t="shared" si="144"/>
        <v>1</v>
      </c>
      <c r="AF362" s="1">
        <f t="shared" si="145"/>
        <v>0</v>
      </c>
      <c r="AG362" s="1">
        <f t="shared" si="146"/>
        <v>1</v>
      </c>
      <c r="AH362" s="1">
        <f t="shared" si="147"/>
        <v>0</v>
      </c>
      <c r="AI362" s="1">
        <f t="shared" si="14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56</v>
      </c>
      <c r="E363" s="32" t="s">
        <v>160</v>
      </c>
      <c r="F363" s="32" t="s">
        <v>218</v>
      </c>
      <c r="G363" s="32" t="s">
        <v>195</v>
      </c>
      <c r="H363" s="32" t="s">
        <v>352</v>
      </c>
      <c r="I363" s="31" t="s">
        <v>547</v>
      </c>
      <c r="J363" s="31">
        <v>99</v>
      </c>
      <c r="K363" s="33" t="s">
        <v>704</v>
      </c>
      <c r="L363" s="33" t="s">
        <v>713</v>
      </c>
      <c r="M363" s="34" t="s">
        <v>714</v>
      </c>
      <c r="N363" s="34" t="s">
        <v>1776</v>
      </c>
      <c r="O363" s="35">
        <v>1</v>
      </c>
      <c r="P363" s="35"/>
      <c r="Q363" s="32"/>
      <c r="S363" s="1">
        <f t="shared" si="133"/>
        <v>0</v>
      </c>
      <c r="T363" s="1">
        <f t="shared" si="134"/>
        <v>0</v>
      </c>
      <c r="U363" s="1">
        <f t="shared" si="135"/>
        <v>0</v>
      </c>
      <c r="V363" s="1">
        <f t="shared" si="136"/>
        <v>0</v>
      </c>
      <c r="W363" s="1">
        <f t="shared" si="137"/>
        <v>0</v>
      </c>
      <c r="X363" s="1">
        <f t="shared" si="138"/>
        <v>0</v>
      </c>
      <c r="Y363" s="1">
        <f t="shared" si="139"/>
        <v>0</v>
      </c>
      <c r="Z363" s="1">
        <f t="shared" si="140"/>
        <v>0</v>
      </c>
      <c r="AA363" s="1">
        <f t="shared" si="141"/>
        <v>0</v>
      </c>
      <c r="AB363" s="1">
        <f t="shared" si="142"/>
        <v>0</v>
      </c>
      <c r="AD363" s="1">
        <f t="shared" si="143"/>
        <v>0</v>
      </c>
      <c r="AE363" s="1">
        <f t="shared" si="144"/>
        <v>1</v>
      </c>
      <c r="AF363" s="1">
        <f t="shared" si="145"/>
        <v>0</v>
      </c>
      <c r="AG363" s="1">
        <f t="shared" si="146"/>
        <v>1</v>
      </c>
      <c r="AH363" s="1">
        <f t="shared" si="147"/>
        <v>0</v>
      </c>
      <c r="AI363" s="1">
        <f t="shared" si="148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1147</v>
      </c>
      <c r="E364" s="32" t="s">
        <v>1303</v>
      </c>
      <c r="F364" s="32" t="s">
        <v>1148</v>
      </c>
      <c r="G364" s="32" t="s">
        <v>300</v>
      </c>
      <c r="H364" s="32" t="s">
        <v>352</v>
      </c>
      <c r="I364" s="31" t="s">
        <v>1149</v>
      </c>
      <c r="J364" s="31">
        <v>1</v>
      </c>
      <c r="K364" s="33" t="s">
        <v>932</v>
      </c>
      <c r="L364" s="33" t="s">
        <v>684</v>
      </c>
      <c r="M364" s="34" t="s">
        <v>1379</v>
      </c>
      <c r="N364" s="34" t="s">
        <v>1696</v>
      </c>
      <c r="O364" s="35">
        <v>1</v>
      </c>
      <c r="P364" s="35"/>
      <c r="Q364" s="32"/>
      <c r="S364" s="1">
        <f t="shared" si="133"/>
        <v>1</v>
      </c>
      <c r="T364" s="1">
        <f t="shared" si="134"/>
        <v>0</v>
      </c>
      <c r="U364" s="1">
        <f t="shared" si="135"/>
        <v>0</v>
      </c>
      <c r="V364" s="1">
        <f t="shared" si="136"/>
        <v>0</v>
      </c>
      <c r="W364" s="1">
        <f t="shared" si="137"/>
        <v>0</v>
      </c>
      <c r="X364" s="1">
        <f t="shared" si="138"/>
        <v>0</v>
      </c>
      <c r="Y364" s="1">
        <f t="shared" si="139"/>
        <v>0</v>
      </c>
      <c r="Z364" s="1">
        <f t="shared" si="140"/>
        <v>0</v>
      </c>
      <c r="AA364" s="1">
        <f t="shared" si="141"/>
        <v>0</v>
      </c>
      <c r="AB364" s="1">
        <f t="shared" si="142"/>
        <v>0</v>
      </c>
      <c r="AD364" s="1">
        <f t="shared" si="143"/>
        <v>0</v>
      </c>
      <c r="AE364" s="1">
        <f t="shared" si="144"/>
        <v>1</v>
      </c>
      <c r="AF364" s="1">
        <f t="shared" si="145"/>
        <v>0</v>
      </c>
      <c r="AG364" s="1">
        <f t="shared" si="146"/>
        <v>1</v>
      </c>
      <c r="AH364" s="1">
        <f t="shared" si="147"/>
        <v>0</v>
      </c>
      <c r="AI364" s="1">
        <f t="shared" si="148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1144</v>
      </c>
      <c r="E365" s="32" t="s">
        <v>1303</v>
      </c>
      <c r="F365" s="32" t="s">
        <v>1145</v>
      </c>
      <c r="G365" s="32" t="s">
        <v>1033</v>
      </c>
      <c r="H365" s="32" t="s">
        <v>352</v>
      </c>
      <c r="I365" s="31" t="s">
        <v>1146</v>
      </c>
      <c r="J365" s="31">
        <v>1</v>
      </c>
      <c r="K365" s="33" t="s">
        <v>704</v>
      </c>
      <c r="L365" s="33" t="s">
        <v>684</v>
      </c>
      <c r="M365" s="34" t="s">
        <v>1379</v>
      </c>
      <c r="N365" s="34" t="s">
        <v>1696</v>
      </c>
      <c r="O365" s="35">
        <v>1</v>
      </c>
      <c r="P365" s="35"/>
      <c r="Q365" s="32"/>
      <c r="S365" s="1">
        <f t="shared" si="133"/>
        <v>1</v>
      </c>
      <c r="T365" s="1">
        <f t="shared" si="134"/>
        <v>0</v>
      </c>
      <c r="U365" s="1">
        <f t="shared" si="135"/>
        <v>0</v>
      </c>
      <c r="V365" s="1">
        <f t="shared" si="136"/>
        <v>0</v>
      </c>
      <c r="W365" s="1">
        <f t="shared" si="137"/>
        <v>0</v>
      </c>
      <c r="X365" s="1">
        <f t="shared" si="138"/>
        <v>0</v>
      </c>
      <c r="Y365" s="1">
        <f t="shared" si="139"/>
        <v>0</v>
      </c>
      <c r="Z365" s="1">
        <f t="shared" si="140"/>
        <v>0</v>
      </c>
      <c r="AA365" s="1">
        <f t="shared" si="141"/>
        <v>0</v>
      </c>
      <c r="AB365" s="1">
        <f t="shared" si="142"/>
        <v>0</v>
      </c>
      <c r="AD365" s="1">
        <f t="shared" si="143"/>
        <v>0</v>
      </c>
      <c r="AE365" s="1">
        <f t="shared" si="144"/>
        <v>1</v>
      </c>
      <c r="AF365" s="1">
        <f t="shared" si="145"/>
        <v>0</v>
      </c>
      <c r="AG365" s="1">
        <f t="shared" si="146"/>
        <v>1</v>
      </c>
      <c r="AH365" s="1">
        <f t="shared" si="147"/>
        <v>0</v>
      </c>
      <c r="AI365" s="1">
        <f t="shared" si="14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1262</v>
      </c>
      <c r="E366" s="32" t="s">
        <v>32</v>
      </c>
      <c r="F366" s="32" t="s">
        <v>1263</v>
      </c>
      <c r="G366" s="32" t="s">
        <v>221</v>
      </c>
      <c r="H366" s="32" t="s">
        <v>352</v>
      </c>
      <c r="I366" s="31" t="s">
        <v>1649</v>
      </c>
      <c r="J366" s="31">
        <v>99</v>
      </c>
      <c r="K366" s="33" t="s">
        <v>704</v>
      </c>
      <c r="L366" s="33" t="s">
        <v>707</v>
      </c>
      <c r="M366" s="34" t="s">
        <v>1264</v>
      </c>
      <c r="N366" s="34" t="s">
        <v>1687</v>
      </c>
      <c r="O366" s="35">
        <v>1</v>
      </c>
      <c r="P366" s="35">
        <v>1</v>
      </c>
      <c r="Q366" s="32"/>
      <c r="S366" s="1">
        <f t="shared" si="133"/>
        <v>0</v>
      </c>
      <c r="T366" s="1">
        <f t="shared" si="134"/>
        <v>0</v>
      </c>
      <c r="U366" s="1">
        <f t="shared" si="135"/>
        <v>0</v>
      </c>
      <c r="V366" s="1">
        <f t="shared" si="136"/>
        <v>0</v>
      </c>
      <c r="W366" s="1">
        <f t="shared" si="137"/>
        <v>0</v>
      </c>
      <c r="X366" s="1">
        <f t="shared" si="138"/>
        <v>0</v>
      </c>
      <c r="Y366" s="1">
        <f t="shared" si="139"/>
        <v>0</v>
      </c>
      <c r="Z366" s="1">
        <f t="shared" si="140"/>
        <v>0</v>
      </c>
      <c r="AA366" s="1">
        <f t="shared" si="141"/>
        <v>0</v>
      </c>
      <c r="AB366" s="1">
        <f t="shared" si="142"/>
        <v>0</v>
      </c>
      <c r="AD366" s="1">
        <f t="shared" si="143"/>
        <v>1</v>
      </c>
      <c r="AE366" s="1">
        <f t="shared" si="144"/>
        <v>0</v>
      </c>
      <c r="AF366" s="1">
        <f t="shared" si="145"/>
        <v>1</v>
      </c>
      <c r="AG366" s="1">
        <f t="shared" si="146"/>
        <v>0</v>
      </c>
      <c r="AH366" s="1">
        <f t="shared" si="147"/>
        <v>1</v>
      </c>
      <c r="AI366" s="1">
        <f t="shared" si="148"/>
        <v>0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742</v>
      </c>
      <c r="E367" s="32" t="s">
        <v>892</v>
      </c>
      <c r="F367" s="32" t="s">
        <v>743</v>
      </c>
      <c r="G367" s="32" t="s">
        <v>219</v>
      </c>
      <c r="H367" s="32" t="s">
        <v>352</v>
      </c>
      <c r="I367" s="31" t="s">
        <v>744</v>
      </c>
      <c r="J367" s="31">
        <v>8</v>
      </c>
      <c r="K367" s="33" t="s">
        <v>932</v>
      </c>
      <c r="L367" s="33" t="s">
        <v>720</v>
      </c>
      <c r="M367" s="34" t="s">
        <v>714</v>
      </c>
      <c r="N367" s="34" t="s">
        <v>1700</v>
      </c>
      <c r="O367" s="35">
        <v>1</v>
      </c>
      <c r="P367" s="35"/>
      <c r="Q367" s="32"/>
      <c r="S367" s="1">
        <f t="shared" si="133"/>
        <v>0</v>
      </c>
      <c r="T367" s="1">
        <f t="shared" si="134"/>
        <v>0</v>
      </c>
      <c r="U367" s="1">
        <f t="shared" si="135"/>
        <v>0</v>
      </c>
      <c r="V367" s="1">
        <f t="shared" si="136"/>
        <v>0</v>
      </c>
      <c r="W367" s="1">
        <f t="shared" si="137"/>
        <v>0</v>
      </c>
      <c r="X367" s="1">
        <f t="shared" si="138"/>
        <v>0</v>
      </c>
      <c r="Y367" s="1">
        <f t="shared" si="139"/>
        <v>0</v>
      </c>
      <c r="Z367" s="1">
        <f t="shared" si="140"/>
        <v>1</v>
      </c>
      <c r="AA367" s="1">
        <f t="shared" si="141"/>
        <v>0</v>
      </c>
      <c r="AB367" s="1">
        <f t="shared" si="142"/>
        <v>0</v>
      </c>
      <c r="AD367" s="1">
        <f t="shared" si="143"/>
        <v>0</v>
      </c>
      <c r="AE367" s="1">
        <f t="shared" si="144"/>
        <v>1</v>
      </c>
      <c r="AF367" s="1">
        <f t="shared" si="145"/>
        <v>0</v>
      </c>
      <c r="AG367" s="1">
        <f t="shared" si="146"/>
        <v>1</v>
      </c>
      <c r="AH367" s="1">
        <f t="shared" si="147"/>
        <v>0</v>
      </c>
      <c r="AI367" s="1">
        <f t="shared" si="148"/>
        <v>1</v>
      </c>
    </row>
    <row r="368" spans="1:35" ht="14.25" customHeight="1" x14ac:dyDescent="0.25">
      <c r="A368" s="44">
        <v>0</v>
      </c>
      <c r="B368" s="44">
        <v>2</v>
      </c>
      <c r="C368" s="44">
        <v>3</v>
      </c>
      <c r="D368" s="45" t="s">
        <v>1458</v>
      </c>
      <c r="E368" s="45" t="s">
        <v>1459</v>
      </c>
      <c r="F368" s="45" t="s">
        <v>1460</v>
      </c>
      <c r="G368" s="45" t="s">
        <v>237</v>
      </c>
      <c r="H368" s="45" t="s">
        <v>352</v>
      </c>
      <c r="I368" s="44" t="s">
        <v>1461</v>
      </c>
      <c r="J368" s="44">
        <v>4</v>
      </c>
      <c r="K368" s="46" t="s">
        <v>703</v>
      </c>
      <c r="L368" s="46">
        <v>15</v>
      </c>
      <c r="M368" s="47" t="s">
        <v>39</v>
      </c>
      <c r="N368" s="47" t="s">
        <v>1753</v>
      </c>
      <c r="O368" s="48"/>
      <c r="P368" s="48"/>
      <c r="Q368" s="45"/>
      <c r="S368" s="1">
        <f t="shared" si="133"/>
        <v>0</v>
      </c>
      <c r="T368" s="1">
        <f t="shared" si="134"/>
        <v>0</v>
      </c>
      <c r="U368" s="1">
        <f t="shared" si="135"/>
        <v>0</v>
      </c>
      <c r="V368" s="1">
        <f t="shared" si="136"/>
        <v>1</v>
      </c>
      <c r="W368" s="1">
        <f t="shared" si="137"/>
        <v>0</v>
      </c>
      <c r="X368" s="1">
        <f t="shared" si="138"/>
        <v>0</v>
      </c>
      <c r="Y368" s="1">
        <f t="shared" si="139"/>
        <v>0</v>
      </c>
      <c r="Z368" s="1">
        <f t="shared" si="140"/>
        <v>0</v>
      </c>
      <c r="AA368" s="1">
        <f t="shared" si="141"/>
        <v>0</v>
      </c>
      <c r="AB368" s="1">
        <f t="shared" si="142"/>
        <v>0</v>
      </c>
      <c r="AD368" s="1">
        <f t="shared" si="143"/>
        <v>0</v>
      </c>
      <c r="AE368" s="1">
        <f t="shared" si="144"/>
        <v>0</v>
      </c>
      <c r="AF368" s="1">
        <f t="shared" si="145"/>
        <v>0</v>
      </c>
      <c r="AG368" s="1">
        <f t="shared" si="146"/>
        <v>0</v>
      </c>
      <c r="AH368" s="1">
        <f t="shared" si="147"/>
        <v>0</v>
      </c>
      <c r="AI368" s="1">
        <f t="shared" si="148"/>
        <v>1</v>
      </c>
    </row>
    <row r="369" spans="1:35" ht="14.25" customHeight="1" x14ac:dyDescent="0.25">
      <c r="A369" s="31">
        <v>0</v>
      </c>
      <c r="B369" s="31">
        <v>2</v>
      </c>
      <c r="C369" s="31">
        <v>3</v>
      </c>
      <c r="D369" s="32" t="s">
        <v>1514</v>
      </c>
      <c r="E369" s="32" t="s">
        <v>1515</v>
      </c>
      <c r="F369" s="32" t="s">
        <v>1516</v>
      </c>
      <c r="G369" s="32" t="s">
        <v>1517</v>
      </c>
      <c r="H369" s="32" t="s">
        <v>352</v>
      </c>
      <c r="I369" s="31" t="s">
        <v>1518</v>
      </c>
      <c r="J369" s="31">
        <v>7</v>
      </c>
      <c r="K369" s="33" t="s">
        <v>932</v>
      </c>
      <c r="L369" s="33">
        <v>10</v>
      </c>
      <c r="M369" s="34" t="s">
        <v>39</v>
      </c>
      <c r="N369" s="34" t="s">
        <v>1696</v>
      </c>
      <c r="O369" s="35">
        <v>1</v>
      </c>
      <c r="P369" s="35"/>
      <c r="Q369" s="32"/>
      <c r="S369" s="1">
        <f t="shared" si="133"/>
        <v>0</v>
      </c>
      <c r="T369" s="1">
        <f t="shared" si="134"/>
        <v>0</v>
      </c>
      <c r="U369" s="1">
        <f t="shared" si="135"/>
        <v>0</v>
      </c>
      <c r="V369" s="1">
        <f t="shared" si="136"/>
        <v>0</v>
      </c>
      <c r="W369" s="1">
        <f t="shared" si="137"/>
        <v>0</v>
      </c>
      <c r="X369" s="1">
        <f t="shared" si="138"/>
        <v>0</v>
      </c>
      <c r="Y369" s="1">
        <f t="shared" si="139"/>
        <v>1</v>
      </c>
      <c r="Z369" s="1">
        <f t="shared" si="140"/>
        <v>0</v>
      </c>
      <c r="AA369" s="1">
        <f t="shared" si="141"/>
        <v>0</v>
      </c>
      <c r="AB369" s="1">
        <f t="shared" si="142"/>
        <v>0</v>
      </c>
      <c r="AD369" s="1">
        <f t="shared" si="143"/>
        <v>0</v>
      </c>
      <c r="AE369" s="1">
        <f t="shared" si="144"/>
        <v>1</v>
      </c>
      <c r="AF369" s="1">
        <f t="shared" si="145"/>
        <v>0</v>
      </c>
      <c r="AG369" s="1">
        <f t="shared" si="146"/>
        <v>1</v>
      </c>
      <c r="AH369" s="1">
        <f t="shared" si="147"/>
        <v>0</v>
      </c>
      <c r="AI369" s="1">
        <f t="shared" si="148"/>
        <v>1</v>
      </c>
    </row>
    <row r="370" spans="1:35" ht="14.25" customHeight="1" x14ac:dyDescent="0.25">
      <c r="A370" s="31">
        <v>0</v>
      </c>
      <c r="B370" s="31">
        <v>2</v>
      </c>
      <c r="C370" s="31">
        <v>3</v>
      </c>
      <c r="D370" s="32" t="s">
        <v>822</v>
      </c>
      <c r="E370" s="32" t="s">
        <v>32</v>
      </c>
      <c r="F370" s="32" t="s">
        <v>824</v>
      </c>
      <c r="G370" s="32" t="s">
        <v>39</v>
      </c>
      <c r="H370" s="32" t="s">
        <v>352</v>
      </c>
      <c r="I370" s="31" t="s">
        <v>823</v>
      </c>
      <c r="J370" s="31">
        <v>1</v>
      </c>
      <c r="K370" s="33" t="s">
        <v>704</v>
      </c>
      <c r="L370" s="33" t="s">
        <v>685</v>
      </c>
      <c r="M370" s="34" t="s">
        <v>1379</v>
      </c>
      <c r="N370" s="34" t="s">
        <v>1696</v>
      </c>
      <c r="O370" s="35">
        <v>1</v>
      </c>
      <c r="P370" s="35"/>
      <c r="Q370" s="32"/>
      <c r="S370" s="1">
        <f t="shared" si="133"/>
        <v>1</v>
      </c>
      <c r="T370" s="1">
        <f t="shared" si="134"/>
        <v>0</v>
      </c>
      <c r="U370" s="1">
        <f t="shared" si="135"/>
        <v>0</v>
      </c>
      <c r="V370" s="1">
        <f t="shared" si="136"/>
        <v>0</v>
      </c>
      <c r="W370" s="1">
        <f t="shared" si="137"/>
        <v>0</v>
      </c>
      <c r="X370" s="1">
        <f t="shared" si="138"/>
        <v>0</v>
      </c>
      <c r="Y370" s="1">
        <f t="shared" si="139"/>
        <v>0</v>
      </c>
      <c r="Z370" s="1">
        <f t="shared" si="140"/>
        <v>0</v>
      </c>
      <c r="AA370" s="1">
        <f t="shared" si="141"/>
        <v>0</v>
      </c>
      <c r="AB370" s="1">
        <f t="shared" si="142"/>
        <v>0</v>
      </c>
      <c r="AD370" s="1">
        <f t="shared" si="143"/>
        <v>0</v>
      </c>
      <c r="AE370" s="1">
        <f t="shared" si="144"/>
        <v>1</v>
      </c>
      <c r="AF370" s="1">
        <f t="shared" si="145"/>
        <v>0</v>
      </c>
      <c r="AG370" s="1">
        <f t="shared" si="146"/>
        <v>1</v>
      </c>
      <c r="AH370" s="1">
        <f t="shared" si="147"/>
        <v>0</v>
      </c>
      <c r="AI370" s="1">
        <f t="shared" si="148"/>
        <v>1</v>
      </c>
    </row>
    <row r="371" spans="1:35" ht="14.25" customHeight="1" x14ac:dyDescent="0.25">
      <c r="A371" s="15">
        <v>0</v>
      </c>
      <c r="B371" s="15">
        <v>2</v>
      </c>
      <c r="C371" s="15">
        <v>4</v>
      </c>
      <c r="D371" s="16" t="s">
        <v>745</v>
      </c>
      <c r="E371" s="16" t="s">
        <v>746</v>
      </c>
      <c r="F371" s="16" t="s">
        <v>747</v>
      </c>
      <c r="G371" s="16" t="s">
        <v>748</v>
      </c>
      <c r="H371" s="16" t="s">
        <v>352</v>
      </c>
      <c r="I371" s="15" t="s">
        <v>749</v>
      </c>
      <c r="J371" s="15">
        <v>99</v>
      </c>
      <c r="K371" s="10" t="s">
        <v>694</v>
      </c>
      <c r="L371" s="10">
        <v>15</v>
      </c>
      <c r="M371" s="19" t="s">
        <v>750</v>
      </c>
      <c r="N371" s="19"/>
      <c r="Q371" s="16"/>
      <c r="S371" s="1">
        <f t="shared" si="133"/>
        <v>0</v>
      </c>
      <c r="T371" s="1">
        <f t="shared" si="134"/>
        <v>0</v>
      </c>
      <c r="U371" s="1">
        <f t="shared" si="135"/>
        <v>0</v>
      </c>
      <c r="V371" s="1">
        <f t="shared" si="136"/>
        <v>0</v>
      </c>
      <c r="W371" s="1">
        <f t="shared" si="137"/>
        <v>0</v>
      </c>
      <c r="X371" s="1">
        <f t="shared" si="138"/>
        <v>0</v>
      </c>
      <c r="Y371" s="1">
        <f t="shared" si="139"/>
        <v>0</v>
      </c>
      <c r="Z371" s="1">
        <f t="shared" si="140"/>
        <v>0</v>
      </c>
      <c r="AA371" s="1">
        <f t="shared" si="141"/>
        <v>0</v>
      </c>
      <c r="AB371" s="1">
        <f t="shared" si="142"/>
        <v>0</v>
      </c>
      <c r="AD371" s="1">
        <f t="shared" si="143"/>
        <v>0</v>
      </c>
      <c r="AE371" s="1">
        <f t="shared" si="144"/>
        <v>0</v>
      </c>
      <c r="AF371" s="1">
        <f t="shared" si="145"/>
        <v>0</v>
      </c>
      <c r="AG371" s="1">
        <f t="shared" si="146"/>
        <v>0</v>
      </c>
      <c r="AH371" s="1">
        <f t="shared" si="147"/>
        <v>0</v>
      </c>
      <c r="AI371" s="1">
        <f t="shared" si="14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779</v>
      </c>
      <c r="E372" s="32" t="s">
        <v>887</v>
      </c>
      <c r="F372" s="32" t="s">
        <v>904</v>
      </c>
      <c r="G372" s="32" t="s">
        <v>207</v>
      </c>
      <c r="H372" s="32" t="s">
        <v>352</v>
      </c>
      <c r="I372" s="31" t="s">
        <v>1329</v>
      </c>
      <c r="J372" s="31">
        <v>3</v>
      </c>
      <c r="K372" s="33" t="s">
        <v>694</v>
      </c>
      <c r="L372" s="33">
        <v>20</v>
      </c>
      <c r="M372" s="34" t="s">
        <v>1381</v>
      </c>
      <c r="N372" s="34" t="s">
        <v>1776</v>
      </c>
      <c r="O372" s="35">
        <v>1</v>
      </c>
      <c r="P372" s="35"/>
      <c r="Q372" s="32"/>
      <c r="S372" s="1">
        <f t="shared" si="133"/>
        <v>0</v>
      </c>
      <c r="T372" s="1">
        <f t="shared" si="134"/>
        <v>0</v>
      </c>
      <c r="U372" s="1">
        <f t="shared" si="135"/>
        <v>1</v>
      </c>
      <c r="V372" s="1">
        <f t="shared" si="136"/>
        <v>0</v>
      </c>
      <c r="W372" s="1">
        <f t="shared" si="137"/>
        <v>0</v>
      </c>
      <c r="X372" s="1">
        <f t="shared" si="138"/>
        <v>0</v>
      </c>
      <c r="Y372" s="1">
        <f t="shared" si="139"/>
        <v>0</v>
      </c>
      <c r="Z372" s="1">
        <f t="shared" si="140"/>
        <v>0</v>
      </c>
      <c r="AA372" s="1">
        <f t="shared" si="141"/>
        <v>0</v>
      </c>
      <c r="AB372" s="1">
        <f t="shared" si="142"/>
        <v>0</v>
      </c>
      <c r="AD372" s="1">
        <f t="shared" si="143"/>
        <v>0</v>
      </c>
      <c r="AE372" s="1">
        <f t="shared" si="144"/>
        <v>1</v>
      </c>
      <c r="AF372" s="1">
        <f t="shared" si="145"/>
        <v>0</v>
      </c>
      <c r="AG372" s="1">
        <f t="shared" si="146"/>
        <v>1</v>
      </c>
      <c r="AH372" s="1">
        <f t="shared" si="147"/>
        <v>0</v>
      </c>
      <c r="AI372" s="1">
        <f t="shared" si="148"/>
        <v>1</v>
      </c>
    </row>
    <row r="373" spans="1:35" ht="14.25" customHeight="1" x14ac:dyDescent="0.25">
      <c r="A373" s="51">
        <v>0</v>
      </c>
      <c r="B373" s="51">
        <v>2</v>
      </c>
      <c r="C373" s="51">
        <v>4</v>
      </c>
      <c r="D373" s="52" t="s">
        <v>561</v>
      </c>
      <c r="E373" s="52" t="s">
        <v>37</v>
      </c>
      <c r="F373" s="52" t="s">
        <v>204</v>
      </c>
      <c r="G373" s="52" t="s">
        <v>39</v>
      </c>
      <c r="H373" s="52" t="s">
        <v>352</v>
      </c>
      <c r="I373" s="51" t="s">
        <v>387</v>
      </c>
      <c r="J373" s="51">
        <v>6</v>
      </c>
      <c r="K373" s="53" t="s">
        <v>694</v>
      </c>
      <c r="L373" s="53" t="s">
        <v>39</v>
      </c>
      <c r="M373" s="54" t="s">
        <v>39</v>
      </c>
      <c r="N373" s="55"/>
      <c r="O373" s="56"/>
      <c r="P373" s="56"/>
      <c r="Q373" s="52"/>
      <c r="S373" s="1">
        <f t="shared" si="133"/>
        <v>0</v>
      </c>
      <c r="T373" s="1">
        <f t="shared" si="134"/>
        <v>0</v>
      </c>
      <c r="U373" s="1">
        <f t="shared" si="135"/>
        <v>0</v>
      </c>
      <c r="V373" s="1">
        <f t="shared" si="136"/>
        <v>0</v>
      </c>
      <c r="W373" s="1">
        <f t="shared" si="137"/>
        <v>0</v>
      </c>
      <c r="X373" s="1">
        <f t="shared" si="138"/>
        <v>1</v>
      </c>
      <c r="Y373" s="1">
        <f t="shared" si="139"/>
        <v>0</v>
      </c>
      <c r="Z373" s="1">
        <f t="shared" si="140"/>
        <v>0</v>
      </c>
      <c r="AA373" s="1">
        <f t="shared" si="141"/>
        <v>0</v>
      </c>
      <c r="AB373" s="1">
        <f t="shared" si="142"/>
        <v>0</v>
      </c>
      <c r="AD373" s="1">
        <f t="shared" si="143"/>
        <v>0</v>
      </c>
      <c r="AE373" s="1">
        <f t="shared" si="144"/>
        <v>0</v>
      </c>
      <c r="AF373" s="1">
        <f t="shared" si="145"/>
        <v>0</v>
      </c>
      <c r="AG373" s="1">
        <f t="shared" si="146"/>
        <v>0</v>
      </c>
      <c r="AH373" s="1">
        <f t="shared" si="147"/>
        <v>0</v>
      </c>
      <c r="AI373" s="1">
        <f t="shared" si="14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645</v>
      </c>
      <c r="E374" s="32" t="s">
        <v>889</v>
      </c>
      <c r="F374" s="32" t="s">
        <v>616</v>
      </c>
      <c r="G374" s="32" t="s">
        <v>339</v>
      </c>
      <c r="H374" s="32" t="s">
        <v>352</v>
      </c>
      <c r="I374" s="31" t="s">
        <v>617</v>
      </c>
      <c r="J374" s="31">
        <v>10</v>
      </c>
      <c r="K374" s="33" t="s">
        <v>931</v>
      </c>
      <c r="L374" s="33" t="s">
        <v>695</v>
      </c>
      <c r="M374" s="34" t="s">
        <v>1382</v>
      </c>
      <c r="N374" s="34" t="s">
        <v>1701</v>
      </c>
      <c r="O374" s="35">
        <v>1</v>
      </c>
      <c r="P374" s="35"/>
      <c r="Q374" s="32"/>
      <c r="S374" s="1">
        <f t="shared" si="133"/>
        <v>0</v>
      </c>
      <c r="T374" s="1">
        <f t="shared" si="134"/>
        <v>0</v>
      </c>
      <c r="U374" s="1">
        <f t="shared" si="135"/>
        <v>0</v>
      </c>
      <c r="V374" s="1">
        <f t="shared" si="136"/>
        <v>0</v>
      </c>
      <c r="W374" s="1">
        <f t="shared" si="137"/>
        <v>0</v>
      </c>
      <c r="X374" s="1">
        <f t="shared" si="138"/>
        <v>0</v>
      </c>
      <c r="Y374" s="1">
        <f t="shared" si="139"/>
        <v>0</v>
      </c>
      <c r="Z374" s="1">
        <f t="shared" si="140"/>
        <v>0</v>
      </c>
      <c r="AA374" s="1">
        <f t="shared" si="141"/>
        <v>0</v>
      </c>
      <c r="AB374" s="1">
        <f t="shared" si="142"/>
        <v>1</v>
      </c>
      <c r="AD374" s="1">
        <f t="shared" si="143"/>
        <v>0</v>
      </c>
      <c r="AE374" s="1">
        <f t="shared" si="144"/>
        <v>1</v>
      </c>
      <c r="AF374" s="1">
        <f t="shared" si="145"/>
        <v>0</v>
      </c>
      <c r="AG374" s="1">
        <f t="shared" si="146"/>
        <v>1</v>
      </c>
      <c r="AH374" s="1">
        <f t="shared" si="147"/>
        <v>0</v>
      </c>
      <c r="AI374" s="1">
        <f t="shared" si="148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75</v>
      </c>
      <c r="E375" s="32" t="s">
        <v>35</v>
      </c>
      <c r="F375" s="32" t="s">
        <v>265</v>
      </c>
      <c r="G375" s="32" t="s">
        <v>212</v>
      </c>
      <c r="H375" s="32" t="s">
        <v>352</v>
      </c>
      <c r="I375" s="31" t="s">
        <v>923</v>
      </c>
      <c r="J375" s="31">
        <v>1</v>
      </c>
      <c r="K375" s="33" t="s">
        <v>704</v>
      </c>
      <c r="L375" s="33" t="s">
        <v>695</v>
      </c>
      <c r="M375" s="34" t="s">
        <v>1383</v>
      </c>
      <c r="N375" s="34" t="s">
        <v>1696</v>
      </c>
      <c r="O375" s="35">
        <v>1</v>
      </c>
      <c r="P375" s="35"/>
      <c r="Q375" s="32"/>
      <c r="S375" s="1">
        <f t="shared" si="133"/>
        <v>1</v>
      </c>
      <c r="T375" s="1">
        <f t="shared" si="134"/>
        <v>0</v>
      </c>
      <c r="U375" s="1">
        <f t="shared" si="135"/>
        <v>0</v>
      </c>
      <c r="V375" s="1">
        <f t="shared" si="136"/>
        <v>0</v>
      </c>
      <c r="W375" s="1">
        <f t="shared" si="137"/>
        <v>0</v>
      </c>
      <c r="X375" s="1">
        <f t="shared" si="138"/>
        <v>0</v>
      </c>
      <c r="Y375" s="1">
        <f t="shared" si="139"/>
        <v>0</v>
      </c>
      <c r="Z375" s="1">
        <f t="shared" si="140"/>
        <v>0</v>
      </c>
      <c r="AA375" s="1">
        <f t="shared" si="141"/>
        <v>0</v>
      </c>
      <c r="AB375" s="1">
        <f t="shared" si="142"/>
        <v>0</v>
      </c>
      <c r="AD375" s="1">
        <f t="shared" si="143"/>
        <v>0</v>
      </c>
      <c r="AE375" s="1">
        <f t="shared" si="144"/>
        <v>1</v>
      </c>
      <c r="AF375" s="1">
        <f t="shared" si="145"/>
        <v>0</v>
      </c>
      <c r="AG375" s="1">
        <f t="shared" si="146"/>
        <v>1</v>
      </c>
      <c r="AH375" s="1">
        <f t="shared" si="147"/>
        <v>0</v>
      </c>
      <c r="AI375" s="1">
        <f t="shared" si="14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898</v>
      </c>
      <c r="E376" s="32" t="s">
        <v>891</v>
      </c>
      <c r="F376" s="32" t="s">
        <v>763</v>
      </c>
      <c r="G376" s="32" t="s">
        <v>283</v>
      </c>
      <c r="H376" s="32" t="s">
        <v>352</v>
      </c>
      <c r="I376" s="31" t="s">
        <v>924</v>
      </c>
      <c r="J376" s="31">
        <v>4</v>
      </c>
      <c r="K376" s="33" t="s">
        <v>704</v>
      </c>
      <c r="L376" s="33" t="s">
        <v>687</v>
      </c>
      <c r="M376" s="34" t="s">
        <v>1384</v>
      </c>
      <c r="N376" s="34" t="s">
        <v>1701</v>
      </c>
      <c r="O376" s="35">
        <v>1</v>
      </c>
      <c r="P376" s="35"/>
      <c r="Q376" s="32"/>
      <c r="S376" s="1">
        <f t="shared" si="133"/>
        <v>0</v>
      </c>
      <c r="T376" s="1">
        <f t="shared" si="134"/>
        <v>0</v>
      </c>
      <c r="U376" s="1">
        <f t="shared" si="135"/>
        <v>0</v>
      </c>
      <c r="V376" s="1">
        <f t="shared" si="136"/>
        <v>1</v>
      </c>
      <c r="W376" s="1">
        <f t="shared" si="137"/>
        <v>0</v>
      </c>
      <c r="X376" s="1">
        <f t="shared" si="138"/>
        <v>0</v>
      </c>
      <c r="Y376" s="1">
        <f t="shared" si="139"/>
        <v>0</v>
      </c>
      <c r="Z376" s="1">
        <f t="shared" si="140"/>
        <v>0</v>
      </c>
      <c r="AA376" s="1">
        <f t="shared" si="141"/>
        <v>0</v>
      </c>
      <c r="AB376" s="1">
        <f t="shared" si="142"/>
        <v>0</v>
      </c>
      <c r="AD376" s="1">
        <f t="shared" si="143"/>
        <v>0</v>
      </c>
      <c r="AE376" s="1">
        <f t="shared" si="144"/>
        <v>1</v>
      </c>
      <c r="AF376" s="1">
        <f t="shared" si="145"/>
        <v>0</v>
      </c>
      <c r="AG376" s="1">
        <f t="shared" si="146"/>
        <v>1</v>
      </c>
      <c r="AH376" s="1">
        <f t="shared" si="147"/>
        <v>0</v>
      </c>
      <c r="AI376" s="1">
        <f t="shared" si="14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621</v>
      </c>
      <c r="E377" s="32" t="s">
        <v>676</v>
      </c>
      <c r="F377" s="32" t="s">
        <v>662</v>
      </c>
      <c r="G377" s="32" t="s">
        <v>620</v>
      </c>
      <c r="H377" s="32" t="s">
        <v>352</v>
      </c>
      <c r="I377" s="31" t="s">
        <v>622</v>
      </c>
      <c r="J377" s="31">
        <v>99</v>
      </c>
      <c r="K377" s="33" t="s">
        <v>932</v>
      </c>
      <c r="L377" s="33" t="s">
        <v>39</v>
      </c>
      <c r="M377" s="34" t="s">
        <v>39</v>
      </c>
      <c r="N377" s="34" t="s">
        <v>1693</v>
      </c>
      <c r="O377" s="35">
        <v>1</v>
      </c>
      <c r="P377" s="35">
        <v>1</v>
      </c>
      <c r="Q377" s="32" t="s">
        <v>1847</v>
      </c>
      <c r="S377" s="1">
        <f t="shared" si="133"/>
        <v>0</v>
      </c>
      <c r="T377" s="1">
        <f t="shared" si="134"/>
        <v>0</v>
      </c>
      <c r="U377" s="1">
        <f t="shared" si="135"/>
        <v>0</v>
      </c>
      <c r="V377" s="1">
        <f t="shared" si="136"/>
        <v>0</v>
      </c>
      <c r="W377" s="1">
        <f t="shared" si="137"/>
        <v>0</v>
      </c>
      <c r="X377" s="1">
        <f t="shared" si="138"/>
        <v>0</v>
      </c>
      <c r="Y377" s="1">
        <f t="shared" si="139"/>
        <v>0</v>
      </c>
      <c r="Z377" s="1">
        <f t="shared" si="140"/>
        <v>0</v>
      </c>
      <c r="AA377" s="1">
        <f t="shared" si="141"/>
        <v>0</v>
      </c>
      <c r="AB377" s="1">
        <f t="shared" si="142"/>
        <v>0</v>
      </c>
      <c r="AD377" s="1">
        <f t="shared" si="143"/>
        <v>1</v>
      </c>
      <c r="AE377" s="1">
        <f t="shared" si="144"/>
        <v>0</v>
      </c>
      <c r="AF377" s="1">
        <f t="shared" si="145"/>
        <v>1</v>
      </c>
      <c r="AG377" s="1">
        <f t="shared" si="146"/>
        <v>0</v>
      </c>
      <c r="AH377" s="1">
        <f t="shared" si="147"/>
        <v>1</v>
      </c>
      <c r="AI377" s="1">
        <f t="shared" si="148"/>
        <v>0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84</v>
      </c>
      <c r="E378" s="32" t="s">
        <v>35</v>
      </c>
      <c r="F378" s="32" t="s">
        <v>276</v>
      </c>
      <c r="G378" s="32" t="s">
        <v>223</v>
      </c>
      <c r="H378" s="32" t="s">
        <v>352</v>
      </c>
      <c r="I378" s="31" t="s">
        <v>431</v>
      </c>
      <c r="J378" s="31">
        <v>99</v>
      </c>
      <c r="K378" s="33" t="s">
        <v>931</v>
      </c>
      <c r="L378" s="33" t="s">
        <v>695</v>
      </c>
      <c r="M378" s="34" t="s">
        <v>717</v>
      </c>
      <c r="N378" s="34" t="s">
        <v>1713</v>
      </c>
      <c r="O378" s="35">
        <v>1</v>
      </c>
      <c r="P378" s="35"/>
      <c r="Q378" s="32"/>
      <c r="S378" s="1">
        <f t="shared" si="133"/>
        <v>0</v>
      </c>
      <c r="T378" s="1">
        <f t="shared" si="134"/>
        <v>0</v>
      </c>
      <c r="U378" s="1">
        <f t="shared" si="135"/>
        <v>0</v>
      </c>
      <c r="V378" s="1">
        <f t="shared" si="136"/>
        <v>0</v>
      </c>
      <c r="W378" s="1">
        <f t="shared" si="137"/>
        <v>0</v>
      </c>
      <c r="X378" s="1">
        <f t="shared" si="138"/>
        <v>0</v>
      </c>
      <c r="Y378" s="1">
        <f t="shared" si="139"/>
        <v>0</v>
      </c>
      <c r="Z378" s="1">
        <f t="shared" si="140"/>
        <v>0</v>
      </c>
      <c r="AA378" s="1">
        <f t="shared" si="141"/>
        <v>0</v>
      </c>
      <c r="AB378" s="1">
        <f t="shared" si="142"/>
        <v>0</v>
      </c>
      <c r="AD378" s="1">
        <f t="shared" si="143"/>
        <v>0</v>
      </c>
      <c r="AE378" s="1">
        <f t="shared" si="144"/>
        <v>1</v>
      </c>
      <c r="AF378" s="1">
        <f t="shared" si="145"/>
        <v>0</v>
      </c>
      <c r="AG378" s="1">
        <f t="shared" si="146"/>
        <v>1</v>
      </c>
      <c r="AH378" s="1">
        <f t="shared" si="147"/>
        <v>0</v>
      </c>
      <c r="AI378" s="1">
        <f t="shared" si="14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860</v>
      </c>
      <c r="E379" s="32" t="s">
        <v>753</v>
      </c>
      <c r="F379" s="32" t="s">
        <v>858</v>
      </c>
      <c r="G379" s="32" t="s">
        <v>278</v>
      </c>
      <c r="H379" s="32" t="s">
        <v>352</v>
      </c>
      <c r="I379" s="31" t="s">
        <v>859</v>
      </c>
      <c r="J379" s="31">
        <v>99</v>
      </c>
      <c r="K379" s="33" t="s">
        <v>694</v>
      </c>
      <c r="L379" s="33">
        <v>25</v>
      </c>
      <c r="M379" s="34" t="s">
        <v>1385</v>
      </c>
      <c r="N379" s="34" t="s">
        <v>1800</v>
      </c>
      <c r="O379" s="35">
        <v>1</v>
      </c>
      <c r="P379" s="35"/>
      <c r="Q379" s="32"/>
      <c r="S379" s="1">
        <f t="shared" si="133"/>
        <v>0</v>
      </c>
      <c r="T379" s="1">
        <f t="shared" si="134"/>
        <v>0</v>
      </c>
      <c r="U379" s="1">
        <f t="shared" si="135"/>
        <v>0</v>
      </c>
      <c r="V379" s="1">
        <f t="shared" si="136"/>
        <v>0</v>
      </c>
      <c r="W379" s="1">
        <f t="shared" si="137"/>
        <v>0</v>
      </c>
      <c r="X379" s="1">
        <f t="shared" si="138"/>
        <v>0</v>
      </c>
      <c r="Y379" s="1">
        <f t="shared" si="139"/>
        <v>0</v>
      </c>
      <c r="Z379" s="1">
        <f t="shared" si="140"/>
        <v>0</v>
      </c>
      <c r="AA379" s="1">
        <f t="shared" si="141"/>
        <v>0</v>
      </c>
      <c r="AB379" s="1">
        <f t="shared" si="142"/>
        <v>0</v>
      </c>
      <c r="AD379" s="1">
        <f t="shared" si="143"/>
        <v>0</v>
      </c>
      <c r="AE379" s="1">
        <f t="shared" si="144"/>
        <v>1</v>
      </c>
      <c r="AF379" s="1">
        <f t="shared" si="145"/>
        <v>0</v>
      </c>
      <c r="AG379" s="1">
        <f t="shared" si="146"/>
        <v>1</v>
      </c>
      <c r="AH379" s="1">
        <f t="shared" si="147"/>
        <v>0</v>
      </c>
      <c r="AI379" s="1">
        <f t="shared" si="148"/>
        <v>1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901</v>
      </c>
      <c r="E380" s="32" t="s">
        <v>753</v>
      </c>
      <c r="F380" s="32" t="s">
        <v>825</v>
      </c>
      <c r="G380" s="32" t="s">
        <v>208</v>
      </c>
      <c r="H380" s="32" t="s">
        <v>352</v>
      </c>
      <c r="I380" s="31" t="s">
        <v>826</v>
      </c>
      <c r="J380" s="31">
        <v>99</v>
      </c>
      <c r="K380" s="33" t="s">
        <v>703</v>
      </c>
      <c r="L380" s="33" t="s">
        <v>695</v>
      </c>
      <c r="M380" s="34" t="s">
        <v>717</v>
      </c>
      <c r="N380" s="34" t="s">
        <v>1708</v>
      </c>
      <c r="O380" s="35">
        <v>1</v>
      </c>
      <c r="P380" s="35"/>
      <c r="Q380" s="32"/>
      <c r="S380" s="1">
        <f t="shared" si="133"/>
        <v>0</v>
      </c>
      <c r="T380" s="1">
        <f t="shared" si="134"/>
        <v>0</v>
      </c>
      <c r="U380" s="1">
        <f t="shared" si="135"/>
        <v>0</v>
      </c>
      <c r="V380" s="1">
        <f t="shared" si="136"/>
        <v>0</v>
      </c>
      <c r="W380" s="1">
        <f t="shared" si="137"/>
        <v>0</v>
      </c>
      <c r="X380" s="1">
        <f t="shared" si="138"/>
        <v>0</v>
      </c>
      <c r="Y380" s="1">
        <f t="shared" si="139"/>
        <v>0</v>
      </c>
      <c r="Z380" s="1">
        <f t="shared" si="140"/>
        <v>0</v>
      </c>
      <c r="AA380" s="1">
        <f t="shared" si="141"/>
        <v>0</v>
      </c>
      <c r="AB380" s="1">
        <f t="shared" si="142"/>
        <v>0</v>
      </c>
      <c r="AD380" s="1">
        <f t="shared" si="143"/>
        <v>0</v>
      </c>
      <c r="AE380" s="1">
        <f t="shared" si="144"/>
        <v>1</v>
      </c>
      <c r="AF380" s="1">
        <f t="shared" si="145"/>
        <v>0</v>
      </c>
      <c r="AG380" s="1">
        <f t="shared" si="146"/>
        <v>1</v>
      </c>
      <c r="AH380" s="1">
        <f t="shared" si="147"/>
        <v>0</v>
      </c>
      <c r="AI380" s="1">
        <f t="shared" si="148"/>
        <v>1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1972</v>
      </c>
      <c r="E381" s="32" t="s">
        <v>35</v>
      </c>
      <c r="F381" s="32" t="s">
        <v>1973</v>
      </c>
      <c r="G381" s="32" t="s">
        <v>208</v>
      </c>
      <c r="H381" s="32" t="s">
        <v>352</v>
      </c>
      <c r="I381" s="31" t="s">
        <v>1974</v>
      </c>
      <c r="J381" s="31">
        <v>99</v>
      </c>
      <c r="K381" s="33" t="s">
        <v>694</v>
      </c>
      <c r="L381" s="33">
        <v>25</v>
      </c>
      <c r="M381" s="34" t="s">
        <v>1976</v>
      </c>
      <c r="N381" s="34" t="s">
        <v>1800</v>
      </c>
      <c r="O381" s="35">
        <v>1</v>
      </c>
      <c r="P381" s="35"/>
      <c r="Q381" s="32" t="s">
        <v>1975</v>
      </c>
      <c r="S381" s="1">
        <f t="shared" si="133"/>
        <v>0</v>
      </c>
      <c r="T381" s="1">
        <f t="shared" si="134"/>
        <v>0</v>
      </c>
      <c r="U381" s="1">
        <f t="shared" si="135"/>
        <v>0</v>
      </c>
      <c r="V381" s="1">
        <f t="shared" si="136"/>
        <v>0</v>
      </c>
      <c r="W381" s="1">
        <f t="shared" si="137"/>
        <v>0</v>
      </c>
      <c r="X381" s="1">
        <f t="shared" si="138"/>
        <v>0</v>
      </c>
      <c r="Y381" s="1">
        <f t="shared" si="139"/>
        <v>0</v>
      </c>
      <c r="Z381" s="1">
        <f t="shared" si="140"/>
        <v>0</v>
      </c>
      <c r="AA381" s="1">
        <f t="shared" si="141"/>
        <v>0</v>
      </c>
      <c r="AB381" s="1">
        <f t="shared" si="142"/>
        <v>0</v>
      </c>
      <c r="AD381" s="1">
        <f t="shared" si="143"/>
        <v>0</v>
      </c>
      <c r="AE381" s="1">
        <f t="shared" si="144"/>
        <v>1</v>
      </c>
      <c r="AF381" s="1">
        <f t="shared" si="145"/>
        <v>0</v>
      </c>
      <c r="AG381" s="1">
        <f t="shared" si="146"/>
        <v>1</v>
      </c>
      <c r="AH381" s="1">
        <f t="shared" si="147"/>
        <v>0</v>
      </c>
      <c r="AI381" s="1">
        <f t="shared" si="148"/>
        <v>1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1192</v>
      </c>
      <c r="E382" s="32" t="s">
        <v>1191</v>
      </c>
      <c r="F382" s="32" t="s">
        <v>1193</v>
      </c>
      <c r="G382" s="32" t="s">
        <v>531</v>
      </c>
      <c r="H382" s="32" t="s">
        <v>352</v>
      </c>
      <c r="I382" s="31" t="s">
        <v>1194</v>
      </c>
      <c r="J382" s="31">
        <v>99</v>
      </c>
      <c r="K382" s="33" t="s">
        <v>704</v>
      </c>
      <c r="L382" s="33" t="s">
        <v>685</v>
      </c>
      <c r="M382" s="34" t="s">
        <v>1386</v>
      </c>
      <c r="N382" s="34" t="s">
        <v>1687</v>
      </c>
      <c r="O382" s="35">
        <v>1</v>
      </c>
      <c r="P382" s="35">
        <v>1</v>
      </c>
      <c r="Q382" s="32"/>
      <c r="S382" s="1">
        <f t="shared" si="133"/>
        <v>0</v>
      </c>
      <c r="T382" s="1">
        <f t="shared" si="134"/>
        <v>0</v>
      </c>
      <c r="U382" s="1">
        <f t="shared" si="135"/>
        <v>0</v>
      </c>
      <c r="V382" s="1">
        <f t="shared" si="136"/>
        <v>0</v>
      </c>
      <c r="W382" s="1">
        <f t="shared" si="137"/>
        <v>0</v>
      </c>
      <c r="X382" s="1">
        <f t="shared" si="138"/>
        <v>0</v>
      </c>
      <c r="Y382" s="1">
        <f t="shared" si="139"/>
        <v>0</v>
      </c>
      <c r="Z382" s="1">
        <f t="shared" si="140"/>
        <v>0</v>
      </c>
      <c r="AA382" s="1">
        <f t="shared" si="141"/>
        <v>0</v>
      </c>
      <c r="AB382" s="1">
        <f t="shared" si="142"/>
        <v>0</v>
      </c>
      <c r="AD382" s="1">
        <f t="shared" si="143"/>
        <v>1</v>
      </c>
      <c r="AE382" s="1">
        <f t="shared" si="144"/>
        <v>0</v>
      </c>
      <c r="AF382" s="1">
        <f t="shared" si="145"/>
        <v>1</v>
      </c>
      <c r="AG382" s="1">
        <f t="shared" si="146"/>
        <v>0</v>
      </c>
      <c r="AH382" s="1">
        <f t="shared" si="147"/>
        <v>1</v>
      </c>
      <c r="AI382" s="1">
        <f t="shared" si="148"/>
        <v>0</v>
      </c>
    </row>
    <row r="383" spans="1:35" ht="14.25" customHeight="1" x14ac:dyDescent="0.25">
      <c r="A383" s="31">
        <v>0</v>
      </c>
      <c r="B383" s="31">
        <v>2</v>
      </c>
      <c r="C383" s="31">
        <v>4</v>
      </c>
      <c r="D383" s="32" t="s">
        <v>804</v>
      </c>
      <c r="E383" s="32" t="s">
        <v>582</v>
      </c>
      <c r="F383" s="32" t="s">
        <v>805</v>
      </c>
      <c r="G383" s="32" t="s">
        <v>915</v>
      </c>
      <c r="H383" s="32" t="s">
        <v>352</v>
      </c>
      <c r="I383" s="31" t="s">
        <v>928</v>
      </c>
      <c r="J383" s="31">
        <v>7</v>
      </c>
      <c r="K383" s="33" t="s">
        <v>703</v>
      </c>
      <c r="L383" s="33" t="s">
        <v>39</v>
      </c>
      <c r="M383" s="34" t="s">
        <v>39</v>
      </c>
      <c r="N383" s="34" t="s">
        <v>1687</v>
      </c>
      <c r="O383" s="35">
        <v>1</v>
      </c>
      <c r="P383" s="35">
        <v>1</v>
      </c>
      <c r="Q383" s="32"/>
      <c r="S383" s="1">
        <f t="shared" si="133"/>
        <v>0</v>
      </c>
      <c r="T383" s="1">
        <f t="shared" si="134"/>
        <v>0</v>
      </c>
      <c r="U383" s="1">
        <f t="shared" si="135"/>
        <v>0</v>
      </c>
      <c r="V383" s="1">
        <f t="shared" si="136"/>
        <v>0</v>
      </c>
      <c r="W383" s="1">
        <f t="shared" si="137"/>
        <v>0</v>
      </c>
      <c r="X383" s="1">
        <f t="shared" si="138"/>
        <v>0</v>
      </c>
      <c r="Y383" s="1">
        <f t="shared" si="139"/>
        <v>1</v>
      </c>
      <c r="Z383" s="1">
        <f t="shared" si="140"/>
        <v>0</v>
      </c>
      <c r="AA383" s="1">
        <f t="shared" si="141"/>
        <v>0</v>
      </c>
      <c r="AB383" s="1">
        <f t="shared" si="142"/>
        <v>0</v>
      </c>
      <c r="AD383" s="1">
        <f t="shared" si="143"/>
        <v>1</v>
      </c>
      <c r="AE383" s="1">
        <f t="shared" si="144"/>
        <v>0</v>
      </c>
      <c r="AF383" s="1">
        <f t="shared" si="145"/>
        <v>1</v>
      </c>
      <c r="AG383" s="1">
        <f t="shared" si="146"/>
        <v>0</v>
      </c>
      <c r="AH383" s="1">
        <f t="shared" si="147"/>
        <v>1</v>
      </c>
      <c r="AI383" s="1">
        <f t="shared" si="148"/>
        <v>0</v>
      </c>
    </row>
    <row r="384" spans="1:35" ht="14.25" customHeight="1" x14ac:dyDescent="0.25">
      <c r="A384" s="31">
        <v>0</v>
      </c>
      <c r="B384" s="31">
        <v>2</v>
      </c>
      <c r="C384" s="31">
        <v>4</v>
      </c>
      <c r="D384" s="32" t="s">
        <v>1566</v>
      </c>
      <c r="E384" s="32" t="s">
        <v>1616</v>
      </c>
      <c r="F384" s="32" t="s">
        <v>1567</v>
      </c>
      <c r="G384" s="32" t="s">
        <v>331</v>
      </c>
      <c r="H384" s="32" t="s">
        <v>352</v>
      </c>
      <c r="I384" s="31" t="s">
        <v>30</v>
      </c>
      <c r="J384" s="31">
        <v>99</v>
      </c>
      <c r="K384" s="33" t="s">
        <v>704</v>
      </c>
      <c r="L384" s="33">
        <v>20</v>
      </c>
      <c r="M384" s="34" t="s">
        <v>39</v>
      </c>
      <c r="N384" s="34" t="s">
        <v>1707</v>
      </c>
      <c r="O384" s="35">
        <v>1</v>
      </c>
      <c r="P384" s="35"/>
      <c r="Q384" s="32"/>
      <c r="S384" s="1">
        <f t="shared" si="133"/>
        <v>0</v>
      </c>
      <c r="T384" s="1">
        <f t="shared" si="134"/>
        <v>0</v>
      </c>
      <c r="U384" s="1">
        <f t="shared" si="135"/>
        <v>0</v>
      </c>
      <c r="V384" s="1">
        <f t="shared" si="136"/>
        <v>0</v>
      </c>
      <c r="W384" s="1">
        <f t="shared" si="137"/>
        <v>0</v>
      </c>
      <c r="X384" s="1">
        <f t="shared" si="138"/>
        <v>0</v>
      </c>
      <c r="Y384" s="1">
        <f t="shared" si="139"/>
        <v>0</v>
      </c>
      <c r="Z384" s="1">
        <f t="shared" si="140"/>
        <v>0</v>
      </c>
      <c r="AA384" s="1">
        <f t="shared" si="141"/>
        <v>0</v>
      </c>
      <c r="AB384" s="1">
        <f t="shared" si="142"/>
        <v>0</v>
      </c>
      <c r="AD384" s="1">
        <f t="shared" si="143"/>
        <v>0</v>
      </c>
      <c r="AE384" s="1">
        <f t="shared" si="144"/>
        <v>1</v>
      </c>
      <c r="AF384" s="1">
        <f t="shared" si="145"/>
        <v>0</v>
      </c>
      <c r="AG384" s="1">
        <f t="shared" si="146"/>
        <v>1</v>
      </c>
      <c r="AH384" s="1">
        <f t="shared" si="147"/>
        <v>0</v>
      </c>
      <c r="AI384" s="1">
        <f t="shared" si="148"/>
        <v>1</v>
      </c>
    </row>
    <row r="385" spans="1:35" ht="14.25" customHeight="1" x14ac:dyDescent="0.25">
      <c r="A385" s="15">
        <v>0</v>
      </c>
      <c r="B385" s="15">
        <v>2</v>
      </c>
      <c r="C385" s="15">
        <v>4</v>
      </c>
      <c r="D385" s="16" t="s">
        <v>2136</v>
      </c>
      <c r="E385" s="16" t="s">
        <v>2137</v>
      </c>
      <c r="F385" s="16" t="s">
        <v>2138</v>
      </c>
      <c r="G385" s="16" t="s">
        <v>278</v>
      </c>
      <c r="H385" s="16" t="s">
        <v>352</v>
      </c>
      <c r="I385" s="21" t="s">
        <v>2139</v>
      </c>
      <c r="J385" s="15">
        <v>99</v>
      </c>
      <c r="K385" s="10" t="s">
        <v>694</v>
      </c>
      <c r="L385" s="10">
        <v>30</v>
      </c>
      <c r="M385" s="19" t="s">
        <v>2140</v>
      </c>
      <c r="N385" s="19"/>
      <c r="Q385" s="16" t="s">
        <v>2141</v>
      </c>
      <c r="S385" s="1">
        <f t="shared" si="133"/>
        <v>0</v>
      </c>
      <c r="T385" s="1">
        <f t="shared" si="134"/>
        <v>0</v>
      </c>
      <c r="U385" s="1">
        <f t="shared" si="135"/>
        <v>0</v>
      </c>
      <c r="V385" s="1">
        <f t="shared" si="136"/>
        <v>0</v>
      </c>
      <c r="W385" s="1">
        <f t="shared" si="137"/>
        <v>0</v>
      </c>
      <c r="X385" s="1">
        <f t="shared" si="138"/>
        <v>0</v>
      </c>
      <c r="Y385" s="1">
        <f t="shared" si="139"/>
        <v>0</v>
      </c>
      <c r="Z385" s="1">
        <f t="shared" si="140"/>
        <v>0</v>
      </c>
      <c r="AA385" s="1">
        <f t="shared" si="141"/>
        <v>0</v>
      </c>
      <c r="AB385" s="1">
        <f t="shared" si="142"/>
        <v>0</v>
      </c>
      <c r="AD385" s="1">
        <f t="shared" ref="AD385:AD388" si="149">+O385*P385</f>
        <v>0</v>
      </c>
      <c r="AE385" s="1">
        <f t="shared" ref="AE385:AE388" si="150">O385*(1-P385)</f>
        <v>0</v>
      </c>
      <c r="AF385" s="1">
        <f t="shared" ref="AF385:AF388" si="151">+O385*P385*(1-A385)</f>
        <v>0</v>
      </c>
      <c r="AG385" s="1">
        <f t="shared" ref="AG385:AG388" si="152">O385*(1-P385)*(1-A385)</f>
        <v>0</v>
      </c>
      <c r="AH385" s="1">
        <f t="shared" ref="AH385:AH388" si="153">+P385*(1-A385)</f>
        <v>0</v>
      </c>
      <c r="AI385" s="1">
        <f t="shared" ref="AI385:AI388" si="154">+(1-A385)*(1-P385)</f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58</v>
      </c>
      <c r="E386" s="32" t="s">
        <v>44</v>
      </c>
      <c r="F386" s="32" t="s">
        <v>663</v>
      </c>
      <c r="G386" s="32" t="s">
        <v>222</v>
      </c>
      <c r="H386" s="32" t="s">
        <v>352</v>
      </c>
      <c r="I386" s="31" t="s">
        <v>395</v>
      </c>
      <c r="J386" s="31">
        <v>8</v>
      </c>
      <c r="K386" s="33" t="s">
        <v>704</v>
      </c>
      <c r="L386" s="33" t="s">
        <v>707</v>
      </c>
      <c r="M386" s="34" t="s">
        <v>1387</v>
      </c>
      <c r="N386" s="34" t="s">
        <v>1700</v>
      </c>
      <c r="O386" s="35">
        <v>1</v>
      </c>
      <c r="P386" s="35"/>
      <c r="Q386" s="32"/>
      <c r="S386" s="1">
        <f t="shared" si="133"/>
        <v>0</v>
      </c>
      <c r="T386" s="1">
        <f t="shared" si="134"/>
        <v>0</v>
      </c>
      <c r="U386" s="1">
        <f t="shared" si="135"/>
        <v>0</v>
      </c>
      <c r="V386" s="1">
        <f t="shared" si="136"/>
        <v>0</v>
      </c>
      <c r="W386" s="1">
        <f t="shared" si="137"/>
        <v>0</v>
      </c>
      <c r="X386" s="1">
        <f t="shared" si="138"/>
        <v>0</v>
      </c>
      <c r="Y386" s="1">
        <f t="shared" si="139"/>
        <v>0</v>
      </c>
      <c r="Z386" s="1">
        <f t="shared" si="140"/>
        <v>1</v>
      </c>
      <c r="AA386" s="1">
        <f t="shared" si="141"/>
        <v>0</v>
      </c>
      <c r="AB386" s="1">
        <f t="shared" si="142"/>
        <v>0</v>
      </c>
      <c r="AD386" s="1">
        <f t="shared" si="149"/>
        <v>0</v>
      </c>
      <c r="AE386" s="1">
        <f t="shared" si="150"/>
        <v>1</v>
      </c>
      <c r="AF386" s="1">
        <f t="shared" si="151"/>
        <v>0</v>
      </c>
      <c r="AG386" s="1">
        <f t="shared" si="152"/>
        <v>1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813</v>
      </c>
      <c r="E387" s="32" t="s">
        <v>812</v>
      </c>
      <c r="F387" s="32" t="s">
        <v>903</v>
      </c>
      <c r="G387" s="32" t="s">
        <v>212</v>
      </c>
      <c r="H387" s="32" t="s">
        <v>352</v>
      </c>
      <c r="I387" s="31" t="s">
        <v>814</v>
      </c>
      <c r="J387" s="31">
        <v>1</v>
      </c>
      <c r="K387" s="33" t="s">
        <v>703</v>
      </c>
      <c r="L387" s="33" t="s">
        <v>684</v>
      </c>
      <c r="M387" s="34" t="s">
        <v>1388</v>
      </c>
      <c r="N387" s="34" t="s">
        <v>1696</v>
      </c>
      <c r="O387" s="35">
        <v>1</v>
      </c>
      <c r="P387" s="35"/>
      <c r="Q387" s="32"/>
      <c r="S387" s="1">
        <f t="shared" si="133"/>
        <v>1</v>
      </c>
      <c r="T387" s="1">
        <f t="shared" si="134"/>
        <v>0</v>
      </c>
      <c r="U387" s="1">
        <f t="shared" si="135"/>
        <v>0</v>
      </c>
      <c r="V387" s="1">
        <f t="shared" si="136"/>
        <v>0</v>
      </c>
      <c r="W387" s="1">
        <f t="shared" si="137"/>
        <v>0</v>
      </c>
      <c r="X387" s="1">
        <f t="shared" si="138"/>
        <v>0</v>
      </c>
      <c r="Y387" s="1">
        <f t="shared" si="139"/>
        <v>0</v>
      </c>
      <c r="Z387" s="1">
        <f t="shared" si="140"/>
        <v>0</v>
      </c>
      <c r="AA387" s="1">
        <f t="shared" si="141"/>
        <v>0</v>
      </c>
      <c r="AB387" s="1">
        <f t="shared" si="142"/>
        <v>0</v>
      </c>
      <c r="AD387" s="1">
        <f t="shared" si="149"/>
        <v>0</v>
      </c>
      <c r="AE387" s="1">
        <f t="shared" si="150"/>
        <v>1</v>
      </c>
      <c r="AF387" s="1">
        <f t="shared" si="151"/>
        <v>0</v>
      </c>
      <c r="AG387" s="1">
        <f t="shared" si="152"/>
        <v>1</v>
      </c>
      <c r="AH387" s="1">
        <f t="shared" si="153"/>
        <v>0</v>
      </c>
      <c r="AI387" s="1">
        <f t="shared" si="154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6" t="s">
        <v>2005</v>
      </c>
      <c r="E388" s="36" t="s">
        <v>169</v>
      </c>
      <c r="F388" s="36" t="s">
        <v>2006</v>
      </c>
      <c r="G388" s="36" t="s">
        <v>1495</v>
      </c>
      <c r="H388" s="36" t="s">
        <v>352</v>
      </c>
      <c r="I388" s="37" t="s">
        <v>2007</v>
      </c>
      <c r="J388" s="31">
        <v>5</v>
      </c>
      <c r="K388" s="33" t="s">
        <v>694</v>
      </c>
      <c r="L388" s="33"/>
      <c r="M388" s="34"/>
      <c r="N388" s="34" t="s">
        <v>1687</v>
      </c>
      <c r="O388" s="35">
        <v>1</v>
      </c>
      <c r="P388" s="35">
        <v>1</v>
      </c>
      <c r="Q388" s="36" t="s">
        <v>2008</v>
      </c>
      <c r="S388" s="1">
        <f t="shared" si="133"/>
        <v>0</v>
      </c>
      <c r="T388" s="1">
        <f t="shared" si="134"/>
        <v>0</v>
      </c>
      <c r="U388" s="1">
        <f t="shared" si="135"/>
        <v>0</v>
      </c>
      <c r="V388" s="1">
        <f t="shared" si="136"/>
        <v>0</v>
      </c>
      <c r="W388" s="1">
        <f t="shared" si="137"/>
        <v>1</v>
      </c>
      <c r="X388" s="1">
        <f t="shared" si="138"/>
        <v>0</v>
      </c>
      <c r="Y388" s="1">
        <f t="shared" si="139"/>
        <v>0</v>
      </c>
      <c r="Z388" s="1">
        <f t="shared" si="140"/>
        <v>0</v>
      </c>
      <c r="AA388" s="1">
        <f t="shared" si="141"/>
        <v>0</v>
      </c>
      <c r="AB388" s="1">
        <f t="shared" si="142"/>
        <v>0</v>
      </c>
      <c r="AD388" s="1">
        <f t="shared" si="149"/>
        <v>1</v>
      </c>
      <c r="AE388" s="1">
        <f t="shared" si="150"/>
        <v>0</v>
      </c>
      <c r="AF388" s="1">
        <f t="shared" si="151"/>
        <v>1</v>
      </c>
      <c r="AG388" s="1">
        <f t="shared" si="152"/>
        <v>0</v>
      </c>
      <c r="AH388" s="1">
        <f t="shared" si="153"/>
        <v>1</v>
      </c>
      <c r="AI388" s="1">
        <f t="shared" si="154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65</v>
      </c>
      <c r="E389" s="32" t="s">
        <v>163</v>
      </c>
      <c r="F389" s="32" t="s">
        <v>543</v>
      </c>
      <c r="G389" s="32" t="s">
        <v>193</v>
      </c>
      <c r="H389" s="32" t="s">
        <v>352</v>
      </c>
      <c r="I389" s="31" t="s">
        <v>548</v>
      </c>
      <c r="J389" s="31">
        <v>9</v>
      </c>
      <c r="K389" s="33" t="s">
        <v>704</v>
      </c>
      <c r="L389" s="33" t="s">
        <v>678</v>
      </c>
      <c r="M389" s="34" t="s">
        <v>1406</v>
      </c>
      <c r="N389" s="34" t="s">
        <v>1713</v>
      </c>
      <c r="O389" s="35">
        <v>1</v>
      </c>
      <c r="P389" s="35"/>
      <c r="Q389" s="32"/>
      <c r="S389" s="1">
        <f t="shared" si="133"/>
        <v>0</v>
      </c>
      <c r="T389" s="1">
        <f t="shared" si="134"/>
        <v>0</v>
      </c>
      <c r="U389" s="1">
        <f t="shared" si="135"/>
        <v>0</v>
      </c>
      <c r="V389" s="1">
        <f t="shared" si="136"/>
        <v>0</v>
      </c>
      <c r="W389" s="1">
        <f t="shared" si="137"/>
        <v>0</v>
      </c>
      <c r="X389" s="1">
        <f t="shared" si="138"/>
        <v>0</v>
      </c>
      <c r="Y389" s="1">
        <f t="shared" si="139"/>
        <v>0</v>
      </c>
      <c r="Z389" s="1">
        <f t="shared" si="140"/>
        <v>0</v>
      </c>
      <c r="AA389" s="1">
        <f t="shared" si="141"/>
        <v>1</v>
      </c>
      <c r="AB389" s="1">
        <f t="shared" si="142"/>
        <v>0</v>
      </c>
      <c r="AD389" s="1">
        <f t="shared" si="143"/>
        <v>0</v>
      </c>
      <c r="AE389" s="1">
        <f t="shared" si="144"/>
        <v>1</v>
      </c>
      <c r="AF389" s="1">
        <f t="shared" si="145"/>
        <v>0</v>
      </c>
      <c r="AG389" s="1">
        <f t="shared" si="146"/>
        <v>1</v>
      </c>
      <c r="AH389" s="1">
        <f t="shared" si="147"/>
        <v>0</v>
      </c>
      <c r="AI389" s="1">
        <f t="shared" si="14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1449</v>
      </c>
      <c r="E390" s="32" t="s">
        <v>35</v>
      </c>
      <c r="F390" s="32" t="s">
        <v>1824</v>
      </c>
      <c r="G390" s="32" t="s">
        <v>221</v>
      </c>
      <c r="H390" s="32" t="s">
        <v>352</v>
      </c>
      <c r="I390" s="31" t="s">
        <v>1646</v>
      </c>
      <c r="J390" s="31">
        <v>99</v>
      </c>
      <c r="K390" s="33" t="s">
        <v>704</v>
      </c>
      <c r="L390" s="33">
        <v>25</v>
      </c>
      <c r="M390" s="34" t="s">
        <v>39</v>
      </c>
      <c r="N390" s="34" t="s">
        <v>1708</v>
      </c>
      <c r="O390" s="35">
        <v>1</v>
      </c>
      <c r="P390" s="35"/>
      <c r="Q390" s="32"/>
      <c r="S390" s="1">
        <f t="shared" si="133"/>
        <v>0</v>
      </c>
      <c r="T390" s="1">
        <f t="shared" si="134"/>
        <v>0</v>
      </c>
      <c r="U390" s="1">
        <f t="shared" si="135"/>
        <v>0</v>
      </c>
      <c r="V390" s="1">
        <f t="shared" si="136"/>
        <v>0</v>
      </c>
      <c r="W390" s="1">
        <f t="shared" si="137"/>
        <v>0</v>
      </c>
      <c r="X390" s="1">
        <f t="shared" si="138"/>
        <v>0</v>
      </c>
      <c r="Y390" s="1">
        <f t="shared" si="139"/>
        <v>0</v>
      </c>
      <c r="Z390" s="1">
        <f t="shared" si="140"/>
        <v>0</v>
      </c>
      <c r="AA390" s="1">
        <f t="shared" si="141"/>
        <v>0</v>
      </c>
      <c r="AB390" s="1">
        <f t="shared" si="142"/>
        <v>0</v>
      </c>
      <c r="AD390" s="1">
        <f t="shared" si="143"/>
        <v>0</v>
      </c>
      <c r="AE390" s="1">
        <f t="shared" si="144"/>
        <v>1</v>
      </c>
      <c r="AF390" s="1">
        <f t="shared" si="145"/>
        <v>0</v>
      </c>
      <c r="AG390" s="1">
        <f t="shared" si="146"/>
        <v>1</v>
      </c>
      <c r="AH390" s="1">
        <f t="shared" si="147"/>
        <v>0</v>
      </c>
      <c r="AI390" s="1">
        <f t="shared" si="14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1770</v>
      </c>
      <c r="E391" s="32" t="s">
        <v>753</v>
      </c>
      <c r="F391" s="32" t="s">
        <v>1771</v>
      </c>
      <c r="G391" s="32" t="s">
        <v>223</v>
      </c>
      <c r="H391" s="32" t="s">
        <v>352</v>
      </c>
      <c r="I391" s="31" t="s">
        <v>1772</v>
      </c>
      <c r="J391" s="31">
        <v>99</v>
      </c>
      <c r="K391" s="33" t="s">
        <v>1773</v>
      </c>
      <c r="L391" s="33">
        <v>40</v>
      </c>
      <c r="M391" s="34" t="s">
        <v>1774</v>
      </c>
      <c r="N391" s="34" t="s">
        <v>1800</v>
      </c>
      <c r="O391" s="35">
        <v>1</v>
      </c>
      <c r="P391" s="35"/>
      <c r="Q391" s="32"/>
      <c r="S391" s="1">
        <f t="shared" si="133"/>
        <v>0</v>
      </c>
      <c r="T391" s="1">
        <f t="shared" si="134"/>
        <v>0</v>
      </c>
      <c r="U391" s="1">
        <f t="shared" si="135"/>
        <v>0</v>
      </c>
      <c r="V391" s="1">
        <f t="shared" si="136"/>
        <v>0</v>
      </c>
      <c r="W391" s="1">
        <f t="shared" si="137"/>
        <v>0</v>
      </c>
      <c r="X391" s="1">
        <f t="shared" si="138"/>
        <v>0</v>
      </c>
      <c r="Y391" s="1">
        <f t="shared" si="139"/>
        <v>0</v>
      </c>
      <c r="Z391" s="1">
        <f t="shared" si="140"/>
        <v>0</v>
      </c>
      <c r="AA391" s="1">
        <f t="shared" si="141"/>
        <v>0</v>
      </c>
      <c r="AB391" s="1">
        <f t="shared" si="142"/>
        <v>0</v>
      </c>
      <c r="AD391" s="1">
        <f t="shared" si="143"/>
        <v>0</v>
      </c>
      <c r="AE391" s="1">
        <f t="shared" si="144"/>
        <v>1</v>
      </c>
      <c r="AF391" s="1">
        <f t="shared" si="145"/>
        <v>0</v>
      </c>
      <c r="AG391" s="1">
        <f t="shared" si="146"/>
        <v>1</v>
      </c>
      <c r="AH391" s="1">
        <f t="shared" si="147"/>
        <v>0</v>
      </c>
      <c r="AI391" s="1">
        <f t="shared" si="148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608</v>
      </c>
      <c r="E392" s="32" t="s">
        <v>677</v>
      </c>
      <c r="F392" s="32" t="s">
        <v>609</v>
      </c>
      <c r="G392" s="32" t="s">
        <v>285</v>
      </c>
      <c r="H392" s="32" t="s">
        <v>352</v>
      </c>
      <c r="I392" s="31" t="s">
        <v>610</v>
      </c>
      <c r="J392" s="31">
        <v>99</v>
      </c>
      <c r="K392" s="33" t="s">
        <v>703</v>
      </c>
      <c r="L392" s="33" t="s">
        <v>695</v>
      </c>
      <c r="M392" s="34" t="s">
        <v>1389</v>
      </c>
      <c r="N392" s="34" t="s">
        <v>1696</v>
      </c>
      <c r="O392" s="35">
        <v>1</v>
      </c>
      <c r="P392" s="35"/>
      <c r="Q392" s="32"/>
      <c r="S392" s="1">
        <f t="shared" si="133"/>
        <v>0</v>
      </c>
      <c r="T392" s="1">
        <f t="shared" si="134"/>
        <v>0</v>
      </c>
      <c r="U392" s="1">
        <f t="shared" si="135"/>
        <v>0</v>
      </c>
      <c r="V392" s="1">
        <f t="shared" si="136"/>
        <v>0</v>
      </c>
      <c r="W392" s="1">
        <f t="shared" si="137"/>
        <v>0</v>
      </c>
      <c r="X392" s="1">
        <f t="shared" si="138"/>
        <v>0</v>
      </c>
      <c r="Y392" s="1">
        <f t="shared" si="139"/>
        <v>0</v>
      </c>
      <c r="Z392" s="1">
        <f t="shared" si="140"/>
        <v>0</v>
      </c>
      <c r="AA392" s="1">
        <f t="shared" si="141"/>
        <v>0</v>
      </c>
      <c r="AB392" s="1">
        <f t="shared" si="142"/>
        <v>0</v>
      </c>
      <c r="AD392" s="1">
        <f t="shared" si="143"/>
        <v>0</v>
      </c>
      <c r="AE392" s="1">
        <f t="shared" si="144"/>
        <v>1</v>
      </c>
      <c r="AF392" s="1">
        <f t="shared" si="145"/>
        <v>0</v>
      </c>
      <c r="AG392" s="1">
        <f t="shared" si="146"/>
        <v>1</v>
      </c>
      <c r="AH392" s="1">
        <f t="shared" si="147"/>
        <v>0</v>
      </c>
      <c r="AI392" s="1">
        <f t="shared" si="148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1451</v>
      </c>
      <c r="E393" s="32" t="s">
        <v>753</v>
      </c>
      <c r="F393" s="32" t="s">
        <v>1452</v>
      </c>
      <c r="G393" s="32" t="s">
        <v>195</v>
      </c>
      <c r="H393" s="32" t="s">
        <v>352</v>
      </c>
      <c r="I393" s="31" t="s">
        <v>1453</v>
      </c>
      <c r="J393" s="31">
        <v>99</v>
      </c>
      <c r="K393" s="33" t="s">
        <v>931</v>
      </c>
      <c r="L393" s="33" t="s">
        <v>684</v>
      </c>
      <c r="M393" s="34" t="s">
        <v>1380</v>
      </c>
      <c r="N393" s="34" t="s">
        <v>1696</v>
      </c>
      <c r="O393" s="35">
        <v>1</v>
      </c>
      <c r="P393" s="35"/>
      <c r="Q393" s="32"/>
      <c r="S393" s="1">
        <f t="shared" si="133"/>
        <v>0</v>
      </c>
      <c r="T393" s="1">
        <f t="shared" si="134"/>
        <v>0</v>
      </c>
      <c r="U393" s="1">
        <f t="shared" si="135"/>
        <v>0</v>
      </c>
      <c r="V393" s="1">
        <f t="shared" si="136"/>
        <v>0</v>
      </c>
      <c r="W393" s="1">
        <f t="shared" si="137"/>
        <v>0</v>
      </c>
      <c r="X393" s="1">
        <f t="shared" si="138"/>
        <v>0</v>
      </c>
      <c r="Y393" s="1">
        <f t="shared" si="139"/>
        <v>0</v>
      </c>
      <c r="Z393" s="1">
        <f t="shared" si="140"/>
        <v>0</v>
      </c>
      <c r="AA393" s="1">
        <f t="shared" si="141"/>
        <v>0</v>
      </c>
      <c r="AB393" s="1">
        <f t="shared" si="142"/>
        <v>0</v>
      </c>
      <c r="AD393" s="1">
        <f t="shared" si="143"/>
        <v>0</v>
      </c>
      <c r="AE393" s="1">
        <f t="shared" si="144"/>
        <v>1</v>
      </c>
      <c r="AF393" s="1">
        <f t="shared" si="145"/>
        <v>0</v>
      </c>
      <c r="AG393" s="1">
        <f t="shared" si="146"/>
        <v>1</v>
      </c>
      <c r="AH393" s="1">
        <f t="shared" si="147"/>
        <v>0</v>
      </c>
      <c r="AI393" s="1">
        <f t="shared" si="14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756</v>
      </c>
      <c r="E394" s="32" t="s">
        <v>753</v>
      </c>
      <c r="F394" s="32" t="s">
        <v>758</v>
      </c>
      <c r="G394" s="32" t="s">
        <v>206</v>
      </c>
      <c r="H394" s="32" t="s">
        <v>352</v>
      </c>
      <c r="I394" s="31" t="s">
        <v>757</v>
      </c>
      <c r="J394" s="31">
        <v>99</v>
      </c>
      <c r="K394" s="33" t="s">
        <v>703</v>
      </c>
      <c r="L394" s="33" t="s">
        <v>685</v>
      </c>
      <c r="M394" s="34" t="s">
        <v>1390</v>
      </c>
      <c r="N394" s="34" t="s">
        <v>1696</v>
      </c>
      <c r="O394" s="35">
        <v>1</v>
      </c>
      <c r="P394" s="35"/>
      <c r="Q394" s="32"/>
      <c r="S394" s="1">
        <f t="shared" si="133"/>
        <v>0</v>
      </c>
      <c r="T394" s="1">
        <f t="shared" si="134"/>
        <v>0</v>
      </c>
      <c r="U394" s="1">
        <f t="shared" si="135"/>
        <v>0</v>
      </c>
      <c r="V394" s="1">
        <f t="shared" si="136"/>
        <v>0</v>
      </c>
      <c r="W394" s="1">
        <f t="shared" si="137"/>
        <v>0</v>
      </c>
      <c r="X394" s="1">
        <f t="shared" si="138"/>
        <v>0</v>
      </c>
      <c r="Y394" s="1">
        <f t="shared" si="139"/>
        <v>0</v>
      </c>
      <c r="Z394" s="1">
        <f t="shared" si="140"/>
        <v>0</v>
      </c>
      <c r="AA394" s="1">
        <f t="shared" si="141"/>
        <v>0</v>
      </c>
      <c r="AB394" s="1">
        <f t="shared" si="142"/>
        <v>0</v>
      </c>
      <c r="AD394" s="1">
        <f t="shared" si="143"/>
        <v>0</v>
      </c>
      <c r="AE394" s="1">
        <f t="shared" si="144"/>
        <v>1</v>
      </c>
      <c r="AF394" s="1">
        <f t="shared" si="145"/>
        <v>0</v>
      </c>
      <c r="AG394" s="1">
        <f t="shared" si="146"/>
        <v>1</v>
      </c>
      <c r="AH394" s="1">
        <f t="shared" si="147"/>
        <v>0</v>
      </c>
      <c r="AI394" s="1">
        <f t="shared" si="148"/>
        <v>1</v>
      </c>
    </row>
    <row r="395" spans="1:35" ht="14.25" customHeight="1" x14ac:dyDescent="0.25">
      <c r="A395" s="31">
        <v>1</v>
      </c>
      <c r="B395" s="31">
        <v>2</v>
      </c>
      <c r="C395" s="31">
        <v>5</v>
      </c>
      <c r="D395" s="32" t="s">
        <v>756</v>
      </c>
      <c r="E395" s="32" t="s">
        <v>753</v>
      </c>
      <c r="F395" s="32" t="s">
        <v>983</v>
      </c>
      <c r="G395" s="32" t="s">
        <v>189</v>
      </c>
      <c r="H395" s="32" t="s">
        <v>352</v>
      </c>
      <c r="I395" s="31" t="s">
        <v>984</v>
      </c>
      <c r="J395" s="31">
        <v>99</v>
      </c>
      <c r="K395" s="33" t="s">
        <v>703</v>
      </c>
      <c r="L395" s="33" t="s">
        <v>685</v>
      </c>
      <c r="M395" s="34" t="s">
        <v>1390</v>
      </c>
      <c r="N395" s="34" t="s">
        <v>1696</v>
      </c>
      <c r="O395" s="35">
        <v>1</v>
      </c>
      <c r="P395" s="35"/>
      <c r="Q395" s="32"/>
      <c r="S395" s="1">
        <f t="shared" si="133"/>
        <v>0</v>
      </c>
      <c r="T395" s="1">
        <f t="shared" si="134"/>
        <v>0</v>
      </c>
      <c r="U395" s="1">
        <f t="shared" si="135"/>
        <v>0</v>
      </c>
      <c r="V395" s="1">
        <f t="shared" si="136"/>
        <v>0</v>
      </c>
      <c r="W395" s="1">
        <f t="shared" si="137"/>
        <v>0</v>
      </c>
      <c r="X395" s="1">
        <f t="shared" si="138"/>
        <v>0</v>
      </c>
      <c r="Y395" s="1">
        <f t="shared" si="139"/>
        <v>0</v>
      </c>
      <c r="Z395" s="1">
        <f t="shared" si="140"/>
        <v>0</v>
      </c>
      <c r="AA395" s="1">
        <f t="shared" si="141"/>
        <v>0</v>
      </c>
      <c r="AB395" s="1">
        <f t="shared" si="142"/>
        <v>0</v>
      </c>
      <c r="AD395" s="1">
        <f t="shared" si="143"/>
        <v>0</v>
      </c>
      <c r="AE395" s="1">
        <f t="shared" si="144"/>
        <v>1</v>
      </c>
      <c r="AF395" s="1">
        <f t="shared" si="145"/>
        <v>0</v>
      </c>
      <c r="AG395" s="1">
        <f t="shared" si="146"/>
        <v>0</v>
      </c>
      <c r="AH395" s="1">
        <f t="shared" si="147"/>
        <v>0</v>
      </c>
      <c r="AI395" s="1">
        <f t="shared" si="148"/>
        <v>0</v>
      </c>
    </row>
    <row r="396" spans="1:35" ht="14.25" customHeight="1" x14ac:dyDescent="0.25">
      <c r="A396" s="15">
        <v>0</v>
      </c>
      <c r="B396" s="15">
        <v>2</v>
      </c>
      <c r="C396" s="15">
        <v>5</v>
      </c>
      <c r="D396" s="16" t="s">
        <v>895</v>
      </c>
      <c r="E396" s="16" t="s">
        <v>890</v>
      </c>
      <c r="F396" s="16" t="s">
        <v>908</v>
      </c>
      <c r="G396" s="16" t="s">
        <v>1317</v>
      </c>
      <c r="H396" s="16" t="s">
        <v>352</v>
      </c>
      <c r="I396" s="15" t="s">
        <v>751</v>
      </c>
      <c r="J396" s="15">
        <v>99</v>
      </c>
      <c r="K396" s="10" t="s">
        <v>694</v>
      </c>
      <c r="L396" s="10">
        <v>20</v>
      </c>
      <c r="M396" s="19" t="s">
        <v>1391</v>
      </c>
      <c r="N396" s="19"/>
      <c r="Q396" s="16"/>
      <c r="S396" s="1">
        <f t="shared" si="133"/>
        <v>0</v>
      </c>
      <c r="T396" s="1">
        <f t="shared" si="134"/>
        <v>0</v>
      </c>
      <c r="U396" s="1">
        <f t="shared" si="135"/>
        <v>0</v>
      </c>
      <c r="V396" s="1">
        <f t="shared" si="136"/>
        <v>0</v>
      </c>
      <c r="W396" s="1">
        <f t="shared" si="137"/>
        <v>0</v>
      </c>
      <c r="X396" s="1">
        <f t="shared" si="138"/>
        <v>0</v>
      </c>
      <c r="Y396" s="1">
        <f t="shared" si="139"/>
        <v>0</v>
      </c>
      <c r="Z396" s="1">
        <f t="shared" si="140"/>
        <v>0</v>
      </c>
      <c r="AA396" s="1">
        <f t="shared" si="141"/>
        <v>0</v>
      </c>
      <c r="AB396" s="1">
        <f t="shared" si="142"/>
        <v>0</v>
      </c>
      <c r="AD396" s="1">
        <f t="shared" si="143"/>
        <v>0</v>
      </c>
      <c r="AE396" s="1">
        <f t="shared" si="144"/>
        <v>0</v>
      </c>
      <c r="AF396" s="1">
        <f t="shared" si="145"/>
        <v>0</v>
      </c>
      <c r="AG396" s="1">
        <f t="shared" si="146"/>
        <v>0</v>
      </c>
      <c r="AH396" s="1">
        <f t="shared" si="147"/>
        <v>0</v>
      </c>
      <c r="AI396" s="1">
        <f t="shared" si="14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1871</v>
      </c>
      <c r="E397" s="32"/>
      <c r="F397" s="32" t="s">
        <v>1872</v>
      </c>
      <c r="G397" s="32" t="s">
        <v>207</v>
      </c>
      <c r="H397" s="32" t="s">
        <v>352</v>
      </c>
      <c r="I397" s="31" t="s">
        <v>1873</v>
      </c>
      <c r="J397" s="31">
        <v>3</v>
      </c>
      <c r="K397" s="33" t="s">
        <v>694</v>
      </c>
      <c r="L397" s="33"/>
      <c r="M397" s="34"/>
      <c r="N397" s="34" t="s">
        <v>1687</v>
      </c>
      <c r="O397" s="35">
        <v>1</v>
      </c>
      <c r="P397" s="35">
        <v>1</v>
      </c>
      <c r="Q397" s="32" t="s">
        <v>1874</v>
      </c>
      <c r="S397" s="1">
        <f t="shared" si="133"/>
        <v>0</v>
      </c>
      <c r="T397" s="1">
        <f t="shared" si="134"/>
        <v>0</v>
      </c>
      <c r="U397" s="1">
        <f t="shared" si="135"/>
        <v>1</v>
      </c>
      <c r="V397" s="1">
        <f t="shared" si="136"/>
        <v>0</v>
      </c>
      <c r="W397" s="1">
        <f t="shared" si="137"/>
        <v>0</v>
      </c>
      <c r="X397" s="1">
        <f t="shared" si="138"/>
        <v>0</v>
      </c>
      <c r="Y397" s="1">
        <f t="shared" si="139"/>
        <v>0</v>
      </c>
      <c r="Z397" s="1">
        <f t="shared" si="140"/>
        <v>0</v>
      </c>
      <c r="AA397" s="1">
        <f t="shared" si="141"/>
        <v>0</v>
      </c>
      <c r="AB397" s="1">
        <f t="shared" si="142"/>
        <v>0</v>
      </c>
      <c r="AD397" s="1">
        <f t="shared" si="143"/>
        <v>1</v>
      </c>
      <c r="AE397" s="1">
        <f t="shared" si="144"/>
        <v>0</v>
      </c>
      <c r="AF397" s="1">
        <f t="shared" si="145"/>
        <v>1</v>
      </c>
      <c r="AG397" s="1">
        <f t="shared" si="146"/>
        <v>0</v>
      </c>
      <c r="AH397" s="1">
        <f t="shared" si="147"/>
        <v>1</v>
      </c>
      <c r="AI397" s="1">
        <f t="shared" si="148"/>
        <v>0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1238</v>
      </c>
      <c r="E398" s="32" t="s">
        <v>1239</v>
      </c>
      <c r="F398" s="32" t="s">
        <v>1240</v>
      </c>
      <c r="G398" s="32" t="s">
        <v>219</v>
      </c>
      <c r="H398" s="32" t="s">
        <v>352</v>
      </c>
      <c r="I398" s="31" t="s">
        <v>1683</v>
      </c>
      <c r="J398" s="31">
        <v>8</v>
      </c>
      <c r="K398" s="33" t="s">
        <v>704</v>
      </c>
      <c r="L398" s="33" t="s">
        <v>39</v>
      </c>
      <c r="M398" s="34" t="s">
        <v>39</v>
      </c>
      <c r="N398" s="34" t="s">
        <v>1687</v>
      </c>
      <c r="O398" s="35">
        <v>1</v>
      </c>
      <c r="P398" s="35">
        <v>1</v>
      </c>
      <c r="Q398" s="32"/>
      <c r="S398" s="1">
        <f t="shared" si="133"/>
        <v>0</v>
      </c>
      <c r="T398" s="1">
        <f t="shared" si="134"/>
        <v>0</v>
      </c>
      <c r="U398" s="1">
        <f t="shared" si="135"/>
        <v>0</v>
      </c>
      <c r="V398" s="1">
        <f t="shared" si="136"/>
        <v>0</v>
      </c>
      <c r="W398" s="1">
        <f t="shared" si="137"/>
        <v>0</v>
      </c>
      <c r="X398" s="1">
        <f t="shared" si="138"/>
        <v>0</v>
      </c>
      <c r="Y398" s="1">
        <f t="shared" si="139"/>
        <v>0</v>
      </c>
      <c r="Z398" s="1">
        <f t="shared" si="140"/>
        <v>1</v>
      </c>
      <c r="AA398" s="1">
        <f t="shared" si="141"/>
        <v>0</v>
      </c>
      <c r="AB398" s="1">
        <f t="shared" si="142"/>
        <v>0</v>
      </c>
      <c r="AD398" s="1">
        <f t="shared" si="143"/>
        <v>1</v>
      </c>
      <c r="AE398" s="1">
        <f t="shared" si="144"/>
        <v>0</v>
      </c>
      <c r="AF398" s="1">
        <f t="shared" si="145"/>
        <v>1</v>
      </c>
      <c r="AG398" s="1">
        <f t="shared" si="146"/>
        <v>0</v>
      </c>
      <c r="AH398" s="1">
        <f t="shared" si="147"/>
        <v>1</v>
      </c>
      <c r="AI398" s="1">
        <f t="shared" si="148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1059</v>
      </c>
      <c r="E399" s="32" t="s">
        <v>154</v>
      </c>
      <c r="F399" s="32" t="s">
        <v>1043</v>
      </c>
      <c r="G399" s="32" t="s">
        <v>319</v>
      </c>
      <c r="H399" s="32" t="s">
        <v>352</v>
      </c>
      <c r="I399" s="31" t="s">
        <v>1044</v>
      </c>
      <c r="J399" s="31">
        <v>99</v>
      </c>
      <c r="K399" s="33" t="s">
        <v>704</v>
      </c>
      <c r="L399" s="33" t="s">
        <v>685</v>
      </c>
      <c r="M399" s="34" t="s">
        <v>1392</v>
      </c>
      <c r="N399" s="34" t="s">
        <v>1708</v>
      </c>
      <c r="O399" s="35">
        <v>1</v>
      </c>
      <c r="P399" s="35"/>
      <c r="Q399" s="32"/>
      <c r="S399" s="1">
        <f t="shared" si="133"/>
        <v>0</v>
      </c>
      <c r="T399" s="1">
        <f t="shared" si="134"/>
        <v>0</v>
      </c>
      <c r="U399" s="1">
        <f t="shared" si="135"/>
        <v>0</v>
      </c>
      <c r="V399" s="1">
        <f t="shared" si="136"/>
        <v>0</v>
      </c>
      <c r="W399" s="1">
        <f t="shared" si="137"/>
        <v>0</v>
      </c>
      <c r="X399" s="1">
        <f t="shared" si="138"/>
        <v>0</v>
      </c>
      <c r="Y399" s="1">
        <f t="shared" si="139"/>
        <v>0</v>
      </c>
      <c r="Z399" s="1">
        <f t="shared" si="140"/>
        <v>0</v>
      </c>
      <c r="AA399" s="1">
        <f t="shared" si="141"/>
        <v>0</v>
      </c>
      <c r="AB399" s="1">
        <f t="shared" si="142"/>
        <v>0</v>
      </c>
      <c r="AD399" s="1">
        <f t="shared" si="143"/>
        <v>0</v>
      </c>
      <c r="AE399" s="1">
        <f t="shared" si="144"/>
        <v>1</v>
      </c>
      <c r="AF399" s="1">
        <f t="shared" si="145"/>
        <v>0</v>
      </c>
      <c r="AG399" s="1">
        <f t="shared" si="146"/>
        <v>1</v>
      </c>
      <c r="AH399" s="1">
        <f t="shared" si="147"/>
        <v>0</v>
      </c>
      <c r="AI399" s="1">
        <f t="shared" si="148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777</v>
      </c>
      <c r="E400" s="32" t="s">
        <v>753</v>
      </c>
      <c r="F400" s="32" t="s">
        <v>911</v>
      </c>
      <c r="G400" s="32" t="s">
        <v>219</v>
      </c>
      <c r="H400" s="32" t="s">
        <v>352</v>
      </c>
      <c r="I400" s="31" t="s">
        <v>778</v>
      </c>
      <c r="J400" s="31">
        <v>8</v>
      </c>
      <c r="K400" s="33" t="s">
        <v>694</v>
      </c>
      <c r="L400" s="33">
        <v>20</v>
      </c>
      <c r="M400" s="34" t="s">
        <v>1383</v>
      </c>
      <c r="N400" s="34" t="s">
        <v>1776</v>
      </c>
      <c r="O400" s="35">
        <v>1</v>
      </c>
      <c r="P400" s="35"/>
      <c r="Q400" s="32"/>
      <c r="S400" s="1">
        <f t="shared" si="133"/>
        <v>0</v>
      </c>
      <c r="T400" s="1">
        <f t="shared" si="134"/>
        <v>0</v>
      </c>
      <c r="U400" s="1">
        <f t="shared" si="135"/>
        <v>0</v>
      </c>
      <c r="V400" s="1">
        <f t="shared" si="136"/>
        <v>0</v>
      </c>
      <c r="W400" s="1">
        <f t="shared" si="137"/>
        <v>0</v>
      </c>
      <c r="X400" s="1">
        <f t="shared" si="138"/>
        <v>0</v>
      </c>
      <c r="Y400" s="1">
        <f t="shared" si="139"/>
        <v>0</v>
      </c>
      <c r="Z400" s="1">
        <f t="shared" si="140"/>
        <v>1</v>
      </c>
      <c r="AA400" s="1">
        <f t="shared" si="141"/>
        <v>0</v>
      </c>
      <c r="AB400" s="1">
        <f t="shared" si="142"/>
        <v>0</v>
      </c>
      <c r="AD400" s="1">
        <f t="shared" si="143"/>
        <v>0</v>
      </c>
      <c r="AE400" s="1">
        <f t="shared" si="144"/>
        <v>1</v>
      </c>
      <c r="AF400" s="1">
        <f t="shared" si="145"/>
        <v>0</v>
      </c>
      <c r="AG400" s="1">
        <f t="shared" si="146"/>
        <v>1</v>
      </c>
      <c r="AH400" s="1">
        <f t="shared" si="147"/>
        <v>0</v>
      </c>
      <c r="AI400" s="1">
        <f t="shared" si="14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79</v>
      </c>
      <c r="E401" s="32" t="s">
        <v>158</v>
      </c>
      <c r="F401" s="32" t="s">
        <v>267</v>
      </c>
      <c r="G401" s="32" t="s">
        <v>212</v>
      </c>
      <c r="H401" s="32" t="s">
        <v>352</v>
      </c>
      <c r="I401" s="31" t="s">
        <v>423</v>
      </c>
      <c r="J401" s="31">
        <v>1</v>
      </c>
      <c r="K401" s="33" t="s">
        <v>932</v>
      </c>
      <c r="L401" s="33" t="s">
        <v>695</v>
      </c>
      <c r="M401" s="34" t="s">
        <v>718</v>
      </c>
      <c r="N401" s="34" t="s">
        <v>1696</v>
      </c>
      <c r="O401" s="35">
        <v>1</v>
      </c>
      <c r="P401" s="35"/>
      <c r="Q401" s="32"/>
      <c r="S401" s="1">
        <f t="shared" si="133"/>
        <v>1</v>
      </c>
      <c r="T401" s="1">
        <f t="shared" si="134"/>
        <v>0</v>
      </c>
      <c r="U401" s="1">
        <f t="shared" si="135"/>
        <v>0</v>
      </c>
      <c r="V401" s="1">
        <f t="shared" si="136"/>
        <v>0</v>
      </c>
      <c r="W401" s="1">
        <f t="shared" si="137"/>
        <v>0</v>
      </c>
      <c r="X401" s="1">
        <f t="shared" si="138"/>
        <v>0</v>
      </c>
      <c r="Y401" s="1">
        <f t="shared" si="139"/>
        <v>0</v>
      </c>
      <c r="Z401" s="1">
        <f t="shared" si="140"/>
        <v>0</v>
      </c>
      <c r="AA401" s="1">
        <f t="shared" si="141"/>
        <v>0</v>
      </c>
      <c r="AB401" s="1">
        <f t="shared" si="142"/>
        <v>0</v>
      </c>
      <c r="AD401" s="1">
        <f t="shared" si="143"/>
        <v>0</v>
      </c>
      <c r="AE401" s="1">
        <f t="shared" si="144"/>
        <v>1</v>
      </c>
      <c r="AF401" s="1">
        <f t="shared" si="145"/>
        <v>0</v>
      </c>
      <c r="AG401" s="1">
        <f t="shared" si="146"/>
        <v>1</v>
      </c>
      <c r="AH401" s="1">
        <f t="shared" si="147"/>
        <v>0</v>
      </c>
      <c r="AI401" s="1">
        <f t="shared" si="14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6" t="s">
        <v>2093</v>
      </c>
      <c r="E402" s="36" t="s">
        <v>812</v>
      </c>
      <c r="F402" s="36" t="s">
        <v>2094</v>
      </c>
      <c r="G402" s="36" t="s">
        <v>202</v>
      </c>
      <c r="H402" s="36" t="s">
        <v>352</v>
      </c>
      <c r="I402" s="37" t="s">
        <v>2095</v>
      </c>
      <c r="J402" s="31">
        <v>99</v>
      </c>
      <c r="K402" s="33" t="s">
        <v>694</v>
      </c>
      <c r="L402" s="33"/>
      <c r="M402" s="34"/>
      <c r="N402" s="34" t="s">
        <v>1687</v>
      </c>
      <c r="O402" s="35">
        <v>1</v>
      </c>
      <c r="P402" s="35">
        <v>1</v>
      </c>
      <c r="Q402" s="32"/>
      <c r="S402" s="1">
        <f t="shared" si="133"/>
        <v>0</v>
      </c>
      <c r="T402" s="1">
        <f t="shared" si="134"/>
        <v>0</v>
      </c>
      <c r="U402" s="1">
        <f t="shared" si="135"/>
        <v>0</v>
      </c>
      <c r="V402" s="1">
        <f t="shared" si="136"/>
        <v>0</v>
      </c>
      <c r="W402" s="1">
        <f t="shared" si="137"/>
        <v>0</v>
      </c>
      <c r="X402" s="1">
        <f t="shared" si="138"/>
        <v>0</v>
      </c>
      <c r="Y402" s="1">
        <f t="shared" si="139"/>
        <v>0</v>
      </c>
      <c r="Z402" s="1">
        <f t="shared" si="140"/>
        <v>0</v>
      </c>
      <c r="AA402" s="1">
        <f t="shared" si="141"/>
        <v>0</v>
      </c>
      <c r="AB402" s="1">
        <f t="shared" si="142"/>
        <v>0</v>
      </c>
      <c r="AD402" s="1">
        <f t="shared" si="143"/>
        <v>1</v>
      </c>
      <c r="AE402" s="1">
        <f t="shared" si="144"/>
        <v>0</v>
      </c>
      <c r="AF402" s="1">
        <f t="shared" si="145"/>
        <v>1</v>
      </c>
      <c r="AG402" s="1">
        <f t="shared" si="146"/>
        <v>0</v>
      </c>
      <c r="AH402" s="1">
        <f t="shared" si="147"/>
        <v>1</v>
      </c>
      <c r="AI402" s="1">
        <f t="shared" si="148"/>
        <v>0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2029</v>
      </c>
      <c r="E403" s="32" t="s">
        <v>171</v>
      </c>
      <c r="F403" s="32" t="s">
        <v>2030</v>
      </c>
      <c r="G403" s="32" t="s">
        <v>206</v>
      </c>
      <c r="H403" s="32" t="s">
        <v>352</v>
      </c>
      <c r="I403" s="31" t="s">
        <v>2031</v>
      </c>
      <c r="J403" s="31">
        <v>99</v>
      </c>
      <c r="K403" s="33" t="s">
        <v>694</v>
      </c>
      <c r="L403" s="33">
        <v>30</v>
      </c>
      <c r="M403" s="34" t="s">
        <v>947</v>
      </c>
      <c r="N403" s="34" t="s">
        <v>1696</v>
      </c>
      <c r="O403" s="35">
        <v>1</v>
      </c>
      <c r="P403" s="35"/>
      <c r="Q403" s="32" t="s">
        <v>2032</v>
      </c>
      <c r="S403" s="1">
        <f t="shared" si="133"/>
        <v>0</v>
      </c>
      <c r="T403" s="1">
        <f t="shared" si="134"/>
        <v>0</v>
      </c>
      <c r="U403" s="1">
        <f t="shared" si="135"/>
        <v>0</v>
      </c>
      <c r="V403" s="1">
        <f t="shared" si="136"/>
        <v>0</v>
      </c>
      <c r="W403" s="1">
        <f t="shared" si="137"/>
        <v>0</v>
      </c>
      <c r="X403" s="1">
        <f t="shared" si="138"/>
        <v>0</v>
      </c>
      <c r="Y403" s="1">
        <f t="shared" si="139"/>
        <v>0</v>
      </c>
      <c r="Z403" s="1">
        <f t="shared" si="140"/>
        <v>0</v>
      </c>
      <c r="AA403" s="1">
        <f t="shared" si="141"/>
        <v>0</v>
      </c>
      <c r="AB403" s="1">
        <f t="shared" si="142"/>
        <v>0</v>
      </c>
      <c r="AD403" s="1">
        <f t="shared" si="143"/>
        <v>0</v>
      </c>
      <c r="AE403" s="1">
        <f t="shared" si="144"/>
        <v>1</v>
      </c>
      <c r="AF403" s="1">
        <f t="shared" si="145"/>
        <v>0</v>
      </c>
      <c r="AG403" s="1">
        <f t="shared" si="146"/>
        <v>1</v>
      </c>
      <c r="AH403" s="1">
        <f t="shared" si="147"/>
        <v>0</v>
      </c>
      <c r="AI403" s="1">
        <f t="shared" si="14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1603</v>
      </c>
      <c r="E404" s="32" t="s">
        <v>1615</v>
      </c>
      <c r="F404" s="32" t="s">
        <v>1512</v>
      </c>
      <c r="G404" s="32" t="s">
        <v>261</v>
      </c>
      <c r="H404" s="32" t="s">
        <v>352</v>
      </c>
      <c r="I404" s="31" t="s">
        <v>1513</v>
      </c>
      <c r="J404" s="31">
        <v>99</v>
      </c>
      <c r="K404" s="33" t="s">
        <v>932</v>
      </c>
      <c r="L404" s="33">
        <v>40</v>
      </c>
      <c r="M404" s="34" t="s">
        <v>39</v>
      </c>
      <c r="N404" s="34" t="s">
        <v>1776</v>
      </c>
      <c r="O404" s="35">
        <v>1</v>
      </c>
      <c r="P404" s="35"/>
      <c r="Q404" s="32"/>
      <c r="S404" s="1">
        <f t="shared" si="133"/>
        <v>0</v>
      </c>
      <c r="T404" s="1">
        <f t="shared" si="134"/>
        <v>0</v>
      </c>
      <c r="U404" s="1">
        <f t="shared" si="135"/>
        <v>0</v>
      </c>
      <c r="V404" s="1">
        <f t="shared" si="136"/>
        <v>0</v>
      </c>
      <c r="W404" s="1">
        <f t="shared" si="137"/>
        <v>0</v>
      </c>
      <c r="X404" s="1">
        <f t="shared" si="138"/>
        <v>0</v>
      </c>
      <c r="Y404" s="1">
        <f t="shared" si="139"/>
        <v>0</v>
      </c>
      <c r="Z404" s="1">
        <f t="shared" si="140"/>
        <v>0</v>
      </c>
      <c r="AA404" s="1">
        <f t="shared" si="141"/>
        <v>0</v>
      </c>
      <c r="AB404" s="1">
        <f t="shared" si="142"/>
        <v>0</v>
      </c>
      <c r="AD404" s="1">
        <f t="shared" si="143"/>
        <v>0</v>
      </c>
      <c r="AE404" s="1">
        <f t="shared" si="144"/>
        <v>1</v>
      </c>
      <c r="AF404" s="1">
        <f t="shared" si="145"/>
        <v>0</v>
      </c>
      <c r="AG404" s="1">
        <f t="shared" si="146"/>
        <v>1</v>
      </c>
      <c r="AH404" s="1">
        <f t="shared" si="147"/>
        <v>0</v>
      </c>
      <c r="AI404" s="1">
        <f t="shared" si="148"/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1265</v>
      </c>
      <c r="E405" s="32" t="s">
        <v>27</v>
      </c>
      <c r="F405" s="32" t="s">
        <v>1266</v>
      </c>
      <c r="G405" s="32" t="s">
        <v>1267</v>
      </c>
      <c r="H405" s="32" t="s">
        <v>352</v>
      </c>
      <c r="I405" s="31" t="s">
        <v>1268</v>
      </c>
      <c r="J405" s="31">
        <v>99</v>
      </c>
      <c r="K405" s="33" t="s">
        <v>932</v>
      </c>
      <c r="L405" s="33" t="s">
        <v>39</v>
      </c>
      <c r="M405" s="34" t="s">
        <v>39</v>
      </c>
      <c r="N405" s="34" t="s">
        <v>1687</v>
      </c>
      <c r="O405" s="35">
        <v>1</v>
      </c>
      <c r="P405" s="35">
        <v>1</v>
      </c>
      <c r="Q405" s="36"/>
      <c r="S405" s="1">
        <f t="shared" si="133"/>
        <v>0</v>
      </c>
      <c r="T405" s="1">
        <f t="shared" si="134"/>
        <v>0</v>
      </c>
      <c r="U405" s="1">
        <f t="shared" si="135"/>
        <v>0</v>
      </c>
      <c r="V405" s="1">
        <f t="shared" si="136"/>
        <v>0</v>
      </c>
      <c r="W405" s="1">
        <f t="shared" si="137"/>
        <v>0</v>
      </c>
      <c r="X405" s="1">
        <f t="shared" si="138"/>
        <v>0</v>
      </c>
      <c r="Y405" s="1">
        <f t="shared" si="139"/>
        <v>0</v>
      </c>
      <c r="Z405" s="1">
        <f t="shared" si="140"/>
        <v>0</v>
      </c>
      <c r="AA405" s="1">
        <f t="shared" si="141"/>
        <v>0</v>
      </c>
      <c r="AB405" s="1">
        <f t="shared" si="142"/>
        <v>0</v>
      </c>
      <c r="AD405" s="1">
        <f t="shared" si="143"/>
        <v>1</v>
      </c>
      <c r="AE405" s="1">
        <f t="shared" si="144"/>
        <v>0</v>
      </c>
      <c r="AF405" s="1">
        <f t="shared" si="145"/>
        <v>1</v>
      </c>
      <c r="AG405" s="1">
        <f t="shared" si="146"/>
        <v>0</v>
      </c>
      <c r="AH405" s="1">
        <f t="shared" si="147"/>
        <v>1</v>
      </c>
      <c r="AI405" s="1">
        <f t="shared" si="148"/>
        <v>0</v>
      </c>
    </row>
    <row r="406" spans="1:35" ht="14.25" customHeight="1" x14ac:dyDescent="0.25">
      <c r="A406" s="15">
        <v>0</v>
      </c>
      <c r="B406" s="15">
        <v>2</v>
      </c>
      <c r="C406" s="15">
        <v>5</v>
      </c>
      <c r="D406" s="16" t="s">
        <v>1564</v>
      </c>
      <c r="E406" s="16" t="s">
        <v>158</v>
      </c>
      <c r="F406" s="16" t="s">
        <v>2092</v>
      </c>
      <c r="G406" s="16" t="s">
        <v>1431</v>
      </c>
      <c r="H406" s="16" t="s">
        <v>352</v>
      </c>
      <c r="I406" s="15" t="s">
        <v>1432</v>
      </c>
      <c r="J406" s="15">
        <v>99</v>
      </c>
      <c r="K406" s="10" t="s">
        <v>704</v>
      </c>
      <c r="L406" s="10" t="s">
        <v>687</v>
      </c>
      <c r="M406" s="19" t="s">
        <v>1433</v>
      </c>
      <c r="N406" s="19"/>
      <c r="Q406" s="16"/>
      <c r="S406" s="1">
        <f t="shared" si="133"/>
        <v>0</v>
      </c>
      <c r="T406" s="1">
        <f t="shared" si="134"/>
        <v>0</v>
      </c>
      <c r="U406" s="1">
        <f t="shared" si="135"/>
        <v>0</v>
      </c>
      <c r="V406" s="1">
        <f t="shared" si="136"/>
        <v>0</v>
      </c>
      <c r="W406" s="1">
        <f t="shared" si="137"/>
        <v>0</v>
      </c>
      <c r="X406" s="1">
        <f t="shared" si="138"/>
        <v>0</v>
      </c>
      <c r="Y406" s="1">
        <f t="shared" si="139"/>
        <v>0</v>
      </c>
      <c r="Z406" s="1">
        <f t="shared" si="140"/>
        <v>0</v>
      </c>
      <c r="AA406" s="1">
        <f t="shared" si="141"/>
        <v>0</v>
      </c>
      <c r="AB406" s="1">
        <f t="shared" si="142"/>
        <v>0</v>
      </c>
      <c r="AD406" s="1">
        <f t="shared" si="143"/>
        <v>0</v>
      </c>
      <c r="AE406" s="1">
        <f t="shared" si="144"/>
        <v>0</v>
      </c>
      <c r="AF406" s="1">
        <f t="shared" si="145"/>
        <v>0</v>
      </c>
      <c r="AG406" s="1">
        <f t="shared" si="146"/>
        <v>0</v>
      </c>
      <c r="AH406" s="1">
        <f t="shared" si="147"/>
        <v>0</v>
      </c>
      <c r="AI406" s="1">
        <f t="shared" si="148"/>
        <v>1</v>
      </c>
    </row>
    <row r="407" spans="1:35" ht="14.25" customHeight="1" x14ac:dyDescent="0.25">
      <c r="A407" s="31">
        <v>0</v>
      </c>
      <c r="B407" s="31">
        <v>2</v>
      </c>
      <c r="C407" s="31">
        <v>5</v>
      </c>
      <c r="D407" s="32" t="s">
        <v>1989</v>
      </c>
      <c r="E407" s="32" t="s">
        <v>1990</v>
      </c>
      <c r="F407" s="32" t="s">
        <v>1991</v>
      </c>
      <c r="G407" s="32" t="s">
        <v>1994</v>
      </c>
      <c r="H407" s="32" t="s">
        <v>352</v>
      </c>
      <c r="I407" s="31" t="s">
        <v>1992</v>
      </c>
      <c r="J407" s="31"/>
      <c r="K407" s="33" t="s">
        <v>1773</v>
      </c>
      <c r="L407" s="33"/>
      <c r="M407" s="34"/>
      <c r="N407" s="34" t="s">
        <v>1687</v>
      </c>
      <c r="O407" s="35">
        <v>1</v>
      </c>
      <c r="P407" s="35">
        <v>1</v>
      </c>
      <c r="Q407" s="32" t="s">
        <v>1993</v>
      </c>
      <c r="S407" s="1">
        <f t="shared" ref="S407:S470" si="155">IF(J407=$S$7,1,0)</f>
        <v>0</v>
      </c>
      <c r="T407" s="1">
        <f t="shared" ref="T407:T470" si="156">IF(J407=$T$7,1,0)</f>
        <v>0</v>
      </c>
      <c r="U407" s="1">
        <f t="shared" ref="U407:U470" si="157">IF(J407=$U$7,1,0)</f>
        <v>0</v>
      </c>
      <c r="V407" s="1">
        <f t="shared" ref="V407:V470" si="158">IF(J407=$V$7,1,0)</f>
        <v>0</v>
      </c>
      <c r="W407" s="1">
        <f t="shared" ref="W407:W470" si="159">IF(J407=$W$7,1,0)</f>
        <v>0</v>
      </c>
      <c r="X407" s="1">
        <f t="shared" ref="X407:X470" si="160">IF(J407=$X$7,1,0)</f>
        <v>0</v>
      </c>
      <c r="Y407" s="1">
        <f t="shared" ref="Y407:Y470" si="161">IF(J407=$Y$7,1,0)</f>
        <v>0</v>
      </c>
      <c r="Z407" s="1">
        <f t="shared" ref="Z407:Z470" si="162">IF(J407=$Z$7,1,0)</f>
        <v>0</v>
      </c>
      <c r="AA407" s="1">
        <f t="shared" ref="AA407:AA470" si="163">IF(J407=$AA$7,1,0)</f>
        <v>0</v>
      </c>
      <c r="AB407" s="1">
        <f t="shared" ref="AB407:AB470" si="164">IF(J407=$AB$7,1,0)</f>
        <v>0</v>
      </c>
      <c r="AD407" s="1">
        <f t="shared" ref="AD407:AD470" si="165">+O407*P407</f>
        <v>1</v>
      </c>
      <c r="AE407" s="1">
        <f t="shared" ref="AE407:AE470" si="166">O407*(1-P407)</f>
        <v>0</v>
      </c>
      <c r="AF407" s="1">
        <f t="shared" si="145"/>
        <v>1</v>
      </c>
      <c r="AG407" s="1">
        <f t="shared" si="146"/>
        <v>0</v>
      </c>
      <c r="AH407" s="1">
        <f t="shared" si="147"/>
        <v>1</v>
      </c>
      <c r="AI407" s="1">
        <f t="shared" si="148"/>
        <v>0</v>
      </c>
    </row>
    <row r="408" spans="1:35" ht="14.25" customHeight="1" x14ac:dyDescent="0.25">
      <c r="A408" s="31">
        <v>0</v>
      </c>
      <c r="B408" s="31">
        <v>2</v>
      </c>
      <c r="C408" s="31">
        <v>5</v>
      </c>
      <c r="D408" s="32" t="s">
        <v>1730</v>
      </c>
      <c r="E408" s="32" t="s">
        <v>154</v>
      </c>
      <c r="F408" s="32" t="s">
        <v>1731</v>
      </c>
      <c r="G408" s="32" t="s">
        <v>648</v>
      </c>
      <c r="H408" s="32" t="s">
        <v>352</v>
      </c>
      <c r="I408" s="31" t="s">
        <v>1732</v>
      </c>
      <c r="J408" s="31"/>
      <c r="K408" s="33" t="s">
        <v>694</v>
      </c>
      <c r="L408" s="33">
        <v>40</v>
      </c>
      <c r="M408" s="34" t="s">
        <v>1733</v>
      </c>
      <c r="N408" s="34" t="s">
        <v>1696</v>
      </c>
      <c r="O408" s="35">
        <v>1</v>
      </c>
      <c r="P408" s="35"/>
      <c r="Q408" s="32"/>
      <c r="S408" s="1">
        <f t="shared" si="155"/>
        <v>0</v>
      </c>
      <c r="T408" s="1">
        <f t="shared" si="156"/>
        <v>0</v>
      </c>
      <c r="U408" s="1">
        <f t="shared" si="157"/>
        <v>0</v>
      </c>
      <c r="V408" s="1">
        <f t="shared" si="158"/>
        <v>0</v>
      </c>
      <c r="W408" s="1">
        <f t="shared" si="159"/>
        <v>0</v>
      </c>
      <c r="X408" s="1">
        <f t="shared" si="160"/>
        <v>0</v>
      </c>
      <c r="Y408" s="1">
        <f t="shared" si="161"/>
        <v>0</v>
      </c>
      <c r="Z408" s="1">
        <f t="shared" si="162"/>
        <v>0</v>
      </c>
      <c r="AA408" s="1">
        <f t="shared" si="163"/>
        <v>0</v>
      </c>
      <c r="AB408" s="1">
        <f t="shared" si="164"/>
        <v>0</v>
      </c>
      <c r="AD408" s="1">
        <f t="shared" si="165"/>
        <v>0</v>
      </c>
      <c r="AE408" s="1">
        <f t="shared" si="166"/>
        <v>1</v>
      </c>
      <c r="AF408" s="1">
        <f t="shared" ref="AF408:AF471" si="167">+O408*P408*(1-A408)</f>
        <v>0</v>
      </c>
      <c r="AG408" s="1">
        <f t="shared" ref="AG408:AG471" si="168">O408*(1-P408)*(1-A408)</f>
        <v>1</v>
      </c>
      <c r="AH408" s="1">
        <f t="shared" ref="AH408:AH471" si="169">+P408*(1-A408)</f>
        <v>0</v>
      </c>
      <c r="AI408" s="1">
        <f t="shared" ref="AI408:AI471" si="170">+(1-A408)*(1-P408)</f>
        <v>1</v>
      </c>
    </row>
    <row r="409" spans="1:35" ht="14.25" customHeight="1" x14ac:dyDescent="0.25">
      <c r="A409" s="31">
        <v>0</v>
      </c>
      <c r="B409" s="31">
        <v>2</v>
      </c>
      <c r="C409" s="31">
        <v>5</v>
      </c>
      <c r="D409" s="32" t="s">
        <v>818</v>
      </c>
      <c r="E409" s="32" t="s">
        <v>812</v>
      </c>
      <c r="F409" s="32" t="s">
        <v>919</v>
      </c>
      <c r="G409" s="32" t="s">
        <v>179</v>
      </c>
      <c r="H409" s="32" t="s">
        <v>352</v>
      </c>
      <c r="I409" s="31" t="s">
        <v>1086</v>
      </c>
      <c r="J409" s="31">
        <v>10</v>
      </c>
      <c r="K409" s="33" t="s">
        <v>703</v>
      </c>
      <c r="L409" s="33" t="s">
        <v>684</v>
      </c>
      <c r="M409" s="34" t="s">
        <v>1393</v>
      </c>
      <c r="N409" s="34" t="s">
        <v>1707</v>
      </c>
      <c r="O409" s="35">
        <v>1</v>
      </c>
      <c r="P409" s="35"/>
      <c r="Q409" s="32"/>
      <c r="S409" s="1">
        <f t="shared" si="155"/>
        <v>0</v>
      </c>
      <c r="T409" s="1">
        <f t="shared" si="156"/>
        <v>0</v>
      </c>
      <c r="U409" s="1">
        <f t="shared" si="157"/>
        <v>0</v>
      </c>
      <c r="V409" s="1">
        <f t="shared" si="158"/>
        <v>0</v>
      </c>
      <c r="W409" s="1">
        <f t="shared" si="159"/>
        <v>0</v>
      </c>
      <c r="X409" s="1">
        <f t="shared" si="160"/>
        <v>0</v>
      </c>
      <c r="Y409" s="1">
        <f t="shared" si="161"/>
        <v>0</v>
      </c>
      <c r="Z409" s="1">
        <f t="shared" si="162"/>
        <v>0</v>
      </c>
      <c r="AA409" s="1">
        <f t="shared" si="163"/>
        <v>0</v>
      </c>
      <c r="AB409" s="1">
        <f t="shared" si="164"/>
        <v>1</v>
      </c>
      <c r="AD409" s="1">
        <f t="shared" si="165"/>
        <v>0</v>
      </c>
      <c r="AE409" s="1">
        <f t="shared" si="166"/>
        <v>1</v>
      </c>
      <c r="AF409" s="1">
        <f t="shared" si="167"/>
        <v>0</v>
      </c>
      <c r="AG409" s="1">
        <f t="shared" si="168"/>
        <v>1</v>
      </c>
      <c r="AH409" s="1">
        <f t="shared" si="169"/>
        <v>0</v>
      </c>
      <c r="AI409" s="1">
        <f t="shared" si="170"/>
        <v>1</v>
      </c>
    </row>
    <row r="410" spans="1:35" ht="14.25" customHeight="1" x14ac:dyDescent="0.25">
      <c r="A410" s="51">
        <v>0</v>
      </c>
      <c r="B410" s="51">
        <v>2</v>
      </c>
      <c r="C410" s="51">
        <v>6</v>
      </c>
      <c r="D410" s="52" t="s">
        <v>1504</v>
      </c>
      <c r="E410" s="52" t="s">
        <v>27</v>
      </c>
      <c r="F410" s="52" t="s">
        <v>1506</v>
      </c>
      <c r="G410" s="52" t="s">
        <v>1495</v>
      </c>
      <c r="H410" s="52" t="s">
        <v>352</v>
      </c>
      <c r="I410" s="51" t="s">
        <v>1505</v>
      </c>
      <c r="J410" s="51">
        <v>5</v>
      </c>
      <c r="K410" s="53" t="s">
        <v>932</v>
      </c>
      <c r="L410" s="53" t="s">
        <v>39</v>
      </c>
      <c r="M410" s="54" t="s">
        <v>39</v>
      </c>
      <c r="N410" s="55"/>
      <c r="O410" s="56"/>
      <c r="P410" s="56"/>
      <c r="Q410" s="57" t="s">
        <v>1850</v>
      </c>
      <c r="S410" s="1">
        <f t="shared" si="155"/>
        <v>0</v>
      </c>
      <c r="T410" s="1">
        <f t="shared" si="156"/>
        <v>0</v>
      </c>
      <c r="U410" s="1">
        <f t="shared" si="157"/>
        <v>0</v>
      </c>
      <c r="V410" s="1">
        <f t="shared" si="158"/>
        <v>0</v>
      </c>
      <c r="W410" s="1">
        <f t="shared" si="159"/>
        <v>1</v>
      </c>
      <c r="X410" s="1">
        <f t="shared" si="160"/>
        <v>0</v>
      </c>
      <c r="Y410" s="1">
        <f t="shared" si="161"/>
        <v>0</v>
      </c>
      <c r="Z410" s="1">
        <f t="shared" si="162"/>
        <v>0</v>
      </c>
      <c r="AA410" s="1">
        <f t="shared" si="163"/>
        <v>0</v>
      </c>
      <c r="AB410" s="1">
        <f t="shared" si="164"/>
        <v>0</v>
      </c>
      <c r="AD410" s="1">
        <f t="shared" si="165"/>
        <v>0</v>
      </c>
      <c r="AE410" s="1">
        <f t="shared" si="166"/>
        <v>0</v>
      </c>
      <c r="AF410" s="1">
        <f t="shared" si="167"/>
        <v>0</v>
      </c>
      <c r="AG410" s="1">
        <f t="shared" si="168"/>
        <v>0</v>
      </c>
      <c r="AH410" s="1">
        <f t="shared" si="169"/>
        <v>0</v>
      </c>
      <c r="AI410" s="1">
        <f t="shared" si="170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515</v>
      </c>
      <c r="E411" s="32" t="s">
        <v>31</v>
      </c>
      <c r="F411" s="32" t="s">
        <v>664</v>
      </c>
      <c r="G411" s="32" t="s">
        <v>199</v>
      </c>
      <c r="H411" s="32" t="s">
        <v>352</v>
      </c>
      <c r="I411" s="31" t="s">
        <v>516</v>
      </c>
      <c r="J411" s="31">
        <v>2</v>
      </c>
      <c r="K411" s="33" t="s">
        <v>931</v>
      </c>
      <c r="L411" s="33" t="s">
        <v>685</v>
      </c>
      <c r="M411" s="34" t="s">
        <v>1394</v>
      </c>
      <c r="N411" s="34" t="s">
        <v>1696</v>
      </c>
      <c r="O411" s="35">
        <v>1</v>
      </c>
      <c r="P411" s="35"/>
      <c r="Q411" s="32"/>
      <c r="S411" s="1">
        <f t="shared" si="155"/>
        <v>0</v>
      </c>
      <c r="T411" s="1">
        <f t="shared" si="156"/>
        <v>1</v>
      </c>
      <c r="U411" s="1">
        <f t="shared" si="157"/>
        <v>0</v>
      </c>
      <c r="V411" s="1">
        <f t="shared" si="158"/>
        <v>0</v>
      </c>
      <c r="W411" s="1">
        <f t="shared" si="159"/>
        <v>0</v>
      </c>
      <c r="X411" s="1">
        <f t="shared" si="160"/>
        <v>0</v>
      </c>
      <c r="Y411" s="1">
        <f t="shared" si="161"/>
        <v>0</v>
      </c>
      <c r="Z411" s="1">
        <f t="shared" si="162"/>
        <v>0</v>
      </c>
      <c r="AA411" s="1">
        <f t="shared" si="163"/>
        <v>0</v>
      </c>
      <c r="AB411" s="1">
        <f t="shared" si="164"/>
        <v>0</v>
      </c>
      <c r="AD411" s="1">
        <f t="shared" si="165"/>
        <v>0</v>
      </c>
      <c r="AE411" s="1">
        <f t="shared" si="166"/>
        <v>1</v>
      </c>
      <c r="AF411" s="1">
        <f t="shared" si="167"/>
        <v>0</v>
      </c>
      <c r="AG411" s="1">
        <f t="shared" si="168"/>
        <v>1</v>
      </c>
      <c r="AH411" s="1">
        <f t="shared" si="169"/>
        <v>0</v>
      </c>
      <c r="AI411" s="1">
        <f t="shared" si="17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53</v>
      </c>
      <c r="E412" s="32" t="s">
        <v>31</v>
      </c>
      <c r="F412" s="32" t="s">
        <v>209</v>
      </c>
      <c r="G412" s="32" t="s">
        <v>210</v>
      </c>
      <c r="H412" s="32" t="s">
        <v>352</v>
      </c>
      <c r="I412" s="31" t="s">
        <v>390</v>
      </c>
      <c r="J412" s="31">
        <v>1</v>
      </c>
      <c r="K412" s="33" t="s">
        <v>703</v>
      </c>
      <c r="L412" s="33" t="s">
        <v>695</v>
      </c>
      <c r="M412" s="34" t="s">
        <v>719</v>
      </c>
      <c r="N412" s="34" t="s">
        <v>1696</v>
      </c>
      <c r="O412" s="35">
        <v>1</v>
      </c>
      <c r="P412" s="35"/>
      <c r="Q412" s="32"/>
      <c r="S412" s="1">
        <f t="shared" si="155"/>
        <v>1</v>
      </c>
      <c r="T412" s="1">
        <f t="shared" si="156"/>
        <v>0</v>
      </c>
      <c r="U412" s="1">
        <f t="shared" si="157"/>
        <v>0</v>
      </c>
      <c r="V412" s="1">
        <f t="shared" si="158"/>
        <v>0</v>
      </c>
      <c r="W412" s="1">
        <f t="shared" si="159"/>
        <v>0</v>
      </c>
      <c r="X412" s="1">
        <f t="shared" si="160"/>
        <v>0</v>
      </c>
      <c r="Y412" s="1">
        <f t="shared" si="161"/>
        <v>0</v>
      </c>
      <c r="Z412" s="1">
        <f t="shared" si="162"/>
        <v>0</v>
      </c>
      <c r="AA412" s="1">
        <f t="shared" si="163"/>
        <v>0</v>
      </c>
      <c r="AB412" s="1">
        <f t="shared" si="164"/>
        <v>0</v>
      </c>
      <c r="AD412" s="1">
        <f t="shared" si="165"/>
        <v>0</v>
      </c>
      <c r="AE412" s="1">
        <f t="shared" si="166"/>
        <v>1</v>
      </c>
      <c r="AF412" s="1">
        <f t="shared" si="167"/>
        <v>0</v>
      </c>
      <c r="AG412" s="1">
        <f t="shared" si="168"/>
        <v>1</v>
      </c>
      <c r="AH412" s="1">
        <f t="shared" si="169"/>
        <v>0</v>
      </c>
      <c r="AI412" s="1">
        <f t="shared" si="170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1813</v>
      </c>
      <c r="E413" s="32" t="s">
        <v>1814</v>
      </c>
      <c r="F413" s="32" t="s">
        <v>1815</v>
      </c>
      <c r="G413" s="32"/>
      <c r="H413" s="32" t="s">
        <v>352</v>
      </c>
      <c r="I413" s="31" t="s">
        <v>1816</v>
      </c>
      <c r="J413" s="31">
        <v>99</v>
      </c>
      <c r="K413" s="33" t="s">
        <v>694</v>
      </c>
      <c r="L413" s="33">
        <v>25</v>
      </c>
      <c r="M413" s="34" t="s">
        <v>1817</v>
      </c>
      <c r="N413" s="34" t="s">
        <v>1696</v>
      </c>
      <c r="O413" s="35">
        <v>1</v>
      </c>
      <c r="P413" s="35"/>
      <c r="Q413" s="32" t="s">
        <v>1995</v>
      </c>
      <c r="S413" s="1">
        <f t="shared" si="155"/>
        <v>0</v>
      </c>
      <c r="T413" s="1">
        <f t="shared" si="156"/>
        <v>0</v>
      </c>
      <c r="U413" s="1">
        <f t="shared" si="157"/>
        <v>0</v>
      </c>
      <c r="V413" s="1">
        <f t="shared" si="158"/>
        <v>0</v>
      </c>
      <c r="W413" s="1">
        <f t="shared" si="159"/>
        <v>0</v>
      </c>
      <c r="X413" s="1">
        <f t="shared" si="160"/>
        <v>0</v>
      </c>
      <c r="Y413" s="1">
        <f t="shared" si="161"/>
        <v>0</v>
      </c>
      <c r="Z413" s="1">
        <f t="shared" si="162"/>
        <v>0</v>
      </c>
      <c r="AA413" s="1">
        <f t="shared" si="163"/>
        <v>0</v>
      </c>
      <c r="AB413" s="1">
        <f t="shared" si="164"/>
        <v>0</v>
      </c>
      <c r="AD413" s="1">
        <f t="shared" si="165"/>
        <v>0</v>
      </c>
      <c r="AE413" s="1">
        <f t="shared" si="166"/>
        <v>1</v>
      </c>
      <c r="AF413" s="1">
        <f t="shared" si="167"/>
        <v>0</v>
      </c>
      <c r="AG413" s="1">
        <f t="shared" si="168"/>
        <v>1</v>
      </c>
      <c r="AH413" s="1">
        <f t="shared" si="169"/>
        <v>0</v>
      </c>
      <c r="AI413" s="1">
        <f t="shared" si="17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80</v>
      </c>
      <c r="E414" s="32" t="s">
        <v>31</v>
      </c>
      <c r="F414" s="32" t="s">
        <v>269</v>
      </c>
      <c r="G414" s="32" t="s">
        <v>223</v>
      </c>
      <c r="H414" s="32" t="s">
        <v>352</v>
      </c>
      <c r="I414" s="31" t="s">
        <v>670</v>
      </c>
      <c r="J414" s="31">
        <v>99</v>
      </c>
      <c r="K414" s="33" t="s">
        <v>932</v>
      </c>
      <c r="L414" s="33" t="s">
        <v>685</v>
      </c>
      <c r="M414" s="34" t="s">
        <v>1395</v>
      </c>
      <c r="N414" s="34" t="s">
        <v>1800</v>
      </c>
      <c r="O414" s="35">
        <v>1</v>
      </c>
      <c r="P414" s="35"/>
      <c r="Q414" s="32"/>
      <c r="S414" s="1">
        <f t="shared" si="155"/>
        <v>0</v>
      </c>
      <c r="T414" s="1">
        <f t="shared" si="156"/>
        <v>0</v>
      </c>
      <c r="U414" s="1">
        <f t="shared" si="157"/>
        <v>0</v>
      </c>
      <c r="V414" s="1">
        <f t="shared" si="158"/>
        <v>0</v>
      </c>
      <c r="W414" s="1">
        <f t="shared" si="159"/>
        <v>0</v>
      </c>
      <c r="X414" s="1">
        <f t="shared" si="160"/>
        <v>0</v>
      </c>
      <c r="Y414" s="1">
        <f t="shared" si="161"/>
        <v>0</v>
      </c>
      <c r="Z414" s="1">
        <f t="shared" si="162"/>
        <v>0</v>
      </c>
      <c r="AA414" s="1">
        <f t="shared" si="163"/>
        <v>0</v>
      </c>
      <c r="AB414" s="1">
        <f t="shared" si="164"/>
        <v>0</v>
      </c>
      <c r="AD414" s="1">
        <f t="shared" si="165"/>
        <v>0</v>
      </c>
      <c r="AE414" s="1">
        <f t="shared" si="166"/>
        <v>1</v>
      </c>
      <c r="AF414" s="1">
        <f t="shared" si="167"/>
        <v>0</v>
      </c>
      <c r="AG414" s="1">
        <f t="shared" si="168"/>
        <v>1</v>
      </c>
      <c r="AH414" s="1">
        <f t="shared" si="169"/>
        <v>0</v>
      </c>
      <c r="AI414" s="1">
        <f t="shared" si="170"/>
        <v>1</v>
      </c>
    </row>
    <row r="415" spans="1:35" ht="14.25" customHeight="1" x14ac:dyDescent="0.25">
      <c r="A415" s="31">
        <v>0</v>
      </c>
      <c r="B415" s="31">
        <v>2</v>
      </c>
      <c r="C415" s="31">
        <v>6</v>
      </c>
      <c r="D415" s="32" t="s">
        <v>631</v>
      </c>
      <c r="E415" s="32" t="s">
        <v>31</v>
      </c>
      <c r="F415" s="32" t="s">
        <v>632</v>
      </c>
      <c r="G415" s="32" t="s">
        <v>239</v>
      </c>
      <c r="H415" s="32" t="s">
        <v>352</v>
      </c>
      <c r="I415" s="31" t="s">
        <v>633</v>
      </c>
      <c r="J415" s="31">
        <v>1</v>
      </c>
      <c r="K415" s="33" t="s">
        <v>704</v>
      </c>
      <c r="L415" s="33" t="s">
        <v>685</v>
      </c>
      <c r="M415" s="34" t="s">
        <v>1396</v>
      </c>
      <c r="N415" s="34" t="s">
        <v>1696</v>
      </c>
      <c r="O415" s="35">
        <v>1</v>
      </c>
      <c r="P415" s="35"/>
      <c r="Q415" s="32"/>
      <c r="S415" s="1">
        <f t="shared" si="155"/>
        <v>1</v>
      </c>
      <c r="T415" s="1">
        <f t="shared" si="156"/>
        <v>0</v>
      </c>
      <c r="U415" s="1">
        <f t="shared" si="157"/>
        <v>0</v>
      </c>
      <c r="V415" s="1">
        <f t="shared" si="158"/>
        <v>0</v>
      </c>
      <c r="W415" s="1">
        <f t="shared" si="159"/>
        <v>0</v>
      </c>
      <c r="X415" s="1">
        <f t="shared" si="160"/>
        <v>0</v>
      </c>
      <c r="Y415" s="1">
        <f t="shared" si="161"/>
        <v>0</v>
      </c>
      <c r="Z415" s="1">
        <f t="shared" si="162"/>
        <v>0</v>
      </c>
      <c r="AA415" s="1">
        <f t="shared" si="163"/>
        <v>0</v>
      </c>
      <c r="AB415" s="1">
        <f t="shared" si="164"/>
        <v>0</v>
      </c>
      <c r="AD415" s="1">
        <f t="shared" si="165"/>
        <v>0</v>
      </c>
      <c r="AE415" s="1">
        <f t="shared" si="166"/>
        <v>1</v>
      </c>
      <c r="AF415" s="1">
        <f t="shared" si="167"/>
        <v>0</v>
      </c>
      <c r="AG415" s="1">
        <f t="shared" si="168"/>
        <v>1</v>
      </c>
      <c r="AH415" s="1">
        <f t="shared" si="169"/>
        <v>0</v>
      </c>
      <c r="AI415" s="1">
        <f t="shared" si="170"/>
        <v>1</v>
      </c>
    </row>
    <row r="416" spans="1:35" ht="14.25" customHeight="1" x14ac:dyDescent="0.25">
      <c r="A416" s="31">
        <v>0</v>
      </c>
      <c r="B416" s="31">
        <v>2</v>
      </c>
      <c r="C416" s="31">
        <v>6</v>
      </c>
      <c r="D416" s="32" t="s">
        <v>1060</v>
      </c>
      <c r="E416" s="32" t="s">
        <v>158</v>
      </c>
      <c r="F416" s="32" t="s">
        <v>197</v>
      </c>
      <c r="G416" s="32" t="s">
        <v>198</v>
      </c>
      <c r="H416" s="32" t="s">
        <v>352</v>
      </c>
      <c r="I416" s="31" t="s">
        <v>386</v>
      </c>
      <c r="J416" s="31">
        <v>99</v>
      </c>
      <c r="K416" s="33" t="s">
        <v>703</v>
      </c>
      <c r="L416" s="33" t="s">
        <v>707</v>
      </c>
      <c r="M416" s="34" t="s">
        <v>721</v>
      </c>
      <c r="N416" s="34" t="s">
        <v>1701</v>
      </c>
      <c r="O416" s="35">
        <v>1</v>
      </c>
      <c r="P416" s="35"/>
      <c r="Q416" s="32"/>
      <c r="S416" s="1">
        <f t="shared" si="155"/>
        <v>0</v>
      </c>
      <c r="T416" s="1">
        <f t="shared" si="156"/>
        <v>0</v>
      </c>
      <c r="U416" s="1">
        <f t="shared" si="157"/>
        <v>0</v>
      </c>
      <c r="V416" s="1">
        <f t="shared" si="158"/>
        <v>0</v>
      </c>
      <c r="W416" s="1">
        <f t="shared" si="159"/>
        <v>0</v>
      </c>
      <c r="X416" s="1">
        <f t="shared" si="160"/>
        <v>0</v>
      </c>
      <c r="Y416" s="1">
        <f t="shared" si="161"/>
        <v>0</v>
      </c>
      <c r="Z416" s="1">
        <f t="shared" si="162"/>
        <v>0</v>
      </c>
      <c r="AA416" s="1">
        <f t="shared" si="163"/>
        <v>0</v>
      </c>
      <c r="AB416" s="1">
        <f t="shared" si="164"/>
        <v>0</v>
      </c>
      <c r="AD416" s="1">
        <f t="shared" si="165"/>
        <v>0</v>
      </c>
      <c r="AE416" s="1">
        <f t="shared" si="166"/>
        <v>1</v>
      </c>
      <c r="AF416" s="1">
        <f t="shared" si="167"/>
        <v>0</v>
      </c>
      <c r="AG416" s="1">
        <f t="shared" si="168"/>
        <v>1</v>
      </c>
      <c r="AH416" s="1">
        <f t="shared" si="169"/>
        <v>0</v>
      </c>
      <c r="AI416" s="1">
        <f t="shared" si="17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505</v>
      </c>
      <c r="E417" s="32" t="s">
        <v>155</v>
      </c>
      <c r="F417" s="32" t="s">
        <v>506</v>
      </c>
      <c r="G417" s="32" t="s">
        <v>39</v>
      </c>
      <c r="H417" s="32" t="s">
        <v>352</v>
      </c>
      <c r="I417" s="31" t="s">
        <v>920</v>
      </c>
      <c r="J417" s="31">
        <v>7</v>
      </c>
      <c r="K417" s="33" t="s">
        <v>932</v>
      </c>
      <c r="L417" s="33" t="s">
        <v>39</v>
      </c>
      <c r="M417" s="34" t="s">
        <v>39</v>
      </c>
      <c r="N417" s="34" t="s">
        <v>1687</v>
      </c>
      <c r="O417" s="35">
        <v>1</v>
      </c>
      <c r="P417" s="35">
        <v>1</v>
      </c>
      <c r="Q417" s="32"/>
      <c r="S417" s="1">
        <f t="shared" si="155"/>
        <v>0</v>
      </c>
      <c r="T417" s="1">
        <f t="shared" si="156"/>
        <v>0</v>
      </c>
      <c r="U417" s="1">
        <f t="shared" si="157"/>
        <v>0</v>
      </c>
      <c r="V417" s="1">
        <f t="shared" si="158"/>
        <v>0</v>
      </c>
      <c r="W417" s="1">
        <f t="shared" si="159"/>
        <v>0</v>
      </c>
      <c r="X417" s="1">
        <f t="shared" si="160"/>
        <v>0</v>
      </c>
      <c r="Y417" s="1">
        <f t="shared" si="161"/>
        <v>1</v>
      </c>
      <c r="Z417" s="1">
        <f t="shared" si="162"/>
        <v>0</v>
      </c>
      <c r="AA417" s="1">
        <f t="shared" si="163"/>
        <v>0</v>
      </c>
      <c r="AB417" s="1">
        <f t="shared" si="164"/>
        <v>0</v>
      </c>
      <c r="AD417" s="1">
        <f t="shared" si="165"/>
        <v>1</v>
      </c>
      <c r="AE417" s="1">
        <f t="shared" si="166"/>
        <v>0</v>
      </c>
      <c r="AF417" s="1">
        <f t="shared" si="167"/>
        <v>1</v>
      </c>
      <c r="AG417" s="1">
        <f t="shared" si="168"/>
        <v>0</v>
      </c>
      <c r="AH417" s="1">
        <f t="shared" si="169"/>
        <v>1</v>
      </c>
      <c r="AI417" s="1">
        <f t="shared" si="170"/>
        <v>0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70</v>
      </c>
      <c r="E418" s="32" t="s">
        <v>28</v>
      </c>
      <c r="F418" s="32" t="s">
        <v>665</v>
      </c>
      <c r="G418" s="32" t="s">
        <v>257</v>
      </c>
      <c r="H418" s="32" t="s">
        <v>352</v>
      </c>
      <c r="I418" s="31" t="s">
        <v>415</v>
      </c>
      <c r="J418" s="31">
        <v>8</v>
      </c>
      <c r="K418" s="33" t="s">
        <v>704</v>
      </c>
      <c r="L418" s="33" t="s">
        <v>704</v>
      </c>
      <c r="M418" s="34" t="s">
        <v>722</v>
      </c>
      <c r="N418" s="34" t="s">
        <v>1696</v>
      </c>
      <c r="O418" s="35">
        <v>1</v>
      </c>
      <c r="P418" s="35"/>
      <c r="Q418" s="32"/>
      <c r="S418" s="1">
        <f t="shared" si="155"/>
        <v>0</v>
      </c>
      <c r="T418" s="1">
        <f t="shared" si="156"/>
        <v>0</v>
      </c>
      <c r="U418" s="1">
        <f t="shared" si="157"/>
        <v>0</v>
      </c>
      <c r="V418" s="1">
        <f t="shared" si="158"/>
        <v>0</v>
      </c>
      <c r="W418" s="1">
        <f t="shared" si="159"/>
        <v>0</v>
      </c>
      <c r="X418" s="1">
        <f t="shared" si="160"/>
        <v>0</v>
      </c>
      <c r="Y418" s="1">
        <f t="shared" si="161"/>
        <v>0</v>
      </c>
      <c r="Z418" s="1">
        <f t="shared" si="162"/>
        <v>1</v>
      </c>
      <c r="AA418" s="1">
        <f t="shared" si="163"/>
        <v>0</v>
      </c>
      <c r="AB418" s="1">
        <f t="shared" si="164"/>
        <v>0</v>
      </c>
      <c r="AD418" s="1">
        <f t="shared" si="165"/>
        <v>0</v>
      </c>
      <c r="AE418" s="1">
        <f t="shared" si="166"/>
        <v>1</v>
      </c>
      <c r="AF418" s="1">
        <f t="shared" si="167"/>
        <v>0</v>
      </c>
      <c r="AG418" s="1">
        <f t="shared" si="168"/>
        <v>1</v>
      </c>
      <c r="AH418" s="1">
        <f t="shared" si="169"/>
        <v>0</v>
      </c>
      <c r="AI418" s="1">
        <f t="shared" si="17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646</v>
      </c>
      <c r="E419" s="32" t="s">
        <v>155</v>
      </c>
      <c r="F419" s="32" t="s">
        <v>577</v>
      </c>
      <c r="G419" s="32" t="s">
        <v>248</v>
      </c>
      <c r="H419" s="32" t="s">
        <v>352</v>
      </c>
      <c r="I419" s="31" t="s">
        <v>671</v>
      </c>
      <c r="J419" s="31">
        <v>7</v>
      </c>
      <c r="K419" s="33" t="s">
        <v>932</v>
      </c>
      <c r="L419" s="33" t="s">
        <v>39</v>
      </c>
      <c r="M419" s="34" t="s">
        <v>39</v>
      </c>
      <c r="N419" s="34" t="s">
        <v>1687</v>
      </c>
      <c r="O419" s="35">
        <v>1</v>
      </c>
      <c r="P419" s="35">
        <v>1</v>
      </c>
      <c r="Q419" s="32"/>
      <c r="S419" s="1">
        <f t="shared" si="155"/>
        <v>0</v>
      </c>
      <c r="T419" s="1">
        <f t="shared" si="156"/>
        <v>0</v>
      </c>
      <c r="U419" s="1">
        <f t="shared" si="157"/>
        <v>0</v>
      </c>
      <c r="V419" s="1">
        <f t="shared" si="158"/>
        <v>0</v>
      </c>
      <c r="W419" s="1">
        <f t="shared" si="159"/>
        <v>0</v>
      </c>
      <c r="X419" s="1">
        <f t="shared" si="160"/>
        <v>0</v>
      </c>
      <c r="Y419" s="1">
        <f t="shared" si="161"/>
        <v>1</v>
      </c>
      <c r="Z419" s="1">
        <f t="shared" si="162"/>
        <v>0</v>
      </c>
      <c r="AA419" s="1">
        <f t="shared" si="163"/>
        <v>0</v>
      </c>
      <c r="AB419" s="1">
        <f t="shared" si="164"/>
        <v>0</v>
      </c>
      <c r="AD419" s="1">
        <f t="shared" si="165"/>
        <v>1</v>
      </c>
      <c r="AE419" s="1">
        <f t="shared" si="166"/>
        <v>0</v>
      </c>
      <c r="AF419" s="1">
        <f t="shared" si="167"/>
        <v>1</v>
      </c>
      <c r="AG419" s="1">
        <f t="shared" si="168"/>
        <v>0</v>
      </c>
      <c r="AH419" s="1">
        <f t="shared" si="169"/>
        <v>1</v>
      </c>
      <c r="AI419" s="1">
        <f t="shared" si="170"/>
        <v>0</v>
      </c>
    </row>
    <row r="420" spans="1:35" ht="14.25" customHeight="1" x14ac:dyDescent="0.25">
      <c r="A420" s="44">
        <v>0</v>
      </c>
      <c r="B420" s="44">
        <v>2</v>
      </c>
      <c r="C420" s="44">
        <v>7</v>
      </c>
      <c r="D420" s="45" t="s">
        <v>1595</v>
      </c>
      <c r="E420" s="45" t="s">
        <v>155</v>
      </c>
      <c r="F420" s="45" t="s">
        <v>1618</v>
      </c>
      <c r="G420" s="45" t="s">
        <v>212</v>
      </c>
      <c r="H420" s="45" t="s">
        <v>352</v>
      </c>
      <c r="I420" s="44" t="s">
        <v>586</v>
      </c>
      <c r="J420" s="44">
        <v>1</v>
      </c>
      <c r="K420" s="46" t="s">
        <v>703</v>
      </c>
      <c r="L420" s="46" t="s">
        <v>713</v>
      </c>
      <c r="M420" s="47" t="s">
        <v>1397</v>
      </c>
      <c r="N420" s="47" t="s">
        <v>1694</v>
      </c>
      <c r="O420" s="48"/>
      <c r="P420" s="48"/>
      <c r="Q420" s="45"/>
      <c r="S420" s="1">
        <f t="shared" si="155"/>
        <v>1</v>
      </c>
      <c r="T420" s="1">
        <f t="shared" si="156"/>
        <v>0</v>
      </c>
      <c r="U420" s="1">
        <f t="shared" si="157"/>
        <v>0</v>
      </c>
      <c r="V420" s="1">
        <f t="shared" si="158"/>
        <v>0</v>
      </c>
      <c r="W420" s="1">
        <f t="shared" si="159"/>
        <v>0</v>
      </c>
      <c r="X420" s="1">
        <f t="shared" si="160"/>
        <v>0</v>
      </c>
      <c r="Y420" s="1">
        <f t="shared" si="161"/>
        <v>0</v>
      </c>
      <c r="Z420" s="1">
        <f t="shared" si="162"/>
        <v>0</v>
      </c>
      <c r="AA420" s="1">
        <f t="shared" si="163"/>
        <v>0</v>
      </c>
      <c r="AB420" s="1">
        <f t="shared" si="164"/>
        <v>0</v>
      </c>
      <c r="AD420" s="1">
        <f t="shared" si="165"/>
        <v>0</v>
      </c>
      <c r="AE420" s="1">
        <f t="shared" si="166"/>
        <v>0</v>
      </c>
      <c r="AF420" s="1">
        <f t="shared" si="167"/>
        <v>0</v>
      </c>
      <c r="AG420" s="1">
        <f t="shared" si="168"/>
        <v>0</v>
      </c>
      <c r="AH420" s="1">
        <f t="shared" si="169"/>
        <v>0</v>
      </c>
      <c r="AI420" s="1">
        <f t="shared" si="17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1047</v>
      </c>
      <c r="E421" s="32" t="s">
        <v>1023</v>
      </c>
      <c r="F421" s="32" t="s">
        <v>1048</v>
      </c>
      <c r="G421" s="32" t="s">
        <v>212</v>
      </c>
      <c r="H421" s="32" t="s">
        <v>352</v>
      </c>
      <c r="I421" s="31" t="s">
        <v>1049</v>
      </c>
      <c r="J421" s="31">
        <v>1</v>
      </c>
      <c r="K421" s="33" t="s">
        <v>932</v>
      </c>
      <c r="L421" s="33" t="s">
        <v>713</v>
      </c>
      <c r="M421" s="34" t="s">
        <v>1398</v>
      </c>
      <c r="N421" s="34" t="s">
        <v>1696</v>
      </c>
      <c r="O421" s="35">
        <v>1</v>
      </c>
      <c r="P421" s="35"/>
      <c r="Q421" s="32" t="s">
        <v>1868</v>
      </c>
      <c r="S421" s="1">
        <f t="shared" si="155"/>
        <v>1</v>
      </c>
      <c r="T421" s="1">
        <f t="shared" si="156"/>
        <v>0</v>
      </c>
      <c r="U421" s="1">
        <f t="shared" si="157"/>
        <v>0</v>
      </c>
      <c r="V421" s="1">
        <f t="shared" si="158"/>
        <v>0</v>
      </c>
      <c r="W421" s="1">
        <f t="shared" si="159"/>
        <v>0</v>
      </c>
      <c r="X421" s="1">
        <f t="shared" si="160"/>
        <v>0</v>
      </c>
      <c r="Y421" s="1">
        <f t="shared" si="161"/>
        <v>0</v>
      </c>
      <c r="Z421" s="1">
        <f t="shared" si="162"/>
        <v>0</v>
      </c>
      <c r="AA421" s="1">
        <f t="shared" si="163"/>
        <v>0</v>
      </c>
      <c r="AB421" s="1">
        <f t="shared" si="164"/>
        <v>0</v>
      </c>
      <c r="AD421" s="1">
        <f t="shared" si="165"/>
        <v>0</v>
      </c>
      <c r="AE421" s="1">
        <f t="shared" si="166"/>
        <v>1</v>
      </c>
      <c r="AF421" s="1">
        <f t="shared" si="167"/>
        <v>0</v>
      </c>
      <c r="AG421" s="1">
        <f t="shared" si="168"/>
        <v>1</v>
      </c>
      <c r="AH421" s="1">
        <f t="shared" si="169"/>
        <v>0</v>
      </c>
      <c r="AI421" s="1">
        <f t="shared" si="17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994</v>
      </c>
      <c r="E422" s="32" t="s">
        <v>155</v>
      </c>
      <c r="F422" s="32" t="s">
        <v>1065</v>
      </c>
      <c r="G422" s="32" t="s">
        <v>1075</v>
      </c>
      <c r="H422" s="32" t="s">
        <v>352</v>
      </c>
      <c r="I422" s="31" t="s">
        <v>995</v>
      </c>
      <c r="J422" s="31">
        <v>99</v>
      </c>
      <c r="K422" s="33" t="s">
        <v>704</v>
      </c>
      <c r="L422" s="33" t="s">
        <v>713</v>
      </c>
      <c r="M422" s="34" t="s">
        <v>1398</v>
      </c>
      <c r="N422" s="34" t="s">
        <v>1700</v>
      </c>
      <c r="O422" s="35">
        <v>1</v>
      </c>
      <c r="P422" s="35"/>
      <c r="Q422" s="32"/>
      <c r="S422" s="1">
        <f t="shared" si="155"/>
        <v>0</v>
      </c>
      <c r="T422" s="1">
        <f t="shared" si="156"/>
        <v>0</v>
      </c>
      <c r="U422" s="1">
        <f t="shared" si="157"/>
        <v>0</v>
      </c>
      <c r="V422" s="1">
        <f t="shared" si="158"/>
        <v>0</v>
      </c>
      <c r="W422" s="1">
        <f t="shared" si="159"/>
        <v>0</v>
      </c>
      <c r="X422" s="1">
        <f t="shared" si="160"/>
        <v>0</v>
      </c>
      <c r="Y422" s="1">
        <f t="shared" si="161"/>
        <v>0</v>
      </c>
      <c r="Z422" s="1">
        <f t="shared" si="162"/>
        <v>0</v>
      </c>
      <c r="AA422" s="1">
        <f t="shared" si="163"/>
        <v>0</v>
      </c>
      <c r="AB422" s="1">
        <f t="shared" si="164"/>
        <v>0</v>
      </c>
      <c r="AD422" s="1">
        <f t="shared" si="165"/>
        <v>0</v>
      </c>
      <c r="AE422" s="1">
        <f t="shared" si="166"/>
        <v>1</v>
      </c>
      <c r="AF422" s="1">
        <f t="shared" si="167"/>
        <v>0</v>
      </c>
      <c r="AG422" s="1">
        <f t="shared" si="168"/>
        <v>1</v>
      </c>
      <c r="AH422" s="1">
        <f t="shared" si="169"/>
        <v>0</v>
      </c>
      <c r="AI422" s="1">
        <f t="shared" si="170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1174</v>
      </c>
      <c r="E423" s="32" t="s">
        <v>1300</v>
      </c>
      <c r="F423" s="32" t="s">
        <v>1175</v>
      </c>
      <c r="G423" s="32" t="s">
        <v>39</v>
      </c>
      <c r="H423" s="32" t="s">
        <v>352</v>
      </c>
      <c r="I423" s="31" t="s">
        <v>1645</v>
      </c>
      <c r="J423" s="31">
        <v>99</v>
      </c>
      <c r="K423" s="33" t="s">
        <v>932</v>
      </c>
      <c r="L423" s="33" t="s">
        <v>720</v>
      </c>
      <c r="M423" s="34" t="s">
        <v>1399</v>
      </c>
      <c r="N423" s="34" t="s">
        <v>1700</v>
      </c>
      <c r="O423" s="35">
        <v>1</v>
      </c>
      <c r="P423" s="35"/>
      <c r="Q423" s="32"/>
      <c r="S423" s="1">
        <f t="shared" si="155"/>
        <v>0</v>
      </c>
      <c r="T423" s="1">
        <f t="shared" si="156"/>
        <v>0</v>
      </c>
      <c r="U423" s="1">
        <f t="shared" si="157"/>
        <v>0</v>
      </c>
      <c r="V423" s="1">
        <f t="shared" si="158"/>
        <v>0</v>
      </c>
      <c r="W423" s="1">
        <f t="shared" si="159"/>
        <v>0</v>
      </c>
      <c r="X423" s="1">
        <f t="shared" si="160"/>
        <v>0</v>
      </c>
      <c r="Y423" s="1">
        <f t="shared" si="161"/>
        <v>0</v>
      </c>
      <c r="Z423" s="1">
        <f t="shared" si="162"/>
        <v>0</v>
      </c>
      <c r="AA423" s="1">
        <f t="shared" si="163"/>
        <v>0</v>
      </c>
      <c r="AB423" s="1">
        <f t="shared" si="164"/>
        <v>0</v>
      </c>
      <c r="AD423" s="1">
        <f t="shared" si="165"/>
        <v>0</v>
      </c>
      <c r="AE423" s="1">
        <f t="shared" si="166"/>
        <v>1</v>
      </c>
      <c r="AF423" s="1">
        <f t="shared" si="167"/>
        <v>0</v>
      </c>
      <c r="AG423" s="1">
        <f t="shared" si="168"/>
        <v>1</v>
      </c>
      <c r="AH423" s="1">
        <f t="shared" si="169"/>
        <v>0</v>
      </c>
      <c r="AI423" s="1">
        <f t="shared" si="170"/>
        <v>1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636</v>
      </c>
      <c r="G424" s="32" t="s">
        <v>531</v>
      </c>
      <c r="H424" s="32" t="s">
        <v>352</v>
      </c>
      <c r="I424" s="31" t="s">
        <v>392</v>
      </c>
      <c r="J424" s="31">
        <v>6</v>
      </c>
      <c r="K424" s="33" t="s">
        <v>703</v>
      </c>
      <c r="L424" s="33" t="s">
        <v>704</v>
      </c>
      <c r="M424" s="34" t="s">
        <v>722</v>
      </c>
      <c r="N424" s="34" t="s">
        <v>1713</v>
      </c>
      <c r="O424" s="35">
        <v>1</v>
      </c>
      <c r="P424" s="35"/>
      <c r="Q424" s="32"/>
      <c r="S424" s="1">
        <f t="shared" si="155"/>
        <v>0</v>
      </c>
      <c r="T424" s="1">
        <f t="shared" si="156"/>
        <v>0</v>
      </c>
      <c r="U424" s="1">
        <f t="shared" si="157"/>
        <v>0</v>
      </c>
      <c r="V424" s="1">
        <f t="shared" si="158"/>
        <v>0</v>
      </c>
      <c r="W424" s="1">
        <f t="shared" si="159"/>
        <v>0</v>
      </c>
      <c r="X424" s="1">
        <f t="shared" si="160"/>
        <v>1</v>
      </c>
      <c r="Y424" s="1">
        <f t="shared" si="161"/>
        <v>0</v>
      </c>
      <c r="Z424" s="1">
        <f t="shared" si="162"/>
        <v>0</v>
      </c>
      <c r="AA424" s="1">
        <f t="shared" si="163"/>
        <v>0</v>
      </c>
      <c r="AB424" s="1">
        <f t="shared" si="164"/>
        <v>0</v>
      </c>
      <c r="AD424" s="1">
        <f t="shared" si="165"/>
        <v>0</v>
      </c>
      <c r="AE424" s="1">
        <f t="shared" si="166"/>
        <v>1</v>
      </c>
      <c r="AF424" s="1">
        <f t="shared" si="167"/>
        <v>0</v>
      </c>
      <c r="AG424" s="1">
        <f t="shared" si="168"/>
        <v>1</v>
      </c>
      <c r="AH424" s="1">
        <f t="shared" si="169"/>
        <v>0</v>
      </c>
      <c r="AI424" s="1">
        <f t="shared" si="170"/>
        <v>1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215</v>
      </c>
      <c r="G425" s="32" t="s">
        <v>39</v>
      </c>
      <c r="H425" s="32" t="s">
        <v>352</v>
      </c>
      <c r="I425" s="31" t="s">
        <v>30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1713</v>
      </c>
      <c r="O425" s="35">
        <v>1</v>
      </c>
      <c r="P425" s="35"/>
      <c r="Q425" s="32"/>
      <c r="S425" s="1">
        <f t="shared" si="155"/>
        <v>0</v>
      </c>
      <c r="T425" s="1">
        <f t="shared" si="156"/>
        <v>0</v>
      </c>
      <c r="U425" s="1">
        <f t="shared" si="157"/>
        <v>0</v>
      </c>
      <c r="V425" s="1">
        <f t="shared" si="158"/>
        <v>0</v>
      </c>
      <c r="W425" s="1">
        <f t="shared" si="159"/>
        <v>0</v>
      </c>
      <c r="X425" s="1">
        <f t="shared" si="160"/>
        <v>0</v>
      </c>
      <c r="Y425" s="1">
        <f t="shared" si="161"/>
        <v>0</v>
      </c>
      <c r="Z425" s="1">
        <f t="shared" si="162"/>
        <v>0</v>
      </c>
      <c r="AA425" s="1">
        <f t="shared" si="163"/>
        <v>0</v>
      </c>
      <c r="AB425" s="1">
        <f t="shared" si="164"/>
        <v>0</v>
      </c>
      <c r="AD425" s="1">
        <f t="shared" si="165"/>
        <v>0</v>
      </c>
      <c r="AE425" s="1">
        <f t="shared" si="166"/>
        <v>1</v>
      </c>
      <c r="AF425" s="1">
        <f t="shared" si="167"/>
        <v>0</v>
      </c>
      <c r="AG425" s="1">
        <f t="shared" si="168"/>
        <v>0</v>
      </c>
      <c r="AH425" s="1">
        <f t="shared" si="169"/>
        <v>0</v>
      </c>
      <c r="AI425" s="1">
        <f t="shared" si="170"/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55</v>
      </c>
      <c r="E426" s="32" t="s">
        <v>28</v>
      </c>
      <c r="F426" s="32" t="s">
        <v>214</v>
      </c>
      <c r="G426" s="32" t="s">
        <v>39</v>
      </c>
      <c r="H426" s="32" t="s">
        <v>352</v>
      </c>
      <c r="I426" s="31" t="s">
        <v>392</v>
      </c>
      <c r="J426" s="31">
        <v>99</v>
      </c>
      <c r="K426" s="33" t="s">
        <v>703</v>
      </c>
      <c r="L426" s="33" t="s">
        <v>704</v>
      </c>
      <c r="M426" s="34" t="s">
        <v>722</v>
      </c>
      <c r="N426" s="34" t="s">
        <v>1713</v>
      </c>
      <c r="O426" s="35">
        <v>1</v>
      </c>
      <c r="P426" s="35"/>
      <c r="Q426" s="32"/>
      <c r="S426" s="1">
        <f t="shared" si="155"/>
        <v>0</v>
      </c>
      <c r="T426" s="1">
        <f t="shared" si="156"/>
        <v>0</v>
      </c>
      <c r="U426" s="1">
        <f t="shared" si="157"/>
        <v>0</v>
      </c>
      <c r="V426" s="1">
        <f t="shared" si="158"/>
        <v>0</v>
      </c>
      <c r="W426" s="1">
        <f t="shared" si="159"/>
        <v>0</v>
      </c>
      <c r="X426" s="1">
        <f t="shared" si="160"/>
        <v>0</v>
      </c>
      <c r="Y426" s="1">
        <f t="shared" si="161"/>
        <v>0</v>
      </c>
      <c r="Z426" s="1">
        <f t="shared" si="162"/>
        <v>0</v>
      </c>
      <c r="AA426" s="1">
        <f t="shared" si="163"/>
        <v>0</v>
      </c>
      <c r="AB426" s="1">
        <f t="shared" si="164"/>
        <v>0</v>
      </c>
      <c r="AD426" s="1">
        <f t="shared" si="165"/>
        <v>0</v>
      </c>
      <c r="AE426" s="1">
        <f t="shared" si="166"/>
        <v>1</v>
      </c>
      <c r="AF426" s="1">
        <f t="shared" si="167"/>
        <v>0</v>
      </c>
      <c r="AG426" s="1">
        <f t="shared" si="168"/>
        <v>0</v>
      </c>
      <c r="AH426" s="1">
        <f t="shared" si="169"/>
        <v>0</v>
      </c>
      <c r="AI426" s="1">
        <f t="shared" si="170"/>
        <v>0</v>
      </c>
    </row>
    <row r="427" spans="1:35" ht="14.25" customHeight="1" x14ac:dyDescent="0.25">
      <c r="A427" s="31">
        <v>1</v>
      </c>
      <c r="B427" s="31">
        <v>2</v>
      </c>
      <c r="C427" s="31">
        <v>7</v>
      </c>
      <c r="D427" s="32" t="s">
        <v>55</v>
      </c>
      <c r="E427" s="32" t="s">
        <v>28</v>
      </c>
      <c r="F427" s="32" t="s">
        <v>216</v>
      </c>
      <c r="G427" s="32" t="s">
        <v>217</v>
      </c>
      <c r="H427" s="32" t="s">
        <v>352</v>
      </c>
      <c r="I427" s="31" t="s">
        <v>393</v>
      </c>
      <c r="J427" s="31">
        <v>99</v>
      </c>
      <c r="K427" s="33" t="s">
        <v>703</v>
      </c>
      <c r="L427" s="33" t="s">
        <v>704</v>
      </c>
      <c r="M427" s="34" t="s">
        <v>722</v>
      </c>
      <c r="N427" s="34" t="s">
        <v>1713</v>
      </c>
      <c r="O427" s="35">
        <v>1</v>
      </c>
      <c r="P427" s="35"/>
      <c r="Q427" s="32"/>
      <c r="S427" s="1">
        <f t="shared" si="155"/>
        <v>0</v>
      </c>
      <c r="T427" s="1">
        <f t="shared" si="156"/>
        <v>0</v>
      </c>
      <c r="U427" s="1">
        <f t="shared" si="157"/>
        <v>0</v>
      </c>
      <c r="V427" s="1">
        <f t="shared" si="158"/>
        <v>0</v>
      </c>
      <c r="W427" s="1">
        <f t="shared" si="159"/>
        <v>0</v>
      </c>
      <c r="X427" s="1">
        <f t="shared" si="160"/>
        <v>0</v>
      </c>
      <c r="Y427" s="1">
        <f t="shared" si="161"/>
        <v>0</v>
      </c>
      <c r="Z427" s="1">
        <f t="shared" si="162"/>
        <v>0</v>
      </c>
      <c r="AA427" s="1">
        <f t="shared" si="163"/>
        <v>0</v>
      </c>
      <c r="AB427" s="1">
        <f t="shared" si="164"/>
        <v>0</v>
      </c>
      <c r="AD427" s="1">
        <f t="shared" si="165"/>
        <v>0</v>
      </c>
      <c r="AE427" s="1">
        <f t="shared" si="166"/>
        <v>1</v>
      </c>
      <c r="AF427" s="1">
        <f t="shared" si="167"/>
        <v>0</v>
      </c>
      <c r="AG427" s="1">
        <f t="shared" si="168"/>
        <v>0</v>
      </c>
      <c r="AH427" s="1">
        <f t="shared" si="169"/>
        <v>0</v>
      </c>
      <c r="AI427" s="1">
        <f t="shared" si="170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6" t="s">
        <v>1997</v>
      </c>
      <c r="E428" s="36" t="s">
        <v>155</v>
      </c>
      <c r="F428" s="36" t="s">
        <v>1998</v>
      </c>
      <c r="G428" s="36" t="s">
        <v>219</v>
      </c>
      <c r="H428" s="36" t="s">
        <v>352</v>
      </c>
      <c r="I428" s="37" t="s">
        <v>1999</v>
      </c>
      <c r="J428" s="31">
        <v>99</v>
      </c>
      <c r="K428" s="33" t="s">
        <v>694</v>
      </c>
      <c r="L428" s="33">
        <v>10</v>
      </c>
      <c r="M428" s="34" t="s">
        <v>2000</v>
      </c>
      <c r="N428" s="34" t="s">
        <v>1700</v>
      </c>
      <c r="O428" s="35">
        <v>1</v>
      </c>
      <c r="P428" s="35"/>
      <c r="Q428" s="32"/>
      <c r="S428" s="1">
        <f t="shared" si="155"/>
        <v>0</v>
      </c>
      <c r="T428" s="1">
        <f t="shared" si="156"/>
        <v>0</v>
      </c>
      <c r="U428" s="1">
        <f t="shared" si="157"/>
        <v>0</v>
      </c>
      <c r="V428" s="1">
        <f t="shared" si="158"/>
        <v>0</v>
      </c>
      <c r="W428" s="1">
        <f t="shared" si="159"/>
        <v>0</v>
      </c>
      <c r="X428" s="1">
        <f t="shared" si="160"/>
        <v>0</v>
      </c>
      <c r="Y428" s="1">
        <f t="shared" si="161"/>
        <v>0</v>
      </c>
      <c r="Z428" s="1">
        <f t="shared" si="162"/>
        <v>0</v>
      </c>
      <c r="AA428" s="1">
        <f t="shared" si="163"/>
        <v>0</v>
      </c>
      <c r="AB428" s="1">
        <f t="shared" si="164"/>
        <v>0</v>
      </c>
      <c r="AD428" s="1">
        <f t="shared" si="165"/>
        <v>0</v>
      </c>
      <c r="AE428" s="1">
        <f t="shared" si="166"/>
        <v>1</v>
      </c>
      <c r="AF428" s="1">
        <f t="shared" si="167"/>
        <v>0</v>
      </c>
      <c r="AG428" s="1">
        <f t="shared" si="168"/>
        <v>1</v>
      </c>
      <c r="AH428" s="1">
        <f t="shared" si="169"/>
        <v>0</v>
      </c>
      <c r="AI428" s="1">
        <f t="shared" si="170"/>
        <v>1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6" t="s">
        <v>68</v>
      </c>
      <c r="E429" s="36" t="s">
        <v>28</v>
      </c>
      <c r="F429" s="36" t="s">
        <v>252</v>
      </c>
      <c r="G429" s="36" t="s">
        <v>253</v>
      </c>
      <c r="H429" s="36" t="s">
        <v>352</v>
      </c>
      <c r="I429" s="37" t="s">
        <v>412</v>
      </c>
      <c r="J429" s="31">
        <v>99</v>
      </c>
      <c r="K429" s="33" t="s">
        <v>704</v>
      </c>
      <c r="L429" s="33" t="s">
        <v>704</v>
      </c>
      <c r="M429" s="34" t="s">
        <v>722</v>
      </c>
      <c r="N429" s="34" t="s">
        <v>1776</v>
      </c>
      <c r="O429" s="35">
        <v>1</v>
      </c>
      <c r="P429" s="35"/>
      <c r="Q429" s="32"/>
      <c r="S429" s="1">
        <f t="shared" si="155"/>
        <v>0</v>
      </c>
      <c r="T429" s="1">
        <f t="shared" si="156"/>
        <v>0</v>
      </c>
      <c r="U429" s="1">
        <f t="shared" si="157"/>
        <v>0</v>
      </c>
      <c r="V429" s="1">
        <f t="shared" si="158"/>
        <v>0</v>
      </c>
      <c r="W429" s="1">
        <f t="shared" si="159"/>
        <v>0</v>
      </c>
      <c r="X429" s="1">
        <f t="shared" si="160"/>
        <v>0</v>
      </c>
      <c r="Y429" s="1">
        <f t="shared" si="161"/>
        <v>0</v>
      </c>
      <c r="Z429" s="1">
        <f t="shared" si="162"/>
        <v>0</v>
      </c>
      <c r="AA429" s="1">
        <f t="shared" si="163"/>
        <v>0</v>
      </c>
      <c r="AB429" s="1">
        <f t="shared" si="164"/>
        <v>0</v>
      </c>
      <c r="AD429" s="1">
        <f t="shared" si="165"/>
        <v>0</v>
      </c>
      <c r="AE429" s="1">
        <f t="shared" si="166"/>
        <v>1</v>
      </c>
      <c r="AF429" s="1">
        <f t="shared" si="167"/>
        <v>0</v>
      </c>
      <c r="AG429" s="1">
        <f t="shared" si="168"/>
        <v>1</v>
      </c>
      <c r="AH429" s="1">
        <f t="shared" si="169"/>
        <v>0</v>
      </c>
      <c r="AI429" s="1">
        <f t="shared" si="170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1961</v>
      </c>
      <c r="E430" s="32" t="s">
        <v>28</v>
      </c>
      <c r="F430" s="32" t="s">
        <v>1963</v>
      </c>
      <c r="G430" s="32" t="s">
        <v>1081</v>
      </c>
      <c r="H430" s="32" t="s">
        <v>352</v>
      </c>
      <c r="I430" s="31" t="s">
        <v>1964</v>
      </c>
      <c r="J430" s="31">
        <v>1</v>
      </c>
      <c r="K430" s="33" t="s">
        <v>694</v>
      </c>
      <c r="L430" s="33"/>
      <c r="M430" s="34"/>
      <c r="N430" s="34" t="s">
        <v>1687</v>
      </c>
      <c r="O430" s="35">
        <v>1</v>
      </c>
      <c r="P430" s="35">
        <v>1</v>
      </c>
      <c r="Q430" s="32" t="s">
        <v>1966</v>
      </c>
      <c r="S430" s="1">
        <f t="shared" si="155"/>
        <v>1</v>
      </c>
      <c r="T430" s="1">
        <f t="shared" si="156"/>
        <v>0</v>
      </c>
      <c r="U430" s="1">
        <f t="shared" si="157"/>
        <v>0</v>
      </c>
      <c r="V430" s="1">
        <f t="shared" si="158"/>
        <v>0</v>
      </c>
      <c r="W430" s="1">
        <f t="shared" si="159"/>
        <v>0</v>
      </c>
      <c r="X430" s="1">
        <f t="shared" si="160"/>
        <v>0</v>
      </c>
      <c r="Y430" s="1">
        <f t="shared" si="161"/>
        <v>0</v>
      </c>
      <c r="Z430" s="1">
        <f t="shared" si="162"/>
        <v>0</v>
      </c>
      <c r="AA430" s="1">
        <f t="shared" si="163"/>
        <v>0</v>
      </c>
      <c r="AB430" s="1">
        <f t="shared" si="164"/>
        <v>0</v>
      </c>
      <c r="AD430" s="1">
        <f t="shared" si="165"/>
        <v>1</v>
      </c>
      <c r="AE430" s="1">
        <f t="shared" si="166"/>
        <v>0</v>
      </c>
      <c r="AF430" s="1">
        <f t="shared" si="167"/>
        <v>1</v>
      </c>
      <c r="AG430" s="1">
        <f t="shared" si="168"/>
        <v>0</v>
      </c>
      <c r="AH430" s="1">
        <f t="shared" si="169"/>
        <v>1</v>
      </c>
      <c r="AI430" s="1">
        <f t="shared" si="17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1961</v>
      </c>
      <c r="E431" s="32" t="s">
        <v>28</v>
      </c>
      <c r="F431" s="32" t="s">
        <v>1962</v>
      </c>
      <c r="G431" s="36" t="s">
        <v>1968</v>
      </c>
      <c r="H431" s="32" t="s">
        <v>352</v>
      </c>
      <c r="I431" s="31" t="s">
        <v>1965</v>
      </c>
      <c r="J431" s="31">
        <v>8</v>
      </c>
      <c r="K431" s="33" t="s">
        <v>694</v>
      </c>
      <c r="L431" s="33"/>
      <c r="M431" s="34"/>
      <c r="N431" s="34" t="s">
        <v>1687</v>
      </c>
      <c r="O431" s="35">
        <v>1</v>
      </c>
      <c r="P431" s="35">
        <v>1</v>
      </c>
      <c r="Q431" s="32" t="s">
        <v>1967</v>
      </c>
      <c r="S431" s="1">
        <f t="shared" si="155"/>
        <v>0</v>
      </c>
      <c r="T431" s="1">
        <f t="shared" si="156"/>
        <v>0</v>
      </c>
      <c r="U431" s="1">
        <f t="shared" si="157"/>
        <v>0</v>
      </c>
      <c r="V431" s="1">
        <f t="shared" si="158"/>
        <v>0</v>
      </c>
      <c r="W431" s="1">
        <f t="shared" si="159"/>
        <v>0</v>
      </c>
      <c r="X431" s="1">
        <f t="shared" si="160"/>
        <v>0</v>
      </c>
      <c r="Y431" s="1">
        <f t="shared" si="161"/>
        <v>0</v>
      </c>
      <c r="Z431" s="1">
        <f t="shared" si="162"/>
        <v>1</v>
      </c>
      <c r="AA431" s="1">
        <f t="shared" si="163"/>
        <v>0</v>
      </c>
      <c r="AB431" s="1">
        <f t="shared" si="164"/>
        <v>0</v>
      </c>
      <c r="AD431" s="1">
        <f t="shared" si="165"/>
        <v>1</v>
      </c>
      <c r="AE431" s="1">
        <f t="shared" si="166"/>
        <v>0</v>
      </c>
      <c r="AF431" s="1">
        <f t="shared" si="167"/>
        <v>0</v>
      </c>
      <c r="AG431" s="1">
        <f t="shared" si="168"/>
        <v>0</v>
      </c>
      <c r="AH431" s="1">
        <f t="shared" si="169"/>
        <v>0</v>
      </c>
      <c r="AI431" s="1">
        <f t="shared" si="170"/>
        <v>0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254</v>
      </c>
      <c r="G432" s="36" t="s">
        <v>206</v>
      </c>
      <c r="H432" s="32" t="s">
        <v>352</v>
      </c>
      <c r="I432" s="31" t="s">
        <v>413</v>
      </c>
      <c r="J432" s="31">
        <v>99</v>
      </c>
      <c r="K432" s="33" t="s">
        <v>932</v>
      </c>
      <c r="L432" s="33" t="s">
        <v>704</v>
      </c>
      <c r="M432" s="34" t="s">
        <v>722</v>
      </c>
      <c r="N432" s="34" t="s">
        <v>1693</v>
      </c>
      <c r="O432" s="35">
        <v>1</v>
      </c>
      <c r="P432" s="35">
        <v>1</v>
      </c>
      <c r="Q432" s="32"/>
      <c r="S432" s="1">
        <f t="shared" si="155"/>
        <v>0</v>
      </c>
      <c r="T432" s="1">
        <f t="shared" si="156"/>
        <v>0</v>
      </c>
      <c r="U432" s="1">
        <f t="shared" si="157"/>
        <v>0</v>
      </c>
      <c r="V432" s="1">
        <f t="shared" si="158"/>
        <v>0</v>
      </c>
      <c r="W432" s="1">
        <f t="shared" si="159"/>
        <v>0</v>
      </c>
      <c r="X432" s="1">
        <f t="shared" si="160"/>
        <v>0</v>
      </c>
      <c r="Y432" s="1">
        <f t="shared" si="161"/>
        <v>0</v>
      </c>
      <c r="Z432" s="1">
        <f t="shared" si="162"/>
        <v>0</v>
      </c>
      <c r="AA432" s="1">
        <f t="shared" si="163"/>
        <v>0</v>
      </c>
      <c r="AB432" s="1">
        <f t="shared" si="164"/>
        <v>0</v>
      </c>
      <c r="AD432" s="1">
        <f t="shared" si="165"/>
        <v>1</v>
      </c>
      <c r="AE432" s="1">
        <f t="shared" si="166"/>
        <v>0</v>
      </c>
      <c r="AF432" s="1">
        <f t="shared" si="167"/>
        <v>1</v>
      </c>
      <c r="AG432" s="1">
        <f t="shared" si="168"/>
        <v>0</v>
      </c>
      <c r="AH432" s="1">
        <f t="shared" si="169"/>
        <v>1</v>
      </c>
      <c r="AI432" s="1">
        <f t="shared" si="170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69</v>
      </c>
      <c r="E433" s="32" t="s">
        <v>28</v>
      </c>
      <c r="F433" s="32" t="s">
        <v>1825</v>
      </c>
      <c r="G433" s="36" t="s">
        <v>255</v>
      </c>
      <c r="H433" s="32" t="s">
        <v>352</v>
      </c>
      <c r="I433" s="31" t="s">
        <v>414</v>
      </c>
      <c r="J433" s="31">
        <v>99</v>
      </c>
      <c r="K433" s="33" t="s">
        <v>932</v>
      </c>
      <c r="L433" s="33" t="s">
        <v>704</v>
      </c>
      <c r="M433" s="34" t="s">
        <v>722</v>
      </c>
      <c r="N433" s="34" t="s">
        <v>1693</v>
      </c>
      <c r="O433" s="35">
        <v>1</v>
      </c>
      <c r="P433" s="35">
        <v>1</v>
      </c>
      <c r="Q433" s="32"/>
      <c r="S433" s="1">
        <f t="shared" si="155"/>
        <v>0</v>
      </c>
      <c r="T433" s="1">
        <f t="shared" si="156"/>
        <v>0</v>
      </c>
      <c r="U433" s="1">
        <f t="shared" si="157"/>
        <v>0</v>
      </c>
      <c r="V433" s="1">
        <f t="shared" si="158"/>
        <v>0</v>
      </c>
      <c r="W433" s="1">
        <f t="shared" si="159"/>
        <v>0</v>
      </c>
      <c r="X433" s="1">
        <f t="shared" si="160"/>
        <v>0</v>
      </c>
      <c r="Y433" s="1">
        <f t="shared" si="161"/>
        <v>0</v>
      </c>
      <c r="Z433" s="1">
        <f t="shared" si="162"/>
        <v>0</v>
      </c>
      <c r="AA433" s="1">
        <f t="shared" si="163"/>
        <v>0</v>
      </c>
      <c r="AB433" s="1">
        <f t="shared" si="164"/>
        <v>0</v>
      </c>
      <c r="AD433" s="1">
        <f t="shared" si="165"/>
        <v>1</v>
      </c>
      <c r="AE433" s="1">
        <f t="shared" si="166"/>
        <v>0</v>
      </c>
      <c r="AF433" s="1">
        <f t="shared" si="167"/>
        <v>0</v>
      </c>
      <c r="AG433" s="1">
        <f t="shared" si="168"/>
        <v>0</v>
      </c>
      <c r="AH433" s="1">
        <f t="shared" si="169"/>
        <v>0</v>
      </c>
      <c r="AI433" s="1">
        <f t="shared" si="170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69</v>
      </c>
      <c r="E434" s="32" t="s">
        <v>28</v>
      </c>
      <c r="F434" s="32" t="s">
        <v>563</v>
      </c>
      <c r="G434" s="36" t="s">
        <v>564</v>
      </c>
      <c r="H434" s="32" t="s">
        <v>352</v>
      </c>
      <c r="I434" s="31" t="s">
        <v>572</v>
      </c>
      <c r="J434" s="31">
        <v>99</v>
      </c>
      <c r="K434" s="33" t="s">
        <v>932</v>
      </c>
      <c r="L434" s="33" t="s">
        <v>704</v>
      </c>
      <c r="M434" s="34" t="s">
        <v>722</v>
      </c>
      <c r="N434" s="34" t="s">
        <v>1693</v>
      </c>
      <c r="O434" s="35">
        <v>1</v>
      </c>
      <c r="P434" s="35">
        <v>1</v>
      </c>
      <c r="Q434" s="32"/>
      <c r="S434" s="1">
        <f t="shared" si="155"/>
        <v>0</v>
      </c>
      <c r="T434" s="1">
        <f t="shared" si="156"/>
        <v>0</v>
      </c>
      <c r="U434" s="1">
        <f t="shared" si="157"/>
        <v>0</v>
      </c>
      <c r="V434" s="1">
        <f t="shared" si="158"/>
        <v>0</v>
      </c>
      <c r="W434" s="1">
        <f t="shared" si="159"/>
        <v>0</v>
      </c>
      <c r="X434" s="1">
        <f t="shared" si="160"/>
        <v>0</v>
      </c>
      <c r="Y434" s="1">
        <f t="shared" si="161"/>
        <v>0</v>
      </c>
      <c r="Z434" s="1">
        <f t="shared" si="162"/>
        <v>0</v>
      </c>
      <c r="AA434" s="1">
        <f t="shared" si="163"/>
        <v>0</v>
      </c>
      <c r="AB434" s="1">
        <f t="shared" si="164"/>
        <v>0</v>
      </c>
      <c r="AD434" s="1">
        <f t="shared" si="165"/>
        <v>1</v>
      </c>
      <c r="AE434" s="1">
        <f t="shared" si="166"/>
        <v>0</v>
      </c>
      <c r="AF434" s="1">
        <f t="shared" si="167"/>
        <v>0</v>
      </c>
      <c r="AG434" s="1">
        <f t="shared" si="168"/>
        <v>0</v>
      </c>
      <c r="AH434" s="1">
        <f t="shared" si="169"/>
        <v>0</v>
      </c>
      <c r="AI434" s="1">
        <f t="shared" si="170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71</v>
      </c>
      <c r="E435" s="32" t="s">
        <v>28</v>
      </c>
      <c r="F435" s="32" t="s">
        <v>1316</v>
      </c>
      <c r="G435" s="36" t="s">
        <v>258</v>
      </c>
      <c r="H435" s="32" t="s">
        <v>352</v>
      </c>
      <c r="I435" s="31" t="s">
        <v>416</v>
      </c>
      <c r="J435" s="31">
        <v>99</v>
      </c>
      <c r="K435" s="33" t="s">
        <v>704</v>
      </c>
      <c r="L435" s="33" t="s">
        <v>704</v>
      </c>
      <c r="M435" s="34" t="s">
        <v>722</v>
      </c>
      <c r="N435" s="34" t="s">
        <v>1776</v>
      </c>
      <c r="O435" s="35">
        <v>1</v>
      </c>
      <c r="P435" s="35"/>
      <c r="Q435" s="32"/>
      <c r="S435" s="1">
        <f t="shared" si="155"/>
        <v>0</v>
      </c>
      <c r="T435" s="1">
        <f t="shared" si="156"/>
        <v>0</v>
      </c>
      <c r="U435" s="1">
        <f t="shared" si="157"/>
        <v>0</v>
      </c>
      <c r="V435" s="1">
        <f t="shared" si="158"/>
        <v>0</v>
      </c>
      <c r="W435" s="1">
        <f t="shared" si="159"/>
        <v>0</v>
      </c>
      <c r="X435" s="1">
        <f t="shared" si="160"/>
        <v>0</v>
      </c>
      <c r="Y435" s="1">
        <f t="shared" si="161"/>
        <v>0</v>
      </c>
      <c r="Z435" s="1">
        <f t="shared" si="162"/>
        <v>0</v>
      </c>
      <c r="AA435" s="1">
        <f t="shared" si="163"/>
        <v>0</v>
      </c>
      <c r="AB435" s="1">
        <f t="shared" si="164"/>
        <v>0</v>
      </c>
      <c r="AD435" s="1">
        <f t="shared" si="165"/>
        <v>0</v>
      </c>
      <c r="AE435" s="1">
        <f t="shared" si="166"/>
        <v>1</v>
      </c>
      <c r="AF435" s="1">
        <f t="shared" si="167"/>
        <v>0</v>
      </c>
      <c r="AG435" s="1">
        <f t="shared" si="168"/>
        <v>1</v>
      </c>
      <c r="AH435" s="1">
        <f t="shared" si="169"/>
        <v>0</v>
      </c>
      <c r="AI435" s="1">
        <f t="shared" si="170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1039</v>
      </c>
      <c r="E436" s="32" t="s">
        <v>28</v>
      </c>
      <c r="F436" s="32" t="s">
        <v>1040</v>
      </c>
      <c r="G436" s="36" t="s">
        <v>1041</v>
      </c>
      <c r="H436" s="32" t="s">
        <v>352</v>
      </c>
      <c r="I436" s="31" t="s">
        <v>1042</v>
      </c>
      <c r="J436" s="31">
        <v>99</v>
      </c>
      <c r="K436" s="33" t="s">
        <v>704</v>
      </c>
      <c r="L436" s="33" t="s">
        <v>704</v>
      </c>
      <c r="M436" s="34" t="s">
        <v>722</v>
      </c>
      <c r="N436" s="34" t="s">
        <v>1776</v>
      </c>
      <c r="O436" s="35">
        <v>1</v>
      </c>
      <c r="P436" s="35"/>
      <c r="Q436" s="32"/>
      <c r="S436" s="1">
        <f t="shared" si="155"/>
        <v>0</v>
      </c>
      <c r="T436" s="1">
        <f t="shared" si="156"/>
        <v>0</v>
      </c>
      <c r="U436" s="1">
        <f t="shared" si="157"/>
        <v>0</v>
      </c>
      <c r="V436" s="1">
        <f t="shared" si="158"/>
        <v>0</v>
      </c>
      <c r="W436" s="1">
        <f t="shared" si="159"/>
        <v>0</v>
      </c>
      <c r="X436" s="1">
        <f t="shared" si="160"/>
        <v>0</v>
      </c>
      <c r="Y436" s="1">
        <f t="shared" si="161"/>
        <v>0</v>
      </c>
      <c r="Z436" s="1">
        <f t="shared" si="162"/>
        <v>0</v>
      </c>
      <c r="AA436" s="1">
        <f t="shared" si="163"/>
        <v>0</v>
      </c>
      <c r="AB436" s="1">
        <f t="shared" si="164"/>
        <v>0</v>
      </c>
      <c r="AD436" s="1">
        <f t="shared" si="165"/>
        <v>0</v>
      </c>
      <c r="AE436" s="1">
        <f t="shared" si="166"/>
        <v>1</v>
      </c>
      <c r="AF436" s="1">
        <f t="shared" si="167"/>
        <v>0</v>
      </c>
      <c r="AG436" s="1">
        <f t="shared" si="168"/>
        <v>1</v>
      </c>
      <c r="AH436" s="1">
        <f t="shared" si="169"/>
        <v>0</v>
      </c>
      <c r="AI436" s="1">
        <f t="shared" si="17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1757</v>
      </c>
      <c r="E437" s="32" t="s">
        <v>155</v>
      </c>
      <c r="F437" s="32" t="s">
        <v>1758</v>
      </c>
      <c r="G437" s="32"/>
      <c r="H437" s="32" t="s">
        <v>352</v>
      </c>
      <c r="I437" s="31" t="s">
        <v>1759</v>
      </c>
      <c r="J437" s="31">
        <v>99</v>
      </c>
      <c r="K437" s="33" t="s">
        <v>694</v>
      </c>
      <c r="L437" s="33"/>
      <c r="M437" s="34"/>
      <c r="N437" s="34" t="s">
        <v>1687</v>
      </c>
      <c r="O437" s="35">
        <v>1</v>
      </c>
      <c r="P437" s="35">
        <v>1</v>
      </c>
      <c r="Q437" s="32"/>
      <c r="S437" s="1">
        <f t="shared" si="155"/>
        <v>0</v>
      </c>
      <c r="T437" s="1">
        <f t="shared" si="156"/>
        <v>0</v>
      </c>
      <c r="U437" s="1">
        <f t="shared" si="157"/>
        <v>0</v>
      </c>
      <c r="V437" s="1">
        <f t="shared" si="158"/>
        <v>0</v>
      </c>
      <c r="W437" s="1">
        <f t="shared" si="159"/>
        <v>0</v>
      </c>
      <c r="X437" s="1">
        <f t="shared" si="160"/>
        <v>0</v>
      </c>
      <c r="Y437" s="1">
        <f t="shared" si="161"/>
        <v>0</v>
      </c>
      <c r="Z437" s="1">
        <f t="shared" si="162"/>
        <v>0</v>
      </c>
      <c r="AA437" s="1">
        <f t="shared" si="163"/>
        <v>0</v>
      </c>
      <c r="AB437" s="1">
        <f t="shared" si="164"/>
        <v>0</v>
      </c>
      <c r="AD437" s="1">
        <f t="shared" si="165"/>
        <v>1</v>
      </c>
      <c r="AE437" s="1">
        <f t="shared" si="166"/>
        <v>0</v>
      </c>
      <c r="AF437" s="1">
        <f t="shared" si="167"/>
        <v>1</v>
      </c>
      <c r="AG437" s="1">
        <f t="shared" si="168"/>
        <v>0</v>
      </c>
      <c r="AH437" s="1">
        <f t="shared" si="169"/>
        <v>1</v>
      </c>
      <c r="AI437" s="1">
        <f t="shared" si="170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1150</v>
      </c>
      <c r="E438" s="32" t="s">
        <v>155</v>
      </c>
      <c r="F438" s="32" t="s">
        <v>1151</v>
      </c>
      <c r="G438" s="32" t="s">
        <v>291</v>
      </c>
      <c r="H438" s="32" t="s">
        <v>352</v>
      </c>
      <c r="I438" s="31" t="s">
        <v>1152</v>
      </c>
      <c r="J438" s="31">
        <v>99</v>
      </c>
      <c r="K438" s="33" t="s">
        <v>704</v>
      </c>
      <c r="L438" s="33" t="s">
        <v>713</v>
      </c>
      <c r="M438" s="34" t="s">
        <v>1398</v>
      </c>
      <c r="N438" s="34" t="s">
        <v>1700</v>
      </c>
      <c r="O438" s="35">
        <v>1</v>
      </c>
      <c r="P438" s="35"/>
      <c r="Q438" s="32"/>
      <c r="S438" s="1">
        <f t="shared" si="155"/>
        <v>0</v>
      </c>
      <c r="T438" s="1">
        <f t="shared" si="156"/>
        <v>0</v>
      </c>
      <c r="U438" s="1">
        <f t="shared" si="157"/>
        <v>0</v>
      </c>
      <c r="V438" s="1">
        <f t="shared" si="158"/>
        <v>0</v>
      </c>
      <c r="W438" s="1">
        <f t="shared" si="159"/>
        <v>0</v>
      </c>
      <c r="X438" s="1">
        <f t="shared" si="160"/>
        <v>0</v>
      </c>
      <c r="Y438" s="1">
        <f t="shared" si="161"/>
        <v>0</v>
      </c>
      <c r="Z438" s="1">
        <f t="shared" si="162"/>
        <v>0</v>
      </c>
      <c r="AA438" s="1">
        <f t="shared" si="163"/>
        <v>0</v>
      </c>
      <c r="AB438" s="1">
        <f t="shared" si="164"/>
        <v>0</v>
      </c>
      <c r="AD438" s="1">
        <f t="shared" si="165"/>
        <v>0</v>
      </c>
      <c r="AE438" s="1">
        <f t="shared" si="166"/>
        <v>1</v>
      </c>
      <c r="AF438" s="1">
        <f t="shared" si="167"/>
        <v>0</v>
      </c>
      <c r="AG438" s="1">
        <f t="shared" si="168"/>
        <v>1</v>
      </c>
      <c r="AH438" s="1">
        <f t="shared" si="169"/>
        <v>0</v>
      </c>
      <c r="AI438" s="1">
        <f t="shared" si="170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2125</v>
      </c>
      <c r="E439" s="32" t="s">
        <v>155</v>
      </c>
      <c r="F439" s="32" t="s">
        <v>1951</v>
      </c>
      <c r="G439" s="32" t="s">
        <v>281</v>
      </c>
      <c r="H439" s="32" t="s">
        <v>352</v>
      </c>
      <c r="I439" s="31" t="s">
        <v>1952</v>
      </c>
      <c r="J439" s="31">
        <v>99</v>
      </c>
      <c r="K439" s="33" t="s">
        <v>694</v>
      </c>
      <c r="L439" s="33" t="s">
        <v>713</v>
      </c>
      <c r="M439" s="34" t="s">
        <v>723</v>
      </c>
      <c r="N439" s="34" t="s">
        <v>1687</v>
      </c>
      <c r="O439" s="35">
        <v>1</v>
      </c>
      <c r="P439" s="35">
        <v>1</v>
      </c>
      <c r="Q439" s="32"/>
      <c r="S439" s="1">
        <f t="shared" si="155"/>
        <v>0</v>
      </c>
      <c r="T439" s="1">
        <f t="shared" si="156"/>
        <v>0</v>
      </c>
      <c r="U439" s="1">
        <f t="shared" si="157"/>
        <v>0</v>
      </c>
      <c r="V439" s="1">
        <f t="shared" si="158"/>
        <v>0</v>
      </c>
      <c r="W439" s="1">
        <f t="shared" si="159"/>
        <v>0</v>
      </c>
      <c r="X439" s="1">
        <f t="shared" si="160"/>
        <v>0</v>
      </c>
      <c r="Y439" s="1">
        <f t="shared" si="161"/>
        <v>0</v>
      </c>
      <c r="Z439" s="1">
        <f t="shared" si="162"/>
        <v>0</v>
      </c>
      <c r="AA439" s="1">
        <f t="shared" si="163"/>
        <v>0</v>
      </c>
      <c r="AB439" s="1">
        <f t="shared" si="164"/>
        <v>0</v>
      </c>
      <c r="AD439" s="1">
        <f t="shared" si="165"/>
        <v>1</v>
      </c>
      <c r="AE439" s="1">
        <f t="shared" si="166"/>
        <v>0</v>
      </c>
      <c r="AF439" s="1">
        <f t="shared" si="167"/>
        <v>1</v>
      </c>
      <c r="AG439" s="1">
        <f t="shared" si="168"/>
        <v>0</v>
      </c>
      <c r="AH439" s="1">
        <f t="shared" si="169"/>
        <v>1</v>
      </c>
      <c r="AI439" s="1">
        <f t="shared" si="170"/>
        <v>0</v>
      </c>
    </row>
    <row r="440" spans="1:35" ht="14.25" customHeight="1" x14ac:dyDescent="0.25">
      <c r="A440" s="31">
        <v>1</v>
      </c>
      <c r="B440" s="31">
        <v>2</v>
      </c>
      <c r="C440" s="31">
        <v>7</v>
      </c>
      <c r="D440" s="36" t="s">
        <v>2125</v>
      </c>
      <c r="E440" s="32" t="s">
        <v>155</v>
      </c>
      <c r="F440" s="32" t="s">
        <v>1953</v>
      </c>
      <c r="G440" s="32" t="s">
        <v>1954</v>
      </c>
      <c r="H440" s="32" t="s">
        <v>352</v>
      </c>
      <c r="I440" s="31" t="s">
        <v>1955</v>
      </c>
      <c r="J440" s="31">
        <v>99</v>
      </c>
      <c r="K440" s="33" t="s">
        <v>694</v>
      </c>
      <c r="L440" s="33" t="s">
        <v>713</v>
      </c>
      <c r="M440" s="34" t="s">
        <v>723</v>
      </c>
      <c r="N440" s="34" t="s">
        <v>1687</v>
      </c>
      <c r="O440" s="35">
        <v>1</v>
      </c>
      <c r="P440" s="35">
        <v>1</v>
      </c>
      <c r="Q440" s="32"/>
      <c r="S440" s="1">
        <f t="shared" si="155"/>
        <v>0</v>
      </c>
      <c r="T440" s="1">
        <f t="shared" si="156"/>
        <v>0</v>
      </c>
      <c r="U440" s="1">
        <f t="shared" si="157"/>
        <v>0</v>
      </c>
      <c r="V440" s="1">
        <f t="shared" si="158"/>
        <v>0</v>
      </c>
      <c r="W440" s="1">
        <f t="shared" si="159"/>
        <v>0</v>
      </c>
      <c r="X440" s="1">
        <f t="shared" si="160"/>
        <v>0</v>
      </c>
      <c r="Y440" s="1">
        <f t="shared" si="161"/>
        <v>0</v>
      </c>
      <c r="Z440" s="1">
        <f t="shared" si="162"/>
        <v>0</v>
      </c>
      <c r="AA440" s="1">
        <f t="shared" si="163"/>
        <v>0</v>
      </c>
      <c r="AB440" s="1">
        <f t="shared" si="164"/>
        <v>0</v>
      </c>
      <c r="AD440" s="1">
        <f t="shared" si="165"/>
        <v>1</v>
      </c>
      <c r="AE440" s="1">
        <f t="shared" si="166"/>
        <v>0</v>
      </c>
      <c r="AF440" s="1">
        <f t="shared" si="167"/>
        <v>0</v>
      </c>
      <c r="AG440" s="1">
        <f t="shared" si="168"/>
        <v>0</v>
      </c>
      <c r="AH440" s="1">
        <f t="shared" si="169"/>
        <v>0</v>
      </c>
      <c r="AI440" s="1">
        <f t="shared" si="170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1125</v>
      </c>
      <c r="E441" s="32" t="s">
        <v>1126</v>
      </c>
      <c r="F441" s="36" t="s">
        <v>1828</v>
      </c>
      <c r="G441" s="32" t="s">
        <v>620</v>
      </c>
      <c r="H441" s="32" t="s">
        <v>352</v>
      </c>
      <c r="I441" s="31" t="s">
        <v>1127</v>
      </c>
      <c r="J441" s="31">
        <v>99</v>
      </c>
      <c r="K441" s="33" t="s">
        <v>704</v>
      </c>
      <c r="L441" s="33" t="s">
        <v>704</v>
      </c>
      <c r="M441" s="34" t="s">
        <v>722</v>
      </c>
      <c r="N441" s="34" t="s">
        <v>1696</v>
      </c>
      <c r="O441" s="35">
        <v>1</v>
      </c>
      <c r="P441" s="35"/>
      <c r="Q441" s="36" t="s">
        <v>1848</v>
      </c>
      <c r="S441" s="1">
        <f t="shared" si="155"/>
        <v>0</v>
      </c>
      <c r="T441" s="1">
        <f t="shared" si="156"/>
        <v>0</v>
      </c>
      <c r="U441" s="1">
        <f t="shared" si="157"/>
        <v>0</v>
      </c>
      <c r="V441" s="1">
        <f t="shared" si="158"/>
        <v>0</v>
      </c>
      <c r="W441" s="1">
        <f t="shared" si="159"/>
        <v>0</v>
      </c>
      <c r="X441" s="1">
        <f t="shared" si="160"/>
        <v>0</v>
      </c>
      <c r="Y441" s="1">
        <f t="shared" si="161"/>
        <v>0</v>
      </c>
      <c r="Z441" s="1">
        <f t="shared" si="162"/>
        <v>0</v>
      </c>
      <c r="AA441" s="1">
        <f t="shared" si="163"/>
        <v>0</v>
      </c>
      <c r="AB441" s="1">
        <f t="shared" si="164"/>
        <v>0</v>
      </c>
      <c r="AD441" s="1">
        <f t="shared" si="165"/>
        <v>0</v>
      </c>
      <c r="AE441" s="1">
        <f t="shared" si="166"/>
        <v>1</v>
      </c>
      <c r="AF441" s="1">
        <f t="shared" si="167"/>
        <v>0</v>
      </c>
      <c r="AG441" s="1">
        <f t="shared" si="168"/>
        <v>1</v>
      </c>
      <c r="AH441" s="1">
        <f t="shared" si="169"/>
        <v>0</v>
      </c>
      <c r="AI441" s="1">
        <f t="shared" si="17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538</v>
      </c>
      <c r="E442" s="32" t="s">
        <v>157</v>
      </c>
      <c r="F442" s="32" t="s">
        <v>194</v>
      </c>
      <c r="G442" s="32" t="s">
        <v>195</v>
      </c>
      <c r="H442" s="32" t="s">
        <v>352</v>
      </c>
      <c r="I442" s="31" t="s">
        <v>546</v>
      </c>
      <c r="J442" s="31">
        <v>99</v>
      </c>
      <c r="K442" s="33" t="s">
        <v>932</v>
      </c>
      <c r="L442" s="33" t="s">
        <v>687</v>
      </c>
      <c r="M442" s="34" t="s">
        <v>1400</v>
      </c>
      <c r="N442" s="34" t="s">
        <v>1700</v>
      </c>
      <c r="O442" s="35">
        <v>1</v>
      </c>
      <c r="P442" s="35"/>
      <c r="Q442" s="32"/>
      <c r="S442" s="1">
        <f t="shared" si="155"/>
        <v>0</v>
      </c>
      <c r="T442" s="1">
        <f t="shared" si="156"/>
        <v>0</v>
      </c>
      <c r="U442" s="1">
        <f t="shared" si="157"/>
        <v>0</v>
      </c>
      <c r="V442" s="1">
        <f t="shared" si="158"/>
        <v>0</v>
      </c>
      <c r="W442" s="1">
        <f t="shared" si="159"/>
        <v>0</v>
      </c>
      <c r="X442" s="1">
        <f t="shared" si="160"/>
        <v>0</v>
      </c>
      <c r="Y442" s="1">
        <f t="shared" si="161"/>
        <v>0</v>
      </c>
      <c r="Z442" s="1">
        <f t="shared" si="162"/>
        <v>0</v>
      </c>
      <c r="AA442" s="1">
        <f t="shared" si="163"/>
        <v>0</v>
      </c>
      <c r="AB442" s="1">
        <f t="shared" si="164"/>
        <v>0</v>
      </c>
      <c r="AD442" s="1">
        <f t="shared" si="165"/>
        <v>0</v>
      </c>
      <c r="AE442" s="1">
        <f t="shared" si="166"/>
        <v>1</v>
      </c>
      <c r="AF442" s="1">
        <f t="shared" si="167"/>
        <v>0</v>
      </c>
      <c r="AG442" s="1">
        <f t="shared" si="168"/>
        <v>1</v>
      </c>
      <c r="AH442" s="1">
        <f t="shared" si="169"/>
        <v>0</v>
      </c>
      <c r="AI442" s="1">
        <f t="shared" si="170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46</v>
      </c>
      <c r="E443" s="32" t="s">
        <v>155</v>
      </c>
      <c r="F443" s="32" t="s">
        <v>182</v>
      </c>
      <c r="G443" s="32" t="s">
        <v>178</v>
      </c>
      <c r="H443" s="32" t="s">
        <v>352</v>
      </c>
      <c r="I443" s="31" t="s">
        <v>380</v>
      </c>
      <c r="J443" s="31">
        <v>10</v>
      </c>
      <c r="K443" s="33" t="s">
        <v>932</v>
      </c>
      <c r="L443" s="33" t="s">
        <v>713</v>
      </c>
      <c r="M443" s="34" t="s">
        <v>1398</v>
      </c>
      <c r="N443" s="34" t="s">
        <v>1800</v>
      </c>
      <c r="O443" s="35">
        <v>1</v>
      </c>
      <c r="P443" s="35"/>
      <c r="Q443" s="32"/>
      <c r="S443" s="1">
        <f t="shared" si="155"/>
        <v>0</v>
      </c>
      <c r="T443" s="1">
        <f t="shared" si="156"/>
        <v>0</v>
      </c>
      <c r="U443" s="1">
        <f t="shared" si="157"/>
        <v>0</v>
      </c>
      <c r="V443" s="1">
        <f t="shared" si="158"/>
        <v>0</v>
      </c>
      <c r="W443" s="1">
        <f t="shared" si="159"/>
        <v>0</v>
      </c>
      <c r="X443" s="1">
        <f t="shared" si="160"/>
        <v>0</v>
      </c>
      <c r="Y443" s="1">
        <f t="shared" si="161"/>
        <v>0</v>
      </c>
      <c r="Z443" s="1">
        <f t="shared" si="162"/>
        <v>0</v>
      </c>
      <c r="AA443" s="1">
        <f t="shared" si="163"/>
        <v>0</v>
      </c>
      <c r="AB443" s="1">
        <f t="shared" si="164"/>
        <v>1</v>
      </c>
      <c r="AD443" s="1">
        <f t="shared" si="165"/>
        <v>0</v>
      </c>
      <c r="AE443" s="1">
        <f t="shared" si="166"/>
        <v>1</v>
      </c>
      <c r="AF443" s="1">
        <f t="shared" si="167"/>
        <v>0</v>
      </c>
      <c r="AG443" s="1">
        <f t="shared" si="168"/>
        <v>1</v>
      </c>
      <c r="AH443" s="1">
        <f t="shared" si="169"/>
        <v>0</v>
      </c>
      <c r="AI443" s="1">
        <f t="shared" si="170"/>
        <v>1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247</v>
      </c>
      <c r="G444" s="32" t="s">
        <v>248</v>
      </c>
      <c r="H444" s="32" t="s">
        <v>352</v>
      </c>
      <c r="I444" s="31" t="s">
        <v>409</v>
      </c>
      <c r="J444" s="31">
        <v>7</v>
      </c>
      <c r="K444" s="33" t="s">
        <v>704</v>
      </c>
      <c r="L444" s="33" t="s">
        <v>704</v>
      </c>
      <c r="M444" s="34" t="s">
        <v>722</v>
      </c>
      <c r="N444" s="34" t="s">
        <v>1701</v>
      </c>
      <c r="O444" s="35">
        <v>1</v>
      </c>
      <c r="P444" s="35"/>
      <c r="Q444" s="32"/>
      <c r="S444" s="1">
        <f t="shared" si="155"/>
        <v>0</v>
      </c>
      <c r="T444" s="1">
        <f t="shared" si="156"/>
        <v>0</v>
      </c>
      <c r="U444" s="1">
        <f t="shared" si="157"/>
        <v>0</v>
      </c>
      <c r="V444" s="1">
        <f t="shared" si="158"/>
        <v>0</v>
      </c>
      <c r="W444" s="1">
        <f t="shared" si="159"/>
        <v>0</v>
      </c>
      <c r="X444" s="1">
        <f t="shared" si="160"/>
        <v>0</v>
      </c>
      <c r="Y444" s="1">
        <f t="shared" si="161"/>
        <v>1</v>
      </c>
      <c r="Z444" s="1">
        <f t="shared" si="162"/>
        <v>0</v>
      </c>
      <c r="AA444" s="1">
        <f t="shared" si="163"/>
        <v>0</v>
      </c>
      <c r="AB444" s="1">
        <f t="shared" si="164"/>
        <v>0</v>
      </c>
      <c r="AD444" s="1">
        <f t="shared" si="165"/>
        <v>0</v>
      </c>
      <c r="AE444" s="1">
        <f t="shared" si="166"/>
        <v>1</v>
      </c>
      <c r="AF444" s="1">
        <f t="shared" si="167"/>
        <v>0</v>
      </c>
      <c r="AG444" s="1">
        <f t="shared" si="168"/>
        <v>1</v>
      </c>
      <c r="AH444" s="1">
        <f t="shared" si="169"/>
        <v>0</v>
      </c>
      <c r="AI444" s="1">
        <f t="shared" si="170"/>
        <v>1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1016</v>
      </c>
      <c r="G445" s="32" t="s">
        <v>535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1701</v>
      </c>
      <c r="O445" s="35">
        <v>1</v>
      </c>
      <c r="P445" s="35"/>
      <c r="Q445" s="32"/>
      <c r="S445" s="1">
        <f t="shared" si="155"/>
        <v>1</v>
      </c>
      <c r="T445" s="1">
        <f t="shared" si="156"/>
        <v>0</v>
      </c>
      <c r="U445" s="1">
        <f t="shared" si="157"/>
        <v>0</v>
      </c>
      <c r="V445" s="1">
        <f t="shared" si="158"/>
        <v>0</v>
      </c>
      <c r="W445" s="1">
        <f t="shared" si="159"/>
        <v>0</v>
      </c>
      <c r="X445" s="1">
        <f t="shared" si="160"/>
        <v>0</v>
      </c>
      <c r="Y445" s="1">
        <f t="shared" si="161"/>
        <v>0</v>
      </c>
      <c r="Z445" s="1">
        <f t="shared" si="162"/>
        <v>0</v>
      </c>
      <c r="AA445" s="1">
        <f t="shared" si="163"/>
        <v>0</v>
      </c>
      <c r="AB445" s="1">
        <f t="shared" si="164"/>
        <v>0</v>
      </c>
      <c r="AD445" s="1">
        <f t="shared" si="165"/>
        <v>0</v>
      </c>
      <c r="AE445" s="1">
        <f t="shared" si="166"/>
        <v>1</v>
      </c>
      <c r="AF445" s="1">
        <f t="shared" si="167"/>
        <v>0</v>
      </c>
      <c r="AG445" s="1">
        <f t="shared" si="168"/>
        <v>0</v>
      </c>
      <c r="AH445" s="1">
        <f t="shared" si="169"/>
        <v>0</v>
      </c>
      <c r="AI445" s="1">
        <f t="shared" si="17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249</v>
      </c>
      <c r="G446" s="32" t="s">
        <v>199</v>
      </c>
      <c r="H446" s="32" t="s">
        <v>352</v>
      </c>
      <c r="I446" s="31" t="s">
        <v>410</v>
      </c>
      <c r="J446" s="31">
        <v>2</v>
      </c>
      <c r="K446" s="33" t="s">
        <v>704</v>
      </c>
      <c r="L446" s="33" t="s">
        <v>704</v>
      </c>
      <c r="M446" s="34" t="s">
        <v>722</v>
      </c>
      <c r="N446" s="34" t="s">
        <v>1701</v>
      </c>
      <c r="O446" s="35">
        <v>1</v>
      </c>
      <c r="P446" s="35"/>
      <c r="Q446" s="32"/>
      <c r="S446" s="1">
        <f t="shared" si="155"/>
        <v>0</v>
      </c>
      <c r="T446" s="1">
        <f t="shared" si="156"/>
        <v>1</v>
      </c>
      <c r="U446" s="1">
        <f t="shared" si="157"/>
        <v>0</v>
      </c>
      <c r="V446" s="1">
        <f t="shared" si="158"/>
        <v>0</v>
      </c>
      <c r="W446" s="1">
        <f t="shared" si="159"/>
        <v>0</v>
      </c>
      <c r="X446" s="1">
        <f t="shared" si="160"/>
        <v>0</v>
      </c>
      <c r="Y446" s="1">
        <f t="shared" si="161"/>
        <v>0</v>
      </c>
      <c r="Z446" s="1">
        <f t="shared" si="162"/>
        <v>0</v>
      </c>
      <c r="AA446" s="1">
        <f t="shared" si="163"/>
        <v>0</v>
      </c>
      <c r="AB446" s="1">
        <f t="shared" si="164"/>
        <v>0</v>
      </c>
      <c r="AD446" s="1">
        <f t="shared" si="165"/>
        <v>0</v>
      </c>
      <c r="AE446" s="1">
        <f t="shared" si="166"/>
        <v>1</v>
      </c>
      <c r="AF446" s="1">
        <f t="shared" si="167"/>
        <v>0</v>
      </c>
      <c r="AG446" s="1">
        <f t="shared" si="168"/>
        <v>0</v>
      </c>
      <c r="AH446" s="1">
        <f t="shared" si="169"/>
        <v>0</v>
      </c>
      <c r="AI446" s="1">
        <f t="shared" si="170"/>
        <v>0</v>
      </c>
    </row>
    <row r="447" spans="1:35" ht="14.25" customHeight="1" x14ac:dyDescent="0.25">
      <c r="A447" s="31">
        <v>1</v>
      </c>
      <c r="B447" s="31">
        <v>2</v>
      </c>
      <c r="C447" s="31">
        <v>7</v>
      </c>
      <c r="D447" s="32" t="s">
        <v>67</v>
      </c>
      <c r="E447" s="32" t="s">
        <v>28</v>
      </c>
      <c r="F447" s="32" t="s">
        <v>246</v>
      </c>
      <c r="G447" s="32" t="s">
        <v>1318</v>
      </c>
      <c r="H447" s="32" t="s">
        <v>352</v>
      </c>
      <c r="I447" s="31" t="s">
        <v>30</v>
      </c>
      <c r="J447" s="31">
        <v>1</v>
      </c>
      <c r="K447" s="33" t="s">
        <v>704</v>
      </c>
      <c r="L447" s="33" t="s">
        <v>704</v>
      </c>
      <c r="M447" s="34" t="s">
        <v>722</v>
      </c>
      <c r="N447" s="34" t="s">
        <v>1701</v>
      </c>
      <c r="O447" s="35">
        <v>1</v>
      </c>
      <c r="P447" s="35"/>
      <c r="Q447" s="32" t="s">
        <v>1867</v>
      </c>
      <c r="S447" s="1">
        <f t="shared" si="155"/>
        <v>1</v>
      </c>
      <c r="T447" s="1">
        <f t="shared" si="156"/>
        <v>0</v>
      </c>
      <c r="U447" s="1">
        <f t="shared" si="157"/>
        <v>0</v>
      </c>
      <c r="V447" s="1">
        <f t="shared" si="158"/>
        <v>0</v>
      </c>
      <c r="W447" s="1">
        <f t="shared" si="159"/>
        <v>0</v>
      </c>
      <c r="X447" s="1">
        <f t="shared" si="160"/>
        <v>0</v>
      </c>
      <c r="Y447" s="1">
        <f t="shared" si="161"/>
        <v>0</v>
      </c>
      <c r="Z447" s="1">
        <f t="shared" si="162"/>
        <v>0</v>
      </c>
      <c r="AA447" s="1">
        <f t="shared" si="163"/>
        <v>0</v>
      </c>
      <c r="AB447" s="1">
        <f t="shared" si="164"/>
        <v>0</v>
      </c>
      <c r="AD447" s="1">
        <f t="shared" si="165"/>
        <v>0</v>
      </c>
      <c r="AE447" s="1">
        <f t="shared" si="166"/>
        <v>1</v>
      </c>
      <c r="AF447" s="1">
        <f t="shared" si="167"/>
        <v>0</v>
      </c>
      <c r="AG447" s="1">
        <f t="shared" si="168"/>
        <v>0</v>
      </c>
      <c r="AH447" s="1">
        <f t="shared" si="169"/>
        <v>0</v>
      </c>
      <c r="AI447" s="1">
        <f t="shared" si="170"/>
        <v>0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67</v>
      </c>
      <c r="E448" s="32" t="s">
        <v>28</v>
      </c>
      <c r="F448" s="32" t="s">
        <v>251</v>
      </c>
      <c r="G448" s="32" t="s">
        <v>193</v>
      </c>
      <c r="H448" s="32" t="s">
        <v>352</v>
      </c>
      <c r="I448" s="31" t="s">
        <v>411</v>
      </c>
      <c r="J448" s="31">
        <v>9</v>
      </c>
      <c r="K448" s="33" t="s">
        <v>704</v>
      </c>
      <c r="L448" s="33" t="s">
        <v>704</v>
      </c>
      <c r="M448" s="34" t="s">
        <v>722</v>
      </c>
      <c r="N448" s="34" t="s">
        <v>1701</v>
      </c>
      <c r="O448" s="35">
        <v>1</v>
      </c>
      <c r="P448" s="35"/>
      <c r="Q448" s="32"/>
      <c r="S448" s="1">
        <f t="shared" si="155"/>
        <v>0</v>
      </c>
      <c r="T448" s="1">
        <f t="shared" si="156"/>
        <v>0</v>
      </c>
      <c r="U448" s="1">
        <f t="shared" si="157"/>
        <v>0</v>
      </c>
      <c r="V448" s="1">
        <f t="shared" si="158"/>
        <v>0</v>
      </c>
      <c r="W448" s="1">
        <f t="shared" si="159"/>
        <v>0</v>
      </c>
      <c r="X448" s="1">
        <f t="shared" si="160"/>
        <v>0</v>
      </c>
      <c r="Y448" s="1">
        <f t="shared" si="161"/>
        <v>0</v>
      </c>
      <c r="Z448" s="1">
        <f t="shared" si="162"/>
        <v>0</v>
      </c>
      <c r="AA448" s="1">
        <f t="shared" si="163"/>
        <v>1</v>
      </c>
      <c r="AB448" s="1">
        <f t="shared" si="164"/>
        <v>0</v>
      </c>
      <c r="AD448" s="1">
        <f t="shared" si="165"/>
        <v>0</v>
      </c>
      <c r="AE448" s="1">
        <f t="shared" si="166"/>
        <v>1</v>
      </c>
      <c r="AF448" s="1">
        <f t="shared" si="167"/>
        <v>0</v>
      </c>
      <c r="AG448" s="1">
        <f t="shared" si="168"/>
        <v>0</v>
      </c>
      <c r="AH448" s="1">
        <f t="shared" si="169"/>
        <v>0</v>
      </c>
      <c r="AI448" s="1">
        <f t="shared" si="170"/>
        <v>0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1000</v>
      </c>
      <c r="E449" s="32" t="s">
        <v>28</v>
      </c>
      <c r="F449" s="32" t="s">
        <v>1001</v>
      </c>
      <c r="G449" s="32" t="s">
        <v>193</v>
      </c>
      <c r="H449" s="32" t="s">
        <v>352</v>
      </c>
      <c r="I449" s="31" t="s">
        <v>1002</v>
      </c>
      <c r="J449" s="31">
        <v>9</v>
      </c>
      <c r="K449" s="33" t="s">
        <v>703</v>
      </c>
      <c r="L449" s="33" t="s">
        <v>704</v>
      </c>
      <c r="M449" s="34" t="s">
        <v>722</v>
      </c>
      <c r="N449" s="34" t="s">
        <v>1696</v>
      </c>
      <c r="O449" s="35">
        <v>1</v>
      </c>
      <c r="P449" s="35"/>
      <c r="Q449" s="32"/>
      <c r="S449" s="1">
        <f t="shared" si="155"/>
        <v>0</v>
      </c>
      <c r="T449" s="1">
        <f t="shared" si="156"/>
        <v>0</v>
      </c>
      <c r="U449" s="1">
        <f t="shared" si="157"/>
        <v>0</v>
      </c>
      <c r="V449" s="1">
        <f t="shared" si="158"/>
        <v>0</v>
      </c>
      <c r="W449" s="1">
        <f t="shared" si="159"/>
        <v>0</v>
      </c>
      <c r="X449" s="1">
        <f t="shared" si="160"/>
        <v>0</v>
      </c>
      <c r="Y449" s="1">
        <f t="shared" si="161"/>
        <v>0</v>
      </c>
      <c r="Z449" s="1">
        <f t="shared" si="162"/>
        <v>0</v>
      </c>
      <c r="AA449" s="1">
        <f t="shared" si="163"/>
        <v>1</v>
      </c>
      <c r="AB449" s="1">
        <f t="shared" si="164"/>
        <v>0</v>
      </c>
      <c r="AD449" s="1">
        <f t="shared" si="165"/>
        <v>0</v>
      </c>
      <c r="AE449" s="1">
        <f t="shared" si="166"/>
        <v>1</v>
      </c>
      <c r="AF449" s="1">
        <f t="shared" si="167"/>
        <v>0</v>
      </c>
      <c r="AG449" s="1">
        <f t="shared" si="168"/>
        <v>1</v>
      </c>
      <c r="AH449" s="1">
        <f t="shared" si="169"/>
        <v>0</v>
      </c>
      <c r="AI449" s="1">
        <f t="shared" si="17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1784</v>
      </c>
      <c r="E450" s="32" t="s">
        <v>1785</v>
      </c>
      <c r="F450" s="32" t="s">
        <v>1786</v>
      </c>
      <c r="G450" s="32" t="s">
        <v>206</v>
      </c>
      <c r="H450" s="32" t="s">
        <v>352</v>
      </c>
      <c r="I450" s="31" t="s">
        <v>30</v>
      </c>
      <c r="J450" s="31"/>
      <c r="K450" s="33" t="s">
        <v>694</v>
      </c>
      <c r="L450" s="33">
        <v>20</v>
      </c>
      <c r="M450" s="34" t="s">
        <v>1787</v>
      </c>
      <c r="N450" s="34" t="s">
        <v>1696</v>
      </c>
      <c r="O450" s="35">
        <v>1</v>
      </c>
      <c r="P450" s="35"/>
      <c r="Q450" s="32"/>
      <c r="S450" s="1">
        <f t="shared" si="155"/>
        <v>0</v>
      </c>
      <c r="T450" s="1">
        <f t="shared" si="156"/>
        <v>0</v>
      </c>
      <c r="U450" s="1">
        <f t="shared" si="157"/>
        <v>0</v>
      </c>
      <c r="V450" s="1">
        <f t="shared" si="158"/>
        <v>0</v>
      </c>
      <c r="W450" s="1">
        <f t="shared" si="159"/>
        <v>0</v>
      </c>
      <c r="X450" s="1">
        <f t="shared" si="160"/>
        <v>0</v>
      </c>
      <c r="Y450" s="1">
        <f t="shared" si="161"/>
        <v>0</v>
      </c>
      <c r="Z450" s="1">
        <f t="shared" si="162"/>
        <v>0</v>
      </c>
      <c r="AA450" s="1">
        <f t="shared" si="163"/>
        <v>0</v>
      </c>
      <c r="AB450" s="1">
        <f t="shared" si="164"/>
        <v>0</v>
      </c>
      <c r="AD450" s="1">
        <f t="shared" si="165"/>
        <v>0</v>
      </c>
      <c r="AE450" s="1">
        <f t="shared" si="166"/>
        <v>1</v>
      </c>
      <c r="AF450" s="1">
        <f t="shared" si="167"/>
        <v>0</v>
      </c>
      <c r="AG450" s="1">
        <f t="shared" si="168"/>
        <v>1</v>
      </c>
      <c r="AH450" s="1">
        <f t="shared" si="169"/>
        <v>0</v>
      </c>
      <c r="AI450" s="1">
        <f t="shared" si="170"/>
        <v>1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1056</v>
      </c>
      <c r="E451" s="32" t="s">
        <v>540</v>
      </c>
      <c r="F451" s="32" t="s">
        <v>1037</v>
      </c>
      <c r="G451" s="32" t="s">
        <v>237</v>
      </c>
      <c r="H451" s="32" t="s">
        <v>352</v>
      </c>
      <c r="I451" s="31" t="s">
        <v>1038</v>
      </c>
      <c r="J451" s="31">
        <v>99</v>
      </c>
      <c r="K451" s="33" t="s">
        <v>932</v>
      </c>
      <c r="L451" s="33" t="s">
        <v>713</v>
      </c>
      <c r="M451" s="34" t="s">
        <v>1401</v>
      </c>
      <c r="N451" s="34" t="s">
        <v>1696</v>
      </c>
      <c r="O451" s="35">
        <v>1</v>
      </c>
      <c r="P451" s="35"/>
      <c r="Q451" s="32"/>
      <c r="S451" s="1">
        <f t="shared" si="155"/>
        <v>0</v>
      </c>
      <c r="T451" s="1">
        <f t="shared" si="156"/>
        <v>0</v>
      </c>
      <c r="U451" s="1">
        <f t="shared" si="157"/>
        <v>0</v>
      </c>
      <c r="V451" s="1">
        <f t="shared" si="158"/>
        <v>0</v>
      </c>
      <c r="W451" s="1">
        <f t="shared" si="159"/>
        <v>0</v>
      </c>
      <c r="X451" s="1">
        <f t="shared" si="160"/>
        <v>0</v>
      </c>
      <c r="Y451" s="1">
        <f t="shared" si="161"/>
        <v>0</v>
      </c>
      <c r="Z451" s="1">
        <f t="shared" si="162"/>
        <v>0</v>
      </c>
      <c r="AA451" s="1">
        <f t="shared" si="163"/>
        <v>0</v>
      </c>
      <c r="AB451" s="1">
        <f t="shared" si="164"/>
        <v>0</v>
      </c>
      <c r="AD451" s="1">
        <f t="shared" si="165"/>
        <v>0</v>
      </c>
      <c r="AE451" s="1">
        <f t="shared" si="166"/>
        <v>1</v>
      </c>
      <c r="AF451" s="1">
        <f t="shared" si="167"/>
        <v>0</v>
      </c>
      <c r="AG451" s="1">
        <f t="shared" si="168"/>
        <v>1</v>
      </c>
      <c r="AH451" s="1">
        <f t="shared" si="169"/>
        <v>0</v>
      </c>
      <c r="AI451" s="1">
        <f t="shared" si="170"/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1195</v>
      </c>
      <c r="E452" s="32" t="s">
        <v>155</v>
      </c>
      <c r="F452" s="32" t="s">
        <v>1196</v>
      </c>
      <c r="G452" s="32" t="s">
        <v>250</v>
      </c>
      <c r="H452" s="32" t="s">
        <v>352</v>
      </c>
      <c r="I452" s="31" t="s">
        <v>1197</v>
      </c>
      <c r="J452" s="31">
        <v>99</v>
      </c>
      <c r="K452" s="33" t="s">
        <v>704</v>
      </c>
      <c r="L452" s="33">
        <v>10</v>
      </c>
      <c r="M452" s="34" t="s">
        <v>1699</v>
      </c>
      <c r="N452" s="34" t="s">
        <v>1687</v>
      </c>
      <c r="O452" s="35">
        <v>1</v>
      </c>
      <c r="P452" s="35">
        <v>1</v>
      </c>
      <c r="Q452" s="32"/>
      <c r="S452" s="1">
        <f t="shared" si="155"/>
        <v>0</v>
      </c>
      <c r="T452" s="1">
        <f t="shared" si="156"/>
        <v>0</v>
      </c>
      <c r="U452" s="1">
        <f t="shared" si="157"/>
        <v>0</v>
      </c>
      <c r="V452" s="1">
        <f t="shared" si="158"/>
        <v>0</v>
      </c>
      <c r="W452" s="1">
        <f t="shared" si="159"/>
        <v>0</v>
      </c>
      <c r="X452" s="1">
        <f t="shared" si="160"/>
        <v>0</v>
      </c>
      <c r="Y452" s="1">
        <f t="shared" si="161"/>
        <v>0</v>
      </c>
      <c r="Z452" s="1">
        <f t="shared" si="162"/>
        <v>0</v>
      </c>
      <c r="AA452" s="1">
        <f t="shared" si="163"/>
        <v>0</v>
      </c>
      <c r="AB452" s="1">
        <f t="shared" si="164"/>
        <v>0</v>
      </c>
      <c r="AD452" s="1">
        <f t="shared" si="165"/>
        <v>1</v>
      </c>
      <c r="AE452" s="1">
        <f t="shared" si="166"/>
        <v>0</v>
      </c>
      <c r="AF452" s="1">
        <f t="shared" si="167"/>
        <v>1</v>
      </c>
      <c r="AG452" s="1">
        <f t="shared" si="168"/>
        <v>0</v>
      </c>
      <c r="AH452" s="1">
        <f t="shared" si="169"/>
        <v>1</v>
      </c>
      <c r="AI452" s="1">
        <f t="shared" si="170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6" t="s">
        <v>1754</v>
      </c>
      <c r="E453" s="36" t="s">
        <v>28</v>
      </c>
      <c r="F453" s="36" t="s">
        <v>1755</v>
      </c>
      <c r="G453" s="36" t="s">
        <v>179</v>
      </c>
      <c r="H453" s="36" t="s">
        <v>352</v>
      </c>
      <c r="I453" s="37" t="s">
        <v>1756</v>
      </c>
      <c r="J453" s="31">
        <v>10</v>
      </c>
      <c r="K453" s="33" t="s">
        <v>694</v>
      </c>
      <c r="L453" s="33">
        <v>10</v>
      </c>
      <c r="M453" s="34"/>
      <c r="N453" s="34" t="s">
        <v>1687</v>
      </c>
      <c r="O453" s="35">
        <v>1</v>
      </c>
      <c r="P453" s="35">
        <v>1</v>
      </c>
      <c r="Q453" s="36"/>
      <c r="S453" s="1">
        <f t="shared" si="155"/>
        <v>0</v>
      </c>
      <c r="T453" s="1">
        <f t="shared" si="156"/>
        <v>0</v>
      </c>
      <c r="U453" s="1">
        <f t="shared" si="157"/>
        <v>0</v>
      </c>
      <c r="V453" s="1">
        <f t="shared" si="158"/>
        <v>0</v>
      </c>
      <c r="W453" s="1">
        <f t="shared" si="159"/>
        <v>0</v>
      </c>
      <c r="X453" s="1">
        <f t="shared" si="160"/>
        <v>0</v>
      </c>
      <c r="Y453" s="1">
        <f t="shared" si="161"/>
        <v>0</v>
      </c>
      <c r="Z453" s="1">
        <f t="shared" si="162"/>
        <v>0</v>
      </c>
      <c r="AA453" s="1">
        <f t="shared" si="163"/>
        <v>0</v>
      </c>
      <c r="AB453" s="1">
        <f t="shared" si="164"/>
        <v>1</v>
      </c>
      <c r="AD453" s="1">
        <f t="shared" si="165"/>
        <v>1</v>
      </c>
      <c r="AE453" s="1">
        <f t="shared" si="166"/>
        <v>0</v>
      </c>
      <c r="AF453" s="1">
        <f t="shared" si="167"/>
        <v>1</v>
      </c>
      <c r="AG453" s="1">
        <f t="shared" si="168"/>
        <v>0</v>
      </c>
      <c r="AH453" s="1">
        <f t="shared" si="169"/>
        <v>1</v>
      </c>
      <c r="AI453" s="1">
        <f t="shared" si="170"/>
        <v>0</v>
      </c>
    </row>
    <row r="454" spans="1:35" ht="14.25" customHeight="1" x14ac:dyDescent="0.25">
      <c r="A454" s="37">
        <v>0</v>
      </c>
      <c r="B454" s="37">
        <v>2</v>
      </c>
      <c r="C454" s="37">
        <v>7</v>
      </c>
      <c r="D454" s="36" t="s">
        <v>1546</v>
      </c>
      <c r="E454" s="36" t="s">
        <v>1612</v>
      </c>
      <c r="F454" s="36" t="s">
        <v>1547</v>
      </c>
      <c r="G454" s="36" t="s">
        <v>648</v>
      </c>
      <c r="H454" s="36" t="s">
        <v>352</v>
      </c>
      <c r="I454" s="37" t="s">
        <v>1548</v>
      </c>
      <c r="J454" s="37">
        <v>99</v>
      </c>
      <c r="K454" s="33" t="s">
        <v>704</v>
      </c>
      <c r="L454" s="33" t="s">
        <v>39</v>
      </c>
      <c r="M454" s="34" t="s">
        <v>39</v>
      </c>
      <c r="N454" s="34" t="s">
        <v>1687</v>
      </c>
      <c r="O454" s="35">
        <v>1</v>
      </c>
      <c r="P454" s="35">
        <v>1</v>
      </c>
      <c r="Q454" s="36"/>
      <c r="S454" s="1">
        <f t="shared" si="155"/>
        <v>0</v>
      </c>
      <c r="T454" s="1">
        <f t="shared" si="156"/>
        <v>0</v>
      </c>
      <c r="U454" s="1">
        <f t="shared" si="157"/>
        <v>0</v>
      </c>
      <c r="V454" s="1">
        <f t="shared" si="158"/>
        <v>0</v>
      </c>
      <c r="W454" s="1">
        <f t="shared" si="159"/>
        <v>0</v>
      </c>
      <c r="X454" s="1">
        <f t="shared" si="160"/>
        <v>0</v>
      </c>
      <c r="Y454" s="1">
        <f t="shared" si="161"/>
        <v>0</v>
      </c>
      <c r="Z454" s="1">
        <f t="shared" si="162"/>
        <v>0</v>
      </c>
      <c r="AA454" s="1">
        <f t="shared" si="163"/>
        <v>0</v>
      </c>
      <c r="AB454" s="1">
        <f t="shared" si="164"/>
        <v>0</v>
      </c>
      <c r="AD454" s="1">
        <f t="shared" si="165"/>
        <v>1</v>
      </c>
      <c r="AE454" s="1">
        <f t="shared" si="166"/>
        <v>0</v>
      </c>
      <c r="AF454" s="1">
        <f t="shared" si="167"/>
        <v>1</v>
      </c>
      <c r="AG454" s="1">
        <f t="shared" si="168"/>
        <v>0</v>
      </c>
      <c r="AH454" s="1">
        <f t="shared" si="169"/>
        <v>1</v>
      </c>
      <c r="AI454" s="1">
        <f t="shared" si="170"/>
        <v>0</v>
      </c>
    </row>
    <row r="455" spans="1:35" ht="14.25" customHeight="1" x14ac:dyDescent="0.25">
      <c r="A455" s="37">
        <v>0</v>
      </c>
      <c r="B455" s="37">
        <v>2</v>
      </c>
      <c r="C455" s="37">
        <v>7</v>
      </c>
      <c r="D455" s="36" t="s">
        <v>2130</v>
      </c>
      <c r="E455" s="36" t="s">
        <v>2131</v>
      </c>
      <c r="F455" s="36" t="s">
        <v>2133</v>
      </c>
      <c r="G455" s="36" t="s">
        <v>2134</v>
      </c>
      <c r="H455" s="36" t="s">
        <v>352</v>
      </c>
      <c r="I455" s="37" t="s">
        <v>2132</v>
      </c>
      <c r="J455" s="37">
        <v>99</v>
      </c>
      <c r="K455" s="33" t="s">
        <v>694</v>
      </c>
      <c r="L455" s="33" t="s">
        <v>704</v>
      </c>
      <c r="M455" s="34" t="s">
        <v>722</v>
      </c>
      <c r="N455" s="34" t="s">
        <v>1693</v>
      </c>
      <c r="O455" s="35">
        <v>1</v>
      </c>
      <c r="P455" s="35">
        <v>1</v>
      </c>
      <c r="Q455" s="36" t="s">
        <v>2135</v>
      </c>
      <c r="S455" s="1">
        <f t="shared" si="155"/>
        <v>0</v>
      </c>
      <c r="T455" s="1">
        <f t="shared" si="156"/>
        <v>0</v>
      </c>
      <c r="U455" s="1">
        <f t="shared" si="157"/>
        <v>0</v>
      </c>
      <c r="V455" s="1">
        <f t="shared" si="158"/>
        <v>0</v>
      </c>
      <c r="W455" s="1">
        <f t="shared" si="159"/>
        <v>0</v>
      </c>
      <c r="X455" s="1">
        <f t="shared" si="160"/>
        <v>0</v>
      </c>
      <c r="Y455" s="1">
        <f t="shared" si="161"/>
        <v>0</v>
      </c>
      <c r="Z455" s="1">
        <f t="shared" si="162"/>
        <v>0</v>
      </c>
      <c r="AA455" s="1">
        <f t="shared" si="163"/>
        <v>0</v>
      </c>
      <c r="AB455" s="1">
        <f t="shared" si="164"/>
        <v>0</v>
      </c>
      <c r="AD455" s="1">
        <f t="shared" ref="AD455:AD457" si="171">+O455*P455</f>
        <v>1</v>
      </c>
      <c r="AE455" s="1">
        <f t="shared" ref="AE455:AE457" si="172">O455*(1-P455)</f>
        <v>0</v>
      </c>
      <c r="AF455" s="1">
        <f t="shared" ref="AF455:AF457" si="173">+O455*P455*(1-A455)</f>
        <v>1</v>
      </c>
      <c r="AG455" s="1">
        <f t="shared" ref="AG455:AG457" si="174">O455*(1-P455)*(1-A455)</f>
        <v>0</v>
      </c>
      <c r="AH455" s="1">
        <f t="shared" ref="AH455:AH457" si="175">+P455*(1-A455)</f>
        <v>1</v>
      </c>
      <c r="AI455" s="1">
        <f t="shared" ref="AI455:AI457" si="176">+(1-A455)*(1-P455)</f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1498</v>
      </c>
      <c r="E456" s="32" t="s">
        <v>28</v>
      </c>
      <c r="F456" s="32" t="s">
        <v>1623</v>
      </c>
      <c r="G456" s="32" t="s">
        <v>285</v>
      </c>
      <c r="H456" s="32" t="s">
        <v>352</v>
      </c>
      <c r="I456" s="31" t="s">
        <v>1648</v>
      </c>
      <c r="J456" s="31">
        <v>99</v>
      </c>
      <c r="K456" s="33" t="s">
        <v>704</v>
      </c>
      <c r="L456" s="33" t="s">
        <v>704</v>
      </c>
      <c r="M456" s="34" t="s">
        <v>722</v>
      </c>
      <c r="N456" s="34" t="s">
        <v>1696</v>
      </c>
      <c r="O456" s="35">
        <v>1</v>
      </c>
      <c r="P456" s="35"/>
      <c r="Q456" s="32"/>
      <c r="S456" s="1">
        <f t="shared" si="155"/>
        <v>0</v>
      </c>
      <c r="T456" s="1">
        <f t="shared" si="156"/>
        <v>0</v>
      </c>
      <c r="U456" s="1">
        <f t="shared" si="157"/>
        <v>0</v>
      </c>
      <c r="V456" s="1">
        <f t="shared" si="158"/>
        <v>0</v>
      </c>
      <c r="W456" s="1">
        <f t="shared" si="159"/>
        <v>0</v>
      </c>
      <c r="X456" s="1">
        <f t="shared" si="160"/>
        <v>0</v>
      </c>
      <c r="Y456" s="1">
        <f t="shared" si="161"/>
        <v>0</v>
      </c>
      <c r="Z456" s="1">
        <f t="shared" si="162"/>
        <v>0</v>
      </c>
      <c r="AA456" s="1">
        <f t="shared" si="163"/>
        <v>0</v>
      </c>
      <c r="AB456" s="1">
        <f t="shared" si="164"/>
        <v>0</v>
      </c>
      <c r="AD456" s="1">
        <f t="shared" si="171"/>
        <v>0</v>
      </c>
      <c r="AE456" s="1">
        <f t="shared" si="172"/>
        <v>1</v>
      </c>
      <c r="AF456" s="1">
        <f t="shared" si="173"/>
        <v>0</v>
      </c>
      <c r="AG456" s="1">
        <f t="shared" si="174"/>
        <v>1</v>
      </c>
      <c r="AH456" s="1">
        <f t="shared" si="175"/>
        <v>0</v>
      </c>
      <c r="AI456" s="1">
        <f t="shared" si="176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1296</v>
      </c>
      <c r="E457" s="32" t="s">
        <v>28</v>
      </c>
      <c r="F457" s="32" t="s">
        <v>565</v>
      </c>
      <c r="G457" s="32" t="s">
        <v>180</v>
      </c>
      <c r="H457" s="32" t="s">
        <v>352</v>
      </c>
      <c r="I457" s="31" t="s">
        <v>428</v>
      </c>
      <c r="J457" s="31">
        <v>7</v>
      </c>
      <c r="K457" s="33" t="s">
        <v>703</v>
      </c>
      <c r="L457" s="33" t="s">
        <v>704</v>
      </c>
      <c r="M457" s="34" t="s">
        <v>722</v>
      </c>
      <c r="N457" s="34" t="s">
        <v>1696</v>
      </c>
      <c r="O457" s="35">
        <v>1</v>
      </c>
      <c r="P457" s="35"/>
      <c r="Q457" s="32"/>
      <c r="S457" s="1">
        <f t="shared" si="155"/>
        <v>0</v>
      </c>
      <c r="T457" s="1">
        <f t="shared" si="156"/>
        <v>0</v>
      </c>
      <c r="U457" s="1">
        <f t="shared" si="157"/>
        <v>0</v>
      </c>
      <c r="V457" s="1">
        <f t="shared" si="158"/>
        <v>0</v>
      </c>
      <c r="W457" s="1">
        <f t="shared" si="159"/>
        <v>0</v>
      </c>
      <c r="X457" s="1">
        <f t="shared" si="160"/>
        <v>0</v>
      </c>
      <c r="Y457" s="1">
        <f t="shared" si="161"/>
        <v>1</v>
      </c>
      <c r="Z457" s="1">
        <f t="shared" si="162"/>
        <v>0</v>
      </c>
      <c r="AA457" s="1">
        <f t="shared" si="163"/>
        <v>0</v>
      </c>
      <c r="AB457" s="1">
        <f t="shared" si="164"/>
        <v>0</v>
      </c>
      <c r="AD457" s="1">
        <f t="shared" si="171"/>
        <v>0</v>
      </c>
      <c r="AE457" s="1">
        <f t="shared" si="172"/>
        <v>1</v>
      </c>
      <c r="AF457" s="1">
        <f t="shared" si="173"/>
        <v>0</v>
      </c>
      <c r="AG457" s="1">
        <f t="shared" si="174"/>
        <v>1</v>
      </c>
      <c r="AH457" s="1">
        <f t="shared" si="175"/>
        <v>0</v>
      </c>
      <c r="AI457" s="1">
        <f t="shared" si="176"/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72</v>
      </c>
      <c r="E458" s="32" t="s">
        <v>28</v>
      </c>
      <c r="F458" s="32" t="s">
        <v>260</v>
      </c>
      <c r="G458" s="32" t="s">
        <v>219</v>
      </c>
      <c r="H458" s="32" t="s">
        <v>352</v>
      </c>
      <c r="I458" s="31" t="s">
        <v>418</v>
      </c>
      <c r="J458" s="31">
        <v>8</v>
      </c>
      <c r="K458" s="33" t="s">
        <v>704</v>
      </c>
      <c r="L458" s="33" t="s">
        <v>704</v>
      </c>
      <c r="M458" s="34" t="s">
        <v>722</v>
      </c>
      <c r="N458" s="34" t="s">
        <v>1696</v>
      </c>
      <c r="O458" s="35">
        <v>1</v>
      </c>
      <c r="P458" s="35"/>
      <c r="Q458" s="32"/>
      <c r="S458" s="1">
        <f t="shared" si="155"/>
        <v>0</v>
      </c>
      <c r="T458" s="1">
        <f t="shared" si="156"/>
        <v>0</v>
      </c>
      <c r="U458" s="1">
        <f t="shared" si="157"/>
        <v>0</v>
      </c>
      <c r="V458" s="1">
        <f t="shared" si="158"/>
        <v>0</v>
      </c>
      <c r="W458" s="1">
        <f t="shared" si="159"/>
        <v>0</v>
      </c>
      <c r="X458" s="1">
        <f t="shared" si="160"/>
        <v>0</v>
      </c>
      <c r="Y458" s="1">
        <f t="shared" si="161"/>
        <v>0</v>
      </c>
      <c r="Z458" s="1">
        <f t="shared" si="162"/>
        <v>1</v>
      </c>
      <c r="AA458" s="1">
        <f t="shared" si="163"/>
        <v>0</v>
      </c>
      <c r="AB458" s="1">
        <f t="shared" si="164"/>
        <v>0</v>
      </c>
      <c r="AD458" s="1">
        <f t="shared" si="165"/>
        <v>0</v>
      </c>
      <c r="AE458" s="1">
        <f t="shared" si="166"/>
        <v>1</v>
      </c>
      <c r="AF458" s="1">
        <f t="shared" si="167"/>
        <v>0</v>
      </c>
      <c r="AG458" s="1">
        <f t="shared" si="168"/>
        <v>1</v>
      </c>
      <c r="AH458" s="1">
        <f t="shared" si="169"/>
        <v>0</v>
      </c>
      <c r="AI458" s="1">
        <f t="shared" si="170"/>
        <v>1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72</v>
      </c>
      <c r="E459" s="32" t="s">
        <v>28</v>
      </c>
      <c r="F459" s="32" t="s">
        <v>259</v>
      </c>
      <c r="G459" s="32" t="s">
        <v>177</v>
      </c>
      <c r="H459" s="32" t="s">
        <v>352</v>
      </c>
      <c r="I459" s="31" t="s">
        <v>417</v>
      </c>
      <c r="J459" s="31">
        <v>1</v>
      </c>
      <c r="K459" s="33" t="s">
        <v>704</v>
      </c>
      <c r="L459" s="33" t="s">
        <v>704</v>
      </c>
      <c r="M459" s="34" t="s">
        <v>722</v>
      </c>
      <c r="N459" s="34" t="s">
        <v>1696</v>
      </c>
      <c r="O459" s="35">
        <v>1</v>
      </c>
      <c r="P459" s="35"/>
      <c r="Q459" s="32"/>
      <c r="S459" s="1">
        <f t="shared" si="155"/>
        <v>1</v>
      </c>
      <c r="T459" s="1">
        <f t="shared" si="156"/>
        <v>0</v>
      </c>
      <c r="U459" s="1">
        <f t="shared" si="157"/>
        <v>0</v>
      </c>
      <c r="V459" s="1">
        <f t="shared" si="158"/>
        <v>0</v>
      </c>
      <c r="W459" s="1">
        <f t="shared" si="159"/>
        <v>0</v>
      </c>
      <c r="X459" s="1">
        <f t="shared" si="160"/>
        <v>0</v>
      </c>
      <c r="Y459" s="1">
        <f t="shared" si="161"/>
        <v>0</v>
      </c>
      <c r="Z459" s="1">
        <f t="shared" si="162"/>
        <v>0</v>
      </c>
      <c r="AA459" s="1">
        <f t="shared" si="163"/>
        <v>0</v>
      </c>
      <c r="AB459" s="1">
        <f t="shared" si="164"/>
        <v>0</v>
      </c>
      <c r="AD459" s="1">
        <f t="shared" si="165"/>
        <v>0</v>
      </c>
      <c r="AE459" s="1">
        <f t="shared" si="166"/>
        <v>1</v>
      </c>
      <c r="AF459" s="1">
        <f t="shared" si="167"/>
        <v>0</v>
      </c>
      <c r="AG459" s="1">
        <f t="shared" si="168"/>
        <v>0</v>
      </c>
      <c r="AH459" s="1">
        <f t="shared" si="169"/>
        <v>0</v>
      </c>
      <c r="AI459" s="1">
        <f t="shared" si="170"/>
        <v>0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759</v>
      </c>
      <c r="E460" s="32" t="s">
        <v>28</v>
      </c>
      <c r="F460" s="32" t="s">
        <v>760</v>
      </c>
      <c r="G460" s="32" t="s">
        <v>278</v>
      </c>
      <c r="H460" s="32" t="s">
        <v>352</v>
      </c>
      <c r="I460" s="31" t="s">
        <v>761</v>
      </c>
      <c r="J460" s="31">
        <v>99</v>
      </c>
      <c r="K460" s="33" t="s">
        <v>704</v>
      </c>
      <c r="L460" s="33" t="s">
        <v>704</v>
      </c>
      <c r="M460" s="34" t="s">
        <v>722</v>
      </c>
      <c r="N460" s="34" t="s">
        <v>1696</v>
      </c>
      <c r="O460" s="35">
        <v>1</v>
      </c>
      <c r="P460" s="35"/>
      <c r="Q460" s="32"/>
      <c r="S460" s="1">
        <f t="shared" si="155"/>
        <v>0</v>
      </c>
      <c r="T460" s="1">
        <f t="shared" si="156"/>
        <v>0</v>
      </c>
      <c r="U460" s="1">
        <f t="shared" si="157"/>
        <v>0</v>
      </c>
      <c r="V460" s="1">
        <f t="shared" si="158"/>
        <v>0</v>
      </c>
      <c r="W460" s="1">
        <f t="shared" si="159"/>
        <v>0</v>
      </c>
      <c r="X460" s="1">
        <f t="shared" si="160"/>
        <v>0</v>
      </c>
      <c r="Y460" s="1">
        <f t="shared" si="161"/>
        <v>0</v>
      </c>
      <c r="Z460" s="1">
        <f t="shared" si="162"/>
        <v>0</v>
      </c>
      <c r="AA460" s="1">
        <f t="shared" si="163"/>
        <v>0</v>
      </c>
      <c r="AB460" s="1">
        <f t="shared" si="164"/>
        <v>0</v>
      </c>
      <c r="AD460" s="1">
        <f t="shared" si="165"/>
        <v>0</v>
      </c>
      <c r="AE460" s="1">
        <f t="shared" si="166"/>
        <v>1</v>
      </c>
      <c r="AF460" s="1">
        <f t="shared" si="167"/>
        <v>0</v>
      </c>
      <c r="AG460" s="1">
        <f t="shared" si="168"/>
        <v>1</v>
      </c>
      <c r="AH460" s="1">
        <f t="shared" si="169"/>
        <v>0</v>
      </c>
      <c r="AI460" s="1">
        <f t="shared" si="170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85</v>
      </c>
      <c r="E461" s="32" t="s">
        <v>28</v>
      </c>
      <c r="F461" s="32" t="s">
        <v>277</v>
      </c>
      <c r="G461" s="32" t="s">
        <v>278</v>
      </c>
      <c r="H461" s="32" t="s">
        <v>352</v>
      </c>
      <c r="I461" s="31" t="s">
        <v>432</v>
      </c>
      <c r="J461" s="31">
        <v>99</v>
      </c>
      <c r="K461" s="33" t="s">
        <v>704</v>
      </c>
      <c r="L461" s="33" t="s">
        <v>704</v>
      </c>
      <c r="M461" s="34" t="s">
        <v>722</v>
      </c>
      <c r="N461" s="34" t="s">
        <v>1696</v>
      </c>
      <c r="O461" s="35">
        <v>1</v>
      </c>
      <c r="P461" s="35"/>
      <c r="Q461" s="32"/>
      <c r="S461" s="1">
        <f t="shared" si="155"/>
        <v>0</v>
      </c>
      <c r="T461" s="1">
        <f t="shared" si="156"/>
        <v>0</v>
      </c>
      <c r="U461" s="1">
        <f t="shared" si="157"/>
        <v>0</v>
      </c>
      <c r="V461" s="1">
        <f t="shared" si="158"/>
        <v>0</v>
      </c>
      <c r="W461" s="1">
        <f t="shared" si="159"/>
        <v>0</v>
      </c>
      <c r="X461" s="1">
        <f t="shared" si="160"/>
        <v>0</v>
      </c>
      <c r="Y461" s="1">
        <f t="shared" si="161"/>
        <v>0</v>
      </c>
      <c r="Z461" s="1">
        <f t="shared" si="162"/>
        <v>0</v>
      </c>
      <c r="AA461" s="1">
        <f t="shared" si="163"/>
        <v>0</v>
      </c>
      <c r="AB461" s="1">
        <f t="shared" si="164"/>
        <v>0</v>
      </c>
      <c r="AD461" s="1">
        <f t="shared" si="165"/>
        <v>0</v>
      </c>
      <c r="AE461" s="1">
        <f t="shared" si="166"/>
        <v>1</v>
      </c>
      <c r="AF461" s="1">
        <f t="shared" si="167"/>
        <v>0</v>
      </c>
      <c r="AG461" s="1">
        <f t="shared" si="168"/>
        <v>1</v>
      </c>
      <c r="AH461" s="1">
        <f t="shared" si="169"/>
        <v>0</v>
      </c>
      <c r="AI461" s="1">
        <f t="shared" si="170"/>
        <v>1</v>
      </c>
    </row>
    <row r="462" spans="1:35" ht="14.25" customHeight="1" x14ac:dyDescent="0.25">
      <c r="A462" s="37">
        <v>0</v>
      </c>
      <c r="B462" s="37">
        <v>2</v>
      </c>
      <c r="C462" s="37">
        <v>7</v>
      </c>
      <c r="D462" s="36" t="s">
        <v>1887</v>
      </c>
      <c r="E462" s="36" t="s">
        <v>28</v>
      </c>
      <c r="F462" s="36" t="s">
        <v>1888</v>
      </c>
      <c r="G462" s="36" t="s">
        <v>184</v>
      </c>
      <c r="H462" s="36" t="s">
        <v>352</v>
      </c>
      <c r="I462" s="37" t="s">
        <v>1889</v>
      </c>
      <c r="J462" s="37">
        <v>99</v>
      </c>
      <c r="K462" s="33" t="s">
        <v>694</v>
      </c>
      <c r="L462" s="33">
        <v>4</v>
      </c>
      <c r="M462" s="34" t="s">
        <v>722</v>
      </c>
      <c r="N462" s="34" t="s">
        <v>1696</v>
      </c>
      <c r="O462" s="35">
        <v>1</v>
      </c>
      <c r="P462" s="35"/>
      <c r="Q462" s="36" t="s">
        <v>1890</v>
      </c>
      <c r="S462" s="1">
        <f t="shared" si="155"/>
        <v>0</v>
      </c>
      <c r="T462" s="1">
        <f t="shared" si="156"/>
        <v>0</v>
      </c>
      <c r="U462" s="1">
        <f t="shared" si="157"/>
        <v>0</v>
      </c>
      <c r="V462" s="1">
        <f t="shared" si="158"/>
        <v>0</v>
      </c>
      <c r="W462" s="1">
        <f t="shared" si="159"/>
        <v>0</v>
      </c>
      <c r="X462" s="1">
        <f t="shared" si="160"/>
        <v>0</v>
      </c>
      <c r="Y462" s="1">
        <f t="shared" si="161"/>
        <v>0</v>
      </c>
      <c r="Z462" s="1">
        <f t="shared" si="162"/>
        <v>0</v>
      </c>
      <c r="AA462" s="1">
        <f t="shared" si="163"/>
        <v>0</v>
      </c>
      <c r="AB462" s="1">
        <f t="shared" si="164"/>
        <v>0</v>
      </c>
      <c r="AD462" s="1">
        <f t="shared" si="165"/>
        <v>0</v>
      </c>
      <c r="AE462" s="1">
        <f t="shared" si="166"/>
        <v>1</v>
      </c>
      <c r="AF462" s="1">
        <f t="shared" si="167"/>
        <v>0</v>
      </c>
      <c r="AG462" s="1">
        <f t="shared" si="168"/>
        <v>1</v>
      </c>
      <c r="AH462" s="1">
        <f t="shared" si="169"/>
        <v>0</v>
      </c>
      <c r="AI462" s="1">
        <f t="shared" si="170"/>
        <v>1</v>
      </c>
    </row>
    <row r="463" spans="1:35" ht="14.25" customHeight="1" x14ac:dyDescent="0.25">
      <c r="A463" s="37">
        <v>0</v>
      </c>
      <c r="B463" s="37">
        <v>2</v>
      </c>
      <c r="C463" s="37">
        <v>7</v>
      </c>
      <c r="D463" s="36" t="s">
        <v>549</v>
      </c>
      <c r="E463" s="36" t="s">
        <v>28</v>
      </c>
      <c r="F463" s="36" t="s">
        <v>1826</v>
      </c>
      <c r="G463" s="36" t="s">
        <v>552</v>
      </c>
      <c r="H463" s="36" t="s">
        <v>352</v>
      </c>
      <c r="I463" s="37" t="s">
        <v>553</v>
      </c>
      <c r="J463" s="37">
        <v>99</v>
      </c>
      <c r="K463" s="33" t="s">
        <v>704</v>
      </c>
      <c r="L463" s="33" t="s">
        <v>704</v>
      </c>
      <c r="M463" s="34" t="s">
        <v>722</v>
      </c>
      <c r="N463" s="34" t="s">
        <v>1776</v>
      </c>
      <c r="O463" s="35">
        <v>1</v>
      </c>
      <c r="P463" s="35"/>
      <c r="Q463" s="36"/>
      <c r="S463" s="1">
        <f t="shared" si="155"/>
        <v>0</v>
      </c>
      <c r="T463" s="1">
        <f t="shared" si="156"/>
        <v>0</v>
      </c>
      <c r="U463" s="1">
        <f t="shared" si="157"/>
        <v>0</v>
      </c>
      <c r="V463" s="1">
        <f t="shared" si="158"/>
        <v>0</v>
      </c>
      <c r="W463" s="1">
        <f t="shared" si="159"/>
        <v>0</v>
      </c>
      <c r="X463" s="1">
        <f t="shared" si="160"/>
        <v>0</v>
      </c>
      <c r="Y463" s="1">
        <f t="shared" si="161"/>
        <v>0</v>
      </c>
      <c r="Z463" s="1">
        <f t="shared" si="162"/>
        <v>0</v>
      </c>
      <c r="AA463" s="1">
        <f t="shared" si="163"/>
        <v>0</v>
      </c>
      <c r="AB463" s="1">
        <f t="shared" si="164"/>
        <v>0</v>
      </c>
      <c r="AD463" s="1">
        <f t="shared" si="165"/>
        <v>0</v>
      </c>
      <c r="AE463" s="1">
        <f t="shared" si="166"/>
        <v>1</v>
      </c>
      <c r="AF463" s="1">
        <f t="shared" si="167"/>
        <v>0</v>
      </c>
      <c r="AG463" s="1">
        <f t="shared" si="168"/>
        <v>1</v>
      </c>
      <c r="AH463" s="1">
        <f t="shared" si="169"/>
        <v>0</v>
      </c>
      <c r="AI463" s="1">
        <f t="shared" si="170"/>
        <v>1</v>
      </c>
    </row>
    <row r="464" spans="1:35" ht="14.25" customHeight="1" x14ac:dyDescent="0.25">
      <c r="A464" s="37">
        <v>1</v>
      </c>
      <c r="B464" s="37">
        <v>2</v>
      </c>
      <c r="C464" s="37">
        <v>7</v>
      </c>
      <c r="D464" s="36" t="s">
        <v>549</v>
      </c>
      <c r="E464" s="36" t="s">
        <v>28</v>
      </c>
      <c r="F464" s="36" t="s">
        <v>1827</v>
      </c>
      <c r="G464" s="36" t="s">
        <v>550</v>
      </c>
      <c r="H464" s="36" t="s">
        <v>352</v>
      </c>
      <c r="I464" s="37" t="s">
        <v>551</v>
      </c>
      <c r="J464" s="37">
        <v>99</v>
      </c>
      <c r="K464" s="33" t="s">
        <v>704</v>
      </c>
      <c r="L464" s="33" t="s">
        <v>704</v>
      </c>
      <c r="M464" s="34" t="s">
        <v>722</v>
      </c>
      <c r="N464" s="34" t="s">
        <v>1776</v>
      </c>
      <c r="O464" s="35">
        <v>1</v>
      </c>
      <c r="P464" s="35"/>
      <c r="Q464" s="36"/>
      <c r="S464" s="1">
        <f t="shared" si="155"/>
        <v>0</v>
      </c>
      <c r="T464" s="1">
        <f t="shared" si="156"/>
        <v>0</v>
      </c>
      <c r="U464" s="1">
        <f t="shared" si="157"/>
        <v>0</v>
      </c>
      <c r="V464" s="1">
        <f t="shared" si="158"/>
        <v>0</v>
      </c>
      <c r="W464" s="1">
        <f t="shared" si="159"/>
        <v>0</v>
      </c>
      <c r="X464" s="1">
        <f t="shared" si="160"/>
        <v>0</v>
      </c>
      <c r="Y464" s="1">
        <f t="shared" si="161"/>
        <v>0</v>
      </c>
      <c r="Z464" s="1">
        <f t="shared" si="162"/>
        <v>0</v>
      </c>
      <c r="AA464" s="1">
        <f t="shared" si="163"/>
        <v>0</v>
      </c>
      <c r="AB464" s="1">
        <f t="shared" si="164"/>
        <v>0</v>
      </c>
      <c r="AD464" s="1">
        <f t="shared" si="165"/>
        <v>0</v>
      </c>
      <c r="AE464" s="1">
        <f t="shared" si="166"/>
        <v>1</v>
      </c>
      <c r="AF464" s="1">
        <f t="shared" si="167"/>
        <v>0</v>
      </c>
      <c r="AG464" s="1">
        <f t="shared" si="168"/>
        <v>0</v>
      </c>
      <c r="AH464" s="1">
        <f t="shared" si="169"/>
        <v>0</v>
      </c>
      <c r="AI464" s="1">
        <f t="shared" si="17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1154</v>
      </c>
      <c r="E465" s="32" t="s">
        <v>28</v>
      </c>
      <c r="F465" s="32" t="s">
        <v>1638</v>
      </c>
      <c r="G465" s="32" t="s">
        <v>234</v>
      </c>
      <c r="H465" s="32" t="s">
        <v>352</v>
      </c>
      <c r="I465" s="31" t="s">
        <v>1332</v>
      </c>
      <c r="J465" s="31">
        <v>99</v>
      </c>
      <c r="K465" s="33" t="s">
        <v>703</v>
      </c>
      <c r="L465" s="33" t="s">
        <v>704</v>
      </c>
      <c r="M465" s="34" t="s">
        <v>722</v>
      </c>
      <c r="N465" s="34" t="s">
        <v>1696</v>
      </c>
      <c r="O465" s="35">
        <v>1</v>
      </c>
      <c r="P465" s="35"/>
      <c r="Q465" s="32"/>
      <c r="S465" s="1">
        <f t="shared" si="155"/>
        <v>0</v>
      </c>
      <c r="T465" s="1">
        <f t="shared" si="156"/>
        <v>0</v>
      </c>
      <c r="U465" s="1">
        <f t="shared" si="157"/>
        <v>0</v>
      </c>
      <c r="V465" s="1">
        <f t="shared" si="158"/>
        <v>0</v>
      </c>
      <c r="W465" s="1">
        <f t="shared" si="159"/>
        <v>0</v>
      </c>
      <c r="X465" s="1">
        <f t="shared" si="160"/>
        <v>0</v>
      </c>
      <c r="Y465" s="1">
        <f t="shared" si="161"/>
        <v>0</v>
      </c>
      <c r="Z465" s="1">
        <f t="shared" si="162"/>
        <v>0</v>
      </c>
      <c r="AA465" s="1">
        <f t="shared" si="163"/>
        <v>0</v>
      </c>
      <c r="AB465" s="1">
        <f t="shared" si="164"/>
        <v>0</v>
      </c>
      <c r="AD465" s="1">
        <f t="shared" si="165"/>
        <v>0</v>
      </c>
      <c r="AE465" s="1">
        <f t="shared" si="166"/>
        <v>1</v>
      </c>
      <c r="AF465" s="1">
        <f t="shared" si="167"/>
        <v>0</v>
      </c>
      <c r="AG465" s="1">
        <f t="shared" si="168"/>
        <v>1</v>
      </c>
      <c r="AH465" s="1">
        <f t="shared" si="169"/>
        <v>0</v>
      </c>
      <c r="AI465" s="1">
        <f t="shared" si="17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1154</v>
      </c>
      <c r="E466" s="32" t="s">
        <v>28</v>
      </c>
      <c r="F466" s="32" t="s">
        <v>1639</v>
      </c>
      <c r="G466" s="32" t="s">
        <v>1319</v>
      </c>
      <c r="H466" s="32" t="s">
        <v>352</v>
      </c>
      <c r="I466" s="31" t="s">
        <v>1333</v>
      </c>
      <c r="J466" s="31">
        <v>99</v>
      </c>
      <c r="K466" s="33" t="s">
        <v>703</v>
      </c>
      <c r="L466" s="33" t="s">
        <v>704</v>
      </c>
      <c r="M466" s="34" t="s">
        <v>722</v>
      </c>
      <c r="N466" s="34" t="s">
        <v>1696</v>
      </c>
      <c r="O466" s="35">
        <v>1</v>
      </c>
      <c r="P466" s="35"/>
      <c r="Q466" s="32"/>
      <c r="S466" s="1">
        <f t="shared" si="155"/>
        <v>0</v>
      </c>
      <c r="T466" s="1">
        <f t="shared" si="156"/>
        <v>0</v>
      </c>
      <c r="U466" s="1">
        <f t="shared" si="157"/>
        <v>0</v>
      </c>
      <c r="V466" s="1">
        <f t="shared" si="158"/>
        <v>0</v>
      </c>
      <c r="W466" s="1">
        <f t="shared" si="159"/>
        <v>0</v>
      </c>
      <c r="X466" s="1">
        <f t="shared" si="160"/>
        <v>0</v>
      </c>
      <c r="Y466" s="1">
        <f t="shared" si="161"/>
        <v>0</v>
      </c>
      <c r="Z466" s="1">
        <f t="shared" si="162"/>
        <v>0</v>
      </c>
      <c r="AA466" s="1">
        <f t="shared" si="163"/>
        <v>0</v>
      </c>
      <c r="AB466" s="1">
        <f t="shared" si="164"/>
        <v>0</v>
      </c>
      <c r="AD466" s="1">
        <f t="shared" si="165"/>
        <v>0</v>
      </c>
      <c r="AE466" s="1">
        <f t="shared" si="166"/>
        <v>1</v>
      </c>
      <c r="AF466" s="1">
        <f t="shared" si="167"/>
        <v>0</v>
      </c>
      <c r="AG466" s="1">
        <f t="shared" si="168"/>
        <v>0</v>
      </c>
      <c r="AH466" s="1">
        <f t="shared" si="169"/>
        <v>0</v>
      </c>
      <c r="AI466" s="1">
        <f t="shared" si="170"/>
        <v>0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1222</v>
      </c>
      <c r="E467" s="32" t="s">
        <v>28</v>
      </c>
      <c r="F467" s="32" t="s">
        <v>1221</v>
      </c>
      <c r="G467" s="32" t="s">
        <v>1206</v>
      </c>
      <c r="H467" s="32" t="s">
        <v>352</v>
      </c>
      <c r="I467" s="31" t="s">
        <v>1223</v>
      </c>
      <c r="J467" s="31">
        <v>99</v>
      </c>
      <c r="K467" s="33" t="s">
        <v>694</v>
      </c>
      <c r="L467" s="33" t="s">
        <v>704</v>
      </c>
      <c r="M467" s="34" t="s">
        <v>722</v>
      </c>
      <c r="N467" s="34" t="s">
        <v>1696</v>
      </c>
      <c r="O467" s="35">
        <v>1</v>
      </c>
      <c r="P467" s="35"/>
      <c r="Q467" s="32"/>
      <c r="S467" s="1">
        <f t="shared" si="155"/>
        <v>0</v>
      </c>
      <c r="T467" s="1">
        <f t="shared" si="156"/>
        <v>0</v>
      </c>
      <c r="U467" s="1">
        <f t="shared" si="157"/>
        <v>0</v>
      </c>
      <c r="V467" s="1">
        <f t="shared" si="158"/>
        <v>0</v>
      </c>
      <c r="W467" s="1">
        <f t="shared" si="159"/>
        <v>0</v>
      </c>
      <c r="X467" s="1">
        <f t="shared" si="160"/>
        <v>0</v>
      </c>
      <c r="Y467" s="1">
        <f t="shared" si="161"/>
        <v>0</v>
      </c>
      <c r="Z467" s="1">
        <f t="shared" si="162"/>
        <v>0</v>
      </c>
      <c r="AA467" s="1">
        <f t="shared" si="163"/>
        <v>0</v>
      </c>
      <c r="AB467" s="1">
        <f t="shared" si="164"/>
        <v>0</v>
      </c>
      <c r="AD467" s="1">
        <f t="shared" si="165"/>
        <v>0</v>
      </c>
      <c r="AE467" s="1">
        <f t="shared" si="166"/>
        <v>1</v>
      </c>
      <c r="AF467" s="1">
        <f t="shared" si="167"/>
        <v>0</v>
      </c>
      <c r="AG467" s="1">
        <f t="shared" si="168"/>
        <v>1</v>
      </c>
      <c r="AH467" s="1">
        <f t="shared" si="169"/>
        <v>0</v>
      </c>
      <c r="AI467" s="1">
        <f t="shared" si="170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1222</v>
      </c>
      <c r="E468" s="32" t="s">
        <v>28</v>
      </c>
      <c r="F468" s="32" t="s">
        <v>1220</v>
      </c>
      <c r="G468" s="32" t="s">
        <v>39</v>
      </c>
      <c r="H468" s="32" t="s">
        <v>352</v>
      </c>
      <c r="I468" s="31" t="s">
        <v>1224</v>
      </c>
      <c r="J468" s="31">
        <v>9</v>
      </c>
      <c r="K468" s="33" t="s">
        <v>694</v>
      </c>
      <c r="L468" s="33" t="s">
        <v>704</v>
      </c>
      <c r="M468" s="34" t="s">
        <v>722</v>
      </c>
      <c r="N468" s="34" t="s">
        <v>1696</v>
      </c>
      <c r="O468" s="35">
        <v>1</v>
      </c>
      <c r="P468" s="35"/>
      <c r="Q468" s="32"/>
      <c r="S468" s="1">
        <f t="shared" si="155"/>
        <v>0</v>
      </c>
      <c r="T468" s="1">
        <f t="shared" si="156"/>
        <v>0</v>
      </c>
      <c r="U468" s="1">
        <f t="shared" si="157"/>
        <v>0</v>
      </c>
      <c r="V468" s="1">
        <f t="shared" si="158"/>
        <v>0</v>
      </c>
      <c r="W468" s="1">
        <f t="shared" si="159"/>
        <v>0</v>
      </c>
      <c r="X468" s="1">
        <f t="shared" si="160"/>
        <v>0</v>
      </c>
      <c r="Y468" s="1">
        <f t="shared" si="161"/>
        <v>0</v>
      </c>
      <c r="Z468" s="1">
        <f t="shared" si="162"/>
        <v>0</v>
      </c>
      <c r="AA468" s="1">
        <f t="shared" si="163"/>
        <v>1</v>
      </c>
      <c r="AB468" s="1">
        <f t="shared" si="164"/>
        <v>0</v>
      </c>
      <c r="AD468" s="1">
        <f t="shared" si="165"/>
        <v>0</v>
      </c>
      <c r="AE468" s="1">
        <f t="shared" si="166"/>
        <v>1</v>
      </c>
      <c r="AF468" s="1">
        <f t="shared" si="167"/>
        <v>0</v>
      </c>
      <c r="AG468" s="1">
        <f t="shared" si="168"/>
        <v>0</v>
      </c>
      <c r="AH468" s="1">
        <f t="shared" si="169"/>
        <v>0</v>
      </c>
      <c r="AI468" s="1">
        <f t="shared" si="17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1222</v>
      </c>
      <c r="E469" s="32" t="s">
        <v>28</v>
      </c>
      <c r="F469" s="36" t="s">
        <v>1775</v>
      </c>
      <c r="G469" s="36" t="s">
        <v>257</v>
      </c>
      <c r="H469" s="32" t="s">
        <v>352</v>
      </c>
      <c r="I469" s="37" t="s">
        <v>30</v>
      </c>
      <c r="J469" s="31">
        <v>8</v>
      </c>
      <c r="K469" s="33" t="s">
        <v>694</v>
      </c>
      <c r="L469" s="33" t="s">
        <v>704</v>
      </c>
      <c r="M469" s="34" t="s">
        <v>722</v>
      </c>
      <c r="N469" s="34" t="s">
        <v>1696</v>
      </c>
      <c r="O469" s="35">
        <v>1</v>
      </c>
      <c r="P469" s="35"/>
      <c r="Q469" s="32"/>
      <c r="S469" s="1">
        <f t="shared" si="155"/>
        <v>0</v>
      </c>
      <c r="T469" s="1">
        <f t="shared" si="156"/>
        <v>0</v>
      </c>
      <c r="U469" s="1">
        <f t="shared" si="157"/>
        <v>0</v>
      </c>
      <c r="V469" s="1">
        <f t="shared" si="158"/>
        <v>0</v>
      </c>
      <c r="W469" s="1">
        <f t="shared" si="159"/>
        <v>0</v>
      </c>
      <c r="X469" s="1">
        <f t="shared" si="160"/>
        <v>0</v>
      </c>
      <c r="Y469" s="1">
        <f t="shared" si="161"/>
        <v>0</v>
      </c>
      <c r="Z469" s="1">
        <f t="shared" si="162"/>
        <v>1</v>
      </c>
      <c r="AA469" s="1">
        <f t="shared" si="163"/>
        <v>0</v>
      </c>
      <c r="AB469" s="1">
        <f t="shared" si="164"/>
        <v>0</v>
      </c>
      <c r="AD469" s="1">
        <f t="shared" si="165"/>
        <v>0</v>
      </c>
      <c r="AE469" s="1">
        <f t="shared" si="166"/>
        <v>1</v>
      </c>
      <c r="AF469" s="1">
        <f t="shared" si="167"/>
        <v>0</v>
      </c>
      <c r="AG469" s="1">
        <f t="shared" si="168"/>
        <v>0</v>
      </c>
      <c r="AH469" s="1">
        <f t="shared" si="169"/>
        <v>0</v>
      </c>
      <c r="AI469" s="1">
        <f t="shared" si="17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51</v>
      </c>
      <c r="E470" s="32" t="s">
        <v>28</v>
      </c>
      <c r="F470" s="32" t="s">
        <v>666</v>
      </c>
      <c r="G470" s="32" t="s">
        <v>184</v>
      </c>
      <c r="H470" s="32" t="s">
        <v>352</v>
      </c>
      <c r="I470" s="31" t="s">
        <v>388</v>
      </c>
      <c r="J470" s="31">
        <v>99</v>
      </c>
      <c r="K470" s="33" t="s">
        <v>703</v>
      </c>
      <c r="L470" s="33" t="s">
        <v>704</v>
      </c>
      <c r="M470" s="34" t="s">
        <v>722</v>
      </c>
      <c r="N470" s="34" t="s">
        <v>1701</v>
      </c>
      <c r="O470" s="35">
        <v>1</v>
      </c>
      <c r="P470" s="35"/>
      <c r="Q470" s="32"/>
      <c r="S470" s="1">
        <f t="shared" si="155"/>
        <v>0</v>
      </c>
      <c r="T470" s="1">
        <f t="shared" si="156"/>
        <v>0</v>
      </c>
      <c r="U470" s="1">
        <f t="shared" si="157"/>
        <v>0</v>
      </c>
      <c r="V470" s="1">
        <f t="shared" si="158"/>
        <v>0</v>
      </c>
      <c r="W470" s="1">
        <f t="shared" si="159"/>
        <v>0</v>
      </c>
      <c r="X470" s="1">
        <f t="shared" si="160"/>
        <v>0</v>
      </c>
      <c r="Y470" s="1">
        <f t="shared" si="161"/>
        <v>0</v>
      </c>
      <c r="Z470" s="1">
        <f t="shared" si="162"/>
        <v>0</v>
      </c>
      <c r="AA470" s="1">
        <f t="shared" si="163"/>
        <v>0</v>
      </c>
      <c r="AB470" s="1">
        <f t="shared" si="164"/>
        <v>0</v>
      </c>
      <c r="AD470" s="1">
        <f t="shared" si="165"/>
        <v>0</v>
      </c>
      <c r="AE470" s="1">
        <f t="shared" si="166"/>
        <v>1</v>
      </c>
      <c r="AF470" s="1">
        <f t="shared" si="167"/>
        <v>0</v>
      </c>
      <c r="AG470" s="1">
        <f t="shared" si="168"/>
        <v>1</v>
      </c>
      <c r="AH470" s="1">
        <f t="shared" si="169"/>
        <v>0</v>
      </c>
      <c r="AI470" s="1">
        <f t="shared" si="17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1058</v>
      </c>
      <c r="E471" s="32" t="s">
        <v>28</v>
      </c>
      <c r="F471" s="32" t="s">
        <v>975</v>
      </c>
      <c r="G471" s="32" t="s">
        <v>239</v>
      </c>
      <c r="H471" s="32" t="s">
        <v>352</v>
      </c>
      <c r="I471" s="31" t="s">
        <v>1083</v>
      </c>
      <c r="J471" s="31">
        <v>1</v>
      </c>
      <c r="K471" s="33" t="s">
        <v>703</v>
      </c>
      <c r="L471" s="33" t="s">
        <v>704</v>
      </c>
      <c r="M471" s="34" t="s">
        <v>722</v>
      </c>
      <c r="N471" s="34" t="s">
        <v>1696</v>
      </c>
      <c r="O471" s="35">
        <v>1</v>
      </c>
      <c r="P471" s="35"/>
      <c r="Q471" s="32"/>
      <c r="S471" s="1">
        <f t="shared" ref="S471:S514" si="177">IF(J471=$S$7,1,0)</f>
        <v>1</v>
      </c>
      <c r="T471" s="1">
        <f t="shared" ref="T471:T514" si="178">IF(J471=$T$7,1,0)</f>
        <v>0</v>
      </c>
      <c r="U471" s="1">
        <f t="shared" ref="U471:U514" si="179">IF(J471=$U$7,1,0)</f>
        <v>0</v>
      </c>
      <c r="V471" s="1">
        <f t="shared" ref="V471:V514" si="180">IF(J471=$V$7,1,0)</f>
        <v>0</v>
      </c>
      <c r="W471" s="1">
        <f t="shared" ref="W471:W514" si="181">IF(J471=$W$7,1,0)</f>
        <v>0</v>
      </c>
      <c r="X471" s="1">
        <f t="shared" ref="X471:X514" si="182">IF(J471=$X$7,1,0)</f>
        <v>0</v>
      </c>
      <c r="Y471" s="1">
        <f t="shared" ref="Y471:Y514" si="183">IF(J471=$Y$7,1,0)</f>
        <v>0</v>
      </c>
      <c r="Z471" s="1">
        <f t="shared" ref="Z471:Z514" si="184">IF(J471=$Z$7,1,0)</f>
        <v>0</v>
      </c>
      <c r="AA471" s="1">
        <f t="shared" ref="AA471:AA514" si="185">IF(J471=$AA$7,1,0)</f>
        <v>0</v>
      </c>
      <c r="AB471" s="1">
        <f t="shared" ref="AB471:AB514" si="186">IF(J471=$AB$7,1,0)</f>
        <v>0</v>
      </c>
      <c r="AD471" s="1">
        <f t="shared" ref="AD471:AD514" si="187">+O471*P471</f>
        <v>0</v>
      </c>
      <c r="AE471" s="1">
        <f t="shared" ref="AE471:AE514" si="188">O471*(1-P471)</f>
        <v>1</v>
      </c>
      <c r="AF471" s="1">
        <f t="shared" si="167"/>
        <v>0</v>
      </c>
      <c r="AG471" s="1">
        <f t="shared" si="168"/>
        <v>1</v>
      </c>
      <c r="AH471" s="1">
        <f t="shared" si="169"/>
        <v>0</v>
      </c>
      <c r="AI471" s="1">
        <f t="shared" si="170"/>
        <v>1</v>
      </c>
    </row>
    <row r="472" spans="1:35" ht="14.25" customHeight="1" x14ac:dyDescent="0.25">
      <c r="A472" s="31">
        <v>1</v>
      </c>
      <c r="B472" s="31">
        <v>2</v>
      </c>
      <c r="C472" s="31">
        <v>7</v>
      </c>
      <c r="D472" s="32" t="s">
        <v>1058</v>
      </c>
      <c r="E472" s="32" t="s">
        <v>28</v>
      </c>
      <c r="F472" s="32" t="s">
        <v>976</v>
      </c>
      <c r="G472" s="32" t="s">
        <v>1076</v>
      </c>
      <c r="H472" s="32" t="s">
        <v>352</v>
      </c>
      <c r="I472" s="31" t="s">
        <v>1084</v>
      </c>
      <c r="J472" s="31">
        <v>1</v>
      </c>
      <c r="K472" s="33" t="s">
        <v>703</v>
      </c>
      <c r="L472" s="33" t="s">
        <v>704</v>
      </c>
      <c r="M472" s="34" t="s">
        <v>722</v>
      </c>
      <c r="N472" s="34" t="s">
        <v>1696</v>
      </c>
      <c r="O472" s="35">
        <v>1</v>
      </c>
      <c r="P472" s="35"/>
      <c r="Q472" s="32"/>
      <c r="S472" s="1">
        <f t="shared" si="177"/>
        <v>1</v>
      </c>
      <c r="T472" s="1">
        <f t="shared" si="178"/>
        <v>0</v>
      </c>
      <c r="U472" s="1">
        <f t="shared" si="179"/>
        <v>0</v>
      </c>
      <c r="V472" s="1">
        <f t="shared" si="180"/>
        <v>0</v>
      </c>
      <c r="W472" s="1">
        <f t="shared" si="181"/>
        <v>0</v>
      </c>
      <c r="X472" s="1">
        <f t="shared" si="182"/>
        <v>0</v>
      </c>
      <c r="Y472" s="1">
        <f t="shared" si="183"/>
        <v>0</v>
      </c>
      <c r="Z472" s="1">
        <f t="shared" si="184"/>
        <v>0</v>
      </c>
      <c r="AA472" s="1">
        <f t="shared" si="185"/>
        <v>0</v>
      </c>
      <c r="AB472" s="1">
        <f t="shared" si="186"/>
        <v>0</v>
      </c>
      <c r="AD472" s="1">
        <f t="shared" si="187"/>
        <v>0</v>
      </c>
      <c r="AE472" s="1">
        <f t="shared" si="188"/>
        <v>1</v>
      </c>
      <c r="AF472" s="1">
        <f t="shared" ref="AF472:AF514" si="189">+O472*P472*(1-A472)</f>
        <v>0</v>
      </c>
      <c r="AG472" s="1">
        <f t="shared" ref="AG472:AG514" si="190">O472*(1-P472)*(1-A472)</f>
        <v>0</v>
      </c>
      <c r="AH472" s="1">
        <f t="shared" ref="AH472:AH514" si="191">+P472*(1-A472)</f>
        <v>0</v>
      </c>
      <c r="AI472" s="1">
        <f t="shared" ref="AI472:AI514" si="192">+(1-A472)*(1-P472)</f>
        <v>0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1599</v>
      </c>
      <c r="E473" s="32" t="s">
        <v>155</v>
      </c>
      <c r="F473" s="32" t="s">
        <v>1454</v>
      </c>
      <c r="G473" s="32" t="s">
        <v>1455</v>
      </c>
      <c r="H473" s="32" t="s">
        <v>352</v>
      </c>
      <c r="I473" s="31" t="s">
        <v>1456</v>
      </c>
      <c r="J473" s="31">
        <v>99</v>
      </c>
      <c r="K473" s="33" t="s">
        <v>932</v>
      </c>
      <c r="L473" s="33" t="s">
        <v>713</v>
      </c>
      <c r="M473" s="34" t="s">
        <v>723</v>
      </c>
      <c r="N473" s="34" t="s">
        <v>1700</v>
      </c>
      <c r="O473" s="35">
        <v>1</v>
      </c>
      <c r="P473" s="35"/>
      <c r="Q473" s="32"/>
      <c r="S473" s="1">
        <f t="shared" si="177"/>
        <v>0</v>
      </c>
      <c r="T473" s="1">
        <f t="shared" si="178"/>
        <v>0</v>
      </c>
      <c r="U473" s="1">
        <f t="shared" si="179"/>
        <v>0</v>
      </c>
      <c r="V473" s="1">
        <f t="shared" si="180"/>
        <v>0</v>
      </c>
      <c r="W473" s="1">
        <f t="shared" si="181"/>
        <v>0</v>
      </c>
      <c r="X473" s="1">
        <f t="shared" si="182"/>
        <v>0</v>
      </c>
      <c r="Y473" s="1">
        <f t="shared" si="183"/>
        <v>0</v>
      </c>
      <c r="Z473" s="1">
        <f t="shared" si="184"/>
        <v>0</v>
      </c>
      <c r="AA473" s="1">
        <f t="shared" si="185"/>
        <v>0</v>
      </c>
      <c r="AB473" s="1">
        <f t="shared" si="186"/>
        <v>0</v>
      </c>
      <c r="AD473" s="1">
        <f t="shared" si="187"/>
        <v>0</v>
      </c>
      <c r="AE473" s="1">
        <f t="shared" si="188"/>
        <v>1</v>
      </c>
      <c r="AF473" s="1">
        <f t="shared" si="189"/>
        <v>0</v>
      </c>
      <c r="AG473" s="1">
        <f t="shared" si="190"/>
        <v>1</v>
      </c>
      <c r="AH473" s="1">
        <f t="shared" si="191"/>
        <v>0</v>
      </c>
      <c r="AI473" s="1">
        <f t="shared" si="19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82</v>
      </c>
      <c r="E474" s="32" t="s">
        <v>28</v>
      </c>
      <c r="F474" s="32" t="s">
        <v>273</v>
      </c>
      <c r="G474" s="32" t="s">
        <v>274</v>
      </c>
      <c r="H474" s="32" t="s">
        <v>352</v>
      </c>
      <c r="I474" s="31" t="s">
        <v>427</v>
      </c>
      <c r="J474" s="31">
        <v>7</v>
      </c>
      <c r="K474" s="33" t="s">
        <v>932</v>
      </c>
      <c r="L474" s="33" t="s">
        <v>931</v>
      </c>
      <c r="M474" s="34" t="s">
        <v>945</v>
      </c>
      <c r="N474" s="34" t="s">
        <v>1800</v>
      </c>
      <c r="O474" s="35">
        <v>1</v>
      </c>
      <c r="P474" s="35"/>
      <c r="Q474" s="32"/>
      <c r="S474" s="1">
        <f t="shared" si="177"/>
        <v>0</v>
      </c>
      <c r="T474" s="1">
        <f t="shared" si="178"/>
        <v>0</v>
      </c>
      <c r="U474" s="1">
        <f t="shared" si="179"/>
        <v>0</v>
      </c>
      <c r="V474" s="1">
        <f t="shared" si="180"/>
        <v>0</v>
      </c>
      <c r="W474" s="1">
        <f t="shared" si="181"/>
        <v>0</v>
      </c>
      <c r="X474" s="1">
        <f t="shared" si="182"/>
        <v>0</v>
      </c>
      <c r="Y474" s="1">
        <f t="shared" si="183"/>
        <v>1</v>
      </c>
      <c r="Z474" s="1">
        <f t="shared" si="184"/>
        <v>0</v>
      </c>
      <c r="AA474" s="1">
        <f t="shared" si="185"/>
        <v>0</v>
      </c>
      <c r="AB474" s="1">
        <f t="shared" si="186"/>
        <v>0</v>
      </c>
      <c r="AD474" s="1">
        <f t="shared" si="187"/>
        <v>0</v>
      </c>
      <c r="AE474" s="1">
        <f t="shared" si="188"/>
        <v>1</v>
      </c>
      <c r="AF474" s="1">
        <f t="shared" si="189"/>
        <v>0</v>
      </c>
      <c r="AG474" s="1">
        <f t="shared" si="190"/>
        <v>1</v>
      </c>
      <c r="AH474" s="1">
        <f t="shared" si="191"/>
        <v>0</v>
      </c>
      <c r="AI474" s="1">
        <f t="shared" si="19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76</v>
      </c>
      <c r="E475" s="32" t="s">
        <v>28</v>
      </c>
      <c r="F475" s="32" t="s">
        <v>1641</v>
      </c>
      <c r="G475" s="32" t="s">
        <v>189</v>
      </c>
      <c r="H475" s="32" t="s">
        <v>352</v>
      </c>
      <c r="I475" s="31" t="s">
        <v>421</v>
      </c>
      <c r="J475" s="31">
        <v>99</v>
      </c>
      <c r="K475" s="33" t="s">
        <v>931</v>
      </c>
      <c r="L475" s="33" t="s">
        <v>704</v>
      </c>
      <c r="M475" s="34" t="s">
        <v>722</v>
      </c>
      <c r="N475" s="34" t="s">
        <v>1696</v>
      </c>
      <c r="O475" s="35">
        <v>1</v>
      </c>
      <c r="P475" s="35"/>
      <c r="Q475" s="32"/>
      <c r="S475" s="1">
        <f t="shared" si="177"/>
        <v>0</v>
      </c>
      <c r="T475" s="1">
        <f t="shared" si="178"/>
        <v>0</v>
      </c>
      <c r="U475" s="1">
        <f t="shared" si="179"/>
        <v>0</v>
      </c>
      <c r="V475" s="1">
        <f t="shared" si="180"/>
        <v>0</v>
      </c>
      <c r="W475" s="1">
        <f t="shared" si="181"/>
        <v>0</v>
      </c>
      <c r="X475" s="1">
        <f t="shared" si="182"/>
        <v>0</v>
      </c>
      <c r="Y475" s="1">
        <f t="shared" si="183"/>
        <v>0</v>
      </c>
      <c r="Z475" s="1">
        <f t="shared" si="184"/>
        <v>0</v>
      </c>
      <c r="AA475" s="1">
        <f t="shared" si="185"/>
        <v>0</v>
      </c>
      <c r="AB475" s="1">
        <f t="shared" si="186"/>
        <v>0</v>
      </c>
      <c r="AD475" s="1">
        <f t="shared" si="187"/>
        <v>0</v>
      </c>
      <c r="AE475" s="1">
        <f t="shared" si="188"/>
        <v>1</v>
      </c>
      <c r="AF475" s="1">
        <f t="shared" si="189"/>
        <v>0</v>
      </c>
      <c r="AG475" s="1">
        <f t="shared" si="190"/>
        <v>1</v>
      </c>
      <c r="AH475" s="1">
        <f t="shared" si="191"/>
        <v>0</v>
      </c>
      <c r="AI475" s="1">
        <f t="shared" si="192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6" t="s">
        <v>1977</v>
      </c>
      <c r="E476" s="32" t="s">
        <v>1981</v>
      </c>
      <c r="F476" s="36" t="s">
        <v>1978</v>
      </c>
      <c r="G476" s="36" t="s">
        <v>1979</v>
      </c>
      <c r="H476" s="36" t="s">
        <v>352</v>
      </c>
      <c r="I476" s="37" t="s">
        <v>1980</v>
      </c>
      <c r="J476" s="31">
        <v>99</v>
      </c>
      <c r="K476" s="33" t="s">
        <v>694</v>
      </c>
      <c r="L476" s="33">
        <v>20</v>
      </c>
      <c r="M476" s="34" t="s">
        <v>1983</v>
      </c>
      <c r="N476" s="34" t="s">
        <v>1700</v>
      </c>
      <c r="O476" s="35">
        <v>1</v>
      </c>
      <c r="P476" s="35"/>
      <c r="Q476" s="36" t="s">
        <v>1982</v>
      </c>
      <c r="S476" s="1">
        <f t="shared" si="177"/>
        <v>0</v>
      </c>
      <c r="T476" s="1">
        <f t="shared" si="178"/>
        <v>0</v>
      </c>
      <c r="U476" s="1">
        <f t="shared" si="179"/>
        <v>0</v>
      </c>
      <c r="V476" s="1">
        <f t="shared" si="180"/>
        <v>0</v>
      </c>
      <c r="W476" s="1">
        <f t="shared" si="181"/>
        <v>0</v>
      </c>
      <c r="X476" s="1">
        <f t="shared" si="182"/>
        <v>0</v>
      </c>
      <c r="Y476" s="1">
        <f t="shared" si="183"/>
        <v>0</v>
      </c>
      <c r="Z476" s="1">
        <f t="shared" si="184"/>
        <v>0</v>
      </c>
      <c r="AA476" s="1">
        <f t="shared" si="185"/>
        <v>0</v>
      </c>
      <c r="AB476" s="1">
        <f t="shared" si="186"/>
        <v>0</v>
      </c>
      <c r="AD476" s="1">
        <f t="shared" si="187"/>
        <v>0</v>
      </c>
      <c r="AE476" s="1">
        <f t="shared" si="188"/>
        <v>1</v>
      </c>
      <c r="AF476" s="1">
        <f t="shared" si="189"/>
        <v>0</v>
      </c>
      <c r="AG476" s="1">
        <f t="shared" si="190"/>
        <v>1</v>
      </c>
      <c r="AH476" s="1">
        <f t="shared" si="191"/>
        <v>0</v>
      </c>
      <c r="AI476" s="1">
        <f t="shared" si="19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1601</v>
      </c>
      <c r="E477" s="32" t="s">
        <v>162</v>
      </c>
      <c r="F477" s="32" t="s">
        <v>243</v>
      </c>
      <c r="G477" s="32" t="s">
        <v>217</v>
      </c>
      <c r="H477" s="32" t="s">
        <v>352</v>
      </c>
      <c r="I477" s="31" t="s">
        <v>406</v>
      </c>
      <c r="J477" s="31">
        <v>99</v>
      </c>
      <c r="K477" s="33" t="s">
        <v>704</v>
      </c>
      <c r="L477" s="33" t="s">
        <v>713</v>
      </c>
      <c r="M477" s="34" t="s">
        <v>723</v>
      </c>
      <c r="N477" s="34" t="s">
        <v>1687</v>
      </c>
      <c r="O477" s="35">
        <v>1</v>
      </c>
      <c r="P477" s="35">
        <v>1</v>
      </c>
      <c r="Q477" s="32"/>
      <c r="S477" s="1">
        <f t="shared" si="177"/>
        <v>0</v>
      </c>
      <c r="T477" s="1">
        <f t="shared" si="178"/>
        <v>0</v>
      </c>
      <c r="U477" s="1">
        <f t="shared" si="179"/>
        <v>0</v>
      </c>
      <c r="V477" s="1">
        <f t="shared" si="180"/>
        <v>0</v>
      </c>
      <c r="W477" s="1">
        <f t="shared" si="181"/>
        <v>0</v>
      </c>
      <c r="X477" s="1">
        <f t="shared" si="182"/>
        <v>0</v>
      </c>
      <c r="Y477" s="1">
        <f t="shared" si="183"/>
        <v>0</v>
      </c>
      <c r="Z477" s="1">
        <f t="shared" si="184"/>
        <v>0</v>
      </c>
      <c r="AA477" s="1">
        <f t="shared" si="185"/>
        <v>0</v>
      </c>
      <c r="AB477" s="1">
        <f t="shared" si="186"/>
        <v>0</v>
      </c>
      <c r="AD477" s="1">
        <f t="shared" si="187"/>
        <v>1</v>
      </c>
      <c r="AE477" s="1">
        <f t="shared" si="188"/>
        <v>0</v>
      </c>
      <c r="AF477" s="1">
        <f t="shared" si="189"/>
        <v>1</v>
      </c>
      <c r="AG477" s="1">
        <f t="shared" si="190"/>
        <v>0</v>
      </c>
      <c r="AH477" s="1">
        <f t="shared" si="191"/>
        <v>1</v>
      </c>
      <c r="AI477" s="1">
        <f t="shared" si="192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1499</v>
      </c>
      <c r="E478" s="32" t="s">
        <v>155</v>
      </c>
      <c r="F478" s="32" t="s">
        <v>1500</v>
      </c>
      <c r="G478" s="32" t="s">
        <v>39</v>
      </c>
      <c r="H478" s="32" t="s">
        <v>352</v>
      </c>
      <c r="I478" s="31" t="s">
        <v>1501</v>
      </c>
      <c r="J478" s="31">
        <v>99</v>
      </c>
      <c r="K478" s="33" t="s">
        <v>704</v>
      </c>
      <c r="L478" s="33" t="s">
        <v>713</v>
      </c>
      <c r="M478" s="34" t="s">
        <v>723</v>
      </c>
      <c r="N478" s="34" t="s">
        <v>1700</v>
      </c>
      <c r="O478" s="35">
        <v>1</v>
      </c>
      <c r="P478" s="35"/>
      <c r="Q478" s="32"/>
      <c r="S478" s="1">
        <f t="shared" si="177"/>
        <v>0</v>
      </c>
      <c r="T478" s="1">
        <f t="shared" si="178"/>
        <v>0</v>
      </c>
      <c r="U478" s="1">
        <f t="shared" si="179"/>
        <v>0</v>
      </c>
      <c r="V478" s="1">
        <f t="shared" si="180"/>
        <v>0</v>
      </c>
      <c r="W478" s="1">
        <f t="shared" si="181"/>
        <v>0</v>
      </c>
      <c r="X478" s="1">
        <f t="shared" si="182"/>
        <v>0</v>
      </c>
      <c r="Y478" s="1">
        <f t="shared" si="183"/>
        <v>0</v>
      </c>
      <c r="Z478" s="1">
        <f t="shared" si="184"/>
        <v>0</v>
      </c>
      <c r="AA478" s="1">
        <f t="shared" si="185"/>
        <v>0</v>
      </c>
      <c r="AB478" s="1">
        <f t="shared" si="186"/>
        <v>0</v>
      </c>
      <c r="AD478" s="1">
        <f t="shared" si="187"/>
        <v>0</v>
      </c>
      <c r="AE478" s="1">
        <f t="shared" si="188"/>
        <v>1</v>
      </c>
      <c r="AF478" s="1">
        <f t="shared" si="189"/>
        <v>0</v>
      </c>
      <c r="AG478" s="1">
        <f t="shared" si="190"/>
        <v>1</v>
      </c>
      <c r="AH478" s="1">
        <f t="shared" si="191"/>
        <v>0</v>
      </c>
      <c r="AI478" s="1">
        <f t="shared" si="192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951</v>
      </c>
      <c r="G479" s="32" t="s">
        <v>1078</v>
      </c>
      <c r="H479" s="32" t="s">
        <v>352</v>
      </c>
      <c r="I479" s="31" t="s">
        <v>1085</v>
      </c>
      <c r="J479" s="31">
        <v>99</v>
      </c>
      <c r="K479" s="33" t="s">
        <v>704</v>
      </c>
      <c r="L479" s="33" t="s">
        <v>704</v>
      </c>
      <c r="M479" s="34" t="s">
        <v>722</v>
      </c>
      <c r="N479" s="34" t="s">
        <v>1696</v>
      </c>
      <c r="O479" s="35">
        <v>1</v>
      </c>
      <c r="P479" s="35"/>
      <c r="Q479" s="32"/>
      <c r="S479" s="1">
        <f t="shared" si="177"/>
        <v>0</v>
      </c>
      <c r="T479" s="1">
        <f t="shared" si="178"/>
        <v>0</v>
      </c>
      <c r="U479" s="1">
        <f t="shared" si="179"/>
        <v>0</v>
      </c>
      <c r="V479" s="1">
        <f t="shared" si="180"/>
        <v>0</v>
      </c>
      <c r="W479" s="1">
        <f t="shared" si="181"/>
        <v>0</v>
      </c>
      <c r="X479" s="1">
        <f t="shared" si="182"/>
        <v>0</v>
      </c>
      <c r="Y479" s="1">
        <f t="shared" si="183"/>
        <v>0</v>
      </c>
      <c r="Z479" s="1">
        <f t="shared" si="184"/>
        <v>0</v>
      </c>
      <c r="AA479" s="1">
        <f t="shared" si="185"/>
        <v>0</v>
      </c>
      <c r="AB479" s="1">
        <f t="shared" si="186"/>
        <v>0</v>
      </c>
      <c r="AD479" s="1">
        <f t="shared" si="187"/>
        <v>0</v>
      </c>
      <c r="AE479" s="1">
        <f t="shared" si="188"/>
        <v>1</v>
      </c>
      <c r="AF479" s="1">
        <f t="shared" si="189"/>
        <v>0</v>
      </c>
      <c r="AG479" s="1">
        <f t="shared" si="190"/>
        <v>1</v>
      </c>
      <c r="AH479" s="1">
        <f t="shared" si="191"/>
        <v>0</v>
      </c>
      <c r="AI479" s="1">
        <f t="shared" si="192"/>
        <v>1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244</v>
      </c>
      <c r="G480" s="32" t="s">
        <v>223</v>
      </c>
      <c r="H480" s="32" t="s">
        <v>352</v>
      </c>
      <c r="I480" s="31" t="s">
        <v>407</v>
      </c>
      <c r="J480" s="31">
        <v>99</v>
      </c>
      <c r="K480" s="33" t="s">
        <v>704</v>
      </c>
      <c r="L480" s="33" t="s">
        <v>704</v>
      </c>
      <c r="M480" s="34" t="s">
        <v>722</v>
      </c>
      <c r="N480" s="34" t="s">
        <v>1696</v>
      </c>
      <c r="O480" s="35">
        <v>1</v>
      </c>
      <c r="P480" s="35"/>
      <c r="Q480" s="32"/>
      <c r="S480" s="1">
        <f t="shared" si="177"/>
        <v>0</v>
      </c>
      <c r="T480" s="1">
        <f t="shared" si="178"/>
        <v>0</v>
      </c>
      <c r="U480" s="1">
        <f t="shared" si="179"/>
        <v>0</v>
      </c>
      <c r="V480" s="1">
        <f t="shared" si="180"/>
        <v>0</v>
      </c>
      <c r="W480" s="1">
        <f t="shared" si="181"/>
        <v>0</v>
      </c>
      <c r="X480" s="1">
        <f t="shared" si="182"/>
        <v>0</v>
      </c>
      <c r="Y480" s="1">
        <f t="shared" si="183"/>
        <v>0</v>
      </c>
      <c r="Z480" s="1">
        <f t="shared" si="184"/>
        <v>0</v>
      </c>
      <c r="AA480" s="1">
        <f t="shared" si="185"/>
        <v>0</v>
      </c>
      <c r="AB480" s="1">
        <f t="shared" si="186"/>
        <v>0</v>
      </c>
      <c r="AD480" s="1">
        <f t="shared" si="187"/>
        <v>0</v>
      </c>
      <c r="AE480" s="1">
        <f t="shared" si="188"/>
        <v>1</v>
      </c>
      <c r="AF480" s="1">
        <f t="shared" si="189"/>
        <v>0</v>
      </c>
      <c r="AG480" s="1">
        <f t="shared" si="190"/>
        <v>0</v>
      </c>
      <c r="AH480" s="1">
        <f t="shared" si="191"/>
        <v>0</v>
      </c>
      <c r="AI480" s="1">
        <f t="shared" si="19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245</v>
      </c>
      <c r="G481" s="32" t="s">
        <v>219</v>
      </c>
      <c r="H481" s="32" t="s">
        <v>352</v>
      </c>
      <c r="I481" s="31" t="s">
        <v>408</v>
      </c>
      <c r="J481" s="31">
        <v>8</v>
      </c>
      <c r="K481" s="33" t="s">
        <v>704</v>
      </c>
      <c r="L481" s="33" t="s">
        <v>704</v>
      </c>
      <c r="M481" s="34" t="s">
        <v>722</v>
      </c>
      <c r="N481" s="34" t="s">
        <v>1696</v>
      </c>
      <c r="O481" s="35">
        <v>1</v>
      </c>
      <c r="P481" s="35"/>
      <c r="Q481" s="32" t="s">
        <v>1960</v>
      </c>
      <c r="S481" s="1">
        <f t="shared" si="177"/>
        <v>0</v>
      </c>
      <c r="T481" s="1">
        <f t="shared" si="178"/>
        <v>0</v>
      </c>
      <c r="U481" s="1">
        <f t="shared" si="179"/>
        <v>0</v>
      </c>
      <c r="V481" s="1">
        <f t="shared" si="180"/>
        <v>0</v>
      </c>
      <c r="W481" s="1">
        <f t="shared" si="181"/>
        <v>0</v>
      </c>
      <c r="X481" s="1">
        <f t="shared" si="182"/>
        <v>0</v>
      </c>
      <c r="Y481" s="1">
        <f t="shared" si="183"/>
        <v>0</v>
      </c>
      <c r="Z481" s="1">
        <f t="shared" si="184"/>
        <v>1</v>
      </c>
      <c r="AA481" s="1">
        <f t="shared" si="185"/>
        <v>0</v>
      </c>
      <c r="AB481" s="1">
        <f t="shared" si="186"/>
        <v>0</v>
      </c>
      <c r="AD481" s="1">
        <f t="shared" si="187"/>
        <v>0</v>
      </c>
      <c r="AE481" s="1">
        <f t="shared" si="188"/>
        <v>1</v>
      </c>
      <c r="AF481" s="1">
        <f t="shared" si="189"/>
        <v>0</v>
      </c>
      <c r="AG481" s="1">
        <f t="shared" si="190"/>
        <v>0</v>
      </c>
      <c r="AH481" s="1">
        <f t="shared" si="191"/>
        <v>0</v>
      </c>
      <c r="AI481" s="1">
        <f t="shared" si="192"/>
        <v>0</v>
      </c>
    </row>
    <row r="482" spans="1:35" ht="14.25" customHeight="1" x14ac:dyDescent="0.25">
      <c r="A482" s="31">
        <v>1</v>
      </c>
      <c r="B482" s="31">
        <v>2</v>
      </c>
      <c r="C482" s="31">
        <v>7</v>
      </c>
      <c r="D482" s="32" t="s">
        <v>66</v>
      </c>
      <c r="E482" s="32" t="s">
        <v>28</v>
      </c>
      <c r="F482" s="32" t="s">
        <v>1011</v>
      </c>
      <c r="G482" s="32" t="s">
        <v>39</v>
      </c>
      <c r="H482" s="32" t="s">
        <v>352</v>
      </c>
      <c r="I482" s="31" t="s">
        <v>1012</v>
      </c>
      <c r="J482" s="31">
        <v>1</v>
      </c>
      <c r="K482" s="33" t="s">
        <v>704</v>
      </c>
      <c r="L482" s="33" t="s">
        <v>704</v>
      </c>
      <c r="M482" s="34" t="s">
        <v>722</v>
      </c>
      <c r="N482" s="34" t="s">
        <v>1696</v>
      </c>
      <c r="O482" s="35">
        <v>1</v>
      </c>
      <c r="P482" s="35"/>
      <c r="Q482" s="32"/>
      <c r="S482" s="1">
        <f t="shared" si="177"/>
        <v>1</v>
      </c>
      <c r="T482" s="1">
        <f t="shared" si="178"/>
        <v>0</v>
      </c>
      <c r="U482" s="1">
        <f t="shared" si="179"/>
        <v>0</v>
      </c>
      <c r="V482" s="1">
        <f t="shared" si="180"/>
        <v>0</v>
      </c>
      <c r="W482" s="1">
        <f t="shared" si="181"/>
        <v>0</v>
      </c>
      <c r="X482" s="1">
        <f t="shared" si="182"/>
        <v>0</v>
      </c>
      <c r="Y482" s="1">
        <f t="shared" si="183"/>
        <v>0</v>
      </c>
      <c r="Z482" s="1">
        <f t="shared" si="184"/>
        <v>0</v>
      </c>
      <c r="AA482" s="1">
        <f t="shared" si="185"/>
        <v>0</v>
      </c>
      <c r="AB482" s="1">
        <f t="shared" si="186"/>
        <v>0</v>
      </c>
      <c r="AD482" s="1">
        <f t="shared" si="187"/>
        <v>0</v>
      </c>
      <c r="AE482" s="1">
        <f t="shared" si="188"/>
        <v>1</v>
      </c>
      <c r="AF482" s="1">
        <f t="shared" si="189"/>
        <v>0</v>
      </c>
      <c r="AG482" s="1">
        <f t="shared" si="190"/>
        <v>0</v>
      </c>
      <c r="AH482" s="1">
        <f t="shared" si="191"/>
        <v>0</v>
      </c>
      <c r="AI482" s="1">
        <f t="shared" si="192"/>
        <v>0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66</v>
      </c>
      <c r="E483" s="32" t="s">
        <v>28</v>
      </c>
      <c r="F483" s="32" t="s">
        <v>1013</v>
      </c>
      <c r="G483" s="32" t="s">
        <v>300</v>
      </c>
      <c r="H483" s="32" t="s">
        <v>352</v>
      </c>
      <c r="I483" s="31" t="s">
        <v>1014</v>
      </c>
      <c r="J483" s="31">
        <v>1</v>
      </c>
      <c r="K483" s="33" t="s">
        <v>704</v>
      </c>
      <c r="L483" s="33" t="s">
        <v>704</v>
      </c>
      <c r="M483" s="34" t="s">
        <v>722</v>
      </c>
      <c r="N483" s="34" t="s">
        <v>1696</v>
      </c>
      <c r="O483" s="35">
        <v>1</v>
      </c>
      <c r="P483" s="35"/>
      <c r="Q483" s="32"/>
      <c r="S483" s="1">
        <f t="shared" si="177"/>
        <v>1</v>
      </c>
      <c r="T483" s="1">
        <f t="shared" si="178"/>
        <v>0</v>
      </c>
      <c r="U483" s="1">
        <f t="shared" si="179"/>
        <v>0</v>
      </c>
      <c r="V483" s="1">
        <f t="shared" si="180"/>
        <v>0</v>
      </c>
      <c r="W483" s="1">
        <f t="shared" si="181"/>
        <v>0</v>
      </c>
      <c r="X483" s="1">
        <f t="shared" si="182"/>
        <v>0</v>
      </c>
      <c r="Y483" s="1">
        <f t="shared" si="183"/>
        <v>0</v>
      </c>
      <c r="Z483" s="1">
        <f t="shared" si="184"/>
        <v>0</v>
      </c>
      <c r="AA483" s="1">
        <f t="shared" si="185"/>
        <v>0</v>
      </c>
      <c r="AB483" s="1">
        <f t="shared" si="186"/>
        <v>0</v>
      </c>
      <c r="AD483" s="1">
        <f t="shared" si="187"/>
        <v>0</v>
      </c>
      <c r="AE483" s="1">
        <f t="shared" si="188"/>
        <v>1</v>
      </c>
      <c r="AF483" s="1">
        <f t="shared" si="189"/>
        <v>0</v>
      </c>
      <c r="AG483" s="1">
        <f t="shared" si="190"/>
        <v>0</v>
      </c>
      <c r="AH483" s="1">
        <f t="shared" si="191"/>
        <v>0</v>
      </c>
      <c r="AI483" s="1">
        <f t="shared" si="192"/>
        <v>0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1534</v>
      </c>
      <c r="E484" s="32" t="s">
        <v>155</v>
      </c>
      <c r="F484" s="32" t="s">
        <v>1535</v>
      </c>
      <c r="G484" s="32" t="s">
        <v>206</v>
      </c>
      <c r="H484" s="32" t="s">
        <v>352</v>
      </c>
      <c r="I484" s="31" t="s">
        <v>1536</v>
      </c>
      <c r="J484" s="31">
        <v>99</v>
      </c>
      <c r="K484" s="33" t="s">
        <v>703</v>
      </c>
      <c r="L484" s="33" t="s">
        <v>713</v>
      </c>
      <c r="M484" s="34" t="s">
        <v>723</v>
      </c>
      <c r="N484" s="34" t="s">
        <v>1708</v>
      </c>
      <c r="O484" s="35">
        <v>1</v>
      </c>
      <c r="P484" s="35"/>
      <c r="Q484" s="32"/>
      <c r="S484" s="1">
        <f t="shared" si="177"/>
        <v>0</v>
      </c>
      <c r="T484" s="1">
        <f t="shared" si="178"/>
        <v>0</v>
      </c>
      <c r="U484" s="1">
        <f t="shared" si="179"/>
        <v>0</v>
      </c>
      <c r="V484" s="1">
        <f t="shared" si="180"/>
        <v>0</v>
      </c>
      <c r="W484" s="1">
        <f t="shared" si="181"/>
        <v>0</v>
      </c>
      <c r="X484" s="1">
        <f t="shared" si="182"/>
        <v>0</v>
      </c>
      <c r="Y484" s="1">
        <f t="shared" si="183"/>
        <v>0</v>
      </c>
      <c r="Z484" s="1">
        <f t="shared" si="184"/>
        <v>0</v>
      </c>
      <c r="AA484" s="1">
        <f t="shared" si="185"/>
        <v>0</v>
      </c>
      <c r="AB484" s="1">
        <f t="shared" si="186"/>
        <v>0</v>
      </c>
      <c r="AD484" s="1">
        <f t="shared" si="187"/>
        <v>0</v>
      </c>
      <c r="AE484" s="1">
        <f t="shared" si="188"/>
        <v>1</v>
      </c>
      <c r="AF484" s="1">
        <f t="shared" si="189"/>
        <v>0</v>
      </c>
      <c r="AG484" s="1">
        <f t="shared" si="190"/>
        <v>1</v>
      </c>
      <c r="AH484" s="1">
        <f t="shared" si="191"/>
        <v>0</v>
      </c>
      <c r="AI484" s="1">
        <f t="shared" si="19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73</v>
      </c>
      <c r="E485" s="32" t="s">
        <v>28</v>
      </c>
      <c r="F485" s="32" t="s">
        <v>263</v>
      </c>
      <c r="G485" s="32" t="s">
        <v>193</v>
      </c>
      <c r="H485" s="32" t="s">
        <v>352</v>
      </c>
      <c r="I485" s="31" t="s">
        <v>419</v>
      </c>
      <c r="J485" s="31">
        <v>9</v>
      </c>
      <c r="K485" s="33" t="s">
        <v>703</v>
      </c>
      <c r="L485" s="33" t="s">
        <v>704</v>
      </c>
      <c r="M485" s="34" t="s">
        <v>722</v>
      </c>
      <c r="N485" s="34" t="s">
        <v>1696</v>
      </c>
      <c r="O485" s="35">
        <v>1</v>
      </c>
      <c r="P485" s="35"/>
      <c r="Q485" s="32"/>
      <c r="S485" s="1">
        <f t="shared" si="177"/>
        <v>0</v>
      </c>
      <c r="T485" s="1">
        <f t="shared" si="178"/>
        <v>0</v>
      </c>
      <c r="U485" s="1">
        <f t="shared" si="179"/>
        <v>0</v>
      </c>
      <c r="V485" s="1">
        <f t="shared" si="180"/>
        <v>0</v>
      </c>
      <c r="W485" s="1">
        <f t="shared" si="181"/>
        <v>0</v>
      </c>
      <c r="X485" s="1">
        <f t="shared" si="182"/>
        <v>0</v>
      </c>
      <c r="Y485" s="1">
        <f t="shared" si="183"/>
        <v>0</v>
      </c>
      <c r="Z485" s="1">
        <f t="shared" si="184"/>
        <v>0</v>
      </c>
      <c r="AA485" s="1">
        <f t="shared" si="185"/>
        <v>1</v>
      </c>
      <c r="AB485" s="1">
        <f t="shared" si="186"/>
        <v>0</v>
      </c>
      <c r="AD485" s="1">
        <f t="shared" si="187"/>
        <v>0</v>
      </c>
      <c r="AE485" s="1">
        <f t="shared" si="188"/>
        <v>1</v>
      </c>
      <c r="AF485" s="1">
        <f t="shared" si="189"/>
        <v>0</v>
      </c>
      <c r="AG485" s="1">
        <f t="shared" si="190"/>
        <v>1</v>
      </c>
      <c r="AH485" s="1">
        <f t="shared" si="191"/>
        <v>0</v>
      </c>
      <c r="AI485" s="1">
        <f t="shared" si="19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59</v>
      </c>
      <c r="E486" s="32" t="s">
        <v>162</v>
      </c>
      <c r="F486" s="32" t="s">
        <v>224</v>
      </c>
      <c r="G486" s="32" t="s">
        <v>225</v>
      </c>
      <c r="H486" s="32" t="s">
        <v>352</v>
      </c>
      <c r="I486" s="31" t="s">
        <v>396</v>
      </c>
      <c r="J486" s="31">
        <v>99</v>
      </c>
      <c r="K486" s="33" t="s">
        <v>704</v>
      </c>
      <c r="L486" s="33" t="s">
        <v>713</v>
      </c>
      <c r="M486" s="34" t="s">
        <v>723</v>
      </c>
      <c r="N486" s="34" t="s">
        <v>1702</v>
      </c>
      <c r="O486" s="35">
        <v>1</v>
      </c>
      <c r="P486" s="35"/>
      <c r="Q486" s="32"/>
      <c r="S486" s="1">
        <f t="shared" si="177"/>
        <v>0</v>
      </c>
      <c r="T486" s="1">
        <f t="shared" si="178"/>
        <v>0</v>
      </c>
      <c r="U486" s="1">
        <f t="shared" si="179"/>
        <v>0</v>
      </c>
      <c r="V486" s="1">
        <f t="shared" si="180"/>
        <v>0</v>
      </c>
      <c r="W486" s="1">
        <f t="shared" si="181"/>
        <v>0</v>
      </c>
      <c r="X486" s="1">
        <f t="shared" si="182"/>
        <v>0</v>
      </c>
      <c r="Y486" s="1">
        <f t="shared" si="183"/>
        <v>0</v>
      </c>
      <c r="Z486" s="1">
        <f t="shared" si="184"/>
        <v>0</v>
      </c>
      <c r="AA486" s="1">
        <f t="shared" si="185"/>
        <v>0</v>
      </c>
      <c r="AB486" s="1">
        <f t="shared" si="186"/>
        <v>0</v>
      </c>
      <c r="AD486" s="1">
        <f t="shared" si="187"/>
        <v>0</v>
      </c>
      <c r="AE486" s="1">
        <f t="shared" si="188"/>
        <v>1</v>
      </c>
      <c r="AF486" s="1">
        <f t="shared" si="189"/>
        <v>0</v>
      </c>
      <c r="AG486" s="1">
        <f t="shared" si="190"/>
        <v>1</v>
      </c>
      <c r="AH486" s="1">
        <f t="shared" si="191"/>
        <v>0</v>
      </c>
      <c r="AI486" s="1">
        <f t="shared" si="192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1052</v>
      </c>
      <c r="E487" s="32" t="s">
        <v>155</v>
      </c>
      <c r="F487" s="32" t="s">
        <v>1053</v>
      </c>
      <c r="G487" s="32" t="s">
        <v>219</v>
      </c>
      <c r="H487" s="32" t="s">
        <v>352</v>
      </c>
      <c r="I487" s="31" t="s">
        <v>1054</v>
      </c>
      <c r="J487" s="31">
        <v>8</v>
      </c>
      <c r="K487" s="33" t="s">
        <v>703</v>
      </c>
      <c r="L487" s="33" t="s">
        <v>713</v>
      </c>
      <c r="M487" s="34" t="s">
        <v>723</v>
      </c>
      <c r="N487" s="34" t="s">
        <v>1700</v>
      </c>
      <c r="O487" s="35">
        <v>1</v>
      </c>
      <c r="P487" s="35"/>
      <c r="Q487" s="32"/>
      <c r="S487" s="1">
        <f t="shared" si="177"/>
        <v>0</v>
      </c>
      <c r="T487" s="1">
        <f t="shared" si="178"/>
        <v>0</v>
      </c>
      <c r="U487" s="1">
        <f t="shared" si="179"/>
        <v>0</v>
      </c>
      <c r="V487" s="1">
        <f t="shared" si="180"/>
        <v>0</v>
      </c>
      <c r="W487" s="1">
        <f t="shared" si="181"/>
        <v>0</v>
      </c>
      <c r="X487" s="1">
        <f t="shared" si="182"/>
        <v>0</v>
      </c>
      <c r="Y487" s="1">
        <f t="shared" si="183"/>
        <v>0</v>
      </c>
      <c r="Z487" s="1">
        <f t="shared" si="184"/>
        <v>1</v>
      </c>
      <c r="AA487" s="1">
        <f t="shared" si="185"/>
        <v>0</v>
      </c>
      <c r="AB487" s="1">
        <f t="shared" si="186"/>
        <v>0</v>
      </c>
      <c r="AD487" s="1">
        <f t="shared" si="187"/>
        <v>0</v>
      </c>
      <c r="AE487" s="1">
        <f t="shared" si="188"/>
        <v>1</v>
      </c>
      <c r="AF487" s="1">
        <f t="shared" si="189"/>
        <v>0</v>
      </c>
      <c r="AG487" s="1">
        <f t="shared" si="190"/>
        <v>1</v>
      </c>
      <c r="AH487" s="1">
        <f t="shared" si="191"/>
        <v>0</v>
      </c>
      <c r="AI487" s="1">
        <f t="shared" si="192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81</v>
      </c>
      <c r="E488" s="32" t="s">
        <v>155</v>
      </c>
      <c r="F488" s="32" t="s">
        <v>272</v>
      </c>
      <c r="G488" s="32" t="s">
        <v>253</v>
      </c>
      <c r="H488" s="32" t="s">
        <v>352</v>
      </c>
      <c r="I488" s="31" t="s">
        <v>426</v>
      </c>
      <c r="J488" s="31">
        <v>99</v>
      </c>
      <c r="K488" s="33" t="s">
        <v>704</v>
      </c>
      <c r="L488" s="33" t="s">
        <v>724</v>
      </c>
      <c r="M488" s="34" t="s">
        <v>725</v>
      </c>
      <c r="N488" s="34" t="s">
        <v>1708</v>
      </c>
      <c r="O488" s="35">
        <v>1</v>
      </c>
      <c r="P488" s="35"/>
      <c r="Q488" s="32"/>
      <c r="S488" s="1">
        <f t="shared" si="177"/>
        <v>0</v>
      </c>
      <c r="T488" s="1">
        <f t="shared" si="178"/>
        <v>0</v>
      </c>
      <c r="U488" s="1">
        <f t="shared" si="179"/>
        <v>0</v>
      </c>
      <c r="V488" s="1">
        <f t="shared" si="180"/>
        <v>0</v>
      </c>
      <c r="W488" s="1">
        <f t="shared" si="181"/>
        <v>0</v>
      </c>
      <c r="X488" s="1">
        <f t="shared" si="182"/>
        <v>0</v>
      </c>
      <c r="Y488" s="1">
        <f t="shared" si="183"/>
        <v>0</v>
      </c>
      <c r="Z488" s="1">
        <f t="shared" si="184"/>
        <v>0</v>
      </c>
      <c r="AA488" s="1">
        <f t="shared" si="185"/>
        <v>0</v>
      </c>
      <c r="AB488" s="1">
        <f t="shared" si="186"/>
        <v>0</v>
      </c>
      <c r="AD488" s="1">
        <f t="shared" si="187"/>
        <v>0</v>
      </c>
      <c r="AE488" s="1">
        <f t="shared" si="188"/>
        <v>1</v>
      </c>
      <c r="AF488" s="1">
        <f t="shared" si="189"/>
        <v>0</v>
      </c>
      <c r="AG488" s="1">
        <f t="shared" si="190"/>
        <v>1</v>
      </c>
      <c r="AH488" s="1">
        <f t="shared" si="191"/>
        <v>0</v>
      </c>
      <c r="AI488" s="1">
        <f t="shared" si="192"/>
        <v>1</v>
      </c>
    </row>
    <row r="489" spans="1:35" ht="14.25" customHeight="1" x14ac:dyDescent="0.25">
      <c r="A489" s="37">
        <v>0</v>
      </c>
      <c r="B489" s="37">
        <v>2</v>
      </c>
      <c r="C489" s="37">
        <v>7</v>
      </c>
      <c r="D489" s="36" t="s">
        <v>1727</v>
      </c>
      <c r="E489" s="36" t="s">
        <v>1728</v>
      </c>
      <c r="F489" s="36" t="s">
        <v>1729</v>
      </c>
      <c r="G489" s="36" t="s">
        <v>189</v>
      </c>
      <c r="H489" s="36" t="s">
        <v>352</v>
      </c>
      <c r="I489" s="37"/>
      <c r="J489" s="37"/>
      <c r="K489" s="33" t="s">
        <v>694</v>
      </c>
      <c r="L489" s="33"/>
      <c r="M489" s="34"/>
      <c r="N489" s="34" t="s">
        <v>1687</v>
      </c>
      <c r="O489" s="35">
        <v>1</v>
      </c>
      <c r="P489" s="35">
        <v>1</v>
      </c>
      <c r="Q489" s="36"/>
      <c r="S489" s="1">
        <f t="shared" si="177"/>
        <v>0</v>
      </c>
      <c r="T489" s="1">
        <f t="shared" si="178"/>
        <v>0</v>
      </c>
      <c r="U489" s="1">
        <f t="shared" si="179"/>
        <v>0</v>
      </c>
      <c r="V489" s="1">
        <f t="shared" si="180"/>
        <v>0</v>
      </c>
      <c r="W489" s="1">
        <f t="shared" si="181"/>
        <v>0</v>
      </c>
      <c r="X489" s="1">
        <f t="shared" si="182"/>
        <v>0</v>
      </c>
      <c r="Y489" s="1">
        <f t="shared" si="183"/>
        <v>0</v>
      </c>
      <c r="Z489" s="1">
        <f t="shared" si="184"/>
        <v>0</v>
      </c>
      <c r="AA489" s="1">
        <f t="shared" si="185"/>
        <v>0</v>
      </c>
      <c r="AB489" s="1">
        <f t="shared" si="186"/>
        <v>0</v>
      </c>
      <c r="AD489" s="1">
        <f t="shared" si="187"/>
        <v>1</v>
      </c>
      <c r="AE489" s="1">
        <f t="shared" si="188"/>
        <v>0</v>
      </c>
      <c r="AF489" s="1">
        <f t="shared" si="189"/>
        <v>1</v>
      </c>
      <c r="AG489" s="1">
        <f t="shared" si="190"/>
        <v>0</v>
      </c>
      <c r="AH489" s="1">
        <f t="shared" si="191"/>
        <v>1</v>
      </c>
      <c r="AI489" s="1">
        <f t="shared" si="192"/>
        <v>0</v>
      </c>
    </row>
    <row r="490" spans="1:35" ht="14.25" customHeight="1" x14ac:dyDescent="0.25">
      <c r="A490" s="37">
        <v>0</v>
      </c>
      <c r="B490" s="37">
        <v>2</v>
      </c>
      <c r="C490" s="37">
        <v>7</v>
      </c>
      <c r="D490" s="36" t="s">
        <v>510</v>
      </c>
      <c r="E490" s="36" t="s">
        <v>155</v>
      </c>
      <c r="F490" s="36" t="s">
        <v>567</v>
      </c>
      <c r="G490" s="36" t="s">
        <v>319</v>
      </c>
      <c r="H490" s="36" t="s">
        <v>352</v>
      </c>
      <c r="I490" s="37" t="s">
        <v>573</v>
      </c>
      <c r="J490" s="37">
        <v>99</v>
      </c>
      <c r="K490" s="33" t="s">
        <v>931</v>
      </c>
      <c r="L490" s="33" t="s">
        <v>713</v>
      </c>
      <c r="M490" s="34" t="s">
        <v>723</v>
      </c>
      <c r="N490" s="34" t="s">
        <v>1713</v>
      </c>
      <c r="O490" s="35">
        <v>1</v>
      </c>
      <c r="P490" s="35"/>
      <c r="Q490" s="36"/>
      <c r="S490" s="1">
        <f t="shared" si="177"/>
        <v>0</v>
      </c>
      <c r="T490" s="1">
        <f t="shared" si="178"/>
        <v>0</v>
      </c>
      <c r="U490" s="1">
        <f t="shared" si="179"/>
        <v>0</v>
      </c>
      <c r="V490" s="1">
        <f t="shared" si="180"/>
        <v>0</v>
      </c>
      <c r="W490" s="1">
        <f t="shared" si="181"/>
        <v>0</v>
      </c>
      <c r="X490" s="1">
        <f t="shared" si="182"/>
        <v>0</v>
      </c>
      <c r="Y490" s="1">
        <f t="shared" si="183"/>
        <v>0</v>
      </c>
      <c r="Z490" s="1">
        <f t="shared" si="184"/>
        <v>0</v>
      </c>
      <c r="AA490" s="1">
        <f t="shared" si="185"/>
        <v>0</v>
      </c>
      <c r="AB490" s="1">
        <f t="shared" si="186"/>
        <v>0</v>
      </c>
      <c r="AD490" s="1">
        <f t="shared" si="187"/>
        <v>0</v>
      </c>
      <c r="AE490" s="1">
        <f t="shared" si="188"/>
        <v>1</v>
      </c>
      <c r="AF490" s="1">
        <f t="shared" si="189"/>
        <v>0</v>
      </c>
      <c r="AG490" s="1">
        <f t="shared" si="190"/>
        <v>1</v>
      </c>
      <c r="AH490" s="1">
        <f t="shared" si="191"/>
        <v>0</v>
      </c>
      <c r="AI490" s="1">
        <f t="shared" si="19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74</v>
      </c>
      <c r="E491" s="32" t="s">
        <v>155</v>
      </c>
      <c r="F491" s="32" t="s">
        <v>667</v>
      </c>
      <c r="G491" s="32" t="s">
        <v>264</v>
      </c>
      <c r="H491" s="32" t="s">
        <v>352</v>
      </c>
      <c r="I491" s="31" t="s">
        <v>420</v>
      </c>
      <c r="J491" s="31">
        <v>99</v>
      </c>
      <c r="K491" s="33" t="s">
        <v>703</v>
      </c>
      <c r="L491" s="33" t="s">
        <v>720</v>
      </c>
      <c r="M491" s="34" t="s">
        <v>723</v>
      </c>
      <c r="N491" s="34" t="s">
        <v>1696</v>
      </c>
      <c r="O491" s="35">
        <v>1</v>
      </c>
      <c r="P491" s="35"/>
      <c r="Q491" s="32"/>
      <c r="S491" s="1">
        <f t="shared" si="177"/>
        <v>0</v>
      </c>
      <c r="T491" s="1">
        <f t="shared" si="178"/>
        <v>0</v>
      </c>
      <c r="U491" s="1">
        <f t="shared" si="179"/>
        <v>0</v>
      </c>
      <c r="V491" s="1">
        <f t="shared" si="180"/>
        <v>0</v>
      </c>
      <c r="W491" s="1">
        <f t="shared" si="181"/>
        <v>0</v>
      </c>
      <c r="X491" s="1">
        <f t="shared" si="182"/>
        <v>0</v>
      </c>
      <c r="Y491" s="1">
        <f t="shared" si="183"/>
        <v>0</v>
      </c>
      <c r="Z491" s="1">
        <f t="shared" si="184"/>
        <v>0</v>
      </c>
      <c r="AA491" s="1">
        <f t="shared" si="185"/>
        <v>0</v>
      </c>
      <c r="AB491" s="1">
        <f t="shared" si="186"/>
        <v>0</v>
      </c>
      <c r="AD491" s="1">
        <f t="shared" si="187"/>
        <v>0</v>
      </c>
      <c r="AE491" s="1">
        <f t="shared" si="188"/>
        <v>1</v>
      </c>
      <c r="AF491" s="1">
        <f t="shared" si="189"/>
        <v>0</v>
      </c>
      <c r="AG491" s="1">
        <f t="shared" si="190"/>
        <v>1</v>
      </c>
      <c r="AH491" s="1">
        <f t="shared" si="191"/>
        <v>0</v>
      </c>
      <c r="AI491" s="1">
        <f t="shared" si="19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1809</v>
      </c>
      <c r="E492" s="32" t="s">
        <v>155</v>
      </c>
      <c r="F492" s="32" t="s">
        <v>1810</v>
      </c>
      <c r="G492" s="32" t="s">
        <v>281</v>
      </c>
      <c r="H492" s="32" t="s">
        <v>352</v>
      </c>
      <c r="I492" s="31" t="s">
        <v>1811</v>
      </c>
      <c r="J492" s="31">
        <v>99</v>
      </c>
      <c r="K492" s="33" t="s">
        <v>694</v>
      </c>
      <c r="L492" s="33" t="s">
        <v>713</v>
      </c>
      <c r="M492" s="34" t="s">
        <v>723</v>
      </c>
      <c r="N492" s="34" t="s">
        <v>1708</v>
      </c>
      <c r="O492" s="35">
        <v>1</v>
      </c>
      <c r="P492" s="35"/>
      <c r="Q492" s="32"/>
      <c r="S492" s="1">
        <f t="shared" si="177"/>
        <v>0</v>
      </c>
      <c r="T492" s="1">
        <f t="shared" si="178"/>
        <v>0</v>
      </c>
      <c r="U492" s="1">
        <f t="shared" si="179"/>
        <v>0</v>
      </c>
      <c r="V492" s="1">
        <f t="shared" si="180"/>
        <v>0</v>
      </c>
      <c r="W492" s="1">
        <f t="shared" si="181"/>
        <v>0</v>
      </c>
      <c r="X492" s="1">
        <f t="shared" si="182"/>
        <v>0</v>
      </c>
      <c r="Y492" s="1">
        <f t="shared" si="183"/>
        <v>0</v>
      </c>
      <c r="Z492" s="1">
        <f t="shared" si="184"/>
        <v>0</v>
      </c>
      <c r="AA492" s="1">
        <f t="shared" si="185"/>
        <v>0</v>
      </c>
      <c r="AB492" s="1">
        <f t="shared" si="186"/>
        <v>0</v>
      </c>
      <c r="AD492" s="1">
        <f t="shared" si="187"/>
        <v>0</v>
      </c>
      <c r="AE492" s="1">
        <f t="shared" si="188"/>
        <v>1</v>
      </c>
      <c r="AF492" s="1">
        <f t="shared" si="189"/>
        <v>0</v>
      </c>
      <c r="AG492" s="1">
        <f t="shared" si="190"/>
        <v>1</v>
      </c>
      <c r="AH492" s="1">
        <f t="shared" si="191"/>
        <v>0</v>
      </c>
      <c r="AI492" s="1">
        <f t="shared" si="192"/>
        <v>1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60</v>
      </c>
      <c r="E493" s="32" t="s">
        <v>162</v>
      </c>
      <c r="F493" s="32" t="s">
        <v>226</v>
      </c>
      <c r="G493" s="32" t="s">
        <v>189</v>
      </c>
      <c r="H493" s="32" t="s">
        <v>352</v>
      </c>
      <c r="I493" s="31" t="s">
        <v>397</v>
      </c>
      <c r="J493" s="31">
        <v>99</v>
      </c>
      <c r="K493" s="33" t="s">
        <v>704</v>
      </c>
      <c r="L493" s="33" t="s">
        <v>713</v>
      </c>
      <c r="M493" s="34" t="s">
        <v>723</v>
      </c>
      <c r="N493" s="34" t="s">
        <v>1700</v>
      </c>
      <c r="O493" s="35">
        <v>1</v>
      </c>
      <c r="P493" s="35"/>
      <c r="Q493" s="32"/>
      <c r="S493" s="1">
        <f t="shared" si="177"/>
        <v>0</v>
      </c>
      <c r="T493" s="1">
        <f t="shared" si="178"/>
        <v>0</v>
      </c>
      <c r="U493" s="1">
        <f t="shared" si="179"/>
        <v>0</v>
      </c>
      <c r="V493" s="1">
        <f t="shared" si="180"/>
        <v>0</v>
      </c>
      <c r="W493" s="1">
        <f t="shared" si="181"/>
        <v>0</v>
      </c>
      <c r="X493" s="1">
        <f t="shared" si="182"/>
        <v>0</v>
      </c>
      <c r="Y493" s="1">
        <f t="shared" si="183"/>
        <v>0</v>
      </c>
      <c r="Z493" s="1">
        <f t="shared" si="184"/>
        <v>0</v>
      </c>
      <c r="AA493" s="1">
        <f t="shared" si="185"/>
        <v>0</v>
      </c>
      <c r="AB493" s="1">
        <f t="shared" si="186"/>
        <v>0</v>
      </c>
      <c r="AD493" s="1">
        <f t="shared" si="187"/>
        <v>0</v>
      </c>
      <c r="AE493" s="1">
        <f t="shared" si="188"/>
        <v>1</v>
      </c>
      <c r="AF493" s="1">
        <f t="shared" si="189"/>
        <v>0</v>
      </c>
      <c r="AG493" s="1">
        <f t="shared" si="190"/>
        <v>1</v>
      </c>
      <c r="AH493" s="1">
        <f t="shared" si="191"/>
        <v>0</v>
      </c>
      <c r="AI493" s="1">
        <f t="shared" si="192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1297</v>
      </c>
      <c r="E494" s="32" t="s">
        <v>155</v>
      </c>
      <c r="F494" s="32" t="s">
        <v>1115</v>
      </c>
      <c r="G494" s="32" t="s">
        <v>191</v>
      </c>
      <c r="H494" s="32" t="s">
        <v>352</v>
      </c>
      <c r="I494" s="31" t="s">
        <v>1334</v>
      </c>
      <c r="J494" s="31">
        <v>99</v>
      </c>
      <c r="K494" s="33" t="s">
        <v>703</v>
      </c>
      <c r="L494" s="33" t="s">
        <v>39</v>
      </c>
      <c r="M494" s="34" t="s">
        <v>39</v>
      </c>
      <c r="N494" s="34" t="s">
        <v>1687</v>
      </c>
      <c r="O494" s="35">
        <v>1</v>
      </c>
      <c r="P494" s="35">
        <v>1</v>
      </c>
      <c r="Q494" s="32"/>
      <c r="S494" s="1">
        <f t="shared" si="177"/>
        <v>0</v>
      </c>
      <c r="T494" s="1">
        <f t="shared" si="178"/>
        <v>0</v>
      </c>
      <c r="U494" s="1">
        <f t="shared" si="179"/>
        <v>0</v>
      </c>
      <c r="V494" s="1">
        <f t="shared" si="180"/>
        <v>0</v>
      </c>
      <c r="W494" s="1">
        <f t="shared" si="181"/>
        <v>0</v>
      </c>
      <c r="X494" s="1">
        <f t="shared" si="182"/>
        <v>0</v>
      </c>
      <c r="Y494" s="1">
        <f t="shared" si="183"/>
        <v>0</v>
      </c>
      <c r="Z494" s="1">
        <f t="shared" si="184"/>
        <v>0</v>
      </c>
      <c r="AA494" s="1">
        <f t="shared" si="185"/>
        <v>0</v>
      </c>
      <c r="AB494" s="1">
        <f t="shared" si="186"/>
        <v>0</v>
      </c>
      <c r="AD494" s="1">
        <f t="shared" si="187"/>
        <v>1</v>
      </c>
      <c r="AE494" s="1">
        <f t="shared" si="188"/>
        <v>0</v>
      </c>
      <c r="AF494" s="1">
        <f t="shared" si="189"/>
        <v>1</v>
      </c>
      <c r="AG494" s="1">
        <f t="shared" si="190"/>
        <v>0</v>
      </c>
      <c r="AH494" s="1">
        <f t="shared" si="191"/>
        <v>1</v>
      </c>
      <c r="AI494" s="1">
        <f t="shared" si="19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581</v>
      </c>
      <c r="E495" s="32" t="s">
        <v>1305</v>
      </c>
      <c r="F495" s="32" t="s">
        <v>668</v>
      </c>
      <c r="G495" s="32" t="s">
        <v>239</v>
      </c>
      <c r="H495" s="32" t="s">
        <v>352</v>
      </c>
      <c r="I495" s="31" t="s">
        <v>403</v>
      </c>
      <c r="J495" s="31">
        <v>1</v>
      </c>
      <c r="K495" s="33" t="s">
        <v>704</v>
      </c>
      <c r="L495" s="33" t="s">
        <v>1671</v>
      </c>
      <c r="M495" s="34" t="s">
        <v>1402</v>
      </c>
      <c r="N495" s="34" t="s">
        <v>1700</v>
      </c>
      <c r="O495" s="35">
        <v>1</v>
      </c>
      <c r="P495" s="35"/>
      <c r="Q495" s="32"/>
      <c r="S495" s="1">
        <f t="shared" si="177"/>
        <v>1</v>
      </c>
      <c r="T495" s="1">
        <f t="shared" si="178"/>
        <v>0</v>
      </c>
      <c r="U495" s="1">
        <f t="shared" si="179"/>
        <v>0</v>
      </c>
      <c r="V495" s="1">
        <f t="shared" si="180"/>
        <v>0</v>
      </c>
      <c r="W495" s="1">
        <f t="shared" si="181"/>
        <v>0</v>
      </c>
      <c r="X495" s="1">
        <f t="shared" si="182"/>
        <v>0</v>
      </c>
      <c r="Y495" s="1">
        <f t="shared" si="183"/>
        <v>0</v>
      </c>
      <c r="Z495" s="1">
        <f t="shared" si="184"/>
        <v>0</v>
      </c>
      <c r="AA495" s="1">
        <f t="shared" si="185"/>
        <v>0</v>
      </c>
      <c r="AB495" s="1">
        <f t="shared" si="186"/>
        <v>0</v>
      </c>
      <c r="AD495" s="1">
        <f t="shared" si="187"/>
        <v>0</v>
      </c>
      <c r="AE495" s="1">
        <f t="shared" si="188"/>
        <v>1</v>
      </c>
      <c r="AF495" s="1">
        <f t="shared" si="189"/>
        <v>0</v>
      </c>
      <c r="AG495" s="1">
        <f t="shared" si="190"/>
        <v>1</v>
      </c>
      <c r="AH495" s="1">
        <f t="shared" si="191"/>
        <v>0</v>
      </c>
      <c r="AI495" s="1">
        <f t="shared" si="19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581</v>
      </c>
      <c r="E496" s="32" t="s">
        <v>1305</v>
      </c>
      <c r="F496" s="32" t="s">
        <v>238</v>
      </c>
      <c r="G496" s="32" t="s">
        <v>177</v>
      </c>
      <c r="H496" s="32" t="s">
        <v>352</v>
      </c>
      <c r="I496" s="31" t="s">
        <v>402</v>
      </c>
      <c r="J496" s="31">
        <v>1</v>
      </c>
      <c r="K496" s="33" t="s">
        <v>704</v>
      </c>
      <c r="L496" s="33" t="s">
        <v>1671</v>
      </c>
      <c r="M496" s="34" t="s">
        <v>1402</v>
      </c>
      <c r="N496" s="34" t="s">
        <v>1700</v>
      </c>
      <c r="O496" s="35">
        <v>1</v>
      </c>
      <c r="P496" s="35"/>
      <c r="Q496" s="36" t="s">
        <v>1861</v>
      </c>
      <c r="S496" s="1">
        <f t="shared" si="177"/>
        <v>1</v>
      </c>
      <c r="T496" s="1">
        <f t="shared" si="178"/>
        <v>0</v>
      </c>
      <c r="U496" s="1">
        <f t="shared" si="179"/>
        <v>0</v>
      </c>
      <c r="V496" s="1">
        <f t="shared" si="180"/>
        <v>0</v>
      </c>
      <c r="W496" s="1">
        <f t="shared" si="181"/>
        <v>0</v>
      </c>
      <c r="X496" s="1">
        <f t="shared" si="182"/>
        <v>0</v>
      </c>
      <c r="Y496" s="1">
        <f t="shared" si="183"/>
        <v>0</v>
      </c>
      <c r="Z496" s="1">
        <f t="shared" si="184"/>
        <v>0</v>
      </c>
      <c r="AA496" s="1">
        <f t="shared" si="185"/>
        <v>0</v>
      </c>
      <c r="AB496" s="1">
        <f t="shared" si="186"/>
        <v>0</v>
      </c>
      <c r="AD496" s="1">
        <f t="shared" si="187"/>
        <v>0</v>
      </c>
      <c r="AE496" s="1">
        <f t="shared" si="188"/>
        <v>1</v>
      </c>
      <c r="AF496" s="1">
        <f t="shared" si="189"/>
        <v>0</v>
      </c>
      <c r="AG496" s="1">
        <f t="shared" si="190"/>
        <v>0</v>
      </c>
      <c r="AH496" s="1">
        <f t="shared" si="191"/>
        <v>0</v>
      </c>
      <c r="AI496" s="1">
        <f t="shared" si="19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1298</v>
      </c>
      <c r="E497" s="32" t="s">
        <v>155</v>
      </c>
      <c r="F497" s="32" t="s">
        <v>1322</v>
      </c>
      <c r="G497" s="32" t="s">
        <v>257</v>
      </c>
      <c r="H497" s="32" t="s">
        <v>352</v>
      </c>
      <c r="I497" s="31" t="s">
        <v>1208</v>
      </c>
      <c r="J497" s="31">
        <v>8</v>
      </c>
      <c r="K497" s="33" t="s">
        <v>932</v>
      </c>
      <c r="L497" s="33" t="s">
        <v>713</v>
      </c>
      <c r="M497" s="34" t="s">
        <v>723</v>
      </c>
      <c r="N497" s="34" t="s">
        <v>1700</v>
      </c>
      <c r="O497" s="35">
        <v>1</v>
      </c>
      <c r="P497" s="35"/>
      <c r="Q497" s="32"/>
      <c r="S497" s="1">
        <f t="shared" si="177"/>
        <v>0</v>
      </c>
      <c r="T497" s="1">
        <f t="shared" si="178"/>
        <v>0</v>
      </c>
      <c r="U497" s="1">
        <f t="shared" si="179"/>
        <v>0</v>
      </c>
      <c r="V497" s="1">
        <f t="shared" si="180"/>
        <v>0</v>
      </c>
      <c r="W497" s="1">
        <f t="shared" si="181"/>
        <v>0</v>
      </c>
      <c r="X497" s="1">
        <f t="shared" si="182"/>
        <v>0</v>
      </c>
      <c r="Y497" s="1">
        <f t="shared" si="183"/>
        <v>0</v>
      </c>
      <c r="Z497" s="1">
        <f t="shared" si="184"/>
        <v>1</v>
      </c>
      <c r="AA497" s="1">
        <f t="shared" si="185"/>
        <v>0</v>
      </c>
      <c r="AB497" s="1">
        <f t="shared" si="186"/>
        <v>0</v>
      </c>
      <c r="AD497" s="1">
        <f t="shared" si="187"/>
        <v>0</v>
      </c>
      <c r="AE497" s="1">
        <f t="shared" si="188"/>
        <v>1</v>
      </c>
      <c r="AF497" s="1">
        <f t="shared" si="189"/>
        <v>0</v>
      </c>
      <c r="AG497" s="1">
        <f t="shared" si="190"/>
        <v>1</v>
      </c>
      <c r="AH497" s="1">
        <f t="shared" si="191"/>
        <v>0</v>
      </c>
      <c r="AI497" s="1">
        <f t="shared" si="19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1298</v>
      </c>
      <c r="E498" s="32" t="s">
        <v>155</v>
      </c>
      <c r="F498" s="32" t="s">
        <v>1187</v>
      </c>
      <c r="G498" s="32" t="s">
        <v>217</v>
      </c>
      <c r="H498" s="32" t="s">
        <v>352</v>
      </c>
      <c r="I498" s="31" t="s">
        <v>1208</v>
      </c>
      <c r="J498" s="31">
        <v>99</v>
      </c>
      <c r="K498" s="33" t="s">
        <v>932</v>
      </c>
      <c r="L498" s="33" t="s">
        <v>713</v>
      </c>
      <c r="M498" s="34" t="s">
        <v>723</v>
      </c>
      <c r="N498" s="34" t="s">
        <v>1700</v>
      </c>
      <c r="O498" s="35">
        <v>1</v>
      </c>
      <c r="P498" s="35"/>
      <c r="Q498" s="32"/>
      <c r="S498" s="1">
        <f t="shared" si="177"/>
        <v>0</v>
      </c>
      <c r="T498" s="1">
        <f t="shared" si="178"/>
        <v>0</v>
      </c>
      <c r="U498" s="1">
        <f t="shared" si="179"/>
        <v>0</v>
      </c>
      <c r="V498" s="1">
        <f t="shared" si="180"/>
        <v>0</v>
      </c>
      <c r="W498" s="1">
        <f t="shared" si="181"/>
        <v>0</v>
      </c>
      <c r="X498" s="1">
        <f t="shared" si="182"/>
        <v>0</v>
      </c>
      <c r="Y498" s="1">
        <f t="shared" si="183"/>
        <v>0</v>
      </c>
      <c r="Z498" s="1">
        <f t="shared" si="184"/>
        <v>0</v>
      </c>
      <c r="AA498" s="1">
        <f t="shared" si="185"/>
        <v>0</v>
      </c>
      <c r="AB498" s="1">
        <f t="shared" si="186"/>
        <v>0</v>
      </c>
      <c r="AD498" s="1">
        <f t="shared" si="187"/>
        <v>0</v>
      </c>
      <c r="AE498" s="1">
        <f t="shared" si="188"/>
        <v>1</v>
      </c>
      <c r="AF498" s="1">
        <f t="shared" si="189"/>
        <v>0</v>
      </c>
      <c r="AG498" s="1">
        <f t="shared" si="190"/>
        <v>0</v>
      </c>
      <c r="AH498" s="1">
        <f t="shared" si="191"/>
        <v>0</v>
      </c>
      <c r="AI498" s="1">
        <f t="shared" si="192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1217</v>
      </c>
      <c r="E499" s="32" t="s">
        <v>155</v>
      </c>
      <c r="F499" s="32" t="s">
        <v>1219</v>
      </c>
      <c r="G499" s="32" t="s">
        <v>219</v>
      </c>
      <c r="H499" s="32" t="s">
        <v>352</v>
      </c>
      <c r="I499" s="31" t="s">
        <v>1335</v>
      </c>
      <c r="J499" s="31">
        <v>8</v>
      </c>
      <c r="K499" s="33" t="s">
        <v>931</v>
      </c>
      <c r="L499" s="33" t="s">
        <v>713</v>
      </c>
      <c r="M499" s="34" t="s">
        <v>723</v>
      </c>
      <c r="N499" s="34" t="s">
        <v>1696</v>
      </c>
      <c r="O499" s="35">
        <v>1</v>
      </c>
      <c r="P499" s="35"/>
      <c r="Q499" s="32"/>
      <c r="S499" s="1">
        <f t="shared" si="177"/>
        <v>0</v>
      </c>
      <c r="T499" s="1">
        <f t="shared" si="178"/>
        <v>0</v>
      </c>
      <c r="U499" s="1">
        <f t="shared" si="179"/>
        <v>0</v>
      </c>
      <c r="V499" s="1">
        <f t="shared" si="180"/>
        <v>0</v>
      </c>
      <c r="W499" s="1">
        <f t="shared" si="181"/>
        <v>0</v>
      </c>
      <c r="X499" s="1">
        <f t="shared" si="182"/>
        <v>0</v>
      </c>
      <c r="Y499" s="1">
        <f t="shared" si="183"/>
        <v>0</v>
      </c>
      <c r="Z499" s="1">
        <f t="shared" si="184"/>
        <v>1</v>
      </c>
      <c r="AA499" s="1">
        <f t="shared" si="185"/>
        <v>0</v>
      </c>
      <c r="AB499" s="1">
        <f t="shared" si="186"/>
        <v>0</v>
      </c>
      <c r="AD499" s="1">
        <f t="shared" si="187"/>
        <v>0</v>
      </c>
      <c r="AE499" s="1">
        <f t="shared" si="188"/>
        <v>1</v>
      </c>
      <c r="AF499" s="1">
        <f t="shared" si="189"/>
        <v>0</v>
      </c>
      <c r="AG499" s="1">
        <f t="shared" si="190"/>
        <v>1</v>
      </c>
      <c r="AH499" s="1">
        <f t="shared" si="191"/>
        <v>0</v>
      </c>
      <c r="AI499" s="1">
        <f t="shared" si="192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1217</v>
      </c>
      <c r="E500" s="32" t="s">
        <v>155</v>
      </c>
      <c r="F500" s="32" t="s">
        <v>1323</v>
      </c>
      <c r="G500" s="32" t="s">
        <v>39</v>
      </c>
      <c r="H500" s="32" t="s">
        <v>353</v>
      </c>
      <c r="I500" s="31" t="s">
        <v>1218</v>
      </c>
      <c r="J500" s="31">
        <v>99</v>
      </c>
      <c r="K500" s="33" t="s">
        <v>931</v>
      </c>
      <c r="L500" s="33" t="s">
        <v>713</v>
      </c>
      <c r="M500" s="34" t="s">
        <v>723</v>
      </c>
      <c r="N500" s="34" t="s">
        <v>1696</v>
      </c>
      <c r="O500" s="35">
        <v>1</v>
      </c>
      <c r="P500" s="35"/>
      <c r="Q500" s="32" t="s">
        <v>1854</v>
      </c>
      <c r="S500" s="1">
        <f t="shared" si="177"/>
        <v>0</v>
      </c>
      <c r="T500" s="1">
        <f t="shared" si="178"/>
        <v>0</v>
      </c>
      <c r="U500" s="1">
        <f t="shared" si="179"/>
        <v>0</v>
      </c>
      <c r="V500" s="1">
        <f t="shared" si="180"/>
        <v>0</v>
      </c>
      <c r="W500" s="1">
        <f t="shared" si="181"/>
        <v>0</v>
      </c>
      <c r="X500" s="1">
        <f t="shared" si="182"/>
        <v>0</v>
      </c>
      <c r="Y500" s="1">
        <f t="shared" si="183"/>
        <v>0</v>
      </c>
      <c r="Z500" s="1">
        <f t="shared" si="184"/>
        <v>0</v>
      </c>
      <c r="AA500" s="1">
        <f t="shared" si="185"/>
        <v>0</v>
      </c>
      <c r="AB500" s="1">
        <f t="shared" si="186"/>
        <v>0</v>
      </c>
      <c r="AD500" s="1">
        <f t="shared" si="187"/>
        <v>0</v>
      </c>
      <c r="AE500" s="1">
        <f t="shared" si="188"/>
        <v>1</v>
      </c>
      <c r="AF500" s="1">
        <f t="shared" si="189"/>
        <v>0</v>
      </c>
      <c r="AG500" s="1">
        <f t="shared" si="190"/>
        <v>0</v>
      </c>
      <c r="AH500" s="1">
        <f t="shared" si="191"/>
        <v>0</v>
      </c>
      <c r="AI500" s="1">
        <f t="shared" si="192"/>
        <v>0</v>
      </c>
    </row>
    <row r="501" spans="1:35" ht="14.25" customHeight="1" x14ac:dyDescent="0.25">
      <c r="A501" s="31">
        <v>1</v>
      </c>
      <c r="B501" s="31">
        <v>2</v>
      </c>
      <c r="C501" s="31">
        <v>7</v>
      </c>
      <c r="D501" s="32" t="s">
        <v>1217</v>
      </c>
      <c r="E501" s="32" t="s">
        <v>155</v>
      </c>
      <c r="F501" s="32" t="s">
        <v>1485</v>
      </c>
      <c r="G501" s="32" t="s">
        <v>234</v>
      </c>
      <c r="H501" s="32" t="s">
        <v>352</v>
      </c>
      <c r="I501" s="31" t="s">
        <v>1651</v>
      </c>
      <c r="J501" s="31">
        <v>99</v>
      </c>
      <c r="K501" s="33" t="s">
        <v>931</v>
      </c>
      <c r="L501" s="33" t="s">
        <v>713</v>
      </c>
      <c r="M501" s="34" t="s">
        <v>723</v>
      </c>
      <c r="N501" s="34" t="s">
        <v>1696</v>
      </c>
      <c r="O501" s="35">
        <v>1</v>
      </c>
      <c r="P501" s="35"/>
      <c r="Q501" s="32"/>
      <c r="S501" s="1">
        <f t="shared" si="177"/>
        <v>0</v>
      </c>
      <c r="T501" s="1">
        <f t="shared" si="178"/>
        <v>0</v>
      </c>
      <c r="U501" s="1">
        <f t="shared" si="179"/>
        <v>0</v>
      </c>
      <c r="V501" s="1">
        <f t="shared" si="180"/>
        <v>0</v>
      </c>
      <c r="W501" s="1">
        <f t="shared" si="181"/>
        <v>0</v>
      </c>
      <c r="X501" s="1">
        <f t="shared" si="182"/>
        <v>0</v>
      </c>
      <c r="Y501" s="1">
        <f t="shared" si="183"/>
        <v>0</v>
      </c>
      <c r="Z501" s="1">
        <f t="shared" si="184"/>
        <v>0</v>
      </c>
      <c r="AA501" s="1">
        <f t="shared" si="185"/>
        <v>0</v>
      </c>
      <c r="AB501" s="1">
        <f t="shared" si="186"/>
        <v>0</v>
      </c>
      <c r="AD501" s="1">
        <f t="shared" si="187"/>
        <v>0</v>
      </c>
      <c r="AE501" s="1">
        <f t="shared" si="188"/>
        <v>1</v>
      </c>
      <c r="AF501" s="1">
        <f t="shared" si="189"/>
        <v>0</v>
      </c>
      <c r="AG501" s="1">
        <f t="shared" si="190"/>
        <v>0</v>
      </c>
      <c r="AH501" s="1">
        <f t="shared" si="191"/>
        <v>0</v>
      </c>
      <c r="AI501" s="1">
        <f t="shared" si="192"/>
        <v>0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1801</v>
      </c>
      <c r="E502" s="32" t="s">
        <v>1802</v>
      </c>
      <c r="F502" s="32" t="s">
        <v>1803</v>
      </c>
      <c r="G502" s="32" t="s">
        <v>264</v>
      </c>
      <c r="H502" s="32" t="s">
        <v>352</v>
      </c>
      <c r="I502" s="31" t="s">
        <v>1804</v>
      </c>
      <c r="J502" s="31">
        <v>99</v>
      </c>
      <c r="K502" s="33" t="s">
        <v>694</v>
      </c>
      <c r="L502" s="33"/>
      <c r="M502" s="34"/>
      <c r="N502" s="34" t="s">
        <v>1687</v>
      </c>
      <c r="O502" s="35">
        <v>1</v>
      </c>
      <c r="P502" s="35">
        <v>1</v>
      </c>
      <c r="Q502" s="32"/>
      <c r="S502" s="1">
        <f t="shared" si="177"/>
        <v>0</v>
      </c>
      <c r="T502" s="1">
        <f t="shared" si="178"/>
        <v>0</v>
      </c>
      <c r="U502" s="1">
        <f t="shared" si="179"/>
        <v>0</v>
      </c>
      <c r="V502" s="1">
        <f t="shared" si="180"/>
        <v>0</v>
      </c>
      <c r="W502" s="1">
        <f t="shared" si="181"/>
        <v>0</v>
      </c>
      <c r="X502" s="1">
        <f t="shared" si="182"/>
        <v>0</v>
      </c>
      <c r="Y502" s="1">
        <f t="shared" si="183"/>
        <v>0</v>
      </c>
      <c r="Z502" s="1">
        <f t="shared" si="184"/>
        <v>0</v>
      </c>
      <c r="AA502" s="1">
        <f t="shared" si="185"/>
        <v>0</v>
      </c>
      <c r="AB502" s="1">
        <f t="shared" si="186"/>
        <v>0</v>
      </c>
      <c r="AD502" s="1">
        <f t="shared" si="187"/>
        <v>1</v>
      </c>
      <c r="AE502" s="1">
        <f t="shared" si="188"/>
        <v>0</v>
      </c>
      <c r="AF502" s="1">
        <f t="shared" si="189"/>
        <v>1</v>
      </c>
      <c r="AG502" s="1">
        <f t="shared" si="190"/>
        <v>0</v>
      </c>
      <c r="AH502" s="1">
        <f t="shared" si="191"/>
        <v>1</v>
      </c>
      <c r="AI502" s="1">
        <f t="shared" si="19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1212</v>
      </c>
      <c r="E503" s="32" t="s">
        <v>28</v>
      </c>
      <c r="F503" s="32" t="s">
        <v>1205</v>
      </c>
      <c r="G503" s="32" t="s">
        <v>1206</v>
      </c>
      <c r="H503" s="32" t="s">
        <v>352</v>
      </c>
      <c r="I503" s="31" t="s">
        <v>1207</v>
      </c>
      <c r="J503" s="31">
        <v>99</v>
      </c>
      <c r="K503" s="33" t="s">
        <v>703</v>
      </c>
      <c r="L503" s="33" t="s">
        <v>704</v>
      </c>
      <c r="M503" s="34" t="s">
        <v>722</v>
      </c>
      <c r="N503" s="34" t="s">
        <v>1696</v>
      </c>
      <c r="O503" s="35">
        <v>1</v>
      </c>
      <c r="P503" s="35"/>
      <c r="Q503" s="32"/>
      <c r="S503" s="1">
        <f t="shared" si="177"/>
        <v>0</v>
      </c>
      <c r="T503" s="1">
        <f t="shared" si="178"/>
        <v>0</v>
      </c>
      <c r="U503" s="1">
        <f t="shared" si="179"/>
        <v>0</v>
      </c>
      <c r="V503" s="1">
        <f t="shared" si="180"/>
        <v>0</v>
      </c>
      <c r="W503" s="1">
        <f t="shared" si="181"/>
        <v>0</v>
      </c>
      <c r="X503" s="1">
        <f t="shared" si="182"/>
        <v>0</v>
      </c>
      <c r="Y503" s="1">
        <f t="shared" si="183"/>
        <v>0</v>
      </c>
      <c r="Z503" s="1">
        <f t="shared" si="184"/>
        <v>0</v>
      </c>
      <c r="AA503" s="1">
        <f t="shared" si="185"/>
        <v>0</v>
      </c>
      <c r="AB503" s="1">
        <f t="shared" si="186"/>
        <v>0</v>
      </c>
      <c r="AD503" s="1">
        <f t="shared" si="187"/>
        <v>0</v>
      </c>
      <c r="AE503" s="1">
        <f t="shared" si="188"/>
        <v>1</v>
      </c>
      <c r="AF503" s="1">
        <f t="shared" si="189"/>
        <v>0</v>
      </c>
      <c r="AG503" s="1">
        <f t="shared" si="190"/>
        <v>1</v>
      </c>
      <c r="AH503" s="1">
        <f t="shared" si="191"/>
        <v>0</v>
      </c>
      <c r="AI503" s="1">
        <f t="shared" si="192"/>
        <v>1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1209</v>
      </c>
      <c r="E504" s="32" t="s">
        <v>28</v>
      </c>
      <c r="F504" s="32" t="s">
        <v>1210</v>
      </c>
      <c r="G504" s="32" t="s">
        <v>519</v>
      </c>
      <c r="H504" s="32" t="s">
        <v>352</v>
      </c>
      <c r="I504" s="31" t="s">
        <v>1211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1696</v>
      </c>
      <c r="O504" s="35">
        <v>1</v>
      </c>
      <c r="P504" s="35"/>
      <c r="Q504" s="32"/>
      <c r="S504" s="1">
        <f t="shared" si="177"/>
        <v>0</v>
      </c>
      <c r="T504" s="1">
        <f t="shared" si="178"/>
        <v>0</v>
      </c>
      <c r="U504" s="1">
        <f t="shared" si="179"/>
        <v>0</v>
      </c>
      <c r="V504" s="1">
        <f t="shared" si="180"/>
        <v>0</v>
      </c>
      <c r="W504" s="1">
        <f t="shared" si="181"/>
        <v>0</v>
      </c>
      <c r="X504" s="1">
        <f t="shared" si="182"/>
        <v>0</v>
      </c>
      <c r="Y504" s="1">
        <f t="shared" si="183"/>
        <v>0</v>
      </c>
      <c r="Z504" s="1">
        <f t="shared" si="184"/>
        <v>0</v>
      </c>
      <c r="AA504" s="1">
        <f t="shared" si="185"/>
        <v>0</v>
      </c>
      <c r="AB504" s="1">
        <f t="shared" si="186"/>
        <v>0</v>
      </c>
      <c r="AD504" s="1">
        <f t="shared" si="187"/>
        <v>0</v>
      </c>
      <c r="AE504" s="1">
        <f t="shared" si="188"/>
        <v>1</v>
      </c>
      <c r="AF504" s="1">
        <f t="shared" si="189"/>
        <v>0</v>
      </c>
      <c r="AG504" s="1">
        <f t="shared" si="190"/>
        <v>0</v>
      </c>
      <c r="AH504" s="1">
        <f t="shared" si="191"/>
        <v>0</v>
      </c>
      <c r="AI504" s="1">
        <f t="shared" si="192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1797</v>
      </c>
      <c r="E505" s="32" t="s">
        <v>1140</v>
      </c>
      <c r="F505" s="32" t="s">
        <v>1798</v>
      </c>
      <c r="G505" s="32"/>
      <c r="H505" s="32" t="s">
        <v>352</v>
      </c>
      <c r="I505" s="31" t="s">
        <v>1799</v>
      </c>
      <c r="J505" s="31">
        <v>6</v>
      </c>
      <c r="K505" s="33" t="s">
        <v>694</v>
      </c>
      <c r="L505" s="33"/>
      <c r="M505" s="34"/>
      <c r="N505" s="34" t="s">
        <v>1700</v>
      </c>
      <c r="O505" s="35">
        <v>1</v>
      </c>
      <c r="P505" s="35"/>
      <c r="Q505" s="32"/>
      <c r="S505" s="1">
        <f t="shared" si="177"/>
        <v>0</v>
      </c>
      <c r="T505" s="1">
        <f t="shared" si="178"/>
        <v>0</v>
      </c>
      <c r="U505" s="1">
        <f t="shared" si="179"/>
        <v>0</v>
      </c>
      <c r="V505" s="1">
        <f t="shared" si="180"/>
        <v>0</v>
      </c>
      <c r="W505" s="1">
        <f t="shared" si="181"/>
        <v>0</v>
      </c>
      <c r="X505" s="1">
        <f t="shared" si="182"/>
        <v>1</v>
      </c>
      <c r="Y505" s="1">
        <f t="shared" si="183"/>
        <v>0</v>
      </c>
      <c r="Z505" s="1">
        <f t="shared" si="184"/>
        <v>0</v>
      </c>
      <c r="AA505" s="1">
        <f t="shared" si="185"/>
        <v>0</v>
      </c>
      <c r="AB505" s="1">
        <f t="shared" si="186"/>
        <v>0</v>
      </c>
      <c r="AD505" s="1">
        <f t="shared" si="187"/>
        <v>0</v>
      </c>
      <c r="AE505" s="1">
        <f t="shared" si="188"/>
        <v>1</v>
      </c>
      <c r="AF505" s="1">
        <f t="shared" si="189"/>
        <v>0</v>
      </c>
      <c r="AG505" s="1">
        <f t="shared" si="190"/>
        <v>1</v>
      </c>
      <c r="AH505" s="1">
        <f t="shared" si="191"/>
        <v>0</v>
      </c>
      <c r="AI505" s="1">
        <f t="shared" si="192"/>
        <v>1</v>
      </c>
    </row>
    <row r="506" spans="1:35" ht="14.25" customHeight="1" x14ac:dyDescent="0.25">
      <c r="A506" s="31">
        <v>0</v>
      </c>
      <c r="B506" s="31">
        <v>2</v>
      </c>
      <c r="C506" s="31">
        <v>7</v>
      </c>
      <c r="D506" s="32" t="s">
        <v>1421</v>
      </c>
      <c r="E506" s="32" t="s">
        <v>28</v>
      </c>
      <c r="F506" s="32" t="s">
        <v>1422</v>
      </c>
      <c r="G506" s="32" t="s">
        <v>1423</v>
      </c>
      <c r="H506" s="32" t="s">
        <v>352</v>
      </c>
      <c r="I506" s="31" t="s">
        <v>1424</v>
      </c>
      <c r="J506" s="31">
        <v>99</v>
      </c>
      <c r="K506" s="33" t="s">
        <v>703</v>
      </c>
      <c r="L506" s="33" t="s">
        <v>704</v>
      </c>
      <c r="M506" s="34" t="s">
        <v>722</v>
      </c>
      <c r="N506" s="34" t="s">
        <v>1696</v>
      </c>
      <c r="O506" s="35">
        <v>1</v>
      </c>
      <c r="P506" s="35"/>
      <c r="Q506" s="32" t="s">
        <v>1881</v>
      </c>
      <c r="S506" s="1">
        <f t="shared" si="177"/>
        <v>0</v>
      </c>
      <c r="T506" s="1">
        <f t="shared" si="178"/>
        <v>0</v>
      </c>
      <c r="U506" s="1">
        <f t="shared" si="179"/>
        <v>0</v>
      </c>
      <c r="V506" s="1">
        <f t="shared" si="180"/>
        <v>0</v>
      </c>
      <c r="W506" s="1">
        <f t="shared" si="181"/>
        <v>0</v>
      </c>
      <c r="X506" s="1">
        <f t="shared" si="182"/>
        <v>0</v>
      </c>
      <c r="Y506" s="1">
        <f t="shared" si="183"/>
        <v>0</v>
      </c>
      <c r="Z506" s="1">
        <f t="shared" si="184"/>
        <v>0</v>
      </c>
      <c r="AA506" s="1">
        <f t="shared" si="185"/>
        <v>0</v>
      </c>
      <c r="AB506" s="1">
        <f t="shared" si="186"/>
        <v>0</v>
      </c>
      <c r="AD506" s="1">
        <f t="shared" si="187"/>
        <v>0</v>
      </c>
      <c r="AE506" s="1">
        <f t="shared" si="188"/>
        <v>1</v>
      </c>
      <c r="AF506" s="1">
        <f t="shared" si="189"/>
        <v>0</v>
      </c>
      <c r="AG506" s="1">
        <f t="shared" si="190"/>
        <v>1</v>
      </c>
      <c r="AH506" s="1">
        <f t="shared" si="191"/>
        <v>0</v>
      </c>
      <c r="AI506" s="1">
        <f t="shared" si="192"/>
        <v>1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2080</v>
      </c>
      <c r="E507" s="32" t="s">
        <v>155</v>
      </c>
      <c r="F507" s="32" t="s">
        <v>2081</v>
      </c>
      <c r="G507" s="32" t="s">
        <v>552</v>
      </c>
      <c r="H507" s="32" t="s">
        <v>352</v>
      </c>
      <c r="I507" s="31" t="s">
        <v>2082</v>
      </c>
      <c r="J507" s="31">
        <v>99</v>
      </c>
      <c r="K507" s="33" t="s">
        <v>694</v>
      </c>
      <c r="L507" s="33">
        <v>7</v>
      </c>
      <c r="M507" s="34" t="s">
        <v>723</v>
      </c>
      <c r="N507" s="34" t="s">
        <v>1700</v>
      </c>
      <c r="O507" s="35">
        <v>1</v>
      </c>
      <c r="P507" s="35"/>
      <c r="Q507" s="32"/>
      <c r="S507" s="1">
        <f t="shared" si="177"/>
        <v>0</v>
      </c>
      <c r="T507" s="1">
        <f t="shared" si="178"/>
        <v>0</v>
      </c>
      <c r="U507" s="1">
        <f t="shared" si="179"/>
        <v>0</v>
      </c>
      <c r="V507" s="1">
        <f t="shared" si="180"/>
        <v>0</v>
      </c>
      <c r="W507" s="1">
        <f t="shared" si="181"/>
        <v>0</v>
      </c>
      <c r="X507" s="1">
        <f t="shared" si="182"/>
        <v>0</v>
      </c>
      <c r="Y507" s="1">
        <f t="shared" si="183"/>
        <v>0</v>
      </c>
      <c r="Z507" s="1">
        <f t="shared" si="184"/>
        <v>0</v>
      </c>
      <c r="AA507" s="1">
        <f t="shared" si="185"/>
        <v>0</v>
      </c>
      <c r="AB507" s="1">
        <f t="shared" si="186"/>
        <v>0</v>
      </c>
      <c r="AD507" s="1">
        <f t="shared" si="187"/>
        <v>0</v>
      </c>
      <c r="AE507" s="1">
        <f t="shared" si="188"/>
        <v>1</v>
      </c>
      <c r="AF507" s="1">
        <f t="shared" si="189"/>
        <v>0</v>
      </c>
      <c r="AG507" s="1">
        <f t="shared" si="190"/>
        <v>1</v>
      </c>
      <c r="AH507" s="1">
        <f t="shared" si="191"/>
        <v>0</v>
      </c>
      <c r="AI507" s="1">
        <f t="shared" si="19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2080</v>
      </c>
      <c r="E508" s="32" t="s">
        <v>155</v>
      </c>
      <c r="F508" s="32" t="s">
        <v>2083</v>
      </c>
      <c r="G508" s="32" t="s">
        <v>203</v>
      </c>
      <c r="H508" s="32" t="s">
        <v>352</v>
      </c>
      <c r="I508" s="31" t="s">
        <v>2082</v>
      </c>
      <c r="J508" s="31">
        <v>7</v>
      </c>
      <c r="K508" s="33" t="s">
        <v>694</v>
      </c>
      <c r="L508" s="33">
        <v>7</v>
      </c>
      <c r="M508" s="34" t="s">
        <v>723</v>
      </c>
      <c r="N508" s="34" t="s">
        <v>1700</v>
      </c>
      <c r="O508" s="35">
        <v>1</v>
      </c>
      <c r="P508" s="35"/>
      <c r="Q508" s="32"/>
      <c r="S508" s="1">
        <f t="shared" si="177"/>
        <v>0</v>
      </c>
      <c r="T508" s="1">
        <f t="shared" si="178"/>
        <v>0</v>
      </c>
      <c r="U508" s="1">
        <f t="shared" si="179"/>
        <v>0</v>
      </c>
      <c r="V508" s="1">
        <f t="shared" si="180"/>
        <v>0</v>
      </c>
      <c r="W508" s="1">
        <f t="shared" si="181"/>
        <v>0</v>
      </c>
      <c r="X508" s="1">
        <f t="shared" si="182"/>
        <v>0</v>
      </c>
      <c r="Y508" s="1">
        <f t="shared" si="183"/>
        <v>1</v>
      </c>
      <c r="Z508" s="1">
        <f t="shared" si="184"/>
        <v>0</v>
      </c>
      <c r="AA508" s="1">
        <f t="shared" si="185"/>
        <v>0</v>
      </c>
      <c r="AB508" s="1">
        <f t="shared" si="186"/>
        <v>0</v>
      </c>
      <c r="AD508" s="1">
        <f t="shared" si="187"/>
        <v>0</v>
      </c>
      <c r="AE508" s="1">
        <f t="shared" si="188"/>
        <v>1</v>
      </c>
      <c r="AF508" s="1">
        <f t="shared" si="189"/>
        <v>0</v>
      </c>
      <c r="AG508" s="1">
        <f t="shared" si="190"/>
        <v>0</v>
      </c>
      <c r="AH508" s="1">
        <f t="shared" si="191"/>
        <v>0</v>
      </c>
      <c r="AI508" s="1">
        <f t="shared" si="192"/>
        <v>0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568</v>
      </c>
      <c r="G509" s="32" t="s">
        <v>234</v>
      </c>
      <c r="H509" s="32" t="s">
        <v>352</v>
      </c>
      <c r="I509" s="31" t="s">
        <v>574</v>
      </c>
      <c r="J509" s="31">
        <v>99</v>
      </c>
      <c r="K509" s="33" t="s">
        <v>703</v>
      </c>
      <c r="L509" s="33" t="s">
        <v>720</v>
      </c>
      <c r="M509" s="34" t="s">
        <v>1403</v>
      </c>
      <c r="N509" s="34" t="s">
        <v>1700</v>
      </c>
      <c r="O509" s="35">
        <v>1</v>
      </c>
      <c r="P509" s="35"/>
      <c r="Q509" s="32"/>
      <c r="S509" s="1">
        <f t="shared" si="177"/>
        <v>0</v>
      </c>
      <c r="T509" s="1">
        <f t="shared" si="178"/>
        <v>0</v>
      </c>
      <c r="U509" s="1">
        <f t="shared" si="179"/>
        <v>0</v>
      </c>
      <c r="V509" s="1">
        <f t="shared" si="180"/>
        <v>0</v>
      </c>
      <c r="W509" s="1">
        <f t="shared" si="181"/>
        <v>0</v>
      </c>
      <c r="X509" s="1">
        <f t="shared" si="182"/>
        <v>0</v>
      </c>
      <c r="Y509" s="1">
        <f t="shared" si="183"/>
        <v>0</v>
      </c>
      <c r="Z509" s="1">
        <f t="shared" si="184"/>
        <v>0</v>
      </c>
      <c r="AA509" s="1">
        <f t="shared" si="185"/>
        <v>0</v>
      </c>
      <c r="AB509" s="1">
        <f t="shared" si="186"/>
        <v>0</v>
      </c>
      <c r="AD509" s="1">
        <f t="shared" si="187"/>
        <v>0</v>
      </c>
      <c r="AE509" s="1">
        <f t="shared" si="188"/>
        <v>1</v>
      </c>
      <c r="AF509" s="1">
        <f t="shared" si="189"/>
        <v>0</v>
      </c>
      <c r="AG509" s="1">
        <f t="shared" si="190"/>
        <v>1</v>
      </c>
      <c r="AH509" s="1">
        <f t="shared" si="191"/>
        <v>0</v>
      </c>
      <c r="AI509" s="1">
        <f t="shared" si="192"/>
        <v>1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270</v>
      </c>
      <c r="G510" s="32" t="s">
        <v>179</v>
      </c>
      <c r="H510" s="32" t="s">
        <v>352</v>
      </c>
      <c r="I510" s="31" t="s">
        <v>424</v>
      </c>
      <c r="J510" s="31">
        <v>10</v>
      </c>
      <c r="K510" s="33" t="s">
        <v>703</v>
      </c>
      <c r="L510" s="33" t="s">
        <v>720</v>
      </c>
      <c r="M510" s="34" t="s">
        <v>1403</v>
      </c>
      <c r="N510" s="34" t="s">
        <v>1700</v>
      </c>
      <c r="O510" s="35">
        <v>1</v>
      </c>
      <c r="P510" s="35"/>
      <c r="Q510" s="32"/>
      <c r="S510" s="1">
        <f t="shared" si="177"/>
        <v>0</v>
      </c>
      <c r="T510" s="1">
        <f t="shared" si="178"/>
        <v>0</v>
      </c>
      <c r="U510" s="1">
        <f t="shared" si="179"/>
        <v>0</v>
      </c>
      <c r="V510" s="1">
        <f t="shared" si="180"/>
        <v>0</v>
      </c>
      <c r="W510" s="1">
        <f t="shared" si="181"/>
        <v>0</v>
      </c>
      <c r="X510" s="1">
        <f t="shared" si="182"/>
        <v>0</v>
      </c>
      <c r="Y510" s="1">
        <f t="shared" si="183"/>
        <v>0</v>
      </c>
      <c r="Z510" s="1">
        <f t="shared" si="184"/>
        <v>0</v>
      </c>
      <c r="AA510" s="1">
        <f t="shared" si="185"/>
        <v>0</v>
      </c>
      <c r="AB510" s="1">
        <f t="shared" si="186"/>
        <v>1</v>
      </c>
      <c r="AD510" s="1">
        <f t="shared" si="187"/>
        <v>0</v>
      </c>
      <c r="AE510" s="1">
        <f t="shared" si="188"/>
        <v>1</v>
      </c>
      <c r="AF510" s="1">
        <f t="shared" si="189"/>
        <v>0</v>
      </c>
      <c r="AG510" s="1">
        <f t="shared" si="190"/>
        <v>0</v>
      </c>
      <c r="AH510" s="1">
        <f t="shared" si="191"/>
        <v>0</v>
      </c>
      <c r="AI510" s="1">
        <f t="shared" si="192"/>
        <v>0</v>
      </c>
    </row>
    <row r="511" spans="1:35" ht="14.25" customHeight="1" x14ac:dyDescent="0.25">
      <c r="A511" s="31">
        <v>1</v>
      </c>
      <c r="B511" s="31">
        <v>2</v>
      </c>
      <c r="C511" s="31">
        <v>7</v>
      </c>
      <c r="D511" s="32" t="s">
        <v>43</v>
      </c>
      <c r="E511" s="32" t="s">
        <v>537</v>
      </c>
      <c r="F511" s="32" t="s">
        <v>271</v>
      </c>
      <c r="G511" s="32" t="s">
        <v>39</v>
      </c>
      <c r="H511" s="32" t="s">
        <v>352</v>
      </c>
      <c r="I511" s="31" t="s">
        <v>425</v>
      </c>
      <c r="J511" s="31">
        <v>5</v>
      </c>
      <c r="K511" s="33" t="s">
        <v>703</v>
      </c>
      <c r="L511" s="33" t="s">
        <v>720</v>
      </c>
      <c r="M511" s="34" t="s">
        <v>1403</v>
      </c>
      <c r="N511" s="34" t="s">
        <v>1700</v>
      </c>
      <c r="O511" s="35">
        <v>1</v>
      </c>
      <c r="P511" s="35"/>
      <c r="Q511" s="32"/>
      <c r="S511" s="1">
        <f t="shared" si="177"/>
        <v>0</v>
      </c>
      <c r="T511" s="1">
        <f t="shared" si="178"/>
        <v>0</v>
      </c>
      <c r="U511" s="1">
        <f t="shared" si="179"/>
        <v>0</v>
      </c>
      <c r="V511" s="1">
        <f t="shared" si="180"/>
        <v>0</v>
      </c>
      <c r="W511" s="1">
        <f t="shared" si="181"/>
        <v>1</v>
      </c>
      <c r="X511" s="1">
        <f t="shared" si="182"/>
        <v>0</v>
      </c>
      <c r="Y511" s="1">
        <f t="shared" si="183"/>
        <v>0</v>
      </c>
      <c r="Z511" s="1">
        <f t="shared" si="184"/>
        <v>0</v>
      </c>
      <c r="AA511" s="1">
        <f t="shared" si="185"/>
        <v>0</v>
      </c>
      <c r="AB511" s="1">
        <f t="shared" si="186"/>
        <v>0</v>
      </c>
      <c r="AD511" s="1">
        <f t="shared" si="187"/>
        <v>0</v>
      </c>
      <c r="AE511" s="1">
        <f t="shared" si="188"/>
        <v>1</v>
      </c>
      <c r="AF511" s="1">
        <f t="shared" si="189"/>
        <v>0</v>
      </c>
      <c r="AG511" s="1">
        <f t="shared" si="190"/>
        <v>0</v>
      </c>
      <c r="AH511" s="1">
        <f t="shared" si="191"/>
        <v>0</v>
      </c>
      <c r="AI511" s="1">
        <f t="shared" si="192"/>
        <v>0</v>
      </c>
    </row>
    <row r="512" spans="1:35" ht="14.25" customHeight="1" x14ac:dyDescent="0.25">
      <c r="A512" s="31">
        <v>1</v>
      </c>
      <c r="B512" s="31">
        <v>2</v>
      </c>
      <c r="C512" s="31">
        <v>7</v>
      </c>
      <c r="D512" s="32" t="s">
        <v>43</v>
      </c>
      <c r="E512" s="32" t="s">
        <v>537</v>
      </c>
      <c r="F512" s="32" t="s">
        <v>275</v>
      </c>
      <c r="G512" s="32" t="s">
        <v>193</v>
      </c>
      <c r="H512" s="32" t="s">
        <v>352</v>
      </c>
      <c r="I512" s="31" t="s">
        <v>429</v>
      </c>
      <c r="J512" s="31">
        <v>9</v>
      </c>
      <c r="K512" s="33" t="s">
        <v>703</v>
      </c>
      <c r="L512" s="33" t="s">
        <v>720</v>
      </c>
      <c r="M512" s="34" t="s">
        <v>1403</v>
      </c>
      <c r="N512" s="34" t="s">
        <v>1700</v>
      </c>
      <c r="O512" s="35">
        <v>1</v>
      </c>
      <c r="P512" s="35"/>
      <c r="Q512" s="32"/>
      <c r="S512" s="1">
        <f t="shared" si="177"/>
        <v>0</v>
      </c>
      <c r="T512" s="1">
        <f t="shared" si="178"/>
        <v>0</v>
      </c>
      <c r="U512" s="1">
        <f t="shared" si="179"/>
        <v>0</v>
      </c>
      <c r="V512" s="1">
        <f t="shared" si="180"/>
        <v>0</v>
      </c>
      <c r="W512" s="1">
        <f t="shared" si="181"/>
        <v>0</v>
      </c>
      <c r="X512" s="1">
        <f t="shared" si="182"/>
        <v>0</v>
      </c>
      <c r="Y512" s="1">
        <f t="shared" si="183"/>
        <v>0</v>
      </c>
      <c r="Z512" s="1">
        <f t="shared" si="184"/>
        <v>0</v>
      </c>
      <c r="AA512" s="1">
        <f t="shared" si="185"/>
        <v>1</v>
      </c>
      <c r="AB512" s="1">
        <f t="shared" si="186"/>
        <v>0</v>
      </c>
      <c r="AD512" s="1">
        <f t="shared" si="187"/>
        <v>0</v>
      </c>
      <c r="AE512" s="1">
        <f t="shared" si="188"/>
        <v>1</v>
      </c>
      <c r="AF512" s="1">
        <f t="shared" si="189"/>
        <v>0</v>
      </c>
      <c r="AG512" s="1">
        <f t="shared" si="190"/>
        <v>0</v>
      </c>
      <c r="AH512" s="1">
        <f t="shared" si="191"/>
        <v>0</v>
      </c>
      <c r="AI512" s="1">
        <f t="shared" si="192"/>
        <v>0</v>
      </c>
    </row>
    <row r="513" spans="1:35" ht="14.25" customHeight="1" x14ac:dyDescent="0.25">
      <c r="A513" s="31">
        <v>0</v>
      </c>
      <c r="B513" s="31">
        <v>2</v>
      </c>
      <c r="C513" s="31">
        <v>7</v>
      </c>
      <c r="D513" s="32" t="s">
        <v>1522</v>
      </c>
      <c r="E513" s="32" t="s">
        <v>28</v>
      </c>
      <c r="F513" s="32" t="s">
        <v>1523</v>
      </c>
      <c r="G513" s="32" t="s">
        <v>237</v>
      </c>
      <c r="H513" s="32" t="s">
        <v>352</v>
      </c>
      <c r="I513" s="31" t="s">
        <v>1655</v>
      </c>
      <c r="J513" s="31">
        <v>4</v>
      </c>
      <c r="K513" s="33" t="s">
        <v>704</v>
      </c>
      <c r="L513" s="33" t="s">
        <v>704</v>
      </c>
      <c r="M513" s="34" t="s">
        <v>722</v>
      </c>
      <c r="N513" s="34" t="s">
        <v>1696</v>
      </c>
      <c r="O513" s="35">
        <v>1</v>
      </c>
      <c r="P513" s="35"/>
      <c r="Q513" s="32"/>
      <c r="S513" s="1">
        <f t="shared" si="177"/>
        <v>0</v>
      </c>
      <c r="T513" s="1">
        <f t="shared" si="178"/>
        <v>0</v>
      </c>
      <c r="U513" s="1">
        <f t="shared" si="179"/>
        <v>0</v>
      </c>
      <c r="V513" s="1">
        <f t="shared" si="180"/>
        <v>1</v>
      </c>
      <c r="W513" s="1">
        <f t="shared" si="181"/>
        <v>0</v>
      </c>
      <c r="X513" s="1">
        <f t="shared" si="182"/>
        <v>0</v>
      </c>
      <c r="Y513" s="1">
        <f t="shared" si="183"/>
        <v>0</v>
      </c>
      <c r="Z513" s="1">
        <f t="shared" si="184"/>
        <v>0</v>
      </c>
      <c r="AA513" s="1">
        <f t="shared" si="185"/>
        <v>0</v>
      </c>
      <c r="AB513" s="1">
        <f t="shared" si="186"/>
        <v>0</v>
      </c>
      <c r="AD513" s="1">
        <f t="shared" si="187"/>
        <v>0</v>
      </c>
      <c r="AE513" s="1">
        <f t="shared" si="188"/>
        <v>1</v>
      </c>
      <c r="AF513" s="1">
        <f t="shared" si="189"/>
        <v>0</v>
      </c>
      <c r="AG513" s="1">
        <f t="shared" si="190"/>
        <v>1</v>
      </c>
      <c r="AH513" s="1">
        <f t="shared" si="191"/>
        <v>0</v>
      </c>
      <c r="AI513" s="1">
        <f t="shared" si="192"/>
        <v>1</v>
      </c>
    </row>
    <row r="514" spans="1:35" ht="14.25" customHeight="1" x14ac:dyDescent="0.25">
      <c r="A514" s="31">
        <v>0</v>
      </c>
      <c r="B514" s="31">
        <v>2</v>
      </c>
      <c r="C514" s="31">
        <v>7</v>
      </c>
      <c r="D514" s="32" t="s">
        <v>63</v>
      </c>
      <c r="E514" s="32" t="s">
        <v>44</v>
      </c>
      <c r="F514" s="32" t="s">
        <v>235</v>
      </c>
      <c r="G514" s="32" t="s">
        <v>199</v>
      </c>
      <c r="H514" s="32" t="s">
        <v>352</v>
      </c>
      <c r="I514" s="31" t="s">
        <v>400</v>
      </c>
      <c r="J514" s="31">
        <v>2</v>
      </c>
      <c r="K514" s="33" t="s">
        <v>704</v>
      </c>
      <c r="L514" s="33" t="s">
        <v>713</v>
      </c>
      <c r="M514" s="34" t="s">
        <v>726</v>
      </c>
      <c r="N514" s="34" t="s">
        <v>1696</v>
      </c>
      <c r="O514" s="35">
        <v>1</v>
      </c>
      <c r="P514" s="35"/>
      <c r="Q514" s="32"/>
      <c r="S514" s="1">
        <f t="shared" si="177"/>
        <v>0</v>
      </c>
      <c r="T514" s="1">
        <f t="shared" si="178"/>
        <v>1</v>
      </c>
      <c r="U514" s="1">
        <f t="shared" si="179"/>
        <v>0</v>
      </c>
      <c r="V514" s="1">
        <f t="shared" si="180"/>
        <v>0</v>
      </c>
      <c r="W514" s="1">
        <f t="shared" si="181"/>
        <v>0</v>
      </c>
      <c r="X514" s="1">
        <f t="shared" si="182"/>
        <v>0</v>
      </c>
      <c r="Y514" s="1">
        <f t="shared" si="183"/>
        <v>0</v>
      </c>
      <c r="Z514" s="1">
        <f t="shared" si="184"/>
        <v>0</v>
      </c>
      <c r="AA514" s="1">
        <f t="shared" si="185"/>
        <v>0</v>
      </c>
      <c r="AB514" s="1">
        <f t="shared" si="186"/>
        <v>0</v>
      </c>
      <c r="AD514" s="1">
        <f t="shared" si="187"/>
        <v>0</v>
      </c>
      <c r="AE514" s="1">
        <f t="shared" si="188"/>
        <v>1</v>
      </c>
      <c r="AF514" s="1">
        <f t="shared" si="189"/>
        <v>0</v>
      </c>
      <c r="AG514" s="1">
        <f t="shared" si="190"/>
        <v>1</v>
      </c>
      <c r="AH514" s="1">
        <f t="shared" si="191"/>
        <v>0</v>
      </c>
      <c r="AI514" s="1">
        <f t="shared" si="192"/>
        <v>1</v>
      </c>
    </row>
    <row r="515" spans="1:35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35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35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35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35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35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35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35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35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35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35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35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35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35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20"/>
      <c r="E804" s="20"/>
      <c r="F804" s="20"/>
      <c r="G804" s="20"/>
      <c r="H804" s="20"/>
      <c r="I804" s="21"/>
      <c r="J804" s="15"/>
      <c r="K804" s="21"/>
      <c r="M804" s="19"/>
      <c r="N804" s="17"/>
      <c r="Q804" s="20"/>
    </row>
    <row r="805" spans="1:17" ht="14.25" customHeight="1" x14ac:dyDescent="0.25">
      <c r="A805" s="15"/>
      <c r="B805" s="15"/>
      <c r="C805" s="15"/>
      <c r="D805" s="20"/>
      <c r="E805" s="20"/>
      <c r="F805" s="20"/>
      <c r="G805" s="20"/>
      <c r="H805" s="20"/>
      <c r="I805" s="21"/>
      <c r="J805" s="15"/>
      <c r="K805" s="21"/>
      <c r="M805" s="19"/>
      <c r="N805" s="17"/>
      <c r="Q805" s="20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9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9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  <row r="812" spans="1:17" ht="14.25" customHeight="1" x14ac:dyDescent="0.25">
      <c r="A812" s="15"/>
      <c r="B812" s="15"/>
      <c r="C812" s="15"/>
      <c r="D812" s="16"/>
      <c r="E812" s="16"/>
      <c r="F812" s="16"/>
      <c r="G812" s="16"/>
      <c r="H812" s="16"/>
      <c r="I812" s="15"/>
      <c r="J812" s="15"/>
      <c r="K812" s="10"/>
      <c r="M812" s="17"/>
      <c r="N812" s="17"/>
      <c r="Q812" s="16"/>
    </row>
    <row r="813" spans="1:17" ht="14.25" customHeight="1" x14ac:dyDescent="0.25">
      <c r="A813" s="15"/>
      <c r="B813" s="15"/>
      <c r="C813" s="15"/>
      <c r="D813" s="16"/>
      <c r="E813" s="16"/>
      <c r="F813" s="16"/>
      <c r="G813" s="16"/>
      <c r="H813" s="16"/>
      <c r="I813" s="15"/>
      <c r="J813" s="15"/>
      <c r="K813" s="10"/>
      <c r="M813" s="17"/>
      <c r="N813" s="17"/>
      <c r="Q813" s="16"/>
    </row>
  </sheetData>
  <autoFilter ref="A7:Q514" xr:uid="{AEE30112-88BB-441D-AEFC-A7A733AB1798}">
    <sortState xmlns:xlrd2="http://schemas.microsoft.com/office/spreadsheetml/2017/richdata2" ref="A8:Q514">
      <sortCondition ref="B8:B514"/>
      <sortCondition ref="C8:C514"/>
      <sortCondition ref="D8:D514"/>
      <sortCondition ref="A8:A514"/>
    </sortState>
  </autoFilter>
  <sortState xmlns:xlrd2="http://schemas.microsoft.com/office/spreadsheetml/2017/richdata2" ref="A8:Q514">
    <sortCondition ref="B8:B514"/>
    <sortCondition ref="C8:C514"/>
    <sortCondition ref="D8:D514"/>
    <sortCondition ref="A8:A514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2026-10-04T09:21:55Z</dcterms:modified>
</cp:coreProperties>
</file>