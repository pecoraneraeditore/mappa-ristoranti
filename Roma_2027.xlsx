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C19AF00-CBDB-4A44-AE63-86E0BD9A392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golose'!$A$7:$Q$513</definedName>
    <definedName name="_xlnm.Print_Area" localSheetId="0">'Tavole e pause golose'!$D$7:$I$192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2" i="6" l="1"/>
  <c r="AE152" i="6"/>
  <c r="AF152" i="6"/>
  <c r="AG152" i="6"/>
  <c r="AH152" i="6"/>
  <c r="AI152" i="6"/>
  <c r="AD153" i="6"/>
  <c r="AE153" i="6"/>
  <c r="AF153" i="6"/>
  <c r="AG153" i="6"/>
  <c r="AH153" i="6"/>
  <c r="AI153" i="6"/>
  <c r="AD154" i="6"/>
  <c r="AE154" i="6"/>
  <c r="AF154" i="6"/>
  <c r="AG154" i="6"/>
  <c r="AH154" i="6"/>
  <c r="AI154" i="6"/>
  <c r="S152" i="6"/>
  <c r="T152" i="6"/>
  <c r="U152" i="6"/>
  <c r="V152" i="6"/>
  <c r="W152" i="6"/>
  <c r="X152" i="6"/>
  <c r="Y152" i="6"/>
  <c r="Z152" i="6"/>
  <c r="AA152" i="6"/>
  <c r="AB152" i="6"/>
  <c r="AD324" i="6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S326" i="6"/>
  <c r="AD173" i="6"/>
  <c r="AE173" i="6"/>
  <c r="AD174" i="6"/>
  <c r="AE174" i="6"/>
  <c r="AD175" i="6"/>
  <c r="AE175" i="6"/>
  <c r="S174" i="6"/>
  <c r="AF174" i="6"/>
  <c r="AG174" i="6"/>
  <c r="AH174" i="6"/>
  <c r="AI174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S384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4" i="6"/>
  <c r="S232" i="6"/>
  <c r="S233" i="6"/>
  <c r="S234" i="6"/>
  <c r="AD233" i="6"/>
  <c r="AE233" i="6"/>
  <c r="AF233" i="6"/>
  <c r="AG233" i="6"/>
  <c r="AH233" i="6"/>
  <c r="AI233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3" i="6"/>
  <c r="S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F173" i="6"/>
  <c r="AG173" i="6"/>
  <c r="AH173" i="6"/>
  <c r="AI173" i="6"/>
  <c r="S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AD232" i="6"/>
  <c r="AE232" i="6"/>
  <c r="AF232" i="6"/>
  <c r="AG232" i="6"/>
  <c r="AH232" i="6"/>
  <c r="AI232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S325" i="6"/>
  <c r="S327" i="6"/>
  <c r="S328" i="6"/>
  <c r="S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5" i="6"/>
  <c r="S386" i="6"/>
  <c r="S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74" i="6" l="1"/>
  <c r="T326" i="6"/>
  <c r="T454" i="6"/>
  <c r="T384" i="6"/>
  <c r="T232" i="6"/>
  <c r="T234" i="6"/>
  <c r="T233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127" i="6"/>
  <c r="T136" i="6"/>
  <c r="T143" i="6"/>
  <c r="T225" i="6"/>
  <c r="T242" i="6"/>
  <c r="T224" i="6"/>
  <c r="T241" i="6"/>
  <c r="T122" i="6"/>
  <c r="T220" i="6"/>
  <c r="T223" i="6"/>
  <c r="T231" i="6"/>
  <c r="T240" i="6"/>
  <c r="T230" i="6"/>
  <c r="T239" i="6"/>
  <c r="T222" i="6"/>
  <c r="T229" i="6"/>
  <c r="T238" i="6"/>
  <c r="T144" i="6"/>
  <c r="T228" i="6"/>
  <c r="T237" i="6"/>
  <c r="T227" i="6"/>
  <c r="T236" i="6"/>
  <c r="T221" i="6"/>
  <c r="T226" i="6"/>
  <c r="T245" i="6"/>
  <c r="T261" i="6"/>
  <c r="T276" i="6"/>
  <c r="T292" i="6"/>
  <c r="T254" i="6"/>
  <c r="T270" i="6"/>
  <c r="T285" i="6"/>
  <c r="T301" i="6"/>
  <c r="T247" i="6"/>
  <c r="T263" i="6"/>
  <c r="T278" i="6"/>
  <c r="T294" i="6"/>
  <c r="T256" i="6"/>
  <c r="T271" i="6"/>
  <c r="T287" i="6"/>
  <c r="T303" i="6"/>
  <c r="T308" i="6"/>
  <c r="T312" i="6"/>
  <c r="T316" i="6"/>
  <c r="T320" i="6"/>
  <c r="T324" i="6"/>
  <c r="T249" i="6"/>
  <c r="T265" i="6"/>
  <c r="T280" i="6"/>
  <c r="T296" i="6"/>
  <c r="T258" i="6"/>
  <c r="T273" i="6"/>
  <c r="T289" i="6"/>
  <c r="T305" i="6"/>
  <c r="T251" i="6"/>
  <c r="T267" i="6"/>
  <c r="T282" i="6"/>
  <c r="T298" i="6"/>
  <c r="T244" i="6"/>
  <c r="T260" i="6"/>
  <c r="T275" i="6"/>
  <c r="T291" i="6"/>
  <c r="T307" i="6"/>
  <c r="T311" i="6"/>
  <c r="T315" i="6"/>
  <c r="T319" i="6"/>
  <c r="T323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5" i="6"/>
  <c r="T386" i="6"/>
  <c r="T387" i="6"/>
  <c r="T388" i="6"/>
  <c r="T130" i="6"/>
  <c r="T253" i="6"/>
  <c r="T269" i="6"/>
  <c r="T284" i="6"/>
  <c r="T300" i="6"/>
  <c r="T246" i="6"/>
  <c r="T262" i="6"/>
  <c r="T277" i="6"/>
  <c r="T293" i="6"/>
  <c r="T255" i="6"/>
  <c r="T286" i="6"/>
  <c r="T302" i="6"/>
  <c r="T248" i="6"/>
  <c r="T264" i="6"/>
  <c r="T279" i="6"/>
  <c r="T295" i="6"/>
  <c r="T310" i="6"/>
  <c r="T314" i="6"/>
  <c r="T318" i="6"/>
  <c r="T322" i="6"/>
  <c r="T327" i="6"/>
  <c r="T257" i="6"/>
  <c r="T272" i="6"/>
  <c r="T288" i="6"/>
  <c r="T304" i="6"/>
  <c r="T250" i="6"/>
  <c r="T266" i="6"/>
  <c r="T281" i="6"/>
  <c r="T297" i="6"/>
  <c r="T317" i="6"/>
  <c r="T394" i="6"/>
  <c r="T268" i="6"/>
  <c r="T313" i="6"/>
  <c r="T235" i="6"/>
  <c r="T309" i="6"/>
  <c r="T393" i="6"/>
  <c r="T274" i="6"/>
  <c r="T392" i="6"/>
  <c r="T283" i="6"/>
  <c r="T391" i="6"/>
  <c r="T290" i="6"/>
  <c r="T390" i="6"/>
  <c r="T299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397" i="6"/>
  <c r="T243" i="6"/>
  <c r="T306" i="6"/>
  <c r="T389" i="6"/>
  <c r="T396" i="6"/>
  <c r="T252" i="6"/>
  <c r="T325" i="6"/>
  <c r="T457" i="6"/>
  <c r="T395" i="6"/>
  <c r="T462" i="6"/>
  <c r="T450" i="6"/>
  <c r="T467" i="6"/>
  <c r="T321" i="6"/>
  <c r="T456" i="6"/>
  <c r="T461" i="6"/>
  <c r="T472" i="6"/>
  <c r="T477" i="6"/>
  <c r="T479" i="6"/>
  <c r="T483" i="6"/>
  <c r="T486" i="6"/>
  <c r="T489" i="6"/>
  <c r="T493" i="6"/>
  <c r="T495" i="6"/>
  <c r="T498" i="6"/>
  <c r="T502" i="6"/>
  <c r="T506" i="6"/>
  <c r="T508" i="6"/>
  <c r="T511" i="6"/>
  <c r="T449" i="6"/>
  <c r="T466" i="6"/>
  <c r="T474" i="6"/>
  <c r="T480" i="6"/>
  <c r="T485" i="6"/>
  <c r="T488" i="6"/>
  <c r="T492" i="6"/>
  <c r="T497" i="6"/>
  <c r="T500" i="6"/>
  <c r="T504" i="6"/>
  <c r="T507" i="6"/>
  <c r="T510" i="6"/>
  <c r="T512" i="6"/>
  <c r="T455" i="6"/>
  <c r="T473" i="6"/>
  <c r="T476" i="6"/>
  <c r="T478" i="6"/>
  <c r="T481" i="6"/>
  <c r="T484" i="6"/>
  <c r="T487" i="6"/>
  <c r="T490" i="6"/>
  <c r="T494" i="6"/>
  <c r="T496" i="6"/>
  <c r="T499" i="6"/>
  <c r="T503" i="6"/>
  <c r="T505" i="6"/>
  <c r="T509" i="6"/>
  <c r="T513" i="6"/>
  <c r="T460" i="6"/>
  <c r="T471" i="6"/>
  <c r="T475" i="6"/>
  <c r="T482" i="6"/>
  <c r="T491" i="6"/>
  <c r="T501" i="6"/>
  <c r="T468" i="6"/>
  <c r="T448" i="6"/>
  <c r="T465" i="6"/>
  <c r="T470" i="6"/>
  <c r="T259" i="6"/>
  <c r="T453" i="6"/>
  <c r="T459" i="6"/>
  <c r="T451" i="6"/>
  <c r="T447" i="6"/>
  <c r="T464" i="6"/>
  <c r="T452" i="6"/>
  <c r="T469" i="6"/>
  <c r="T458" i="6"/>
  <c r="T463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74" i="6" l="1"/>
  <c r="U326" i="6"/>
  <c r="U454" i="6"/>
  <c r="U384" i="6"/>
  <c r="U232" i="6"/>
  <c r="U234" i="6"/>
  <c r="U233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60" i="6"/>
  <c r="U177" i="6"/>
  <c r="U193" i="6"/>
  <c r="U209" i="6"/>
  <c r="U153" i="6"/>
  <c r="U169" i="6"/>
  <c r="U186" i="6"/>
  <c r="U202" i="6"/>
  <c r="U218" i="6"/>
  <c r="U225" i="6"/>
  <c r="U242" i="6"/>
  <c r="U145" i="6"/>
  <c r="U162" i="6"/>
  <c r="U179" i="6"/>
  <c r="U195" i="6"/>
  <c r="U211" i="6"/>
  <c r="U137" i="6"/>
  <c r="U155" i="6"/>
  <c r="U171" i="6"/>
  <c r="U188" i="6"/>
  <c r="U204" i="6"/>
  <c r="U224" i="6"/>
  <c r="U241" i="6"/>
  <c r="U122" i="6"/>
  <c r="U147" i="6"/>
  <c r="U164" i="6"/>
  <c r="U181" i="6"/>
  <c r="U197" i="6"/>
  <c r="U213" i="6"/>
  <c r="U220" i="6"/>
  <c r="U157" i="6"/>
  <c r="U173" i="6"/>
  <c r="U190" i="6"/>
  <c r="U206" i="6"/>
  <c r="U223" i="6"/>
  <c r="U231" i="6"/>
  <c r="U240" i="6"/>
  <c r="U149" i="6"/>
  <c r="U166" i="6"/>
  <c r="U183" i="6"/>
  <c r="U199" i="6"/>
  <c r="U215" i="6"/>
  <c r="U159" i="6"/>
  <c r="U176" i="6"/>
  <c r="U192" i="6"/>
  <c r="U208" i="6"/>
  <c r="U230" i="6"/>
  <c r="U239" i="6"/>
  <c r="U151" i="6"/>
  <c r="U168" i="6"/>
  <c r="U185" i="6"/>
  <c r="U201" i="6"/>
  <c r="U217" i="6"/>
  <c r="U161" i="6"/>
  <c r="U178" i="6"/>
  <c r="U194" i="6"/>
  <c r="U210" i="6"/>
  <c r="U222" i="6"/>
  <c r="U229" i="6"/>
  <c r="U238" i="6"/>
  <c r="U144" i="6"/>
  <c r="U154" i="6"/>
  <c r="U170" i="6"/>
  <c r="U187" i="6"/>
  <c r="U203" i="6"/>
  <c r="U219" i="6"/>
  <c r="U101" i="6"/>
  <c r="U146" i="6"/>
  <c r="U163" i="6"/>
  <c r="U180" i="6"/>
  <c r="U196" i="6"/>
  <c r="U212" i="6"/>
  <c r="U228" i="6"/>
  <c r="U237" i="6"/>
  <c r="U156" i="6"/>
  <c r="U172" i="6"/>
  <c r="U189" i="6"/>
  <c r="U205" i="6"/>
  <c r="U108" i="6"/>
  <c r="U148" i="6"/>
  <c r="U165" i="6"/>
  <c r="U182" i="6"/>
  <c r="U198" i="6"/>
  <c r="U214" i="6"/>
  <c r="U227" i="6"/>
  <c r="U236" i="6"/>
  <c r="U235" i="6"/>
  <c r="U252" i="6"/>
  <c r="U268" i="6"/>
  <c r="U283" i="6"/>
  <c r="U299" i="6"/>
  <c r="U309" i="6"/>
  <c r="U313" i="6"/>
  <c r="U317" i="6"/>
  <c r="U321" i="6"/>
  <c r="U325" i="6"/>
  <c r="U191" i="6"/>
  <c r="U226" i="6"/>
  <c r="U245" i="6"/>
  <c r="U261" i="6"/>
  <c r="U276" i="6"/>
  <c r="U292" i="6"/>
  <c r="U254" i="6"/>
  <c r="U270" i="6"/>
  <c r="U285" i="6"/>
  <c r="U301" i="6"/>
  <c r="U200" i="6"/>
  <c r="U247" i="6"/>
  <c r="U263" i="6"/>
  <c r="U278" i="6"/>
  <c r="U294" i="6"/>
  <c r="U256" i="6"/>
  <c r="U271" i="6"/>
  <c r="U287" i="6"/>
  <c r="U303" i="6"/>
  <c r="U308" i="6"/>
  <c r="U312" i="6"/>
  <c r="U316" i="6"/>
  <c r="U320" i="6"/>
  <c r="U324" i="6"/>
  <c r="U207" i="6"/>
  <c r="U249" i="6"/>
  <c r="U265" i="6"/>
  <c r="U280" i="6"/>
  <c r="U296" i="6"/>
  <c r="U258" i="6"/>
  <c r="U273" i="6"/>
  <c r="U289" i="6"/>
  <c r="U305" i="6"/>
  <c r="U150" i="6"/>
  <c r="U216" i="6"/>
  <c r="U251" i="6"/>
  <c r="U267" i="6"/>
  <c r="U282" i="6"/>
  <c r="U298" i="6"/>
  <c r="U244" i="6"/>
  <c r="U260" i="6"/>
  <c r="U275" i="6"/>
  <c r="U291" i="6"/>
  <c r="U307" i="6"/>
  <c r="U311" i="6"/>
  <c r="U315" i="6"/>
  <c r="U319" i="6"/>
  <c r="U323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130" i="6"/>
  <c r="U158" i="6"/>
  <c r="U253" i="6"/>
  <c r="U269" i="6"/>
  <c r="U284" i="6"/>
  <c r="U300" i="6"/>
  <c r="U246" i="6"/>
  <c r="U262" i="6"/>
  <c r="U277" i="6"/>
  <c r="U293" i="6"/>
  <c r="U167" i="6"/>
  <c r="U221" i="6"/>
  <c r="U255" i="6"/>
  <c r="U286" i="6"/>
  <c r="U302" i="6"/>
  <c r="U117" i="6"/>
  <c r="U248" i="6"/>
  <c r="U264" i="6"/>
  <c r="U279" i="6"/>
  <c r="U295" i="6"/>
  <c r="U310" i="6"/>
  <c r="U314" i="6"/>
  <c r="U318" i="6"/>
  <c r="U322" i="6"/>
  <c r="U327" i="6"/>
  <c r="U175" i="6"/>
  <c r="U257" i="6"/>
  <c r="U272" i="6"/>
  <c r="U288" i="6"/>
  <c r="U304" i="6"/>
  <c r="U259" i="6"/>
  <c r="U266" i="6"/>
  <c r="U184" i="6"/>
  <c r="U274" i="6"/>
  <c r="U281" i="6"/>
  <c r="U290" i="6"/>
  <c r="U2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397" i="6"/>
  <c r="U243" i="6"/>
  <c r="U306" i="6"/>
  <c r="U446" i="6"/>
  <c r="U451" i="6"/>
  <c r="U468" i="6"/>
  <c r="U457" i="6"/>
  <c r="U462" i="6"/>
  <c r="U450" i="6"/>
  <c r="U467" i="6"/>
  <c r="U463" i="6"/>
  <c r="U442" i="6"/>
  <c r="U456" i="6"/>
  <c r="U445" i="6"/>
  <c r="U461" i="6"/>
  <c r="U449" i="6"/>
  <c r="U466" i="6"/>
  <c r="U455" i="6"/>
  <c r="U46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250" i="6"/>
  <c r="U448" i="6"/>
  <c r="U465" i="6"/>
  <c r="U444" i="6"/>
  <c r="U453" i="6"/>
  <c r="U470" i="6"/>
  <c r="U443" i="6"/>
  <c r="U459" i="6"/>
  <c r="U447" i="6"/>
  <c r="U464" i="6"/>
  <c r="U452" i="6"/>
  <c r="U469" i="6"/>
  <c r="U458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74" i="6" l="1"/>
  <c r="V326" i="6"/>
  <c r="V454" i="6"/>
  <c r="V384" i="6"/>
  <c r="V232" i="6"/>
  <c r="V234" i="6"/>
  <c r="V233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7" i="6"/>
  <c r="V184" i="6"/>
  <c r="V200" i="6"/>
  <c r="V216" i="6"/>
  <c r="V226" i="6"/>
  <c r="V235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7" i="6"/>
  <c r="V160" i="6"/>
  <c r="V177" i="6"/>
  <c r="V193" i="6"/>
  <c r="V209" i="6"/>
  <c r="V153" i="6"/>
  <c r="V169" i="6"/>
  <c r="V186" i="6"/>
  <c r="V202" i="6"/>
  <c r="V218" i="6"/>
  <c r="V225" i="6"/>
  <c r="V242" i="6"/>
  <c r="V145" i="6"/>
  <c r="V162" i="6"/>
  <c r="V179" i="6"/>
  <c r="V195" i="6"/>
  <c r="V211" i="6"/>
  <c r="V137" i="6"/>
  <c r="V155" i="6"/>
  <c r="V171" i="6"/>
  <c r="V188" i="6"/>
  <c r="V204" i="6"/>
  <c r="V224" i="6"/>
  <c r="V241" i="6"/>
  <c r="V133" i="6"/>
  <c r="V147" i="6"/>
  <c r="V164" i="6"/>
  <c r="V181" i="6"/>
  <c r="V197" i="6"/>
  <c r="V213" i="6"/>
  <c r="V220" i="6"/>
  <c r="V157" i="6"/>
  <c r="V173" i="6"/>
  <c r="V190" i="6"/>
  <c r="V206" i="6"/>
  <c r="V223" i="6"/>
  <c r="V231" i="6"/>
  <c r="V240" i="6"/>
  <c r="V149" i="6"/>
  <c r="V166" i="6"/>
  <c r="V183" i="6"/>
  <c r="V199" i="6"/>
  <c r="V215" i="6"/>
  <c r="V159" i="6"/>
  <c r="V176" i="6"/>
  <c r="V192" i="6"/>
  <c r="V208" i="6"/>
  <c r="V230" i="6"/>
  <c r="V239" i="6"/>
  <c r="V151" i="6"/>
  <c r="V168" i="6"/>
  <c r="V185" i="6"/>
  <c r="V201" i="6"/>
  <c r="V217" i="6"/>
  <c r="V125" i="6"/>
  <c r="V161" i="6"/>
  <c r="V178" i="6"/>
  <c r="V194" i="6"/>
  <c r="V210" i="6"/>
  <c r="V222" i="6"/>
  <c r="V229" i="6"/>
  <c r="V238" i="6"/>
  <c r="V154" i="6"/>
  <c r="V170" i="6"/>
  <c r="V187" i="6"/>
  <c r="V203" i="6"/>
  <c r="V219" i="6"/>
  <c r="V146" i="6"/>
  <c r="V163" i="6"/>
  <c r="V180" i="6"/>
  <c r="V196" i="6"/>
  <c r="V212" i="6"/>
  <c r="V228" i="6"/>
  <c r="V237" i="6"/>
  <c r="V156" i="6"/>
  <c r="V172" i="6"/>
  <c r="V189" i="6"/>
  <c r="V205" i="6"/>
  <c r="V182" i="6"/>
  <c r="V191" i="6"/>
  <c r="V198" i="6"/>
  <c r="V207" i="6"/>
  <c r="V148" i="6"/>
  <c r="V214" i="6"/>
  <c r="V236" i="6"/>
  <c r="V2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158" i="6"/>
  <c r="V108" i="6"/>
  <c r="V165" i="6"/>
  <c r="V221" i="6"/>
  <c r="V394" i="6"/>
  <c r="V175" i="6"/>
  <c r="V387" i="6"/>
  <c r="V393" i="6"/>
  <c r="V392" i="6"/>
  <c r="V386" i="6"/>
  <c r="V391" i="6"/>
  <c r="V390" i="6"/>
  <c r="V385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389" i="6"/>
  <c r="V397" i="6"/>
  <c r="V396" i="6"/>
  <c r="V440" i="6"/>
  <c r="V443" i="6"/>
  <c r="V463" i="6"/>
  <c r="V457" i="6"/>
  <c r="V446" i="6"/>
  <c r="V451" i="6"/>
  <c r="V468" i="6"/>
  <c r="V395" i="6"/>
  <c r="V462" i="6"/>
  <c r="V450" i="6"/>
  <c r="V467" i="6"/>
  <c r="V491" i="6"/>
  <c r="V497" i="6"/>
  <c r="V505" i="6"/>
  <c r="V511" i="6"/>
  <c r="V442" i="6"/>
  <c r="V456" i="6"/>
  <c r="V490" i="6"/>
  <c r="V501" i="6"/>
  <c r="V509" i="6"/>
  <c r="V458" i="6"/>
  <c r="V439" i="6"/>
  <c r="V445" i="6"/>
  <c r="V461" i="6"/>
  <c r="V492" i="6"/>
  <c r="V498" i="6"/>
  <c r="V504" i="6"/>
  <c r="V508" i="6"/>
  <c r="V449" i="6"/>
  <c r="V466" i="6"/>
  <c r="V500" i="6"/>
  <c r="V506" i="6"/>
  <c r="V512" i="6"/>
  <c r="V455" i="6"/>
  <c r="V472" i="6"/>
  <c r="V474" i="6"/>
  <c r="V475" i="6"/>
  <c r="V477" i="6"/>
  <c r="V479" i="6"/>
  <c r="V481" i="6"/>
  <c r="V482" i="6"/>
  <c r="V484" i="6"/>
  <c r="V486" i="6"/>
  <c r="V487" i="6"/>
  <c r="V489" i="6"/>
  <c r="V494" i="6"/>
  <c r="V495" i="6"/>
  <c r="V499" i="6"/>
  <c r="V502" i="6"/>
  <c r="V507" i="6"/>
  <c r="V510" i="6"/>
  <c r="V460" i="6"/>
  <c r="V471" i="6"/>
  <c r="V473" i="6"/>
  <c r="V476" i="6"/>
  <c r="V478" i="6"/>
  <c r="V480" i="6"/>
  <c r="V483" i="6"/>
  <c r="V485" i="6"/>
  <c r="V488" i="6"/>
  <c r="V493" i="6"/>
  <c r="V496" i="6"/>
  <c r="V503" i="6"/>
  <c r="V513" i="6"/>
  <c r="V441" i="6"/>
  <c r="V448" i="6"/>
  <c r="V465" i="6"/>
  <c r="V444" i="6"/>
  <c r="V453" i="6"/>
  <c r="V470" i="6"/>
  <c r="V388" i="6"/>
  <c r="V459" i="6"/>
  <c r="V383" i="6"/>
  <c r="V447" i="6"/>
  <c r="V464" i="6"/>
  <c r="V469" i="6"/>
  <c r="V452" i="6"/>
  <c r="V13" i="6"/>
  <c r="V14" i="6"/>
  <c r="V12" i="6"/>
  <c r="V9" i="6"/>
  <c r="W7" i="6"/>
  <c r="V10" i="6"/>
  <c r="V11" i="6"/>
  <c r="V8" i="6"/>
  <c r="U5" i="6"/>
  <c r="H5" i="6"/>
  <c r="W174" i="6" l="1"/>
  <c r="W326" i="6"/>
  <c r="W454" i="6"/>
  <c r="W384" i="6"/>
  <c r="W232" i="6"/>
  <c r="W234" i="6"/>
  <c r="W233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6" i="6"/>
  <c r="W235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7" i="6"/>
  <c r="W225" i="6"/>
  <c r="W242" i="6"/>
  <c r="W224" i="6"/>
  <c r="W241" i="6"/>
  <c r="W223" i="6"/>
  <c r="W231" i="6"/>
  <c r="W240" i="6"/>
  <c r="W230" i="6"/>
  <c r="W239" i="6"/>
  <c r="W222" i="6"/>
  <c r="W229" i="6"/>
  <c r="W238" i="6"/>
  <c r="W228" i="6"/>
  <c r="W237" i="6"/>
  <c r="W236" i="6"/>
  <c r="W2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8" i="6"/>
  <c r="W395" i="6"/>
  <c r="W394" i="6"/>
  <c r="W387" i="6"/>
  <c r="W393" i="6"/>
  <c r="W392" i="6"/>
  <c r="W386" i="6"/>
  <c r="W391" i="6"/>
  <c r="W390" i="6"/>
  <c r="W385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389" i="6"/>
  <c r="W397" i="6"/>
  <c r="W458" i="6"/>
  <c r="W463" i="6"/>
  <c r="W451" i="6"/>
  <c r="W468" i="6"/>
  <c r="W457" i="6"/>
  <c r="W462" i="6"/>
  <c r="W490" i="6"/>
  <c r="W500" i="6"/>
  <c r="W508" i="6"/>
  <c r="W450" i="6"/>
  <c r="W467" i="6"/>
  <c r="W491" i="6"/>
  <c r="W495" i="6"/>
  <c r="W501" i="6"/>
  <c r="W507" i="6"/>
  <c r="W512" i="6"/>
  <c r="W456" i="6"/>
  <c r="W488" i="6"/>
  <c r="W502" i="6"/>
  <c r="W509" i="6"/>
  <c r="W461" i="6"/>
  <c r="W493" i="6"/>
  <c r="W503" i="6"/>
  <c r="W511" i="6"/>
  <c r="W449" i="6"/>
  <c r="W466" i="6"/>
  <c r="W489" i="6"/>
  <c r="W497" i="6"/>
  <c r="W506" i="6"/>
  <c r="W513" i="6"/>
  <c r="W455" i="6"/>
  <c r="W494" i="6"/>
  <c r="W498" i="6"/>
  <c r="W504" i="6"/>
  <c r="W510" i="6"/>
  <c r="W396" i="6"/>
  <c r="W46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92" i="6"/>
  <c r="W496" i="6"/>
  <c r="W499" i="6"/>
  <c r="W505" i="6"/>
  <c r="W448" i="6"/>
  <c r="W465" i="6"/>
  <c r="W453" i="6"/>
  <c r="W470" i="6"/>
  <c r="W459" i="6"/>
  <c r="W447" i="6"/>
  <c r="W464" i="6"/>
  <c r="W452" i="6"/>
  <c r="W469" i="6"/>
  <c r="W13" i="6"/>
  <c r="W14" i="6"/>
  <c r="W12" i="6"/>
  <c r="W8" i="6"/>
  <c r="V5" i="6"/>
  <c r="X7" i="6"/>
  <c r="W10" i="6"/>
  <c r="W9" i="6"/>
  <c r="W11" i="6"/>
  <c r="X174" i="6" l="1"/>
  <c r="X326" i="6"/>
  <c r="X454" i="6"/>
  <c r="X384" i="6"/>
  <c r="X232" i="6"/>
  <c r="X234" i="6"/>
  <c r="X233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9" i="6"/>
  <c r="X313" i="6"/>
  <c r="X317" i="6"/>
  <c r="X321" i="6"/>
  <c r="X325" i="6"/>
  <c r="X308" i="6"/>
  <c r="X312" i="6"/>
  <c r="X316" i="6"/>
  <c r="X320" i="6"/>
  <c r="X324" i="6"/>
  <c r="X307" i="6"/>
  <c r="X311" i="6"/>
  <c r="X315" i="6"/>
  <c r="X319" i="6"/>
  <c r="X323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5" i="6"/>
  <c r="X386" i="6"/>
  <c r="X387" i="6"/>
  <c r="X388" i="6"/>
  <c r="X389" i="6"/>
  <c r="X310" i="6"/>
  <c r="X314" i="6"/>
  <c r="X318" i="6"/>
  <c r="X322" i="6"/>
  <c r="X327" i="6"/>
  <c r="X395" i="6"/>
  <c r="X394" i="6"/>
  <c r="X393" i="6"/>
  <c r="X392" i="6"/>
  <c r="X391" i="6"/>
  <c r="X390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397" i="6"/>
  <c r="X500" i="6"/>
  <c r="X507" i="6"/>
  <c r="X499" i="6"/>
  <c r="X509" i="6"/>
  <c r="X498" i="6"/>
  <c r="X506" i="6"/>
  <c r="X505" i="6"/>
  <c r="X512" i="6"/>
  <c r="X501" i="6"/>
  <c r="X508" i="6"/>
  <c r="X502" i="6"/>
  <c r="X513" i="6"/>
  <c r="X503" i="6"/>
  <c r="X511" i="6"/>
  <c r="X396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4" i="6"/>
  <c r="X510" i="6"/>
  <c r="X470" i="6"/>
  <c r="X13" i="6"/>
  <c r="X14" i="6"/>
  <c r="W5" i="6"/>
  <c r="X10" i="6"/>
  <c r="Y7" i="6"/>
  <c r="X9" i="6"/>
  <c r="X11" i="6"/>
  <c r="X12" i="6"/>
  <c r="X8" i="6"/>
  <c r="Y174" i="6" l="1"/>
  <c r="Y326" i="6"/>
  <c r="Y454" i="6"/>
  <c r="Y384" i="6"/>
  <c r="Y233" i="6"/>
  <c r="Y232" i="6"/>
  <c r="Y23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5" i="6"/>
  <c r="Y236" i="6"/>
  <c r="Y237" i="6"/>
  <c r="Y238" i="6"/>
  <c r="Y239" i="6"/>
  <c r="Y240" i="6"/>
  <c r="Y241" i="6"/>
  <c r="Y242" i="6"/>
  <c r="Y136" i="6"/>
  <c r="Y143" i="6"/>
  <c r="Y142" i="6"/>
  <c r="Y135" i="6"/>
  <c r="Y141" i="6"/>
  <c r="Y140" i="6"/>
  <c r="Y134" i="6"/>
  <c r="Y139" i="6"/>
  <c r="Y138" i="6"/>
  <c r="Y137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133" i="6"/>
  <c r="Y309" i="6"/>
  <c r="Y313" i="6"/>
  <c r="Y317" i="6"/>
  <c r="Y321" i="6"/>
  <c r="Y325" i="6"/>
  <c r="Y308" i="6"/>
  <c r="Y312" i="6"/>
  <c r="Y316" i="6"/>
  <c r="Y320" i="6"/>
  <c r="Y324" i="6"/>
  <c r="Y307" i="6"/>
  <c r="Y311" i="6"/>
  <c r="Y315" i="6"/>
  <c r="Y319" i="6"/>
  <c r="Y323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96" i="6"/>
  <c r="Y383" i="6"/>
  <c r="Y388" i="6"/>
  <c r="Y395" i="6"/>
  <c r="Y394" i="6"/>
  <c r="Y382" i="6"/>
  <c r="Y387" i="6"/>
  <c r="Y327" i="6"/>
  <c r="Y393" i="6"/>
  <c r="Y322" i="6"/>
  <c r="Y318" i="6"/>
  <c r="Y392" i="6"/>
  <c r="Y314" i="6"/>
  <c r="Y386" i="6"/>
  <c r="Y310" i="6"/>
  <c r="Y391" i="6"/>
  <c r="Y390" i="6"/>
  <c r="Y385" i="6"/>
  <c r="Y402" i="6"/>
  <c r="Y417" i="6"/>
  <c r="Y433" i="6"/>
  <c r="Y452" i="6"/>
  <c r="Y469" i="6"/>
  <c r="Y411" i="6"/>
  <c r="Y426" i="6"/>
  <c r="Y440" i="6"/>
  <c r="Y443" i="6"/>
  <c r="Y458" i="6"/>
  <c r="Y404" i="6"/>
  <c r="Y419" i="6"/>
  <c r="Y435" i="6"/>
  <c r="Y446" i="6"/>
  <c r="Y463" i="6"/>
  <c r="Y413" i="6"/>
  <c r="Y428" i="6"/>
  <c r="Y451" i="6"/>
  <c r="Y468" i="6"/>
  <c r="Y389" i="6"/>
  <c r="Y397" i="6"/>
  <c r="Y406" i="6"/>
  <c r="Y421" i="6"/>
  <c r="Y437" i="6"/>
  <c r="Y457" i="6"/>
  <c r="Y500" i="6"/>
  <c r="Y503" i="6"/>
  <c r="Y512" i="6"/>
  <c r="Y399" i="6"/>
  <c r="Y430" i="6"/>
  <c r="Y462" i="6"/>
  <c r="Y498" i="6"/>
  <c r="Y506" i="6"/>
  <c r="Y408" i="6"/>
  <c r="Y423" i="6"/>
  <c r="Y442" i="6"/>
  <c r="Y450" i="6"/>
  <c r="Y467" i="6"/>
  <c r="Y499" i="6"/>
  <c r="Y504" i="6"/>
  <c r="Y401" i="6"/>
  <c r="Y416" i="6"/>
  <c r="Y432" i="6"/>
  <c r="Y439" i="6"/>
  <c r="Y445" i="6"/>
  <c r="Y456" i="6"/>
  <c r="Y493" i="6"/>
  <c r="Y509" i="6"/>
  <c r="Y410" i="6"/>
  <c r="Y425" i="6"/>
  <c r="Y461" i="6"/>
  <c r="Y497" i="6"/>
  <c r="Y505" i="6"/>
  <c r="Y403" i="6"/>
  <c r="Y418" i="6"/>
  <c r="Y434" i="6"/>
  <c r="Y449" i="6"/>
  <c r="Y466" i="6"/>
  <c r="Y496" i="6"/>
  <c r="Y508" i="6"/>
  <c r="Y412" i="6"/>
  <c r="Y427" i="6"/>
  <c r="Y455" i="6"/>
  <c r="Y495" i="6"/>
  <c r="Y507" i="6"/>
  <c r="Y405" i="6"/>
  <c r="Y420" i="6"/>
  <c r="Y436" i="6"/>
  <c r="Y441" i="6"/>
  <c r="Y460" i="6"/>
  <c r="Y501" i="6"/>
  <c r="Y510" i="6"/>
  <c r="Y513" i="6"/>
  <c r="Y398" i="6"/>
  <c r="Y414" i="6"/>
  <c r="Y429" i="6"/>
  <c r="Y444" i="6"/>
  <c r="Y448" i="6"/>
  <c r="Y465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4" i="6"/>
  <c r="Y502" i="6"/>
  <c r="Y511" i="6"/>
  <c r="Y424" i="6"/>
  <c r="Y407" i="6"/>
  <c r="Y422" i="6"/>
  <c r="Y438" i="6"/>
  <c r="Y453" i="6"/>
  <c r="Y447" i="6"/>
  <c r="Y400" i="6"/>
  <c r="Y415" i="6"/>
  <c r="Y431" i="6"/>
  <c r="Y459" i="6"/>
  <c r="Y470" i="6"/>
  <c r="Y409" i="6"/>
  <c r="Y464" i="6"/>
  <c r="Y13" i="6"/>
  <c r="Y14" i="6"/>
  <c r="Y12" i="6"/>
  <c r="Y9" i="6"/>
  <c r="Y8" i="6"/>
  <c r="Y10" i="6"/>
  <c r="Y11" i="6"/>
  <c r="Z7" i="6"/>
  <c r="X5" i="6"/>
  <c r="Z174" i="6" l="1"/>
  <c r="Z326" i="6"/>
  <c r="Z454" i="6"/>
  <c r="Z384" i="6"/>
  <c r="Z233" i="6"/>
  <c r="Z232" i="6"/>
  <c r="Z23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136" i="6"/>
  <c r="Z143" i="6"/>
  <c r="Z142" i="6"/>
  <c r="Z135" i="6"/>
  <c r="Z141" i="6"/>
  <c r="Z140" i="6"/>
  <c r="Z134" i="6"/>
  <c r="Z139" i="6"/>
  <c r="Z227" i="6"/>
  <c r="Z236" i="6"/>
  <c r="Z226" i="6"/>
  <c r="Z235" i="6"/>
  <c r="Z225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224" i="6"/>
  <c r="Z241" i="6"/>
  <c r="Z223" i="6"/>
  <c r="Z231" i="6"/>
  <c r="Z240" i="6"/>
  <c r="Z230" i="6"/>
  <c r="Z239" i="6"/>
  <c r="Z138" i="6"/>
  <c r="Z229" i="6"/>
  <c r="Z238" i="6"/>
  <c r="Z237" i="6"/>
  <c r="Z228" i="6"/>
  <c r="Z309" i="6"/>
  <c r="Z313" i="6"/>
  <c r="Z317" i="6"/>
  <c r="Z321" i="6"/>
  <c r="Z325" i="6"/>
  <c r="Z308" i="6"/>
  <c r="Z312" i="6"/>
  <c r="Z316" i="6"/>
  <c r="Z320" i="6"/>
  <c r="Z324" i="6"/>
  <c r="Z307" i="6"/>
  <c r="Z311" i="6"/>
  <c r="Z315" i="6"/>
  <c r="Z319" i="6"/>
  <c r="Z323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27" i="6"/>
  <c r="Z322" i="6"/>
  <c r="Z318" i="6"/>
  <c r="Z314" i="6"/>
  <c r="Z310" i="6"/>
  <c r="Z409" i="6"/>
  <c r="Z424" i="6"/>
  <c r="Z447" i="6"/>
  <c r="Z464" i="6"/>
  <c r="Z402" i="6"/>
  <c r="Z417" i="6"/>
  <c r="Z433" i="6"/>
  <c r="Z452" i="6"/>
  <c r="Z469" i="6"/>
  <c r="Z458" i="6"/>
  <c r="Z411" i="6"/>
  <c r="Z426" i="6"/>
  <c r="Z440" i="6"/>
  <c r="Z443" i="6"/>
  <c r="Z404" i="6"/>
  <c r="Z419" i="6"/>
  <c r="Z435" i="6"/>
  <c r="Z446" i="6"/>
  <c r="Z463" i="6"/>
  <c r="Z413" i="6"/>
  <c r="Z428" i="6"/>
  <c r="Z451" i="6"/>
  <c r="Z468" i="6"/>
  <c r="Z406" i="6"/>
  <c r="Z421" i="6"/>
  <c r="Z437" i="6"/>
  <c r="Z457" i="6"/>
  <c r="Z399" i="6"/>
  <c r="Z430" i="6"/>
  <c r="Z462" i="6"/>
  <c r="Z467" i="6"/>
  <c r="Z459" i="6"/>
  <c r="Z408" i="6"/>
  <c r="Z423" i="6"/>
  <c r="Z442" i="6"/>
  <c r="Z450" i="6"/>
  <c r="Z401" i="6"/>
  <c r="Z416" i="6"/>
  <c r="Z432" i="6"/>
  <c r="Z439" i="6"/>
  <c r="Z445" i="6"/>
  <c r="Z456" i="6"/>
  <c r="Z410" i="6"/>
  <c r="Z425" i="6"/>
  <c r="Z461" i="6"/>
  <c r="Z403" i="6"/>
  <c r="Z418" i="6"/>
  <c r="Z434" i="6"/>
  <c r="Z449" i="6"/>
  <c r="Z466" i="6"/>
  <c r="Z415" i="6"/>
  <c r="Z412" i="6"/>
  <c r="Z427" i="6"/>
  <c r="Z455" i="6"/>
  <c r="Z400" i="6"/>
  <c r="Z470" i="6"/>
  <c r="Z405" i="6"/>
  <c r="Z420" i="6"/>
  <c r="Z436" i="6"/>
  <c r="Z441" i="6"/>
  <c r="Z460" i="6"/>
  <c r="Z398" i="6"/>
  <c r="Z414" i="6"/>
  <c r="Z429" i="6"/>
  <c r="Z444" i="6"/>
  <c r="Z448" i="6"/>
  <c r="Z465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407" i="6"/>
  <c r="Z422" i="6"/>
  <c r="Z438" i="6"/>
  <c r="Z453" i="6"/>
  <c r="Z431" i="6"/>
  <c r="Z13" i="6"/>
  <c r="Z14" i="6"/>
  <c r="Z12" i="6"/>
  <c r="Z8" i="6"/>
  <c r="Y5" i="6"/>
  <c r="AA7" i="6"/>
  <c r="Z10" i="6"/>
  <c r="Z9" i="6"/>
  <c r="Z11" i="6"/>
  <c r="AA174" i="6" l="1"/>
  <c r="AA326" i="6"/>
  <c r="AA454" i="6"/>
  <c r="AA384" i="6"/>
  <c r="AA233" i="6"/>
  <c r="AA232" i="6"/>
  <c r="AA23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136" i="6"/>
  <c r="AA143" i="6"/>
  <c r="AA98" i="6"/>
  <c r="AA142" i="6"/>
  <c r="AA135" i="6"/>
  <c r="AA141" i="6"/>
  <c r="AA140" i="6"/>
  <c r="AA139" i="6"/>
  <c r="AA227" i="6"/>
  <c r="AA236" i="6"/>
  <c r="AA226" i="6"/>
  <c r="AA235" i="6"/>
  <c r="AA225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7" i="6"/>
  <c r="AA224" i="6"/>
  <c r="AA241" i="6"/>
  <c r="AA223" i="6"/>
  <c r="AA231" i="6"/>
  <c r="AA240" i="6"/>
  <c r="AA230" i="6"/>
  <c r="AA239" i="6"/>
  <c r="AA138" i="6"/>
  <c r="AA229" i="6"/>
  <c r="AA238" i="6"/>
  <c r="AA237" i="6"/>
  <c r="AA228" i="6"/>
  <c r="AA337" i="6"/>
  <c r="AA353" i="6"/>
  <c r="AA369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330" i="6"/>
  <c r="AA346" i="6"/>
  <c r="AA362" i="6"/>
  <c r="AA378" i="6"/>
  <c r="AA396" i="6"/>
  <c r="AA339" i="6"/>
  <c r="AA355" i="6"/>
  <c r="AA371" i="6"/>
  <c r="AA383" i="6"/>
  <c r="AA388" i="6"/>
  <c r="AA332" i="6"/>
  <c r="AA348" i="6"/>
  <c r="AA364" i="6"/>
  <c r="AA380" i="6"/>
  <c r="AA395" i="6"/>
  <c r="AA341" i="6"/>
  <c r="AA357" i="6"/>
  <c r="AA373" i="6"/>
  <c r="AA334" i="6"/>
  <c r="AA350" i="6"/>
  <c r="AA366" i="6"/>
  <c r="AA394" i="6"/>
  <c r="AA343" i="6"/>
  <c r="AA359" i="6"/>
  <c r="AA375" i="6"/>
  <c r="AA382" i="6"/>
  <c r="AA387" i="6"/>
  <c r="AA336" i="6"/>
  <c r="AA352" i="6"/>
  <c r="AA368" i="6"/>
  <c r="AA393" i="6"/>
  <c r="AA329" i="6"/>
  <c r="AA345" i="6"/>
  <c r="AA361" i="6"/>
  <c r="AA377" i="6"/>
  <c r="AA338" i="6"/>
  <c r="AA354" i="6"/>
  <c r="AA370" i="6"/>
  <c r="AA392" i="6"/>
  <c r="AA331" i="6"/>
  <c r="AA347" i="6"/>
  <c r="AA363" i="6"/>
  <c r="AA379" i="6"/>
  <c r="AA386" i="6"/>
  <c r="AA340" i="6"/>
  <c r="AA356" i="6"/>
  <c r="AA372" i="6"/>
  <c r="AA391" i="6"/>
  <c r="AA333" i="6"/>
  <c r="AA349" i="6"/>
  <c r="AA365" i="6"/>
  <c r="AA381" i="6"/>
  <c r="AA342" i="6"/>
  <c r="AA358" i="6"/>
  <c r="AA374" i="6"/>
  <c r="AA390" i="6"/>
  <c r="AA335" i="6"/>
  <c r="AA344" i="6"/>
  <c r="AA351" i="6"/>
  <c r="AA385" i="6"/>
  <c r="AA389" i="6"/>
  <c r="AA360" i="6"/>
  <c r="AA328" i="6"/>
  <c r="AA367" i="6"/>
  <c r="AA376" i="6"/>
  <c r="AA471" i="6"/>
  <c r="AA473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499" i="6"/>
  <c r="AA502" i="6"/>
  <c r="AA504" i="6"/>
  <c r="AA507" i="6"/>
  <c r="AA509" i="6"/>
  <c r="AA511" i="6"/>
  <c r="AA513" i="6"/>
  <c r="AA472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500" i="6"/>
  <c r="AA501" i="6"/>
  <c r="AA503" i="6"/>
  <c r="AA505" i="6"/>
  <c r="AA506" i="6"/>
  <c r="AA508" i="6"/>
  <c r="AA510" i="6"/>
  <c r="AA512" i="6"/>
  <c r="AA13" i="6"/>
  <c r="AA14" i="6"/>
  <c r="AA11" i="6"/>
  <c r="Z5" i="6"/>
  <c r="AA8" i="6"/>
  <c r="AA10" i="6"/>
  <c r="AA12" i="6"/>
  <c r="AA9" i="6"/>
  <c r="AB7" i="6"/>
  <c r="AB174" i="6" l="1"/>
  <c r="AB326" i="6"/>
  <c r="AB454" i="6"/>
  <c r="AB384" i="6"/>
  <c r="AB233" i="6"/>
  <c r="AB232" i="6"/>
  <c r="AB23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143" i="6"/>
  <c r="AB142" i="6"/>
  <c r="AB141" i="6"/>
  <c r="AB140" i="6"/>
  <c r="AB138" i="6"/>
  <c r="AB228" i="6"/>
  <c r="AB237" i="6"/>
  <c r="AB227" i="6"/>
  <c r="AB236" i="6"/>
  <c r="AB226" i="6"/>
  <c r="AB235" i="6"/>
  <c r="AB139" i="6"/>
  <c r="AB225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7" i="6"/>
  <c r="AB224" i="6"/>
  <c r="AB241" i="6"/>
  <c r="AB223" i="6"/>
  <c r="AB231" i="6"/>
  <c r="AB240" i="6"/>
  <c r="AB222" i="6"/>
  <c r="AB230" i="6"/>
  <c r="AB239" i="6"/>
  <c r="AB238" i="6"/>
  <c r="AB229" i="6"/>
  <c r="AB328" i="6"/>
  <c r="AB344" i="6"/>
  <c r="AB360" i="6"/>
  <c r="AB376" i="6"/>
  <c r="AB389" i="6"/>
  <c r="AB337" i="6"/>
  <c r="AB353" i="6"/>
  <c r="AB369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330" i="6"/>
  <c r="AB346" i="6"/>
  <c r="AB362" i="6"/>
  <c r="AB378" i="6"/>
  <c r="AB396" i="6"/>
  <c r="AB339" i="6"/>
  <c r="AB355" i="6"/>
  <c r="AB371" i="6"/>
  <c r="AB383" i="6"/>
  <c r="AB388" i="6"/>
  <c r="AB332" i="6"/>
  <c r="AB348" i="6"/>
  <c r="AB364" i="6"/>
  <c r="AB380" i="6"/>
  <c r="AB395" i="6"/>
  <c r="AB341" i="6"/>
  <c r="AB357" i="6"/>
  <c r="AB373" i="6"/>
  <c r="AB334" i="6"/>
  <c r="AB350" i="6"/>
  <c r="AB366" i="6"/>
  <c r="AB394" i="6"/>
  <c r="AB343" i="6"/>
  <c r="AB359" i="6"/>
  <c r="AB375" i="6"/>
  <c r="AB382" i="6"/>
  <c r="AB387" i="6"/>
  <c r="AB336" i="6"/>
  <c r="AB352" i="6"/>
  <c r="AB368" i="6"/>
  <c r="AB393" i="6"/>
  <c r="AB329" i="6"/>
  <c r="AB345" i="6"/>
  <c r="AB361" i="6"/>
  <c r="AB377" i="6"/>
  <c r="AB338" i="6"/>
  <c r="AB354" i="6"/>
  <c r="AB370" i="6"/>
  <c r="AB392" i="6"/>
  <c r="AB331" i="6"/>
  <c r="AB347" i="6"/>
  <c r="AB363" i="6"/>
  <c r="AB379" i="6"/>
  <c r="AB386" i="6"/>
  <c r="AB340" i="6"/>
  <c r="AB356" i="6"/>
  <c r="AB372" i="6"/>
  <c r="AB391" i="6"/>
  <c r="AB333" i="6"/>
  <c r="AB349" i="6"/>
  <c r="AB365" i="6"/>
  <c r="AB381" i="6"/>
  <c r="AB477" i="6"/>
  <c r="AB501" i="6"/>
  <c r="AB474" i="6"/>
  <c r="AB502" i="6"/>
  <c r="AB335" i="6"/>
  <c r="AB485" i="6"/>
  <c r="AB500" i="6"/>
  <c r="AB489" i="6"/>
  <c r="AB511" i="6"/>
  <c r="AB342" i="6"/>
  <c r="AB476" i="6"/>
  <c r="AB506" i="6"/>
  <c r="AB510" i="6"/>
  <c r="AB351" i="6"/>
  <c r="AB385" i="6"/>
  <c r="AB505" i="6"/>
  <c r="AB480" i="6"/>
  <c r="AB488" i="6"/>
  <c r="AB496" i="6"/>
  <c r="AB508" i="6"/>
  <c r="AB358" i="6"/>
  <c r="AB495" i="6"/>
  <c r="AB475" i="6"/>
  <c r="AB486" i="6"/>
  <c r="AB497" i="6"/>
  <c r="AB512" i="6"/>
  <c r="AB367" i="6"/>
  <c r="AB472" i="6"/>
  <c r="AB481" i="6"/>
  <c r="AB487" i="6"/>
  <c r="AB494" i="6"/>
  <c r="AB499" i="6"/>
  <c r="AB509" i="6"/>
  <c r="AB483" i="6"/>
  <c r="AB493" i="6"/>
  <c r="AB503" i="6"/>
  <c r="AB513" i="6"/>
  <c r="AB374" i="6"/>
  <c r="AB471" i="6"/>
  <c r="AB479" i="6"/>
  <c r="AB484" i="6"/>
  <c r="AB491" i="6"/>
  <c r="AB498" i="6"/>
  <c r="AB507" i="6"/>
  <c r="AB390" i="6"/>
  <c r="AB490" i="6"/>
  <c r="AB473" i="6"/>
  <c r="AB478" i="6"/>
  <c r="AB482" i="6"/>
  <c r="AB492" i="6"/>
  <c r="AB504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<sst xmlns="http://schemas.openxmlformats.org/spreadsheetml/2006/main" count="4925" uniqueCount="2158">
  <si>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</si>
  <si>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</si>
  <si>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</si>
  <si>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</si>
  <si>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</si>
  <si>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</si>
  <si>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</si>
  <si>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</si>
  <si>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</si>
  <si>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</si>
  <si>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</si>
  <si>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</si>
  <si>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</si>
  <si>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</si>
  <si>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</si>
  <si>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</si>
  <si>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</si>
  <si>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</si>
  <si>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</si>
  <si>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</si>
  <si>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</si>
  <si>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</si>
  <si>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</si>
  <si>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</si>
  <si>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</si>
  <si>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</si>
  <si>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</si>
  <si>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</si>
  <si>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</si>
  <si>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</si>
  <si>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</si>
  <si>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</si>
  <si>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</si>
  <si>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</si>
  <si>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</si>
  <si>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</si>
  <si>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</si>
  <si>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</si>
  <si>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</si>
  <si>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</si>
  <si>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</si>
  <si>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</si>
  <si>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</si>
  <si>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</si>
  <si>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</si>
  <si>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</si>
  <si>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</si>
  <si>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</si>
  <si>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</si>
  <si>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</si>
  <si>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</si>
  <si>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</si>
  <si>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</si>
  <si>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</si>
  <si>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</si>
  <si>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</si>
  <si>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</si>
  <si>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</si>
  <si>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</si>
  <si>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</si>
  <si>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</si>
  <si>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</si>
  <si>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</si>
  <si>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</si>
  <si>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</si>
  <si>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</si>
  <si>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</si>
  <si>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</si>
  <si>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</si>
  <si>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</si>
  <si>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</si>
  <si>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</si>
  <si>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</si>
  <si>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</si>
  <si>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</si>
  <si>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</si>
  <si>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</si>
  <si>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</si>
  <si>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</si>
  <si>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</si>
  <si>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</si>
  <si>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</si>
  <si>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</si>
  <si>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</si>
  <si>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</si>
  <si>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</si>
  <si>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</si>
  <si>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</si>
  <si>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</si>
  <si>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</si>
  <si>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</si>
  <si>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</si>
  <si>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</si>
  <si>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</si>
  <si>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</si>
  <si>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</si>
  <si>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</si>
  <si>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</si>
  <si>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</si>
  <si>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</si>
  <si>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</si>
  <si>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</si>
  <si>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</si>
  <si>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</si>
  <si>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</si>
  <si>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</si>
  <si>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</si>
  <si>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</si>
  <si>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</si>
  <si>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</si>
  <si>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</si>
  <si>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</si>
  <si>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</si>
  <si>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</si>
  <si>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</si>
  <si>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</si>
  <si>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</si>
  <si>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</si>
  <si>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</si>
  <si>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</si>
  <si>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</si>
  <si>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</si>
  <si>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</si>
  <si>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</si>
  <si>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</si>
  <si>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</si>
  <si>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</si>
  <si>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</si>
  <si>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</si>
  <si>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</si>
  <si>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</si>
  <si>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</si>
  <si>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</si>
  <si>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</si>
  <si>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</si>
  <si>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</si>
  <si>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</si>
  <si>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</si>
  <si>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</si>
  <si>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</si>
  <si>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</si>
  <si>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</si>
  <si>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</si>
  <si>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</si>
  <si>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</si>
  <si>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</si>
  <si>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</si>
  <si>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</si>
  <si>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</si>
  <si>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</si>
  <si>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</si>
  <si>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</si>
  <si>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</si>
  <si>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</si>
  <si>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</si>
  <si>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</si>
  <si>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</si>
  <si>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</si>
  <si>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</si>
  <si>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</si>
  <si>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</si>
  <si>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</si>
  <si>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</si>
  <si>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</si>
  <si>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</si>
  <si>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</si>
  <si>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</si>
  <si>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</si>
  <si>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</si>
  <si>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</si>
  <si>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</si>
  <si>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</si>
  <si>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</si>
  <si>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</si>
  <si>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</si>
  <si>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</si>
  <si>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</si>
  <si>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</si>
  <si>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</si>
  <si>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</si>
  <si>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</si>
  <si>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</si>
  <si>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</si>
  <si>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</si>
  <si>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</si>
  <si>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</si>
  <si>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</si>
  <si>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</si>
  <si>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</si>
  <si>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</si>
  <si>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</si>
  <si>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</si>
  <si>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</si>
  <si>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</si>
  <si>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</si>
  <si>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</si>
  <si>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</si>
  <si>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</si>
  <si>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</si>
  <si>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</si>
  <si>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</si>
  <si>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</si>
  <si>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</si>
  <si>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</si>
  <si>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</si>
  <si>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</si>
  <si>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</si>
  <si>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</si>
  <si>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</si>
  <si>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</si>
  <si>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</si>
  <si>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</si>
  <si>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</si>
  <si>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</si>
  <si>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</si>
  <si>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</si>
  <si>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</si>
  <si>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</si>
  <si>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</si>
  <si>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</si>
  <si>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</si>
  <si>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</si>
  <si>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</si>
  <si>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</si>
  <si>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</si>
  <si>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</si>
  <si>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</si>
  <si>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</si>
  <si>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</si>
  <si>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</si>
  <si>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</si>
  <si>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</si>
  <si>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</si>
  <si>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</si>
  <si>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</si>
  <si>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</si>
  <si>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</si>
  <si>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</si>
  <si>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</si>
  <si>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</si>
  <si>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</si>
  <si>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</si>
  <si>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</si>
  <si>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</si>
  <si>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</si>
  <si>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</si>
  <si>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</si>
  <si>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</si>
  <si>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</si>
  <si>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</si>
  <si>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</si>
  <si>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</si>
  <si>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</si>
  <si>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</si>
  <si>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</si>
  <si>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</si>
  <si>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</si>
  <si>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</si>
  <si>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</si>
  <si>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</si>
  <si>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</si>
  <si>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</si>
  <si>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</si>
  <si>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</si>
  <si>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</si>
  <si>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</si>
  <si>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</si>
  <si>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</si>
  <si>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</si>
  <si>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</si>
  <si>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</si>
  <si>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</si>
  <si>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</si>
  <si>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</si>
  <si>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</si>
  <si>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</si>
  <si>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</si>
  <si>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</si>
  <si>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</si>
  <si>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</si>
  <si>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</si>
  <si>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</si>
  <si>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</si>
  <si>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</si>
  <si>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</si>
  <si>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</si>
  <si>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</si>
  <si>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</si>
  <si>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</si>
  <si>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</si>
  <si>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</si>
  <si>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</si>
  <si>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</si>
  <si>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</si>
  <si>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</si>
  <si>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</si>
  <si>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</si>
  <si>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</si>
  <si>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</si>
  <si>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</si>
  <si>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</si>
  <si>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</si>
  <si>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</si>
  <si>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</si>
  <si>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</si>
  <si>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</si>
  <si>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</si>
  <si>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</si>
  <si>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</si>
  <si>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</si>
  <si>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</si>
  <si>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</si>
  <si>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</si>
  <si>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</si>
  <si>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</si>
  <si>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</si>
  <si>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</si>
  <si>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</si>
  <si>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</si>
  <si>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</si>
  <si>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</si>
  <si>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</si>
  <si>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</si>
  <si>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</si>
  <si>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</si>
  <si>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</si>
  <si>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</si>
  <si>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</si>
  <si>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</si>
  <si>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</si>
  <si>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</si>
  <si>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</si>
  <si>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</si>
  <si>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</si>
  <si>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</si>
  <si>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</si>
  <si>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</si>
  <si>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</si>
  <si>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</si>
  <si>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</si>
  <si>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</si>
  <si>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</si>
  <si>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</si>
  <si>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</si>
  <si>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</si>
  <si>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</si>
  <si>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</si>
  <si>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</si>
  <si>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</si>
  <si>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</si>
  <si>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</si>
  <si>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</si>
  <si>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</si>
  <si>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</si>
  <si>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</si>
  <si>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</si>
  <si>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</si>
  <si>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</si>
  <si>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</si>
  <si>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</si>
  <si>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</si>
  <si>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</si>
  <si>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</si>
  <si>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</si>
  <si>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</si>
  <si>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</si>
  <si>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</si>
  <si>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</si>
  <si>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</si>
  <si>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</si>
  <si>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</si>
  <si>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</si>
  <si>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</si>
  <si>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</si>
  <si>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</si>
  <si>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</si>
  <si>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</si>
  <si>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</si>
  <si>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</si>
  <si>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</si>
  <si>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</si>
  <si>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</si>
  <si>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</si>
  <si>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</si>
  <si>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</si>
  <si>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</si>
  <si>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</si>
  <si>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</si>
  <si>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</si>
  <si>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</si>
  <si>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</si>
  <si>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</si>
  <si>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</si>
  <si>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</si>
  <si>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</si>
  <si>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</si>
  <si>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</si>
  <si>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</si>
  <si>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</si>
  <si>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</si>
  <si>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</si>
  <si>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</si>
  <si>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</si>
  <si>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</si>
  <si>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</si>
  <si>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</si>
  <si>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</si>
  <si>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</si>
  <si>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</si>
  <si>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</si>
  <si>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</si>
  <si>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</si>
  <si>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</si>
  <si>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</si>
  <si>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</si>
  <si>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</si>
  <si>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</si>
  <si>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</si>
  <si>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</si>
  <si>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</si>
  <si>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</si>
  <si>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</si>
  <si>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</si>
  <si>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</si>
  <si>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</si>
  <si>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</si>
  <si>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</si>
  <si>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</si>
  <si>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</si>
  <si>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</si>
  <si>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</si>
  <si>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</si>
  <si>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</si>
  <si>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</si>
  <si>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</si>
  <si>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</si>
  <si>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</si>
  <si>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</si>
  <si>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</si>
  <si>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</si>
  <si>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</si>
  <si>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</si>
  <si>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</si>
  <si>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</si>
  <si>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</si>
  <si>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</si>
  <si>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</si>
  <si>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</si>
  <si>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</si>
  <si>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</si>
  <si>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</si>
  <si>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</si>
  <si>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</si>
  <si>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</si>
  <si>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</si>
  <si>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</si>
  <si>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</si>
  <si>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</si>
  <si>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</si>
  <si>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</si>
  <si>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</si>
  <si>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</si>
  <si>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</si>
  <si>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</si>
  <si>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</si>
  <si>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</si>
  <si>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</si>
  <si>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</si>
  <si>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</si>
  <si>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</si>
  <si>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</si>
  <si>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</si>
  <si>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</si>
  <si>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</si>
  <si>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</si>
  <si>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</si>
  <si>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</si>
  <si>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</si>
  <si>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</si>
  <si>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</si>
  <si>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</si>
  <si>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</si>
  <si>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</si>
  <si>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</si>
  <si>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</si>
  <si>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</si>
  <si>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</si>
  <si>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</si>
  <si>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</si>
  <si>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</si>
  <si>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</si>
  <si>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</si>
  <si>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</si>
  <si>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</si>
  <si>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</si>
  <si>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</si>
  <si>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</si>
  <si>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</si>
  <si>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</si>
  <si>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</si>
  <si>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</si>
  <si>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</si>
  <si>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</si>
  <si>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</si>
  <si>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</si>
  <si>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</si>
  <si>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</si>
  <si>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</si>
  <si>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</si>
  <si>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</si>
  <si>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</si>
  <si>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</si>
  <si>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</si>
  <si>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</si>
  <si>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</si>
  <si>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</si>
  <si>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</si>
  <si>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</si>
  <si>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</si>
  <si>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</si>
  <si>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</si>
  <si>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</si>
  <si>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</si>
  <si>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</si>
  <si>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</si>
  <si>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</si>
  <si>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</si>
  <si>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</si>
  <si>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</si>
  <si>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</si>
  <si>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</si>
  <si>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</si>
  <si>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</si>
  <si>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</si>
  <si>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</si>
  <si>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</si>
  <si>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</si>
  <si>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</si>
  <si>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</si>
  <si>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</si>
  <si>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</si>
  <si>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</si>
  <si>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</si>
  <si>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</si>
  <si>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</si>
  <si>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</si>
  <si>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</si>
  <si>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</si>
  <si>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</si>
  <si>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</si>
  <si>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</si>
  <si>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</si>
  <si>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</si>
  <si>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</si>
  <si>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</si>
  <si>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</si>
  <si>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</si>
  <si>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</si>
  <si>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</si>
  <si>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</si>
  <si>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</si>
  <si>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</si>
  <si>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</si>
  <si>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</si>
  <si>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</si>
  <si>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</si>
  <si>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</si>
  <si>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</si>
  <si>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</si>
  <si>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</si>
  <si>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</si>
  <si>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</si>
  <si>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</si>
  <si>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</si>
  <si>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</si>
  <si>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</si>
  <si>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</si>
  <si>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</si>
  <si>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</si>
  <si>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</si>
  <si>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</si>
  <si>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</si>
  <si>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</si>
  <si>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</si>
  <si>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</si>
  <si>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</si>
  <si>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</si>
  <si>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</si>
  <si>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</si>
  <si>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</si>
  <si>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</si>
  <si>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</si>
  <si>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</si>
  <si>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</si>
  <si>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</si>
  <si>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</si>
  <si>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</si>
  <si>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</si>
  <si>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</si>
  <si>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</si>
  <si>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</si>
  <si>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</si>
  <si>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</si>
  <si>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</si>
  <si>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</si>
  <si>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</si>
  <si>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</si>
  <si>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</si>
  <si>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</si>
  <si>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</si>
  <si>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</si>
  <si>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</si>
  <si>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</si>
  <si>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</si>
  <si>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</si>
  <si>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</si>
  <si>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</si>
  <si>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</si>
  <si>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</si>
  <si>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</si>
  <si>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</si>
  <si>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</si>
  <si>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</si>
  <si>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</si>
  <si>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</si>
  <si>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</si>
  <si>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</si>
  <si>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</si>
  <si>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</si>
  <si>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</si>
  <si>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</si>
  <si>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</si>
  <si>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</si>
  <si>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</si>
  <si>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</si>
  <si>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</si>
  <si>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</si>
  <si>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</si>
  <si>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</si>
  <si>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</si>
  <si>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</si>
  <si>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</si>
  <si>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</si>
  <si>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</si>
  <si>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</si>
  <si>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</si>
  <si>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</si>
  <si>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</si>
  <si>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</si>
  <si>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</si>
  <si>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</si>
  <si>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</si>
  <si>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</si>
  <si>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</si>
  <si>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</si>
  <si>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</si>
  <si>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</si>
  <si>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</si>
  <si>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</si>
  <si>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</si>
  <si>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</si>
  <si>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</si>
  <si>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</si>
  <si>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</si>
  <si>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</si>
  <si>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</si>
  <si>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</si>
  <si>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</si>
  <si>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</si>
  <si>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</si>
  <si>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</si>
  <si>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</si>
  <si>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</si>
  <si>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</si>
  <si>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</si>
  <si>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</si>
  <si>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</si>
  <si>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</si>
  <si>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</si>
  <si>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</si>
  <si>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</si>
  <si>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</si>
  <si>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</si>
  <si>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</si>
  <si>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</si>
  <si>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</si>
  <si>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</si>
  <si>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</si>
  <si>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</si>
  <si>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</si>
  <si>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</si>
  <si>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</si>
  <si>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</si>
  <si>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</si>
  <si>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</si>
  <si>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</si>
  <si>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</si>
  <si>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</si>
  <si>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</si>
  <si>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</si>
  <si>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</si>
  <si>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</si>
  <si>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</si>
  <si>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</si>
  <si>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</si>
  <si>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</si>
  <si>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</si>
  <si>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</si>
  <si>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</si>
  <si>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</si>
  <si>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</si>
  <si>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</si>
  <si>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</si>
  <si>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</si>
  <si>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</si>
  <si>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</si>
  <si>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</si>
  <si>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</si>
  <si>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</si>
  <si>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</si>
  <si>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</si>
  <si>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</si>
  <si>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</si>
  <si>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</si>
  <si>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</si>
  <si>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</si>
  <si>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</si>
  <si>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</si>
  <si>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</si>
  <si>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</si>
  <si>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</si>
  <si>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</si>
  <si>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</si>
  <si>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</si>
  <si>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</si>
  <si>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</si>
  <si>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</si>
  <si>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</si>
  <si>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</si>
  <si>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</si>
  <si>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</si>
  <si>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</si>
  <si>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</si>
  <si>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</si>
  <si>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</si>
  <si>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</si>
  <si>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</si>
  <si>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</si>
  <si>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</si>
  <si>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</si>
  <si>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</si>
  <si>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</si>
  <si>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</si>
  <si>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</si>
  <si>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</si>
  <si>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</si>
  <si>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</si>
  <si>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</si>
  <si>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</si>
  <si>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</si>
  <si>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</si>
  <si>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</si>
  <si>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</si>
  <si>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</si>
  <si>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</si>
  <si>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</si>
  <si>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</si>
  <si>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</si>
  <si>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</si>
  <si>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</si>
  <si>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</si>
  <si>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</si>
  <si>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</si>
  <si>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</si>
  <si>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</si>
  <si>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</si>
  <si>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</si>
  <si>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</si>
  <si>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</si>
  <si>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</si>
  <si>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</si>
  <si>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</si>
  <si>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</si>
  <si>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</si>
  <si>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</si>
  <si>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</si>
  <si>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</si>
  <si>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</si>
  <si>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</si>
  <si>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</si>
  <si>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</si>
  <si>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</si>
  <si>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</si>
  <si>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</si>
  <si>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</si>
  <si>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</si>
  <si>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</si>
  <si>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</si>
  <si>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</si>
  <si>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</si>
  <si>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</si>
  <si>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</si>
  <si>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</si>
  <si>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</si>
  <si>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</si>
  <si>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</si>
  <si>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</si>
  <si>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</si>
  <si>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</si>
  <si>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</si>
  <si>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</si>
  <si>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</si>
  <si>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</si>
  <si>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</si>
  <si>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</si>
  <si>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</si>
  <si>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</si>
  <si>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</si>
  <si>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</si>
  <si>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</si>
  <si>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</si>
  <si>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</si>
  <si>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</si>
  <si>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</si>
  <si>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</si>
  <si>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</si>
  <si>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</si>
  <si>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</si>
  <si>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</si>
  <si>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</si>
  <si>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</si>
  <si>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</si>
  <si>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</si>
  <si>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</si>
  <si>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</si>
  <si>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</si>
  <si>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</si>
  <si>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</si>
  <si>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</si>
  <si>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</si>
  <si>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</si>
  <si>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</si>
  <si>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</si>
  <si>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</si>
  <si>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</si>
  <si>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</si>
  <si>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</si>
  <si>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</si>
  <si>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</si>
  <si>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</si>
  <si>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</si>
  <si>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</si>
  <si>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</si>
  <si>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</si>
  <si>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</si>
  <si>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</si>
  <si>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</si>
  <si>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</si>
  <si>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</si>
  <si>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</si>
  <si>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</si>
  <si>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</si>
  <si>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</si>
  <si>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</si>
  <si>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</si>
  <si>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</si>
  <si>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</si>
  <si>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</si>
  <si>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</si>
  <si>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</si>
  <si>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</si>
  <si>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</si>
  <si>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</si>
  <si>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</si>
  <si>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</si>
  <si>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</si>
  <si>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</si>
  <si>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</si>
  <si>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</si>
  <si>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</si>
  <si>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</si>
  <si>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</si>
  <si>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</si>
  <si>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</si>
  <si>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</si>
  <si>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</si>
  <si>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</si>
  <si>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</si>
  <si>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</si>
  <si>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</si>
  <si>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</si>
  <si>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</si>
  <si>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</si>
  <si>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</si>
  <si>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</si>
  <si>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</si>
  <si>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</si>
  <si>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</si>
  <si>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</si>
  <si>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</si>
  <si>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</si>
  <si>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</si>
  <si>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</si>
  <si>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</si>
  <si>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</si>
  <si>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</si>
  <si>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</si>
  <si>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</si>
  <si>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</si>
  <si>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</si>
  <si>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</si>
  <si>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</si>
  <si>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</si>
  <si>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</si>
  <si>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</si>
  <si>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</si>
  <si>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</si>
  <si>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</si>
  <si>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</si>
  <si>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</si>
  <si>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</si>
  <si>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</si>
  <si>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</si>
  <si>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</si>
  <si>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</si>
  <si>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</si>
  <si>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</si>
  <si>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</si>
  <si>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</si>
  <si>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</si>
  <si>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</si>
  <si>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</si>
  <si>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</si>
  <si>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</si>
  <si>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</si>
  <si>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</si>
  <si>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</si>
  <si>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</si>
  <si>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</si>
  <si>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</si>
  <si>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</si>
  <si>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</si>
  <si>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</si>
  <si>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</si>
  <si>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</si>
  <si>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</si>
  <si>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</si>
  <si>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</si>
  <si>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</si>
  <si>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</si>
  <si>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</si>
  <si>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</si>
  <si>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</si>
  <si>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</si>
  <si>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</si>
  <si>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</si>
  <si>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</si>
  <si>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</si>
  <si>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</si>
  <si>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</si>
  <si>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</si>
  <si>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</si>
  <si>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</si>
  <si>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</si>
  <si>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</si>
  <si>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</si>
  <si>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</si>
  <si>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</si>
  <si>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</si>
  <si>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</si>
  <si>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</si>
  <si>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</si>
  <si>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</si>
  <si>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</si>
  <si>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</si>
  <si>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</si>
  <si>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</si>
  <si>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</si>
  <si>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</si>
  <si>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</si>
  <si>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</si>
  <si>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</si>
  <si>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</si>
  <si>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</si>
  <si>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</si>
  <si>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</si>
  <si>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</si>
  <si>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</si>
  <si>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</si>
  <si>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</si>
  <si>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</si>
  <si>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</si>
  <si>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</si>
  <si>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</si>
  <si>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</si>
  <si>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</si>
  <si>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</si>
  <si>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</si>
  <si>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</si>
  <si>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</si>
  <si>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</si>
  <si>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</si>
  <si>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</si>
  <si>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</si>
  <si>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</si>
  <si>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</si>
  <si>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</si>
  <si>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</si>
  <si>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</si>
  <si>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</si>
  <si>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</si>
  <si>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</si>
  <si>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</si>
  <si>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</si>
  <si>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</si>
  <si>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</si>
  <si>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</si>
  <si>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</si>
  <si>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</si>
  <si>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</si>
  <si>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</si>
  <si>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</si>
  <si>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</si>
  <si>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</si>
  <si>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</si>
  <si>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</si>
  <si>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</si>
  <si>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</si>
  <si>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</si>
  <si>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</si>
  <si>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</si>
  <si>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</si>
  <si>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</si>
  <si>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</si>
  <si>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</si>
  <si>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</si>
  <si>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</si>
  <si>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</si>
  <si>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</si>
  <si>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</si>
  <si>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</si>
  <si>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</si>
  <si>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</si>
  <si>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</si>
  <si>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</si>
  <si>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</si>
  <si>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</si>
  <si>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</si>
  <si>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</si>
  <si>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</si>
  <si>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</si>
  <si>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</si>
  <si>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</si>
  <si>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</si>
  <si>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</si>
  <si>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</si>
  <si>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</si>
  <si>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</si>
  <si>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</si>
  <si>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</si>
  <si>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</si>
  <si>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</si>
  <si>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</si>
  <si>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</si>
  <si>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</si>
  <si>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</si>
  <si>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</si>
  <si>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</si>
  <si>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</si>
  <si>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</si>
  <si>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</si>
  <si>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</si>
  <si>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</si>
  <si>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</si>
  <si>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</si>
  <si>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</si>
  <si>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</si>
  <si>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</si>
  <si>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</si>
  <si>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</si>
  <si>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</si>
  <si>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</si>
  <si>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</si>
  <si>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</si>
  <si>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</si>
  <si>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</si>
  <si>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</si>
  <si>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</si>
  <si>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</si>
  <si>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</si>
  <si>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</si>
  <si>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</si>
  <si>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</si>
  <si>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</si>
  <si>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</si>
  <si>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</si>
  <si>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</si>
  <si>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</si>
  <si>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</si>
  <si>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</si>
  <si>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</si>
  <si>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</si>
  <si>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</si>
  <si>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</si>
  <si>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</si>
  <si>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</si>
  <si>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</si>
  <si>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</si>
  <si>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</si>
  <si>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</si>
  <si>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</si>
  <si>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</si>
  <si>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</si>
  <si>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</si>
  <si>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</si>
  <si>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</si>
  <si>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</si>
  <si>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</si>
  <si>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</si>
  <si>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</si>
  <si>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</si>
  <si>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</si>
  <si>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</si>
  <si>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</si>
  <si>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</si>
  <si>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</si>
  <si>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</si>
  <si>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</si>
  <si>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</si>
  <si>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</si>
  <si>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</si>
  <si>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</si>
  <si>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</si>
  <si>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</si>
  <si>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</si>
  <si>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</si>
  <si>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</si>
  <si>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</si>
  <si>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</si>
  <si>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</si>
  <si>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</si>
  <si>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</si>
  <si>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</si>
  <si>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</si>
  <si>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</si>
  <si>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</si>
  <si>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</si>
  <si>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</si>
  <si>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</si>
  <si>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</si>
  <si>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</si>
  <si>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</si>
  <si>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</si>
  <si>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</si>
  <si>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</si>
  <si>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</si>
  <si>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</si>
  <si>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</si>
  <si>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</si>
  <si>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</si>
  <si>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</si>
  <si>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</si>
  <si>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</si>
  <si>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</si>
  <si>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</si>
  <si>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</si>
  <si>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</si>
  <si>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</si>
  <si>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</si>
  <si>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</si>
  <si>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</si>
  <si>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</si>
  <si>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</si>
  <si>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</si>
  <si>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</si>
  <si>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</si>
  <si>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</si>
  <si>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</si>
  <si>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</si>
  <si>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</si>
  <si>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</si>
  <si>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</si>
  <si>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</si>
  <si>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</si>
  <si>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</si>
  <si>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</si>
  <si>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</si>
  <si>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</si>
  <si>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</si>
  <si>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</si>
  <si>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</si>
  <si>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</si>
  <si>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</si>
  <si>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</si>
  <si>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</si>
  <si>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</si>
  <si>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</si>
  <si>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</si>
  <si>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</si>
  <si>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</si>
  <si>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</si>
  <si>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</si>
  <si>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</si>
  <si>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</si>
  <si>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</si>
  <si>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</si>
  <si>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</si>
  <si>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</si>
  <si>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</si>
  <si>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</si>
  <si>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</si>
  <si>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</si>
  <si>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</si>
  <si>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</si>
  <si>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</si>
  <si>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</si>
  <si>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</si>
  <si>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</si>
  <si>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</si>
  <si>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</si>
  <si>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</si>
  <si>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</si>
  <si>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</si>
  <si>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</si>
  <si>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</si>
  <si>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</si>
  <si>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</si>
  <si>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</si>
  <si>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</si>
  <si>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</si>
  <si>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</si>
  <si>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</si>
  <si>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</si>
  <si>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</si>
  <si>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</si>
  <si>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</si>
  <si>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</si>
  <si>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</si>
  <si>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</si>
  <si>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</si>
  <si>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</si>
  <si>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</si>
  <si>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</si>
  <si>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</si>
  <si>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</si>
  <si>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</si>
  <si>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</si>
  <si>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</si>
  <si>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</si>
  <si>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</si>
  <si>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</si>
  <si>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</si>
  <si>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</si>
  <si>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</si>
  <si>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</si>
  <si>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</si>
  <si>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</si>
  <si>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</si>
  <si>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</si>
  <si>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</si>
  <si>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</si>
  <si>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</si>
  <si>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</si>
  <si>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</si>
  <si>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</si>
  <si>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</si>
  <si>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</si>
  <si>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</si>
  <si>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</si>
  <si>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</si>
  <si>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</si>
  <si>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</si>
  <si>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</si>
  <si>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</si>
  <si>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</si>
  <si>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</si>
  <si>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</si>
  <si>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</si>
  <si>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</si>
  <si>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</si>
  <si>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</si>
  <si>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</si>
  <si>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</si>
  <si>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</si>
  <si>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</si>
  <si>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</si>
  <si>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</si>
  <si>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</si>
  <si>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</si>
  <si>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</si>
  <si>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</si>
  <si>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</si>
  <si>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</si>
  <si>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</si>
  <si>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</si>
  <si>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</si>
  <si>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</si>
  <si>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</si>
  <si>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</si>
  <si>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</si>
  <si>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</si>
  <si>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</si>
  <si>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</si>
  <si>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</si>
  <si>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</si>
  <si>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</si>
  <si>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</si>
  <si>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</si>
  <si>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</si>
  <si>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</si>
  <si>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</si>
  <si>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</si>
  <si>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</si>
  <si>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</si>
  <si>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</si>
  <si>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</si>
  <si>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</si>
  <si>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</si>
  <si>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</si>
  <si>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</si>
  <si>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</si>
  <si>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</si>
  <si>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</si>
  <si>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</si>
  <si>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</si>
  <si>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</si>
  <si>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</si>
  <si>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</si>
  <si>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</si>
  <si>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</si>
  <si>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</si>
  <si>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</si>
  <si>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</si>
  <si>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</si>
  <si>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</si>
  <si>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</si>
  <si>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</si>
  <si>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</si>
  <si>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</si>
  <si>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</si>
  <si>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</si>
  <si>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</si>
  <si>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</si>
  <si>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</si>
  <si>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</si>
  <si>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</si>
  <si>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</si>
  <si>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</si>
  <si>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</si>
  <si>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</si>
  <si>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</si>
  <si>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</si>
  <si>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</si>
  <si>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</si>
  <si>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</si>
  <si>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</si>
  <si>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</si>
  <si>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</si>
  <si>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</si>
  <si>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</si>
  <si>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</si>
  <si>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</si>
  <si>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</si>
  <si>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</si>
  <si>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</si>
  <si>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</si>
  <si>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</si>
  <si>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</si>
  <si>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</si>
  <si>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</si>
  <si>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</si>
  <si>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</si>
  <si>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</si>
  <si>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</si>
  <si>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</si>
  <si>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</si>
  <si>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</si>
  <si>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</si>
  <si>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</si>
  <si>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</si>
  <si>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</si>
  <si>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</si>
  <si>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</si>
  <si>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</si>
  <si>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</si>
  <si>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</si>
  <si>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</si>
  <si>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</si>
  <si>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</si>
  <si>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</si>
  <si>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</si>
  <si>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</si>
  <si>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</si>
  <si>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</si>
  <si>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</si>
  <si>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</si>
  <si>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</si>
  <si>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</si>
  <si>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</si>
  <si>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</si>
  <si>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</si>
  <si>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</si>
  <si>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</si>
  <si>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</si>
  <si>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</si>
  <si>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</si>
  <si>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</si>
  <si>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</si>
  <si>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</si>
  <si>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</si>
  <si>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</si>
  <si>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</si>
  <si>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</si>
  <si>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</si>
  <si>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</si>
  <si>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</si>
  <si>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</si>
  <si>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</si>
  <si>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</si>
  <si>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</si>
  <si>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</si>
  <si>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</si>
  <si>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</si>
  <si>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</si>
  <si>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</si>
  <si>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</si>
  <si>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</si>
  <si>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</si>
  <si>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</si>
  <si>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</si>
  <si>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</si>
  <si>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</si>
  <si>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</si>
  <si>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</si>
  <si>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</si>
  <si>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</si>
  <si>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</si>
  <si>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</si>
  <si>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</si>
  <si>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</si>
  <si>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</si>
  <si>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</si>
  <si>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</si>
  <si>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</si>
  <si>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</si>
  <si>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</si>
  <si>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</si>
  <si>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</si>
  <si>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</si>
  <si>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</si>
  <si>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</si>
  <si>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</si>
  <si>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</si>
  <si>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</si>
  <si>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</si>
  <si>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</si>
  <si>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</si>
  <si>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</si>
  <si>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</si>
  <si>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</si>
  <si>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</si>
  <si>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</si>
  <si>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</si>
  <si>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</si>
  <si>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</si>
  <si>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</si>
  <si>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</si>
  <si>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</si>
  <si>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</si>
  <si>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</si>
  <si>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</si>
  <si>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</si>
  <si>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</si>
  <si>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</si>
  <si>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</si>
  <si>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</si>
  <si>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</si>
  <si>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</si>
  <si>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</si>
  <si>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</si>
  <si>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</si>
  <si>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</si>
  <si>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</si>
  <si>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</si>
  <si>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</si>
  <si>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</si>
  <si>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</si>
  <si>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</si>
  <si>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</si>
  <si>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</si>
  <si>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</si>
  <si>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</si>
  <si>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</si>
  <si>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</si>
  <si>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</si>
  <si>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</si>
  <si>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</si>
  <si>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</si>
  <si>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</si>
  <si>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</si>
  <si>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</si>
  <si>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</si>
  <si>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</si>
  <si>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</si>
  <si>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</si>
  <si>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</si>
  <si>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</si>
  <si>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</si>
  <si>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</si>
  <si>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</si>
  <si>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</si>
  <si>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</si>
  <si>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</si>
  <si>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</si>
  <si>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</si>
  <si>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</si>
  <si>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</si>
  <si>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</si>
  <si>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</si>
  <si>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</si>
  <si>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</si>
  <si>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</si>
  <si>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</si>
  <si>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</si>
  <si>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</si>
  <si>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</si>
  <si>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</si>
  <si>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</si>
  <si>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</si>
  <si>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</si>
  <si>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</si>
  <si>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</si>
  <si>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</si>
  <si>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</si>
  <si>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</si>
  <si>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</si>
  <si>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</si>
  <si>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</si>
  <si>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</si>
  <si>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</si>
  <si>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</si>
  <si>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</si>
  <si>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</si>
  <si>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</si>
  <si>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</si>
  <si>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</si>
  <si>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</si>
  <si>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</si>
  <si>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</si>
  <si>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</si>
  <si>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</si>
  <si>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</si>
  <si>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</si>
  <si>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</si>
  <si>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</si>
  <si>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</si>
  <si>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</si>
  <si>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</si>
  <si>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</si>
  <si>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</si>
  <si>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</si>
  <si>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</si>
  <si>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</si>
  <si>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</si>
  <si>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</si>
  <si>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</si>
  <si>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</si>
  <si>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</si>
  <si>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</si>
  <si>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</si>
  <si>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</si>
  <si>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</si>
  <si>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</si>
  <si>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</si>
  <si>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</si>
  <si>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</si>
  <si>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</si>
  <si>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</si>
  <si>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</si>
  <si>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</si>
  <si>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</si>
  <si>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</si>
  <si>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</si>
  <si>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</si>
  <si>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</si>
  <si>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</si>
  <si>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</si>
  <si>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</si>
  <si>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</si>
  <si>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</si>
  <si>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</si>
  <si>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</si>
  <si>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</si>
  <si>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</si>
  <si>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</si>
  <si>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</si>
  <si>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</si>
  <si>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</si>
  <si>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</si>
  <si>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</si>
  <si>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</si>
  <si>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</si>
  <si>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</si>
  <si>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</si>
  <si>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</si>
  <si>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</si>
  <si>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</si>
  <si>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</si>
  <si>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</si>
  <si>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</si>
  <si>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</si>
  <si>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</si>
  <si>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</si>
  <si>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</si>
  <si>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</si>
  <si>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</si>
  <si>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</si>
  <si>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</si>
  <si>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</si>
  <si>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</si>
  <si>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</si>
  <si>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</si>
  <si>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</si>
  <si>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</si>
  <si>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</si>
  <si>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</si>
  <si>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</si>
  <si>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</si>
  <si>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</si>
  <si>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</si>
  <si>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</si>
  <si>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</si>
  <si>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</si>
  <si>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</si>
  <si>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</si>
  <si>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</si>
  <si>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</si>
  <si>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</si>
  <si>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</si>
  <si>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</si>
  <si>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</si>
  <si>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</si>
  <si>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</si>
  <si>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</si>
  <si>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</si>
  <si>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</si>
  <si>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</si>
  <si>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</si>
  <si>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</si>
  <si>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</si>
  <si>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</si>
  <si>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</si>
  <si>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</si>
  <si>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</si>
  <si>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</si>
  <si>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</si>
  <si>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</si>
  <si>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</si>
  <si>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</si>
  <si>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</si>
  <si>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</si>
  <si>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</si>
  <si>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</si>
  <si>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</si>
  <si>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</si>
  <si>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</si>
  <si>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</si>
  <si>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</si>
  <si>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</si>
  <si>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</si>
  <si>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</si>
  <si>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</si>
  <si>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</si>
  <si>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</si>
  <si>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</si>
  <si>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</si>
  <si>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</si>
  <si>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</si>
  <si>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</si>
  <si>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</si>
  <si>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</si>
  <si>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</si>
  <si>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</si>
  <si>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</si>
  <si>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</si>
  <si>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</si>
  <si>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</si>
  <si>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</si>
  <si>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</si>
  <si>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</si>
  <si>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</si>
  <si>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</si>
  <si>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</si>
  <si>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</si>
  <si>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</si>
  <si>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</si>
  <si>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</si>
  <si>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</si>
  <si>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</si>
  <si>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</si>
  <si>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</si>
  <si>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</si>
  <si>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</si>
  <si>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</si>
  <si>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</si>
  <si>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</si>
  <si>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</si>
  <si>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</si>
  <si>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</si>
  <si>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</si>
  <si>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</si>
  <si>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</si>
  <si>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</si>
  <si>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</si>
  <si>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</si>
  <si>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</si>
  <si>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</si>
  <si>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</si>
  <si>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</si>
  <si>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</si>
  <si>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</si>
  <si>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</si>
  <si>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</si>
  <si>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</si>
  <si>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</si>
  <si>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</si>
  <si>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</si>
  <si>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</si>
  <si>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</si>
  <si>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</si>
  <si>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</si>
  <si>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</si>
  <si>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</si>
  <si>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</si>
  <si>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</si>
  <si>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</si>
  <si>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</si>
  <si>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</si>
  <si>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</si>
  <si>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</si>
  <si>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</si>
  <si>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</si>
  <si>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</si>
  <si>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</si>
  <si>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</si>
  <si>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</si>
  <si>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</si>
  <si>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</si>
  <si>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</si>
  <si>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</si>
  <si>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</si>
  <si>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</si>
  <si>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</si>
  <si>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</si>
  <si>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</si>
  <si>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</si>
  <si>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</si>
  <si>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</si>
  <si>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</si>
  <si>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</si>
  <si>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</si>
  <si>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</si>
  <si>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</si>
  <si>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</si>
  <si>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</si>
  <si>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</si>
  <si>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</si>
  <si>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</si>
  <si>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</si>
  <si>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</si>
  <si>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</si>
  <si>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</si>
  <si>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</si>
  <si>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</si>
  <si>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</si>
  <si>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</si>
  <si>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</si>
  <si>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</si>
  <si>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</si>
  <si>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</si>
  <si>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</si>
  <si>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</si>
  <si>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</si>
  <si>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</si>
  <si>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</si>
  <si>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</si>
  <si>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</si>
  <si>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</si>
  <si>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</si>
  <si>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</si>
  <si>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</si>
  <si>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</si>
  <si>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</si>
  <si>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</si>
  <si>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</si>
  <si>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</si>
  <si>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</si>
  <si>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</si>
  <si>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</si>
  <si>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</si>
  <si>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</si>
  <si>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</si>
  <si>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</si>
  <si>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</si>
  <si>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</si>
  <si>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</si>
  <si>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</si>
  <si>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</si>
  <si>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</si>
  <si>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</si>
  <si>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</si>
  <si>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</si>
  <si>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</si>
  <si>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</si>
  <si>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</si>
  <si>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</si>
  <si>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</si>
  <si>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</si>
  <si>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</si>
  <si>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</si>
  <si>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</si>
  <si>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</si>
  <si>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</si>
  <si>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</si>
  <si>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</si>
  <si>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</si>
  <si>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</si>
  <si>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</si>
  <si>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</si>
  <si>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</si>
  <si>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</si>
  <si>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</si>
  <si>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</si>
  <si>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</si>
  <si>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</si>
  <si>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</si>
  <si>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</si>
  <si>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</si>
  <si>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</si>
  <si>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</si>
  <si>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</si>
  <si>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</si>
  <si>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</si>
  <si>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</si>
  <si>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</si>
  <si>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</si>
  <si>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</si>
  <si>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</si>
  <si>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</si>
  <si>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</si>
  <si>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</si>
  <si>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</si>
  <si>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</si>
  <si>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</si>
  <si>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</si>
  <si>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</si>
  <si>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</si>
  <si>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</si>
  <si>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</si>
  <si>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</si>
  <si>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</si>
  <si>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</si>
  <si>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</si>
  <si>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</si>
  <si>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</si>
  <si>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</si>
  <si>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</si>
  <si>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</si>
  <si>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</si>
  <si>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</si>
  <si>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</si>
  <si>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</si>
  <si>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</si>
  <si>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</si>
  <si>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</si>
  <si>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</si>
  <si>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</si>
  <si>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</si>
  <si>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</si>
  <si>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</si>
  <si>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</si>
  <si>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</si>
  <si>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</si>
  <si>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</si>
  <si>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</si>
  <si>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</si>
  <si>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</si>
  <si>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</si>
  <si>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</si>
  <si>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</si>
  <si>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</si>
  <si>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</si>
  <si>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</si>
  <si>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</si>
  <si>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</si>
  <si>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</si>
  <si>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</si>
  <si>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</si>
  <si>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</si>
  <si>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</si>
  <si>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</si>
  <si>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</si>
  <si>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</si>
  <si>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</si>
  <si>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</si>
  <si>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</si>
  <si>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</si>
  <si>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</si>
  <si>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</si>
  <si>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</si>
  <si>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</si>
  <si>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</si>
  <si>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</si>
  <si>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</si>
  <si>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</si>
  <si>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</si>
  <si>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</si>
  <si>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</si>
  <si>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</si>
  <si>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</si>
  <si>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</si>
  <si>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</si>
  <si>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</si>
  <si>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</si>
  <si>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</si>
  <si>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</si>
  <si>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</si>
  <si>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</si>
  <si>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</si>
  <si>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</si>
  <si>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</si>
  <si>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</si>
  <si>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</si>
  <si>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</si>
  <si>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</si>
  <si>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</si>
  <si>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</si>
  <si>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</si>
  <si>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</si>
  <si>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</si>
  <si>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</si>
  <si>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</si>
  <si>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</si>
  <si>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</si>
  <si>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</si>
  <si>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</si>
  <si>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</si>
  <si>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</si>
  <si>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</si>
  <si>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</si>
  <si>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</si>
  <si>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</si>
  <si>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</si>
  <si>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</si>
  <si>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</si>
  <si>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</si>
  <si>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</si>
  <si>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</si>
  <si>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</si>
  <si>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</si>
  <si>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</si>
  <si>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</si>
  <si>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</si>
  <si>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</si>
  <si>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</si>
  <si>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</si>
  <si>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</si>
  <si>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</si>
  <si>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</si>
  <si>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</si>
  <si>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</si>
  <si>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</si>
  <si>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</si>
  <si>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</si>
  <si>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</si>
  <si>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</si>
  <si>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</si>
  <si>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</si>
  <si>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</si>
  <si>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</si>
  <si>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</si>
  <si>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</si>
  <si>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</si>
  <si>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</si>
  <si>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</si>
  <si>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</si>
  <si>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</si>
  <si>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</si>
  <si>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</si>
  <si>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</si>
  <si>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</si>
  <si>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</si>
  <si>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</si>
  <si>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</si>
  <si>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</si>
  <si>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</si>
  <si>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</si>
  <si>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</si>
  <si>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</si>
  <si>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</si>
  <si>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</si>
  <si>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</si>
  <si>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</si>
  <si>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</si>
  <si>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</si>
  <si>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</si>
  <si>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</si>
  <si>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</si>
  <si>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</si>
  <si>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</si>
  <si>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</si>
  <si>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</si>
  <si>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</si>
  <si>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</si>
  <si>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</si>
  <si>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</si>
  <si>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</si>
  <si>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</si>
  <si>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</si>
  <si>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</si>
  <si>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</si>
  <si>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</si>
  <si>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</si>
  <si>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</si>
  <si>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</si>
  <si>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</si>
  <si>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</si>
  <si>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</si>
  <si>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</si>
  <si>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</si>
  <si>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</si>
  <si>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</si>
  <si>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</si>
  <si>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</si>
  <si>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</si>
  <si>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</si>
  <si>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</si>
  <si>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</si>
  <si>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</si>
  <si>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</si>
  <si>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</si>
  <si>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</si>
  <si>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</si>
  <si>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</si>
  <si>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</si>
  <si>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</si>
  <si>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</si>
  <si>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</si>
  <si>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</si>
  <si>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</si>
  <si>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</si>
  <si>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</si>
  <si>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</si>
  <si>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</si>
  <si>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</si>
  <si>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</si>
  <si>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</si>
  <si>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</si>
  <si>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</si>
  <si>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</si>
  <si>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</si>
  <si>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</si>
  <si>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</si>
  <si>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</si>
  <si>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</si>
  <si>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</si>
  <si>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</si>
  <si>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</si>
  <si>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</si>
  <si>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</si>
  <si>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</si>
  <si>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</si>
  <si>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</si>
  <si>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</si>
  <si>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</si>
  <si>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</si>
  <si>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</si>
  <si>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</si>
  <si>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</si>
  <si>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</si>
  <si>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</si>
  <si>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</si>
  <si>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</si>
  <si>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</si>
  <si>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</si>
  <si>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</si>
  <si>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</si>
  <si>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</si>
  <si>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</si>
  <si>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</si>
  <si>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</si>
  <si>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</si>
  <si>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</si>
  <si>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</si>
  <si>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</si>
  <si>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</si>
  <si>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</si>
  <si>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</si>
  <si>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</si>
  <si>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</si>
  <si>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</si>
  <si>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</si>
  <si>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</si>
  <si>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</si>
  <si>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</si>
  <si>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</si>
  <si>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</si>
  <si>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</si>
  <si>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</si>
  <si>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</si>
  <si>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</si>
  <si>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</si>
  <si>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</si>
  <si>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</si>
  <si>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</si>
  <si>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</si>
  <si>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</si>
  <si>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</si>
  <si>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</si>
  <si>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</si>
  <si>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</si>
  <si>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</si>
  <si>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</si>
  <si>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</si>
  <si>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</si>
  <si>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</si>
  <si>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</si>
  <si>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</si>
  <si>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</si>
  <si>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</si>
  <si>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</si>
  <si>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</si>
  <si>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</si>
  <si>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</si>
  <si>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</si>
  <si>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</si>
  <si>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</si>
  <si>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</si>
  <si>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</si>
  <si>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</si>
  <si>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</si>
  <si>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</si>
  <si>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</si>
  <si>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</si>
  <si>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</si>
  <si>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</si>
  <si>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</si>
  <si>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bloccato per Giorgio Sorbino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</si>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</sst>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5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2"/>
  <sheetViews>
    <sheetView tabSelected="1" zoomScaleNormal="100" workbookViewId="0">
      <pane ySplit="7" topLeftCell="A148" activePane="bottomLeft" state="frozen"/>
      <selection pane="bottomLeft" activeCell="D153" sqref="D153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134</v>
      </c>
      <c r="F3" s="5">
        <f>+AD6</f>
        <v>135</v>
      </c>
      <c r="G3" s="5">
        <f>+AF6</f>
        <v>130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317</v>
      </c>
      <c r="G4" s="7">
        <f>+AG6</f>
        <v>281</v>
      </c>
      <c r="H4" s="5">
        <f>+E4-G4</f>
        <v>50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465</v>
      </c>
      <c r="F5" s="8">
        <f>+F3+F4</f>
        <v>452</v>
      </c>
      <c r="G5" s="8">
        <f>+G3+G4</f>
        <v>411</v>
      </c>
      <c r="H5" s="8">
        <f>+H3+H4</f>
        <v>54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SUM(S8:S2455)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SUM(AD8:AD1724)</f>
        <v>135</v>
      </c>
      <c r="AE6" s="1">
        <f t="shared" si="1"/>
        <v>317</v>
      </c>
      <c r="AF6" s="1">
        <f t="shared" si="1"/>
        <v>130</v>
      </c>
      <c r="AG6" s="1">
        <f t="shared" si="1"/>
        <v>281</v>
      </c>
      <c r="AH6" s="1">
        <f t="shared" si="1"/>
        <v>134</v>
      </c>
      <c r="AI6" s="1">
        <f t="shared" si="1"/>
        <v>331</v>
      </c>
    </row>
    <row r="7" spans="1:35" s="61" customFormat="1" ht="14.25" customHeight="1" x14ac:dyDescent="0.25">
      <c r="A7" s="27" t="s">
        <v>1336</v>
      </c>
      <c r="B7" s="27" t="s">
        <v>1337</v>
      </c>
      <c r="C7" s="27" t="s">
        <v>1338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1339</v>
      </c>
      <c r="K7" s="27" t="s">
        <v>1594</v>
      </c>
      <c r="L7" s="27" t="s">
        <v>17</v>
      </c>
      <c r="M7" s="29" t="s">
        <v>1340</v>
      </c>
      <c r="N7" s="28" t="s">
        <v>0</v>
      </c>
      <c r="O7" s="18" t="s">
        <v>1</v>
      </c>
      <c r="P7" s="18" t="s">
        <v>2</v>
      </c>
      <c r="Q7" s="29" t="s">
        <v>1831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1552</v>
      </c>
      <c r="E9" s="32" t="s">
        <v>170</v>
      </c>
      <c r="F9" s="32" t="s">
        <v>1502</v>
      </c>
      <c r="G9" s="32" t="s">
        <v>39</v>
      </c>
      <c r="H9" s="32" t="s">
        <v>361</v>
      </c>
      <c r="I9" s="31" t="s">
        <v>1503</v>
      </c>
      <c r="J9" s="31">
        <v>99</v>
      </c>
      <c r="K9" s="33" t="s">
        <v>941</v>
      </c>
      <c r="L9" s="33" t="s">
        <v>1661</v>
      </c>
      <c r="M9" s="34" t="s">
        <v>1344</v>
      </c>
      <c r="N9" s="34" t="s">
        <v>1687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941</v>
      </c>
      <c r="L10" s="33" t="s">
        <v>1662</v>
      </c>
      <c r="M10" s="34" t="s">
        <v>1341</v>
      </c>
      <c r="N10" s="34" t="s">
        <v>1800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1009</v>
      </c>
      <c r="E11" s="32" t="s">
        <v>173</v>
      </c>
      <c r="F11" s="32" t="s">
        <v>1067</v>
      </c>
      <c r="G11" s="32" t="s">
        <v>39</v>
      </c>
      <c r="H11" s="32" t="s">
        <v>1010</v>
      </c>
      <c r="I11" s="31" t="s">
        <v>1089</v>
      </c>
      <c r="J11" s="31">
        <v>16</v>
      </c>
      <c r="K11" s="33" t="s">
        <v>939</v>
      </c>
      <c r="L11" s="33">
        <v>45</v>
      </c>
      <c r="M11" s="34" t="s">
        <v>1342</v>
      </c>
      <c r="N11" s="34" t="s">
        <v>1776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943</v>
      </c>
      <c r="L12" s="33" t="s">
        <v>1665</v>
      </c>
      <c r="M12" s="34" t="s">
        <v>1096</v>
      </c>
      <c r="N12" s="34" t="s">
        <v>1752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941</v>
      </c>
      <c r="L13" s="33" t="s">
        <v>1666</v>
      </c>
      <c r="M13" s="34" t="s">
        <v>1096</v>
      </c>
      <c r="N13" s="34" t="s">
        <v>1752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1261</v>
      </c>
      <c r="G14" s="32" t="s">
        <v>239</v>
      </c>
      <c r="H14" s="32" t="s">
        <v>352</v>
      </c>
      <c r="I14" s="31" t="s">
        <v>1326</v>
      </c>
      <c r="J14" s="31">
        <v>1</v>
      </c>
      <c r="K14" s="33" t="s">
        <v>937</v>
      </c>
      <c r="L14" s="33" t="s">
        <v>1668</v>
      </c>
      <c r="M14" s="34" t="s">
        <v>1343</v>
      </c>
      <c r="N14" s="34" t="s">
        <v>1700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941</v>
      </c>
      <c r="L15" s="33">
        <v>135</v>
      </c>
      <c r="M15" s="34" t="s">
        <v>2105</v>
      </c>
      <c r="N15" s="34" t="s">
        <v>1800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1658</v>
      </c>
      <c r="L16" s="33" t="s">
        <v>39</v>
      </c>
      <c r="M16" s="34" t="s">
        <v>39</v>
      </c>
      <c r="N16" s="34" t="s">
        <v>1693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1068</v>
      </c>
      <c r="G17" s="32" t="s">
        <v>39</v>
      </c>
      <c r="H17" s="32" t="s">
        <v>353</v>
      </c>
      <c r="I17" s="31" t="s">
        <v>1090</v>
      </c>
      <c r="J17" s="31">
        <v>11</v>
      </c>
      <c r="K17" s="33" t="s">
        <v>943</v>
      </c>
      <c r="L17" s="33" t="s">
        <v>1674</v>
      </c>
      <c r="M17" s="34" t="s">
        <v>1344</v>
      </c>
      <c r="N17" s="34" t="s">
        <v>1707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937</v>
      </c>
      <c r="L18" s="33" t="s">
        <v>2153</v>
      </c>
      <c r="M18" s="34" t="s">
        <v>1344</v>
      </c>
      <c r="N18" s="34" t="s">
        <v>1776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942</v>
      </c>
      <c r="L19" s="33">
        <v>200</v>
      </c>
      <c r="M19" s="34" t="s">
        <v>39</v>
      </c>
      <c r="N19" s="34" t="s">
        <v>1800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944</v>
      </c>
      <c r="L20" s="33" t="s">
        <v>39</v>
      </c>
      <c r="M20" s="34" t="s">
        <v>39</v>
      </c>
      <c r="N20" s="34" t="s">
        <v>1693</v>
      </c>
      <c r="O20" s="35">
        <v>1</v>
      </c>
      <c r="P20" s="35">
        <v>1</v>
      </c>
      <c r="Q20" s="32" t="s">
        <v>1843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937</v>
      </c>
      <c r="L21" s="33" t="s">
        <v>39</v>
      </c>
      <c r="M21" s="34" t="s">
        <v>39</v>
      </c>
      <c r="N21" s="34" t="s">
        <v>1687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944</v>
      </c>
      <c r="L22" s="33" t="s">
        <v>39</v>
      </c>
      <c r="M22" s="34" t="s">
        <v>39</v>
      </c>
      <c r="N22" s="34" t="s">
        <v>1693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1138</v>
      </c>
      <c r="H23" s="32" t="s">
        <v>352</v>
      </c>
      <c r="I23" s="31" t="s">
        <v>483</v>
      </c>
      <c r="J23" s="31">
        <v>1</v>
      </c>
      <c r="K23" s="33" t="s">
        <v>937</v>
      </c>
      <c r="L23" s="33" t="s">
        <v>1666</v>
      </c>
      <c r="M23" s="34" t="s">
        <v>1096</v>
      </c>
      <c r="N23" s="34" t="s">
        <v>1696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1549</v>
      </c>
      <c r="E24" s="32" t="s">
        <v>170</v>
      </c>
      <c r="F24" s="32" t="s">
        <v>1550</v>
      </c>
      <c r="G24" s="32" t="s">
        <v>212</v>
      </c>
      <c r="H24" s="32" t="s">
        <v>352</v>
      </c>
      <c r="I24" s="31" t="s">
        <v>1551</v>
      </c>
      <c r="J24" s="31">
        <v>1</v>
      </c>
      <c r="K24" s="33" t="s">
        <v>943</v>
      </c>
      <c r="L24" s="33" t="s">
        <v>39</v>
      </c>
      <c r="M24" s="34" t="s">
        <v>39</v>
      </c>
      <c r="N24" s="34" t="s">
        <v>1687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1028</v>
      </c>
      <c r="E25" s="32" t="s">
        <v>170</v>
      </c>
      <c r="F25" s="32" t="s">
        <v>1072</v>
      </c>
      <c r="G25" s="32" t="s">
        <v>1015</v>
      </c>
      <c r="H25" s="32" t="s">
        <v>352</v>
      </c>
      <c r="I25" s="31" t="s">
        <v>1029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1701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1693</v>
      </c>
      <c r="O26" s="35">
        <v>1</v>
      </c>
      <c r="P26" s="35">
        <v>1</v>
      </c>
      <c r="Q26" s="32" t="s">
        <v>2100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941</v>
      </c>
      <c r="L27" s="33" t="s">
        <v>1675</v>
      </c>
      <c r="M27" s="34" t="s">
        <v>1345</v>
      </c>
      <c r="N27" s="34" t="s">
        <v>1752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944</v>
      </c>
      <c r="L28" s="33" t="s">
        <v>39</v>
      </c>
      <c r="M28" s="34" t="s">
        <v>39</v>
      </c>
      <c r="N28" s="34" t="s">
        <v>1693</v>
      </c>
      <c r="O28" s="35">
        <v>1</v>
      </c>
      <c r="P28" s="35">
        <v>1</v>
      </c>
      <c r="Q28" s="32" t="s">
        <v>1862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837</v>
      </c>
      <c r="E29" s="32" t="s">
        <v>170</v>
      </c>
      <c r="F29" s="32" t="s">
        <v>838</v>
      </c>
      <c r="G29" s="32" t="s">
        <v>219</v>
      </c>
      <c r="H29" s="32" t="s">
        <v>352</v>
      </c>
      <c r="I29" s="31" t="s">
        <v>839</v>
      </c>
      <c r="J29" s="31">
        <v>8</v>
      </c>
      <c r="K29" s="33" t="s">
        <v>941</v>
      </c>
      <c r="L29" s="33" t="s">
        <v>1670</v>
      </c>
      <c r="M29" s="34" t="s">
        <v>1521</v>
      </c>
      <c r="N29" s="34" t="s">
        <v>1708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937</v>
      </c>
      <c r="L30" s="33" t="s">
        <v>39</v>
      </c>
      <c r="M30" s="34" t="s">
        <v>39</v>
      </c>
      <c r="N30" s="34" t="s">
        <v>1693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941</v>
      </c>
      <c r="L31" s="33">
        <v>70</v>
      </c>
      <c r="M31" s="34" t="s">
        <v>1346</v>
      </c>
      <c r="N31" s="34" t="s">
        <v>1701</v>
      </c>
      <c r="O31" s="35">
        <v>1</v>
      </c>
      <c r="P31" s="35"/>
      <c r="Q31" s="32" t="s">
        <v>1856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937</v>
      </c>
      <c r="L32" s="33" t="s">
        <v>1666</v>
      </c>
      <c r="M32" s="34" t="s">
        <v>1347</v>
      </c>
      <c r="N32" s="34" t="s">
        <v>1708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1510</v>
      </c>
      <c r="E33" s="36" t="s">
        <v>1215</v>
      </c>
      <c r="F33" s="36" t="s">
        <v>1511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1741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1425</v>
      </c>
      <c r="E34" s="36" t="s">
        <v>1427</v>
      </c>
      <c r="F34" s="36" t="s">
        <v>1426</v>
      </c>
      <c r="G34" s="36"/>
      <c r="H34" s="36" t="s">
        <v>1110</v>
      </c>
      <c r="I34" s="37" t="s">
        <v>1428</v>
      </c>
      <c r="J34" s="31">
        <v>99</v>
      </c>
      <c r="K34" s="33" t="s">
        <v>694</v>
      </c>
      <c r="L34" s="33"/>
      <c r="M34" s="34"/>
      <c r="N34" s="34" t="s">
        <v>1687</v>
      </c>
      <c r="O34" s="35">
        <v>1</v>
      </c>
      <c r="P34" s="35">
        <v>1</v>
      </c>
      <c r="Q34" s="36" t="s">
        <v>1870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933</v>
      </c>
      <c r="L35" s="53" t="s">
        <v>680</v>
      </c>
      <c r="M35" s="54" t="s">
        <v>1348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1714</v>
      </c>
      <c r="E37" s="36" t="s">
        <v>154</v>
      </c>
      <c r="F37" s="36" t="s">
        <v>1715</v>
      </c>
      <c r="G37" s="36"/>
      <c r="H37" s="36" t="s">
        <v>1716</v>
      </c>
      <c r="I37" s="37" t="s">
        <v>1717</v>
      </c>
      <c r="J37" s="31">
        <v>18</v>
      </c>
      <c r="K37" s="33" t="s">
        <v>694</v>
      </c>
      <c r="L37" s="33">
        <v>55</v>
      </c>
      <c r="M37" s="34" t="s">
        <v>1440</v>
      </c>
      <c r="N37" s="34" t="s">
        <v>1693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933</v>
      </c>
      <c r="L38" s="33" t="s">
        <v>1663</v>
      </c>
      <c r="M38" s="34" t="s">
        <v>1347</v>
      </c>
      <c r="N38" s="34" t="s">
        <v>1700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1703</v>
      </c>
      <c r="E39" s="36" t="s">
        <v>1704</v>
      </c>
      <c r="F39" s="36" t="s">
        <v>1705</v>
      </c>
      <c r="G39" s="36" t="s">
        <v>319</v>
      </c>
      <c r="H39" s="36" t="s">
        <v>352</v>
      </c>
      <c r="I39" s="37" t="s">
        <v>1706</v>
      </c>
      <c r="J39" s="31">
        <v>99</v>
      </c>
      <c r="K39" s="33" t="s">
        <v>694</v>
      </c>
      <c r="L39" s="33"/>
      <c r="M39" s="34"/>
      <c r="N39" s="34" t="s">
        <v>1693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1088</v>
      </c>
      <c r="J40" s="31">
        <v>8</v>
      </c>
      <c r="K40" s="33" t="s">
        <v>933</v>
      </c>
      <c r="L40" s="33" t="s">
        <v>1660</v>
      </c>
      <c r="M40" s="34" t="s">
        <v>1342</v>
      </c>
      <c r="N40" s="34" t="s">
        <v>1800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1474</v>
      </c>
      <c r="E41" s="36" t="s">
        <v>174</v>
      </c>
      <c r="F41" s="36" t="s">
        <v>1621</v>
      </c>
      <c r="G41" s="36" t="s">
        <v>1476</v>
      </c>
      <c r="H41" s="36" t="s">
        <v>352</v>
      </c>
      <c r="I41" s="37" t="s">
        <v>1475</v>
      </c>
      <c r="J41" s="31">
        <v>99</v>
      </c>
      <c r="K41" s="33" t="s">
        <v>934</v>
      </c>
      <c r="L41" s="33" t="s">
        <v>39</v>
      </c>
      <c r="M41" s="34" t="s">
        <v>39</v>
      </c>
      <c r="N41" s="34" t="s">
        <v>1687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861</v>
      </c>
      <c r="E42" s="32" t="s">
        <v>173</v>
      </c>
      <c r="F42" s="32" t="s">
        <v>862</v>
      </c>
      <c r="G42" s="32" t="s">
        <v>39</v>
      </c>
      <c r="H42" s="32" t="s">
        <v>373</v>
      </c>
      <c r="I42" s="31" t="s">
        <v>863</v>
      </c>
      <c r="J42" s="31">
        <v>12</v>
      </c>
      <c r="K42" s="33" t="s">
        <v>693</v>
      </c>
      <c r="L42" s="33" t="s">
        <v>1664</v>
      </c>
      <c r="M42" s="34" t="s">
        <v>1349</v>
      </c>
      <c r="N42" s="34" t="s">
        <v>1776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1766</v>
      </c>
      <c r="E43" s="32" t="s">
        <v>174</v>
      </c>
      <c r="F43" s="32" t="s">
        <v>1767</v>
      </c>
      <c r="G43" s="32" t="s">
        <v>193</v>
      </c>
      <c r="H43" s="32" t="s">
        <v>352</v>
      </c>
      <c r="I43" s="31" t="s">
        <v>1768</v>
      </c>
      <c r="J43" s="31">
        <v>9</v>
      </c>
      <c r="K43" s="33" t="s">
        <v>694</v>
      </c>
      <c r="L43" s="33">
        <v>60</v>
      </c>
      <c r="M43" s="34" t="s">
        <v>1769</v>
      </c>
      <c r="N43" s="34" t="s">
        <v>1800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933</v>
      </c>
      <c r="L44" s="33" t="s">
        <v>684</v>
      </c>
      <c r="M44" s="34" t="s">
        <v>682</v>
      </c>
      <c r="N44" s="34" t="s">
        <v>1713</v>
      </c>
      <c r="O44" s="35">
        <v>1</v>
      </c>
      <c r="P44" s="35"/>
      <c r="Q44" s="32" t="s">
        <v>1857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819</v>
      </c>
      <c r="E45" s="32" t="s">
        <v>174</v>
      </c>
      <c r="F45" s="32" t="s">
        <v>821</v>
      </c>
      <c r="G45" s="32" t="s">
        <v>39</v>
      </c>
      <c r="H45" s="32" t="s">
        <v>352</v>
      </c>
      <c r="I45" s="31" t="s">
        <v>820</v>
      </c>
      <c r="J45" s="31">
        <v>99</v>
      </c>
      <c r="K45" s="33" t="s">
        <v>939</v>
      </c>
      <c r="L45" s="33" t="s">
        <v>39</v>
      </c>
      <c r="M45" s="34" t="s">
        <v>39</v>
      </c>
      <c r="N45" s="34" t="s">
        <v>1693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2113</v>
      </c>
      <c r="E46" s="32" t="s">
        <v>174</v>
      </c>
      <c r="F46" s="32" t="s">
        <v>2114</v>
      </c>
      <c r="G46" s="32" t="s">
        <v>177</v>
      </c>
      <c r="H46" s="32" t="s">
        <v>352</v>
      </c>
      <c r="I46" s="31" t="s">
        <v>2115</v>
      </c>
      <c r="J46" s="31">
        <v>1</v>
      </c>
      <c r="K46" s="33" t="s">
        <v>694</v>
      </c>
      <c r="L46" s="33"/>
      <c r="M46" s="34"/>
      <c r="N46" s="34" t="s">
        <v>1693</v>
      </c>
      <c r="O46" s="35">
        <v>1</v>
      </c>
      <c r="P46" s="35">
        <v>1</v>
      </c>
      <c r="Q46" s="32" t="s">
        <v>2116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894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1659</v>
      </c>
      <c r="M47" s="34" t="s">
        <v>1096</v>
      </c>
      <c r="N47" s="34" t="s">
        <v>1776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1596</v>
      </c>
      <c r="E48" s="32" t="s">
        <v>173</v>
      </c>
      <c r="F48" s="32" t="s">
        <v>1622</v>
      </c>
      <c r="G48" s="32" t="s">
        <v>250</v>
      </c>
      <c r="H48" s="32" t="s">
        <v>352</v>
      </c>
      <c r="I48" s="31" t="s">
        <v>1524</v>
      </c>
      <c r="J48" s="31">
        <v>99</v>
      </c>
      <c r="K48" s="33" t="s">
        <v>934</v>
      </c>
      <c r="L48" s="33" t="s">
        <v>39</v>
      </c>
      <c r="M48" s="34" t="s">
        <v>39</v>
      </c>
      <c r="N48" s="34" t="s">
        <v>1687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1492</v>
      </c>
      <c r="E49" s="32" t="s">
        <v>1610</v>
      </c>
      <c r="F49" s="32" t="s">
        <v>1493</v>
      </c>
      <c r="G49" s="32" t="s">
        <v>199</v>
      </c>
      <c r="H49" s="32" t="s">
        <v>352</v>
      </c>
      <c r="I49" s="31" t="s">
        <v>1494</v>
      </c>
      <c r="J49" s="31">
        <v>2</v>
      </c>
      <c r="K49" s="33" t="s">
        <v>933</v>
      </c>
      <c r="L49" s="33">
        <v>70</v>
      </c>
      <c r="M49" s="34" t="s">
        <v>39</v>
      </c>
      <c r="N49" s="34" t="s">
        <v>1741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1430</v>
      </c>
      <c r="E50" s="32" t="s">
        <v>1611</v>
      </c>
      <c r="F50" s="32" t="s">
        <v>1429</v>
      </c>
      <c r="G50" s="32" t="s">
        <v>219</v>
      </c>
      <c r="H50" s="32" t="s">
        <v>352</v>
      </c>
      <c r="I50" s="31" t="s">
        <v>1647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1708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792</v>
      </c>
      <c r="E51" s="16" t="s">
        <v>174</v>
      </c>
      <c r="F51" s="16" t="s">
        <v>793</v>
      </c>
      <c r="G51" s="16" t="s">
        <v>39</v>
      </c>
      <c r="H51" s="16" t="s">
        <v>794</v>
      </c>
      <c r="I51" s="15" t="s">
        <v>795</v>
      </c>
      <c r="J51" s="15">
        <v>11</v>
      </c>
      <c r="K51" s="10" t="s">
        <v>694</v>
      </c>
      <c r="L51" s="10">
        <v>50</v>
      </c>
      <c r="M51" s="19" t="s">
        <v>1096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1434</v>
      </c>
      <c r="E52" s="32"/>
      <c r="F52" s="32" t="s">
        <v>1435</v>
      </c>
      <c r="G52" s="32" t="s">
        <v>1436</v>
      </c>
      <c r="H52" s="32" t="s">
        <v>352</v>
      </c>
      <c r="I52" s="31" t="s">
        <v>1437</v>
      </c>
      <c r="J52" s="31">
        <v>99</v>
      </c>
      <c r="K52" s="33" t="s">
        <v>694</v>
      </c>
      <c r="L52" s="33">
        <v>35</v>
      </c>
      <c r="M52" s="34" t="s">
        <v>1442</v>
      </c>
      <c r="N52" s="34" t="s">
        <v>1700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1946</v>
      </c>
      <c r="E53" s="32" t="s">
        <v>174</v>
      </c>
      <c r="F53" s="32" t="s">
        <v>1947</v>
      </c>
      <c r="G53" s="32" t="s">
        <v>1948</v>
      </c>
      <c r="H53" s="32" t="s">
        <v>352</v>
      </c>
      <c r="I53" s="31" t="s">
        <v>1949</v>
      </c>
      <c r="J53" s="31">
        <v>99</v>
      </c>
      <c r="K53" s="33" t="s">
        <v>694</v>
      </c>
      <c r="L53" s="33"/>
      <c r="M53" s="34"/>
      <c r="N53" s="34" t="s">
        <v>1693</v>
      </c>
      <c r="O53" s="35">
        <v>1</v>
      </c>
      <c r="P53" s="35">
        <v>1</v>
      </c>
      <c r="Q53" s="32" t="s">
        <v>1950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1753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1031</v>
      </c>
      <c r="E55" s="32" t="s">
        <v>174</v>
      </c>
      <c r="F55" s="32" t="s">
        <v>1032</v>
      </c>
      <c r="G55" s="32" t="s">
        <v>1033</v>
      </c>
      <c r="H55" s="32" t="s">
        <v>352</v>
      </c>
      <c r="I55" s="31" t="s">
        <v>1034</v>
      </c>
      <c r="J55" s="31">
        <v>1</v>
      </c>
      <c r="K55" s="33" t="s">
        <v>713</v>
      </c>
      <c r="L55" s="33" t="s">
        <v>678</v>
      </c>
      <c r="M55" s="34" t="s">
        <v>1096</v>
      </c>
      <c r="N55" s="34" t="s">
        <v>1741</v>
      </c>
      <c r="O55" s="35">
        <v>1</v>
      </c>
      <c r="P55" s="35"/>
      <c r="Q55" s="32" t="s">
        <v>1860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2071</v>
      </c>
      <c r="E56" s="16" t="s">
        <v>171</v>
      </c>
      <c r="F56" s="16" t="s">
        <v>2072</v>
      </c>
      <c r="G56" s="16"/>
      <c r="H56" s="16" t="s">
        <v>2073</v>
      </c>
      <c r="I56" s="15" t="s">
        <v>2074</v>
      </c>
      <c r="J56" s="15">
        <v>15</v>
      </c>
      <c r="K56" s="10" t="s">
        <v>694</v>
      </c>
      <c r="L56" s="10" t="s">
        <v>1695</v>
      </c>
      <c r="M56" s="19" t="s">
        <v>1096</v>
      </c>
      <c r="N56" s="17"/>
      <c r="Q56" s="16" t="s">
        <v>2075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1600</v>
      </c>
      <c r="E57" s="32" t="s">
        <v>174</v>
      </c>
      <c r="F57" s="32" t="s">
        <v>1626</v>
      </c>
      <c r="G57" s="32" t="s">
        <v>1627</v>
      </c>
      <c r="H57" s="32" t="s">
        <v>352</v>
      </c>
      <c r="I57" s="31" t="s">
        <v>1441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1707</v>
      </c>
      <c r="O57" s="35">
        <v>1</v>
      </c>
      <c r="P57" s="35"/>
      <c r="Q57" s="32" t="s">
        <v>1996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1660</v>
      </c>
      <c r="M58" s="34" t="s">
        <v>1350</v>
      </c>
      <c r="N58" s="34" t="s">
        <v>1696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1159</v>
      </c>
      <c r="E59" s="16" t="s">
        <v>173</v>
      </c>
      <c r="F59" s="16" t="s">
        <v>1160</v>
      </c>
      <c r="G59" s="16" t="s">
        <v>39</v>
      </c>
      <c r="H59" s="16" t="s">
        <v>1162</v>
      </c>
      <c r="I59" s="15" t="s">
        <v>1161</v>
      </c>
      <c r="J59" s="15">
        <v>17</v>
      </c>
      <c r="K59" s="10" t="s">
        <v>694</v>
      </c>
      <c r="L59" s="10" t="s">
        <v>1351</v>
      </c>
      <c r="M59" s="19" t="s">
        <v>1352</v>
      </c>
      <c r="N59" s="17"/>
      <c r="Q59" s="16" t="s">
        <v>1836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1170</v>
      </c>
      <c r="E60" s="20" t="s">
        <v>173</v>
      </c>
      <c r="F60" s="20" t="s">
        <v>1171</v>
      </c>
      <c r="G60" s="16" t="s">
        <v>39</v>
      </c>
      <c r="H60" s="20" t="s">
        <v>1172</v>
      </c>
      <c r="I60" s="21" t="s">
        <v>1173</v>
      </c>
      <c r="J60" s="15">
        <v>18</v>
      </c>
      <c r="K60" s="10" t="s">
        <v>934</v>
      </c>
      <c r="L60" s="10" t="s">
        <v>686</v>
      </c>
      <c r="M60" s="19" t="s">
        <v>947</v>
      </c>
      <c r="N60" s="17"/>
      <c r="Q60" s="16" t="s">
        <v>1835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1006</v>
      </c>
      <c r="E61" s="20" t="s">
        <v>174</v>
      </c>
      <c r="F61" s="20" t="s">
        <v>1008</v>
      </c>
      <c r="G61" s="16" t="s">
        <v>39</v>
      </c>
      <c r="H61" s="20" t="s">
        <v>363</v>
      </c>
      <c r="I61" s="21" t="s">
        <v>1007</v>
      </c>
      <c r="J61" s="15">
        <v>18</v>
      </c>
      <c r="K61" s="10" t="s">
        <v>693</v>
      </c>
      <c r="L61" s="10" t="s">
        <v>1113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1553</v>
      </c>
      <c r="E62" s="32" t="s">
        <v>174</v>
      </c>
      <c r="F62" s="32" t="s">
        <v>1554</v>
      </c>
      <c r="G62" s="32" t="s">
        <v>1555</v>
      </c>
      <c r="H62" s="32" t="s">
        <v>352</v>
      </c>
      <c r="I62" s="31" t="s">
        <v>1450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1687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1581</v>
      </c>
      <c r="E63" s="32" t="s">
        <v>169</v>
      </c>
      <c r="F63" s="32" t="s">
        <v>1582</v>
      </c>
      <c r="G63" s="32" t="s">
        <v>39</v>
      </c>
      <c r="H63" s="32" t="s">
        <v>353</v>
      </c>
      <c r="I63" s="31" t="s">
        <v>1583</v>
      </c>
      <c r="J63" s="31">
        <v>11</v>
      </c>
      <c r="K63" s="33" t="s">
        <v>934</v>
      </c>
      <c r="L63" s="33" t="s">
        <v>39</v>
      </c>
      <c r="M63" s="34" t="s">
        <v>39</v>
      </c>
      <c r="N63" s="34" t="s">
        <v>1687</v>
      </c>
      <c r="O63" s="35">
        <v>1</v>
      </c>
      <c r="P63" s="35">
        <v>1</v>
      </c>
      <c r="Q63" s="36" t="s">
        <v>1855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1578</v>
      </c>
      <c r="E64" s="32" t="s">
        <v>173</v>
      </c>
      <c r="F64" s="32" t="s">
        <v>1579</v>
      </c>
      <c r="G64" s="32" t="s">
        <v>1446</v>
      </c>
      <c r="H64" s="32" t="s">
        <v>352</v>
      </c>
      <c r="I64" s="31" t="s">
        <v>1580</v>
      </c>
      <c r="J64" s="31">
        <v>99</v>
      </c>
      <c r="K64" s="33" t="s">
        <v>939</v>
      </c>
      <c r="L64" s="33" t="s">
        <v>39</v>
      </c>
      <c r="M64" s="34" t="s">
        <v>39</v>
      </c>
      <c r="N64" s="34" t="s">
        <v>1687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780</v>
      </c>
      <c r="E65" s="32" t="s">
        <v>173</v>
      </c>
      <c r="F65" s="32" t="s">
        <v>782</v>
      </c>
      <c r="G65" s="32" t="s">
        <v>39</v>
      </c>
      <c r="H65" s="32" t="s">
        <v>781</v>
      </c>
      <c r="I65" s="31" t="s">
        <v>783</v>
      </c>
      <c r="J65" s="31">
        <v>14</v>
      </c>
      <c r="K65" s="33" t="s">
        <v>941</v>
      </c>
      <c r="L65" s="33" t="s">
        <v>1666</v>
      </c>
      <c r="M65" s="34" t="s">
        <v>1344</v>
      </c>
      <c r="N65" s="34" t="s">
        <v>1701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1290</v>
      </c>
      <c r="E66" s="45" t="s">
        <v>174</v>
      </c>
      <c r="F66" s="45" t="s">
        <v>1314</v>
      </c>
      <c r="G66" s="45" t="s">
        <v>39</v>
      </c>
      <c r="H66" s="45" t="s">
        <v>361</v>
      </c>
      <c r="I66" s="44" t="s">
        <v>1114</v>
      </c>
      <c r="J66" s="44">
        <v>14</v>
      </c>
      <c r="K66" s="46" t="s">
        <v>713</v>
      </c>
      <c r="L66" s="46" t="s">
        <v>1659</v>
      </c>
      <c r="M66" s="47" t="s">
        <v>949</v>
      </c>
      <c r="N66" s="47" t="s">
        <v>1760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2106</v>
      </c>
      <c r="E67" s="32" t="s">
        <v>174</v>
      </c>
      <c r="F67" s="32" t="s">
        <v>2111</v>
      </c>
      <c r="G67" s="32"/>
      <c r="H67" s="32" t="s">
        <v>2108</v>
      </c>
      <c r="I67" s="31" t="s">
        <v>2107</v>
      </c>
      <c r="J67" s="31">
        <v>16</v>
      </c>
      <c r="K67" s="33" t="s">
        <v>694</v>
      </c>
      <c r="L67" s="33" t="s">
        <v>2109</v>
      </c>
      <c r="M67" s="34" t="s">
        <v>2110</v>
      </c>
      <c r="N67" s="34" t="s">
        <v>1800</v>
      </c>
      <c r="O67" s="35">
        <v>1</v>
      </c>
      <c r="P67" s="35"/>
      <c r="Q67" s="32" t="s">
        <v>2112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1477</v>
      </c>
      <c r="E68" s="32" t="s">
        <v>169</v>
      </c>
      <c r="F68" s="32" t="s">
        <v>1479</v>
      </c>
      <c r="G68" s="32" t="s">
        <v>1137</v>
      </c>
      <c r="H68" s="32" t="s">
        <v>352</v>
      </c>
      <c r="I68" s="31" t="s">
        <v>1478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1109</v>
      </c>
      <c r="E69" s="32" t="s">
        <v>174</v>
      </c>
      <c r="F69" s="32" t="s">
        <v>1112</v>
      </c>
      <c r="G69" s="32" t="s">
        <v>39</v>
      </c>
      <c r="H69" s="32" t="s">
        <v>1110</v>
      </c>
      <c r="I69" s="31" t="s">
        <v>1111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1701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2033</v>
      </c>
      <c r="G70" s="32" t="s">
        <v>2034</v>
      </c>
      <c r="H70" s="32" t="s">
        <v>352</v>
      </c>
      <c r="I70" s="31"/>
      <c r="J70" s="31">
        <v>1</v>
      </c>
      <c r="K70" s="33" t="s">
        <v>937</v>
      </c>
      <c r="L70" s="33" t="s">
        <v>39</v>
      </c>
      <c r="M70" s="34" t="s">
        <v>39</v>
      </c>
      <c r="N70" s="34" t="s">
        <v>1693</v>
      </c>
      <c r="O70" s="35">
        <v>1</v>
      </c>
      <c r="P70" s="35">
        <v>1</v>
      </c>
      <c r="Q70" s="32" t="s">
        <v>2035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1410</v>
      </c>
      <c r="E71" s="32" t="s">
        <v>174</v>
      </c>
      <c r="F71" s="32" t="s">
        <v>1407</v>
      </c>
      <c r="G71" s="32" t="s">
        <v>39</v>
      </c>
      <c r="H71" s="32" t="s">
        <v>352</v>
      </c>
      <c r="I71" s="31" t="s">
        <v>1408</v>
      </c>
      <c r="J71" s="31">
        <v>99</v>
      </c>
      <c r="K71" s="33" t="s">
        <v>693</v>
      </c>
      <c r="L71" s="33" t="s">
        <v>680</v>
      </c>
      <c r="M71" s="34" t="s">
        <v>1409</v>
      </c>
      <c r="N71" s="34" t="s">
        <v>1687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796</v>
      </c>
      <c r="E72" s="32" t="s">
        <v>174</v>
      </c>
      <c r="F72" s="32" t="s">
        <v>914</v>
      </c>
      <c r="G72" s="32" t="s">
        <v>212</v>
      </c>
      <c r="H72" s="32" t="s">
        <v>352</v>
      </c>
      <c r="I72" s="31" t="s">
        <v>797</v>
      </c>
      <c r="J72" s="31">
        <v>1</v>
      </c>
      <c r="K72" s="33" t="s">
        <v>933</v>
      </c>
      <c r="L72" s="33" t="s">
        <v>680</v>
      </c>
      <c r="M72" s="34" t="s">
        <v>682</v>
      </c>
      <c r="N72" s="34" t="s">
        <v>1800</v>
      </c>
      <c r="O72" s="35">
        <v>1</v>
      </c>
      <c r="P72" s="35"/>
      <c r="Q72" s="32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1</v>
      </c>
      <c r="AF72" s="1">
        <f t="shared" si="35"/>
        <v>0</v>
      </c>
      <c r="AG72" s="1">
        <f t="shared" si="36"/>
        <v>1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1291</v>
      </c>
      <c r="E73" s="32" t="s">
        <v>174</v>
      </c>
      <c r="F73" s="32" t="s">
        <v>1102</v>
      </c>
      <c r="G73" s="32" t="s">
        <v>39</v>
      </c>
      <c r="H73" s="32" t="s">
        <v>1101</v>
      </c>
      <c r="I73" s="31" t="s">
        <v>1100</v>
      </c>
      <c r="J73" s="31">
        <v>15</v>
      </c>
      <c r="K73" s="33" t="s">
        <v>934</v>
      </c>
      <c r="L73" s="33">
        <v>75</v>
      </c>
      <c r="M73" s="34" t="s">
        <v>1353</v>
      </c>
      <c r="N73" s="34" t="s">
        <v>1693</v>
      </c>
      <c r="O73" s="35">
        <v>1</v>
      </c>
      <c r="P73" s="35">
        <v>1</v>
      </c>
      <c r="Q73" s="32" t="s">
        <v>1932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1024</v>
      </c>
      <c r="E74" s="32" t="s">
        <v>173</v>
      </c>
      <c r="F74" s="32" t="s">
        <v>1025</v>
      </c>
      <c r="G74" s="32" t="s">
        <v>620</v>
      </c>
      <c r="H74" s="32" t="s">
        <v>352</v>
      </c>
      <c r="I74" s="31" t="s">
        <v>1026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1693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2001</v>
      </c>
      <c r="E75" s="32" t="s">
        <v>1928</v>
      </c>
      <c r="F75" s="32" t="s">
        <v>2002</v>
      </c>
      <c r="G75" s="32" t="s">
        <v>283</v>
      </c>
      <c r="H75" s="32" t="s">
        <v>352</v>
      </c>
      <c r="I75" s="31" t="s">
        <v>2003</v>
      </c>
      <c r="J75" s="31">
        <v>10</v>
      </c>
      <c r="K75" s="33" t="s">
        <v>694</v>
      </c>
      <c r="L75" s="33"/>
      <c r="M75" s="34"/>
      <c r="N75" s="34" t="s">
        <v>1693</v>
      </c>
      <c r="O75" s="35">
        <v>1</v>
      </c>
      <c r="P75" s="35">
        <v>1</v>
      </c>
      <c r="Q75" s="36" t="s">
        <v>2004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1957</v>
      </c>
      <c r="E76" s="32" t="s">
        <v>174</v>
      </c>
      <c r="F76" s="36" t="s">
        <v>1958</v>
      </c>
      <c r="G76" s="36" t="s">
        <v>219</v>
      </c>
      <c r="H76" s="36" t="s">
        <v>352</v>
      </c>
      <c r="I76" s="37" t="s">
        <v>1959</v>
      </c>
      <c r="J76" s="31">
        <v>8</v>
      </c>
      <c r="K76" s="33" t="s">
        <v>694</v>
      </c>
      <c r="L76" s="33"/>
      <c r="M76" s="34"/>
      <c r="N76" s="34" t="s">
        <v>1693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937</v>
      </c>
      <c r="L77" s="33" t="s">
        <v>1672</v>
      </c>
      <c r="M77" s="34" t="s">
        <v>1344</v>
      </c>
      <c r="N77" s="34" t="s">
        <v>1713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1793</v>
      </c>
      <c r="E78" s="32" t="s">
        <v>173</v>
      </c>
      <c r="F78" s="32" t="s">
        <v>1794</v>
      </c>
      <c r="G78" s="32"/>
      <c r="H78" s="32" t="s">
        <v>1795</v>
      </c>
      <c r="I78" s="31" t="s">
        <v>1796</v>
      </c>
      <c r="J78" s="31">
        <v>14</v>
      </c>
      <c r="K78" s="33" t="s">
        <v>694</v>
      </c>
      <c r="L78" s="33">
        <v>75</v>
      </c>
      <c r="M78" s="34" t="s">
        <v>948</v>
      </c>
      <c r="N78" s="34" t="s">
        <v>1696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1684</v>
      </c>
      <c r="E79" s="32" t="s">
        <v>174</v>
      </c>
      <c r="F79" s="36" t="s">
        <v>1685</v>
      </c>
      <c r="G79" s="36" t="s">
        <v>206</v>
      </c>
      <c r="H79" s="36" t="s">
        <v>352</v>
      </c>
      <c r="I79" s="37" t="s">
        <v>1686</v>
      </c>
      <c r="J79" s="31">
        <v>99</v>
      </c>
      <c r="K79" s="33" t="s">
        <v>694</v>
      </c>
      <c r="L79" s="33"/>
      <c r="M79" s="34"/>
      <c r="N79" s="34" t="s">
        <v>1687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1035</v>
      </c>
      <c r="E80" s="32" t="s">
        <v>174</v>
      </c>
      <c r="F80" s="36" t="s">
        <v>1074</v>
      </c>
      <c r="G80" s="36" t="s">
        <v>39</v>
      </c>
      <c r="H80" s="36" t="s">
        <v>1036</v>
      </c>
      <c r="I80" s="37" t="s">
        <v>1133</v>
      </c>
      <c r="J80" s="31">
        <v>13</v>
      </c>
      <c r="K80" s="33" t="s">
        <v>693</v>
      </c>
      <c r="L80" s="33" t="s">
        <v>680</v>
      </c>
      <c r="M80" s="34" t="s">
        <v>1404</v>
      </c>
      <c r="N80" s="34" t="s">
        <v>1701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1556</v>
      </c>
      <c r="E81" s="32" t="s">
        <v>174</v>
      </c>
      <c r="F81" s="36" t="s">
        <v>1557</v>
      </c>
      <c r="G81" s="36" t="s">
        <v>234</v>
      </c>
      <c r="H81" s="36" t="s">
        <v>352</v>
      </c>
      <c r="I81" s="37" t="s">
        <v>1558</v>
      </c>
      <c r="J81" s="31">
        <v>99</v>
      </c>
      <c r="K81" s="33" t="s">
        <v>933</v>
      </c>
      <c r="L81" s="33">
        <v>45</v>
      </c>
      <c r="M81" s="34" t="s">
        <v>39</v>
      </c>
      <c r="N81" s="34" t="s">
        <v>1741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1293</v>
      </c>
      <c r="E82" s="32" t="s">
        <v>173</v>
      </c>
      <c r="F82" s="36" t="s">
        <v>1236</v>
      </c>
      <c r="G82" s="36" t="s">
        <v>206</v>
      </c>
      <c r="H82" s="36" t="s">
        <v>352</v>
      </c>
      <c r="I82" s="37" t="s">
        <v>1237</v>
      </c>
      <c r="J82" s="31">
        <v>99</v>
      </c>
      <c r="K82" s="33" t="s">
        <v>939</v>
      </c>
      <c r="L82" s="33" t="s">
        <v>39</v>
      </c>
      <c r="M82" s="34" t="s">
        <v>39</v>
      </c>
      <c r="N82" s="34" t="s">
        <v>1687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1750</v>
      </c>
      <c r="E83" s="32" t="s">
        <v>169</v>
      </c>
      <c r="F83" s="36" t="s">
        <v>1748</v>
      </c>
      <c r="G83" s="36" t="s">
        <v>231</v>
      </c>
      <c r="H83" s="36" t="s">
        <v>352</v>
      </c>
      <c r="I83" s="37" t="s">
        <v>1749</v>
      </c>
      <c r="J83" s="31">
        <v>99</v>
      </c>
      <c r="K83" s="33" t="s">
        <v>694</v>
      </c>
      <c r="L83" s="33"/>
      <c r="M83" s="34"/>
      <c r="N83" s="34" t="s">
        <v>1687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1130</v>
      </c>
      <c r="E84" s="32" t="s">
        <v>169</v>
      </c>
      <c r="F84" s="36" t="s">
        <v>1131</v>
      </c>
      <c r="G84" s="36" t="s">
        <v>39</v>
      </c>
      <c r="H84" s="36" t="s">
        <v>1325</v>
      </c>
      <c r="I84" s="37" t="s">
        <v>1132</v>
      </c>
      <c r="J84" s="31">
        <v>11</v>
      </c>
      <c r="K84" s="33" t="s">
        <v>693</v>
      </c>
      <c r="L84" s="33" t="s">
        <v>1659</v>
      </c>
      <c r="M84" s="34" t="s">
        <v>1354</v>
      </c>
      <c r="N84" s="34" t="s">
        <v>1701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1776</v>
      </c>
      <c r="O85" s="35">
        <v>1</v>
      </c>
      <c r="P85" s="35"/>
      <c r="Q85" s="36" t="s">
        <v>1832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987</v>
      </c>
      <c r="E86" s="32" t="s">
        <v>171</v>
      </c>
      <c r="F86" s="36" t="s">
        <v>988</v>
      </c>
      <c r="G86" s="36" t="s">
        <v>989</v>
      </c>
      <c r="H86" s="36" t="s">
        <v>352</v>
      </c>
      <c r="I86" s="37" t="s">
        <v>990</v>
      </c>
      <c r="J86" s="31">
        <v>99</v>
      </c>
      <c r="K86" s="33" t="s">
        <v>933</v>
      </c>
      <c r="L86" s="33" t="s">
        <v>39</v>
      </c>
      <c r="M86" s="34" t="s">
        <v>39</v>
      </c>
      <c r="N86" s="34" t="s">
        <v>1693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934</v>
      </c>
      <c r="L87" s="33" t="s">
        <v>678</v>
      </c>
      <c r="M87" s="34" t="s">
        <v>682</v>
      </c>
      <c r="N87" s="34" t="s">
        <v>1696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2052</v>
      </c>
      <c r="E88" s="32" t="s">
        <v>169</v>
      </c>
      <c r="F88" s="36" t="s">
        <v>2053</v>
      </c>
      <c r="G88" s="36" t="s">
        <v>206</v>
      </c>
      <c r="H88" s="36" t="s">
        <v>352</v>
      </c>
      <c r="I88" s="37" t="s">
        <v>2054</v>
      </c>
      <c r="J88" s="31">
        <v>99</v>
      </c>
      <c r="K88" s="33" t="s">
        <v>694</v>
      </c>
      <c r="L88" s="33"/>
      <c r="M88" s="34"/>
      <c r="N88" s="34" t="s">
        <v>1693</v>
      </c>
      <c r="O88" s="35">
        <v>1</v>
      </c>
      <c r="P88" s="35">
        <v>1</v>
      </c>
      <c r="Q88" s="36" t="s">
        <v>2055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1738</v>
      </c>
      <c r="E89" s="16" t="s">
        <v>171</v>
      </c>
      <c r="F89" s="16" t="s">
        <v>1740</v>
      </c>
      <c r="G89" s="16"/>
      <c r="H89" s="16" t="s">
        <v>362</v>
      </c>
      <c r="I89" s="15" t="s">
        <v>1739</v>
      </c>
      <c r="J89" s="15">
        <v>17</v>
      </c>
      <c r="K89" s="10" t="s">
        <v>694</v>
      </c>
      <c r="L89" s="10" t="s">
        <v>1695</v>
      </c>
      <c r="M89" s="19" t="s">
        <v>682</v>
      </c>
      <c r="N89" s="17"/>
      <c r="Q89" s="20" t="s">
        <v>1864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1761</v>
      </c>
      <c r="E90" s="32" t="s">
        <v>171</v>
      </c>
      <c r="F90" s="32" t="s">
        <v>1762</v>
      </c>
      <c r="G90" s="32" t="s">
        <v>1763</v>
      </c>
      <c r="H90" s="32" t="s">
        <v>352</v>
      </c>
      <c r="I90" s="31" t="s">
        <v>1764</v>
      </c>
      <c r="J90" s="31">
        <v>1</v>
      </c>
      <c r="K90" s="33" t="s">
        <v>694</v>
      </c>
      <c r="L90" s="33">
        <v>60</v>
      </c>
      <c r="M90" s="34" t="s">
        <v>1765</v>
      </c>
      <c r="N90" s="34" t="s">
        <v>1800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2011</v>
      </c>
      <c r="E91" s="36" t="s">
        <v>175</v>
      </c>
      <c r="F91" s="36" t="s">
        <v>2009</v>
      </c>
      <c r="G91" s="36" t="s">
        <v>219</v>
      </c>
      <c r="H91" s="36" t="s">
        <v>352</v>
      </c>
      <c r="I91" s="37" t="s">
        <v>2010</v>
      </c>
      <c r="J91" s="31">
        <v>8</v>
      </c>
      <c r="K91" s="33" t="s">
        <v>694</v>
      </c>
      <c r="L91" s="33"/>
      <c r="M91" s="34"/>
      <c r="N91" s="34" t="s">
        <v>1693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1559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1707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1830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933</v>
      </c>
      <c r="L93" s="33" t="s">
        <v>680</v>
      </c>
      <c r="M93" s="34" t="s">
        <v>682</v>
      </c>
      <c r="N93" s="34" t="s">
        <v>1800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771</v>
      </c>
      <c r="E94" s="16" t="s">
        <v>602</v>
      </c>
      <c r="F94" s="16" t="s">
        <v>773</v>
      </c>
      <c r="G94" s="16" t="s">
        <v>213</v>
      </c>
      <c r="H94" s="16" t="s">
        <v>352</v>
      </c>
      <c r="I94" s="15" t="s">
        <v>772</v>
      </c>
      <c r="J94" s="15">
        <v>99</v>
      </c>
      <c r="K94" s="10" t="s">
        <v>713</v>
      </c>
      <c r="L94" s="10" t="s">
        <v>1659</v>
      </c>
      <c r="M94" s="19" t="s">
        <v>1355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933</v>
      </c>
      <c r="L95" s="33" t="s">
        <v>1659</v>
      </c>
      <c r="M95" s="34" t="s">
        <v>947</v>
      </c>
      <c r="N95" s="34" t="s">
        <v>1696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1900</v>
      </c>
      <c r="E96" s="20" t="s">
        <v>1928</v>
      </c>
      <c r="F96" s="20" t="s">
        <v>1929</v>
      </c>
      <c r="G96" s="20"/>
      <c r="H96" s="20" t="s">
        <v>1927</v>
      </c>
      <c r="I96" s="21" t="s">
        <v>1930</v>
      </c>
      <c r="J96" s="15">
        <v>18</v>
      </c>
      <c r="K96" s="10" t="s">
        <v>694</v>
      </c>
      <c r="L96" s="10" t="s">
        <v>1695</v>
      </c>
      <c r="M96" s="19" t="s">
        <v>948</v>
      </c>
      <c r="N96" s="17"/>
      <c r="Q96" s="20" t="s">
        <v>1931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1486</v>
      </c>
      <c r="E97" s="32" t="s">
        <v>175</v>
      </c>
      <c r="F97" s="36" t="s">
        <v>1487</v>
      </c>
      <c r="G97" s="36" t="s">
        <v>39</v>
      </c>
      <c r="H97" s="36" t="s">
        <v>885</v>
      </c>
      <c r="I97" s="37" t="s">
        <v>1488</v>
      </c>
      <c r="J97" s="31">
        <v>11</v>
      </c>
      <c r="K97" s="33" t="s">
        <v>941</v>
      </c>
      <c r="L97" s="33" t="s">
        <v>39</v>
      </c>
      <c r="M97" s="34" t="s">
        <v>39</v>
      </c>
      <c r="N97" s="34" t="s">
        <v>1693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1805</v>
      </c>
      <c r="E98" s="36" t="s">
        <v>171</v>
      </c>
      <c r="F98" s="36" t="s">
        <v>1806</v>
      </c>
      <c r="G98" s="36"/>
      <c r="H98" s="36" t="s">
        <v>1807</v>
      </c>
      <c r="I98" s="37" t="s">
        <v>1808</v>
      </c>
      <c r="J98" s="31">
        <v>15</v>
      </c>
      <c r="K98" s="33" t="s">
        <v>694</v>
      </c>
      <c r="L98" s="33"/>
      <c r="M98" s="34"/>
      <c r="N98" s="34" t="s">
        <v>1693</v>
      </c>
      <c r="O98" s="35">
        <v>1</v>
      </c>
      <c r="P98" s="35">
        <v>1</v>
      </c>
      <c r="Q98" s="36" t="s">
        <v>1842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1299</v>
      </c>
      <c r="F99" s="32" t="s">
        <v>1619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947</v>
      </c>
      <c r="N99" s="34" t="s">
        <v>1800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1507</v>
      </c>
      <c r="E100" s="32" t="s">
        <v>171</v>
      </c>
      <c r="F100" s="32" t="s">
        <v>1508</v>
      </c>
      <c r="G100" s="32" t="s">
        <v>39</v>
      </c>
      <c r="H100" s="32" t="s">
        <v>362</v>
      </c>
      <c r="I100" s="31" t="s">
        <v>1509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1687</v>
      </c>
      <c r="O100" s="35">
        <v>1</v>
      </c>
      <c r="P100" s="35">
        <v>1</v>
      </c>
      <c r="Q100" s="36" t="s">
        <v>1866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933</v>
      </c>
      <c r="L101" s="33" t="s">
        <v>685</v>
      </c>
      <c r="M101" s="34" t="s">
        <v>682</v>
      </c>
      <c r="N101" s="34" t="s">
        <v>1700</v>
      </c>
      <c r="O101" s="35">
        <v>1</v>
      </c>
      <c r="P101" s="35"/>
      <c r="Q101" s="36" t="s">
        <v>1839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1693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1882</v>
      </c>
      <c r="E103" s="32" t="s">
        <v>1883</v>
      </c>
      <c r="F103" s="36" t="s">
        <v>1884</v>
      </c>
      <c r="G103" s="36"/>
      <c r="H103" s="36" t="s">
        <v>364</v>
      </c>
      <c r="I103" s="37" t="s">
        <v>1886</v>
      </c>
      <c r="J103" s="31">
        <v>18</v>
      </c>
      <c r="K103" s="33" t="s">
        <v>694</v>
      </c>
      <c r="L103" s="33"/>
      <c r="M103" s="34"/>
      <c r="N103" s="34" t="s">
        <v>1693</v>
      </c>
      <c r="O103" s="35">
        <v>1</v>
      </c>
      <c r="P103" s="35">
        <v>1</v>
      </c>
      <c r="Q103" s="36" t="s">
        <v>1885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1176</v>
      </c>
      <c r="E104" s="32" t="s">
        <v>174</v>
      </c>
      <c r="F104" s="36" t="s">
        <v>1307</v>
      </c>
      <c r="G104" s="36" t="s">
        <v>39</v>
      </c>
      <c r="H104" s="36" t="s">
        <v>603</v>
      </c>
      <c r="I104" s="37" t="s">
        <v>1177</v>
      </c>
      <c r="J104" s="31">
        <v>14</v>
      </c>
      <c r="K104" s="33" t="s">
        <v>933</v>
      </c>
      <c r="L104" s="33" t="s">
        <v>1659</v>
      </c>
      <c r="M104" s="34" t="s">
        <v>1356</v>
      </c>
      <c r="N104" s="34" t="s">
        <v>1776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802</v>
      </c>
      <c r="E105" s="32" t="s">
        <v>175</v>
      </c>
      <c r="F105" s="36" t="s">
        <v>906</v>
      </c>
      <c r="G105" s="36" t="s">
        <v>39</v>
      </c>
      <c r="H105" s="36" t="s">
        <v>370</v>
      </c>
      <c r="I105" s="37" t="s">
        <v>803</v>
      </c>
      <c r="J105" s="31">
        <v>16</v>
      </c>
      <c r="K105" s="33" t="s">
        <v>934</v>
      </c>
      <c r="L105" s="33" t="s">
        <v>679</v>
      </c>
      <c r="M105" s="34" t="s">
        <v>947</v>
      </c>
      <c r="N105" s="34" t="s">
        <v>1687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1696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933</v>
      </c>
      <c r="L107" s="33" t="s">
        <v>685</v>
      </c>
      <c r="M107" s="34" t="s">
        <v>682</v>
      </c>
      <c r="N107" s="34" t="s">
        <v>1700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2117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1800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2102</v>
      </c>
      <c r="E109" s="32" t="s">
        <v>169</v>
      </c>
      <c r="F109" s="32" t="s">
        <v>2101</v>
      </c>
      <c r="G109" s="32"/>
      <c r="H109" s="32" t="s">
        <v>352</v>
      </c>
      <c r="I109" s="31" t="s">
        <v>2103</v>
      </c>
      <c r="J109" s="31">
        <v>99</v>
      </c>
      <c r="K109" s="33" t="s">
        <v>694</v>
      </c>
      <c r="L109" s="33"/>
      <c r="M109" s="34"/>
      <c r="N109" s="34" t="s">
        <v>1776</v>
      </c>
      <c r="O109" s="35">
        <v>1</v>
      </c>
      <c r="P109" s="35"/>
      <c r="Q109" s="32" t="s">
        <v>2104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1606</v>
      </c>
      <c r="E110" s="16" t="s">
        <v>1064</v>
      </c>
      <c r="F110" s="16" t="s">
        <v>1188</v>
      </c>
      <c r="G110" s="16" t="s">
        <v>39</v>
      </c>
      <c r="H110" s="16" t="s">
        <v>1189</v>
      </c>
      <c r="I110" s="15" t="s">
        <v>1190</v>
      </c>
      <c r="J110" s="15">
        <v>18</v>
      </c>
      <c r="K110" s="10" t="s">
        <v>935</v>
      </c>
      <c r="L110" s="10" t="s">
        <v>679</v>
      </c>
      <c r="M110" s="19" t="s">
        <v>947</v>
      </c>
      <c r="N110" s="17"/>
      <c r="Q110" s="16" t="s">
        <v>1834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1519</v>
      </c>
      <c r="E111" s="32" t="s">
        <v>169</v>
      </c>
      <c r="F111" s="32" t="s">
        <v>1637</v>
      </c>
      <c r="G111" s="32" t="s">
        <v>39</v>
      </c>
      <c r="H111" s="32" t="s">
        <v>355</v>
      </c>
      <c r="I111" s="31" t="s">
        <v>1520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1696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1287</v>
      </c>
      <c r="E112" s="32" t="s">
        <v>174</v>
      </c>
      <c r="F112" s="32" t="s">
        <v>1308</v>
      </c>
      <c r="G112" s="32" t="s">
        <v>39</v>
      </c>
      <c r="H112" s="32" t="s">
        <v>352</v>
      </c>
      <c r="I112" s="31" t="s">
        <v>1108</v>
      </c>
      <c r="J112" s="31">
        <v>99</v>
      </c>
      <c r="K112" s="33" t="s">
        <v>693</v>
      </c>
      <c r="L112" s="33" t="s">
        <v>1659</v>
      </c>
      <c r="M112" s="34" t="s">
        <v>1357</v>
      </c>
      <c r="N112" s="34" t="s">
        <v>1701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1231</v>
      </c>
      <c r="E113" s="32" t="s">
        <v>169</v>
      </c>
      <c r="F113" s="32" t="s">
        <v>1309</v>
      </c>
      <c r="G113" s="32" t="s">
        <v>1163</v>
      </c>
      <c r="H113" s="32" t="s">
        <v>352</v>
      </c>
      <c r="I113" s="31" t="s">
        <v>1164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1752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996</v>
      </c>
      <c r="E114" s="32" t="s">
        <v>602</v>
      </c>
      <c r="F114" s="32" t="s">
        <v>997</v>
      </c>
      <c r="G114" s="32" t="s">
        <v>998</v>
      </c>
      <c r="H114" s="32" t="s">
        <v>352</v>
      </c>
      <c r="I114" s="31" t="s">
        <v>999</v>
      </c>
      <c r="J114" s="31">
        <v>99</v>
      </c>
      <c r="K114" s="33" t="s">
        <v>933</v>
      </c>
      <c r="L114" s="33" t="s">
        <v>39</v>
      </c>
      <c r="M114" s="34" t="s">
        <v>39</v>
      </c>
      <c r="N114" s="34" t="s">
        <v>1693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2065</v>
      </c>
      <c r="E115" s="32" t="s">
        <v>171</v>
      </c>
      <c r="F115" s="32" t="s">
        <v>2066</v>
      </c>
      <c r="G115" s="32"/>
      <c r="H115" s="32" t="s">
        <v>2067</v>
      </c>
      <c r="I115" s="31" t="s">
        <v>2068</v>
      </c>
      <c r="J115" s="31">
        <v>12</v>
      </c>
      <c r="K115" s="33" t="s">
        <v>694</v>
      </c>
      <c r="L115" s="33">
        <v>45</v>
      </c>
      <c r="M115" s="34" t="s">
        <v>1358</v>
      </c>
      <c r="N115" s="34" t="s">
        <v>1800</v>
      </c>
      <c r="O115" s="35">
        <v>1</v>
      </c>
      <c r="P115" s="35"/>
      <c r="Q115" s="32" t="s">
        <v>2069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1358</v>
      </c>
      <c r="N116" s="34" t="s">
        <v>1700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798</v>
      </c>
      <c r="E117" s="32" t="s">
        <v>171</v>
      </c>
      <c r="F117" s="32" t="s">
        <v>799</v>
      </c>
      <c r="G117" s="32" t="s">
        <v>39</v>
      </c>
      <c r="H117" s="32" t="s">
        <v>800</v>
      </c>
      <c r="I117" s="31" t="s">
        <v>801</v>
      </c>
      <c r="J117" s="31">
        <v>16</v>
      </c>
      <c r="K117" s="33" t="s">
        <v>693</v>
      </c>
      <c r="L117" s="33" t="s">
        <v>679</v>
      </c>
      <c r="M117" s="34" t="s">
        <v>1358</v>
      </c>
      <c r="N117" s="34" t="s">
        <v>1687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1833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1468</v>
      </c>
      <c r="E119" s="32" t="s">
        <v>169</v>
      </c>
      <c r="F119" s="32" t="s">
        <v>1469</v>
      </c>
      <c r="G119" s="32" t="s">
        <v>39</v>
      </c>
      <c r="H119" s="32" t="s">
        <v>372</v>
      </c>
      <c r="I119" s="31" t="s">
        <v>1470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1701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1701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1701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971</v>
      </c>
      <c r="E122" s="16" t="s">
        <v>169</v>
      </c>
      <c r="F122" s="16" t="s">
        <v>1070</v>
      </c>
      <c r="G122" s="16" t="s">
        <v>231</v>
      </c>
      <c r="H122" s="16" t="s">
        <v>352</v>
      </c>
      <c r="I122" s="15" t="s">
        <v>972</v>
      </c>
      <c r="J122" s="15">
        <v>99</v>
      </c>
      <c r="K122" s="10" t="s">
        <v>933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1687</v>
      </c>
      <c r="O123" s="35">
        <v>1</v>
      </c>
      <c r="P123" s="35">
        <v>1</v>
      </c>
      <c r="Q123" s="32" t="s">
        <v>1984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1288</v>
      </c>
      <c r="E124" s="32" t="s">
        <v>171</v>
      </c>
      <c r="F124" s="32" t="s">
        <v>1311</v>
      </c>
      <c r="G124" s="32" t="s">
        <v>39</v>
      </c>
      <c r="H124" s="32" t="s">
        <v>965</v>
      </c>
      <c r="I124" s="31" t="s">
        <v>966</v>
      </c>
      <c r="J124" s="31">
        <v>14</v>
      </c>
      <c r="K124" s="33" t="s">
        <v>694</v>
      </c>
      <c r="L124" s="33">
        <v>30</v>
      </c>
      <c r="M124" s="34" t="s">
        <v>948</v>
      </c>
      <c r="N124" s="34" t="s">
        <v>1696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2087</v>
      </c>
      <c r="E125" s="16" t="s">
        <v>169</v>
      </c>
      <c r="F125" s="16" t="s">
        <v>2089</v>
      </c>
      <c r="G125" s="16"/>
      <c r="H125" s="16" t="s">
        <v>372</v>
      </c>
      <c r="I125" s="15" t="s">
        <v>2090</v>
      </c>
      <c r="J125" s="15">
        <v>11</v>
      </c>
      <c r="K125" s="10" t="s">
        <v>694</v>
      </c>
      <c r="L125" s="10">
        <v>50</v>
      </c>
      <c r="M125" s="19" t="s">
        <v>2088</v>
      </c>
      <c r="N125" s="17"/>
      <c r="Q125" s="16" t="s">
        <v>2091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1092</v>
      </c>
      <c r="J126" s="31">
        <v>13</v>
      </c>
      <c r="K126" s="33" t="s">
        <v>693</v>
      </c>
      <c r="L126" s="33" t="s">
        <v>1659</v>
      </c>
      <c r="M126" s="34" t="s">
        <v>947</v>
      </c>
      <c r="N126" s="34" t="s">
        <v>1776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1482</v>
      </c>
      <c r="E127" s="32" t="s">
        <v>169</v>
      </c>
      <c r="F127" s="32" t="s">
        <v>1628</v>
      </c>
      <c r="G127" s="32" t="s">
        <v>39</v>
      </c>
      <c r="H127" s="32" t="s">
        <v>1483</v>
      </c>
      <c r="I127" s="31" t="s">
        <v>1484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1687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933</v>
      </c>
      <c r="L128" s="10" t="s">
        <v>688</v>
      </c>
      <c r="M128" s="19" t="s">
        <v>947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1926</v>
      </c>
      <c r="E129" s="20" t="s">
        <v>171</v>
      </c>
      <c r="F129" s="20" t="s">
        <v>1923</v>
      </c>
      <c r="G129" s="20"/>
      <c r="H129" s="20" t="s">
        <v>1924</v>
      </c>
      <c r="I129" s="21" t="s">
        <v>1922</v>
      </c>
      <c r="J129" s="15">
        <v>17</v>
      </c>
      <c r="K129" s="10" t="s">
        <v>694</v>
      </c>
      <c r="L129" s="10" t="s">
        <v>1695</v>
      </c>
      <c r="M129" s="19" t="s">
        <v>948</v>
      </c>
      <c r="N129" s="17"/>
      <c r="Q129" s="20" t="s">
        <v>1925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977</v>
      </c>
      <c r="E130" s="45" t="s">
        <v>171</v>
      </c>
      <c r="F130" s="57" t="s">
        <v>1818</v>
      </c>
      <c r="G130" s="45" t="s">
        <v>39</v>
      </c>
      <c r="H130" s="45" t="s">
        <v>978</v>
      </c>
      <c r="I130" s="44" t="s">
        <v>1093</v>
      </c>
      <c r="J130" s="44">
        <v>16</v>
      </c>
      <c r="K130" s="46" t="s">
        <v>713</v>
      </c>
      <c r="L130" s="46" t="s">
        <v>1695</v>
      </c>
      <c r="M130" s="47" t="s">
        <v>1359</v>
      </c>
      <c r="N130" s="47" t="s">
        <v>1753</v>
      </c>
      <c r="O130" s="48"/>
      <c r="P130" s="48"/>
      <c r="Q130" s="57" t="s">
        <v>1840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1103</v>
      </c>
      <c r="E131" s="32" t="s">
        <v>171</v>
      </c>
      <c r="F131" s="32" t="s">
        <v>1312</v>
      </c>
      <c r="G131" s="32" t="s">
        <v>39</v>
      </c>
      <c r="H131" s="32" t="s">
        <v>1105</v>
      </c>
      <c r="I131" s="31" t="s">
        <v>1104</v>
      </c>
      <c r="J131" s="31">
        <v>14</v>
      </c>
      <c r="K131" s="33" t="s">
        <v>935</v>
      </c>
      <c r="L131" s="33" t="s">
        <v>1659</v>
      </c>
      <c r="M131" s="34" t="s">
        <v>1360</v>
      </c>
      <c r="N131" s="34" t="s">
        <v>1687</v>
      </c>
      <c r="O131" s="35">
        <v>1</v>
      </c>
      <c r="P131" s="35">
        <v>1</v>
      </c>
      <c r="Q131" s="32" t="s">
        <v>2070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1055</v>
      </c>
      <c r="E132" s="32" t="s">
        <v>171</v>
      </c>
      <c r="F132" s="32" t="s">
        <v>1017</v>
      </c>
      <c r="G132" s="32" t="s">
        <v>1081</v>
      </c>
      <c r="H132" s="32" t="s">
        <v>352</v>
      </c>
      <c r="I132" s="31" t="s">
        <v>1018</v>
      </c>
      <c r="J132" s="31">
        <v>1</v>
      </c>
      <c r="K132" s="33" t="s">
        <v>935</v>
      </c>
      <c r="L132" s="33" t="s">
        <v>678</v>
      </c>
      <c r="M132" s="34" t="s">
        <v>948</v>
      </c>
      <c r="N132" s="34" t="s">
        <v>1707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2040</v>
      </c>
      <c r="E133" s="36" t="s">
        <v>171</v>
      </c>
      <c r="F133" s="36" t="s">
        <v>2041</v>
      </c>
      <c r="G133" s="32"/>
      <c r="H133" s="36" t="s">
        <v>2042</v>
      </c>
      <c r="I133" s="37" t="s">
        <v>2043</v>
      </c>
      <c r="J133" s="31">
        <v>14</v>
      </c>
      <c r="K133" s="33" t="s">
        <v>694</v>
      </c>
      <c r="L133" s="33"/>
      <c r="M133" s="34"/>
      <c r="N133" s="34" t="s">
        <v>1693</v>
      </c>
      <c r="O133" s="35">
        <v>1</v>
      </c>
      <c r="P133" s="35">
        <v>1</v>
      </c>
      <c r="Q133" s="36" t="s">
        <v>2044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1590</v>
      </c>
      <c r="E134" s="32" t="s">
        <v>1064</v>
      </c>
      <c r="F134" s="32" t="s">
        <v>1591</v>
      </c>
      <c r="G134" s="32" t="s">
        <v>39</v>
      </c>
      <c r="H134" s="32" t="s">
        <v>1592</v>
      </c>
      <c r="I134" s="31" t="s">
        <v>1593</v>
      </c>
      <c r="J134" s="31">
        <v>15</v>
      </c>
      <c r="K134" s="33" t="s">
        <v>935</v>
      </c>
      <c r="L134" s="33" t="s">
        <v>39</v>
      </c>
      <c r="M134" s="34" t="s">
        <v>39</v>
      </c>
      <c r="N134" s="34" t="s">
        <v>1700</v>
      </c>
      <c r="O134" s="35">
        <v>1</v>
      </c>
      <c r="P134" s="35"/>
      <c r="Q134" s="36" t="s">
        <v>1845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1695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2096</v>
      </c>
      <c r="E136" s="36" t="s">
        <v>171</v>
      </c>
      <c r="F136" s="36" t="s">
        <v>2097</v>
      </c>
      <c r="G136" s="32"/>
      <c r="H136" s="36" t="s">
        <v>360</v>
      </c>
      <c r="I136" s="37" t="s">
        <v>2098</v>
      </c>
      <c r="J136" s="31">
        <v>12</v>
      </c>
      <c r="K136" s="33" t="s">
        <v>694</v>
      </c>
      <c r="L136" s="33">
        <v>40</v>
      </c>
      <c r="M136" s="34" t="s">
        <v>948</v>
      </c>
      <c r="N136" s="34" t="s">
        <v>1696</v>
      </c>
      <c r="O136" s="35">
        <v>1</v>
      </c>
      <c r="P136" s="35"/>
      <c r="Q136" s="32" t="s">
        <v>2099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2047</v>
      </c>
      <c r="E137" s="20" t="s">
        <v>855</v>
      </c>
      <c r="F137" s="20" t="s">
        <v>2048</v>
      </c>
      <c r="G137" s="16"/>
      <c r="H137" s="20" t="s">
        <v>2049</v>
      </c>
      <c r="I137" s="21" t="s">
        <v>2050</v>
      </c>
      <c r="J137" s="15">
        <v>16</v>
      </c>
      <c r="K137" s="10" t="s">
        <v>694</v>
      </c>
      <c r="L137" s="10" t="s">
        <v>679</v>
      </c>
      <c r="M137" s="19" t="s">
        <v>948</v>
      </c>
      <c r="N137" s="17"/>
      <c r="Q137" s="16" t="s">
        <v>2051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1899</v>
      </c>
      <c r="E138" s="20" t="s">
        <v>171</v>
      </c>
      <c r="F138" s="20" t="s">
        <v>1919</v>
      </c>
      <c r="G138" s="20"/>
      <c r="H138" s="20" t="s">
        <v>1918</v>
      </c>
      <c r="I138" s="21" t="s">
        <v>1920</v>
      </c>
      <c r="J138" s="15">
        <v>15</v>
      </c>
      <c r="K138" s="10" t="s">
        <v>694</v>
      </c>
      <c r="L138" s="10" t="s">
        <v>1695</v>
      </c>
      <c r="M138" s="19" t="s">
        <v>948</v>
      </c>
      <c r="N138" s="17"/>
      <c r="Q138" s="20" t="s">
        <v>1921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899</v>
      </c>
      <c r="E139" s="32" t="s">
        <v>171</v>
      </c>
      <c r="F139" s="32" t="s">
        <v>1129</v>
      </c>
      <c r="G139" s="32" t="s">
        <v>39</v>
      </c>
      <c r="H139" s="32" t="s">
        <v>361</v>
      </c>
      <c r="I139" s="31" t="s">
        <v>870</v>
      </c>
      <c r="J139" s="31">
        <v>14</v>
      </c>
      <c r="K139" s="33" t="s">
        <v>934</v>
      </c>
      <c r="L139" s="33" t="s">
        <v>39</v>
      </c>
      <c r="M139" s="34" t="s">
        <v>39</v>
      </c>
      <c r="N139" s="34" t="s">
        <v>1693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910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933</v>
      </c>
      <c r="L140" s="33" t="s">
        <v>688</v>
      </c>
      <c r="M140" s="34" t="s">
        <v>682</v>
      </c>
      <c r="N140" s="34" t="s">
        <v>1696</v>
      </c>
      <c r="O140" s="35">
        <v>1</v>
      </c>
      <c r="P140" s="35"/>
      <c r="Q140" s="36" t="s">
        <v>1838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1471</v>
      </c>
      <c r="E141" s="32" t="s">
        <v>1613</v>
      </c>
      <c r="F141" s="36" t="s">
        <v>2118</v>
      </c>
      <c r="G141" s="32" t="s">
        <v>39</v>
      </c>
      <c r="H141" s="32" t="s">
        <v>1473</v>
      </c>
      <c r="I141" s="31" t="s">
        <v>1472</v>
      </c>
      <c r="J141" s="31">
        <v>14</v>
      </c>
      <c r="K141" s="33" t="s">
        <v>939</v>
      </c>
      <c r="L141" s="33" t="s">
        <v>678</v>
      </c>
      <c r="M141" s="34" t="s">
        <v>1361</v>
      </c>
      <c r="N141" s="34" t="s">
        <v>1687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1225</v>
      </c>
      <c r="E142" s="32" t="s">
        <v>171</v>
      </c>
      <c r="F142" s="32" t="s">
        <v>1226</v>
      </c>
      <c r="G142" s="32" t="s">
        <v>1228</v>
      </c>
      <c r="H142" s="32" t="s">
        <v>352</v>
      </c>
      <c r="I142" s="31" t="s">
        <v>1227</v>
      </c>
      <c r="J142" s="31">
        <v>99</v>
      </c>
      <c r="K142" s="33" t="s">
        <v>935</v>
      </c>
      <c r="L142" s="33" t="s">
        <v>684</v>
      </c>
      <c r="M142" s="34" t="s">
        <v>948</v>
      </c>
      <c r="N142" s="34" t="s">
        <v>1776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1465</v>
      </c>
      <c r="E143" s="32" t="s">
        <v>171</v>
      </c>
      <c r="F143" s="32" t="s">
        <v>1466</v>
      </c>
      <c r="G143" s="32" t="s">
        <v>39</v>
      </c>
      <c r="H143" s="32" t="s">
        <v>363</v>
      </c>
      <c r="I143" s="31" t="s">
        <v>1467</v>
      </c>
      <c r="J143" s="31">
        <v>18</v>
      </c>
      <c r="K143" s="33" t="s">
        <v>933</v>
      </c>
      <c r="L143" s="33" t="s">
        <v>1695</v>
      </c>
      <c r="M143" s="34" t="s">
        <v>39</v>
      </c>
      <c r="N143" s="34" t="s">
        <v>1700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1584</v>
      </c>
      <c r="E144" s="16" t="s">
        <v>171</v>
      </c>
      <c r="F144" s="16" t="s">
        <v>1587</v>
      </c>
      <c r="G144" s="16" t="s">
        <v>39</v>
      </c>
      <c r="H144" s="16" t="s">
        <v>1585</v>
      </c>
      <c r="I144" s="15" t="s">
        <v>1586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1213</v>
      </c>
      <c r="E145" s="32" t="s">
        <v>1215</v>
      </c>
      <c r="F145" s="32" t="s">
        <v>1216</v>
      </c>
      <c r="G145" s="32" t="s">
        <v>39</v>
      </c>
      <c r="H145" s="32" t="s">
        <v>367</v>
      </c>
      <c r="I145" s="31" t="s">
        <v>1214</v>
      </c>
      <c r="J145" s="31">
        <v>14</v>
      </c>
      <c r="K145" s="33" t="s">
        <v>935</v>
      </c>
      <c r="L145" s="33" t="s">
        <v>678</v>
      </c>
      <c r="M145" s="34" t="s">
        <v>1361</v>
      </c>
      <c r="N145" s="34" t="s">
        <v>1693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934</v>
      </c>
      <c r="L146" s="33" t="s">
        <v>39</v>
      </c>
      <c r="M146" s="34" t="s">
        <v>39</v>
      </c>
      <c r="N146" s="34" t="s">
        <v>1693</v>
      </c>
      <c r="O146" s="35">
        <v>1</v>
      </c>
      <c r="P146" s="35">
        <v>1</v>
      </c>
      <c r="Q146" s="32"/>
      <c r="S146" s="1">
        <f t="shared" ref="S146:S211" si="55">IF(J146=$S$7,1,0)</f>
        <v>0</v>
      </c>
      <c r="T146" s="1">
        <f t="shared" ref="T146:T211" si="56">IF(J146=$T$7,1,0)</f>
        <v>0</v>
      </c>
      <c r="U146" s="1">
        <f t="shared" ref="U146:U211" si="57">IF(J146=$U$7,1,0)</f>
        <v>0</v>
      </c>
      <c r="V146" s="1">
        <f t="shared" ref="V146:V211" si="58">IF(J146=$V$7,1,0)</f>
        <v>0</v>
      </c>
      <c r="W146" s="1">
        <f t="shared" ref="W146:W211" si="59">IF(J146=$W$7,1,0)</f>
        <v>0</v>
      </c>
      <c r="X146" s="1">
        <f t="shared" ref="X146:X211" si="60">IF(J146=$X$7,1,0)</f>
        <v>0</v>
      </c>
      <c r="Y146" s="1">
        <f t="shared" ref="Y146:Y211" si="61">IF(J146=$Y$7,1,0)</f>
        <v>0</v>
      </c>
      <c r="Z146" s="1">
        <f t="shared" ref="Z146:Z211" si="62">IF(J146=$Z$7,1,0)</f>
        <v>0</v>
      </c>
      <c r="AA146" s="1">
        <f t="shared" ref="AA146:AA211" si="63">IF(J146=$AA$7,1,0)</f>
        <v>0</v>
      </c>
      <c r="AB146" s="1">
        <f t="shared" ref="AB146:AB211" si="64">IF(J146=$AB$7,1,0)</f>
        <v>0</v>
      </c>
      <c r="AD146" s="1">
        <f t="shared" ref="AD146:AD211" si="65">+O146*P146</f>
        <v>1</v>
      </c>
      <c r="AE146" s="1">
        <f t="shared" ref="AE146:AE211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900</v>
      </c>
      <c r="E147" s="32" t="s">
        <v>171</v>
      </c>
      <c r="F147" s="32" t="s">
        <v>912</v>
      </c>
      <c r="G147" s="32" t="s">
        <v>234</v>
      </c>
      <c r="H147" s="32" t="s">
        <v>352</v>
      </c>
      <c r="I147" s="31" t="s">
        <v>925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1752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2" si="67">+O147*P147*(1-A147)</f>
        <v>0</v>
      </c>
      <c r="AG147" s="1">
        <f t="shared" ref="AG147:AG212" si="68">O147*(1-P147)*(1-A147)</f>
        <v>1</v>
      </c>
      <c r="AH147" s="1">
        <f t="shared" ref="AH147:AH212" si="69">+P147*(1-A147)</f>
        <v>0</v>
      </c>
      <c r="AI147" s="1">
        <f t="shared" ref="AI147:AI212" si="70">+(1-A147)*(1-P147)</f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78</v>
      </c>
      <c r="E148" s="32" t="s">
        <v>602</v>
      </c>
      <c r="F148" s="32" t="s">
        <v>306</v>
      </c>
      <c r="G148" s="32" t="s">
        <v>39</v>
      </c>
      <c r="H148" s="32" t="s">
        <v>360</v>
      </c>
      <c r="I148" s="31" t="s">
        <v>454</v>
      </c>
      <c r="J148" s="31">
        <v>12</v>
      </c>
      <c r="K148" s="33" t="s">
        <v>694</v>
      </c>
      <c r="L148" s="33">
        <v>40</v>
      </c>
      <c r="M148" s="34" t="s">
        <v>948</v>
      </c>
      <c r="N148" s="34" t="s">
        <v>1776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1543</v>
      </c>
      <c r="E149" s="16" t="s">
        <v>169</v>
      </c>
      <c r="F149" s="16" t="s">
        <v>1545</v>
      </c>
      <c r="G149" s="16"/>
      <c r="H149" s="16" t="s">
        <v>363</v>
      </c>
      <c r="I149" s="15" t="s">
        <v>1544</v>
      </c>
      <c r="J149" s="15">
        <v>18</v>
      </c>
      <c r="K149" s="10" t="s">
        <v>694</v>
      </c>
      <c r="L149" s="10" t="s">
        <v>679</v>
      </c>
      <c r="M149" s="19" t="s">
        <v>948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1255</v>
      </c>
      <c r="E150" s="32" t="s">
        <v>171</v>
      </c>
      <c r="F150" s="32" t="s">
        <v>1256</v>
      </c>
      <c r="G150" s="32" t="s">
        <v>237</v>
      </c>
      <c r="H150" s="32" t="s">
        <v>352</v>
      </c>
      <c r="I150" s="31" t="s">
        <v>1257</v>
      </c>
      <c r="J150" s="31">
        <v>4</v>
      </c>
      <c r="K150" s="33" t="s">
        <v>934</v>
      </c>
      <c r="L150" s="33" t="s">
        <v>39</v>
      </c>
      <c r="M150" s="34" t="s">
        <v>39</v>
      </c>
      <c r="N150" s="34" t="s">
        <v>1687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1693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s="1" customFormat="1" ht="14.25" customHeight="1" x14ac:dyDescent="0.25">
      <c r="A152" s="31">
        <v>0</v>
      </c>
      <c r="B152" s="31">
        <v>1</v>
      </c>
      <c r="C152" s="31">
        <v>3</v>
      </c>
      <c r="D152" s="36" t="s">
        <v>2154</v>
      </c>
      <c r="E152" s="36" t="s">
        <v>2155</v>
      </c>
      <c r="F152" s="36" t="s">
        <v>2156</v>
      </c>
      <c r="G152" s="32"/>
      <c r="H152" s="36" t="s">
        <v>352</v>
      </c>
      <c r="I152" s="37" t="s">
        <v>2157</v>
      </c>
      <c r="J152" s="31">
        <v>99</v>
      </c>
      <c r="K152" s="33" t="s">
        <v>694</v>
      </c>
      <c r="L152" s="33"/>
      <c r="M152" s="34"/>
      <c r="N152" s="34" t="s">
        <v>1693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ref="AD152:AD154" si="71">+O152*P152</f>
        <v>1</v>
      </c>
      <c r="AE152" s="1">
        <f t="shared" ref="AE152:AE154" si="72">O152*(1-P152)</f>
        <v>0</v>
      </c>
      <c r="AF152" s="1">
        <f t="shared" ref="AF152:AF154" si="73">+O152*P152*(1-A152)</f>
        <v>1</v>
      </c>
      <c r="AG152" s="1">
        <f t="shared" ref="AG152:AG154" si="74">O152*(1-P152)*(1-A152)</f>
        <v>0</v>
      </c>
      <c r="AH152" s="1">
        <f t="shared" ref="AH152:AH154" si="75">+P152*(1-A152)</f>
        <v>1</v>
      </c>
      <c r="AI152" s="1">
        <f t="shared" ref="AI152:AI154" si="76">+(1-A152)*(1-P152)</f>
        <v>0</v>
      </c>
    </row>
    <row r="153" spans="1:35" s="1" customFormat="1" ht="14.25" customHeight="1" x14ac:dyDescent="0.25">
      <c r="A153" s="38">
        <v>0</v>
      </c>
      <c r="B153" s="38">
        <v>1</v>
      </c>
      <c r="C153" s="38">
        <v>3</v>
      </c>
      <c r="D153" s="39" t="s">
        <v>854</v>
      </c>
      <c r="E153" s="39" t="s">
        <v>855</v>
      </c>
      <c r="F153" s="39" t="s">
        <v>856</v>
      </c>
      <c r="G153" s="39" t="s">
        <v>39</v>
      </c>
      <c r="H153" s="39" t="s">
        <v>364</v>
      </c>
      <c r="I153" s="38" t="s">
        <v>857</v>
      </c>
      <c r="J153" s="38">
        <v>18</v>
      </c>
      <c r="K153" s="40" t="s">
        <v>933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71"/>
        <v>0</v>
      </c>
      <c r="AE153" s="1">
        <f t="shared" si="72"/>
        <v>0</v>
      </c>
      <c r="AF153" s="1">
        <f t="shared" si="73"/>
        <v>0</v>
      </c>
      <c r="AG153" s="1">
        <f t="shared" si="74"/>
        <v>0</v>
      </c>
      <c r="AH153" s="1">
        <f t="shared" si="75"/>
        <v>1</v>
      </c>
      <c r="AI153" s="1">
        <f t="shared" si="76"/>
        <v>0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1275</v>
      </c>
      <c r="E154" s="32" t="s">
        <v>171</v>
      </c>
      <c r="F154" s="32" t="s">
        <v>1276</v>
      </c>
      <c r="G154" s="32" t="s">
        <v>207</v>
      </c>
      <c r="H154" s="32" t="s">
        <v>352</v>
      </c>
      <c r="I154" s="31" t="s">
        <v>1277</v>
      </c>
      <c r="J154" s="31">
        <v>3</v>
      </c>
      <c r="K154" s="33" t="s">
        <v>933</v>
      </c>
      <c r="L154" s="33" t="s">
        <v>39</v>
      </c>
      <c r="M154" s="34" t="s">
        <v>39</v>
      </c>
      <c r="N154" s="34" t="s">
        <v>1693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71"/>
        <v>1</v>
      </c>
      <c r="AE154" s="1">
        <f t="shared" si="72"/>
        <v>0</v>
      </c>
      <c r="AF154" s="1">
        <f t="shared" si="73"/>
        <v>1</v>
      </c>
      <c r="AG154" s="1">
        <f t="shared" si="74"/>
        <v>0</v>
      </c>
      <c r="AH154" s="1">
        <f t="shared" si="75"/>
        <v>1</v>
      </c>
      <c r="AI154" s="1">
        <f t="shared" si="76"/>
        <v>0</v>
      </c>
    </row>
    <row r="155" spans="1:35" s="1" customFormat="1" ht="14.25" customHeight="1" x14ac:dyDescent="0.25">
      <c r="A155" s="31">
        <v>0</v>
      </c>
      <c r="B155" s="31">
        <v>1</v>
      </c>
      <c r="C155" s="31">
        <v>3</v>
      </c>
      <c r="D155" s="32" t="s">
        <v>848</v>
      </c>
      <c r="E155" s="32" t="s">
        <v>169</v>
      </c>
      <c r="F155" s="32" t="s">
        <v>849</v>
      </c>
      <c r="G155" s="32" t="s">
        <v>39</v>
      </c>
      <c r="H155" s="32" t="s">
        <v>850</v>
      </c>
      <c r="I155" s="31" t="s">
        <v>926</v>
      </c>
      <c r="J155" s="31">
        <v>11</v>
      </c>
      <c r="K155" s="33" t="s">
        <v>693</v>
      </c>
      <c r="L155" s="33" t="s">
        <v>680</v>
      </c>
      <c r="M155" s="34" t="s">
        <v>948</v>
      </c>
      <c r="N155" s="34" t="s">
        <v>1707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s="1" customFormat="1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694</v>
      </c>
      <c r="L156" s="10">
        <v>40</v>
      </c>
      <c r="M156" s="19" t="s">
        <v>948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s="1" customFormat="1" ht="14.25" customHeight="1" x14ac:dyDescent="0.25">
      <c r="A157" s="31">
        <v>0</v>
      </c>
      <c r="B157" s="31">
        <v>1</v>
      </c>
      <c r="C157" s="31">
        <v>3</v>
      </c>
      <c r="D157" s="36" t="s">
        <v>1743</v>
      </c>
      <c r="E157" s="36" t="s">
        <v>1744</v>
      </c>
      <c r="F157" s="36" t="s">
        <v>1745</v>
      </c>
      <c r="G157" s="36" t="s">
        <v>1746</v>
      </c>
      <c r="H157" s="36" t="s">
        <v>352</v>
      </c>
      <c r="I157" s="37" t="s">
        <v>1747</v>
      </c>
      <c r="J157" s="31">
        <v>99</v>
      </c>
      <c r="K157" s="33" t="s">
        <v>694</v>
      </c>
      <c r="L157" s="33"/>
      <c r="M157" s="34"/>
      <c r="N157" s="34" t="s">
        <v>1693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650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933</v>
      </c>
      <c r="L158" s="33" t="s">
        <v>1695</v>
      </c>
      <c r="M158" s="34" t="s">
        <v>947</v>
      </c>
      <c r="N158" s="34" t="s">
        <v>1693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952</v>
      </c>
      <c r="E159" s="32" t="s">
        <v>174</v>
      </c>
      <c r="F159" s="32" t="s">
        <v>786</v>
      </c>
      <c r="G159" s="32" t="s">
        <v>39</v>
      </c>
      <c r="H159" s="32" t="s">
        <v>787</v>
      </c>
      <c r="I159" s="31" t="s">
        <v>788</v>
      </c>
      <c r="J159" s="31">
        <v>16</v>
      </c>
      <c r="K159" s="33" t="s">
        <v>934</v>
      </c>
      <c r="L159" s="33" t="s">
        <v>1113</v>
      </c>
      <c r="M159" s="34" t="s">
        <v>947</v>
      </c>
      <c r="N159" s="34" t="s">
        <v>1700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1167</v>
      </c>
      <c r="E160" s="32" t="s">
        <v>171</v>
      </c>
      <c r="F160" s="32" t="s">
        <v>1168</v>
      </c>
      <c r="G160" s="32" t="s">
        <v>237</v>
      </c>
      <c r="H160" s="32" t="s">
        <v>352</v>
      </c>
      <c r="I160" s="31" t="s">
        <v>1169</v>
      </c>
      <c r="J160" s="31">
        <v>4</v>
      </c>
      <c r="K160" s="33" t="s">
        <v>940</v>
      </c>
      <c r="L160" s="33" t="s">
        <v>1659</v>
      </c>
      <c r="M160" s="34" t="s">
        <v>1565</v>
      </c>
      <c r="N160" s="34" t="s">
        <v>1687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s="1" customFormat="1" ht="14.25" customHeight="1" x14ac:dyDescent="0.25">
      <c r="A161" s="31">
        <v>0</v>
      </c>
      <c r="B161" s="31">
        <v>1</v>
      </c>
      <c r="C161" s="31">
        <v>3</v>
      </c>
      <c r="D161" s="32" t="s">
        <v>1602</v>
      </c>
      <c r="E161" s="32" t="s">
        <v>169</v>
      </c>
      <c r="F161" s="32" t="s">
        <v>1439</v>
      </c>
      <c r="G161" s="32" t="s">
        <v>1630</v>
      </c>
      <c r="H161" s="32" t="s">
        <v>352</v>
      </c>
      <c r="I161" s="31" t="s">
        <v>1438</v>
      </c>
      <c r="J161" s="31">
        <v>99</v>
      </c>
      <c r="K161" s="33" t="s">
        <v>693</v>
      </c>
      <c r="L161" s="33" t="s">
        <v>1664</v>
      </c>
      <c r="M161" s="34" t="s">
        <v>1440</v>
      </c>
      <c r="N161" s="34" t="s">
        <v>1701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s="1" customFormat="1" ht="14.25" customHeight="1" x14ac:dyDescent="0.25">
      <c r="A162" s="31">
        <v>0</v>
      </c>
      <c r="B162" s="31">
        <v>1</v>
      </c>
      <c r="C162" s="31">
        <v>3</v>
      </c>
      <c r="D162" s="36" t="s">
        <v>2022</v>
      </c>
      <c r="E162" s="36" t="s">
        <v>171</v>
      </c>
      <c r="F162" s="36" t="s">
        <v>2023</v>
      </c>
      <c r="G162" s="32"/>
      <c r="H162" s="36" t="s">
        <v>603</v>
      </c>
      <c r="I162" s="37" t="s">
        <v>2024</v>
      </c>
      <c r="J162" s="31">
        <v>14</v>
      </c>
      <c r="K162" s="33" t="s">
        <v>694</v>
      </c>
      <c r="L162" s="33"/>
      <c r="M162" s="34"/>
      <c r="N162" s="34" t="s">
        <v>1693</v>
      </c>
      <c r="O162" s="35">
        <v>1</v>
      </c>
      <c r="P162" s="35">
        <v>1</v>
      </c>
      <c r="Q162" s="32" t="s">
        <v>2025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s="1" customFormat="1" ht="14.25" customHeight="1" x14ac:dyDescent="0.25">
      <c r="A163" s="15">
        <v>0</v>
      </c>
      <c r="B163" s="15">
        <v>1</v>
      </c>
      <c r="C163" s="15">
        <v>3</v>
      </c>
      <c r="D163" s="20" t="s">
        <v>1897</v>
      </c>
      <c r="E163" s="20" t="s">
        <v>171</v>
      </c>
      <c r="F163" s="20" t="s">
        <v>1912</v>
      </c>
      <c r="G163" s="20"/>
      <c r="H163" s="20" t="s">
        <v>1911</v>
      </c>
      <c r="I163" s="21" t="s">
        <v>1910</v>
      </c>
      <c r="J163" s="15">
        <v>14</v>
      </c>
      <c r="K163" s="10" t="s">
        <v>694</v>
      </c>
      <c r="L163" s="10" t="s">
        <v>688</v>
      </c>
      <c r="M163" s="19" t="s">
        <v>948</v>
      </c>
      <c r="N163" s="17"/>
      <c r="Q163" s="20" t="s">
        <v>1913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s="1" customFormat="1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1328</v>
      </c>
      <c r="J164" s="31">
        <v>14</v>
      </c>
      <c r="K164" s="33" t="s">
        <v>933</v>
      </c>
      <c r="L164" s="33" t="s">
        <v>680</v>
      </c>
      <c r="M164" s="34" t="s">
        <v>682</v>
      </c>
      <c r="N164" s="34" t="s">
        <v>1700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s="1" customFormat="1" ht="14.25" customHeight="1" x14ac:dyDescent="0.25">
      <c r="A165" s="31">
        <v>0</v>
      </c>
      <c r="B165" s="31">
        <v>1</v>
      </c>
      <c r="C165" s="31">
        <v>3</v>
      </c>
      <c r="D165" s="32" t="s">
        <v>1528</v>
      </c>
      <c r="E165" s="32" t="s">
        <v>171</v>
      </c>
      <c r="F165" s="32" t="s">
        <v>1529</v>
      </c>
      <c r="G165" s="32" t="s">
        <v>39</v>
      </c>
      <c r="H165" s="32" t="s">
        <v>1530</v>
      </c>
      <c r="I165" s="31" t="s">
        <v>1531</v>
      </c>
      <c r="J165" s="31">
        <v>17</v>
      </c>
      <c r="K165" s="33" t="s">
        <v>713</v>
      </c>
      <c r="L165" s="33" t="s">
        <v>39</v>
      </c>
      <c r="M165" s="34" t="s">
        <v>39</v>
      </c>
      <c r="N165" s="34" t="s">
        <v>1693</v>
      </c>
      <c r="O165" s="35">
        <v>1</v>
      </c>
      <c r="P165" s="35">
        <v>1</v>
      </c>
      <c r="Q165" s="32" t="s">
        <v>1863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1820</v>
      </c>
      <c r="I166" s="31" t="s">
        <v>497</v>
      </c>
      <c r="J166" s="31">
        <v>14</v>
      </c>
      <c r="K166" s="33" t="s">
        <v>693</v>
      </c>
      <c r="L166" s="33" t="s">
        <v>680</v>
      </c>
      <c r="M166" s="34" t="s">
        <v>947</v>
      </c>
      <c r="N166" s="34" t="s">
        <v>1700</v>
      </c>
      <c r="O166" s="35">
        <v>1</v>
      </c>
      <c r="P166" s="35"/>
      <c r="Q166" s="32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s="1" customFormat="1" ht="14.25" customHeight="1" x14ac:dyDescent="0.25">
      <c r="A167" s="15">
        <v>0</v>
      </c>
      <c r="B167" s="15">
        <v>1</v>
      </c>
      <c r="C167" s="15">
        <v>3</v>
      </c>
      <c r="D167" s="16" t="s">
        <v>730</v>
      </c>
      <c r="E167" s="16" t="s">
        <v>171</v>
      </c>
      <c r="F167" s="16" t="s">
        <v>731</v>
      </c>
      <c r="G167" s="16" t="s">
        <v>39</v>
      </c>
      <c r="H167" s="16" t="s">
        <v>732</v>
      </c>
      <c r="I167" s="15" t="s">
        <v>733</v>
      </c>
      <c r="J167" s="15">
        <v>17</v>
      </c>
      <c r="K167" s="10" t="s">
        <v>713</v>
      </c>
      <c r="L167" s="10" t="s">
        <v>688</v>
      </c>
      <c r="M167" s="19" t="s">
        <v>682</v>
      </c>
      <c r="N167" s="17"/>
      <c r="Q167" s="16" t="s">
        <v>1837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s="1" customFormat="1" ht="14.25" customHeight="1" x14ac:dyDescent="0.25">
      <c r="A168" s="31">
        <v>0</v>
      </c>
      <c r="B168" s="31">
        <v>1</v>
      </c>
      <c r="C168" s="31">
        <v>3</v>
      </c>
      <c r="D168" s="32" t="s">
        <v>883</v>
      </c>
      <c r="E168" s="32" t="s">
        <v>171</v>
      </c>
      <c r="F168" s="32" t="s">
        <v>1073</v>
      </c>
      <c r="G168" s="32" t="s">
        <v>39</v>
      </c>
      <c r="H168" s="32" t="s">
        <v>885</v>
      </c>
      <c r="I168" s="31" t="s">
        <v>884</v>
      </c>
      <c r="J168" s="31">
        <v>11</v>
      </c>
      <c r="K168" s="33" t="s">
        <v>934</v>
      </c>
      <c r="L168" s="33">
        <v>60</v>
      </c>
      <c r="M168" s="34" t="s">
        <v>39</v>
      </c>
      <c r="N168" s="34" t="s">
        <v>1700</v>
      </c>
      <c r="O168" s="35">
        <v>1</v>
      </c>
      <c r="P168" s="35"/>
      <c r="Q168" s="32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713</v>
      </c>
      <c r="L169" s="33" t="s">
        <v>684</v>
      </c>
      <c r="M169" s="34" t="s">
        <v>1344</v>
      </c>
      <c r="N169" s="34" t="s">
        <v>1800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1141</v>
      </c>
      <c r="E170" s="32" t="s">
        <v>171</v>
      </c>
      <c r="F170" s="32" t="s">
        <v>1143</v>
      </c>
      <c r="G170" s="32" t="s">
        <v>748</v>
      </c>
      <c r="H170" s="32" t="s">
        <v>352</v>
      </c>
      <c r="I170" s="31" t="s">
        <v>1142</v>
      </c>
      <c r="J170" s="31">
        <v>99</v>
      </c>
      <c r="K170" s="33" t="s">
        <v>694</v>
      </c>
      <c r="L170" s="33">
        <v>30</v>
      </c>
      <c r="M170" s="34" t="s">
        <v>947</v>
      </c>
      <c r="N170" s="34" t="s">
        <v>1776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1985</v>
      </c>
      <c r="E171" s="32" t="s">
        <v>171</v>
      </c>
      <c r="F171" s="32" t="s">
        <v>1986</v>
      </c>
      <c r="G171" s="32"/>
      <c r="H171" s="32" t="s">
        <v>352</v>
      </c>
      <c r="I171" s="31" t="s">
        <v>1987</v>
      </c>
      <c r="J171" s="31">
        <v>18</v>
      </c>
      <c r="K171" s="33" t="s">
        <v>694</v>
      </c>
      <c r="L171" s="33"/>
      <c r="M171" s="34"/>
      <c r="N171" s="34" t="s">
        <v>1693</v>
      </c>
      <c r="O171" s="35">
        <v>1</v>
      </c>
      <c r="P171" s="35">
        <v>1</v>
      </c>
      <c r="Q171" s="36" t="s">
        <v>1988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s="1" customFormat="1" ht="14.25" customHeight="1" x14ac:dyDescent="0.25">
      <c r="A172" s="15">
        <v>0</v>
      </c>
      <c r="B172" s="15">
        <v>1</v>
      </c>
      <c r="C172" s="15">
        <v>3</v>
      </c>
      <c r="D172" s="16" t="s">
        <v>734</v>
      </c>
      <c r="E172" s="16" t="s">
        <v>169</v>
      </c>
      <c r="F172" s="16" t="s">
        <v>735</v>
      </c>
      <c r="G172" s="16" t="s">
        <v>39</v>
      </c>
      <c r="H172" s="16" t="s">
        <v>736</v>
      </c>
      <c r="I172" s="15" t="s">
        <v>737</v>
      </c>
      <c r="J172" s="15">
        <v>17</v>
      </c>
      <c r="K172" s="10" t="s">
        <v>694</v>
      </c>
      <c r="L172" s="10" t="s">
        <v>688</v>
      </c>
      <c r="M172" s="19" t="s">
        <v>948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s="1" customFormat="1" ht="14.25" customHeight="1" x14ac:dyDescent="0.25">
      <c r="A173" s="15">
        <v>0</v>
      </c>
      <c r="B173" s="15">
        <v>1</v>
      </c>
      <c r="C173" s="15">
        <v>3</v>
      </c>
      <c r="D173" s="20" t="s">
        <v>1896</v>
      </c>
      <c r="E173" s="20" t="s">
        <v>171</v>
      </c>
      <c r="F173" s="20" t="s">
        <v>1906</v>
      </c>
      <c r="G173" s="20"/>
      <c r="H173" s="20" t="s">
        <v>1907</v>
      </c>
      <c r="I173" s="21" t="s">
        <v>1908</v>
      </c>
      <c r="J173" s="15">
        <v>16</v>
      </c>
      <c r="K173" s="10" t="s">
        <v>694</v>
      </c>
      <c r="L173" s="10" t="s">
        <v>688</v>
      </c>
      <c r="M173" s="19" t="s">
        <v>948</v>
      </c>
      <c r="N173" s="17"/>
      <c r="Q173" s="20" t="s">
        <v>1905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ref="AD173:AD175" si="77">+O173*P173</f>
        <v>0</v>
      </c>
      <c r="AE173" s="1">
        <f t="shared" ref="AE173:AE175" si="78">O173*(1-P173)</f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s="1" customFormat="1" ht="14.25" customHeight="1" x14ac:dyDescent="0.25">
      <c r="A174" s="59">
        <v>0</v>
      </c>
      <c r="B174" s="59">
        <v>1</v>
      </c>
      <c r="C174" s="59">
        <v>3</v>
      </c>
      <c r="D174" s="49" t="s">
        <v>2143</v>
      </c>
      <c r="E174" s="49" t="s">
        <v>171</v>
      </c>
      <c r="F174" s="49" t="s">
        <v>2144</v>
      </c>
      <c r="G174" s="49"/>
      <c r="H174" s="49" t="s">
        <v>373</v>
      </c>
      <c r="I174" s="59" t="s">
        <v>2145</v>
      </c>
      <c r="J174" s="59">
        <v>12</v>
      </c>
      <c r="K174" s="59" t="s">
        <v>694</v>
      </c>
      <c r="L174" s="59">
        <v>40</v>
      </c>
      <c r="M174" s="49" t="s">
        <v>948</v>
      </c>
      <c r="N174" s="49"/>
      <c r="O174" s="60"/>
      <c r="P174" s="60">
        <v>1</v>
      </c>
      <c r="Q174" s="49" t="s">
        <v>2146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7"/>
        <v>0</v>
      </c>
      <c r="AE174" s="1">
        <f t="shared" si="78"/>
        <v>0</v>
      </c>
      <c r="AF174" s="1">
        <f t="shared" si="67"/>
        <v>0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815</v>
      </c>
      <c r="E175" s="32" t="s">
        <v>893</v>
      </c>
      <c r="F175" s="32" t="s">
        <v>816</v>
      </c>
      <c r="G175" s="32" t="s">
        <v>207</v>
      </c>
      <c r="H175" s="32" t="s">
        <v>352</v>
      </c>
      <c r="I175" s="37" t="s">
        <v>817</v>
      </c>
      <c r="J175" s="31">
        <v>3</v>
      </c>
      <c r="K175" s="33" t="s">
        <v>713</v>
      </c>
      <c r="L175" s="33" t="s">
        <v>684</v>
      </c>
      <c r="M175" s="34" t="s">
        <v>689</v>
      </c>
      <c r="N175" s="34" t="s">
        <v>1741</v>
      </c>
      <c r="O175" s="35">
        <v>1</v>
      </c>
      <c r="P175" s="35"/>
      <c r="Q175" s="36"/>
      <c r="S175" s="1">
        <f t="shared" si="55"/>
        <v>0</v>
      </c>
      <c r="T175" s="1">
        <f t="shared" si="56"/>
        <v>0</v>
      </c>
      <c r="U175" s="1">
        <f t="shared" si="57"/>
        <v>1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77"/>
        <v>0</v>
      </c>
      <c r="AE175" s="1">
        <f t="shared" si="78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2060</v>
      </c>
      <c r="E176" s="32" t="s">
        <v>174</v>
      </c>
      <c r="F176" s="32" t="s">
        <v>2061</v>
      </c>
      <c r="G176" s="32"/>
      <c r="H176" s="32" t="s">
        <v>2062</v>
      </c>
      <c r="I176" s="37" t="s">
        <v>2063</v>
      </c>
      <c r="J176" s="31">
        <v>16</v>
      </c>
      <c r="K176" s="33" t="s">
        <v>694</v>
      </c>
      <c r="L176" s="33"/>
      <c r="M176" s="34"/>
      <c r="N176" s="34" t="s">
        <v>1687</v>
      </c>
      <c r="O176" s="35">
        <v>1</v>
      </c>
      <c r="P176" s="35">
        <v>1</v>
      </c>
      <c r="Q176" s="36" t="s">
        <v>2064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67"/>
        <v>1</v>
      </c>
      <c r="AG176" s="1">
        <f t="shared" si="68"/>
        <v>0</v>
      </c>
      <c r="AH176" s="1">
        <f t="shared" si="69"/>
        <v>1</v>
      </c>
      <c r="AI176" s="1">
        <f t="shared" si="70"/>
        <v>0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1901</v>
      </c>
      <c r="E177" s="32" t="s">
        <v>171</v>
      </c>
      <c r="F177" s="32" t="s">
        <v>1903</v>
      </c>
      <c r="G177" s="32"/>
      <c r="H177" s="32" t="s">
        <v>1904</v>
      </c>
      <c r="I177" s="37" t="s">
        <v>1902</v>
      </c>
      <c r="J177" s="31">
        <v>16</v>
      </c>
      <c r="K177" s="33" t="s">
        <v>694</v>
      </c>
      <c r="L177" s="33" t="s">
        <v>688</v>
      </c>
      <c r="M177" s="34" t="s">
        <v>948</v>
      </c>
      <c r="N177" s="34" t="s">
        <v>1700</v>
      </c>
      <c r="O177" s="35">
        <v>1</v>
      </c>
      <c r="P177" s="35"/>
      <c r="Q177" s="36" t="s">
        <v>1909</v>
      </c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1178</v>
      </c>
      <c r="E178" s="32" t="s">
        <v>171</v>
      </c>
      <c r="F178" s="32" t="s">
        <v>1180</v>
      </c>
      <c r="G178" s="32" t="s">
        <v>184</v>
      </c>
      <c r="H178" s="32" t="s">
        <v>352</v>
      </c>
      <c r="I178" s="31" t="s">
        <v>1179</v>
      </c>
      <c r="J178" s="31">
        <v>99</v>
      </c>
      <c r="K178" s="33" t="s">
        <v>935</v>
      </c>
      <c r="L178" s="33" t="s">
        <v>680</v>
      </c>
      <c r="M178" s="34" t="s">
        <v>948</v>
      </c>
      <c r="N178" s="34" t="s">
        <v>1701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624</v>
      </c>
      <c r="E179" s="32" t="s">
        <v>169</v>
      </c>
      <c r="F179" s="32" t="s">
        <v>625</v>
      </c>
      <c r="G179" s="32" t="s">
        <v>193</v>
      </c>
      <c r="H179" s="32" t="s">
        <v>352</v>
      </c>
      <c r="I179" s="31" t="s">
        <v>626</v>
      </c>
      <c r="J179" s="31">
        <v>9</v>
      </c>
      <c r="K179" s="33" t="s">
        <v>934</v>
      </c>
      <c r="L179" s="33" t="s">
        <v>1659</v>
      </c>
      <c r="M179" s="34" t="s">
        <v>947</v>
      </c>
      <c r="N179" s="34" t="s">
        <v>1687</v>
      </c>
      <c r="O179" s="35">
        <v>1</v>
      </c>
      <c r="P179" s="35">
        <v>1</v>
      </c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1</v>
      </c>
      <c r="AB179" s="1">
        <f t="shared" si="64"/>
        <v>0</v>
      </c>
      <c r="AD179" s="1">
        <f t="shared" si="65"/>
        <v>1</v>
      </c>
      <c r="AE179" s="1">
        <f t="shared" si="66"/>
        <v>0</v>
      </c>
      <c r="AF179" s="1">
        <f t="shared" si="67"/>
        <v>1</v>
      </c>
      <c r="AG179" s="1">
        <f t="shared" si="68"/>
        <v>0</v>
      </c>
      <c r="AH179" s="1">
        <f t="shared" si="69"/>
        <v>1</v>
      </c>
      <c r="AI179" s="1">
        <f t="shared" si="70"/>
        <v>0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131</v>
      </c>
      <c r="E180" s="32" t="s">
        <v>674</v>
      </c>
      <c r="F180" s="32" t="s">
        <v>332</v>
      </c>
      <c r="G180" s="32" t="s">
        <v>39</v>
      </c>
      <c r="H180" s="32" t="s">
        <v>360</v>
      </c>
      <c r="I180" s="31" t="s">
        <v>478</v>
      </c>
      <c r="J180" s="31">
        <v>12</v>
      </c>
      <c r="K180" s="33" t="s">
        <v>713</v>
      </c>
      <c r="L180" s="33">
        <v>35</v>
      </c>
      <c r="M180" s="34" t="s">
        <v>39</v>
      </c>
      <c r="N180" s="34" t="s">
        <v>1776</v>
      </c>
      <c r="O180" s="35">
        <v>1</v>
      </c>
      <c r="P180" s="35"/>
      <c r="Q180" s="32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1</v>
      </c>
      <c r="AF180" s="1">
        <f t="shared" si="67"/>
        <v>0</v>
      </c>
      <c r="AG180" s="1">
        <f t="shared" si="68"/>
        <v>1</v>
      </c>
      <c r="AH180" s="1">
        <f t="shared" si="69"/>
        <v>0</v>
      </c>
      <c r="AI180" s="1">
        <f t="shared" si="70"/>
        <v>1</v>
      </c>
    </row>
    <row r="181" spans="1:35" s="1" customFormat="1" ht="14.25" customHeight="1" x14ac:dyDescent="0.25">
      <c r="A181" s="15">
        <v>0</v>
      </c>
      <c r="B181" s="15">
        <v>1</v>
      </c>
      <c r="C181" s="15">
        <v>3</v>
      </c>
      <c r="D181" s="16" t="s">
        <v>807</v>
      </c>
      <c r="E181" s="16" t="s">
        <v>171</v>
      </c>
      <c r="F181" s="16" t="s">
        <v>808</v>
      </c>
      <c r="G181" s="16" t="s">
        <v>39</v>
      </c>
      <c r="H181" s="16" t="s">
        <v>373</v>
      </c>
      <c r="I181" s="15" t="s">
        <v>806</v>
      </c>
      <c r="J181" s="15">
        <v>12</v>
      </c>
      <c r="K181" s="10" t="s">
        <v>694</v>
      </c>
      <c r="L181" s="10">
        <v>40</v>
      </c>
      <c r="M181" s="19" t="s">
        <v>947</v>
      </c>
      <c r="N181" s="19"/>
      <c r="Q181" s="16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0</v>
      </c>
      <c r="AF181" s="1">
        <f t="shared" si="67"/>
        <v>0</v>
      </c>
      <c r="AG181" s="1">
        <f t="shared" si="68"/>
        <v>0</v>
      </c>
      <c r="AH181" s="1">
        <f t="shared" si="69"/>
        <v>0</v>
      </c>
      <c r="AI181" s="1">
        <f t="shared" si="70"/>
        <v>1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141</v>
      </c>
      <c r="E182" s="32" t="s">
        <v>171</v>
      </c>
      <c r="F182" s="32" t="s">
        <v>341</v>
      </c>
      <c r="G182" s="32" t="s">
        <v>39</v>
      </c>
      <c r="H182" s="32" t="s">
        <v>375</v>
      </c>
      <c r="I182" s="31" t="s">
        <v>487</v>
      </c>
      <c r="J182" s="31">
        <v>15</v>
      </c>
      <c r="K182" s="33" t="s">
        <v>693</v>
      </c>
      <c r="L182" s="33" t="s">
        <v>683</v>
      </c>
      <c r="M182" s="34" t="s">
        <v>682</v>
      </c>
      <c r="N182" s="34" t="s">
        <v>1693</v>
      </c>
      <c r="O182" s="35">
        <v>1</v>
      </c>
      <c r="P182" s="35">
        <v>1</v>
      </c>
      <c r="Q182" s="36" t="s">
        <v>1841</v>
      </c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6" t="s">
        <v>1792</v>
      </c>
      <c r="E183" s="32" t="s">
        <v>1064</v>
      </c>
      <c r="F183" s="32" t="s">
        <v>1777</v>
      </c>
      <c r="G183" s="32"/>
      <c r="H183" s="32" t="s">
        <v>370</v>
      </c>
      <c r="I183" s="31" t="s">
        <v>1778</v>
      </c>
      <c r="J183" s="31">
        <v>16</v>
      </c>
      <c r="K183" s="33" t="s">
        <v>694</v>
      </c>
      <c r="L183" s="33"/>
      <c r="M183" s="34"/>
      <c r="N183" s="34" t="s">
        <v>1687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2" t="s">
        <v>956</v>
      </c>
      <c r="E184" s="32" t="s">
        <v>602</v>
      </c>
      <c r="F184" s="32" t="s">
        <v>957</v>
      </c>
      <c r="G184" s="32" t="s">
        <v>202</v>
      </c>
      <c r="H184" s="32" t="s">
        <v>352</v>
      </c>
      <c r="I184" s="31" t="s">
        <v>958</v>
      </c>
      <c r="J184" s="31">
        <v>99</v>
      </c>
      <c r="K184" s="33" t="s">
        <v>933</v>
      </c>
      <c r="L184" s="33" t="s">
        <v>39</v>
      </c>
      <c r="M184" s="34" t="s">
        <v>39</v>
      </c>
      <c r="N184" s="34" t="s">
        <v>1687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148</v>
      </c>
      <c r="E185" s="32" t="s">
        <v>171</v>
      </c>
      <c r="F185" s="32" t="s">
        <v>348</v>
      </c>
      <c r="G185" s="32" t="s">
        <v>39</v>
      </c>
      <c r="H185" s="32" t="s">
        <v>378</v>
      </c>
      <c r="I185" s="31" t="s">
        <v>493</v>
      </c>
      <c r="J185" s="31">
        <v>14</v>
      </c>
      <c r="K185" s="33" t="s">
        <v>941</v>
      </c>
      <c r="L185" s="33" t="s">
        <v>39</v>
      </c>
      <c r="M185" s="34" t="s">
        <v>39</v>
      </c>
      <c r="N185" s="34" t="s">
        <v>1693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2" t="s">
        <v>1934</v>
      </c>
      <c r="E186" s="32" t="s">
        <v>1935</v>
      </c>
      <c r="F186" s="32" t="s">
        <v>1936</v>
      </c>
      <c r="G186" s="32" t="s">
        <v>531</v>
      </c>
      <c r="H186" s="32" t="s">
        <v>352</v>
      </c>
      <c r="I186" s="31" t="s">
        <v>1937</v>
      </c>
      <c r="J186" s="31"/>
      <c r="K186" s="33" t="s">
        <v>694</v>
      </c>
      <c r="L186" s="33"/>
      <c r="M186" s="34"/>
      <c r="N186" s="34" t="s">
        <v>1693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s="1" customFormat="1" ht="14.25" customHeight="1" x14ac:dyDescent="0.25">
      <c r="A187" s="31">
        <v>0</v>
      </c>
      <c r="B187" s="31">
        <v>1</v>
      </c>
      <c r="C187" s="31">
        <v>3</v>
      </c>
      <c r="D187" s="32" t="s">
        <v>627</v>
      </c>
      <c r="E187" s="32" t="s">
        <v>171</v>
      </c>
      <c r="F187" s="32" t="s">
        <v>629</v>
      </c>
      <c r="G187" s="32" t="s">
        <v>237</v>
      </c>
      <c r="H187" s="32" t="s">
        <v>352</v>
      </c>
      <c r="I187" s="31" t="s">
        <v>628</v>
      </c>
      <c r="J187" s="31">
        <v>4</v>
      </c>
      <c r="K187" s="33" t="s">
        <v>933</v>
      </c>
      <c r="L187" s="33" t="s">
        <v>39</v>
      </c>
      <c r="M187" s="34" t="s">
        <v>39</v>
      </c>
      <c r="N187" s="34" t="s">
        <v>1693</v>
      </c>
      <c r="O187" s="35">
        <v>1</v>
      </c>
      <c r="P187" s="35">
        <v>1</v>
      </c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1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1</v>
      </c>
      <c r="AE187" s="1">
        <f t="shared" si="66"/>
        <v>0</v>
      </c>
      <c r="AF187" s="1">
        <f t="shared" si="67"/>
        <v>1</v>
      </c>
      <c r="AG187" s="1">
        <f t="shared" si="68"/>
        <v>0</v>
      </c>
      <c r="AH187" s="1">
        <f t="shared" si="69"/>
        <v>1</v>
      </c>
      <c r="AI187" s="1">
        <f t="shared" si="70"/>
        <v>0</v>
      </c>
    </row>
    <row r="188" spans="1:35" s="1" customFormat="1" ht="14.25" customHeight="1" x14ac:dyDescent="0.25">
      <c r="A188" s="15">
        <v>0</v>
      </c>
      <c r="B188" s="15">
        <v>1</v>
      </c>
      <c r="C188" s="15">
        <v>3</v>
      </c>
      <c r="D188" s="16" t="s">
        <v>1489</v>
      </c>
      <c r="E188" s="16" t="s">
        <v>1064</v>
      </c>
      <c r="F188" s="16" t="s">
        <v>1490</v>
      </c>
      <c r="G188" s="16" t="s">
        <v>217</v>
      </c>
      <c r="H188" s="16" t="s">
        <v>352</v>
      </c>
      <c r="I188" s="15" t="s">
        <v>1491</v>
      </c>
      <c r="J188" s="15">
        <v>99</v>
      </c>
      <c r="K188" s="10" t="s">
        <v>694</v>
      </c>
      <c r="L188" s="10">
        <v>40</v>
      </c>
      <c r="M188" s="19" t="s">
        <v>947</v>
      </c>
      <c r="N188" s="19"/>
      <c r="Q188" s="16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0</v>
      </c>
      <c r="AF188" s="1">
        <f t="shared" si="67"/>
        <v>0</v>
      </c>
      <c r="AG188" s="1">
        <f t="shared" si="68"/>
        <v>0</v>
      </c>
      <c r="AH188" s="1">
        <f t="shared" si="69"/>
        <v>0</v>
      </c>
      <c r="AI188" s="1">
        <f t="shared" si="70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3</v>
      </c>
      <c r="D189" s="32" t="s">
        <v>101</v>
      </c>
      <c r="E189" s="32" t="s">
        <v>171</v>
      </c>
      <c r="F189" s="32" t="s">
        <v>297</v>
      </c>
      <c r="G189" s="32" t="s">
        <v>298</v>
      </c>
      <c r="H189" s="32" t="s">
        <v>352</v>
      </c>
      <c r="I189" s="31" t="s">
        <v>446</v>
      </c>
      <c r="J189" s="31">
        <v>99</v>
      </c>
      <c r="K189" s="33" t="s">
        <v>935</v>
      </c>
      <c r="L189" s="33" t="s">
        <v>684</v>
      </c>
      <c r="M189" s="34" t="s">
        <v>682</v>
      </c>
      <c r="N189" s="34" t="s">
        <v>1696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3</v>
      </c>
      <c r="D190" s="32" t="s">
        <v>967</v>
      </c>
      <c r="E190" s="32" t="s">
        <v>171</v>
      </c>
      <c r="F190" s="32" t="s">
        <v>970</v>
      </c>
      <c r="G190" s="32" t="s">
        <v>39</v>
      </c>
      <c r="H190" s="32" t="s">
        <v>969</v>
      </c>
      <c r="I190" s="31" t="s">
        <v>968</v>
      </c>
      <c r="J190" s="31">
        <v>14</v>
      </c>
      <c r="K190" s="33" t="s">
        <v>713</v>
      </c>
      <c r="L190" s="33" t="s">
        <v>685</v>
      </c>
      <c r="M190" s="34" t="s">
        <v>948</v>
      </c>
      <c r="N190" s="34" t="s">
        <v>1696</v>
      </c>
      <c r="O190" s="35">
        <v>1</v>
      </c>
      <c r="P190" s="35"/>
      <c r="Q190" s="3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s="1" customFormat="1" ht="14.25" customHeight="1" x14ac:dyDescent="0.25">
      <c r="A191" s="51">
        <v>0</v>
      </c>
      <c r="B191" s="51">
        <v>1</v>
      </c>
      <c r="C191" s="51">
        <v>3</v>
      </c>
      <c r="D191" s="52" t="s">
        <v>1605</v>
      </c>
      <c r="E191" s="52" t="s">
        <v>171</v>
      </c>
      <c r="F191" s="52" t="s">
        <v>754</v>
      </c>
      <c r="G191" s="52" t="s">
        <v>39</v>
      </c>
      <c r="H191" s="52" t="s">
        <v>365</v>
      </c>
      <c r="I191" s="51" t="s">
        <v>762</v>
      </c>
      <c r="J191" s="51">
        <v>18</v>
      </c>
      <c r="K191" s="53" t="s">
        <v>1657</v>
      </c>
      <c r="L191" s="53" t="s">
        <v>39</v>
      </c>
      <c r="M191" s="54" t="s">
        <v>755</v>
      </c>
      <c r="N191" s="55"/>
      <c r="O191" s="56"/>
      <c r="P191" s="56"/>
      <c r="Q191" s="5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0</v>
      </c>
      <c r="AF191" s="1">
        <f t="shared" si="67"/>
        <v>0</v>
      </c>
      <c r="AG191" s="1">
        <f t="shared" si="68"/>
        <v>0</v>
      </c>
      <c r="AH191" s="1">
        <f t="shared" si="69"/>
        <v>0</v>
      </c>
      <c r="AI191" s="1">
        <f t="shared" si="70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3</v>
      </c>
      <c r="D192" s="32" t="s">
        <v>134</v>
      </c>
      <c r="E192" s="32" t="s">
        <v>171</v>
      </c>
      <c r="F192" s="32" t="s">
        <v>651</v>
      </c>
      <c r="G192" s="32" t="s">
        <v>256</v>
      </c>
      <c r="H192" s="32" t="s">
        <v>352</v>
      </c>
      <c r="I192" s="31" t="s">
        <v>1653</v>
      </c>
      <c r="J192" s="31">
        <v>99</v>
      </c>
      <c r="K192" s="33" t="s">
        <v>713</v>
      </c>
      <c r="L192" s="33" t="s">
        <v>678</v>
      </c>
      <c r="M192" s="34" t="s">
        <v>1362</v>
      </c>
      <c r="N192" s="34" t="s">
        <v>1696</v>
      </c>
      <c r="O192" s="35">
        <v>1</v>
      </c>
      <c r="P192" s="35"/>
      <c r="Q192" s="32" t="s">
        <v>1880</v>
      </c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3</v>
      </c>
      <c r="D193" s="32" t="s">
        <v>902</v>
      </c>
      <c r="E193" s="32" t="s">
        <v>169</v>
      </c>
      <c r="F193" s="32" t="s">
        <v>918</v>
      </c>
      <c r="G193" s="32" t="s">
        <v>39</v>
      </c>
      <c r="H193" s="32" t="s">
        <v>363</v>
      </c>
      <c r="I193" s="31" t="s">
        <v>864</v>
      </c>
      <c r="J193" s="31">
        <v>18</v>
      </c>
      <c r="K193" s="33" t="s">
        <v>693</v>
      </c>
      <c r="L193" s="33" t="s">
        <v>688</v>
      </c>
      <c r="M193" s="34" t="s">
        <v>948</v>
      </c>
      <c r="N193" s="34" t="s">
        <v>1700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3</v>
      </c>
      <c r="D194" s="32" t="s">
        <v>1229</v>
      </c>
      <c r="E194" s="32" t="s">
        <v>169</v>
      </c>
      <c r="F194" s="32" t="s">
        <v>1636</v>
      </c>
      <c r="G194" s="32" t="s">
        <v>39</v>
      </c>
      <c r="H194" s="32" t="s">
        <v>752</v>
      </c>
      <c r="I194" s="31" t="s">
        <v>1230</v>
      </c>
      <c r="J194" s="31">
        <v>11</v>
      </c>
      <c r="K194" s="33" t="s">
        <v>713</v>
      </c>
      <c r="L194" s="33" t="s">
        <v>680</v>
      </c>
      <c r="M194" s="34" t="s">
        <v>1363</v>
      </c>
      <c r="N194" s="34" t="s">
        <v>1701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4</v>
      </c>
      <c r="D195" s="32" t="s">
        <v>973</v>
      </c>
      <c r="E195" s="32" t="s">
        <v>753</v>
      </c>
      <c r="F195" s="32" t="s">
        <v>1071</v>
      </c>
      <c r="G195" s="32" t="s">
        <v>199</v>
      </c>
      <c r="H195" s="32" t="s">
        <v>352</v>
      </c>
      <c r="I195" s="31" t="s">
        <v>974</v>
      </c>
      <c r="J195" s="31">
        <v>2</v>
      </c>
      <c r="K195" s="33" t="s">
        <v>933</v>
      </c>
      <c r="L195" s="33" t="s">
        <v>684</v>
      </c>
      <c r="M195" s="34" t="s">
        <v>1364</v>
      </c>
      <c r="N195" s="34" t="s">
        <v>1687</v>
      </c>
      <c r="O195" s="35">
        <v>1</v>
      </c>
      <c r="P195" s="35">
        <v>1</v>
      </c>
      <c r="Q195" s="32"/>
      <c r="S195" s="1">
        <f t="shared" si="55"/>
        <v>0</v>
      </c>
      <c r="T195" s="1">
        <f t="shared" si="56"/>
        <v>1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1</v>
      </c>
      <c r="AE195" s="1">
        <f t="shared" si="66"/>
        <v>0</v>
      </c>
      <c r="AF195" s="1">
        <f t="shared" si="67"/>
        <v>1</v>
      </c>
      <c r="AG195" s="1">
        <f t="shared" si="68"/>
        <v>0</v>
      </c>
      <c r="AH195" s="1">
        <f t="shared" si="69"/>
        <v>1</v>
      </c>
      <c r="AI195" s="1">
        <f t="shared" si="70"/>
        <v>0</v>
      </c>
    </row>
    <row r="196" spans="1:35" s="1" customFormat="1" ht="14.25" customHeight="1" x14ac:dyDescent="0.25">
      <c r="A196" s="31">
        <v>0</v>
      </c>
      <c r="B196" s="31">
        <v>1</v>
      </c>
      <c r="C196" s="31">
        <v>4</v>
      </c>
      <c r="D196" s="32" t="s">
        <v>50</v>
      </c>
      <c r="E196" s="32" t="s">
        <v>753</v>
      </c>
      <c r="F196" s="32" t="s">
        <v>192</v>
      </c>
      <c r="G196" s="32" t="s">
        <v>193</v>
      </c>
      <c r="H196" s="32" t="s">
        <v>352</v>
      </c>
      <c r="I196" s="31" t="s">
        <v>385</v>
      </c>
      <c r="J196" s="31">
        <v>9</v>
      </c>
      <c r="K196" s="33" t="s">
        <v>933</v>
      </c>
      <c r="L196" s="33" t="s">
        <v>685</v>
      </c>
      <c r="M196" s="34" t="s">
        <v>946</v>
      </c>
      <c r="N196" s="34" t="s">
        <v>1752</v>
      </c>
      <c r="O196" s="35">
        <v>1</v>
      </c>
      <c r="P196" s="35"/>
      <c r="Q196" s="32"/>
      <c r="S196" s="1">
        <f t="shared" si="55"/>
        <v>0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1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4</v>
      </c>
      <c r="D197" s="32" t="s">
        <v>133</v>
      </c>
      <c r="E197" s="32" t="s">
        <v>176</v>
      </c>
      <c r="F197" s="32" t="s">
        <v>334</v>
      </c>
      <c r="G197" s="32" t="s">
        <v>212</v>
      </c>
      <c r="H197" s="32" t="s">
        <v>352</v>
      </c>
      <c r="I197" s="31" t="s">
        <v>480</v>
      </c>
      <c r="J197" s="31">
        <v>1</v>
      </c>
      <c r="K197" s="33" t="s">
        <v>933</v>
      </c>
      <c r="L197" s="33" t="s">
        <v>680</v>
      </c>
      <c r="M197" s="34" t="s">
        <v>682</v>
      </c>
      <c r="N197" s="34" t="s">
        <v>1696</v>
      </c>
      <c r="O197" s="35">
        <v>1</v>
      </c>
      <c r="P197" s="35"/>
      <c r="Q197" s="32"/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4</v>
      </c>
      <c r="D198" s="36" t="s">
        <v>2119</v>
      </c>
      <c r="E198" s="32" t="s">
        <v>753</v>
      </c>
      <c r="F198" s="36" t="s">
        <v>2026</v>
      </c>
      <c r="G198" s="36" t="s">
        <v>212</v>
      </c>
      <c r="H198" s="36" t="s">
        <v>352</v>
      </c>
      <c r="I198" s="37" t="s">
        <v>2027</v>
      </c>
      <c r="J198" s="31">
        <v>1</v>
      </c>
      <c r="K198" s="33" t="s">
        <v>694</v>
      </c>
      <c r="L198" s="33"/>
      <c r="M198" s="34"/>
      <c r="N198" s="34" t="s">
        <v>1693</v>
      </c>
      <c r="O198" s="35">
        <v>1</v>
      </c>
      <c r="P198" s="35">
        <v>1</v>
      </c>
      <c r="Q198" s="32" t="s">
        <v>2028</v>
      </c>
      <c r="S198" s="1">
        <f t="shared" si="55"/>
        <v>1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125</v>
      </c>
      <c r="E199" s="32" t="s">
        <v>522</v>
      </c>
      <c r="F199" s="32" t="s">
        <v>325</v>
      </c>
      <c r="G199" s="32" t="s">
        <v>298</v>
      </c>
      <c r="H199" s="32" t="s">
        <v>352</v>
      </c>
      <c r="I199" s="31" t="s">
        <v>472</v>
      </c>
      <c r="J199" s="31">
        <v>99</v>
      </c>
      <c r="K199" s="33" t="s">
        <v>693</v>
      </c>
      <c r="L199" s="33" t="s">
        <v>680</v>
      </c>
      <c r="M199" s="34" t="s">
        <v>947</v>
      </c>
      <c r="N199" s="34" t="s">
        <v>1696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1689</v>
      </c>
      <c r="E200" s="32" t="s">
        <v>165</v>
      </c>
      <c r="F200" s="32" t="s">
        <v>1690</v>
      </c>
      <c r="G200" s="32" t="s">
        <v>1691</v>
      </c>
      <c r="H200" s="32" t="s">
        <v>352</v>
      </c>
      <c r="I200" s="31" t="s">
        <v>1692</v>
      </c>
      <c r="J200" s="31">
        <v>2</v>
      </c>
      <c r="K200" s="33" t="s">
        <v>694</v>
      </c>
      <c r="L200" s="33"/>
      <c r="M200" s="34"/>
      <c r="N200" s="34" t="s">
        <v>1693</v>
      </c>
      <c r="O200" s="35">
        <v>1</v>
      </c>
      <c r="P200" s="35">
        <v>1</v>
      </c>
      <c r="Q200" s="32"/>
      <c r="S200" s="1">
        <f t="shared" si="55"/>
        <v>0</v>
      </c>
      <c r="T200" s="1">
        <f t="shared" si="56"/>
        <v>1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1</v>
      </c>
      <c r="AE200" s="1">
        <f t="shared" si="66"/>
        <v>0</v>
      </c>
      <c r="AF200" s="1">
        <f t="shared" si="67"/>
        <v>1</v>
      </c>
      <c r="AG200" s="1">
        <f t="shared" si="68"/>
        <v>0</v>
      </c>
      <c r="AH200" s="1">
        <f t="shared" si="69"/>
        <v>1</v>
      </c>
      <c r="AI200" s="1">
        <f t="shared" si="70"/>
        <v>0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87</v>
      </c>
      <c r="E201" s="32" t="s">
        <v>165</v>
      </c>
      <c r="F201" s="32" t="s">
        <v>570</v>
      </c>
      <c r="G201" s="32" t="s">
        <v>193</v>
      </c>
      <c r="H201" s="32" t="s">
        <v>352</v>
      </c>
      <c r="I201" s="31" t="s">
        <v>434</v>
      </c>
      <c r="J201" s="31">
        <v>9</v>
      </c>
      <c r="K201" s="33" t="s">
        <v>933</v>
      </c>
      <c r="L201" s="33" t="s">
        <v>687</v>
      </c>
      <c r="M201" s="34" t="s">
        <v>682</v>
      </c>
      <c r="N201" s="34" t="s">
        <v>1696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1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1941</v>
      </c>
      <c r="E202" s="32" t="s">
        <v>165</v>
      </c>
      <c r="F202" s="32" t="s">
        <v>1942</v>
      </c>
      <c r="G202" s="32" t="s">
        <v>1945</v>
      </c>
      <c r="H202" s="32" t="s">
        <v>352</v>
      </c>
      <c r="I202" s="31" t="s">
        <v>1943</v>
      </c>
      <c r="J202" s="31">
        <v>99</v>
      </c>
      <c r="K202" s="33" t="s">
        <v>694</v>
      </c>
      <c r="L202" s="33">
        <v>25</v>
      </c>
      <c r="M202" s="34" t="s">
        <v>682</v>
      </c>
      <c r="N202" s="34" t="s">
        <v>1696</v>
      </c>
      <c r="O202" s="35">
        <v>1</v>
      </c>
      <c r="P202" s="35"/>
      <c r="Q202" s="32" t="s">
        <v>1944</v>
      </c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126</v>
      </c>
      <c r="E203" s="32" t="s">
        <v>165</v>
      </c>
      <c r="F203" s="32" t="s">
        <v>326</v>
      </c>
      <c r="G203" s="32" t="s">
        <v>179</v>
      </c>
      <c r="H203" s="32" t="s">
        <v>352</v>
      </c>
      <c r="I203" s="31" t="s">
        <v>473</v>
      </c>
      <c r="J203" s="31">
        <v>10</v>
      </c>
      <c r="K203" s="33" t="s">
        <v>935</v>
      </c>
      <c r="L203" s="33" t="s">
        <v>685</v>
      </c>
      <c r="M203" s="34" t="s">
        <v>682</v>
      </c>
      <c r="N203" s="34" t="s">
        <v>1741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544</v>
      </c>
      <c r="G204" s="32" t="s">
        <v>219</v>
      </c>
      <c r="H204" s="32" t="s">
        <v>352</v>
      </c>
      <c r="I204" s="31" t="s">
        <v>536</v>
      </c>
      <c r="J204" s="31">
        <v>8</v>
      </c>
      <c r="K204" s="33" t="s">
        <v>933</v>
      </c>
      <c r="L204" s="33" t="s">
        <v>685</v>
      </c>
      <c r="M204" s="34" t="s">
        <v>682</v>
      </c>
      <c r="N204" s="34" t="s">
        <v>1696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1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s="1" customFormat="1" ht="14.25" customHeight="1" x14ac:dyDescent="0.25">
      <c r="A205" s="31">
        <v>1</v>
      </c>
      <c r="B205" s="31">
        <v>1</v>
      </c>
      <c r="C205" s="31">
        <v>5</v>
      </c>
      <c r="D205" s="32" t="s">
        <v>136</v>
      </c>
      <c r="E205" s="32" t="s">
        <v>165</v>
      </c>
      <c r="F205" s="32" t="s">
        <v>335</v>
      </c>
      <c r="G205" s="32" t="s">
        <v>336</v>
      </c>
      <c r="H205" s="32" t="s">
        <v>352</v>
      </c>
      <c r="I205" s="31" t="s">
        <v>482</v>
      </c>
      <c r="J205" s="31">
        <v>10</v>
      </c>
      <c r="K205" s="33" t="s">
        <v>933</v>
      </c>
      <c r="L205" s="33" t="s">
        <v>685</v>
      </c>
      <c r="M205" s="34" t="s">
        <v>682</v>
      </c>
      <c r="N205" s="34" t="s">
        <v>1696</v>
      </c>
      <c r="O205" s="35">
        <v>1</v>
      </c>
      <c r="P205" s="35"/>
      <c r="Q205" s="32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1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0</v>
      </c>
      <c r="AH205" s="1">
        <f t="shared" si="69"/>
        <v>0</v>
      </c>
      <c r="AI205" s="1">
        <f t="shared" si="70"/>
        <v>0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1598</v>
      </c>
      <c r="E206" s="32" t="s">
        <v>165</v>
      </c>
      <c r="F206" s="32" t="s">
        <v>846</v>
      </c>
      <c r="G206" s="32" t="s">
        <v>1625</v>
      </c>
      <c r="H206" s="32" t="s">
        <v>352</v>
      </c>
      <c r="I206" s="31" t="s">
        <v>847</v>
      </c>
      <c r="J206" s="31">
        <v>1</v>
      </c>
      <c r="K206" s="33" t="s">
        <v>713</v>
      </c>
      <c r="L206" s="33" t="s">
        <v>1667</v>
      </c>
      <c r="M206" s="34" t="s">
        <v>1365</v>
      </c>
      <c r="N206" s="34" t="s">
        <v>1696</v>
      </c>
      <c r="O206" s="35">
        <v>1</v>
      </c>
      <c r="P206" s="35"/>
      <c r="Q206" s="32"/>
      <c r="S206" s="1">
        <f t="shared" si="55"/>
        <v>1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1</v>
      </c>
      <c r="AF206" s="1">
        <f t="shared" si="67"/>
        <v>0</v>
      </c>
      <c r="AG206" s="1">
        <f t="shared" si="68"/>
        <v>1</v>
      </c>
      <c r="AH206" s="1">
        <f t="shared" si="69"/>
        <v>0</v>
      </c>
      <c r="AI206" s="1">
        <f t="shared" si="70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2056</v>
      </c>
      <c r="E207" s="32" t="s">
        <v>165</v>
      </c>
      <c r="F207" s="32" t="s">
        <v>2057</v>
      </c>
      <c r="G207" s="32" t="s">
        <v>193</v>
      </c>
      <c r="H207" s="32" t="s">
        <v>352</v>
      </c>
      <c r="I207" s="31" t="s">
        <v>2058</v>
      </c>
      <c r="J207" s="31">
        <v>9</v>
      </c>
      <c r="K207" s="33" t="s">
        <v>694</v>
      </c>
      <c r="L207" s="33"/>
      <c r="M207" s="34"/>
      <c r="N207" s="34" t="s">
        <v>1693</v>
      </c>
      <c r="O207" s="35">
        <v>1</v>
      </c>
      <c r="P207" s="35">
        <v>1</v>
      </c>
      <c r="Q207" s="32" t="s">
        <v>2059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1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s="1" customFormat="1" ht="14.25" customHeight="1" x14ac:dyDescent="0.25">
      <c r="A208" s="15">
        <v>0</v>
      </c>
      <c r="B208" s="15">
        <v>1</v>
      </c>
      <c r="C208" s="15">
        <v>5</v>
      </c>
      <c r="D208" s="20" t="s">
        <v>1898</v>
      </c>
      <c r="E208" s="20" t="s">
        <v>872</v>
      </c>
      <c r="F208" s="20" t="s">
        <v>1915</v>
      </c>
      <c r="G208" s="20"/>
      <c r="H208" s="20" t="s">
        <v>1916</v>
      </c>
      <c r="I208" s="21" t="s">
        <v>1914</v>
      </c>
      <c r="J208" s="15">
        <v>15</v>
      </c>
      <c r="K208" s="10" t="s">
        <v>694</v>
      </c>
      <c r="L208" s="10" t="s">
        <v>688</v>
      </c>
      <c r="M208" s="19" t="s">
        <v>948</v>
      </c>
      <c r="N208" s="17"/>
      <c r="Q208" s="20" t="s">
        <v>1917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0</v>
      </c>
      <c r="AF208" s="1">
        <f t="shared" si="67"/>
        <v>0</v>
      </c>
      <c r="AG208" s="1">
        <f t="shared" si="68"/>
        <v>0</v>
      </c>
      <c r="AH208" s="1">
        <f t="shared" si="69"/>
        <v>0</v>
      </c>
      <c r="AI208" s="1">
        <f t="shared" si="70"/>
        <v>1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866</v>
      </c>
      <c r="E209" s="32" t="s">
        <v>867</v>
      </c>
      <c r="F209" s="32" t="s">
        <v>1069</v>
      </c>
      <c r="G209" s="32" t="s">
        <v>39</v>
      </c>
      <c r="H209" s="32" t="s">
        <v>868</v>
      </c>
      <c r="I209" s="31" t="s">
        <v>869</v>
      </c>
      <c r="J209" s="31">
        <v>16</v>
      </c>
      <c r="K209" s="33" t="s">
        <v>694</v>
      </c>
      <c r="L209" s="33" t="s">
        <v>683</v>
      </c>
      <c r="M209" s="34" t="s">
        <v>947</v>
      </c>
      <c r="N209" s="34" t="s">
        <v>1693</v>
      </c>
      <c r="O209" s="35">
        <v>1</v>
      </c>
      <c r="P209" s="35">
        <v>1</v>
      </c>
      <c r="Q209" s="36" t="s">
        <v>1844</v>
      </c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1</v>
      </c>
      <c r="AE209" s="1">
        <f t="shared" si="66"/>
        <v>0</v>
      </c>
      <c r="AF209" s="1">
        <f t="shared" si="67"/>
        <v>1</v>
      </c>
      <c r="AG209" s="1">
        <f t="shared" si="68"/>
        <v>0</v>
      </c>
      <c r="AH209" s="1">
        <f t="shared" si="69"/>
        <v>1</v>
      </c>
      <c r="AI209" s="1">
        <f t="shared" si="70"/>
        <v>0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105</v>
      </c>
      <c r="E210" s="32" t="s">
        <v>172</v>
      </c>
      <c r="F210" s="32" t="s">
        <v>302</v>
      </c>
      <c r="G210" s="32" t="s">
        <v>39</v>
      </c>
      <c r="H210" s="32" t="s">
        <v>357</v>
      </c>
      <c r="I210" s="31" t="s">
        <v>450</v>
      </c>
      <c r="J210" s="31">
        <v>14</v>
      </c>
      <c r="K210" s="33" t="s">
        <v>933</v>
      </c>
      <c r="L210" s="33" t="s">
        <v>684</v>
      </c>
      <c r="M210" s="34" t="s">
        <v>947</v>
      </c>
      <c r="N210" s="34" t="s">
        <v>1696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509</v>
      </c>
      <c r="E211" s="32" t="s">
        <v>171</v>
      </c>
      <c r="F211" s="32" t="s">
        <v>545</v>
      </c>
      <c r="G211" s="32" t="s">
        <v>39</v>
      </c>
      <c r="H211" s="32" t="s">
        <v>360</v>
      </c>
      <c r="I211" s="31" t="s">
        <v>1091</v>
      </c>
      <c r="J211" s="31">
        <v>12</v>
      </c>
      <c r="K211" s="33" t="s">
        <v>694</v>
      </c>
      <c r="L211" s="33">
        <v>35</v>
      </c>
      <c r="M211" s="34" t="s">
        <v>947</v>
      </c>
      <c r="N211" s="34" t="s">
        <v>1776</v>
      </c>
      <c r="O211" s="35">
        <v>1</v>
      </c>
      <c r="P211" s="35"/>
      <c r="Q211" s="32"/>
      <c r="S211" s="1">
        <f t="shared" si="55"/>
        <v>0</v>
      </c>
      <c r="T211" s="1">
        <f t="shared" si="56"/>
        <v>0</v>
      </c>
      <c r="U211" s="1">
        <f t="shared" si="57"/>
        <v>0</v>
      </c>
      <c r="V211" s="1">
        <f t="shared" si="58"/>
        <v>0</v>
      </c>
      <c r="W211" s="1">
        <f t="shared" si="59"/>
        <v>0</v>
      </c>
      <c r="X211" s="1">
        <f t="shared" si="60"/>
        <v>0</v>
      </c>
      <c r="Y211" s="1">
        <f t="shared" si="61"/>
        <v>0</v>
      </c>
      <c r="Z211" s="1">
        <f t="shared" si="62"/>
        <v>0</v>
      </c>
      <c r="AA211" s="1">
        <f t="shared" si="63"/>
        <v>0</v>
      </c>
      <c r="AB211" s="1">
        <f t="shared" si="64"/>
        <v>0</v>
      </c>
      <c r="AD211" s="1">
        <f t="shared" si="65"/>
        <v>0</v>
      </c>
      <c r="AE211" s="1">
        <f t="shared" si="66"/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150</v>
      </c>
      <c r="E212" s="32" t="s">
        <v>165</v>
      </c>
      <c r="F212" s="36" t="s">
        <v>1821</v>
      </c>
      <c r="G212" s="32" t="s">
        <v>196</v>
      </c>
      <c r="H212" s="32" t="s">
        <v>352</v>
      </c>
      <c r="I212" s="31" t="s">
        <v>495</v>
      </c>
      <c r="J212" s="31">
        <v>99</v>
      </c>
      <c r="K212" s="33" t="s">
        <v>933</v>
      </c>
      <c r="L212" s="33" t="s">
        <v>684</v>
      </c>
      <c r="M212" s="34" t="s">
        <v>947</v>
      </c>
      <c r="N212" s="34" t="s">
        <v>1700</v>
      </c>
      <c r="O212" s="35">
        <v>1</v>
      </c>
      <c r="P212" s="35"/>
      <c r="Q212" s="32"/>
      <c r="S212" s="1">
        <f t="shared" ref="S212:S275" si="79">IF(J212=$S$7,1,0)</f>
        <v>0</v>
      </c>
      <c r="T212" s="1">
        <f t="shared" ref="T212:T275" si="80">IF(J212=$T$7,1,0)</f>
        <v>0</v>
      </c>
      <c r="U212" s="1">
        <f t="shared" ref="U212:U275" si="81">IF(J212=$U$7,1,0)</f>
        <v>0</v>
      </c>
      <c r="V212" s="1">
        <f t="shared" ref="V212:V275" si="82">IF(J212=$V$7,1,0)</f>
        <v>0</v>
      </c>
      <c r="W212" s="1">
        <f t="shared" ref="W212:W275" si="83">IF(J212=$W$7,1,0)</f>
        <v>0</v>
      </c>
      <c r="X212" s="1">
        <f t="shared" ref="X212:X275" si="84">IF(J212=$X$7,1,0)</f>
        <v>0</v>
      </c>
      <c r="Y212" s="1">
        <f t="shared" ref="Y212:Y275" si="85">IF(J212=$Y$7,1,0)</f>
        <v>0</v>
      </c>
      <c r="Z212" s="1">
        <f t="shared" ref="Z212:Z275" si="86">IF(J212=$Z$7,1,0)</f>
        <v>0</v>
      </c>
      <c r="AA212" s="1">
        <f t="shared" ref="AA212:AA275" si="87">IF(J212=$AA$7,1,0)</f>
        <v>0</v>
      </c>
      <c r="AB212" s="1">
        <f t="shared" ref="AB212:AB275" si="88">IF(J212=$AB$7,1,0)</f>
        <v>0</v>
      </c>
      <c r="AD212" s="1">
        <f t="shared" ref="AD212:AD275" si="89">+O212*P212</f>
        <v>0</v>
      </c>
      <c r="AE212" s="1">
        <f t="shared" ref="AE212:AE275" si="90">O212*(1-P212)</f>
        <v>1</v>
      </c>
      <c r="AF212" s="1">
        <f t="shared" si="67"/>
        <v>0</v>
      </c>
      <c r="AG212" s="1">
        <f t="shared" si="68"/>
        <v>1</v>
      </c>
      <c r="AH212" s="1">
        <f t="shared" si="69"/>
        <v>0</v>
      </c>
      <c r="AI212" s="1">
        <f t="shared" si="70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641</v>
      </c>
      <c r="E213" s="32" t="s">
        <v>675</v>
      </c>
      <c r="F213" s="32" t="s">
        <v>637</v>
      </c>
      <c r="G213" s="32" t="s">
        <v>184</v>
      </c>
      <c r="H213" s="32" t="s">
        <v>352</v>
      </c>
      <c r="I213" s="31" t="s">
        <v>638</v>
      </c>
      <c r="J213" s="31">
        <v>99</v>
      </c>
      <c r="K213" s="33" t="s">
        <v>713</v>
      </c>
      <c r="L213" s="33" t="s">
        <v>684</v>
      </c>
      <c r="M213" s="34" t="s">
        <v>947</v>
      </c>
      <c r="N213" s="34" t="s">
        <v>1701</v>
      </c>
      <c r="O213" s="35">
        <v>1</v>
      </c>
      <c r="P213" s="35"/>
      <c r="Q213" s="32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ref="AF213:AF276" si="91">+O213*P213*(1-A213)</f>
        <v>0</v>
      </c>
      <c r="AG213" s="1">
        <f t="shared" ref="AG213:AG276" si="92">O213*(1-P213)*(1-A213)</f>
        <v>1</v>
      </c>
      <c r="AH213" s="1">
        <f t="shared" ref="AH213:AH276" si="93">+P213*(1-A213)</f>
        <v>0</v>
      </c>
      <c r="AI213" s="1">
        <f t="shared" ref="AI213:AI276" si="94">+(1-A213)*(1-P213)</f>
        <v>1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1278</v>
      </c>
      <c r="E214" s="32" t="s">
        <v>165</v>
      </c>
      <c r="F214" s="32" t="s">
        <v>1279</v>
      </c>
      <c r="G214" s="32" t="s">
        <v>281</v>
      </c>
      <c r="H214" s="32" t="s">
        <v>352</v>
      </c>
      <c r="I214" s="31" t="s">
        <v>1280</v>
      </c>
      <c r="J214" s="31">
        <v>99</v>
      </c>
      <c r="K214" s="33" t="s">
        <v>693</v>
      </c>
      <c r="L214" s="33" t="s">
        <v>39</v>
      </c>
      <c r="M214" s="34" t="s">
        <v>39</v>
      </c>
      <c r="N214" s="34" t="s">
        <v>1693</v>
      </c>
      <c r="O214" s="35">
        <v>1</v>
      </c>
      <c r="P214" s="35">
        <v>1</v>
      </c>
      <c r="Q214" s="32"/>
      <c r="S214" s="1">
        <f t="shared" si="79"/>
        <v>0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1</v>
      </c>
      <c r="AE214" s="1">
        <f t="shared" si="90"/>
        <v>0</v>
      </c>
      <c r="AF214" s="1">
        <f t="shared" si="91"/>
        <v>1</v>
      </c>
      <c r="AG214" s="1">
        <f t="shared" si="92"/>
        <v>0</v>
      </c>
      <c r="AH214" s="1">
        <f t="shared" si="93"/>
        <v>1</v>
      </c>
      <c r="AI214" s="1">
        <f t="shared" si="94"/>
        <v>0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871</v>
      </c>
      <c r="E215" s="32" t="s">
        <v>872</v>
      </c>
      <c r="F215" s="32" t="s">
        <v>913</v>
      </c>
      <c r="G215" s="32" t="s">
        <v>39</v>
      </c>
      <c r="H215" s="32" t="s">
        <v>873</v>
      </c>
      <c r="I215" s="31" t="s">
        <v>874</v>
      </c>
      <c r="J215" s="31">
        <v>17</v>
      </c>
      <c r="K215" s="33" t="s">
        <v>694</v>
      </c>
      <c r="L215" s="33" t="s">
        <v>688</v>
      </c>
      <c r="M215" s="34" t="s">
        <v>947</v>
      </c>
      <c r="N215" s="34" t="s">
        <v>1707</v>
      </c>
      <c r="O215" s="35">
        <v>1</v>
      </c>
      <c r="P215" s="35"/>
      <c r="Q215" s="32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1</v>
      </c>
      <c r="AF215" s="1">
        <f t="shared" si="91"/>
        <v>0</v>
      </c>
      <c r="AG215" s="1">
        <f t="shared" si="92"/>
        <v>1</v>
      </c>
      <c r="AH215" s="1">
        <f t="shared" si="93"/>
        <v>0</v>
      </c>
      <c r="AI215" s="1">
        <f t="shared" si="94"/>
        <v>1</v>
      </c>
    </row>
    <row r="216" spans="1:35" s="1" customFormat="1" ht="14.25" customHeight="1" x14ac:dyDescent="0.25">
      <c r="A216" s="15">
        <v>0</v>
      </c>
      <c r="B216" s="15">
        <v>1</v>
      </c>
      <c r="C216" s="15">
        <v>5</v>
      </c>
      <c r="D216" s="16" t="s">
        <v>1891</v>
      </c>
      <c r="E216" s="16" t="s">
        <v>872</v>
      </c>
      <c r="F216" s="16" t="s">
        <v>1893</v>
      </c>
      <c r="G216" s="16"/>
      <c r="H216" s="16" t="s">
        <v>1892</v>
      </c>
      <c r="I216" s="15" t="s">
        <v>1894</v>
      </c>
      <c r="J216" s="15">
        <v>16</v>
      </c>
      <c r="K216" s="10" t="s">
        <v>694</v>
      </c>
      <c r="L216" s="10" t="s">
        <v>688</v>
      </c>
      <c r="M216" s="19" t="s">
        <v>947</v>
      </c>
      <c r="N216" s="17"/>
      <c r="Q216" s="20" t="s">
        <v>1895</v>
      </c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91"/>
        <v>0</v>
      </c>
      <c r="AG216" s="1">
        <f t="shared" si="92"/>
        <v>0</v>
      </c>
      <c r="AH216" s="1">
        <f t="shared" si="93"/>
        <v>0</v>
      </c>
      <c r="AI216" s="1">
        <f t="shared" si="94"/>
        <v>1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130</v>
      </c>
      <c r="E217" s="32" t="s">
        <v>165</v>
      </c>
      <c r="F217" s="32" t="s">
        <v>330</v>
      </c>
      <c r="G217" s="32" t="s">
        <v>331</v>
      </c>
      <c r="H217" s="32" t="s">
        <v>352</v>
      </c>
      <c r="I217" s="31" t="s">
        <v>477</v>
      </c>
      <c r="J217" s="31">
        <v>99</v>
      </c>
      <c r="K217" s="33" t="s">
        <v>713</v>
      </c>
      <c r="L217" s="33" t="s">
        <v>685</v>
      </c>
      <c r="M217" s="34" t="s">
        <v>947</v>
      </c>
      <c r="N217" s="34" t="s">
        <v>1701</v>
      </c>
      <c r="O217" s="35">
        <v>1</v>
      </c>
      <c r="P217" s="35"/>
      <c r="Q217" s="32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1</v>
      </c>
      <c r="AF217" s="1">
        <f t="shared" si="91"/>
        <v>0</v>
      </c>
      <c r="AG217" s="1">
        <f t="shared" si="92"/>
        <v>1</v>
      </c>
      <c r="AH217" s="1">
        <f t="shared" si="93"/>
        <v>0</v>
      </c>
      <c r="AI217" s="1">
        <f t="shared" si="94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108</v>
      </c>
      <c r="E218" s="32" t="s">
        <v>165</v>
      </c>
      <c r="F218" s="32" t="s">
        <v>305</v>
      </c>
      <c r="G218" s="32" t="s">
        <v>230</v>
      </c>
      <c r="H218" s="32" t="s">
        <v>352</v>
      </c>
      <c r="I218" s="31" t="s">
        <v>453</v>
      </c>
      <c r="J218" s="31">
        <v>99</v>
      </c>
      <c r="K218" s="33" t="s">
        <v>713</v>
      </c>
      <c r="L218" s="33" t="s">
        <v>687</v>
      </c>
      <c r="M218" s="34" t="s">
        <v>682</v>
      </c>
      <c r="N218" s="34" t="s">
        <v>1696</v>
      </c>
      <c r="O218" s="35">
        <v>1</v>
      </c>
      <c r="P218" s="35"/>
      <c r="Q218" s="32"/>
      <c r="S218" s="1">
        <f t="shared" si="79"/>
        <v>0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91"/>
        <v>0</v>
      </c>
      <c r="AG218" s="1">
        <f t="shared" si="92"/>
        <v>1</v>
      </c>
      <c r="AH218" s="1">
        <f t="shared" si="93"/>
        <v>0</v>
      </c>
      <c r="AI218" s="1">
        <f t="shared" si="94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110</v>
      </c>
      <c r="E219" s="32" t="s">
        <v>171</v>
      </c>
      <c r="F219" s="32" t="s">
        <v>308</v>
      </c>
      <c r="G219" s="32" t="s">
        <v>39</v>
      </c>
      <c r="H219" s="32" t="s">
        <v>362</v>
      </c>
      <c r="I219" s="31" t="s">
        <v>456</v>
      </c>
      <c r="J219" s="31">
        <v>17</v>
      </c>
      <c r="K219" s="33" t="s">
        <v>694</v>
      </c>
      <c r="L219" s="33" t="s">
        <v>688</v>
      </c>
      <c r="M219" s="34" t="s">
        <v>682</v>
      </c>
      <c r="N219" s="34" t="s">
        <v>1693</v>
      </c>
      <c r="O219" s="35">
        <v>1</v>
      </c>
      <c r="P219" s="35">
        <v>1</v>
      </c>
      <c r="Q219" s="32" t="s">
        <v>1865</v>
      </c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0</v>
      </c>
      <c r="AD219" s="1">
        <f t="shared" si="89"/>
        <v>1</v>
      </c>
      <c r="AE219" s="1">
        <f t="shared" si="90"/>
        <v>0</v>
      </c>
      <c r="AF219" s="1">
        <f t="shared" si="91"/>
        <v>1</v>
      </c>
      <c r="AG219" s="1">
        <f t="shared" si="92"/>
        <v>0</v>
      </c>
      <c r="AH219" s="1">
        <f t="shared" si="93"/>
        <v>1</v>
      </c>
      <c r="AI219" s="1">
        <f t="shared" si="94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521</v>
      </c>
      <c r="E220" s="32" t="s">
        <v>522</v>
      </c>
      <c r="F220" s="32" t="s">
        <v>523</v>
      </c>
      <c r="G220" s="32" t="s">
        <v>201</v>
      </c>
      <c r="H220" s="32" t="s">
        <v>352</v>
      </c>
      <c r="I220" s="31" t="s">
        <v>524</v>
      </c>
      <c r="J220" s="31">
        <v>10</v>
      </c>
      <c r="K220" s="33" t="s">
        <v>693</v>
      </c>
      <c r="L220" s="33" t="s">
        <v>684</v>
      </c>
      <c r="M220" s="34" t="s">
        <v>947</v>
      </c>
      <c r="N220" s="34" t="s">
        <v>1693</v>
      </c>
      <c r="O220" s="35">
        <v>1</v>
      </c>
      <c r="P220" s="35">
        <v>1</v>
      </c>
      <c r="Q220" s="32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1</v>
      </c>
      <c r="AD220" s="1">
        <f t="shared" si="89"/>
        <v>1</v>
      </c>
      <c r="AE220" s="1">
        <f t="shared" si="90"/>
        <v>0</v>
      </c>
      <c r="AF220" s="1">
        <f t="shared" si="91"/>
        <v>1</v>
      </c>
      <c r="AG220" s="1">
        <f t="shared" si="92"/>
        <v>0</v>
      </c>
      <c r="AH220" s="1">
        <f t="shared" si="93"/>
        <v>1</v>
      </c>
      <c r="AI220" s="1">
        <f t="shared" si="94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1462</v>
      </c>
      <c r="E221" s="32" t="s">
        <v>165</v>
      </c>
      <c r="F221" s="32" t="s">
        <v>1463</v>
      </c>
      <c r="G221" s="32" t="s">
        <v>179</v>
      </c>
      <c r="H221" s="32" t="s">
        <v>352</v>
      </c>
      <c r="I221" s="31" t="s">
        <v>1464</v>
      </c>
      <c r="J221" s="31">
        <v>10</v>
      </c>
      <c r="K221" s="33" t="s">
        <v>933</v>
      </c>
      <c r="L221" s="33" t="s">
        <v>684</v>
      </c>
      <c r="M221" s="34" t="s">
        <v>947</v>
      </c>
      <c r="N221" s="34" t="s">
        <v>1687</v>
      </c>
      <c r="O221" s="35">
        <v>1</v>
      </c>
      <c r="P221" s="35">
        <v>1</v>
      </c>
      <c r="Q221" s="32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0</v>
      </c>
      <c r="AA221" s="1">
        <f t="shared" si="87"/>
        <v>0</v>
      </c>
      <c r="AB221" s="1">
        <f t="shared" si="88"/>
        <v>1</v>
      </c>
      <c r="AD221" s="1">
        <f t="shared" si="89"/>
        <v>1</v>
      </c>
      <c r="AE221" s="1">
        <f t="shared" si="90"/>
        <v>0</v>
      </c>
      <c r="AF221" s="1">
        <f t="shared" si="91"/>
        <v>1</v>
      </c>
      <c r="AG221" s="1">
        <f t="shared" si="92"/>
        <v>0</v>
      </c>
      <c r="AH221" s="1">
        <f t="shared" si="93"/>
        <v>1</v>
      </c>
      <c r="AI221" s="1">
        <f t="shared" si="94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5</v>
      </c>
      <c r="D222" s="32" t="s">
        <v>1709</v>
      </c>
      <c r="E222" s="32" t="s">
        <v>165</v>
      </c>
      <c r="F222" s="32" t="s">
        <v>1710</v>
      </c>
      <c r="G222" s="32" t="s">
        <v>1711</v>
      </c>
      <c r="H222" s="32" t="s">
        <v>352</v>
      </c>
      <c r="I222" s="31" t="s">
        <v>1712</v>
      </c>
      <c r="J222" s="31">
        <v>1</v>
      </c>
      <c r="K222" s="33" t="s">
        <v>694</v>
      </c>
      <c r="L222" s="33"/>
      <c r="M222" s="34"/>
      <c r="N222" s="34" t="s">
        <v>1700</v>
      </c>
      <c r="O222" s="35">
        <v>1</v>
      </c>
      <c r="P222" s="35"/>
      <c r="Q222" s="32"/>
      <c r="S222" s="1">
        <f t="shared" si="79"/>
        <v>1</v>
      </c>
      <c r="T222" s="1">
        <f t="shared" si="80"/>
        <v>0</v>
      </c>
      <c r="U222" s="1">
        <f t="shared" si="81"/>
        <v>0</v>
      </c>
      <c r="V222" s="1">
        <f t="shared" si="82"/>
        <v>0</v>
      </c>
      <c r="W222" s="1">
        <f t="shared" si="83"/>
        <v>0</v>
      </c>
      <c r="X222" s="1">
        <f t="shared" si="84"/>
        <v>0</v>
      </c>
      <c r="Y222" s="1">
        <f t="shared" si="85"/>
        <v>0</v>
      </c>
      <c r="Z222" s="1">
        <f t="shared" si="86"/>
        <v>0</v>
      </c>
      <c r="AA222" s="1">
        <f t="shared" si="87"/>
        <v>0</v>
      </c>
      <c r="AB222" s="1">
        <f t="shared" si="88"/>
        <v>0</v>
      </c>
      <c r="AD222" s="1">
        <f t="shared" si="89"/>
        <v>0</v>
      </c>
      <c r="AE222" s="1">
        <f t="shared" si="90"/>
        <v>1</v>
      </c>
      <c r="AF222" s="1">
        <f t="shared" si="91"/>
        <v>0</v>
      </c>
      <c r="AG222" s="1">
        <f t="shared" si="92"/>
        <v>1</v>
      </c>
      <c r="AH222" s="1">
        <f t="shared" si="93"/>
        <v>0</v>
      </c>
      <c r="AI222" s="1">
        <f t="shared" si="94"/>
        <v>1</v>
      </c>
    </row>
    <row r="223" spans="1:35" s="1" customFormat="1" ht="14.25" customHeight="1" x14ac:dyDescent="0.25">
      <c r="A223" s="62">
        <v>0</v>
      </c>
      <c r="B223" s="62">
        <v>1</v>
      </c>
      <c r="C223" s="62">
        <v>5</v>
      </c>
      <c r="D223" s="63" t="s">
        <v>1003</v>
      </c>
      <c r="E223" s="63" t="s">
        <v>1064</v>
      </c>
      <c r="F223" s="63" t="s">
        <v>1004</v>
      </c>
      <c r="G223" s="63" t="s">
        <v>193</v>
      </c>
      <c r="H223" s="63" t="s">
        <v>352</v>
      </c>
      <c r="I223" s="62" t="s">
        <v>1005</v>
      </c>
      <c r="J223" s="62">
        <v>9</v>
      </c>
      <c r="K223" s="64" t="s">
        <v>713</v>
      </c>
      <c r="L223" s="64" t="s">
        <v>1664</v>
      </c>
      <c r="M223" s="65" t="s">
        <v>1565</v>
      </c>
      <c r="N223" s="65" t="s">
        <v>1696</v>
      </c>
      <c r="O223" s="66">
        <v>1</v>
      </c>
      <c r="P223" s="66"/>
      <c r="Q223" s="63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1</v>
      </c>
      <c r="AB223" s="1">
        <f t="shared" si="88"/>
        <v>0</v>
      </c>
      <c r="AD223" s="1">
        <f t="shared" si="89"/>
        <v>0</v>
      </c>
      <c r="AE223" s="1">
        <f t="shared" si="90"/>
        <v>1</v>
      </c>
      <c r="AF223" s="1">
        <f t="shared" si="91"/>
        <v>0</v>
      </c>
      <c r="AG223" s="1">
        <f t="shared" si="92"/>
        <v>1</v>
      </c>
      <c r="AH223" s="1">
        <f t="shared" si="93"/>
        <v>0</v>
      </c>
      <c r="AI223" s="1">
        <f t="shared" si="94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5</v>
      </c>
      <c r="D224" s="32" t="s">
        <v>1575</v>
      </c>
      <c r="E224" s="32" t="s">
        <v>165</v>
      </c>
      <c r="F224" s="32" t="s">
        <v>1576</v>
      </c>
      <c r="G224" s="32" t="s">
        <v>212</v>
      </c>
      <c r="H224" s="32" t="s">
        <v>352</v>
      </c>
      <c r="I224" s="31" t="s">
        <v>1577</v>
      </c>
      <c r="J224" s="31">
        <v>1</v>
      </c>
      <c r="K224" s="33" t="s">
        <v>713</v>
      </c>
      <c r="L224" s="33" t="s">
        <v>685</v>
      </c>
      <c r="M224" s="34" t="s">
        <v>947</v>
      </c>
      <c r="N224" s="34" t="s">
        <v>1752</v>
      </c>
      <c r="O224" s="35">
        <v>1</v>
      </c>
      <c r="P224" s="35"/>
      <c r="Q224" s="32"/>
      <c r="S224" s="1">
        <f t="shared" si="79"/>
        <v>1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91"/>
        <v>0</v>
      </c>
      <c r="AG224" s="1">
        <f t="shared" si="92"/>
        <v>1</v>
      </c>
      <c r="AH224" s="1">
        <f t="shared" si="93"/>
        <v>0</v>
      </c>
      <c r="AI224" s="1">
        <f t="shared" si="94"/>
        <v>1</v>
      </c>
    </row>
    <row r="225" spans="1:35" s="1" customFormat="1" ht="14.25" customHeight="1" x14ac:dyDescent="0.25">
      <c r="A225" s="31">
        <v>0</v>
      </c>
      <c r="B225" s="31">
        <v>1</v>
      </c>
      <c r="C225" s="31">
        <v>5</v>
      </c>
      <c r="D225" s="32" t="s">
        <v>146</v>
      </c>
      <c r="E225" s="32" t="s">
        <v>541</v>
      </c>
      <c r="F225" s="32" t="s">
        <v>1560</v>
      </c>
      <c r="G225" s="32" t="s">
        <v>1634</v>
      </c>
      <c r="H225" s="32" t="s">
        <v>352</v>
      </c>
      <c r="I225" s="31" t="s">
        <v>491</v>
      </c>
      <c r="J225" s="31">
        <v>99</v>
      </c>
      <c r="K225" s="33" t="s">
        <v>693</v>
      </c>
      <c r="L225" s="33" t="s">
        <v>680</v>
      </c>
      <c r="M225" s="34" t="s">
        <v>947</v>
      </c>
      <c r="N225" s="34" t="s">
        <v>1776</v>
      </c>
      <c r="O225" s="35">
        <v>1</v>
      </c>
      <c r="P225" s="35"/>
      <c r="Q225" s="3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1</v>
      </c>
      <c r="AF225" s="1">
        <f t="shared" si="91"/>
        <v>0</v>
      </c>
      <c r="AG225" s="1">
        <f t="shared" si="92"/>
        <v>1</v>
      </c>
      <c r="AH225" s="1">
        <f t="shared" si="93"/>
        <v>0</v>
      </c>
      <c r="AI225" s="1">
        <f t="shared" si="94"/>
        <v>1</v>
      </c>
    </row>
    <row r="226" spans="1:35" s="1" customFormat="1" ht="14.25" customHeight="1" x14ac:dyDescent="0.25">
      <c r="A226" s="15">
        <v>0</v>
      </c>
      <c r="B226" s="15">
        <v>1</v>
      </c>
      <c r="C226" s="15">
        <v>5</v>
      </c>
      <c r="D226" s="16" t="s">
        <v>1181</v>
      </c>
      <c r="E226" s="16" t="s">
        <v>165</v>
      </c>
      <c r="F226" s="16" t="s">
        <v>1182</v>
      </c>
      <c r="G226" s="16" t="s">
        <v>1183</v>
      </c>
      <c r="H226" s="16" t="s">
        <v>352</v>
      </c>
      <c r="I226" s="15" t="s">
        <v>1184</v>
      </c>
      <c r="J226" s="15">
        <v>99</v>
      </c>
      <c r="K226" s="10" t="s">
        <v>694</v>
      </c>
      <c r="L226" s="10">
        <v>30</v>
      </c>
      <c r="M226" s="19" t="s">
        <v>947</v>
      </c>
      <c r="N226" s="19"/>
      <c r="Q226" s="16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91"/>
        <v>0</v>
      </c>
      <c r="AG226" s="1">
        <f t="shared" si="92"/>
        <v>0</v>
      </c>
      <c r="AH226" s="1">
        <f t="shared" si="93"/>
        <v>0</v>
      </c>
      <c r="AI226" s="1">
        <f t="shared" si="94"/>
        <v>1</v>
      </c>
    </row>
    <row r="227" spans="1:35" s="1" customFormat="1" ht="14.25" customHeight="1" x14ac:dyDescent="0.25">
      <c r="A227" s="31">
        <v>0</v>
      </c>
      <c r="B227" s="31">
        <v>1</v>
      </c>
      <c r="C227" s="31">
        <v>5</v>
      </c>
      <c r="D227" s="32" t="s">
        <v>1561</v>
      </c>
      <c r="E227" s="32" t="s">
        <v>171</v>
      </c>
      <c r="F227" s="32" t="s">
        <v>789</v>
      </c>
      <c r="G227" s="32" t="s">
        <v>39</v>
      </c>
      <c r="H227" s="32" t="s">
        <v>790</v>
      </c>
      <c r="I227" s="31" t="s">
        <v>791</v>
      </c>
      <c r="J227" s="31">
        <v>16</v>
      </c>
      <c r="K227" s="33" t="s">
        <v>934</v>
      </c>
      <c r="L227" s="33" t="s">
        <v>1695</v>
      </c>
      <c r="M227" s="34" t="s">
        <v>947</v>
      </c>
      <c r="N227" s="34" t="s">
        <v>1700</v>
      </c>
      <c r="O227" s="35">
        <v>1</v>
      </c>
      <c r="P227" s="35"/>
      <c r="Q227" s="32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1</v>
      </c>
      <c r="AF227" s="1">
        <f t="shared" si="91"/>
        <v>0</v>
      </c>
      <c r="AG227" s="1">
        <f t="shared" si="92"/>
        <v>1</v>
      </c>
      <c r="AH227" s="1">
        <f t="shared" si="93"/>
        <v>0</v>
      </c>
      <c r="AI227" s="1">
        <f t="shared" si="94"/>
        <v>1</v>
      </c>
    </row>
    <row r="228" spans="1:35" s="1" customFormat="1" ht="14.25" customHeight="1" x14ac:dyDescent="0.25">
      <c r="A228" s="31">
        <v>0</v>
      </c>
      <c r="B228" s="31">
        <v>1</v>
      </c>
      <c r="C228" s="31">
        <v>5</v>
      </c>
      <c r="D228" s="32" t="s">
        <v>498</v>
      </c>
      <c r="E228" s="32" t="s">
        <v>165</v>
      </c>
      <c r="F228" s="32" t="s">
        <v>499</v>
      </c>
      <c r="G228" s="32" t="s">
        <v>500</v>
      </c>
      <c r="H228" s="32" t="s">
        <v>352</v>
      </c>
      <c r="I228" s="31" t="s">
        <v>501</v>
      </c>
      <c r="J228" s="31">
        <v>99</v>
      </c>
      <c r="K228" s="33" t="s">
        <v>934</v>
      </c>
      <c r="L228" s="33" t="s">
        <v>685</v>
      </c>
      <c r="M228" s="34" t="s">
        <v>682</v>
      </c>
      <c r="N228" s="34" t="s">
        <v>1687</v>
      </c>
      <c r="O228" s="35">
        <v>1</v>
      </c>
      <c r="P228" s="35">
        <v>1</v>
      </c>
      <c r="Q228" s="32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1</v>
      </c>
      <c r="AE228" s="1">
        <f t="shared" si="90"/>
        <v>0</v>
      </c>
      <c r="AF228" s="1">
        <f t="shared" si="91"/>
        <v>1</v>
      </c>
      <c r="AG228" s="1">
        <f t="shared" si="92"/>
        <v>0</v>
      </c>
      <c r="AH228" s="1">
        <f t="shared" si="93"/>
        <v>1</v>
      </c>
      <c r="AI228" s="1">
        <f t="shared" si="94"/>
        <v>0</v>
      </c>
    </row>
    <row r="229" spans="1:35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1413</v>
      </c>
      <c r="E229" s="32" t="s">
        <v>166</v>
      </c>
      <c r="F229" s="32" t="s">
        <v>1414</v>
      </c>
      <c r="G229" s="32" t="s">
        <v>178</v>
      </c>
      <c r="H229" s="32" t="s">
        <v>352</v>
      </c>
      <c r="I229" s="31" t="s">
        <v>1415</v>
      </c>
      <c r="J229" s="31">
        <v>99</v>
      </c>
      <c r="K229" s="33" t="s">
        <v>933</v>
      </c>
      <c r="L229" s="33" t="s">
        <v>687</v>
      </c>
      <c r="M229" s="34" t="s">
        <v>1416</v>
      </c>
      <c r="N229" s="34" t="s">
        <v>1701</v>
      </c>
      <c r="O229" s="35">
        <v>1</v>
      </c>
      <c r="P229" s="35"/>
      <c r="Q229" s="36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1</v>
      </c>
      <c r="AF229" s="1">
        <f t="shared" si="91"/>
        <v>0</v>
      </c>
      <c r="AG229" s="1">
        <f t="shared" si="92"/>
        <v>1</v>
      </c>
      <c r="AH229" s="1">
        <f t="shared" si="93"/>
        <v>0</v>
      </c>
      <c r="AI229" s="1">
        <f t="shared" si="94"/>
        <v>1</v>
      </c>
    </row>
    <row r="230" spans="1:35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1155</v>
      </c>
      <c r="E230" s="32" t="s">
        <v>1158</v>
      </c>
      <c r="F230" s="32" t="s">
        <v>1156</v>
      </c>
      <c r="G230" s="32" t="s">
        <v>39</v>
      </c>
      <c r="H230" s="32" t="s">
        <v>352</v>
      </c>
      <c r="I230" s="31" t="s">
        <v>1157</v>
      </c>
      <c r="J230" s="31">
        <v>99</v>
      </c>
      <c r="K230" s="33" t="s">
        <v>939</v>
      </c>
      <c r="L230" s="33" t="s">
        <v>39</v>
      </c>
      <c r="M230" s="34" t="s">
        <v>39</v>
      </c>
      <c r="N230" s="34" t="s">
        <v>1693</v>
      </c>
      <c r="O230" s="35">
        <v>1</v>
      </c>
      <c r="P230" s="35">
        <v>1</v>
      </c>
      <c r="Q230" s="36" t="s">
        <v>1858</v>
      </c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0</v>
      </c>
      <c r="AD230" s="1">
        <f t="shared" si="89"/>
        <v>1</v>
      </c>
      <c r="AE230" s="1">
        <f t="shared" si="90"/>
        <v>0</v>
      </c>
      <c r="AF230" s="1">
        <f t="shared" si="91"/>
        <v>1</v>
      </c>
      <c r="AG230" s="1">
        <f t="shared" si="92"/>
        <v>0</v>
      </c>
      <c r="AH230" s="1">
        <f t="shared" si="93"/>
        <v>1</v>
      </c>
      <c r="AI230" s="1">
        <f t="shared" si="94"/>
        <v>0</v>
      </c>
    </row>
    <row r="231" spans="1:35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1609</v>
      </c>
      <c r="E231" s="32" t="s">
        <v>1617</v>
      </c>
      <c r="F231" s="32" t="s">
        <v>1643</v>
      </c>
      <c r="G231" s="32" t="s">
        <v>1644</v>
      </c>
      <c r="H231" s="32" t="s">
        <v>352</v>
      </c>
      <c r="I231" s="31" t="s">
        <v>1656</v>
      </c>
      <c r="J231" s="31">
        <v>1</v>
      </c>
      <c r="K231" s="33" t="s">
        <v>935</v>
      </c>
      <c r="L231" s="33" t="s">
        <v>39</v>
      </c>
      <c r="M231" s="34" t="s">
        <v>39</v>
      </c>
      <c r="N231" s="34" t="s">
        <v>1687</v>
      </c>
      <c r="O231" s="35">
        <v>1</v>
      </c>
      <c r="P231" s="35">
        <v>1</v>
      </c>
      <c r="Q231" s="32"/>
      <c r="S231" s="1">
        <f t="shared" si="79"/>
        <v>1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0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1</v>
      </c>
      <c r="AE231" s="1">
        <f t="shared" si="90"/>
        <v>0</v>
      </c>
      <c r="AF231" s="1">
        <f t="shared" si="91"/>
        <v>1</v>
      </c>
      <c r="AG231" s="1">
        <f t="shared" si="92"/>
        <v>0</v>
      </c>
      <c r="AH231" s="1">
        <f t="shared" si="93"/>
        <v>1</v>
      </c>
      <c r="AI231" s="1">
        <f t="shared" si="94"/>
        <v>0</v>
      </c>
    </row>
    <row r="232" spans="1:35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89</v>
      </c>
      <c r="E232" s="32" t="s">
        <v>167</v>
      </c>
      <c r="F232" s="32" t="s">
        <v>282</v>
      </c>
      <c r="G232" s="32" t="s">
        <v>229</v>
      </c>
      <c r="H232" s="32" t="s">
        <v>352</v>
      </c>
      <c r="I232" s="31" t="s">
        <v>435</v>
      </c>
      <c r="J232" s="31">
        <v>7</v>
      </c>
      <c r="K232" s="33" t="s">
        <v>713</v>
      </c>
      <c r="L232" s="33">
        <v>40</v>
      </c>
      <c r="M232" s="34" t="s">
        <v>39</v>
      </c>
      <c r="N232" s="34" t="s">
        <v>1700</v>
      </c>
      <c r="O232" s="35">
        <v>1</v>
      </c>
      <c r="P232" s="35"/>
      <c r="Q232" s="32"/>
      <c r="S232" s="1">
        <f t="shared" ref="S232:S234" si="95">IF(J232=$S$7,1,0)</f>
        <v>0</v>
      </c>
      <c r="T232" s="1">
        <f t="shared" ref="T232:T234" si="96">IF(J232=$T$7,1,0)</f>
        <v>0</v>
      </c>
      <c r="U232" s="1">
        <f t="shared" ref="U232:U234" si="97">IF(J232=$U$7,1,0)</f>
        <v>0</v>
      </c>
      <c r="V232" s="1">
        <f t="shared" ref="V232:V234" si="98">IF(J232=$V$7,1,0)</f>
        <v>0</v>
      </c>
      <c r="W232" s="1">
        <f t="shared" ref="W232:W234" si="99">IF(J232=$W$7,1,0)</f>
        <v>0</v>
      </c>
      <c r="X232" s="1">
        <f t="shared" ref="X232:X234" si="100">IF(J232=$X$7,1,0)</f>
        <v>0</v>
      </c>
      <c r="Y232" s="1">
        <f t="shared" ref="Y232:Y234" si="101">IF(J232=$Y$7,1,0)</f>
        <v>1</v>
      </c>
      <c r="Z232" s="1">
        <f t="shared" ref="Z232:Z234" si="102">IF(J232=$Z$7,1,0)</f>
        <v>0</v>
      </c>
      <c r="AA232" s="1">
        <f t="shared" ref="AA232:AA234" si="103">IF(J232=$AA$7,1,0)</f>
        <v>0</v>
      </c>
      <c r="AB232" s="1">
        <f t="shared" ref="AB232:AB234" si="104">IF(J232=$AB$7,1,0)</f>
        <v>0</v>
      </c>
      <c r="AD232" s="1">
        <f t="shared" si="89"/>
        <v>0</v>
      </c>
      <c r="AE232" s="1">
        <f t="shared" si="90"/>
        <v>1</v>
      </c>
      <c r="AF232" s="1">
        <f t="shared" si="91"/>
        <v>0</v>
      </c>
      <c r="AG232" s="1">
        <f t="shared" si="92"/>
        <v>1</v>
      </c>
      <c r="AH232" s="1">
        <f t="shared" si="93"/>
        <v>0</v>
      </c>
      <c r="AI232" s="1">
        <f t="shared" si="94"/>
        <v>1</v>
      </c>
    </row>
    <row r="233" spans="1:35" s="1" customFormat="1" ht="14.25" customHeight="1" x14ac:dyDescent="0.25">
      <c r="A233" s="31">
        <v>0</v>
      </c>
      <c r="B233" s="31">
        <v>1</v>
      </c>
      <c r="C233" s="31">
        <v>6</v>
      </c>
      <c r="D233" s="36" t="s">
        <v>2126</v>
      </c>
      <c r="E233" s="36" t="s">
        <v>2127</v>
      </c>
      <c r="F233" s="36" t="s">
        <v>2128</v>
      </c>
      <c r="G233" s="36" t="s">
        <v>283</v>
      </c>
      <c r="H233" s="36" t="s">
        <v>352</v>
      </c>
      <c r="I233" s="37" t="s">
        <v>2129</v>
      </c>
      <c r="J233" s="31">
        <v>10</v>
      </c>
      <c r="K233" s="33" t="s">
        <v>694</v>
      </c>
      <c r="L233" s="33">
        <v>40</v>
      </c>
      <c r="M233" s="34" t="s">
        <v>2142</v>
      </c>
      <c r="N233" s="34" t="s">
        <v>1700</v>
      </c>
      <c r="O233" s="35">
        <v>1</v>
      </c>
      <c r="P233" s="35"/>
      <c r="Q233" s="32"/>
      <c r="S233" s="1">
        <f t="shared" si="95"/>
        <v>0</v>
      </c>
      <c r="T233" s="1">
        <f t="shared" si="96"/>
        <v>0</v>
      </c>
      <c r="U233" s="1">
        <f t="shared" si="97"/>
        <v>0</v>
      </c>
      <c r="V233" s="1">
        <f t="shared" si="98"/>
        <v>0</v>
      </c>
      <c r="W233" s="1">
        <f t="shared" si="99"/>
        <v>0</v>
      </c>
      <c r="X233" s="1">
        <f t="shared" si="100"/>
        <v>0</v>
      </c>
      <c r="Y233" s="1">
        <f t="shared" si="101"/>
        <v>0</v>
      </c>
      <c r="Z233" s="1">
        <f t="shared" si="102"/>
        <v>0</v>
      </c>
      <c r="AA233" s="1">
        <f t="shared" si="103"/>
        <v>0</v>
      </c>
      <c r="AB233" s="1">
        <f t="shared" si="104"/>
        <v>1</v>
      </c>
      <c r="AD233" s="1">
        <f t="shared" si="89"/>
        <v>0</v>
      </c>
      <c r="AE233" s="1">
        <f t="shared" si="90"/>
        <v>1</v>
      </c>
      <c r="AF233" s="1">
        <f t="shared" si="91"/>
        <v>0</v>
      </c>
      <c r="AG233" s="1">
        <f t="shared" si="92"/>
        <v>1</v>
      </c>
      <c r="AH233" s="1">
        <f t="shared" si="93"/>
        <v>0</v>
      </c>
      <c r="AI233" s="1">
        <f t="shared" si="94"/>
        <v>1</v>
      </c>
    </row>
    <row r="234" spans="1:35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90</v>
      </c>
      <c r="E234" s="32" t="s">
        <v>164</v>
      </c>
      <c r="F234" s="36" t="s">
        <v>1822</v>
      </c>
      <c r="G234" s="32" t="s">
        <v>239</v>
      </c>
      <c r="H234" s="32" t="s">
        <v>352</v>
      </c>
      <c r="I234" s="31" t="s">
        <v>436</v>
      </c>
      <c r="J234" s="31">
        <v>1</v>
      </c>
      <c r="K234" s="33" t="s">
        <v>941</v>
      </c>
      <c r="L234" s="33" t="s">
        <v>39</v>
      </c>
      <c r="M234" s="34" t="s">
        <v>39</v>
      </c>
      <c r="N234" s="34" t="s">
        <v>1687</v>
      </c>
      <c r="O234" s="35">
        <v>1</v>
      </c>
      <c r="P234" s="35">
        <v>1</v>
      </c>
      <c r="Q234" s="32"/>
      <c r="S234" s="1">
        <f t="shared" si="95"/>
        <v>1</v>
      </c>
      <c r="T234" s="1">
        <f t="shared" si="96"/>
        <v>0</v>
      </c>
      <c r="U234" s="1">
        <f t="shared" si="97"/>
        <v>0</v>
      </c>
      <c r="V234" s="1">
        <f t="shared" si="98"/>
        <v>0</v>
      </c>
      <c r="W234" s="1">
        <f t="shared" si="99"/>
        <v>0</v>
      </c>
      <c r="X234" s="1">
        <f t="shared" si="100"/>
        <v>0</v>
      </c>
      <c r="Y234" s="1">
        <f t="shared" si="101"/>
        <v>0</v>
      </c>
      <c r="Z234" s="1">
        <f t="shared" si="102"/>
        <v>0</v>
      </c>
      <c r="AA234" s="1">
        <f t="shared" si="103"/>
        <v>0</v>
      </c>
      <c r="AB234" s="1">
        <f t="shared" si="104"/>
        <v>0</v>
      </c>
      <c r="AD234" s="1">
        <f t="shared" si="89"/>
        <v>1</v>
      </c>
      <c r="AE234" s="1">
        <f t="shared" si="90"/>
        <v>0</v>
      </c>
      <c r="AF234" s="1">
        <f t="shared" si="91"/>
        <v>1</v>
      </c>
      <c r="AG234" s="1">
        <f t="shared" si="92"/>
        <v>0</v>
      </c>
      <c r="AH234" s="1">
        <f t="shared" si="93"/>
        <v>1</v>
      </c>
      <c r="AI234" s="1">
        <f t="shared" si="94"/>
        <v>0</v>
      </c>
    </row>
    <row r="235" spans="1:35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91</v>
      </c>
      <c r="E235" s="32" t="s">
        <v>166</v>
      </c>
      <c r="F235" s="32" t="s">
        <v>284</v>
      </c>
      <c r="G235" s="32" t="s">
        <v>199</v>
      </c>
      <c r="H235" s="32" t="s">
        <v>352</v>
      </c>
      <c r="I235" s="31" t="s">
        <v>437</v>
      </c>
      <c r="J235" s="31">
        <v>2</v>
      </c>
      <c r="K235" s="33" t="s">
        <v>939</v>
      </c>
      <c r="L235" s="33" t="s">
        <v>39</v>
      </c>
      <c r="M235" s="34" t="s">
        <v>39</v>
      </c>
      <c r="N235" s="34" t="s">
        <v>1687</v>
      </c>
      <c r="O235" s="35">
        <v>1</v>
      </c>
      <c r="P235" s="35">
        <v>1</v>
      </c>
      <c r="Q235" s="32"/>
      <c r="S235" s="1">
        <f t="shared" si="79"/>
        <v>0</v>
      </c>
      <c r="T235" s="1">
        <f t="shared" si="80"/>
        <v>1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1</v>
      </c>
      <c r="AE235" s="1">
        <f t="shared" si="90"/>
        <v>0</v>
      </c>
      <c r="AF235" s="1">
        <f t="shared" si="91"/>
        <v>1</v>
      </c>
      <c r="AG235" s="1">
        <f t="shared" si="92"/>
        <v>0</v>
      </c>
      <c r="AH235" s="1">
        <f t="shared" si="93"/>
        <v>1</v>
      </c>
      <c r="AI235" s="1">
        <f t="shared" si="94"/>
        <v>0</v>
      </c>
    </row>
    <row r="236" spans="1:35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1244</v>
      </c>
      <c r="E236" s="32" t="s">
        <v>166</v>
      </c>
      <c r="F236" s="32" t="s">
        <v>1120</v>
      </c>
      <c r="G236" s="32" t="s">
        <v>1310</v>
      </c>
      <c r="H236" s="32" t="s">
        <v>352</v>
      </c>
      <c r="I236" s="31" t="s">
        <v>1121</v>
      </c>
      <c r="J236" s="31">
        <v>99</v>
      </c>
      <c r="K236" s="33" t="s">
        <v>693</v>
      </c>
      <c r="L236" s="33">
        <v>45</v>
      </c>
      <c r="M236" s="34" t="s">
        <v>39</v>
      </c>
      <c r="N236" s="34" t="s">
        <v>1696</v>
      </c>
      <c r="O236" s="35">
        <v>1</v>
      </c>
      <c r="P236" s="35"/>
      <c r="Q236" s="32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0</v>
      </c>
      <c r="AE236" s="1">
        <f t="shared" si="90"/>
        <v>1</v>
      </c>
      <c r="AF236" s="1">
        <f t="shared" si="91"/>
        <v>0</v>
      </c>
      <c r="AG236" s="1">
        <f t="shared" si="92"/>
        <v>1</v>
      </c>
      <c r="AH236" s="1">
        <f t="shared" si="93"/>
        <v>0</v>
      </c>
      <c r="AI236" s="1">
        <f t="shared" si="94"/>
        <v>1</v>
      </c>
    </row>
    <row r="237" spans="1:35" s="1" customFormat="1" ht="14.25" customHeight="1" x14ac:dyDescent="0.25">
      <c r="A237" s="31">
        <v>0</v>
      </c>
      <c r="B237" s="31">
        <v>1</v>
      </c>
      <c r="C237" s="31">
        <v>6</v>
      </c>
      <c r="D237" s="36" t="s">
        <v>2120</v>
      </c>
      <c r="E237" s="32" t="s">
        <v>166</v>
      </c>
      <c r="F237" s="32" t="s">
        <v>1718</v>
      </c>
      <c r="G237" s="32"/>
      <c r="H237" s="32" t="s">
        <v>352</v>
      </c>
      <c r="I237" s="31" t="s">
        <v>1719</v>
      </c>
      <c r="J237" s="31"/>
      <c r="K237" s="33" t="s">
        <v>694</v>
      </c>
      <c r="L237" s="33"/>
      <c r="M237" s="34"/>
      <c r="N237" s="34" t="s">
        <v>1687</v>
      </c>
      <c r="O237" s="35">
        <v>1</v>
      </c>
      <c r="P237" s="35">
        <v>1</v>
      </c>
      <c r="Q237" s="32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1</v>
      </c>
      <c r="AE237" s="1">
        <f t="shared" si="90"/>
        <v>0</v>
      </c>
      <c r="AF237" s="1">
        <f t="shared" si="91"/>
        <v>1</v>
      </c>
      <c r="AG237" s="1">
        <f t="shared" si="92"/>
        <v>0</v>
      </c>
      <c r="AH237" s="1">
        <f t="shared" si="93"/>
        <v>1</v>
      </c>
      <c r="AI237" s="1">
        <f t="shared" si="94"/>
        <v>0</v>
      </c>
    </row>
    <row r="238" spans="1:35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1742</v>
      </c>
      <c r="E238" s="32" t="s">
        <v>166</v>
      </c>
      <c r="F238" s="32" t="s">
        <v>1720</v>
      </c>
      <c r="G238" s="32"/>
      <c r="H238" s="32" t="s">
        <v>352</v>
      </c>
      <c r="I238" s="31" t="s">
        <v>1721</v>
      </c>
      <c r="J238" s="31"/>
      <c r="K238" s="33" t="s">
        <v>694</v>
      </c>
      <c r="L238" s="33">
        <v>30</v>
      </c>
      <c r="M238" s="34" t="s">
        <v>1722</v>
      </c>
      <c r="N238" s="34" t="s">
        <v>1700</v>
      </c>
      <c r="O238" s="35">
        <v>1</v>
      </c>
      <c r="P238" s="35"/>
      <c r="Q238" s="32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91"/>
        <v>0</v>
      </c>
      <c r="AG238" s="1">
        <f t="shared" si="92"/>
        <v>1</v>
      </c>
      <c r="AH238" s="1">
        <f t="shared" si="93"/>
        <v>0</v>
      </c>
      <c r="AI238" s="1">
        <f t="shared" si="94"/>
        <v>1</v>
      </c>
    </row>
    <row r="239" spans="1:35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991</v>
      </c>
      <c r="E239" s="32" t="s">
        <v>166</v>
      </c>
      <c r="F239" s="32" t="s">
        <v>992</v>
      </c>
      <c r="G239" s="32" t="s">
        <v>1080</v>
      </c>
      <c r="H239" s="32" t="s">
        <v>352</v>
      </c>
      <c r="I239" s="31" t="s">
        <v>993</v>
      </c>
      <c r="J239" s="31">
        <v>99</v>
      </c>
      <c r="K239" s="33" t="s">
        <v>941</v>
      </c>
      <c r="L239" s="33" t="s">
        <v>39</v>
      </c>
      <c r="M239" s="34" t="s">
        <v>39</v>
      </c>
      <c r="N239" s="34" t="s">
        <v>1687</v>
      </c>
      <c r="O239" s="35">
        <v>1</v>
      </c>
      <c r="P239" s="35">
        <v>1</v>
      </c>
      <c r="Q239" s="32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91"/>
        <v>1</v>
      </c>
      <c r="AG239" s="1">
        <f t="shared" si="92"/>
        <v>0</v>
      </c>
      <c r="AH239" s="1">
        <f t="shared" si="93"/>
        <v>1</v>
      </c>
      <c r="AI239" s="1">
        <f t="shared" si="94"/>
        <v>0</v>
      </c>
    </row>
    <row r="240" spans="1:35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93</v>
      </c>
      <c r="E240" s="32" t="s">
        <v>168</v>
      </c>
      <c r="F240" s="32" t="s">
        <v>287</v>
      </c>
      <c r="G240" s="32" t="s">
        <v>193</v>
      </c>
      <c r="H240" s="32" t="s">
        <v>352</v>
      </c>
      <c r="I240" s="31" t="s">
        <v>439</v>
      </c>
      <c r="J240" s="31">
        <v>9</v>
      </c>
      <c r="K240" s="33" t="s">
        <v>693</v>
      </c>
      <c r="L240" s="33" t="s">
        <v>685</v>
      </c>
      <c r="M240" s="34" t="s">
        <v>697</v>
      </c>
      <c r="N240" s="34" t="s">
        <v>1700</v>
      </c>
      <c r="O240" s="35">
        <v>1</v>
      </c>
      <c r="P240" s="35"/>
      <c r="Q240" s="32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1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91"/>
        <v>0</v>
      </c>
      <c r="AG240" s="1">
        <f t="shared" si="92"/>
        <v>1</v>
      </c>
      <c r="AH240" s="1">
        <f t="shared" si="93"/>
        <v>0</v>
      </c>
      <c r="AI240" s="1">
        <f t="shared" si="94"/>
        <v>1</v>
      </c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1570</v>
      </c>
      <c r="E241" s="32" t="s">
        <v>1571</v>
      </c>
      <c r="F241" s="32" t="s">
        <v>1572</v>
      </c>
      <c r="G241" s="32" t="s">
        <v>191</v>
      </c>
      <c r="H241" s="32" t="s">
        <v>352</v>
      </c>
      <c r="I241" s="31" t="s">
        <v>1573</v>
      </c>
      <c r="J241" s="31">
        <v>10</v>
      </c>
      <c r="K241" s="33" t="s">
        <v>933</v>
      </c>
      <c r="L241" s="33" t="s">
        <v>678</v>
      </c>
      <c r="M241" s="34" t="s">
        <v>1574</v>
      </c>
      <c r="N241" s="34" t="s">
        <v>1696</v>
      </c>
      <c r="O241" s="35">
        <v>1</v>
      </c>
      <c r="P241" s="35"/>
      <c r="Q241" s="3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0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1</v>
      </c>
      <c r="AD241" s="1">
        <f t="shared" si="89"/>
        <v>0</v>
      </c>
      <c r="AE241" s="1">
        <f t="shared" si="90"/>
        <v>1</v>
      </c>
      <c r="AF241" s="1">
        <f t="shared" si="91"/>
        <v>0</v>
      </c>
      <c r="AG241" s="1">
        <f t="shared" si="92"/>
        <v>1</v>
      </c>
      <c r="AH241" s="1">
        <f t="shared" si="93"/>
        <v>0</v>
      </c>
      <c r="AI241" s="1">
        <f t="shared" si="94"/>
        <v>1</v>
      </c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94</v>
      </c>
      <c r="E242" s="32" t="s">
        <v>164</v>
      </c>
      <c r="F242" s="32" t="s">
        <v>288</v>
      </c>
      <c r="G242" s="32" t="s">
        <v>289</v>
      </c>
      <c r="H242" s="32" t="s">
        <v>352</v>
      </c>
      <c r="I242" s="31" t="s">
        <v>440</v>
      </c>
      <c r="J242" s="31">
        <v>7</v>
      </c>
      <c r="K242" s="33" t="s">
        <v>693</v>
      </c>
      <c r="L242" s="33" t="s">
        <v>685</v>
      </c>
      <c r="M242" s="34" t="s">
        <v>689</v>
      </c>
      <c r="N242" s="34" t="s">
        <v>1701</v>
      </c>
      <c r="O242" s="35">
        <v>1</v>
      </c>
      <c r="P242" s="35"/>
      <c r="Q242" s="32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1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1</v>
      </c>
      <c r="AF242" s="1">
        <f t="shared" si="91"/>
        <v>0</v>
      </c>
      <c r="AG242" s="1">
        <f t="shared" si="92"/>
        <v>1</v>
      </c>
      <c r="AH242" s="1">
        <f t="shared" si="93"/>
        <v>0</v>
      </c>
      <c r="AI242" s="1">
        <f t="shared" si="94"/>
        <v>1</v>
      </c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1062</v>
      </c>
      <c r="E243" s="32" t="s">
        <v>166</v>
      </c>
      <c r="F243" s="32" t="s">
        <v>652</v>
      </c>
      <c r="G243" s="32" t="s">
        <v>178</v>
      </c>
      <c r="H243" s="32" t="s">
        <v>352</v>
      </c>
      <c r="I243" s="31" t="s">
        <v>379</v>
      </c>
      <c r="J243" s="31">
        <v>10</v>
      </c>
      <c r="K243" s="33" t="s">
        <v>713</v>
      </c>
      <c r="L243" s="33" t="s">
        <v>695</v>
      </c>
      <c r="M243" s="34" t="s">
        <v>698</v>
      </c>
      <c r="N243" s="34" t="s">
        <v>1702</v>
      </c>
      <c r="O243" s="35">
        <v>1</v>
      </c>
      <c r="P243" s="35"/>
      <c r="Q243" s="32"/>
      <c r="R243" s="15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1</v>
      </c>
      <c r="AD243" s="1">
        <f t="shared" si="89"/>
        <v>0</v>
      </c>
      <c r="AE243" s="1">
        <f t="shared" si="90"/>
        <v>1</v>
      </c>
      <c r="AF243" s="1">
        <f t="shared" si="91"/>
        <v>0</v>
      </c>
      <c r="AG243" s="1">
        <f t="shared" si="92"/>
        <v>1</v>
      </c>
      <c r="AH243" s="1">
        <f t="shared" si="93"/>
        <v>0</v>
      </c>
      <c r="AI243" s="1">
        <f t="shared" si="94"/>
        <v>1</v>
      </c>
      <c r="AJ243" s="15"/>
      <c r="AK243" s="15"/>
      <c r="AL243" s="16"/>
      <c r="AM243" s="16"/>
      <c r="AN243" s="16"/>
      <c r="AO243" s="16"/>
      <c r="AP243" s="16"/>
      <c r="AQ243" s="15"/>
      <c r="AR243" s="15"/>
      <c r="AS243" s="10"/>
      <c r="AT243" s="10"/>
      <c r="AU243" s="19"/>
      <c r="AV243" s="19"/>
      <c r="AY243" s="16"/>
      <c r="AZ243" s="15"/>
      <c r="BA243" s="15"/>
      <c r="BB243" s="15"/>
      <c r="BC243" s="16"/>
      <c r="BD243" s="16"/>
      <c r="BE243" s="16"/>
      <c r="BF243" s="16"/>
      <c r="BG243" s="16"/>
      <c r="BH243" s="15"/>
      <c r="BI243" s="15"/>
      <c r="BJ243" s="10"/>
      <c r="BK243" s="10"/>
      <c r="BL243" s="19"/>
      <c r="BM243" s="19"/>
      <c r="BP243" s="16"/>
      <c r="BQ243" s="15"/>
      <c r="BR243" s="15"/>
      <c r="BS243" s="15"/>
      <c r="BT243" s="16"/>
      <c r="BU243" s="16"/>
      <c r="BV243" s="16"/>
      <c r="BW243" s="16"/>
      <c r="BX243" s="16"/>
      <c r="BY243" s="15"/>
      <c r="BZ243" s="15"/>
      <c r="CA243" s="10"/>
      <c r="CB243" s="10"/>
      <c r="CC243" s="19"/>
      <c r="CD243" s="19"/>
      <c r="CG243" s="16"/>
      <c r="CH243" s="15"/>
      <c r="CI243" s="15"/>
      <c r="CJ243" s="15"/>
      <c r="CK243" s="16"/>
      <c r="CL243" s="16"/>
      <c r="CM243" s="16"/>
      <c r="CN243" s="16"/>
      <c r="CO243" s="16"/>
      <c r="CP243" s="15"/>
      <c r="CQ243" s="15"/>
      <c r="CR243" s="10"/>
      <c r="CS243" s="10"/>
      <c r="CT243" s="19"/>
      <c r="CU243" s="19"/>
      <c r="CX243" s="16"/>
      <c r="CY243" s="15"/>
      <c r="CZ243" s="15"/>
      <c r="DA243" s="15"/>
      <c r="DB243" s="16"/>
      <c r="DC243" s="16"/>
      <c r="DD243" s="16"/>
      <c r="DE243" s="16"/>
      <c r="DF243" s="16"/>
      <c r="DG243" s="15"/>
      <c r="DH243" s="15"/>
      <c r="DI243" s="10"/>
      <c r="DJ243" s="10"/>
      <c r="DK243" s="19"/>
      <c r="DL243" s="19"/>
      <c r="DO243" s="16"/>
      <c r="DP243" s="15"/>
      <c r="DQ243" s="15"/>
      <c r="DR243" s="15"/>
      <c r="DS243" s="16"/>
      <c r="DT243" s="16"/>
      <c r="DU243" s="16"/>
      <c r="DV243" s="16"/>
      <c r="DW243" s="16"/>
      <c r="DX243" s="15"/>
      <c r="DY243" s="15"/>
      <c r="DZ243" s="10"/>
      <c r="EA243" s="10"/>
      <c r="EB243" s="19"/>
      <c r="EC243" s="19"/>
      <c r="EF243" s="16"/>
      <c r="EG243" s="15"/>
      <c r="EH243" s="15"/>
      <c r="EI243" s="15"/>
      <c r="EJ243" s="16"/>
      <c r="EK243" s="16"/>
      <c r="EL243" s="16"/>
      <c r="EM243" s="16"/>
      <c r="EN243" s="16"/>
      <c r="EO243" s="15"/>
      <c r="EP243" s="15"/>
      <c r="EQ243" s="10"/>
      <c r="ER243" s="10"/>
      <c r="ES243" s="19"/>
      <c r="ET243" s="19"/>
      <c r="EW243" s="16"/>
      <c r="EX243" s="15"/>
      <c r="EY243" s="15"/>
      <c r="EZ243" s="15"/>
      <c r="FA243" s="16"/>
      <c r="FB243" s="16"/>
      <c r="FC243" s="16"/>
      <c r="FD243" s="16"/>
      <c r="FE243" s="16"/>
      <c r="FF243" s="15"/>
      <c r="FG243" s="15"/>
      <c r="FH243" s="10"/>
      <c r="FI243" s="10"/>
      <c r="FJ243" s="19"/>
      <c r="FK243" s="19"/>
      <c r="FN243" s="16"/>
      <c r="FO243" s="15"/>
      <c r="FP243" s="15"/>
      <c r="FQ243" s="15"/>
      <c r="FR243" s="16"/>
      <c r="FS243" s="16"/>
      <c r="FT243" s="16"/>
      <c r="FU243" s="16"/>
      <c r="FV243" s="16"/>
      <c r="FW243" s="15"/>
      <c r="FX243" s="15"/>
      <c r="FY243" s="10"/>
      <c r="FZ243" s="10"/>
      <c r="GA243" s="19"/>
      <c r="GB243" s="19"/>
      <c r="GE243" s="16"/>
      <c r="GF243" s="15"/>
      <c r="GG243" s="15"/>
      <c r="GH243" s="15"/>
      <c r="GI243" s="16"/>
      <c r="GJ243" s="16"/>
      <c r="GK243" s="16"/>
      <c r="GL243" s="16"/>
      <c r="GM243" s="16"/>
      <c r="GN243" s="15"/>
      <c r="GO243" s="15"/>
      <c r="GP243" s="10"/>
      <c r="GQ243" s="10"/>
      <c r="GR243" s="19"/>
      <c r="GS243" s="19"/>
      <c r="GV243" s="16"/>
      <c r="GW243" s="15"/>
      <c r="GX243" s="15"/>
      <c r="GY243" s="15"/>
      <c r="GZ243" s="16"/>
      <c r="HA243" s="16"/>
      <c r="HB243" s="16"/>
      <c r="HC243" s="16"/>
      <c r="HD243" s="16"/>
      <c r="HE243" s="15"/>
      <c r="HF243" s="15"/>
      <c r="HG243" s="10"/>
      <c r="HH243" s="10"/>
      <c r="HI243" s="19"/>
      <c r="HJ243" s="19"/>
      <c r="HM243" s="16"/>
      <c r="HN243" s="15"/>
      <c r="HO243" s="15"/>
      <c r="HP243" s="15"/>
      <c r="HQ243" s="16"/>
      <c r="HR243" s="16"/>
      <c r="HS243" s="16"/>
      <c r="HT243" s="16"/>
      <c r="HU243" s="16"/>
      <c r="HV243" s="15"/>
      <c r="HW243" s="15"/>
      <c r="HX243" s="10"/>
      <c r="HY243" s="10"/>
      <c r="HZ243" s="19"/>
      <c r="IA243" s="19"/>
      <c r="ID243" s="16"/>
      <c r="IE243" s="15"/>
      <c r="IF243" s="15"/>
      <c r="IG243" s="15"/>
      <c r="IH243" s="16"/>
      <c r="II243" s="16"/>
      <c r="IJ243" s="16"/>
      <c r="IK243" s="16"/>
      <c r="IL243" s="16"/>
      <c r="IM243" s="15"/>
      <c r="IN243" s="15"/>
      <c r="IO243" s="10"/>
      <c r="IP243" s="10"/>
      <c r="IQ243" s="19"/>
      <c r="IR243" s="19"/>
      <c r="IU243" s="16"/>
      <c r="IV243" s="15"/>
      <c r="IW243" s="15"/>
      <c r="IX243" s="15"/>
      <c r="IY243" s="16"/>
      <c r="IZ243" s="16"/>
      <c r="JA243" s="16"/>
      <c r="JB243" s="16"/>
      <c r="JC243" s="16"/>
      <c r="JD243" s="15"/>
      <c r="JE243" s="15"/>
      <c r="JF243" s="10"/>
      <c r="JG243" s="10"/>
      <c r="JH243" s="19"/>
      <c r="JI243" s="19"/>
      <c r="JL243" s="16"/>
      <c r="JM243" s="15"/>
      <c r="JN243" s="15"/>
      <c r="JO243" s="15"/>
      <c r="JP243" s="16"/>
      <c r="JQ243" s="16"/>
      <c r="JR243" s="16"/>
      <c r="JS243" s="16"/>
      <c r="JT243" s="16"/>
      <c r="JU243" s="15"/>
      <c r="JV243" s="15"/>
      <c r="JW243" s="10"/>
      <c r="JX243" s="10"/>
      <c r="JY243" s="19"/>
      <c r="JZ243" s="19"/>
      <c r="KC243" s="16"/>
      <c r="KD243" s="15"/>
      <c r="KE243" s="15"/>
      <c r="KF243" s="15"/>
      <c r="KG243" s="16"/>
      <c r="KH243" s="16"/>
      <c r="KI243" s="16"/>
      <c r="KJ243" s="16"/>
      <c r="KK243" s="16"/>
      <c r="KL243" s="15"/>
      <c r="KM243" s="15"/>
      <c r="KN243" s="10"/>
      <c r="KO243" s="10"/>
      <c r="KP243" s="19"/>
      <c r="KQ243" s="19"/>
      <c r="KT243" s="16"/>
      <c r="KU243" s="15"/>
      <c r="KV243" s="15"/>
      <c r="KW243" s="15"/>
      <c r="KX243" s="16"/>
      <c r="KY243" s="16"/>
      <c r="KZ243" s="16"/>
      <c r="LA243" s="16"/>
      <c r="LB243" s="16"/>
      <c r="LC243" s="15"/>
      <c r="LD243" s="15"/>
      <c r="LE243" s="10"/>
      <c r="LF243" s="10"/>
      <c r="LG243" s="19"/>
      <c r="LH243" s="19"/>
      <c r="LK243" s="16"/>
      <c r="LL243" s="15"/>
      <c r="LM243" s="15"/>
      <c r="LN243" s="15"/>
      <c r="LO243" s="16"/>
      <c r="LP243" s="16"/>
      <c r="LQ243" s="16"/>
      <c r="LR243" s="16"/>
      <c r="LS243" s="16"/>
      <c r="LT243" s="15"/>
      <c r="LU243" s="15"/>
      <c r="LV243" s="10"/>
      <c r="LW243" s="10"/>
      <c r="LX243" s="19"/>
      <c r="LY243" s="19"/>
      <c r="MB243" s="16"/>
      <c r="MC243" s="15"/>
      <c r="MD243" s="15"/>
      <c r="ME243" s="15"/>
      <c r="MF243" s="16"/>
      <c r="MG243" s="16"/>
      <c r="MH243" s="16"/>
      <c r="MI243" s="16"/>
      <c r="MJ243" s="16"/>
      <c r="MK243" s="15"/>
      <c r="ML243" s="15"/>
      <c r="MM243" s="10"/>
      <c r="MN243" s="10"/>
      <c r="MO243" s="19"/>
      <c r="MP243" s="19"/>
      <c r="MS243" s="16"/>
      <c r="MT243" s="15"/>
      <c r="MU243" s="15"/>
      <c r="MV243" s="15"/>
      <c r="MW243" s="16"/>
      <c r="MX243" s="16"/>
      <c r="MY243" s="16"/>
      <c r="MZ243" s="16"/>
      <c r="NA243" s="16"/>
      <c r="NB243" s="15"/>
      <c r="NC243" s="15"/>
      <c r="ND243" s="10"/>
      <c r="NE243" s="10"/>
      <c r="NF243" s="19"/>
      <c r="NG243" s="19"/>
      <c r="NJ243" s="16"/>
      <c r="NK243" s="15"/>
      <c r="NL243" s="15"/>
      <c r="NM243" s="15"/>
      <c r="NN243" s="16"/>
      <c r="NO243" s="16"/>
      <c r="NP243" s="16"/>
      <c r="NQ243" s="16"/>
      <c r="NR243" s="16"/>
      <c r="NS243" s="15"/>
      <c r="NT243" s="15"/>
      <c r="NU243" s="10"/>
      <c r="NV243" s="10"/>
      <c r="NW243" s="19"/>
      <c r="NX243" s="19"/>
      <c r="OA243" s="16"/>
      <c r="OB243" s="15"/>
      <c r="OC243" s="15"/>
      <c r="OD243" s="15"/>
      <c r="OE243" s="16"/>
      <c r="OF243" s="16"/>
      <c r="OG243" s="16"/>
      <c r="OH243" s="16"/>
      <c r="OI243" s="16"/>
      <c r="OJ243" s="15"/>
      <c r="OK243" s="15"/>
      <c r="OL243" s="10"/>
      <c r="OM243" s="10"/>
      <c r="ON243" s="19"/>
      <c r="OO243" s="19"/>
      <c r="OR243" s="16"/>
      <c r="OS243" s="15"/>
      <c r="OT243" s="15"/>
      <c r="OU243" s="15"/>
      <c r="OV243" s="16"/>
      <c r="OW243" s="16"/>
      <c r="OX243" s="16"/>
      <c r="OY243" s="16"/>
      <c r="OZ243" s="16"/>
      <c r="PA243" s="15"/>
      <c r="PB243" s="15"/>
      <c r="PC243" s="10"/>
      <c r="PD243" s="10"/>
      <c r="PE243" s="19"/>
      <c r="PF243" s="19"/>
      <c r="PI243" s="16"/>
      <c r="PJ243" s="15"/>
      <c r="PK243" s="15"/>
      <c r="PL243" s="15"/>
      <c r="PM243" s="16"/>
      <c r="PN243" s="16"/>
      <c r="PO243" s="16"/>
      <c r="PP243" s="16"/>
      <c r="PQ243" s="16"/>
      <c r="PR243" s="15"/>
      <c r="PS243" s="15"/>
      <c r="PT243" s="10"/>
      <c r="PU243" s="10"/>
      <c r="PV243" s="19"/>
      <c r="PW243" s="19"/>
      <c r="PZ243" s="16"/>
      <c r="QA243" s="15"/>
      <c r="QB243" s="15"/>
      <c r="QC243" s="15"/>
      <c r="QD243" s="16"/>
      <c r="QE243" s="16"/>
      <c r="QF243" s="16"/>
      <c r="QG243" s="16"/>
      <c r="QH243" s="16"/>
      <c r="QI243" s="15"/>
      <c r="QJ243" s="15"/>
      <c r="QK243" s="10"/>
      <c r="QL243" s="10"/>
      <c r="QM243" s="19"/>
      <c r="QN243" s="19"/>
      <c r="QQ243" s="16"/>
      <c r="QR243" s="15"/>
      <c r="QS243" s="15"/>
      <c r="QT243" s="15"/>
      <c r="QU243" s="16"/>
      <c r="QV243" s="16"/>
      <c r="QW243" s="16"/>
      <c r="QX243" s="16"/>
      <c r="QY243" s="16"/>
      <c r="QZ243" s="15"/>
      <c r="RA243" s="15"/>
      <c r="RB243" s="10"/>
      <c r="RC243" s="10"/>
      <c r="RD243" s="19"/>
      <c r="RE243" s="19"/>
      <c r="RH243" s="16"/>
      <c r="RI243" s="15"/>
      <c r="RJ243" s="15"/>
      <c r="RK243" s="15"/>
      <c r="RL243" s="16"/>
      <c r="RM243" s="16"/>
      <c r="RN243" s="16"/>
      <c r="RO243" s="16"/>
      <c r="RP243" s="16"/>
      <c r="RQ243" s="15"/>
      <c r="RR243" s="15"/>
      <c r="RS243" s="10"/>
      <c r="RT243" s="10"/>
      <c r="RU243" s="19"/>
      <c r="RV243" s="19"/>
      <c r="RY243" s="16"/>
      <c r="RZ243" s="15"/>
      <c r="SA243" s="15"/>
      <c r="SB243" s="15"/>
      <c r="SC243" s="16"/>
      <c r="SD243" s="16"/>
      <c r="SE243" s="16"/>
      <c r="SF243" s="16"/>
      <c r="SG243" s="16"/>
      <c r="SH243" s="15"/>
      <c r="SI243" s="15"/>
      <c r="SJ243" s="10"/>
      <c r="SK243" s="10"/>
      <c r="SL243" s="19"/>
      <c r="SM243" s="19"/>
      <c r="SP243" s="16"/>
      <c r="SQ243" s="15"/>
      <c r="SR243" s="15"/>
      <c r="SS243" s="15"/>
      <c r="ST243" s="16"/>
      <c r="SU243" s="16"/>
      <c r="SV243" s="16"/>
      <c r="SW243" s="16"/>
      <c r="SX243" s="16"/>
      <c r="SY243" s="15"/>
      <c r="SZ243" s="15"/>
      <c r="TA243" s="10"/>
      <c r="TB243" s="10"/>
      <c r="TC243" s="19"/>
      <c r="TD243" s="19"/>
      <c r="TG243" s="16"/>
      <c r="TH243" s="15"/>
      <c r="TI243" s="15"/>
      <c r="TJ243" s="15"/>
      <c r="TK243" s="16"/>
      <c r="TL243" s="16"/>
      <c r="TM243" s="16"/>
      <c r="TN243" s="16"/>
      <c r="TO243" s="16"/>
      <c r="TP243" s="15"/>
      <c r="TQ243" s="15"/>
      <c r="TR243" s="10"/>
      <c r="TS243" s="10"/>
      <c r="TT243" s="19"/>
      <c r="TU243" s="19"/>
      <c r="TX243" s="16"/>
      <c r="TY243" s="15"/>
      <c r="TZ243" s="15"/>
      <c r="UA243" s="15"/>
      <c r="UB243" s="16"/>
      <c r="UC243" s="16"/>
      <c r="UD243" s="16"/>
      <c r="UE243" s="16"/>
      <c r="UF243" s="16"/>
      <c r="UG243" s="15"/>
      <c r="UH243" s="15"/>
      <c r="UI243" s="10"/>
      <c r="UJ243" s="10"/>
      <c r="UK243" s="19"/>
      <c r="UL243" s="19"/>
      <c r="UO243" s="16"/>
      <c r="UP243" s="15"/>
      <c r="UQ243" s="15"/>
      <c r="UR243" s="15"/>
      <c r="US243" s="16"/>
      <c r="UT243" s="16"/>
      <c r="UU243" s="16"/>
      <c r="UV243" s="16"/>
      <c r="UW243" s="16"/>
      <c r="UX243" s="15"/>
      <c r="UY243" s="15"/>
      <c r="UZ243" s="10"/>
      <c r="VA243" s="10"/>
      <c r="VB243" s="19"/>
      <c r="VC243" s="19"/>
      <c r="VF243" s="16"/>
      <c r="VG243" s="15"/>
      <c r="VH243" s="15"/>
      <c r="VI243" s="15"/>
      <c r="VJ243" s="16"/>
      <c r="VK243" s="16"/>
      <c r="VL243" s="16"/>
      <c r="VM243" s="16"/>
      <c r="VN243" s="16"/>
      <c r="VO243" s="15"/>
      <c r="VP243" s="15"/>
      <c r="VQ243" s="10"/>
      <c r="VR243" s="10"/>
      <c r="VS243" s="19"/>
      <c r="VT243" s="19"/>
      <c r="VW243" s="16"/>
      <c r="VX243" s="15"/>
      <c r="VY243" s="15"/>
      <c r="VZ243" s="15"/>
      <c r="WA243" s="16"/>
      <c r="WB243" s="16"/>
      <c r="WC243" s="16"/>
      <c r="WD243" s="16"/>
      <c r="WE243" s="16"/>
      <c r="WF243" s="15"/>
      <c r="WG243" s="15"/>
      <c r="WH243" s="10"/>
      <c r="WI243" s="10"/>
      <c r="WJ243" s="19"/>
      <c r="WK243" s="19"/>
      <c r="WN243" s="16"/>
      <c r="WO243" s="15"/>
      <c r="WP243" s="15"/>
      <c r="WQ243" s="15"/>
      <c r="WR243" s="16"/>
      <c r="WS243" s="16"/>
      <c r="WT243" s="16"/>
      <c r="WU243" s="16"/>
      <c r="WV243" s="16"/>
      <c r="WW243" s="15"/>
      <c r="WX243" s="15"/>
      <c r="WY243" s="10"/>
      <c r="WZ243" s="10"/>
      <c r="XA243" s="19"/>
      <c r="XB243" s="19"/>
      <c r="XE243" s="16"/>
      <c r="XF243" s="15"/>
      <c r="XG243" s="15"/>
      <c r="XH243" s="15"/>
      <c r="XI243" s="16"/>
      <c r="XJ243" s="16"/>
      <c r="XK243" s="16"/>
      <c r="XL243" s="16"/>
      <c r="XM243" s="16"/>
      <c r="XN243" s="15"/>
      <c r="XO243" s="15"/>
      <c r="XP243" s="10"/>
      <c r="XQ243" s="10"/>
      <c r="XR243" s="19"/>
      <c r="XS243" s="19"/>
      <c r="XV243" s="16"/>
      <c r="XW243" s="15"/>
      <c r="XX243" s="15"/>
      <c r="XY243" s="15"/>
      <c r="XZ243" s="16"/>
      <c r="YA243" s="16"/>
      <c r="YB243" s="16"/>
      <c r="YC243" s="16"/>
      <c r="YD243" s="16"/>
      <c r="YE243" s="15"/>
      <c r="YF243" s="15"/>
      <c r="YG243" s="10"/>
      <c r="YH243" s="10"/>
      <c r="YI243" s="19"/>
      <c r="YJ243" s="19"/>
      <c r="YM243" s="16"/>
      <c r="YN243" s="15"/>
      <c r="YO243" s="15"/>
      <c r="YP243" s="15"/>
      <c r="YQ243" s="16"/>
      <c r="YR243" s="16"/>
      <c r="YS243" s="16"/>
      <c r="YT243" s="16"/>
      <c r="YU243" s="16"/>
      <c r="YV243" s="15"/>
      <c r="YW243" s="15"/>
      <c r="YX243" s="10"/>
      <c r="YY243" s="10"/>
      <c r="YZ243" s="19"/>
      <c r="ZA243" s="19"/>
      <c r="ZD243" s="16"/>
      <c r="ZE243" s="15"/>
      <c r="ZF243" s="15"/>
      <c r="ZG243" s="15"/>
      <c r="ZH243" s="16"/>
      <c r="ZI243" s="16"/>
      <c r="ZJ243" s="16"/>
      <c r="ZK243" s="16"/>
      <c r="ZL243" s="16"/>
      <c r="ZM243" s="15"/>
      <c r="ZN243" s="15"/>
      <c r="ZO243" s="10"/>
      <c r="ZP243" s="10"/>
      <c r="ZQ243" s="19"/>
      <c r="ZR243" s="19"/>
      <c r="ZU243" s="16"/>
      <c r="ZV243" s="15"/>
      <c r="ZW243" s="15"/>
      <c r="ZX243" s="15"/>
      <c r="ZY243" s="16"/>
      <c r="ZZ243" s="16"/>
      <c r="AAA243" s="16"/>
      <c r="AAB243" s="16"/>
      <c r="AAC243" s="16"/>
      <c r="AAD243" s="15"/>
      <c r="AAE243" s="15"/>
      <c r="AAF243" s="10"/>
      <c r="AAG243" s="10"/>
      <c r="AAH243" s="19"/>
      <c r="AAI243" s="19"/>
      <c r="AAL243" s="16"/>
      <c r="AAM243" s="15"/>
      <c r="AAN243" s="15"/>
      <c r="AAO243" s="15"/>
      <c r="AAP243" s="16"/>
      <c r="AAQ243" s="16"/>
      <c r="AAR243" s="16"/>
      <c r="AAS243" s="16"/>
      <c r="AAT243" s="16"/>
      <c r="AAU243" s="15"/>
      <c r="AAV243" s="15"/>
      <c r="AAW243" s="10"/>
      <c r="AAX243" s="10"/>
      <c r="AAY243" s="19"/>
      <c r="AAZ243" s="19"/>
      <c r="ABC243" s="16"/>
      <c r="ABD243" s="15"/>
      <c r="ABE243" s="15"/>
      <c r="ABF243" s="15"/>
      <c r="ABG243" s="16"/>
      <c r="ABH243" s="16"/>
      <c r="ABI243" s="16"/>
      <c r="ABJ243" s="16"/>
      <c r="ABK243" s="16"/>
      <c r="ABL243" s="15"/>
      <c r="ABM243" s="15"/>
      <c r="ABN243" s="10"/>
      <c r="ABO243" s="10"/>
      <c r="ABP243" s="19"/>
      <c r="ABQ243" s="19"/>
      <c r="ABT243" s="16"/>
      <c r="ABU243" s="15"/>
      <c r="ABV243" s="15"/>
      <c r="ABW243" s="15"/>
      <c r="ABX243" s="16"/>
      <c r="ABY243" s="16"/>
      <c r="ABZ243" s="16"/>
      <c r="ACA243" s="16"/>
      <c r="ACB243" s="16"/>
      <c r="ACC243" s="15"/>
      <c r="ACD243" s="15"/>
      <c r="ACE243" s="10"/>
      <c r="ACF243" s="10"/>
      <c r="ACG243" s="19"/>
      <c r="ACH243" s="19"/>
      <c r="ACK243" s="16"/>
      <c r="ACL243" s="15"/>
      <c r="ACM243" s="15"/>
      <c r="ACN243" s="15"/>
      <c r="ACO243" s="16"/>
      <c r="ACP243" s="16"/>
      <c r="ACQ243" s="16"/>
      <c r="ACR243" s="16"/>
      <c r="ACS243" s="16"/>
      <c r="ACT243" s="15"/>
      <c r="ACU243" s="15"/>
      <c r="ACV243" s="10"/>
      <c r="ACW243" s="10"/>
      <c r="ACX243" s="19"/>
      <c r="ACY243" s="19"/>
      <c r="ADB243" s="16"/>
      <c r="ADC243" s="15"/>
      <c r="ADD243" s="15"/>
      <c r="ADE243" s="15"/>
      <c r="ADF243" s="16"/>
      <c r="ADG243" s="16"/>
      <c r="ADH243" s="16"/>
      <c r="ADI243" s="16"/>
      <c r="ADJ243" s="16"/>
      <c r="ADK243" s="15"/>
      <c r="ADL243" s="15"/>
      <c r="ADM243" s="10"/>
      <c r="ADN243" s="10"/>
      <c r="ADO243" s="19"/>
      <c r="ADP243" s="19"/>
      <c r="ADS243" s="16"/>
      <c r="ADT243" s="15"/>
      <c r="ADU243" s="15"/>
      <c r="ADV243" s="15"/>
      <c r="ADW243" s="16"/>
      <c r="ADX243" s="16"/>
      <c r="ADY243" s="16"/>
      <c r="ADZ243" s="16"/>
      <c r="AEA243" s="16"/>
      <c r="AEB243" s="15"/>
      <c r="AEC243" s="15"/>
      <c r="AED243" s="10"/>
      <c r="AEE243" s="10"/>
      <c r="AEF243" s="19"/>
      <c r="AEG243" s="19"/>
      <c r="AEJ243" s="16"/>
      <c r="AEK243" s="15"/>
      <c r="AEL243" s="15"/>
      <c r="AEM243" s="15"/>
      <c r="AEN243" s="16"/>
      <c r="AEO243" s="16"/>
      <c r="AEP243" s="16"/>
      <c r="AEQ243" s="16"/>
      <c r="AER243" s="16"/>
      <c r="AES243" s="15"/>
      <c r="AET243" s="15"/>
      <c r="AEU243" s="10"/>
      <c r="AEV243" s="10"/>
      <c r="AEW243" s="19"/>
      <c r="AEX243" s="19"/>
      <c r="AFA243" s="16"/>
      <c r="AFB243" s="15"/>
      <c r="AFC243" s="15"/>
      <c r="AFD243" s="15"/>
      <c r="AFE243" s="16"/>
      <c r="AFF243" s="16"/>
      <c r="AFG243" s="16"/>
      <c r="AFH243" s="16"/>
      <c r="AFI243" s="16"/>
      <c r="AFJ243" s="15"/>
      <c r="AFK243" s="15"/>
      <c r="AFL243" s="10"/>
      <c r="AFM243" s="10"/>
      <c r="AFN243" s="19"/>
      <c r="AFO243" s="19"/>
      <c r="AFR243" s="16"/>
      <c r="AFS243" s="15"/>
      <c r="AFT243" s="15"/>
      <c r="AFU243" s="15"/>
      <c r="AFV243" s="16"/>
      <c r="AFW243" s="16"/>
      <c r="AFX243" s="16"/>
      <c r="AFY243" s="16"/>
      <c r="AFZ243" s="16"/>
      <c r="AGA243" s="15"/>
      <c r="AGB243" s="15"/>
      <c r="AGC243" s="10"/>
      <c r="AGD243" s="10"/>
      <c r="AGE243" s="19"/>
      <c r="AGF243" s="19"/>
      <c r="AGI243" s="16"/>
      <c r="AGJ243" s="15"/>
      <c r="AGK243" s="15"/>
      <c r="AGL243" s="15"/>
      <c r="AGM243" s="16"/>
      <c r="AGN243" s="16"/>
      <c r="AGO243" s="16"/>
      <c r="AGP243" s="16"/>
      <c r="AGQ243" s="16"/>
      <c r="AGR243" s="15"/>
      <c r="AGS243" s="15"/>
      <c r="AGT243" s="10"/>
      <c r="AGU243" s="10"/>
      <c r="AGV243" s="19"/>
      <c r="AGW243" s="19"/>
      <c r="AGZ243" s="16"/>
      <c r="AHA243" s="15"/>
      <c r="AHB243" s="15"/>
      <c r="AHC243" s="15"/>
      <c r="AHD243" s="16"/>
      <c r="AHE243" s="16"/>
      <c r="AHF243" s="16"/>
      <c r="AHG243" s="16"/>
      <c r="AHH243" s="16"/>
      <c r="AHI243" s="15"/>
      <c r="AHJ243" s="15"/>
      <c r="AHK243" s="10"/>
      <c r="AHL243" s="10"/>
      <c r="AHM243" s="19"/>
      <c r="AHN243" s="19"/>
      <c r="AHQ243" s="16"/>
      <c r="AHR243" s="15"/>
      <c r="AHS243" s="15"/>
      <c r="AHT243" s="15"/>
      <c r="AHU243" s="16"/>
      <c r="AHV243" s="16"/>
      <c r="AHW243" s="16"/>
      <c r="AHX243" s="16"/>
      <c r="AHY243" s="16"/>
      <c r="AHZ243" s="15"/>
      <c r="AIA243" s="15"/>
      <c r="AIB243" s="10"/>
      <c r="AIC243" s="10"/>
      <c r="AID243" s="19"/>
      <c r="AIE243" s="19"/>
      <c r="AIH243" s="16"/>
      <c r="AII243" s="15"/>
      <c r="AIJ243" s="15"/>
      <c r="AIK243" s="15"/>
      <c r="AIL243" s="16"/>
      <c r="AIM243" s="16"/>
      <c r="AIN243" s="16"/>
      <c r="AIO243" s="16"/>
      <c r="AIP243" s="16"/>
      <c r="AIQ243" s="15"/>
      <c r="AIR243" s="15"/>
      <c r="AIS243" s="10"/>
      <c r="AIT243" s="10"/>
      <c r="AIU243" s="19"/>
      <c r="AIV243" s="19"/>
      <c r="AIY243" s="16"/>
      <c r="AIZ243" s="15"/>
      <c r="AJA243" s="15"/>
      <c r="AJB243" s="15"/>
      <c r="AJC243" s="16"/>
      <c r="AJD243" s="16"/>
      <c r="AJE243" s="16"/>
      <c r="AJF243" s="16"/>
      <c r="AJG243" s="16"/>
      <c r="AJH243" s="15"/>
      <c r="AJI243" s="15"/>
      <c r="AJJ243" s="10"/>
      <c r="AJK243" s="10"/>
      <c r="AJL243" s="19"/>
      <c r="AJM243" s="19"/>
      <c r="AJP243" s="16"/>
      <c r="AJQ243" s="15"/>
      <c r="AJR243" s="15"/>
      <c r="AJS243" s="15"/>
      <c r="AJT243" s="16"/>
      <c r="AJU243" s="16"/>
      <c r="AJV243" s="16"/>
      <c r="AJW243" s="16"/>
      <c r="AJX243" s="16"/>
      <c r="AJY243" s="15"/>
      <c r="AJZ243" s="15"/>
      <c r="AKA243" s="10"/>
      <c r="AKB243" s="10"/>
      <c r="AKC243" s="19"/>
      <c r="AKD243" s="19"/>
      <c r="AKG243" s="16"/>
      <c r="AKH243" s="15"/>
      <c r="AKI243" s="15"/>
      <c r="AKJ243" s="15"/>
      <c r="AKK243" s="16"/>
      <c r="AKL243" s="16"/>
      <c r="AKM243" s="16"/>
      <c r="AKN243" s="16"/>
      <c r="AKO243" s="16"/>
      <c r="AKP243" s="15"/>
      <c r="AKQ243" s="15"/>
      <c r="AKR243" s="10"/>
      <c r="AKS243" s="10"/>
      <c r="AKT243" s="19"/>
      <c r="AKU243" s="19"/>
      <c r="AKX243" s="16"/>
      <c r="AKY243" s="15"/>
      <c r="AKZ243" s="15"/>
      <c r="ALA243" s="15"/>
      <c r="ALB243" s="16"/>
      <c r="ALC243" s="16"/>
      <c r="ALD243" s="16"/>
      <c r="ALE243" s="16"/>
      <c r="ALF243" s="16"/>
      <c r="ALG243" s="15"/>
      <c r="ALH243" s="15"/>
      <c r="ALI243" s="10"/>
      <c r="ALJ243" s="10"/>
      <c r="ALK243" s="19"/>
      <c r="ALL243" s="19"/>
      <c r="ALO243" s="16"/>
      <c r="ALP243" s="15"/>
      <c r="ALQ243" s="15"/>
      <c r="ALR243" s="15"/>
      <c r="ALS243" s="16"/>
      <c r="ALT243" s="16"/>
      <c r="ALU243" s="16"/>
      <c r="ALV243" s="16"/>
      <c r="ALW243" s="16"/>
      <c r="ALX243" s="15"/>
      <c r="ALY243" s="15"/>
      <c r="ALZ243" s="10"/>
      <c r="AMA243" s="10"/>
      <c r="AMB243" s="19"/>
      <c r="AMC243" s="19"/>
      <c r="AMF243" s="16"/>
      <c r="AMG243" s="15"/>
      <c r="AMH243" s="15"/>
      <c r="AMI243" s="15"/>
      <c r="AMJ243" s="16"/>
      <c r="AMK243" s="16"/>
      <c r="AML243" s="16"/>
      <c r="AMM243" s="16"/>
      <c r="AMN243" s="16"/>
      <c r="AMO243" s="15"/>
      <c r="AMP243" s="15"/>
      <c r="AMQ243" s="10"/>
      <c r="AMR243" s="10"/>
      <c r="AMS243" s="19"/>
      <c r="AMT243" s="19"/>
      <c r="AMW243" s="16"/>
      <c r="AMX243" s="15"/>
      <c r="AMY243" s="15"/>
      <c r="AMZ243" s="15"/>
      <c r="ANA243" s="16"/>
      <c r="ANB243" s="16"/>
      <c r="ANC243" s="16"/>
      <c r="AND243" s="16"/>
      <c r="ANE243" s="16"/>
      <c r="ANF243" s="15"/>
      <c r="ANG243" s="15"/>
      <c r="ANH243" s="10"/>
      <c r="ANI243" s="10"/>
      <c r="ANJ243" s="19"/>
      <c r="ANK243" s="19"/>
      <c r="ANN243" s="16"/>
      <c r="ANO243" s="15"/>
      <c r="ANP243" s="15"/>
      <c r="ANQ243" s="15"/>
      <c r="ANR243" s="16"/>
      <c r="ANS243" s="16"/>
      <c r="ANT243" s="16"/>
      <c r="ANU243" s="16"/>
      <c r="ANV243" s="16"/>
      <c r="ANW243" s="15"/>
      <c r="ANX243" s="15"/>
      <c r="ANY243" s="10"/>
      <c r="ANZ243" s="10"/>
      <c r="AOA243" s="19"/>
      <c r="AOB243" s="19"/>
      <c r="AOE243" s="16"/>
      <c r="AOF243" s="15"/>
      <c r="AOG243" s="15"/>
      <c r="AOH243" s="15"/>
      <c r="AOI243" s="16"/>
      <c r="AOJ243" s="16"/>
      <c r="AOK243" s="16"/>
      <c r="AOL243" s="16"/>
      <c r="AOM243" s="16"/>
      <c r="AON243" s="15"/>
      <c r="AOO243" s="15"/>
      <c r="AOP243" s="10"/>
      <c r="AOQ243" s="10"/>
      <c r="AOR243" s="19"/>
      <c r="AOS243" s="19"/>
      <c r="AOV243" s="16"/>
      <c r="AOW243" s="15"/>
      <c r="AOX243" s="15"/>
      <c r="AOY243" s="15"/>
      <c r="AOZ243" s="16"/>
      <c r="APA243" s="16"/>
      <c r="APB243" s="16"/>
      <c r="APC243" s="16"/>
      <c r="APD243" s="16"/>
      <c r="APE243" s="15"/>
      <c r="APF243" s="15"/>
      <c r="APG243" s="10"/>
      <c r="APH243" s="10"/>
      <c r="API243" s="19"/>
      <c r="APJ243" s="19"/>
      <c r="APM243" s="16"/>
      <c r="APN243" s="15"/>
      <c r="APO243" s="15"/>
      <c r="APP243" s="15"/>
      <c r="APQ243" s="16"/>
      <c r="APR243" s="16"/>
      <c r="APS243" s="16"/>
      <c r="APT243" s="16"/>
      <c r="APU243" s="16"/>
      <c r="APV243" s="15"/>
      <c r="APW243" s="15"/>
      <c r="APX243" s="10"/>
      <c r="APY243" s="10"/>
      <c r="APZ243" s="19"/>
      <c r="AQA243" s="19"/>
      <c r="AQD243" s="16"/>
      <c r="AQE243" s="15"/>
      <c r="AQF243" s="15"/>
      <c r="AQG243" s="15"/>
      <c r="AQH243" s="16"/>
      <c r="AQI243" s="16"/>
      <c r="AQJ243" s="16"/>
      <c r="AQK243" s="16"/>
      <c r="AQL243" s="16"/>
      <c r="AQM243" s="15"/>
      <c r="AQN243" s="15"/>
      <c r="AQO243" s="10"/>
      <c r="AQP243" s="10"/>
      <c r="AQQ243" s="19"/>
      <c r="AQR243" s="19"/>
      <c r="AQU243" s="16"/>
      <c r="AQV243" s="15"/>
      <c r="AQW243" s="15"/>
      <c r="AQX243" s="15"/>
      <c r="AQY243" s="16"/>
      <c r="AQZ243" s="16"/>
      <c r="ARA243" s="16"/>
      <c r="ARB243" s="16"/>
      <c r="ARC243" s="16"/>
      <c r="ARD243" s="15"/>
      <c r="ARE243" s="15"/>
      <c r="ARF243" s="10"/>
      <c r="ARG243" s="10"/>
      <c r="ARH243" s="19"/>
      <c r="ARI243" s="19"/>
      <c r="ARL243" s="16"/>
      <c r="ARM243" s="15"/>
      <c r="ARN243" s="15"/>
      <c r="ARO243" s="15"/>
      <c r="ARP243" s="16"/>
      <c r="ARQ243" s="16"/>
      <c r="ARR243" s="16"/>
      <c r="ARS243" s="16"/>
      <c r="ART243" s="16"/>
      <c r="ARU243" s="15"/>
      <c r="ARV243" s="15"/>
      <c r="ARW243" s="10"/>
      <c r="ARX243" s="10"/>
      <c r="ARY243" s="19"/>
      <c r="ARZ243" s="19"/>
      <c r="ASC243" s="16"/>
      <c r="ASD243" s="15"/>
      <c r="ASE243" s="15"/>
      <c r="ASF243" s="15"/>
      <c r="ASG243" s="16"/>
      <c r="ASH243" s="16"/>
      <c r="ASI243" s="16"/>
      <c r="ASJ243" s="16"/>
      <c r="ASK243" s="16"/>
      <c r="ASL243" s="15"/>
      <c r="ASM243" s="15"/>
      <c r="ASN243" s="10"/>
      <c r="ASO243" s="10"/>
      <c r="ASP243" s="19"/>
      <c r="ASQ243" s="19"/>
      <c r="AST243" s="16"/>
      <c r="ASU243" s="15"/>
      <c r="ASV243" s="15"/>
      <c r="ASW243" s="15"/>
      <c r="ASX243" s="16"/>
      <c r="ASY243" s="16"/>
      <c r="ASZ243" s="16"/>
      <c r="ATA243" s="16"/>
      <c r="ATB243" s="16"/>
      <c r="ATC243" s="15"/>
      <c r="ATD243" s="15"/>
      <c r="ATE243" s="10"/>
      <c r="ATF243" s="10"/>
      <c r="ATG243" s="19"/>
      <c r="ATH243" s="19"/>
      <c r="ATK243" s="16"/>
      <c r="ATL243" s="15"/>
      <c r="ATM243" s="15"/>
      <c r="ATN243" s="15"/>
      <c r="ATO243" s="16"/>
      <c r="ATP243" s="16"/>
      <c r="ATQ243" s="16"/>
      <c r="ATR243" s="16"/>
      <c r="ATS243" s="16"/>
      <c r="ATT243" s="15"/>
      <c r="ATU243" s="15"/>
      <c r="ATV243" s="10"/>
      <c r="ATW243" s="10"/>
      <c r="ATX243" s="19"/>
      <c r="ATY243" s="19"/>
      <c r="AUB243" s="16"/>
      <c r="AUC243" s="15"/>
      <c r="AUD243" s="15"/>
      <c r="AUE243" s="15"/>
      <c r="AUF243" s="16"/>
      <c r="AUG243" s="16"/>
      <c r="AUH243" s="16"/>
      <c r="AUI243" s="16"/>
      <c r="AUJ243" s="16"/>
      <c r="AUK243" s="15"/>
      <c r="AUL243" s="15"/>
      <c r="AUM243" s="10"/>
      <c r="AUN243" s="10"/>
      <c r="AUO243" s="19"/>
      <c r="AUP243" s="19"/>
      <c r="AUS243" s="16"/>
      <c r="AUT243" s="15"/>
      <c r="AUU243" s="15"/>
      <c r="AUV243" s="15"/>
      <c r="AUW243" s="16"/>
      <c r="AUX243" s="16"/>
      <c r="AUY243" s="16"/>
      <c r="AUZ243" s="16"/>
      <c r="AVA243" s="16"/>
      <c r="AVB243" s="15"/>
      <c r="AVC243" s="15"/>
      <c r="AVD243" s="10"/>
      <c r="AVE243" s="10"/>
      <c r="AVF243" s="19"/>
      <c r="AVG243" s="19"/>
      <c r="AVJ243" s="16"/>
      <c r="AVK243" s="15"/>
      <c r="AVL243" s="15"/>
      <c r="AVM243" s="15"/>
      <c r="AVN243" s="16"/>
      <c r="AVO243" s="16"/>
      <c r="AVP243" s="16"/>
      <c r="AVQ243" s="16"/>
      <c r="AVR243" s="16"/>
      <c r="AVS243" s="15"/>
      <c r="AVT243" s="15"/>
      <c r="AVU243" s="10"/>
      <c r="AVV243" s="10"/>
      <c r="AVW243" s="19"/>
      <c r="AVX243" s="19"/>
      <c r="AWA243" s="16"/>
      <c r="AWB243" s="15"/>
      <c r="AWC243" s="15"/>
      <c r="AWD243" s="15"/>
      <c r="AWE243" s="16"/>
      <c r="AWF243" s="16"/>
      <c r="AWG243" s="16"/>
      <c r="AWH243" s="16"/>
      <c r="AWI243" s="16"/>
      <c r="AWJ243" s="15"/>
      <c r="AWK243" s="15"/>
      <c r="AWL243" s="10"/>
      <c r="AWM243" s="10"/>
      <c r="AWN243" s="19"/>
      <c r="AWO243" s="19"/>
      <c r="AWR243" s="16"/>
      <c r="AWS243" s="15"/>
      <c r="AWT243" s="15"/>
      <c r="AWU243" s="15"/>
      <c r="AWV243" s="16"/>
      <c r="AWW243" s="16"/>
      <c r="AWX243" s="16"/>
      <c r="AWY243" s="16"/>
      <c r="AWZ243" s="16"/>
      <c r="AXA243" s="15"/>
      <c r="AXB243" s="15"/>
      <c r="AXC243" s="10"/>
      <c r="AXD243" s="10"/>
      <c r="AXE243" s="19"/>
      <c r="AXF243" s="19"/>
      <c r="AXI243" s="16"/>
      <c r="AXJ243" s="15"/>
      <c r="AXK243" s="15"/>
      <c r="AXL243" s="15"/>
      <c r="AXM243" s="16"/>
      <c r="AXN243" s="16"/>
      <c r="AXO243" s="16"/>
      <c r="AXP243" s="16"/>
      <c r="AXQ243" s="16"/>
      <c r="AXR243" s="15"/>
      <c r="AXS243" s="15"/>
      <c r="AXT243" s="10"/>
      <c r="AXU243" s="10"/>
      <c r="AXV243" s="19"/>
      <c r="AXW243" s="19"/>
      <c r="AXZ243" s="16"/>
      <c r="AYA243" s="15"/>
      <c r="AYB243" s="15"/>
      <c r="AYC243" s="15"/>
      <c r="AYD243" s="16"/>
      <c r="AYE243" s="16"/>
      <c r="AYF243" s="16"/>
      <c r="AYG243" s="16"/>
      <c r="AYH243" s="16"/>
      <c r="AYI243" s="15"/>
      <c r="AYJ243" s="15"/>
      <c r="AYK243" s="10"/>
      <c r="AYL243" s="10"/>
      <c r="AYM243" s="19"/>
      <c r="AYN243" s="19"/>
      <c r="AYQ243" s="16"/>
      <c r="AYR243" s="15"/>
      <c r="AYS243" s="15"/>
      <c r="AYT243" s="15"/>
      <c r="AYU243" s="16"/>
      <c r="AYV243" s="16"/>
      <c r="AYW243" s="16"/>
      <c r="AYX243" s="16"/>
      <c r="AYY243" s="16"/>
      <c r="AYZ243" s="15"/>
      <c r="AZA243" s="15"/>
      <c r="AZB243" s="10"/>
      <c r="AZC243" s="10"/>
      <c r="AZD243" s="19"/>
      <c r="AZE243" s="19"/>
      <c r="AZH243" s="16"/>
      <c r="AZI243" s="15"/>
      <c r="AZJ243" s="15"/>
      <c r="AZK243" s="15"/>
      <c r="AZL243" s="16"/>
      <c r="AZM243" s="16"/>
      <c r="AZN243" s="16"/>
      <c r="AZO243" s="16"/>
      <c r="AZP243" s="16"/>
      <c r="AZQ243" s="15"/>
      <c r="AZR243" s="15"/>
      <c r="AZS243" s="10"/>
      <c r="AZT243" s="10"/>
      <c r="AZU243" s="19"/>
      <c r="AZV243" s="19"/>
      <c r="AZY243" s="16"/>
      <c r="AZZ243" s="15"/>
      <c r="BAA243" s="15"/>
      <c r="BAB243" s="15"/>
      <c r="BAC243" s="16"/>
      <c r="BAD243" s="16"/>
      <c r="BAE243" s="16"/>
      <c r="BAF243" s="16"/>
      <c r="BAG243" s="16"/>
      <c r="BAH243" s="15"/>
      <c r="BAI243" s="15"/>
      <c r="BAJ243" s="10"/>
      <c r="BAK243" s="10"/>
      <c r="BAL243" s="19"/>
      <c r="BAM243" s="19"/>
      <c r="BAP243" s="16"/>
      <c r="BAQ243" s="15"/>
      <c r="BAR243" s="15"/>
      <c r="BAS243" s="15"/>
      <c r="BAT243" s="16"/>
      <c r="BAU243" s="16"/>
      <c r="BAV243" s="16"/>
      <c r="BAW243" s="16"/>
      <c r="BAX243" s="16"/>
      <c r="BAY243" s="15"/>
      <c r="BAZ243" s="15"/>
      <c r="BBA243" s="10"/>
      <c r="BBB243" s="10"/>
      <c r="BBC243" s="19"/>
      <c r="BBD243" s="19"/>
      <c r="BBG243" s="16"/>
      <c r="BBH243" s="15"/>
      <c r="BBI243" s="15"/>
      <c r="BBJ243" s="15"/>
      <c r="BBK243" s="16"/>
      <c r="BBL243" s="16"/>
      <c r="BBM243" s="16"/>
      <c r="BBN243" s="16"/>
      <c r="BBO243" s="16"/>
      <c r="BBP243" s="15"/>
      <c r="BBQ243" s="15"/>
      <c r="BBR243" s="10"/>
      <c r="BBS243" s="10"/>
      <c r="BBT243" s="19"/>
      <c r="BBU243" s="19"/>
      <c r="BBX243" s="16"/>
      <c r="BBY243" s="15"/>
      <c r="BBZ243" s="15"/>
      <c r="BCA243" s="15"/>
      <c r="BCB243" s="16"/>
      <c r="BCC243" s="16"/>
      <c r="BCD243" s="16"/>
      <c r="BCE243" s="16"/>
      <c r="BCF243" s="16"/>
      <c r="BCG243" s="15"/>
      <c r="BCH243" s="15"/>
      <c r="BCI243" s="10"/>
      <c r="BCJ243" s="10"/>
      <c r="BCK243" s="19"/>
      <c r="BCL243" s="19"/>
      <c r="BCO243" s="16"/>
      <c r="BCP243" s="15"/>
      <c r="BCQ243" s="15"/>
      <c r="BCR243" s="15"/>
      <c r="BCS243" s="16"/>
      <c r="BCT243" s="16"/>
      <c r="BCU243" s="16"/>
      <c r="BCV243" s="16"/>
      <c r="BCW243" s="16"/>
      <c r="BCX243" s="15"/>
      <c r="BCY243" s="15"/>
      <c r="BCZ243" s="10"/>
      <c r="BDA243" s="10"/>
      <c r="BDB243" s="19"/>
      <c r="BDC243" s="19"/>
      <c r="BDF243" s="16"/>
      <c r="BDG243" s="15"/>
      <c r="BDH243" s="15"/>
      <c r="BDI243" s="15"/>
      <c r="BDJ243" s="16"/>
      <c r="BDK243" s="16"/>
      <c r="BDL243" s="16"/>
      <c r="BDM243" s="16"/>
      <c r="BDN243" s="16"/>
      <c r="BDO243" s="15"/>
      <c r="BDP243" s="15"/>
      <c r="BDQ243" s="10"/>
      <c r="BDR243" s="10"/>
      <c r="BDS243" s="19"/>
      <c r="BDT243" s="19"/>
      <c r="BDW243" s="16"/>
      <c r="BDX243" s="15"/>
      <c r="BDY243" s="15"/>
      <c r="BDZ243" s="15"/>
      <c r="BEA243" s="16"/>
      <c r="BEB243" s="16"/>
      <c r="BEC243" s="16"/>
      <c r="BED243" s="16"/>
      <c r="BEE243" s="16"/>
      <c r="BEF243" s="15"/>
      <c r="BEG243" s="15"/>
      <c r="BEH243" s="10"/>
      <c r="BEI243" s="10"/>
      <c r="BEJ243" s="19"/>
      <c r="BEK243" s="19"/>
      <c r="BEN243" s="16"/>
      <c r="BEO243" s="15"/>
      <c r="BEP243" s="15"/>
      <c r="BEQ243" s="15"/>
      <c r="BER243" s="16"/>
      <c r="BES243" s="16"/>
      <c r="BET243" s="16"/>
      <c r="BEU243" s="16"/>
      <c r="BEV243" s="16"/>
      <c r="BEW243" s="15"/>
      <c r="BEX243" s="15"/>
      <c r="BEY243" s="10"/>
      <c r="BEZ243" s="10"/>
      <c r="BFA243" s="19"/>
      <c r="BFB243" s="19"/>
      <c r="BFE243" s="16"/>
      <c r="BFF243" s="15"/>
      <c r="BFG243" s="15"/>
      <c r="BFH243" s="15"/>
      <c r="BFI243" s="16"/>
      <c r="BFJ243" s="16"/>
      <c r="BFK243" s="16"/>
      <c r="BFL243" s="16"/>
      <c r="BFM243" s="16"/>
      <c r="BFN243" s="15"/>
      <c r="BFO243" s="15"/>
      <c r="BFP243" s="10"/>
      <c r="BFQ243" s="10"/>
      <c r="BFR243" s="19"/>
      <c r="BFS243" s="19"/>
      <c r="BFV243" s="16"/>
      <c r="BFW243" s="15"/>
      <c r="BFX243" s="15"/>
      <c r="BFY243" s="15"/>
      <c r="BFZ243" s="16"/>
      <c r="BGA243" s="16"/>
      <c r="BGB243" s="16"/>
      <c r="BGC243" s="16"/>
      <c r="BGD243" s="16"/>
      <c r="BGE243" s="15"/>
      <c r="BGF243" s="15"/>
      <c r="BGG243" s="10"/>
      <c r="BGH243" s="10"/>
      <c r="BGI243" s="19"/>
      <c r="BGJ243" s="19"/>
      <c r="BGM243" s="16"/>
      <c r="BGN243" s="15"/>
      <c r="BGO243" s="15"/>
      <c r="BGP243" s="15"/>
      <c r="BGQ243" s="16"/>
      <c r="BGR243" s="16"/>
      <c r="BGS243" s="16"/>
      <c r="BGT243" s="16"/>
      <c r="BGU243" s="16"/>
      <c r="BGV243" s="15"/>
      <c r="BGW243" s="15"/>
      <c r="BGX243" s="10"/>
      <c r="BGY243" s="10"/>
      <c r="BGZ243" s="19"/>
      <c r="BHA243" s="19"/>
      <c r="BHD243" s="16"/>
      <c r="BHE243" s="15"/>
      <c r="BHF243" s="15"/>
      <c r="BHG243" s="15"/>
      <c r="BHH243" s="16"/>
      <c r="BHI243" s="16"/>
      <c r="BHJ243" s="16"/>
      <c r="BHK243" s="16"/>
      <c r="BHL243" s="16"/>
      <c r="BHM243" s="15"/>
      <c r="BHN243" s="15"/>
      <c r="BHO243" s="10"/>
      <c r="BHP243" s="10"/>
      <c r="BHQ243" s="19"/>
      <c r="BHR243" s="19"/>
      <c r="BHU243" s="16"/>
      <c r="BHV243" s="15"/>
      <c r="BHW243" s="15"/>
      <c r="BHX243" s="15"/>
      <c r="BHY243" s="16"/>
      <c r="BHZ243" s="16"/>
      <c r="BIA243" s="16"/>
      <c r="BIB243" s="16"/>
      <c r="BIC243" s="16"/>
      <c r="BID243" s="15"/>
      <c r="BIE243" s="15"/>
      <c r="BIF243" s="10"/>
      <c r="BIG243" s="10"/>
      <c r="BIH243" s="19"/>
      <c r="BII243" s="19"/>
      <c r="BIL243" s="16"/>
      <c r="BIM243" s="15"/>
      <c r="BIN243" s="15"/>
      <c r="BIO243" s="15"/>
      <c r="BIP243" s="16"/>
      <c r="BIQ243" s="16"/>
      <c r="BIR243" s="16"/>
      <c r="BIS243" s="16"/>
      <c r="BIT243" s="16"/>
      <c r="BIU243" s="15"/>
      <c r="BIV243" s="15"/>
      <c r="BIW243" s="10"/>
      <c r="BIX243" s="10"/>
      <c r="BIY243" s="19"/>
      <c r="BIZ243" s="19"/>
      <c r="BJC243" s="16"/>
      <c r="BJD243" s="15"/>
      <c r="BJE243" s="15"/>
      <c r="BJF243" s="15"/>
      <c r="BJG243" s="16"/>
      <c r="BJH243" s="16"/>
      <c r="BJI243" s="16"/>
      <c r="BJJ243" s="16"/>
      <c r="BJK243" s="16"/>
      <c r="BJL243" s="15"/>
      <c r="BJM243" s="15"/>
      <c r="BJN243" s="10"/>
      <c r="BJO243" s="10"/>
      <c r="BJP243" s="19"/>
      <c r="BJQ243" s="19"/>
      <c r="BJT243" s="16"/>
      <c r="BJU243" s="15"/>
      <c r="BJV243" s="15"/>
      <c r="BJW243" s="15"/>
      <c r="BJX243" s="16"/>
      <c r="BJY243" s="16"/>
      <c r="BJZ243" s="16"/>
      <c r="BKA243" s="16"/>
      <c r="BKB243" s="16"/>
      <c r="BKC243" s="15"/>
      <c r="BKD243" s="15"/>
      <c r="BKE243" s="10"/>
      <c r="BKF243" s="10"/>
      <c r="BKG243" s="19"/>
      <c r="BKH243" s="19"/>
      <c r="BKK243" s="16"/>
      <c r="BKL243" s="15"/>
      <c r="BKM243" s="15"/>
      <c r="BKN243" s="15"/>
      <c r="BKO243" s="16"/>
      <c r="BKP243" s="16"/>
      <c r="BKQ243" s="16"/>
      <c r="BKR243" s="16"/>
      <c r="BKS243" s="16"/>
      <c r="BKT243" s="15"/>
      <c r="BKU243" s="15"/>
      <c r="BKV243" s="10"/>
      <c r="BKW243" s="10"/>
      <c r="BKX243" s="19"/>
      <c r="BKY243" s="19"/>
      <c r="BLB243" s="16"/>
      <c r="BLC243" s="15"/>
      <c r="BLD243" s="15"/>
      <c r="BLE243" s="15"/>
      <c r="BLF243" s="16"/>
      <c r="BLG243" s="16"/>
      <c r="BLH243" s="16"/>
      <c r="BLI243" s="16"/>
      <c r="BLJ243" s="16"/>
      <c r="BLK243" s="15"/>
      <c r="BLL243" s="15"/>
      <c r="BLM243" s="10"/>
      <c r="BLN243" s="10"/>
      <c r="BLO243" s="19"/>
      <c r="BLP243" s="19"/>
      <c r="BLS243" s="16"/>
      <c r="BLT243" s="15"/>
      <c r="BLU243" s="15"/>
      <c r="BLV243" s="15"/>
      <c r="BLW243" s="16"/>
      <c r="BLX243" s="16"/>
      <c r="BLY243" s="16"/>
      <c r="BLZ243" s="16"/>
      <c r="BMA243" s="16"/>
      <c r="BMB243" s="15"/>
      <c r="BMC243" s="15"/>
      <c r="BMD243" s="10"/>
      <c r="BME243" s="10"/>
      <c r="BMF243" s="19"/>
      <c r="BMG243" s="19"/>
      <c r="BMJ243" s="16"/>
      <c r="BMK243" s="15"/>
      <c r="BML243" s="15"/>
      <c r="BMM243" s="15"/>
      <c r="BMN243" s="16"/>
      <c r="BMO243" s="16"/>
      <c r="BMP243" s="16"/>
      <c r="BMQ243" s="16"/>
      <c r="BMR243" s="16"/>
      <c r="BMS243" s="15"/>
      <c r="BMT243" s="15"/>
      <c r="BMU243" s="10"/>
      <c r="BMV243" s="10"/>
      <c r="BMW243" s="19"/>
      <c r="BMX243" s="19"/>
      <c r="BNA243" s="16"/>
      <c r="BNB243" s="15"/>
      <c r="BNC243" s="15"/>
      <c r="BND243" s="15"/>
      <c r="BNE243" s="16"/>
      <c r="BNF243" s="16"/>
      <c r="BNG243" s="16"/>
      <c r="BNH243" s="16"/>
      <c r="BNI243" s="16"/>
      <c r="BNJ243" s="15"/>
      <c r="BNK243" s="15"/>
      <c r="BNL243" s="10"/>
      <c r="BNM243" s="10"/>
      <c r="BNN243" s="19"/>
      <c r="BNO243" s="19"/>
      <c r="BNR243" s="16"/>
      <c r="BNS243" s="15"/>
      <c r="BNT243" s="15"/>
      <c r="BNU243" s="15"/>
      <c r="BNV243" s="16"/>
      <c r="BNW243" s="16"/>
      <c r="BNX243" s="16"/>
      <c r="BNY243" s="16"/>
      <c r="BNZ243" s="16"/>
      <c r="BOA243" s="15"/>
      <c r="BOB243" s="15"/>
      <c r="BOC243" s="10"/>
      <c r="BOD243" s="10"/>
      <c r="BOE243" s="19"/>
      <c r="BOF243" s="19"/>
      <c r="BOI243" s="16"/>
      <c r="BOJ243" s="15"/>
      <c r="BOK243" s="15"/>
      <c r="BOL243" s="15"/>
      <c r="BOM243" s="16"/>
      <c r="BON243" s="16"/>
      <c r="BOO243" s="16"/>
      <c r="BOP243" s="16"/>
      <c r="BOQ243" s="16"/>
      <c r="BOR243" s="15"/>
      <c r="BOS243" s="15"/>
      <c r="BOT243" s="10"/>
      <c r="BOU243" s="10"/>
      <c r="BOV243" s="19"/>
      <c r="BOW243" s="19"/>
      <c r="BOZ243" s="16"/>
      <c r="BPA243" s="15"/>
      <c r="BPB243" s="15"/>
      <c r="BPC243" s="15"/>
      <c r="BPD243" s="16"/>
      <c r="BPE243" s="16"/>
      <c r="BPF243" s="16"/>
      <c r="BPG243" s="16"/>
      <c r="BPH243" s="16"/>
      <c r="BPI243" s="15"/>
      <c r="BPJ243" s="15"/>
      <c r="BPK243" s="10"/>
      <c r="BPL243" s="10"/>
      <c r="BPM243" s="19"/>
      <c r="BPN243" s="19"/>
      <c r="BPQ243" s="16"/>
      <c r="BPR243" s="15"/>
      <c r="BPS243" s="15"/>
      <c r="BPT243" s="15"/>
      <c r="BPU243" s="16"/>
      <c r="BPV243" s="16"/>
      <c r="BPW243" s="16"/>
      <c r="BPX243" s="16"/>
      <c r="BPY243" s="16"/>
      <c r="BPZ243" s="15"/>
      <c r="BQA243" s="15"/>
      <c r="BQB243" s="10"/>
      <c r="BQC243" s="10"/>
      <c r="BQD243" s="19"/>
      <c r="BQE243" s="19"/>
      <c r="BQH243" s="16"/>
      <c r="BQI243" s="15"/>
      <c r="BQJ243" s="15"/>
      <c r="BQK243" s="15"/>
      <c r="BQL243" s="16"/>
      <c r="BQM243" s="16"/>
      <c r="BQN243" s="16"/>
      <c r="BQO243" s="16"/>
      <c r="BQP243" s="16"/>
      <c r="BQQ243" s="15"/>
      <c r="BQR243" s="15"/>
      <c r="BQS243" s="10"/>
      <c r="BQT243" s="10"/>
      <c r="BQU243" s="19"/>
      <c r="BQV243" s="19"/>
      <c r="BQY243" s="16"/>
      <c r="BQZ243" s="15"/>
      <c r="BRA243" s="15"/>
      <c r="BRB243" s="15"/>
      <c r="BRC243" s="16"/>
      <c r="BRD243" s="16"/>
      <c r="BRE243" s="16"/>
      <c r="BRF243" s="16"/>
      <c r="BRG243" s="16"/>
      <c r="BRH243" s="15"/>
      <c r="BRI243" s="15"/>
      <c r="BRJ243" s="10"/>
      <c r="BRK243" s="10"/>
      <c r="BRL243" s="19"/>
      <c r="BRM243" s="19"/>
      <c r="BRP243" s="16"/>
      <c r="BRQ243" s="15"/>
      <c r="BRR243" s="15"/>
      <c r="BRS243" s="15"/>
      <c r="BRT243" s="16"/>
      <c r="BRU243" s="16"/>
      <c r="BRV243" s="16"/>
      <c r="BRW243" s="16"/>
      <c r="BRX243" s="16"/>
      <c r="BRY243" s="15"/>
      <c r="BRZ243" s="15"/>
      <c r="BSA243" s="10"/>
      <c r="BSB243" s="10"/>
      <c r="BSC243" s="19"/>
      <c r="BSD243" s="19"/>
      <c r="BSG243" s="16"/>
      <c r="BSH243" s="15"/>
      <c r="BSI243" s="15"/>
      <c r="BSJ243" s="15"/>
      <c r="BSK243" s="16"/>
      <c r="BSL243" s="16"/>
      <c r="BSM243" s="16"/>
      <c r="BSN243" s="16"/>
      <c r="BSO243" s="16"/>
      <c r="BSP243" s="15"/>
      <c r="BSQ243" s="15"/>
      <c r="BSR243" s="10"/>
      <c r="BSS243" s="10"/>
      <c r="BST243" s="19"/>
      <c r="BSU243" s="19"/>
      <c r="BSX243" s="16"/>
      <c r="BSY243" s="15"/>
      <c r="BSZ243" s="15"/>
      <c r="BTA243" s="15"/>
      <c r="BTB243" s="16"/>
      <c r="BTC243" s="16"/>
      <c r="BTD243" s="16"/>
      <c r="BTE243" s="16"/>
      <c r="BTF243" s="16"/>
      <c r="BTG243" s="15"/>
      <c r="BTH243" s="15"/>
      <c r="BTI243" s="10"/>
      <c r="BTJ243" s="10"/>
      <c r="BTK243" s="19"/>
      <c r="BTL243" s="19"/>
      <c r="BTO243" s="16"/>
      <c r="BTP243" s="15"/>
      <c r="BTQ243" s="15"/>
      <c r="BTR243" s="15"/>
      <c r="BTS243" s="16"/>
      <c r="BTT243" s="16"/>
      <c r="BTU243" s="16"/>
      <c r="BTV243" s="16"/>
      <c r="BTW243" s="16"/>
      <c r="BTX243" s="15"/>
      <c r="BTY243" s="15"/>
      <c r="BTZ243" s="10"/>
      <c r="BUA243" s="10"/>
      <c r="BUB243" s="19"/>
      <c r="BUC243" s="19"/>
      <c r="BUF243" s="16"/>
      <c r="BUG243" s="15"/>
      <c r="BUH243" s="15"/>
      <c r="BUI243" s="15"/>
      <c r="BUJ243" s="16"/>
      <c r="BUK243" s="16"/>
      <c r="BUL243" s="16"/>
      <c r="BUM243" s="16"/>
      <c r="BUN243" s="16"/>
      <c r="BUO243" s="15"/>
      <c r="BUP243" s="15"/>
      <c r="BUQ243" s="10"/>
      <c r="BUR243" s="10"/>
      <c r="BUS243" s="19"/>
      <c r="BUT243" s="19"/>
      <c r="BUW243" s="16"/>
      <c r="BUX243" s="15"/>
      <c r="BUY243" s="15"/>
      <c r="BUZ243" s="15"/>
      <c r="BVA243" s="16"/>
      <c r="BVB243" s="16"/>
      <c r="BVC243" s="16"/>
      <c r="BVD243" s="16"/>
      <c r="BVE243" s="16"/>
      <c r="BVF243" s="15"/>
      <c r="BVG243" s="15"/>
      <c r="BVH243" s="10"/>
      <c r="BVI243" s="10"/>
      <c r="BVJ243" s="19"/>
      <c r="BVK243" s="19"/>
      <c r="BVN243" s="16"/>
      <c r="BVO243" s="15"/>
      <c r="BVP243" s="15"/>
      <c r="BVQ243" s="15"/>
      <c r="BVR243" s="16"/>
      <c r="BVS243" s="16"/>
      <c r="BVT243" s="16"/>
      <c r="BVU243" s="16"/>
      <c r="BVV243" s="16"/>
      <c r="BVW243" s="15"/>
      <c r="BVX243" s="15"/>
      <c r="BVY243" s="10"/>
      <c r="BVZ243" s="10"/>
      <c r="BWA243" s="19"/>
      <c r="BWB243" s="19"/>
      <c r="BWE243" s="16"/>
      <c r="BWF243" s="15"/>
      <c r="BWG243" s="15"/>
      <c r="BWH243" s="15"/>
      <c r="BWI243" s="16"/>
      <c r="BWJ243" s="16"/>
      <c r="BWK243" s="16"/>
      <c r="BWL243" s="16"/>
      <c r="BWM243" s="16"/>
      <c r="BWN243" s="15"/>
      <c r="BWO243" s="15"/>
      <c r="BWP243" s="10"/>
      <c r="BWQ243" s="10"/>
      <c r="BWR243" s="19"/>
      <c r="BWS243" s="19"/>
      <c r="BWV243" s="16"/>
      <c r="BWW243" s="15"/>
      <c r="BWX243" s="15"/>
      <c r="BWY243" s="15"/>
      <c r="BWZ243" s="16"/>
      <c r="BXA243" s="16"/>
      <c r="BXB243" s="16"/>
      <c r="BXC243" s="16"/>
      <c r="BXD243" s="16"/>
      <c r="BXE243" s="15"/>
      <c r="BXF243" s="15"/>
      <c r="BXG243" s="10"/>
      <c r="BXH243" s="10"/>
      <c r="BXI243" s="19"/>
      <c r="BXJ243" s="19"/>
      <c r="BXM243" s="16"/>
      <c r="BXN243" s="15"/>
      <c r="BXO243" s="15"/>
      <c r="BXP243" s="15"/>
      <c r="BXQ243" s="16"/>
      <c r="BXR243" s="16"/>
      <c r="BXS243" s="16"/>
      <c r="BXT243" s="16"/>
      <c r="BXU243" s="16"/>
      <c r="BXV243" s="15"/>
      <c r="BXW243" s="15"/>
      <c r="BXX243" s="10"/>
      <c r="BXY243" s="10"/>
      <c r="BXZ243" s="19"/>
      <c r="BYA243" s="19"/>
      <c r="BYD243" s="16"/>
      <c r="BYE243" s="15"/>
      <c r="BYF243" s="15"/>
      <c r="BYG243" s="15"/>
      <c r="BYH243" s="16"/>
      <c r="BYI243" s="16"/>
      <c r="BYJ243" s="16"/>
      <c r="BYK243" s="16"/>
      <c r="BYL243" s="16"/>
      <c r="BYM243" s="15"/>
      <c r="BYN243" s="15"/>
      <c r="BYO243" s="10"/>
      <c r="BYP243" s="10"/>
      <c r="BYQ243" s="19"/>
      <c r="BYR243" s="19"/>
      <c r="BYU243" s="16"/>
      <c r="BYV243" s="15"/>
      <c r="BYW243" s="15"/>
      <c r="BYX243" s="15"/>
      <c r="BYY243" s="16"/>
      <c r="BYZ243" s="16"/>
      <c r="BZA243" s="16"/>
      <c r="BZB243" s="16"/>
      <c r="BZC243" s="16"/>
      <c r="BZD243" s="15"/>
      <c r="BZE243" s="15"/>
      <c r="BZF243" s="10"/>
      <c r="BZG243" s="10"/>
      <c r="BZH243" s="19"/>
      <c r="BZI243" s="19"/>
      <c r="BZL243" s="16"/>
      <c r="BZM243" s="15"/>
      <c r="BZN243" s="15"/>
      <c r="BZO243" s="15"/>
      <c r="BZP243" s="16"/>
      <c r="BZQ243" s="16"/>
      <c r="BZR243" s="16"/>
      <c r="BZS243" s="16"/>
      <c r="BZT243" s="16"/>
      <c r="BZU243" s="15"/>
      <c r="BZV243" s="15"/>
      <c r="BZW243" s="10"/>
      <c r="BZX243" s="10"/>
      <c r="BZY243" s="19"/>
      <c r="BZZ243" s="19"/>
      <c r="CAC243" s="16"/>
      <c r="CAD243" s="15"/>
      <c r="CAE243" s="15"/>
      <c r="CAF243" s="15"/>
      <c r="CAG243" s="16"/>
      <c r="CAH243" s="16"/>
      <c r="CAI243" s="16"/>
      <c r="CAJ243" s="16"/>
      <c r="CAK243" s="16"/>
      <c r="CAL243" s="15"/>
      <c r="CAM243" s="15"/>
      <c r="CAN243" s="10"/>
      <c r="CAO243" s="10"/>
      <c r="CAP243" s="19"/>
      <c r="CAQ243" s="19"/>
      <c r="CAT243" s="16"/>
      <c r="CAU243" s="15"/>
      <c r="CAV243" s="15"/>
      <c r="CAW243" s="15"/>
      <c r="CAX243" s="16"/>
      <c r="CAY243" s="16"/>
      <c r="CAZ243" s="16"/>
      <c r="CBA243" s="16"/>
      <c r="CBB243" s="16"/>
      <c r="CBC243" s="15"/>
      <c r="CBD243" s="15"/>
      <c r="CBE243" s="10"/>
      <c r="CBF243" s="10"/>
      <c r="CBG243" s="19"/>
      <c r="CBH243" s="19"/>
      <c r="CBK243" s="16"/>
      <c r="CBL243" s="15"/>
      <c r="CBM243" s="15"/>
      <c r="CBN243" s="15"/>
      <c r="CBO243" s="16"/>
      <c r="CBP243" s="16"/>
      <c r="CBQ243" s="16"/>
      <c r="CBR243" s="16"/>
      <c r="CBS243" s="16"/>
      <c r="CBT243" s="15"/>
      <c r="CBU243" s="15"/>
      <c r="CBV243" s="10"/>
      <c r="CBW243" s="10"/>
      <c r="CBX243" s="19"/>
      <c r="CBY243" s="19"/>
      <c r="CCB243" s="16"/>
      <c r="CCC243" s="15"/>
      <c r="CCD243" s="15"/>
      <c r="CCE243" s="15"/>
      <c r="CCF243" s="16"/>
      <c r="CCG243" s="16"/>
      <c r="CCH243" s="16"/>
      <c r="CCI243" s="16"/>
      <c r="CCJ243" s="16"/>
      <c r="CCK243" s="15"/>
      <c r="CCL243" s="15"/>
      <c r="CCM243" s="10"/>
      <c r="CCN243" s="10"/>
      <c r="CCO243" s="19"/>
      <c r="CCP243" s="19"/>
      <c r="CCS243" s="16"/>
      <c r="CCT243" s="15"/>
      <c r="CCU243" s="15"/>
      <c r="CCV243" s="15"/>
      <c r="CCW243" s="16"/>
      <c r="CCX243" s="16"/>
      <c r="CCY243" s="16"/>
      <c r="CCZ243" s="16"/>
      <c r="CDA243" s="16"/>
      <c r="CDB243" s="15"/>
      <c r="CDC243" s="15"/>
      <c r="CDD243" s="10"/>
      <c r="CDE243" s="10"/>
      <c r="CDF243" s="19"/>
      <c r="CDG243" s="19"/>
      <c r="CDJ243" s="16"/>
      <c r="CDK243" s="15"/>
      <c r="CDL243" s="15"/>
      <c r="CDM243" s="15"/>
      <c r="CDN243" s="16"/>
      <c r="CDO243" s="16"/>
      <c r="CDP243" s="16"/>
      <c r="CDQ243" s="16"/>
      <c r="CDR243" s="16"/>
      <c r="CDS243" s="15"/>
      <c r="CDT243" s="15"/>
      <c r="CDU243" s="10"/>
      <c r="CDV243" s="10"/>
      <c r="CDW243" s="19"/>
      <c r="CDX243" s="19"/>
      <c r="CEA243" s="16"/>
      <c r="CEB243" s="15"/>
      <c r="CEC243" s="15"/>
      <c r="CED243" s="15"/>
      <c r="CEE243" s="16"/>
      <c r="CEF243" s="16"/>
      <c r="CEG243" s="16"/>
      <c r="CEH243" s="16"/>
      <c r="CEI243" s="16"/>
      <c r="CEJ243" s="15"/>
      <c r="CEK243" s="15"/>
      <c r="CEL243" s="10"/>
      <c r="CEM243" s="10"/>
      <c r="CEN243" s="19"/>
      <c r="CEO243" s="19"/>
      <c r="CER243" s="16"/>
      <c r="CES243" s="15"/>
      <c r="CET243" s="15"/>
      <c r="CEU243" s="15"/>
      <c r="CEV243" s="16"/>
      <c r="CEW243" s="16"/>
      <c r="CEX243" s="16"/>
      <c r="CEY243" s="16"/>
      <c r="CEZ243" s="16"/>
      <c r="CFA243" s="15"/>
      <c r="CFB243" s="15"/>
      <c r="CFC243" s="10"/>
      <c r="CFD243" s="10"/>
      <c r="CFE243" s="19"/>
      <c r="CFF243" s="19"/>
      <c r="CFI243" s="16"/>
      <c r="CFJ243" s="15"/>
      <c r="CFK243" s="15"/>
      <c r="CFL243" s="15"/>
      <c r="CFM243" s="16"/>
      <c r="CFN243" s="16"/>
      <c r="CFO243" s="16"/>
      <c r="CFP243" s="16"/>
      <c r="CFQ243" s="16"/>
      <c r="CFR243" s="15"/>
      <c r="CFS243" s="15"/>
      <c r="CFT243" s="10"/>
      <c r="CFU243" s="10"/>
      <c r="CFV243" s="19"/>
      <c r="CFW243" s="19"/>
      <c r="CFZ243" s="16"/>
      <c r="CGA243" s="15"/>
      <c r="CGB243" s="15"/>
      <c r="CGC243" s="15"/>
      <c r="CGD243" s="16"/>
      <c r="CGE243" s="16"/>
      <c r="CGF243" s="16"/>
      <c r="CGG243" s="16"/>
      <c r="CGH243" s="16"/>
      <c r="CGI243" s="15"/>
      <c r="CGJ243" s="15"/>
      <c r="CGK243" s="10"/>
      <c r="CGL243" s="10"/>
      <c r="CGM243" s="19"/>
      <c r="CGN243" s="19"/>
      <c r="CGQ243" s="16"/>
      <c r="CGR243" s="15"/>
      <c r="CGS243" s="15"/>
      <c r="CGT243" s="15"/>
      <c r="CGU243" s="16"/>
      <c r="CGV243" s="16"/>
      <c r="CGW243" s="16"/>
      <c r="CGX243" s="16"/>
      <c r="CGY243" s="16"/>
      <c r="CGZ243" s="15"/>
      <c r="CHA243" s="15"/>
      <c r="CHB243" s="10"/>
      <c r="CHC243" s="10"/>
      <c r="CHD243" s="19"/>
      <c r="CHE243" s="19"/>
      <c r="CHH243" s="16"/>
      <c r="CHI243" s="15"/>
      <c r="CHJ243" s="15"/>
      <c r="CHK243" s="15"/>
      <c r="CHL243" s="16"/>
      <c r="CHM243" s="16"/>
      <c r="CHN243" s="16"/>
      <c r="CHO243" s="16"/>
      <c r="CHP243" s="16"/>
      <c r="CHQ243" s="15"/>
      <c r="CHR243" s="15"/>
      <c r="CHS243" s="10"/>
      <c r="CHT243" s="10"/>
      <c r="CHU243" s="19"/>
      <c r="CHV243" s="19"/>
      <c r="CHY243" s="16"/>
      <c r="CHZ243" s="15"/>
      <c r="CIA243" s="15"/>
      <c r="CIB243" s="15"/>
      <c r="CIC243" s="16"/>
      <c r="CID243" s="16"/>
      <c r="CIE243" s="16"/>
      <c r="CIF243" s="16"/>
      <c r="CIG243" s="16"/>
      <c r="CIH243" s="15"/>
      <c r="CII243" s="15"/>
      <c r="CIJ243" s="10"/>
      <c r="CIK243" s="10"/>
      <c r="CIL243" s="19"/>
      <c r="CIM243" s="19"/>
      <c r="CIP243" s="16"/>
      <c r="CIQ243" s="15"/>
      <c r="CIR243" s="15"/>
      <c r="CIS243" s="15"/>
      <c r="CIT243" s="16"/>
      <c r="CIU243" s="16"/>
      <c r="CIV243" s="16"/>
      <c r="CIW243" s="16"/>
      <c r="CIX243" s="16"/>
      <c r="CIY243" s="15"/>
      <c r="CIZ243" s="15"/>
      <c r="CJA243" s="10"/>
      <c r="CJB243" s="10"/>
      <c r="CJC243" s="19"/>
      <c r="CJD243" s="19"/>
      <c r="CJG243" s="16"/>
      <c r="CJH243" s="15"/>
      <c r="CJI243" s="15"/>
      <c r="CJJ243" s="15"/>
      <c r="CJK243" s="16"/>
      <c r="CJL243" s="16"/>
      <c r="CJM243" s="16"/>
      <c r="CJN243" s="16"/>
      <c r="CJO243" s="16"/>
      <c r="CJP243" s="15"/>
      <c r="CJQ243" s="15"/>
      <c r="CJR243" s="10"/>
      <c r="CJS243" s="10"/>
      <c r="CJT243" s="19"/>
      <c r="CJU243" s="19"/>
      <c r="CJX243" s="16"/>
      <c r="CJY243" s="15"/>
      <c r="CJZ243" s="15"/>
      <c r="CKA243" s="15"/>
      <c r="CKB243" s="16"/>
      <c r="CKC243" s="16"/>
      <c r="CKD243" s="16"/>
      <c r="CKE243" s="16"/>
      <c r="CKF243" s="16"/>
      <c r="CKG243" s="15"/>
      <c r="CKH243" s="15"/>
      <c r="CKI243" s="10"/>
      <c r="CKJ243" s="10"/>
      <c r="CKK243" s="19"/>
      <c r="CKL243" s="19"/>
      <c r="CKO243" s="16"/>
      <c r="CKP243" s="15"/>
      <c r="CKQ243" s="15"/>
      <c r="CKR243" s="15"/>
      <c r="CKS243" s="16"/>
      <c r="CKT243" s="16"/>
      <c r="CKU243" s="16"/>
      <c r="CKV243" s="16"/>
      <c r="CKW243" s="16"/>
      <c r="CKX243" s="15"/>
      <c r="CKY243" s="15"/>
      <c r="CKZ243" s="10"/>
      <c r="CLA243" s="10"/>
      <c r="CLB243" s="19"/>
      <c r="CLC243" s="19"/>
      <c r="CLF243" s="16"/>
      <c r="CLG243" s="15"/>
      <c r="CLH243" s="15"/>
      <c r="CLI243" s="15"/>
      <c r="CLJ243" s="16"/>
      <c r="CLK243" s="16"/>
      <c r="CLL243" s="16"/>
      <c r="CLM243" s="16"/>
      <c r="CLN243" s="16"/>
      <c r="CLO243" s="15"/>
      <c r="CLP243" s="15"/>
      <c r="CLQ243" s="10"/>
      <c r="CLR243" s="10"/>
      <c r="CLS243" s="19"/>
      <c r="CLT243" s="19"/>
      <c r="CLW243" s="16"/>
      <c r="CLX243" s="15"/>
      <c r="CLY243" s="15"/>
      <c r="CLZ243" s="15"/>
      <c r="CMA243" s="16"/>
      <c r="CMB243" s="16"/>
      <c r="CMC243" s="16"/>
      <c r="CMD243" s="16"/>
      <c r="CME243" s="16"/>
      <c r="CMF243" s="15"/>
      <c r="CMG243" s="15"/>
      <c r="CMH243" s="10"/>
      <c r="CMI243" s="10"/>
      <c r="CMJ243" s="19"/>
      <c r="CMK243" s="19"/>
      <c r="CMN243" s="16"/>
      <c r="CMO243" s="15"/>
      <c r="CMP243" s="15"/>
      <c r="CMQ243" s="15"/>
      <c r="CMR243" s="16"/>
      <c r="CMS243" s="16"/>
      <c r="CMT243" s="16"/>
      <c r="CMU243" s="16"/>
      <c r="CMV243" s="16"/>
      <c r="CMW243" s="15"/>
      <c r="CMX243" s="15"/>
      <c r="CMY243" s="10"/>
      <c r="CMZ243" s="10"/>
      <c r="CNA243" s="19"/>
      <c r="CNB243" s="19"/>
      <c r="CNE243" s="16"/>
      <c r="CNF243" s="15"/>
      <c r="CNG243" s="15"/>
      <c r="CNH243" s="15"/>
      <c r="CNI243" s="16"/>
      <c r="CNJ243" s="16"/>
      <c r="CNK243" s="16"/>
      <c r="CNL243" s="16"/>
      <c r="CNM243" s="16"/>
      <c r="CNN243" s="15"/>
      <c r="CNO243" s="15"/>
      <c r="CNP243" s="10"/>
      <c r="CNQ243" s="10"/>
      <c r="CNR243" s="19"/>
      <c r="CNS243" s="19"/>
      <c r="CNV243" s="16"/>
      <c r="CNW243" s="15"/>
      <c r="CNX243" s="15"/>
      <c r="CNY243" s="15"/>
      <c r="CNZ243" s="16"/>
      <c r="COA243" s="16"/>
      <c r="COB243" s="16"/>
      <c r="COC243" s="16"/>
      <c r="COD243" s="16"/>
      <c r="COE243" s="15"/>
      <c r="COF243" s="15"/>
      <c r="COG243" s="10"/>
      <c r="COH243" s="10"/>
      <c r="COI243" s="19"/>
      <c r="COJ243" s="19"/>
      <c r="COM243" s="16"/>
      <c r="CON243" s="15"/>
      <c r="COO243" s="15"/>
      <c r="COP243" s="15"/>
      <c r="COQ243" s="16"/>
      <c r="COR243" s="16"/>
      <c r="COS243" s="16"/>
      <c r="COT243" s="16"/>
      <c r="COU243" s="16"/>
      <c r="COV243" s="15"/>
      <c r="COW243" s="15"/>
      <c r="COX243" s="10"/>
      <c r="COY243" s="10"/>
      <c r="COZ243" s="19"/>
      <c r="CPA243" s="19"/>
      <c r="CPD243" s="16"/>
      <c r="CPE243" s="15"/>
      <c r="CPF243" s="15"/>
      <c r="CPG243" s="15"/>
      <c r="CPH243" s="16"/>
      <c r="CPI243" s="16"/>
      <c r="CPJ243" s="16"/>
      <c r="CPK243" s="16"/>
      <c r="CPL243" s="16"/>
      <c r="CPM243" s="15"/>
      <c r="CPN243" s="15"/>
      <c r="CPO243" s="10"/>
      <c r="CPP243" s="10"/>
      <c r="CPQ243" s="19"/>
      <c r="CPR243" s="19"/>
      <c r="CPU243" s="16"/>
      <c r="CPV243" s="15"/>
      <c r="CPW243" s="15"/>
      <c r="CPX243" s="15"/>
      <c r="CPY243" s="16"/>
      <c r="CPZ243" s="16"/>
      <c r="CQA243" s="16"/>
      <c r="CQB243" s="16"/>
      <c r="CQC243" s="16"/>
      <c r="CQD243" s="15"/>
      <c r="CQE243" s="15"/>
      <c r="CQF243" s="10"/>
      <c r="CQG243" s="10"/>
      <c r="CQH243" s="19"/>
      <c r="CQI243" s="19"/>
      <c r="CQL243" s="16"/>
      <c r="CQM243" s="15"/>
      <c r="CQN243" s="15"/>
      <c r="CQO243" s="15"/>
      <c r="CQP243" s="16"/>
      <c r="CQQ243" s="16"/>
      <c r="CQR243" s="16"/>
      <c r="CQS243" s="16"/>
      <c r="CQT243" s="16"/>
      <c r="CQU243" s="15"/>
      <c r="CQV243" s="15"/>
      <c r="CQW243" s="10"/>
      <c r="CQX243" s="10"/>
      <c r="CQY243" s="19"/>
      <c r="CQZ243" s="19"/>
      <c r="CRC243" s="16"/>
      <c r="CRD243" s="15"/>
      <c r="CRE243" s="15"/>
      <c r="CRF243" s="15"/>
      <c r="CRG243" s="16"/>
      <c r="CRH243" s="16"/>
      <c r="CRI243" s="16"/>
      <c r="CRJ243" s="16"/>
      <c r="CRK243" s="16"/>
      <c r="CRL243" s="15"/>
      <c r="CRM243" s="15"/>
      <c r="CRN243" s="10"/>
      <c r="CRO243" s="10"/>
      <c r="CRP243" s="19"/>
      <c r="CRQ243" s="19"/>
      <c r="CRT243" s="16"/>
      <c r="CRU243" s="15"/>
      <c r="CRV243" s="15"/>
      <c r="CRW243" s="15"/>
      <c r="CRX243" s="16"/>
      <c r="CRY243" s="16"/>
      <c r="CRZ243" s="16"/>
      <c r="CSA243" s="16"/>
      <c r="CSB243" s="16"/>
      <c r="CSC243" s="15"/>
      <c r="CSD243" s="15"/>
      <c r="CSE243" s="10"/>
      <c r="CSF243" s="10"/>
      <c r="CSG243" s="19"/>
      <c r="CSH243" s="19"/>
      <c r="CSK243" s="16"/>
      <c r="CSL243" s="15"/>
      <c r="CSM243" s="15"/>
      <c r="CSN243" s="15"/>
      <c r="CSO243" s="16"/>
      <c r="CSP243" s="16"/>
      <c r="CSQ243" s="16"/>
      <c r="CSR243" s="16"/>
      <c r="CSS243" s="16"/>
      <c r="CST243" s="15"/>
      <c r="CSU243" s="15"/>
      <c r="CSV243" s="10"/>
      <c r="CSW243" s="10"/>
      <c r="CSX243" s="19"/>
      <c r="CSY243" s="19"/>
      <c r="CTB243" s="16"/>
      <c r="CTC243" s="15"/>
      <c r="CTD243" s="15"/>
      <c r="CTE243" s="15"/>
      <c r="CTF243" s="16"/>
      <c r="CTG243" s="16"/>
      <c r="CTH243" s="16"/>
      <c r="CTI243" s="16"/>
      <c r="CTJ243" s="16"/>
      <c r="CTK243" s="15"/>
      <c r="CTL243" s="15"/>
      <c r="CTM243" s="10"/>
      <c r="CTN243" s="10"/>
      <c r="CTO243" s="19"/>
      <c r="CTP243" s="19"/>
      <c r="CTS243" s="16"/>
      <c r="CTT243" s="15"/>
      <c r="CTU243" s="15"/>
      <c r="CTV243" s="15"/>
      <c r="CTW243" s="16"/>
      <c r="CTX243" s="16"/>
      <c r="CTY243" s="16"/>
      <c r="CTZ243" s="16"/>
      <c r="CUA243" s="16"/>
      <c r="CUB243" s="15"/>
      <c r="CUC243" s="15"/>
      <c r="CUD243" s="10"/>
      <c r="CUE243" s="10"/>
      <c r="CUF243" s="19"/>
      <c r="CUG243" s="19"/>
      <c r="CUJ243" s="16"/>
      <c r="CUK243" s="15"/>
      <c r="CUL243" s="15"/>
      <c r="CUM243" s="15"/>
      <c r="CUN243" s="16"/>
      <c r="CUO243" s="16"/>
      <c r="CUP243" s="16"/>
      <c r="CUQ243" s="16"/>
      <c r="CUR243" s="16"/>
      <c r="CUS243" s="15"/>
      <c r="CUT243" s="15"/>
      <c r="CUU243" s="10"/>
      <c r="CUV243" s="10"/>
      <c r="CUW243" s="19"/>
      <c r="CUX243" s="19"/>
      <c r="CVA243" s="16"/>
      <c r="CVB243" s="15"/>
      <c r="CVC243" s="15"/>
      <c r="CVD243" s="15"/>
      <c r="CVE243" s="16"/>
      <c r="CVF243" s="16"/>
      <c r="CVG243" s="16"/>
      <c r="CVH243" s="16"/>
      <c r="CVI243" s="16"/>
      <c r="CVJ243" s="15"/>
      <c r="CVK243" s="15"/>
      <c r="CVL243" s="10"/>
      <c r="CVM243" s="10"/>
      <c r="CVN243" s="19"/>
      <c r="CVO243" s="19"/>
      <c r="CVR243" s="16"/>
      <c r="CVS243" s="15"/>
      <c r="CVT243" s="15"/>
      <c r="CVU243" s="15"/>
      <c r="CVV243" s="16"/>
      <c r="CVW243" s="16"/>
      <c r="CVX243" s="16"/>
      <c r="CVY243" s="16"/>
      <c r="CVZ243" s="16"/>
      <c r="CWA243" s="15"/>
      <c r="CWB243" s="15"/>
      <c r="CWC243" s="10"/>
      <c r="CWD243" s="10"/>
      <c r="CWE243" s="19"/>
      <c r="CWF243" s="19"/>
      <c r="CWI243" s="16"/>
      <c r="CWJ243" s="15"/>
      <c r="CWK243" s="15"/>
      <c r="CWL243" s="15"/>
      <c r="CWM243" s="16"/>
      <c r="CWN243" s="16"/>
      <c r="CWO243" s="16"/>
      <c r="CWP243" s="16"/>
      <c r="CWQ243" s="16"/>
      <c r="CWR243" s="15"/>
      <c r="CWS243" s="15"/>
      <c r="CWT243" s="10"/>
      <c r="CWU243" s="10"/>
      <c r="CWV243" s="19"/>
      <c r="CWW243" s="19"/>
      <c r="CWZ243" s="16"/>
      <c r="CXA243" s="15"/>
      <c r="CXB243" s="15"/>
      <c r="CXC243" s="15"/>
      <c r="CXD243" s="16"/>
      <c r="CXE243" s="16"/>
      <c r="CXF243" s="16"/>
      <c r="CXG243" s="16"/>
      <c r="CXH243" s="16"/>
      <c r="CXI243" s="15"/>
      <c r="CXJ243" s="15"/>
      <c r="CXK243" s="10"/>
      <c r="CXL243" s="10"/>
      <c r="CXM243" s="19"/>
      <c r="CXN243" s="19"/>
      <c r="CXQ243" s="16"/>
      <c r="CXR243" s="15"/>
      <c r="CXS243" s="15"/>
      <c r="CXT243" s="15"/>
      <c r="CXU243" s="16"/>
      <c r="CXV243" s="16"/>
      <c r="CXW243" s="16"/>
      <c r="CXX243" s="16"/>
      <c r="CXY243" s="16"/>
      <c r="CXZ243" s="15"/>
      <c r="CYA243" s="15"/>
      <c r="CYB243" s="10"/>
      <c r="CYC243" s="10"/>
      <c r="CYD243" s="19"/>
      <c r="CYE243" s="19"/>
      <c r="CYH243" s="16"/>
      <c r="CYI243" s="15"/>
      <c r="CYJ243" s="15"/>
      <c r="CYK243" s="15"/>
      <c r="CYL243" s="16"/>
      <c r="CYM243" s="16"/>
      <c r="CYN243" s="16"/>
      <c r="CYO243" s="16"/>
      <c r="CYP243" s="16"/>
      <c r="CYQ243" s="15"/>
      <c r="CYR243" s="15"/>
      <c r="CYS243" s="10"/>
      <c r="CYT243" s="10"/>
      <c r="CYU243" s="19"/>
      <c r="CYV243" s="19"/>
      <c r="CYY243" s="16"/>
      <c r="CYZ243" s="15"/>
      <c r="CZA243" s="15"/>
      <c r="CZB243" s="15"/>
      <c r="CZC243" s="16"/>
      <c r="CZD243" s="16"/>
      <c r="CZE243" s="16"/>
      <c r="CZF243" s="16"/>
      <c r="CZG243" s="16"/>
      <c r="CZH243" s="15"/>
      <c r="CZI243" s="15"/>
      <c r="CZJ243" s="10"/>
      <c r="CZK243" s="10"/>
      <c r="CZL243" s="19"/>
      <c r="CZM243" s="19"/>
      <c r="CZP243" s="16"/>
      <c r="CZQ243" s="15"/>
      <c r="CZR243" s="15"/>
      <c r="CZS243" s="15"/>
      <c r="CZT243" s="16"/>
      <c r="CZU243" s="16"/>
      <c r="CZV243" s="16"/>
      <c r="CZW243" s="16"/>
      <c r="CZX243" s="16"/>
      <c r="CZY243" s="15"/>
      <c r="CZZ243" s="15"/>
      <c r="DAA243" s="10"/>
      <c r="DAB243" s="10"/>
      <c r="DAC243" s="19"/>
      <c r="DAD243" s="19"/>
      <c r="DAG243" s="16"/>
      <c r="DAH243" s="15"/>
      <c r="DAI243" s="15"/>
      <c r="DAJ243" s="15"/>
      <c r="DAK243" s="16"/>
      <c r="DAL243" s="16"/>
      <c r="DAM243" s="16"/>
      <c r="DAN243" s="16"/>
      <c r="DAO243" s="16"/>
      <c r="DAP243" s="15"/>
      <c r="DAQ243" s="15"/>
      <c r="DAR243" s="10"/>
      <c r="DAS243" s="10"/>
      <c r="DAT243" s="19"/>
      <c r="DAU243" s="19"/>
      <c r="DAX243" s="16"/>
      <c r="DAY243" s="15"/>
      <c r="DAZ243" s="15"/>
      <c r="DBA243" s="15"/>
      <c r="DBB243" s="16"/>
      <c r="DBC243" s="16"/>
      <c r="DBD243" s="16"/>
      <c r="DBE243" s="16"/>
      <c r="DBF243" s="16"/>
      <c r="DBG243" s="15"/>
      <c r="DBH243" s="15"/>
      <c r="DBI243" s="10"/>
      <c r="DBJ243" s="10"/>
      <c r="DBK243" s="19"/>
      <c r="DBL243" s="19"/>
      <c r="DBO243" s="16"/>
      <c r="DBP243" s="15"/>
      <c r="DBQ243" s="15"/>
      <c r="DBR243" s="15"/>
      <c r="DBS243" s="16"/>
      <c r="DBT243" s="16"/>
      <c r="DBU243" s="16"/>
      <c r="DBV243" s="16"/>
      <c r="DBW243" s="16"/>
      <c r="DBX243" s="15"/>
      <c r="DBY243" s="15"/>
      <c r="DBZ243" s="10"/>
      <c r="DCA243" s="10"/>
      <c r="DCB243" s="19"/>
      <c r="DCC243" s="19"/>
      <c r="DCF243" s="16"/>
      <c r="DCG243" s="15"/>
      <c r="DCH243" s="15"/>
      <c r="DCI243" s="15"/>
      <c r="DCJ243" s="16"/>
      <c r="DCK243" s="16"/>
      <c r="DCL243" s="16"/>
      <c r="DCM243" s="16"/>
      <c r="DCN243" s="16"/>
      <c r="DCO243" s="15"/>
      <c r="DCP243" s="15"/>
      <c r="DCQ243" s="10"/>
      <c r="DCR243" s="10"/>
      <c r="DCS243" s="19"/>
      <c r="DCT243" s="19"/>
      <c r="DCW243" s="16"/>
      <c r="DCX243" s="15"/>
      <c r="DCY243" s="15"/>
      <c r="DCZ243" s="15"/>
      <c r="DDA243" s="16"/>
      <c r="DDB243" s="16"/>
      <c r="DDC243" s="16"/>
      <c r="DDD243" s="16"/>
      <c r="DDE243" s="16"/>
      <c r="DDF243" s="15"/>
      <c r="DDG243" s="15"/>
      <c r="DDH243" s="10"/>
      <c r="DDI243" s="10"/>
      <c r="DDJ243" s="19"/>
      <c r="DDK243" s="19"/>
      <c r="DDN243" s="16"/>
      <c r="DDO243" s="15"/>
      <c r="DDP243" s="15"/>
      <c r="DDQ243" s="15"/>
      <c r="DDR243" s="16"/>
      <c r="DDS243" s="16"/>
      <c r="DDT243" s="16"/>
      <c r="DDU243" s="16"/>
      <c r="DDV243" s="16"/>
      <c r="DDW243" s="15"/>
      <c r="DDX243" s="15"/>
      <c r="DDY243" s="10"/>
      <c r="DDZ243" s="10"/>
      <c r="DEA243" s="19"/>
      <c r="DEB243" s="19"/>
      <c r="DEE243" s="16"/>
      <c r="DEF243" s="15"/>
      <c r="DEG243" s="15"/>
      <c r="DEH243" s="15"/>
      <c r="DEI243" s="16"/>
      <c r="DEJ243" s="16"/>
      <c r="DEK243" s="16"/>
      <c r="DEL243" s="16"/>
      <c r="DEM243" s="16"/>
      <c r="DEN243" s="15"/>
      <c r="DEO243" s="15"/>
      <c r="DEP243" s="10"/>
      <c r="DEQ243" s="10"/>
      <c r="DER243" s="19"/>
      <c r="DES243" s="19"/>
      <c r="DEV243" s="16"/>
      <c r="DEW243" s="15"/>
      <c r="DEX243" s="15"/>
      <c r="DEY243" s="15"/>
      <c r="DEZ243" s="16"/>
      <c r="DFA243" s="16"/>
      <c r="DFB243" s="16"/>
      <c r="DFC243" s="16"/>
      <c r="DFD243" s="16"/>
      <c r="DFE243" s="15"/>
      <c r="DFF243" s="15"/>
      <c r="DFG243" s="10"/>
      <c r="DFH243" s="10"/>
      <c r="DFI243" s="19"/>
      <c r="DFJ243" s="19"/>
      <c r="DFM243" s="16"/>
      <c r="DFN243" s="15"/>
      <c r="DFO243" s="15"/>
      <c r="DFP243" s="15"/>
      <c r="DFQ243" s="16"/>
      <c r="DFR243" s="16"/>
      <c r="DFS243" s="16"/>
      <c r="DFT243" s="16"/>
      <c r="DFU243" s="16"/>
      <c r="DFV243" s="15"/>
      <c r="DFW243" s="15"/>
      <c r="DFX243" s="10"/>
      <c r="DFY243" s="10"/>
      <c r="DFZ243" s="19"/>
      <c r="DGA243" s="19"/>
      <c r="DGD243" s="16"/>
      <c r="DGE243" s="15"/>
      <c r="DGF243" s="15"/>
      <c r="DGG243" s="15"/>
      <c r="DGH243" s="16"/>
      <c r="DGI243" s="16"/>
      <c r="DGJ243" s="16"/>
      <c r="DGK243" s="16"/>
      <c r="DGL243" s="16"/>
      <c r="DGM243" s="15"/>
      <c r="DGN243" s="15"/>
      <c r="DGO243" s="10"/>
      <c r="DGP243" s="10"/>
      <c r="DGQ243" s="19"/>
      <c r="DGR243" s="19"/>
      <c r="DGU243" s="16"/>
      <c r="DGV243" s="15"/>
      <c r="DGW243" s="15"/>
      <c r="DGX243" s="15"/>
      <c r="DGY243" s="16"/>
      <c r="DGZ243" s="16"/>
      <c r="DHA243" s="16"/>
      <c r="DHB243" s="16"/>
      <c r="DHC243" s="16"/>
      <c r="DHD243" s="15"/>
      <c r="DHE243" s="15"/>
      <c r="DHF243" s="10"/>
      <c r="DHG243" s="10"/>
      <c r="DHH243" s="19"/>
      <c r="DHI243" s="19"/>
      <c r="DHL243" s="16"/>
      <c r="DHM243" s="15"/>
      <c r="DHN243" s="15"/>
      <c r="DHO243" s="15"/>
      <c r="DHP243" s="16"/>
      <c r="DHQ243" s="16"/>
      <c r="DHR243" s="16"/>
      <c r="DHS243" s="16"/>
      <c r="DHT243" s="16"/>
      <c r="DHU243" s="15"/>
      <c r="DHV243" s="15"/>
      <c r="DHW243" s="10"/>
      <c r="DHX243" s="10"/>
      <c r="DHY243" s="19"/>
      <c r="DHZ243" s="19"/>
      <c r="DIC243" s="16"/>
      <c r="DID243" s="15"/>
      <c r="DIE243" s="15"/>
      <c r="DIF243" s="15"/>
      <c r="DIG243" s="16"/>
      <c r="DIH243" s="16"/>
      <c r="DII243" s="16"/>
      <c r="DIJ243" s="16"/>
      <c r="DIK243" s="16"/>
      <c r="DIL243" s="15"/>
      <c r="DIM243" s="15"/>
      <c r="DIN243" s="10"/>
      <c r="DIO243" s="10"/>
      <c r="DIP243" s="19"/>
      <c r="DIQ243" s="19"/>
      <c r="DIT243" s="16"/>
      <c r="DIU243" s="15"/>
      <c r="DIV243" s="15"/>
      <c r="DIW243" s="15"/>
      <c r="DIX243" s="16"/>
      <c r="DIY243" s="16"/>
      <c r="DIZ243" s="16"/>
      <c r="DJA243" s="16"/>
      <c r="DJB243" s="16"/>
      <c r="DJC243" s="15"/>
      <c r="DJD243" s="15"/>
      <c r="DJE243" s="10"/>
      <c r="DJF243" s="10"/>
      <c r="DJG243" s="19"/>
      <c r="DJH243" s="19"/>
      <c r="DJK243" s="16"/>
      <c r="DJL243" s="15"/>
      <c r="DJM243" s="15"/>
      <c r="DJN243" s="15"/>
      <c r="DJO243" s="16"/>
      <c r="DJP243" s="16"/>
      <c r="DJQ243" s="16"/>
      <c r="DJR243" s="16"/>
      <c r="DJS243" s="16"/>
      <c r="DJT243" s="15"/>
      <c r="DJU243" s="15"/>
      <c r="DJV243" s="10"/>
      <c r="DJW243" s="10"/>
      <c r="DJX243" s="19"/>
      <c r="DJY243" s="19"/>
      <c r="DKB243" s="16"/>
      <c r="DKC243" s="15"/>
      <c r="DKD243" s="15"/>
      <c r="DKE243" s="15"/>
      <c r="DKF243" s="16"/>
      <c r="DKG243" s="16"/>
      <c r="DKH243" s="16"/>
      <c r="DKI243" s="16"/>
      <c r="DKJ243" s="16"/>
      <c r="DKK243" s="15"/>
      <c r="DKL243" s="15"/>
      <c r="DKM243" s="10"/>
      <c r="DKN243" s="10"/>
      <c r="DKO243" s="19"/>
      <c r="DKP243" s="19"/>
      <c r="DKS243" s="16"/>
      <c r="DKT243" s="15"/>
      <c r="DKU243" s="15"/>
      <c r="DKV243" s="15"/>
      <c r="DKW243" s="16"/>
      <c r="DKX243" s="16"/>
      <c r="DKY243" s="16"/>
      <c r="DKZ243" s="16"/>
      <c r="DLA243" s="16"/>
      <c r="DLB243" s="15"/>
      <c r="DLC243" s="15"/>
      <c r="DLD243" s="10"/>
      <c r="DLE243" s="10"/>
      <c r="DLF243" s="19"/>
      <c r="DLG243" s="19"/>
      <c r="DLJ243" s="16"/>
      <c r="DLK243" s="15"/>
      <c r="DLL243" s="15"/>
      <c r="DLM243" s="15"/>
      <c r="DLN243" s="16"/>
      <c r="DLO243" s="16"/>
      <c r="DLP243" s="16"/>
      <c r="DLQ243" s="16"/>
      <c r="DLR243" s="16"/>
      <c r="DLS243" s="15"/>
      <c r="DLT243" s="15"/>
      <c r="DLU243" s="10"/>
      <c r="DLV243" s="10"/>
      <c r="DLW243" s="19"/>
      <c r="DLX243" s="19"/>
      <c r="DMA243" s="16"/>
      <c r="DMB243" s="15"/>
      <c r="DMC243" s="15"/>
      <c r="DMD243" s="15"/>
      <c r="DME243" s="16"/>
      <c r="DMF243" s="16"/>
      <c r="DMG243" s="16"/>
      <c r="DMH243" s="16"/>
      <c r="DMI243" s="16"/>
      <c r="DMJ243" s="15"/>
      <c r="DMK243" s="15"/>
      <c r="DML243" s="10"/>
      <c r="DMM243" s="10"/>
      <c r="DMN243" s="19"/>
      <c r="DMO243" s="19"/>
      <c r="DMR243" s="16"/>
      <c r="DMS243" s="15"/>
      <c r="DMT243" s="15"/>
      <c r="DMU243" s="15"/>
      <c r="DMV243" s="16"/>
      <c r="DMW243" s="16"/>
      <c r="DMX243" s="16"/>
      <c r="DMY243" s="16"/>
      <c r="DMZ243" s="16"/>
      <c r="DNA243" s="15"/>
      <c r="DNB243" s="15"/>
      <c r="DNC243" s="10"/>
      <c r="DND243" s="10"/>
      <c r="DNE243" s="19"/>
      <c r="DNF243" s="19"/>
      <c r="DNI243" s="16"/>
      <c r="DNJ243" s="15"/>
      <c r="DNK243" s="15"/>
      <c r="DNL243" s="15"/>
      <c r="DNM243" s="16"/>
      <c r="DNN243" s="16"/>
      <c r="DNO243" s="16"/>
      <c r="DNP243" s="16"/>
      <c r="DNQ243" s="16"/>
      <c r="DNR243" s="15"/>
      <c r="DNS243" s="15"/>
      <c r="DNT243" s="10"/>
      <c r="DNU243" s="10"/>
      <c r="DNV243" s="19"/>
      <c r="DNW243" s="19"/>
      <c r="DNZ243" s="16"/>
      <c r="DOA243" s="15"/>
      <c r="DOB243" s="15"/>
      <c r="DOC243" s="15"/>
      <c r="DOD243" s="16"/>
      <c r="DOE243" s="16"/>
      <c r="DOF243" s="16"/>
      <c r="DOG243" s="16"/>
      <c r="DOH243" s="16"/>
      <c r="DOI243" s="15"/>
      <c r="DOJ243" s="15"/>
      <c r="DOK243" s="10"/>
      <c r="DOL243" s="10"/>
      <c r="DOM243" s="19"/>
      <c r="DON243" s="19"/>
      <c r="DOQ243" s="16"/>
      <c r="DOR243" s="15"/>
      <c r="DOS243" s="15"/>
      <c r="DOT243" s="15"/>
      <c r="DOU243" s="16"/>
      <c r="DOV243" s="16"/>
      <c r="DOW243" s="16"/>
      <c r="DOX243" s="16"/>
      <c r="DOY243" s="16"/>
      <c r="DOZ243" s="15"/>
      <c r="DPA243" s="15"/>
      <c r="DPB243" s="10"/>
      <c r="DPC243" s="10"/>
      <c r="DPD243" s="19"/>
      <c r="DPE243" s="19"/>
      <c r="DPH243" s="16"/>
      <c r="DPI243" s="15"/>
      <c r="DPJ243" s="15"/>
      <c r="DPK243" s="15"/>
      <c r="DPL243" s="16"/>
      <c r="DPM243" s="16"/>
      <c r="DPN243" s="16"/>
      <c r="DPO243" s="16"/>
      <c r="DPP243" s="16"/>
      <c r="DPQ243" s="15"/>
      <c r="DPR243" s="15"/>
      <c r="DPS243" s="10"/>
      <c r="DPT243" s="10"/>
      <c r="DPU243" s="19"/>
      <c r="DPV243" s="19"/>
      <c r="DPY243" s="16"/>
      <c r="DPZ243" s="15"/>
      <c r="DQA243" s="15"/>
      <c r="DQB243" s="15"/>
      <c r="DQC243" s="16"/>
      <c r="DQD243" s="16"/>
      <c r="DQE243" s="16"/>
      <c r="DQF243" s="16"/>
      <c r="DQG243" s="16"/>
      <c r="DQH243" s="15"/>
      <c r="DQI243" s="15"/>
      <c r="DQJ243" s="10"/>
      <c r="DQK243" s="10"/>
      <c r="DQL243" s="19"/>
      <c r="DQM243" s="19"/>
      <c r="DQP243" s="16"/>
      <c r="DQQ243" s="15"/>
      <c r="DQR243" s="15"/>
      <c r="DQS243" s="15"/>
      <c r="DQT243" s="16"/>
      <c r="DQU243" s="16"/>
      <c r="DQV243" s="16"/>
      <c r="DQW243" s="16"/>
      <c r="DQX243" s="16"/>
      <c r="DQY243" s="15"/>
      <c r="DQZ243" s="15"/>
      <c r="DRA243" s="10"/>
      <c r="DRB243" s="10"/>
      <c r="DRC243" s="19"/>
      <c r="DRD243" s="19"/>
      <c r="DRG243" s="16"/>
      <c r="DRH243" s="15"/>
      <c r="DRI243" s="15"/>
      <c r="DRJ243" s="15"/>
      <c r="DRK243" s="16"/>
      <c r="DRL243" s="16"/>
      <c r="DRM243" s="16"/>
      <c r="DRN243" s="16"/>
      <c r="DRO243" s="16"/>
      <c r="DRP243" s="15"/>
      <c r="DRQ243" s="15"/>
      <c r="DRR243" s="10"/>
      <c r="DRS243" s="10"/>
      <c r="DRT243" s="19"/>
      <c r="DRU243" s="19"/>
      <c r="DRX243" s="16"/>
      <c r="DRY243" s="15"/>
      <c r="DRZ243" s="15"/>
      <c r="DSA243" s="15"/>
      <c r="DSB243" s="16"/>
      <c r="DSC243" s="16"/>
      <c r="DSD243" s="16"/>
      <c r="DSE243" s="16"/>
      <c r="DSF243" s="16"/>
      <c r="DSG243" s="15"/>
      <c r="DSH243" s="15"/>
      <c r="DSI243" s="10"/>
      <c r="DSJ243" s="10"/>
      <c r="DSK243" s="19"/>
      <c r="DSL243" s="19"/>
      <c r="DSO243" s="16"/>
      <c r="DSP243" s="15"/>
      <c r="DSQ243" s="15"/>
      <c r="DSR243" s="15"/>
      <c r="DSS243" s="16"/>
      <c r="DST243" s="16"/>
      <c r="DSU243" s="16"/>
      <c r="DSV243" s="16"/>
      <c r="DSW243" s="16"/>
      <c r="DSX243" s="15"/>
      <c r="DSY243" s="15"/>
      <c r="DSZ243" s="10"/>
      <c r="DTA243" s="10"/>
      <c r="DTB243" s="19"/>
      <c r="DTC243" s="19"/>
      <c r="DTF243" s="16"/>
      <c r="DTG243" s="15"/>
      <c r="DTH243" s="15"/>
      <c r="DTI243" s="15"/>
      <c r="DTJ243" s="16"/>
      <c r="DTK243" s="16"/>
      <c r="DTL243" s="16"/>
      <c r="DTM243" s="16"/>
      <c r="DTN243" s="16"/>
      <c r="DTO243" s="15"/>
      <c r="DTP243" s="15"/>
      <c r="DTQ243" s="10"/>
      <c r="DTR243" s="10"/>
      <c r="DTS243" s="19"/>
      <c r="DTT243" s="19"/>
      <c r="DTW243" s="16"/>
      <c r="DTX243" s="15"/>
      <c r="DTY243" s="15"/>
      <c r="DTZ243" s="15"/>
      <c r="DUA243" s="16"/>
      <c r="DUB243" s="16"/>
      <c r="DUC243" s="16"/>
      <c r="DUD243" s="16"/>
      <c r="DUE243" s="16"/>
      <c r="DUF243" s="15"/>
      <c r="DUG243" s="15"/>
      <c r="DUH243" s="10"/>
      <c r="DUI243" s="10"/>
      <c r="DUJ243" s="19"/>
      <c r="DUK243" s="19"/>
      <c r="DUN243" s="16"/>
      <c r="DUO243" s="15"/>
      <c r="DUP243" s="15"/>
      <c r="DUQ243" s="15"/>
      <c r="DUR243" s="16"/>
      <c r="DUS243" s="16"/>
      <c r="DUT243" s="16"/>
      <c r="DUU243" s="16"/>
      <c r="DUV243" s="16"/>
      <c r="DUW243" s="15"/>
      <c r="DUX243" s="15"/>
      <c r="DUY243" s="10"/>
      <c r="DUZ243" s="10"/>
      <c r="DVA243" s="19"/>
      <c r="DVB243" s="19"/>
      <c r="DVE243" s="16"/>
      <c r="DVF243" s="15"/>
      <c r="DVG243" s="15"/>
      <c r="DVH243" s="15"/>
      <c r="DVI243" s="16"/>
      <c r="DVJ243" s="16"/>
      <c r="DVK243" s="16"/>
      <c r="DVL243" s="16"/>
      <c r="DVM243" s="16"/>
      <c r="DVN243" s="15"/>
      <c r="DVO243" s="15"/>
      <c r="DVP243" s="10"/>
      <c r="DVQ243" s="10"/>
      <c r="DVR243" s="19"/>
      <c r="DVS243" s="19"/>
      <c r="DVV243" s="16"/>
      <c r="DVW243" s="15"/>
      <c r="DVX243" s="15"/>
      <c r="DVY243" s="15"/>
      <c r="DVZ243" s="16"/>
      <c r="DWA243" s="16"/>
      <c r="DWB243" s="16"/>
      <c r="DWC243" s="16"/>
      <c r="DWD243" s="16"/>
      <c r="DWE243" s="15"/>
      <c r="DWF243" s="15"/>
      <c r="DWG243" s="10"/>
      <c r="DWH243" s="10"/>
      <c r="DWI243" s="19"/>
      <c r="DWJ243" s="19"/>
      <c r="DWM243" s="16"/>
      <c r="DWN243" s="15"/>
      <c r="DWO243" s="15"/>
      <c r="DWP243" s="15"/>
      <c r="DWQ243" s="16"/>
      <c r="DWR243" s="16"/>
      <c r="DWS243" s="16"/>
      <c r="DWT243" s="16"/>
      <c r="DWU243" s="16"/>
      <c r="DWV243" s="15"/>
      <c r="DWW243" s="15"/>
      <c r="DWX243" s="10"/>
      <c r="DWY243" s="10"/>
      <c r="DWZ243" s="19"/>
      <c r="DXA243" s="19"/>
      <c r="DXD243" s="16"/>
      <c r="DXE243" s="15"/>
      <c r="DXF243" s="15"/>
      <c r="DXG243" s="15"/>
      <c r="DXH243" s="16"/>
      <c r="DXI243" s="16"/>
      <c r="DXJ243" s="16"/>
      <c r="DXK243" s="16"/>
      <c r="DXL243" s="16"/>
      <c r="DXM243" s="15"/>
      <c r="DXN243" s="15"/>
      <c r="DXO243" s="10"/>
      <c r="DXP243" s="10"/>
      <c r="DXQ243" s="19"/>
      <c r="DXR243" s="19"/>
      <c r="DXU243" s="16"/>
      <c r="DXV243" s="15"/>
      <c r="DXW243" s="15"/>
      <c r="DXX243" s="15"/>
      <c r="DXY243" s="16"/>
      <c r="DXZ243" s="16"/>
      <c r="DYA243" s="16"/>
      <c r="DYB243" s="16"/>
      <c r="DYC243" s="16"/>
      <c r="DYD243" s="15"/>
      <c r="DYE243" s="15"/>
      <c r="DYF243" s="10"/>
      <c r="DYG243" s="10"/>
      <c r="DYH243" s="19"/>
      <c r="DYI243" s="19"/>
      <c r="DYL243" s="16"/>
      <c r="DYM243" s="15"/>
      <c r="DYN243" s="15"/>
      <c r="DYO243" s="15"/>
      <c r="DYP243" s="16"/>
      <c r="DYQ243" s="16"/>
      <c r="DYR243" s="16"/>
      <c r="DYS243" s="16"/>
      <c r="DYT243" s="16"/>
      <c r="DYU243" s="15"/>
      <c r="DYV243" s="15"/>
      <c r="DYW243" s="10"/>
      <c r="DYX243" s="10"/>
      <c r="DYY243" s="19"/>
      <c r="DYZ243" s="19"/>
      <c r="DZC243" s="16"/>
      <c r="DZD243" s="15"/>
      <c r="DZE243" s="15"/>
      <c r="DZF243" s="15"/>
      <c r="DZG243" s="16"/>
      <c r="DZH243" s="16"/>
      <c r="DZI243" s="16"/>
      <c r="DZJ243" s="16"/>
      <c r="DZK243" s="16"/>
      <c r="DZL243" s="15"/>
      <c r="DZM243" s="15"/>
      <c r="DZN243" s="10"/>
      <c r="DZO243" s="10"/>
      <c r="DZP243" s="19"/>
      <c r="DZQ243" s="19"/>
      <c r="DZT243" s="16"/>
      <c r="DZU243" s="15"/>
      <c r="DZV243" s="15"/>
      <c r="DZW243" s="15"/>
      <c r="DZX243" s="16"/>
      <c r="DZY243" s="16"/>
      <c r="DZZ243" s="16"/>
      <c r="EAA243" s="16"/>
      <c r="EAB243" s="16"/>
      <c r="EAC243" s="15"/>
      <c r="EAD243" s="15"/>
      <c r="EAE243" s="10"/>
      <c r="EAF243" s="10"/>
      <c r="EAG243" s="19"/>
      <c r="EAH243" s="19"/>
      <c r="EAK243" s="16"/>
      <c r="EAL243" s="15"/>
      <c r="EAM243" s="15"/>
      <c r="EAN243" s="15"/>
      <c r="EAO243" s="16"/>
      <c r="EAP243" s="16"/>
      <c r="EAQ243" s="16"/>
      <c r="EAR243" s="16"/>
      <c r="EAS243" s="16"/>
      <c r="EAT243" s="15"/>
      <c r="EAU243" s="15"/>
      <c r="EAV243" s="10"/>
      <c r="EAW243" s="10"/>
      <c r="EAX243" s="19"/>
      <c r="EAY243" s="19"/>
      <c r="EBB243" s="16"/>
      <c r="EBC243" s="15"/>
      <c r="EBD243" s="15"/>
      <c r="EBE243" s="15"/>
      <c r="EBF243" s="16"/>
      <c r="EBG243" s="16"/>
      <c r="EBH243" s="16"/>
      <c r="EBI243" s="16"/>
      <c r="EBJ243" s="16"/>
      <c r="EBK243" s="15"/>
      <c r="EBL243" s="15"/>
      <c r="EBM243" s="10"/>
      <c r="EBN243" s="10"/>
      <c r="EBO243" s="19"/>
      <c r="EBP243" s="19"/>
      <c r="EBS243" s="16"/>
      <c r="EBT243" s="15"/>
      <c r="EBU243" s="15"/>
      <c r="EBV243" s="15"/>
      <c r="EBW243" s="16"/>
      <c r="EBX243" s="16"/>
      <c r="EBY243" s="16"/>
      <c r="EBZ243" s="16"/>
      <c r="ECA243" s="16"/>
      <c r="ECB243" s="15"/>
      <c r="ECC243" s="15"/>
      <c r="ECD243" s="10"/>
      <c r="ECE243" s="10"/>
      <c r="ECF243" s="19"/>
      <c r="ECG243" s="19"/>
      <c r="ECJ243" s="16"/>
      <c r="ECK243" s="15"/>
      <c r="ECL243" s="15"/>
      <c r="ECM243" s="15"/>
      <c r="ECN243" s="16"/>
      <c r="ECO243" s="16"/>
      <c r="ECP243" s="16"/>
      <c r="ECQ243" s="16"/>
      <c r="ECR243" s="16"/>
      <c r="ECS243" s="15"/>
      <c r="ECT243" s="15"/>
      <c r="ECU243" s="10"/>
      <c r="ECV243" s="10"/>
      <c r="ECW243" s="19"/>
      <c r="ECX243" s="19"/>
      <c r="EDA243" s="16"/>
      <c r="EDB243" s="15"/>
      <c r="EDC243" s="15"/>
      <c r="EDD243" s="15"/>
      <c r="EDE243" s="16"/>
      <c r="EDF243" s="16"/>
      <c r="EDG243" s="16"/>
      <c r="EDH243" s="16"/>
      <c r="EDI243" s="16"/>
      <c r="EDJ243" s="15"/>
      <c r="EDK243" s="15"/>
      <c r="EDL243" s="10"/>
      <c r="EDM243" s="10"/>
      <c r="EDN243" s="19"/>
      <c r="EDO243" s="19"/>
      <c r="EDR243" s="16"/>
      <c r="EDS243" s="15"/>
      <c r="EDT243" s="15"/>
      <c r="EDU243" s="15"/>
      <c r="EDV243" s="16"/>
      <c r="EDW243" s="16"/>
      <c r="EDX243" s="16"/>
      <c r="EDY243" s="16"/>
      <c r="EDZ243" s="16"/>
      <c r="EEA243" s="15"/>
      <c r="EEB243" s="15"/>
      <c r="EEC243" s="10"/>
      <c r="EED243" s="10"/>
      <c r="EEE243" s="19"/>
      <c r="EEF243" s="19"/>
      <c r="EEI243" s="16"/>
      <c r="EEJ243" s="15"/>
      <c r="EEK243" s="15"/>
      <c r="EEL243" s="15"/>
      <c r="EEM243" s="16"/>
      <c r="EEN243" s="16"/>
      <c r="EEO243" s="16"/>
      <c r="EEP243" s="16"/>
      <c r="EEQ243" s="16"/>
      <c r="EER243" s="15"/>
      <c r="EES243" s="15"/>
      <c r="EET243" s="10"/>
      <c r="EEU243" s="10"/>
      <c r="EEV243" s="19"/>
      <c r="EEW243" s="19"/>
      <c r="EEZ243" s="16"/>
      <c r="EFA243" s="15"/>
      <c r="EFB243" s="15"/>
      <c r="EFC243" s="15"/>
      <c r="EFD243" s="16"/>
      <c r="EFE243" s="16"/>
      <c r="EFF243" s="16"/>
      <c r="EFG243" s="16"/>
      <c r="EFH243" s="16"/>
      <c r="EFI243" s="15"/>
      <c r="EFJ243" s="15"/>
      <c r="EFK243" s="10"/>
      <c r="EFL243" s="10"/>
      <c r="EFM243" s="19"/>
      <c r="EFN243" s="19"/>
      <c r="EFQ243" s="16"/>
      <c r="EFR243" s="15"/>
      <c r="EFS243" s="15"/>
      <c r="EFT243" s="15"/>
      <c r="EFU243" s="16"/>
      <c r="EFV243" s="16"/>
      <c r="EFW243" s="16"/>
      <c r="EFX243" s="16"/>
      <c r="EFY243" s="16"/>
      <c r="EFZ243" s="15"/>
      <c r="EGA243" s="15"/>
      <c r="EGB243" s="10"/>
      <c r="EGC243" s="10"/>
      <c r="EGD243" s="19"/>
      <c r="EGE243" s="19"/>
      <c r="EGH243" s="16"/>
      <c r="EGI243" s="15"/>
      <c r="EGJ243" s="15"/>
      <c r="EGK243" s="15"/>
      <c r="EGL243" s="16"/>
      <c r="EGM243" s="16"/>
      <c r="EGN243" s="16"/>
      <c r="EGO243" s="16"/>
      <c r="EGP243" s="16"/>
      <c r="EGQ243" s="15"/>
      <c r="EGR243" s="15"/>
      <c r="EGS243" s="10"/>
      <c r="EGT243" s="10"/>
      <c r="EGU243" s="19"/>
      <c r="EGV243" s="19"/>
      <c r="EGY243" s="16"/>
      <c r="EGZ243" s="15"/>
      <c r="EHA243" s="15"/>
      <c r="EHB243" s="15"/>
      <c r="EHC243" s="16"/>
      <c r="EHD243" s="16"/>
      <c r="EHE243" s="16"/>
      <c r="EHF243" s="16"/>
      <c r="EHG243" s="16"/>
      <c r="EHH243" s="15"/>
      <c r="EHI243" s="15"/>
      <c r="EHJ243" s="10"/>
      <c r="EHK243" s="10"/>
      <c r="EHL243" s="19"/>
      <c r="EHM243" s="19"/>
      <c r="EHP243" s="16"/>
      <c r="EHQ243" s="15"/>
      <c r="EHR243" s="15"/>
      <c r="EHS243" s="15"/>
      <c r="EHT243" s="16"/>
      <c r="EHU243" s="16"/>
      <c r="EHV243" s="16"/>
      <c r="EHW243" s="16"/>
      <c r="EHX243" s="16"/>
      <c r="EHY243" s="15"/>
      <c r="EHZ243" s="15"/>
      <c r="EIA243" s="10"/>
      <c r="EIB243" s="10"/>
      <c r="EIC243" s="19"/>
      <c r="EID243" s="19"/>
      <c r="EIG243" s="16"/>
      <c r="EIH243" s="15"/>
      <c r="EII243" s="15"/>
      <c r="EIJ243" s="15"/>
      <c r="EIK243" s="16"/>
      <c r="EIL243" s="16"/>
      <c r="EIM243" s="16"/>
      <c r="EIN243" s="16"/>
      <c r="EIO243" s="16"/>
      <c r="EIP243" s="15"/>
      <c r="EIQ243" s="15"/>
      <c r="EIR243" s="10"/>
      <c r="EIS243" s="10"/>
      <c r="EIT243" s="19"/>
      <c r="EIU243" s="19"/>
      <c r="EIX243" s="16"/>
      <c r="EIY243" s="15"/>
      <c r="EIZ243" s="15"/>
      <c r="EJA243" s="15"/>
      <c r="EJB243" s="16"/>
      <c r="EJC243" s="16"/>
      <c r="EJD243" s="16"/>
      <c r="EJE243" s="16"/>
      <c r="EJF243" s="16"/>
      <c r="EJG243" s="15"/>
      <c r="EJH243" s="15"/>
      <c r="EJI243" s="10"/>
      <c r="EJJ243" s="10"/>
      <c r="EJK243" s="19"/>
      <c r="EJL243" s="19"/>
      <c r="EJO243" s="16"/>
      <c r="EJP243" s="15"/>
      <c r="EJQ243" s="15"/>
      <c r="EJR243" s="15"/>
      <c r="EJS243" s="16"/>
      <c r="EJT243" s="16"/>
      <c r="EJU243" s="16"/>
      <c r="EJV243" s="16"/>
      <c r="EJW243" s="16"/>
      <c r="EJX243" s="15"/>
      <c r="EJY243" s="15"/>
      <c r="EJZ243" s="10"/>
      <c r="EKA243" s="10"/>
      <c r="EKB243" s="19"/>
      <c r="EKC243" s="19"/>
      <c r="EKF243" s="16"/>
      <c r="EKG243" s="15"/>
      <c r="EKH243" s="15"/>
      <c r="EKI243" s="15"/>
      <c r="EKJ243" s="16"/>
      <c r="EKK243" s="16"/>
      <c r="EKL243" s="16"/>
      <c r="EKM243" s="16"/>
      <c r="EKN243" s="16"/>
      <c r="EKO243" s="15"/>
      <c r="EKP243" s="15"/>
      <c r="EKQ243" s="10"/>
      <c r="EKR243" s="10"/>
      <c r="EKS243" s="19"/>
      <c r="EKT243" s="19"/>
      <c r="EKW243" s="16"/>
      <c r="EKX243" s="15"/>
      <c r="EKY243" s="15"/>
      <c r="EKZ243" s="15"/>
      <c r="ELA243" s="16"/>
      <c r="ELB243" s="16"/>
      <c r="ELC243" s="16"/>
      <c r="ELD243" s="16"/>
      <c r="ELE243" s="16"/>
      <c r="ELF243" s="15"/>
      <c r="ELG243" s="15"/>
      <c r="ELH243" s="10"/>
      <c r="ELI243" s="10"/>
      <c r="ELJ243" s="19"/>
      <c r="ELK243" s="19"/>
      <c r="ELN243" s="16"/>
      <c r="ELO243" s="15"/>
      <c r="ELP243" s="15"/>
      <c r="ELQ243" s="15"/>
      <c r="ELR243" s="16"/>
      <c r="ELS243" s="16"/>
      <c r="ELT243" s="16"/>
      <c r="ELU243" s="16"/>
      <c r="ELV243" s="16"/>
      <c r="ELW243" s="15"/>
      <c r="ELX243" s="15"/>
      <c r="ELY243" s="10"/>
      <c r="ELZ243" s="10"/>
      <c r="EMA243" s="19"/>
      <c r="EMB243" s="19"/>
      <c r="EME243" s="16"/>
      <c r="EMF243" s="15"/>
      <c r="EMG243" s="15"/>
      <c r="EMH243" s="15"/>
      <c r="EMI243" s="16"/>
      <c r="EMJ243" s="16"/>
      <c r="EMK243" s="16"/>
      <c r="EML243" s="16"/>
      <c r="EMM243" s="16"/>
      <c r="EMN243" s="15"/>
      <c r="EMO243" s="15"/>
      <c r="EMP243" s="10"/>
      <c r="EMQ243" s="10"/>
      <c r="EMR243" s="19"/>
      <c r="EMS243" s="19"/>
      <c r="EMV243" s="16"/>
      <c r="EMW243" s="15"/>
      <c r="EMX243" s="15"/>
      <c r="EMY243" s="15"/>
      <c r="EMZ243" s="16"/>
      <c r="ENA243" s="16"/>
      <c r="ENB243" s="16"/>
      <c r="ENC243" s="16"/>
      <c r="END243" s="16"/>
      <c r="ENE243" s="15"/>
      <c r="ENF243" s="15"/>
      <c r="ENG243" s="10"/>
      <c r="ENH243" s="10"/>
      <c r="ENI243" s="19"/>
      <c r="ENJ243" s="19"/>
      <c r="ENM243" s="16"/>
      <c r="ENN243" s="15"/>
      <c r="ENO243" s="15"/>
      <c r="ENP243" s="15"/>
      <c r="ENQ243" s="16"/>
      <c r="ENR243" s="16"/>
      <c r="ENS243" s="16"/>
      <c r="ENT243" s="16"/>
      <c r="ENU243" s="16"/>
      <c r="ENV243" s="15"/>
      <c r="ENW243" s="15"/>
      <c r="ENX243" s="10"/>
      <c r="ENY243" s="10"/>
      <c r="ENZ243" s="19"/>
      <c r="EOA243" s="19"/>
      <c r="EOD243" s="16"/>
      <c r="EOE243" s="15"/>
      <c r="EOF243" s="15"/>
      <c r="EOG243" s="15"/>
      <c r="EOH243" s="16"/>
      <c r="EOI243" s="16"/>
      <c r="EOJ243" s="16"/>
      <c r="EOK243" s="16"/>
      <c r="EOL243" s="16"/>
      <c r="EOM243" s="15"/>
      <c r="EON243" s="15"/>
      <c r="EOO243" s="10"/>
      <c r="EOP243" s="10"/>
      <c r="EOQ243" s="19"/>
      <c r="EOR243" s="19"/>
      <c r="EOU243" s="16"/>
      <c r="EOV243" s="15"/>
      <c r="EOW243" s="15"/>
      <c r="EOX243" s="15"/>
      <c r="EOY243" s="16"/>
      <c r="EOZ243" s="16"/>
      <c r="EPA243" s="16"/>
      <c r="EPB243" s="16"/>
      <c r="EPC243" s="16"/>
      <c r="EPD243" s="15"/>
      <c r="EPE243" s="15"/>
      <c r="EPF243" s="10"/>
      <c r="EPG243" s="10"/>
      <c r="EPH243" s="19"/>
      <c r="EPI243" s="19"/>
      <c r="EPL243" s="16"/>
      <c r="EPM243" s="15"/>
      <c r="EPN243" s="15"/>
      <c r="EPO243" s="15"/>
      <c r="EPP243" s="16"/>
      <c r="EPQ243" s="16"/>
      <c r="EPR243" s="16"/>
      <c r="EPS243" s="16"/>
      <c r="EPT243" s="16"/>
      <c r="EPU243" s="15"/>
      <c r="EPV243" s="15"/>
      <c r="EPW243" s="10"/>
      <c r="EPX243" s="10"/>
      <c r="EPY243" s="19"/>
      <c r="EPZ243" s="19"/>
      <c r="EQC243" s="16"/>
      <c r="EQD243" s="15"/>
      <c r="EQE243" s="15"/>
      <c r="EQF243" s="15"/>
      <c r="EQG243" s="16"/>
      <c r="EQH243" s="16"/>
      <c r="EQI243" s="16"/>
      <c r="EQJ243" s="16"/>
      <c r="EQK243" s="16"/>
      <c r="EQL243" s="15"/>
      <c r="EQM243" s="15"/>
      <c r="EQN243" s="10"/>
      <c r="EQO243" s="10"/>
      <c r="EQP243" s="19"/>
      <c r="EQQ243" s="19"/>
      <c r="EQT243" s="16"/>
      <c r="EQU243" s="15"/>
      <c r="EQV243" s="15"/>
      <c r="EQW243" s="15"/>
      <c r="EQX243" s="16"/>
      <c r="EQY243" s="16"/>
      <c r="EQZ243" s="16"/>
      <c r="ERA243" s="16"/>
      <c r="ERB243" s="16"/>
      <c r="ERC243" s="15"/>
      <c r="ERD243" s="15"/>
      <c r="ERE243" s="10"/>
      <c r="ERF243" s="10"/>
      <c r="ERG243" s="19"/>
      <c r="ERH243" s="19"/>
      <c r="ERK243" s="16"/>
      <c r="ERL243" s="15"/>
      <c r="ERM243" s="15"/>
      <c r="ERN243" s="15"/>
      <c r="ERO243" s="16"/>
      <c r="ERP243" s="16"/>
      <c r="ERQ243" s="16"/>
      <c r="ERR243" s="16"/>
      <c r="ERS243" s="16"/>
      <c r="ERT243" s="15"/>
      <c r="ERU243" s="15"/>
      <c r="ERV243" s="10"/>
      <c r="ERW243" s="10"/>
      <c r="ERX243" s="19"/>
      <c r="ERY243" s="19"/>
      <c r="ESB243" s="16"/>
      <c r="ESC243" s="15"/>
      <c r="ESD243" s="15"/>
      <c r="ESE243" s="15"/>
      <c r="ESF243" s="16"/>
      <c r="ESG243" s="16"/>
      <c r="ESH243" s="16"/>
      <c r="ESI243" s="16"/>
      <c r="ESJ243" s="16"/>
      <c r="ESK243" s="15"/>
      <c r="ESL243" s="15"/>
      <c r="ESM243" s="10"/>
      <c r="ESN243" s="10"/>
      <c r="ESO243" s="19"/>
      <c r="ESP243" s="19"/>
      <c r="ESS243" s="16"/>
      <c r="EST243" s="15"/>
      <c r="ESU243" s="15"/>
      <c r="ESV243" s="15"/>
      <c r="ESW243" s="16"/>
      <c r="ESX243" s="16"/>
      <c r="ESY243" s="16"/>
      <c r="ESZ243" s="16"/>
      <c r="ETA243" s="16"/>
      <c r="ETB243" s="15"/>
      <c r="ETC243" s="15"/>
      <c r="ETD243" s="10"/>
      <c r="ETE243" s="10"/>
      <c r="ETF243" s="19"/>
      <c r="ETG243" s="19"/>
      <c r="ETJ243" s="16"/>
      <c r="ETK243" s="15"/>
      <c r="ETL243" s="15"/>
      <c r="ETM243" s="15"/>
      <c r="ETN243" s="16"/>
      <c r="ETO243" s="16"/>
      <c r="ETP243" s="16"/>
      <c r="ETQ243" s="16"/>
      <c r="ETR243" s="16"/>
      <c r="ETS243" s="15"/>
      <c r="ETT243" s="15"/>
      <c r="ETU243" s="10"/>
      <c r="ETV243" s="10"/>
      <c r="ETW243" s="19"/>
      <c r="ETX243" s="19"/>
      <c r="EUA243" s="16"/>
      <c r="EUB243" s="15"/>
      <c r="EUC243" s="15"/>
      <c r="EUD243" s="15"/>
      <c r="EUE243" s="16"/>
      <c r="EUF243" s="16"/>
      <c r="EUG243" s="16"/>
      <c r="EUH243" s="16"/>
      <c r="EUI243" s="16"/>
      <c r="EUJ243" s="15"/>
      <c r="EUK243" s="15"/>
      <c r="EUL243" s="10"/>
      <c r="EUM243" s="10"/>
      <c r="EUN243" s="19"/>
      <c r="EUO243" s="19"/>
      <c r="EUR243" s="16"/>
      <c r="EUS243" s="15"/>
      <c r="EUT243" s="15"/>
      <c r="EUU243" s="15"/>
      <c r="EUV243" s="16"/>
      <c r="EUW243" s="16"/>
      <c r="EUX243" s="16"/>
      <c r="EUY243" s="16"/>
      <c r="EUZ243" s="16"/>
      <c r="EVA243" s="15"/>
      <c r="EVB243" s="15"/>
      <c r="EVC243" s="10"/>
      <c r="EVD243" s="10"/>
      <c r="EVE243" s="19"/>
      <c r="EVF243" s="19"/>
      <c r="EVI243" s="16"/>
      <c r="EVJ243" s="15"/>
      <c r="EVK243" s="15"/>
      <c r="EVL243" s="15"/>
      <c r="EVM243" s="16"/>
      <c r="EVN243" s="16"/>
      <c r="EVO243" s="16"/>
      <c r="EVP243" s="16"/>
      <c r="EVQ243" s="16"/>
      <c r="EVR243" s="15"/>
      <c r="EVS243" s="15"/>
      <c r="EVT243" s="10"/>
      <c r="EVU243" s="10"/>
      <c r="EVV243" s="19"/>
      <c r="EVW243" s="19"/>
      <c r="EVZ243" s="16"/>
      <c r="EWA243" s="15"/>
      <c r="EWB243" s="15"/>
      <c r="EWC243" s="15"/>
      <c r="EWD243" s="16"/>
      <c r="EWE243" s="16"/>
      <c r="EWF243" s="16"/>
      <c r="EWG243" s="16"/>
      <c r="EWH243" s="16"/>
      <c r="EWI243" s="15"/>
      <c r="EWJ243" s="15"/>
      <c r="EWK243" s="10"/>
      <c r="EWL243" s="10"/>
      <c r="EWM243" s="19"/>
      <c r="EWN243" s="19"/>
      <c r="EWQ243" s="16"/>
      <c r="EWR243" s="15"/>
      <c r="EWS243" s="15"/>
      <c r="EWT243" s="15"/>
      <c r="EWU243" s="16"/>
      <c r="EWV243" s="16"/>
      <c r="EWW243" s="16"/>
      <c r="EWX243" s="16"/>
      <c r="EWY243" s="16"/>
      <c r="EWZ243" s="15"/>
      <c r="EXA243" s="15"/>
      <c r="EXB243" s="10"/>
      <c r="EXC243" s="10"/>
      <c r="EXD243" s="19"/>
      <c r="EXE243" s="19"/>
      <c r="EXH243" s="16"/>
      <c r="EXI243" s="15"/>
      <c r="EXJ243" s="15"/>
      <c r="EXK243" s="15"/>
      <c r="EXL243" s="16"/>
      <c r="EXM243" s="16"/>
      <c r="EXN243" s="16"/>
      <c r="EXO243" s="16"/>
      <c r="EXP243" s="16"/>
      <c r="EXQ243" s="15"/>
      <c r="EXR243" s="15"/>
      <c r="EXS243" s="10"/>
      <c r="EXT243" s="10"/>
      <c r="EXU243" s="19"/>
      <c r="EXV243" s="19"/>
      <c r="EXY243" s="16"/>
      <c r="EXZ243" s="15"/>
      <c r="EYA243" s="15"/>
      <c r="EYB243" s="15"/>
      <c r="EYC243" s="16"/>
      <c r="EYD243" s="16"/>
      <c r="EYE243" s="16"/>
      <c r="EYF243" s="16"/>
      <c r="EYG243" s="16"/>
      <c r="EYH243" s="15"/>
      <c r="EYI243" s="15"/>
      <c r="EYJ243" s="10"/>
      <c r="EYK243" s="10"/>
      <c r="EYL243" s="19"/>
      <c r="EYM243" s="19"/>
      <c r="EYP243" s="16"/>
      <c r="EYQ243" s="15"/>
      <c r="EYR243" s="15"/>
      <c r="EYS243" s="15"/>
      <c r="EYT243" s="16"/>
      <c r="EYU243" s="16"/>
      <c r="EYV243" s="16"/>
      <c r="EYW243" s="16"/>
      <c r="EYX243" s="16"/>
      <c r="EYY243" s="15"/>
      <c r="EYZ243" s="15"/>
      <c r="EZA243" s="10"/>
      <c r="EZB243" s="10"/>
      <c r="EZC243" s="19"/>
      <c r="EZD243" s="19"/>
      <c r="EZG243" s="16"/>
      <c r="EZH243" s="15"/>
      <c r="EZI243" s="15"/>
      <c r="EZJ243" s="15"/>
      <c r="EZK243" s="16"/>
      <c r="EZL243" s="16"/>
      <c r="EZM243" s="16"/>
      <c r="EZN243" s="16"/>
      <c r="EZO243" s="16"/>
      <c r="EZP243" s="15"/>
      <c r="EZQ243" s="15"/>
      <c r="EZR243" s="10"/>
      <c r="EZS243" s="10"/>
      <c r="EZT243" s="19"/>
      <c r="EZU243" s="19"/>
      <c r="EZX243" s="16"/>
      <c r="EZY243" s="15"/>
      <c r="EZZ243" s="15"/>
      <c r="FAA243" s="15"/>
      <c r="FAB243" s="16"/>
      <c r="FAC243" s="16"/>
      <c r="FAD243" s="16"/>
      <c r="FAE243" s="16"/>
      <c r="FAF243" s="16"/>
      <c r="FAG243" s="15"/>
      <c r="FAH243" s="15"/>
      <c r="FAI243" s="10"/>
      <c r="FAJ243" s="10"/>
      <c r="FAK243" s="19"/>
      <c r="FAL243" s="19"/>
      <c r="FAO243" s="16"/>
      <c r="FAP243" s="15"/>
      <c r="FAQ243" s="15"/>
      <c r="FAR243" s="15"/>
      <c r="FAS243" s="16"/>
      <c r="FAT243" s="16"/>
      <c r="FAU243" s="16"/>
      <c r="FAV243" s="16"/>
      <c r="FAW243" s="16"/>
      <c r="FAX243" s="15"/>
      <c r="FAY243" s="15"/>
      <c r="FAZ243" s="10"/>
      <c r="FBA243" s="10"/>
      <c r="FBB243" s="19"/>
      <c r="FBC243" s="19"/>
      <c r="FBF243" s="16"/>
      <c r="FBG243" s="15"/>
      <c r="FBH243" s="15"/>
      <c r="FBI243" s="15"/>
      <c r="FBJ243" s="16"/>
      <c r="FBK243" s="16"/>
      <c r="FBL243" s="16"/>
      <c r="FBM243" s="16"/>
      <c r="FBN243" s="16"/>
      <c r="FBO243" s="15"/>
      <c r="FBP243" s="15"/>
      <c r="FBQ243" s="10"/>
      <c r="FBR243" s="10"/>
      <c r="FBS243" s="19"/>
      <c r="FBT243" s="19"/>
      <c r="FBW243" s="16"/>
      <c r="FBX243" s="15"/>
      <c r="FBY243" s="15"/>
      <c r="FBZ243" s="15"/>
      <c r="FCA243" s="16"/>
      <c r="FCB243" s="16"/>
      <c r="FCC243" s="16"/>
      <c r="FCD243" s="16"/>
      <c r="FCE243" s="16"/>
      <c r="FCF243" s="15"/>
      <c r="FCG243" s="15"/>
      <c r="FCH243" s="10"/>
      <c r="FCI243" s="10"/>
      <c r="FCJ243" s="19"/>
      <c r="FCK243" s="19"/>
      <c r="FCN243" s="16"/>
      <c r="FCO243" s="15"/>
      <c r="FCP243" s="15"/>
      <c r="FCQ243" s="15"/>
      <c r="FCR243" s="16"/>
      <c r="FCS243" s="16"/>
      <c r="FCT243" s="16"/>
      <c r="FCU243" s="16"/>
      <c r="FCV243" s="16"/>
      <c r="FCW243" s="15"/>
      <c r="FCX243" s="15"/>
      <c r="FCY243" s="10"/>
      <c r="FCZ243" s="10"/>
      <c r="FDA243" s="19"/>
      <c r="FDB243" s="19"/>
      <c r="FDE243" s="16"/>
      <c r="FDF243" s="15"/>
      <c r="FDG243" s="15"/>
      <c r="FDH243" s="15"/>
      <c r="FDI243" s="16"/>
      <c r="FDJ243" s="16"/>
      <c r="FDK243" s="16"/>
      <c r="FDL243" s="16"/>
      <c r="FDM243" s="16"/>
      <c r="FDN243" s="15"/>
      <c r="FDO243" s="15"/>
      <c r="FDP243" s="10"/>
      <c r="FDQ243" s="10"/>
      <c r="FDR243" s="19"/>
      <c r="FDS243" s="19"/>
      <c r="FDV243" s="16"/>
      <c r="FDW243" s="15"/>
      <c r="FDX243" s="15"/>
      <c r="FDY243" s="15"/>
      <c r="FDZ243" s="16"/>
      <c r="FEA243" s="16"/>
      <c r="FEB243" s="16"/>
      <c r="FEC243" s="16"/>
      <c r="FED243" s="16"/>
      <c r="FEE243" s="15"/>
      <c r="FEF243" s="15"/>
      <c r="FEG243" s="10"/>
      <c r="FEH243" s="10"/>
      <c r="FEI243" s="19"/>
      <c r="FEJ243" s="19"/>
      <c r="FEM243" s="16"/>
      <c r="FEN243" s="15"/>
      <c r="FEO243" s="15"/>
      <c r="FEP243" s="15"/>
      <c r="FEQ243" s="16"/>
      <c r="FER243" s="16"/>
      <c r="FES243" s="16"/>
      <c r="FET243" s="16"/>
      <c r="FEU243" s="16"/>
      <c r="FEV243" s="15"/>
      <c r="FEW243" s="15"/>
      <c r="FEX243" s="10"/>
      <c r="FEY243" s="10"/>
      <c r="FEZ243" s="19"/>
      <c r="FFA243" s="19"/>
      <c r="FFD243" s="16"/>
      <c r="FFE243" s="15"/>
      <c r="FFF243" s="15"/>
      <c r="FFG243" s="15"/>
      <c r="FFH243" s="16"/>
      <c r="FFI243" s="16"/>
      <c r="FFJ243" s="16"/>
      <c r="FFK243" s="16"/>
      <c r="FFL243" s="16"/>
      <c r="FFM243" s="15"/>
      <c r="FFN243" s="15"/>
      <c r="FFO243" s="10"/>
      <c r="FFP243" s="10"/>
      <c r="FFQ243" s="19"/>
      <c r="FFR243" s="19"/>
      <c r="FFU243" s="16"/>
      <c r="FFV243" s="15"/>
      <c r="FFW243" s="15"/>
      <c r="FFX243" s="15"/>
      <c r="FFY243" s="16"/>
      <c r="FFZ243" s="16"/>
      <c r="FGA243" s="16"/>
      <c r="FGB243" s="16"/>
      <c r="FGC243" s="16"/>
      <c r="FGD243" s="15"/>
      <c r="FGE243" s="15"/>
      <c r="FGF243" s="10"/>
      <c r="FGG243" s="10"/>
      <c r="FGH243" s="19"/>
      <c r="FGI243" s="19"/>
      <c r="FGL243" s="16"/>
      <c r="FGM243" s="15"/>
      <c r="FGN243" s="15"/>
      <c r="FGO243" s="15"/>
      <c r="FGP243" s="16"/>
      <c r="FGQ243" s="16"/>
      <c r="FGR243" s="16"/>
      <c r="FGS243" s="16"/>
      <c r="FGT243" s="16"/>
      <c r="FGU243" s="15"/>
      <c r="FGV243" s="15"/>
      <c r="FGW243" s="10"/>
      <c r="FGX243" s="10"/>
      <c r="FGY243" s="19"/>
      <c r="FGZ243" s="19"/>
      <c r="FHC243" s="16"/>
      <c r="FHD243" s="15"/>
      <c r="FHE243" s="15"/>
      <c r="FHF243" s="15"/>
      <c r="FHG243" s="16"/>
      <c r="FHH243" s="16"/>
      <c r="FHI243" s="16"/>
      <c r="FHJ243" s="16"/>
      <c r="FHK243" s="16"/>
      <c r="FHL243" s="15"/>
      <c r="FHM243" s="15"/>
      <c r="FHN243" s="10"/>
      <c r="FHO243" s="10"/>
      <c r="FHP243" s="19"/>
      <c r="FHQ243" s="19"/>
      <c r="FHT243" s="16"/>
      <c r="FHU243" s="15"/>
      <c r="FHV243" s="15"/>
      <c r="FHW243" s="15"/>
      <c r="FHX243" s="16"/>
      <c r="FHY243" s="16"/>
      <c r="FHZ243" s="16"/>
      <c r="FIA243" s="16"/>
      <c r="FIB243" s="16"/>
      <c r="FIC243" s="15"/>
      <c r="FID243" s="15"/>
      <c r="FIE243" s="10"/>
      <c r="FIF243" s="10"/>
      <c r="FIG243" s="19"/>
      <c r="FIH243" s="19"/>
      <c r="FIK243" s="16"/>
      <c r="FIL243" s="15"/>
      <c r="FIM243" s="15"/>
      <c r="FIN243" s="15"/>
      <c r="FIO243" s="16"/>
      <c r="FIP243" s="16"/>
      <c r="FIQ243" s="16"/>
      <c r="FIR243" s="16"/>
      <c r="FIS243" s="16"/>
      <c r="FIT243" s="15"/>
      <c r="FIU243" s="15"/>
      <c r="FIV243" s="10"/>
      <c r="FIW243" s="10"/>
      <c r="FIX243" s="19"/>
      <c r="FIY243" s="19"/>
      <c r="FJB243" s="16"/>
      <c r="FJC243" s="15"/>
      <c r="FJD243" s="15"/>
      <c r="FJE243" s="15"/>
      <c r="FJF243" s="16"/>
      <c r="FJG243" s="16"/>
      <c r="FJH243" s="16"/>
      <c r="FJI243" s="16"/>
      <c r="FJJ243" s="16"/>
      <c r="FJK243" s="15"/>
      <c r="FJL243" s="15"/>
      <c r="FJM243" s="10"/>
      <c r="FJN243" s="10"/>
      <c r="FJO243" s="19"/>
      <c r="FJP243" s="19"/>
      <c r="FJS243" s="16"/>
      <c r="FJT243" s="15"/>
      <c r="FJU243" s="15"/>
      <c r="FJV243" s="15"/>
      <c r="FJW243" s="16"/>
      <c r="FJX243" s="16"/>
      <c r="FJY243" s="16"/>
      <c r="FJZ243" s="16"/>
      <c r="FKA243" s="16"/>
      <c r="FKB243" s="15"/>
      <c r="FKC243" s="15"/>
      <c r="FKD243" s="10"/>
      <c r="FKE243" s="10"/>
      <c r="FKF243" s="19"/>
      <c r="FKG243" s="19"/>
      <c r="FKJ243" s="16"/>
      <c r="FKK243" s="15"/>
      <c r="FKL243" s="15"/>
      <c r="FKM243" s="15"/>
      <c r="FKN243" s="16"/>
      <c r="FKO243" s="16"/>
      <c r="FKP243" s="16"/>
      <c r="FKQ243" s="16"/>
      <c r="FKR243" s="16"/>
      <c r="FKS243" s="15"/>
      <c r="FKT243" s="15"/>
      <c r="FKU243" s="10"/>
      <c r="FKV243" s="10"/>
      <c r="FKW243" s="19"/>
      <c r="FKX243" s="19"/>
      <c r="FLA243" s="16"/>
      <c r="FLB243" s="15"/>
      <c r="FLC243" s="15"/>
      <c r="FLD243" s="15"/>
      <c r="FLE243" s="16"/>
      <c r="FLF243" s="16"/>
      <c r="FLG243" s="16"/>
      <c r="FLH243" s="16"/>
      <c r="FLI243" s="16"/>
      <c r="FLJ243" s="15"/>
      <c r="FLK243" s="15"/>
      <c r="FLL243" s="10"/>
      <c r="FLM243" s="10"/>
      <c r="FLN243" s="19"/>
      <c r="FLO243" s="19"/>
      <c r="FLR243" s="16"/>
      <c r="FLS243" s="15"/>
      <c r="FLT243" s="15"/>
      <c r="FLU243" s="15"/>
      <c r="FLV243" s="16"/>
      <c r="FLW243" s="16"/>
      <c r="FLX243" s="16"/>
      <c r="FLY243" s="16"/>
      <c r="FLZ243" s="16"/>
      <c r="FMA243" s="15"/>
      <c r="FMB243" s="15"/>
      <c r="FMC243" s="10"/>
      <c r="FMD243" s="10"/>
      <c r="FME243" s="19"/>
      <c r="FMF243" s="19"/>
      <c r="FMI243" s="16"/>
      <c r="FMJ243" s="15"/>
      <c r="FMK243" s="15"/>
      <c r="FML243" s="15"/>
      <c r="FMM243" s="16"/>
      <c r="FMN243" s="16"/>
      <c r="FMO243" s="16"/>
      <c r="FMP243" s="16"/>
      <c r="FMQ243" s="16"/>
      <c r="FMR243" s="15"/>
      <c r="FMS243" s="15"/>
      <c r="FMT243" s="10"/>
      <c r="FMU243" s="10"/>
      <c r="FMV243" s="19"/>
      <c r="FMW243" s="19"/>
      <c r="FMZ243" s="16"/>
      <c r="FNA243" s="15"/>
      <c r="FNB243" s="15"/>
      <c r="FNC243" s="15"/>
      <c r="FND243" s="16"/>
      <c r="FNE243" s="16"/>
      <c r="FNF243" s="16"/>
      <c r="FNG243" s="16"/>
      <c r="FNH243" s="16"/>
      <c r="FNI243" s="15"/>
      <c r="FNJ243" s="15"/>
      <c r="FNK243" s="10"/>
      <c r="FNL243" s="10"/>
      <c r="FNM243" s="19"/>
      <c r="FNN243" s="19"/>
      <c r="FNQ243" s="16"/>
      <c r="FNR243" s="15"/>
      <c r="FNS243" s="15"/>
      <c r="FNT243" s="15"/>
      <c r="FNU243" s="16"/>
      <c r="FNV243" s="16"/>
      <c r="FNW243" s="16"/>
      <c r="FNX243" s="16"/>
      <c r="FNY243" s="16"/>
      <c r="FNZ243" s="15"/>
      <c r="FOA243" s="15"/>
      <c r="FOB243" s="10"/>
      <c r="FOC243" s="10"/>
      <c r="FOD243" s="19"/>
      <c r="FOE243" s="19"/>
      <c r="FOH243" s="16"/>
      <c r="FOI243" s="15"/>
      <c r="FOJ243" s="15"/>
      <c r="FOK243" s="15"/>
      <c r="FOL243" s="16"/>
      <c r="FOM243" s="16"/>
      <c r="FON243" s="16"/>
      <c r="FOO243" s="16"/>
      <c r="FOP243" s="16"/>
      <c r="FOQ243" s="15"/>
      <c r="FOR243" s="15"/>
      <c r="FOS243" s="10"/>
      <c r="FOT243" s="10"/>
      <c r="FOU243" s="19"/>
      <c r="FOV243" s="19"/>
      <c r="FOY243" s="16"/>
      <c r="FOZ243" s="15"/>
      <c r="FPA243" s="15"/>
      <c r="FPB243" s="15"/>
      <c r="FPC243" s="16"/>
      <c r="FPD243" s="16"/>
      <c r="FPE243" s="16"/>
      <c r="FPF243" s="16"/>
      <c r="FPG243" s="16"/>
      <c r="FPH243" s="15"/>
      <c r="FPI243" s="15"/>
      <c r="FPJ243" s="10"/>
      <c r="FPK243" s="10"/>
      <c r="FPL243" s="19"/>
      <c r="FPM243" s="19"/>
      <c r="FPP243" s="16"/>
      <c r="FPQ243" s="15"/>
      <c r="FPR243" s="15"/>
      <c r="FPS243" s="15"/>
      <c r="FPT243" s="16"/>
      <c r="FPU243" s="16"/>
      <c r="FPV243" s="16"/>
      <c r="FPW243" s="16"/>
      <c r="FPX243" s="16"/>
      <c r="FPY243" s="15"/>
      <c r="FPZ243" s="15"/>
      <c r="FQA243" s="10"/>
      <c r="FQB243" s="10"/>
      <c r="FQC243" s="19"/>
      <c r="FQD243" s="19"/>
      <c r="FQG243" s="16"/>
      <c r="FQH243" s="15"/>
      <c r="FQI243" s="15"/>
      <c r="FQJ243" s="15"/>
      <c r="FQK243" s="16"/>
      <c r="FQL243" s="16"/>
      <c r="FQM243" s="16"/>
      <c r="FQN243" s="16"/>
      <c r="FQO243" s="16"/>
      <c r="FQP243" s="15"/>
      <c r="FQQ243" s="15"/>
      <c r="FQR243" s="10"/>
      <c r="FQS243" s="10"/>
      <c r="FQT243" s="19"/>
      <c r="FQU243" s="19"/>
      <c r="FQX243" s="16"/>
      <c r="FQY243" s="15"/>
      <c r="FQZ243" s="15"/>
      <c r="FRA243" s="15"/>
      <c r="FRB243" s="16"/>
      <c r="FRC243" s="16"/>
      <c r="FRD243" s="16"/>
      <c r="FRE243" s="16"/>
      <c r="FRF243" s="16"/>
      <c r="FRG243" s="15"/>
      <c r="FRH243" s="15"/>
      <c r="FRI243" s="10"/>
      <c r="FRJ243" s="10"/>
      <c r="FRK243" s="19"/>
      <c r="FRL243" s="19"/>
      <c r="FRO243" s="16"/>
      <c r="FRP243" s="15"/>
      <c r="FRQ243" s="15"/>
      <c r="FRR243" s="15"/>
      <c r="FRS243" s="16"/>
      <c r="FRT243" s="16"/>
      <c r="FRU243" s="16"/>
      <c r="FRV243" s="16"/>
      <c r="FRW243" s="16"/>
      <c r="FRX243" s="15"/>
      <c r="FRY243" s="15"/>
      <c r="FRZ243" s="10"/>
      <c r="FSA243" s="10"/>
      <c r="FSB243" s="19"/>
      <c r="FSC243" s="19"/>
      <c r="FSF243" s="16"/>
      <c r="FSG243" s="15"/>
      <c r="FSH243" s="15"/>
      <c r="FSI243" s="15"/>
      <c r="FSJ243" s="16"/>
      <c r="FSK243" s="16"/>
      <c r="FSL243" s="16"/>
      <c r="FSM243" s="16"/>
      <c r="FSN243" s="16"/>
      <c r="FSO243" s="15"/>
      <c r="FSP243" s="15"/>
      <c r="FSQ243" s="10"/>
      <c r="FSR243" s="10"/>
      <c r="FSS243" s="19"/>
      <c r="FST243" s="19"/>
      <c r="FSW243" s="16"/>
      <c r="FSX243" s="15"/>
      <c r="FSY243" s="15"/>
      <c r="FSZ243" s="15"/>
      <c r="FTA243" s="16"/>
      <c r="FTB243" s="16"/>
      <c r="FTC243" s="16"/>
      <c r="FTD243" s="16"/>
      <c r="FTE243" s="16"/>
      <c r="FTF243" s="15"/>
      <c r="FTG243" s="15"/>
      <c r="FTH243" s="10"/>
      <c r="FTI243" s="10"/>
      <c r="FTJ243" s="19"/>
      <c r="FTK243" s="19"/>
      <c r="FTN243" s="16"/>
      <c r="FTO243" s="15"/>
      <c r="FTP243" s="15"/>
      <c r="FTQ243" s="15"/>
      <c r="FTR243" s="16"/>
      <c r="FTS243" s="16"/>
      <c r="FTT243" s="16"/>
      <c r="FTU243" s="16"/>
      <c r="FTV243" s="16"/>
      <c r="FTW243" s="15"/>
      <c r="FTX243" s="15"/>
      <c r="FTY243" s="10"/>
      <c r="FTZ243" s="10"/>
      <c r="FUA243" s="19"/>
      <c r="FUB243" s="19"/>
      <c r="FUE243" s="16"/>
      <c r="FUF243" s="15"/>
      <c r="FUG243" s="15"/>
      <c r="FUH243" s="15"/>
      <c r="FUI243" s="16"/>
      <c r="FUJ243" s="16"/>
      <c r="FUK243" s="16"/>
      <c r="FUL243" s="16"/>
      <c r="FUM243" s="16"/>
      <c r="FUN243" s="15"/>
      <c r="FUO243" s="15"/>
      <c r="FUP243" s="10"/>
      <c r="FUQ243" s="10"/>
      <c r="FUR243" s="19"/>
      <c r="FUS243" s="19"/>
      <c r="FUV243" s="16"/>
      <c r="FUW243" s="15"/>
      <c r="FUX243" s="15"/>
      <c r="FUY243" s="15"/>
      <c r="FUZ243" s="16"/>
      <c r="FVA243" s="16"/>
      <c r="FVB243" s="16"/>
      <c r="FVC243" s="16"/>
      <c r="FVD243" s="16"/>
      <c r="FVE243" s="15"/>
      <c r="FVF243" s="15"/>
      <c r="FVG243" s="10"/>
      <c r="FVH243" s="10"/>
      <c r="FVI243" s="19"/>
      <c r="FVJ243" s="19"/>
      <c r="FVM243" s="16"/>
      <c r="FVN243" s="15"/>
      <c r="FVO243" s="15"/>
      <c r="FVP243" s="15"/>
      <c r="FVQ243" s="16"/>
      <c r="FVR243" s="16"/>
      <c r="FVS243" s="16"/>
      <c r="FVT243" s="16"/>
      <c r="FVU243" s="16"/>
      <c r="FVV243" s="15"/>
      <c r="FVW243" s="15"/>
      <c r="FVX243" s="10"/>
      <c r="FVY243" s="10"/>
      <c r="FVZ243" s="19"/>
      <c r="FWA243" s="19"/>
      <c r="FWD243" s="16"/>
      <c r="FWE243" s="15"/>
      <c r="FWF243" s="15"/>
      <c r="FWG243" s="15"/>
      <c r="FWH243" s="16"/>
      <c r="FWI243" s="16"/>
      <c r="FWJ243" s="16"/>
      <c r="FWK243" s="16"/>
      <c r="FWL243" s="16"/>
      <c r="FWM243" s="15"/>
      <c r="FWN243" s="15"/>
      <c r="FWO243" s="10"/>
      <c r="FWP243" s="10"/>
      <c r="FWQ243" s="19"/>
      <c r="FWR243" s="19"/>
      <c r="FWU243" s="16"/>
      <c r="FWV243" s="15"/>
      <c r="FWW243" s="15"/>
      <c r="FWX243" s="15"/>
      <c r="FWY243" s="16"/>
      <c r="FWZ243" s="16"/>
      <c r="FXA243" s="16"/>
      <c r="FXB243" s="16"/>
      <c r="FXC243" s="16"/>
      <c r="FXD243" s="15"/>
      <c r="FXE243" s="15"/>
      <c r="FXF243" s="10"/>
      <c r="FXG243" s="10"/>
      <c r="FXH243" s="19"/>
      <c r="FXI243" s="19"/>
      <c r="FXL243" s="16"/>
      <c r="FXM243" s="15"/>
      <c r="FXN243" s="15"/>
      <c r="FXO243" s="15"/>
      <c r="FXP243" s="16"/>
      <c r="FXQ243" s="16"/>
      <c r="FXR243" s="16"/>
      <c r="FXS243" s="16"/>
      <c r="FXT243" s="16"/>
      <c r="FXU243" s="15"/>
      <c r="FXV243" s="15"/>
      <c r="FXW243" s="10"/>
      <c r="FXX243" s="10"/>
      <c r="FXY243" s="19"/>
      <c r="FXZ243" s="19"/>
      <c r="FYC243" s="16"/>
      <c r="FYD243" s="15"/>
      <c r="FYE243" s="15"/>
      <c r="FYF243" s="15"/>
      <c r="FYG243" s="16"/>
      <c r="FYH243" s="16"/>
      <c r="FYI243" s="16"/>
      <c r="FYJ243" s="16"/>
      <c r="FYK243" s="16"/>
      <c r="FYL243" s="15"/>
      <c r="FYM243" s="15"/>
      <c r="FYN243" s="10"/>
      <c r="FYO243" s="10"/>
      <c r="FYP243" s="19"/>
      <c r="FYQ243" s="19"/>
      <c r="FYT243" s="16"/>
      <c r="FYU243" s="15"/>
      <c r="FYV243" s="15"/>
      <c r="FYW243" s="15"/>
      <c r="FYX243" s="16"/>
      <c r="FYY243" s="16"/>
      <c r="FYZ243" s="16"/>
      <c r="FZA243" s="16"/>
      <c r="FZB243" s="16"/>
      <c r="FZC243" s="15"/>
      <c r="FZD243" s="15"/>
      <c r="FZE243" s="10"/>
      <c r="FZF243" s="10"/>
      <c r="FZG243" s="19"/>
      <c r="FZH243" s="19"/>
      <c r="FZK243" s="16"/>
      <c r="FZL243" s="15"/>
      <c r="FZM243" s="15"/>
      <c r="FZN243" s="15"/>
      <c r="FZO243" s="16"/>
      <c r="FZP243" s="16"/>
      <c r="FZQ243" s="16"/>
      <c r="FZR243" s="16"/>
      <c r="FZS243" s="16"/>
      <c r="FZT243" s="15"/>
      <c r="FZU243" s="15"/>
      <c r="FZV243" s="10"/>
      <c r="FZW243" s="10"/>
      <c r="FZX243" s="19"/>
      <c r="FZY243" s="19"/>
      <c r="GAB243" s="16"/>
      <c r="GAC243" s="15"/>
      <c r="GAD243" s="15"/>
      <c r="GAE243" s="15"/>
      <c r="GAF243" s="16"/>
      <c r="GAG243" s="16"/>
      <c r="GAH243" s="16"/>
      <c r="GAI243" s="16"/>
      <c r="GAJ243" s="16"/>
      <c r="GAK243" s="15"/>
      <c r="GAL243" s="15"/>
      <c r="GAM243" s="10"/>
      <c r="GAN243" s="10"/>
      <c r="GAO243" s="19"/>
      <c r="GAP243" s="19"/>
      <c r="GAS243" s="16"/>
      <c r="GAT243" s="15"/>
      <c r="GAU243" s="15"/>
      <c r="GAV243" s="15"/>
      <c r="GAW243" s="16"/>
      <c r="GAX243" s="16"/>
      <c r="GAY243" s="16"/>
      <c r="GAZ243" s="16"/>
      <c r="GBA243" s="16"/>
      <c r="GBB243" s="15"/>
      <c r="GBC243" s="15"/>
      <c r="GBD243" s="10"/>
      <c r="GBE243" s="10"/>
      <c r="GBF243" s="19"/>
      <c r="GBG243" s="19"/>
      <c r="GBJ243" s="16"/>
      <c r="GBK243" s="15"/>
      <c r="GBL243" s="15"/>
      <c r="GBM243" s="15"/>
      <c r="GBN243" s="16"/>
      <c r="GBO243" s="16"/>
      <c r="GBP243" s="16"/>
      <c r="GBQ243" s="16"/>
      <c r="GBR243" s="16"/>
      <c r="GBS243" s="15"/>
      <c r="GBT243" s="15"/>
      <c r="GBU243" s="10"/>
      <c r="GBV243" s="10"/>
      <c r="GBW243" s="19"/>
      <c r="GBX243" s="19"/>
      <c r="GCA243" s="16"/>
      <c r="GCB243" s="15"/>
      <c r="GCC243" s="15"/>
      <c r="GCD243" s="15"/>
      <c r="GCE243" s="16"/>
      <c r="GCF243" s="16"/>
      <c r="GCG243" s="16"/>
      <c r="GCH243" s="16"/>
      <c r="GCI243" s="16"/>
      <c r="GCJ243" s="15"/>
      <c r="GCK243" s="15"/>
      <c r="GCL243" s="10"/>
      <c r="GCM243" s="10"/>
      <c r="GCN243" s="19"/>
      <c r="GCO243" s="19"/>
      <c r="GCR243" s="16"/>
      <c r="GCS243" s="15"/>
      <c r="GCT243" s="15"/>
      <c r="GCU243" s="15"/>
      <c r="GCV243" s="16"/>
      <c r="GCW243" s="16"/>
      <c r="GCX243" s="16"/>
      <c r="GCY243" s="16"/>
      <c r="GCZ243" s="16"/>
      <c r="GDA243" s="15"/>
      <c r="GDB243" s="15"/>
      <c r="GDC243" s="10"/>
      <c r="GDD243" s="10"/>
      <c r="GDE243" s="19"/>
      <c r="GDF243" s="19"/>
      <c r="GDI243" s="16"/>
      <c r="GDJ243" s="15"/>
      <c r="GDK243" s="15"/>
      <c r="GDL243" s="15"/>
      <c r="GDM243" s="16"/>
      <c r="GDN243" s="16"/>
      <c r="GDO243" s="16"/>
      <c r="GDP243" s="16"/>
      <c r="GDQ243" s="16"/>
      <c r="GDR243" s="15"/>
      <c r="GDS243" s="15"/>
      <c r="GDT243" s="10"/>
      <c r="GDU243" s="10"/>
      <c r="GDV243" s="19"/>
      <c r="GDW243" s="19"/>
      <c r="GDZ243" s="16"/>
      <c r="GEA243" s="15"/>
      <c r="GEB243" s="15"/>
      <c r="GEC243" s="15"/>
      <c r="GED243" s="16"/>
      <c r="GEE243" s="16"/>
      <c r="GEF243" s="16"/>
      <c r="GEG243" s="16"/>
      <c r="GEH243" s="16"/>
      <c r="GEI243" s="15"/>
      <c r="GEJ243" s="15"/>
      <c r="GEK243" s="10"/>
      <c r="GEL243" s="10"/>
      <c r="GEM243" s="19"/>
      <c r="GEN243" s="19"/>
      <c r="GEQ243" s="16"/>
      <c r="GER243" s="15"/>
      <c r="GES243" s="15"/>
      <c r="GET243" s="15"/>
      <c r="GEU243" s="16"/>
      <c r="GEV243" s="16"/>
      <c r="GEW243" s="16"/>
      <c r="GEX243" s="16"/>
      <c r="GEY243" s="16"/>
      <c r="GEZ243" s="15"/>
      <c r="GFA243" s="15"/>
      <c r="GFB243" s="10"/>
      <c r="GFC243" s="10"/>
      <c r="GFD243" s="19"/>
      <c r="GFE243" s="19"/>
      <c r="GFH243" s="16"/>
      <c r="GFI243" s="15"/>
      <c r="GFJ243" s="15"/>
      <c r="GFK243" s="15"/>
      <c r="GFL243" s="16"/>
      <c r="GFM243" s="16"/>
      <c r="GFN243" s="16"/>
      <c r="GFO243" s="16"/>
      <c r="GFP243" s="16"/>
      <c r="GFQ243" s="15"/>
      <c r="GFR243" s="15"/>
      <c r="GFS243" s="10"/>
      <c r="GFT243" s="10"/>
      <c r="GFU243" s="19"/>
      <c r="GFV243" s="19"/>
      <c r="GFY243" s="16"/>
      <c r="GFZ243" s="15"/>
      <c r="GGA243" s="15"/>
      <c r="GGB243" s="15"/>
      <c r="GGC243" s="16"/>
      <c r="GGD243" s="16"/>
      <c r="GGE243" s="16"/>
      <c r="GGF243" s="16"/>
      <c r="GGG243" s="16"/>
      <c r="GGH243" s="15"/>
      <c r="GGI243" s="15"/>
      <c r="GGJ243" s="10"/>
      <c r="GGK243" s="10"/>
      <c r="GGL243" s="19"/>
      <c r="GGM243" s="19"/>
      <c r="GGP243" s="16"/>
      <c r="GGQ243" s="15"/>
      <c r="GGR243" s="15"/>
      <c r="GGS243" s="15"/>
      <c r="GGT243" s="16"/>
      <c r="GGU243" s="16"/>
      <c r="GGV243" s="16"/>
      <c r="GGW243" s="16"/>
      <c r="GGX243" s="16"/>
      <c r="GGY243" s="15"/>
      <c r="GGZ243" s="15"/>
      <c r="GHA243" s="10"/>
      <c r="GHB243" s="10"/>
      <c r="GHC243" s="19"/>
      <c r="GHD243" s="19"/>
      <c r="GHG243" s="16"/>
      <c r="GHH243" s="15"/>
      <c r="GHI243" s="15"/>
      <c r="GHJ243" s="15"/>
      <c r="GHK243" s="16"/>
      <c r="GHL243" s="16"/>
      <c r="GHM243" s="16"/>
      <c r="GHN243" s="16"/>
      <c r="GHO243" s="16"/>
      <c r="GHP243" s="15"/>
      <c r="GHQ243" s="15"/>
      <c r="GHR243" s="10"/>
      <c r="GHS243" s="10"/>
      <c r="GHT243" s="19"/>
      <c r="GHU243" s="19"/>
      <c r="GHX243" s="16"/>
      <c r="GHY243" s="15"/>
      <c r="GHZ243" s="15"/>
      <c r="GIA243" s="15"/>
      <c r="GIB243" s="16"/>
      <c r="GIC243" s="16"/>
      <c r="GID243" s="16"/>
      <c r="GIE243" s="16"/>
      <c r="GIF243" s="16"/>
      <c r="GIG243" s="15"/>
      <c r="GIH243" s="15"/>
      <c r="GII243" s="10"/>
      <c r="GIJ243" s="10"/>
      <c r="GIK243" s="19"/>
      <c r="GIL243" s="19"/>
      <c r="GIO243" s="16"/>
      <c r="GIP243" s="15"/>
      <c r="GIQ243" s="15"/>
      <c r="GIR243" s="15"/>
      <c r="GIS243" s="16"/>
      <c r="GIT243" s="16"/>
      <c r="GIU243" s="16"/>
      <c r="GIV243" s="16"/>
      <c r="GIW243" s="16"/>
      <c r="GIX243" s="15"/>
      <c r="GIY243" s="15"/>
      <c r="GIZ243" s="10"/>
      <c r="GJA243" s="10"/>
      <c r="GJB243" s="19"/>
      <c r="GJC243" s="19"/>
      <c r="GJF243" s="16"/>
      <c r="GJG243" s="15"/>
      <c r="GJH243" s="15"/>
      <c r="GJI243" s="15"/>
      <c r="GJJ243" s="16"/>
      <c r="GJK243" s="16"/>
      <c r="GJL243" s="16"/>
      <c r="GJM243" s="16"/>
      <c r="GJN243" s="16"/>
      <c r="GJO243" s="15"/>
      <c r="GJP243" s="15"/>
      <c r="GJQ243" s="10"/>
      <c r="GJR243" s="10"/>
      <c r="GJS243" s="19"/>
      <c r="GJT243" s="19"/>
      <c r="GJW243" s="16"/>
      <c r="GJX243" s="15"/>
      <c r="GJY243" s="15"/>
      <c r="GJZ243" s="15"/>
      <c r="GKA243" s="16"/>
      <c r="GKB243" s="16"/>
      <c r="GKC243" s="16"/>
      <c r="GKD243" s="16"/>
      <c r="GKE243" s="16"/>
      <c r="GKF243" s="15"/>
      <c r="GKG243" s="15"/>
      <c r="GKH243" s="10"/>
      <c r="GKI243" s="10"/>
      <c r="GKJ243" s="19"/>
      <c r="GKK243" s="19"/>
      <c r="GKN243" s="16"/>
      <c r="GKO243" s="15"/>
      <c r="GKP243" s="15"/>
      <c r="GKQ243" s="15"/>
      <c r="GKR243" s="16"/>
      <c r="GKS243" s="16"/>
      <c r="GKT243" s="16"/>
      <c r="GKU243" s="16"/>
      <c r="GKV243" s="16"/>
      <c r="GKW243" s="15"/>
      <c r="GKX243" s="15"/>
      <c r="GKY243" s="10"/>
      <c r="GKZ243" s="10"/>
      <c r="GLA243" s="19"/>
      <c r="GLB243" s="19"/>
      <c r="GLE243" s="16"/>
      <c r="GLF243" s="15"/>
      <c r="GLG243" s="15"/>
      <c r="GLH243" s="15"/>
      <c r="GLI243" s="16"/>
      <c r="GLJ243" s="16"/>
      <c r="GLK243" s="16"/>
      <c r="GLL243" s="16"/>
      <c r="GLM243" s="16"/>
      <c r="GLN243" s="15"/>
      <c r="GLO243" s="15"/>
      <c r="GLP243" s="10"/>
      <c r="GLQ243" s="10"/>
      <c r="GLR243" s="19"/>
      <c r="GLS243" s="19"/>
      <c r="GLV243" s="16"/>
      <c r="GLW243" s="15"/>
      <c r="GLX243" s="15"/>
      <c r="GLY243" s="15"/>
      <c r="GLZ243" s="16"/>
      <c r="GMA243" s="16"/>
      <c r="GMB243" s="16"/>
      <c r="GMC243" s="16"/>
      <c r="GMD243" s="16"/>
      <c r="GME243" s="15"/>
      <c r="GMF243" s="15"/>
      <c r="GMG243" s="10"/>
      <c r="GMH243" s="10"/>
      <c r="GMI243" s="19"/>
      <c r="GMJ243" s="19"/>
      <c r="GMM243" s="16"/>
      <c r="GMN243" s="15"/>
      <c r="GMO243" s="15"/>
      <c r="GMP243" s="15"/>
      <c r="GMQ243" s="16"/>
      <c r="GMR243" s="16"/>
      <c r="GMS243" s="16"/>
      <c r="GMT243" s="16"/>
      <c r="GMU243" s="16"/>
      <c r="GMV243" s="15"/>
      <c r="GMW243" s="15"/>
      <c r="GMX243" s="10"/>
      <c r="GMY243" s="10"/>
      <c r="GMZ243" s="19"/>
      <c r="GNA243" s="19"/>
      <c r="GND243" s="16"/>
      <c r="GNE243" s="15"/>
      <c r="GNF243" s="15"/>
      <c r="GNG243" s="15"/>
      <c r="GNH243" s="16"/>
      <c r="GNI243" s="16"/>
      <c r="GNJ243" s="16"/>
      <c r="GNK243" s="16"/>
      <c r="GNL243" s="16"/>
      <c r="GNM243" s="15"/>
      <c r="GNN243" s="15"/>
      <c r="GNO243" s="10"/>
      <c r="GNP243" s="10"/>
      <c r="GNQ243" s="19"/>
      <c r="GNR243" s="19"/>
      <c r="GNU243" s="16"/>
      <c r="GNV243" s="15"/>
      <c r="GNW243" s="15"/>
      <c r="GNX243" s="15"/>
      <c r="GNY243" s="16"/>
      <c r="GNZ243" s="16"/>
      <c r="GOA243" s="16"/>
      <c r="GOB243" s="16"/>
      <c r="GOC243" s="16"/>
      <c r="GOD243" s="15"/>
      <c r="GOE243" s="15"/>
      <c r="GOF243" s="10"/>
      <c r="GOG243" s="10"/>
      <c r="GOH243" s="19"/>
      <c r="GOI243" s="19"/>
      <c r="GOL243" s="16"/>
      <c r="GOM243" s="15"/>
      <c r="GON243" s="15"/>
      <c r="GOO243" s="15"/>
      <c r="GOP243" s="16"/>
      <c r="GOQ243" s="16"/>
      <c r="GOR243" s="16"/>
      <c r="GOS243" s="16"/>
      <c r="GOT243" s="16"/>
      <c r="GOU243" s="15"/>
      <c r="GOV243" s="15"/>
      <c r="GOW243" s="10"/>
      <c r="GOX243" s="10"/>
      <c r="GOY243" s="19"/>
      <c r="GOZ243" s="19"/>
      <c r="GPC243" s="16"/>
      <c r="GPD243" s="15"/>
      <c r="GPE243" s="15"/>
      <c r="GPF243" s="15"/>
      <c r="GPG243" s="16"/>
      <c r="GPH243" s="16"/>
      <c r="GPI243" s="16"/>
      <c r="GPJ243" s="16"/>
      <c r="GPK243" s="16"/>
      <c r="GPL243" s="15"/>
      <c r="GPM243" s="15"/>
      <c r="GPN243" s="10"/>
      <c r="GPO243" s="10"/>
      <c r="GPP243" s="19"/>
      <c r="GPQ243" s="19"/>
      <c r="GPT243" s="16"/>
      <c r="GPU243" s="15"/>
      <c r="GPV243" s="15"/>
      <c r="GPW243" s="15"/>
      <c r="GPX243" s="16"/>
      <c r="GPY243" s="16"/>
      <c r="GPZ243" s="16"/>
      <c r="GQA243" s="16"/>
      <c r="GQB243" s="16"/>
      <c r="GQC243" s="15"/>
      <c r="GQD243" s="15"/>
      <c r="GQE243" s="10"/>
      <c r="GQF243" s="10"/>
      <c r="GQG243" s="19"/>
      <c r="GQH243" s="19"/>
      <c r="GQK243" s="16"/>
      <c r="GQL243" s="15"/>
      <c r="GQM243" s="15"/>
      <c r="GQN243" s="15"/>
      <c r="GQO243" s="16"/>
      <c r="GQP243" s="16"/>
      <c r="GQQ243" s="16"/>
      <c r="GQR243" s="16"/>
      <c r="GQS243" s="16"/>
      <c r="GQT243" s="15"/>
      <c r="GQU243" s="15"/>
      <c r="GQV243" s="10"/>
      <c r="GQW243" s="10"/>
      <c r="GQX243" s="19"/>
      <c r="GQY243" s="19"/>
      <c r="GRB243" s="16"/>
      <c r="GRC243" s="15"/>
      <c r="GRD243" s="15"/>
      <c r="GRE243" s="15"/>
      <c r="GRF243" s="16"/>
      <c r="GRG243" s="16"/>
      <c r="GRH243" s="16"/>
      <c r="GRI243" s="16"/>
      <c r="GRJ243" s="16"/>
      <c r="GRK243" s="15"/>
      <c r="GRL243" s="15"/>
      <c r="GRM243" s="10"/>
      <c r="GRN243" s="10"/>
      <c r="GRO243" s="19"/>
      <c r="GRP243" s="19"/>
      <c r="GRS243" s="16"/>
      <c r="GRT243" s="15"/>
      <c r="GRU243" s="15"/>
      <c r="GRV243" s="15"/>
      <c r="GRW243" s="16"/>
      <c r="GRX243" s="16"/>
      <c r="GRY243" s="16"/>
      <c r="GRZ243" s="16"/>
      <c r="GSA243" s="16"/>
      <c r="GSB243" s="15"/>
      <c r="GSC243" s="15"/>
      <c r="GSD243" s="10"/>
      <c r="GSE243" s="10"/>
      <c r="GSF243" s="19"/>
      <c r="GSG243" s="19"/>
      <c r="GSJ243" s="16"/>
      <c r="GSK243" s="15"/>
      <c r="GSL243" s="15"/>
      <c r="GSM243" s="15"/>
      <c r="GSN243" s="16"/>
      <c r="GSO243" s="16"/>
      <c r="GSP243" s="16"/>
      <c r="GSQ243" s="16"/>
      <c r="GSR243" s="16"/>
      <c r="GSS243" s="15"/>
      <c r="GST243" s="15"/>
      <c r="GSU243" s="10"/>
      <c r="GSV243" s="10"/>
      <c r="GSW243" s="19"/>
      <c r="GSX243" s="19"/>
      <c r="GTA243" s="16"/>
      <c r="GTB243" s="15"/>
      <c r="GTC243" s="15"/>
      <c r="GTD243" s="15"/>
      <c r="GTE243" s="16"/>
      <c r="GTF243" s="16"/>
      <c r="GTG243" s="16"/>
      <c r="GTH243" s="16"/>
      <c r="GTI243" s="16"/>
      <c r="GTJ243" s="15"/>
      <c r="GTK243" s="15"/>
      <c r="GTL243" s="10"/>
      <c r="GTM243" s="10"/>
      <c r="GTN243" s="19"/>
      <c r="GTO243" s="19"/>
      <c r="GTR243" s="16"/>
      <c r="GTS243" s="15"/>
      <c r="GTT243" s="15"/>
      <c r="GTU243" s="15"/>
      <c r="GTV243" s="16"/>
      <c r="GTW243" s="16"/>
      <c r="GTX243" s="16"/>
      <c r="GTY243" s="16"/>
      <c r="GTZ243" s="16"/>
      <c r="GUA243" s="15"/>
      <c r="GUB243" s="15"/>
      <c r="GUC243" s="10"/>
      <c r="GUD243" s="10"/>
      <c r="GUE243" s="19"/>
      <c r="GUF243" s="19"/>
      <c r="GUI243" s="16"/>
      <c r="GUJ243" s="15"/>
      <c r="GUK243" s="15"/>
      <c r="GUL243" s="15"/>
      <c r="GUM243" s="16"/>
      <c r="GUN243" s="16"/>
      <c r="GUO243" s="16"/>
      <c r="GUP243" s="16"/>
      <c r="GUQ243" s="16"/>
      <c r="GUR243" s="15"/>
      <c r="GUS243" s="15"/>
      <c r="GUT243" s="10"/>
      <c r="GUU243" s="10"/>
      <c r="GUV243" s="19"/>
      <c r="GUW243" s="19"/>
      <c r="GUZ243" s="16"/>
      <c r="GVA243" s="15"/>
      <c r="GVB243" s="15"/>
      <c r="GVC243" s="15"/>
      <c r="GVD243" s="16"/>
      <c r="GVE243" s="16"/>
      <c r="GVF243" s="16"/>
      <c r="GVG243" s="16"/>
      <c r="GVH243" s="16"/>
      <c r="GVI243" s="15"/>
      <c r="GVJ243" s="15"/>
      <c r="GVK243" s="10"/>
      <c r="GVL243" s="10"/>
      <c r="GVM243" s="19"/>
      <c r="GVN243" s="19"/>
      <c r="GVQ243" s="16"/>
      <c r="GVR243" s="15"/>
      <c r="GVS243" s="15"/>
      <c r="GVT243" s="15"/>
      <c r="GVU243" s="16"/>
      <c r="GVV243" s="16"/>
      <c r="GVW243" s="16"/>
      <c r="GVX243" s="16"/>
      <c r="GVY243" s="16"/>
      <c r="GVZ243" s="15"/>
      <c r="GWA243" s="15"/>
      <c r="GWB243" s="10"/>
      <c r="GWC243" s="10"/>
      <c r="GWD243" s="19"/>
      <c r="GWE243" s="19"/>
      <c r="GWH243" s="16"/>
      <c r="GWI243" s="15"/>
      <c r="GWJ243" s="15"/>
      <c r="GWK243" s="15"/>
      <c r="GWL243" s="16"/>
      <c r="GWM243" s="16"/>
      <c r="GWN243" s="16"/>
      <c r="GWO243" s="16"/>
      <c r="GWP243" s="16"/>
      <c r="GWQ243" s="15"/>
      <c r="GWR243" s="15"/>
      <c r="GWS243" s="10"/>
      <c r="GWT243" s="10"/>
      <c r="GWU243" s="19"/>
      <c r="GWV243" s="19"/>
      <c r="GWY243" s="16"/>
      <c r="GWZ243" s="15"/>
      <c r="GXA243" s="15"/>
      <c r="GXB243" s="15"/>
      <c r="GXC243" s="16"/>
      <c r="GXD243" s="16"/>
      <c r="GXE243" s="16"/>
      <c r="GXF243" s="16"/>
      <c r="GXG243" s="16"/>
      <c r="GXH243" s="15"/>
      <c r="GXI243" s="15"/>
      <c r="GXJ243" s="10"/>
      <c r="GXK243" s="10"/>
      <c r="GXL243" s="19"/>
      <c r="GXM243" s="19"/>
      <c r="GXP243" s="16"/>
      <c r="GXQ243" s="15"/>
      <c r="GXR243" s="15"/>
      <c r="GXS243" s="15"/>
      <c r="GXT243" s="16"/>
      <c r="GXU243" s="16"/>
      <c r="GXV243" s="16"/>
      <c r="GXW243" s="16"/>
      <c r="GXX243" s="16"/>
      <c r="GXY243" s="15"/>
      <c r="GXZ243" s="15"/>
      <c r="GYA243" s="10"/>
      <c r="GYB243" s="10"/>
      <c r="GYC243" s="19"/>
      <c r="GYD243" s="19"/>
      <c r="GYG243" s="16"/>
      <c r="GYH243" s="15"/>
      <c r="GYI243" s="15"/>
      <c r="GYJ243" s="15"/>
      <c r="GYK243" s="16"/>
      <c r="GYL243" s="16"/>
      <c r="GYM243" s="16"/>
      <c r="GYN243" s="16"/>
      <c r="GYO243" s="16"/>
      <c r="GYP243" s="15"/>
      <c r="GYQ243" s="15"/>
      <c r="GYR243" s="10"/>
      <c r="GYS243" s="10"/>
      <c r="GYT243" s="19"/>
      <c r="GYU243" s="19"/>
      <c r="GYX243" s="16"/>
      <c r="GYY243" s="15"/>
      <c r="GYZ243" s="15"/>
      <c r="GZA243" s="15"/>
      <c r="GZB243" s="16"/>
      <c r="GZC243" s="16"/>
      <c r="GZD243" s="16"/>
      <c r="GZE243" s="16"/>
      <c r="GZF243" s="16"/>
      <c r="GZG243" s="15"/>
      <c r="GZH243" s="15"/>
      <c r="GZI243" s="10"/>
      <c r="GZJ243" s="10"/>
      <c r="GZK243" s="19"/>
      <c r="GZL243" s="19"/>
      <c r="GZO243" s="16"/>
      <c r="GZP243" s="15"/>
      <c r="GZQ243" s="15"/>
      <c r="GZR243" s="15"/>
      <c r="GZS243" s="16"/>
      <c r="GZT243" s="16"/>
      <c r="GZU243" s="16"/>
      <c r="GZV243" s="16"/>
      <c r="GZW243" s="16"/>
      <c r="GZX243" s="15"/>
      <c r="GZY243" s="15"/>
      <c r="GZZ243" s="10"/>
      <c r="HAA243" s="10"/>
      <c r="HAB243" s="19"/>
      <c r="HAC243" s="19"/>
      <c r="HAF243" s="16"/>
      <c r="HAG243" s="15"/>
      <c r="HAH243" s="15"/>
      <c r="HAI243" s="15"/>
      <c r="HAJ243" s="16"/>
      <c r="HAK243" s="16"/>
      <c r="HAL243" s="16"/>
      <c r="HAM243" s="16"/>
      <c r="HAN243" s="16"/>
      <c r="HAO243" s="15"/>
      <c r="HAP243" s="15"/>
      <c r="HAQ243" s="10"/>
      <c r="HAR243" s="10"/>
      <c r="HAS243" s="19"/>
      <c r="HAT243" s="19"/>
      <c r="HAW243" s="16"/>
      <c r="HAX243" s="15"/>
      <c r="HAY243" s="15"/>
      <c r="HAZ243" s="15"/>
      <c r="HBA243" s="16"/>
      <c r="HBB243" s="16"/>
      <c r="HBC243" s="16"/>
      <c r="HBD243" s="16"/>
      <c r="HBE243" s="16"/>
      <c r="HBF243" s="15"/>
      <c r="HBG243" s="15"/>
      <c r="HBH243" s="10"/>
      <c r="HBI243" s="10"/>
      <c r="HBJ243" s="19"/>
      <c r="HBK243" s="19"/>
      <c r="HBN243" s="16"/>
      <c r="HBO243" s="15"/>
      <c r="HBP243" s="15"/>
      <c r="HBQ243" s="15"/>
      <c r="HBR243" s="16"/>
      <c r="HBS243" s="16"/>
      <c r="HBT243" s="16"/>
      <c r="HBU243" s="16"/>
      <c r="HBV243" s="16"/>
      <c r="HBW243" s="15"/>
      <c r="HBX243" s="15"/>
      <c r="HBY243" s="10"/>
      <c r="HBZ243" s="10"/>
      <c r="HCA243" s="19"/>
      <c r="HCB243" s="19"/>
      <c r="HCE243" s="16"/>
      <c r="HCF243" s="15"/>
      <c r="HCG243" s="15"/>
      <c r="HCH243" s="15"/>
      <c r="HCI243" s="16"/>
      <c r="HCJ243" s="16"/>
      <c r="HCK243" s="16"/>
      <c r="HCL243" s="16"/>
      <c r="HCM243" s="16"/>
      <c r="HCN243" s="15"/>
      <c r="HCO243" s="15"/>
      <c r="HCP243" s="10"/>
      <c r="HCQ243" s="10"/>
      <c r="HCR243" s="19"/>
      <c r="HCS243" s="19"/>
      <c r="HCV243" s="16"/>
      <c r="HCW243" s="15"/>
      <c r="HCX243" s="15"/>
      <c r="HCY243" s="15"/>
      <c r="HCZ243" s="16"/>
      <c r="HDA243" s="16"/>
      <c r="HDB243" s="16"/>
      <c r="HDC243" s="16"/>
      <c r="HDD243" s="16"/>
      <c r="HDE243" s="15"/>
      <c r="HDF243" s="15"/>
      <c r="HDG243" s="10"/>
      <c r="HDH243" s="10"/>
      <c r="HDI243" s="19"/>
      <c r="HDJ243" s="19"/>
      <c r="HDM243" s="16"/>
      <c r="HDN243" s="15"/>
      <c r="HDO243" s="15"/>
      <c r="HDP243" s="15"/>
      <c r="HDQ243" s="16"/>
      <c r="HDR243" s="16"/>
      <c r="HDS243" s="16"/>
      <c r="HDT243" s="16"/>
      <c r="HDU243" s="16"/>
      <c r="HDV243" s="15"/>
      <c r="HDW243" s="15"/>
      <c r="HDX243" s="10"/>
      <c r="HDY243" s="10"/>
      <c r="HDZ243" s="19"/>
      <c r="HEA243" s="19"/>
      <c r="HED243" s="16"/>
      <c r="HEE243" s="15"/>
      <c r="HEF243" s="15"/>
      <c r="HEG243" s="15"/>
      <c r="HEH243" s="16"/>
      <c r="HEI243" s="16"/>
      <c r="HEJ243" s="16"/>
      <c r="HEK243" s="16"/>
      <c r="HEL243" s="16"/>
      <c r="HEM243" s="15"/>
      <c r="HEN243" s="15"/>
      <c r="HEO243" s="10"/>
      <c r="HEP243" s="10"/>
      <c r="HEQ243" s="19"/>
      <c r="HER243" s="19"/>
      <c r="HEU243" s="16"/>
      <c r="HEV243" s="15"/>
      <c r="HEW243" s="15"/>
      <c r="HEX243" s="15"/>
      <c r="HEY243" s="16"/>
      <c r="HEZ243" s="16"/>
      <c r="HFA243" s="16"/>
      <c r="HFB243" s="16"/>
      <c r="HFC243" s="16"/>
      <c r="HFD243" s="15"/>
      <c r="HFE243" s="15"/>
      <c r="HFF243" s="10"/>
      <c r="HFG243" s="10"/>
      <c r="HFH243" s="19"/>
      <c r="HFI243" s="19"/>
      <c r="HFL243" s="16"/>
      <c r="HFM243" s="15"/>
      <c r="HFN243" s="15"/>
      <c r="HFO243" s="15"/>
      <c r="HFP243" s="16"/>
      <c r="HFQ243" s="16"/>
      <c r="HFR243" s="16"/>
      <c r="HFS243" s="16"/>
      <c r="HFT243" s="16"/>
      <c r="HFU243" s="15"/>
      <c r="HFV243" s="15"/>
      <c r="HFW243" s="10"/>
      <c r="HFX243" s="10"/>
      <c r="HFY243" s="19"/>
      <c r="HFZ243" s="19"/>
      <c r="HGC243" s="16"/>
      <c r="HGD243" s="15"/>
      <c r="HGE243" s="15"/>
      <c r="HGF243" s="15"/>
      <c r="HGG243" s="16"/>
      <c r="HGH243" s="16"/>
      <c r="HGI243" s="16"/>
      <c r="HGJ243" s="16"/>
      <c r="HGK243" s="16"/>
      <c r="HGL243" s="15"/>
      <c r="HGM243" s="15"/>
      <c r="HGN243" s="10"/>
      <c r="HGO243" s="10"/>
      <c r="HGP243" s="19"/>
      <c r="HGQ243" s="19"/>
      <c r="HGT243" s="16"/>
      <c r="HGU243" s="15"/>
      <c r="HGV243" s="15"/>
      <c r="HGW243" s="15"/>
      <c r="HGX243" s="16"/>
      <c r="HGY243" s="16"/>
      <c r="HGZ243" s="16"/>
      <c r="HHA243" s="16"/>
      <c r="HHB243" s="16"/>
      <c r="HHC243" s="15"/>
      <c r="HHD243" s="15"/>
      <c r="HHE243" s="10"/>
      <c r="HHF243" s="10"/>
      <c r="HHG243" s="19"/>
      <c r="HHH243" s="19"/>
      <c r="HHK243" s="16"/>
      <c r="HHL243" s="15"/>
      <c r="HHM243" s="15"/>
      <c r="HHN243" s="15"/>
      <c r="HHO243" s="16"/>
      <c r="HHP243" s="16"/>
      <c r="HHQ243" s="16"/>
      <c r="HHR243" s="16"/>
      <c r="HHS243" s="16"/>
      <c r="HHT243" s="15"/>
      <c r="HHU243" s="15"/>
      <c r="HHV243" s="10"/>
      <c r="HHW243" s="10"/>
      <c r="HHX243" s="19"/>
      <c r="HHY243" s="19"/>
      <c r="HIB243" s="16"/>
      <c r="HIC243" s="15"/>
      <c r="HID243" s="15"/>
      <c r="HIE243" s="15"/>
      <c r="HIF243" s="16"/>
      <c r="HIG243" s="16"/>
      <c r="HIH243" s="16"/>
      <c r="HII243" s="16"/>
      <c r="HIJ243" s="16"/>
      <c r="HIK243" s="15"/>
      <c r="HIL243" s="15"/>
      <c r="HIM243" s="10"/>
      <c r="HIN243" s="10"/>
      <c r="HIO243" s="19"/>
      <c r="HIP243" s="19"/>
      <c r="HIS243" s="16"/>
      <c r="HIT243" s="15"/>
      <c r="HIU243" s="15"/>
      <c r="HIV243" s="15"/>
      <c r="HIW243" s="16"/>
      <c r="HIX243" s="16"/>
      <c r="HIY243" s="16"/>
      <c r="HIZ243" s="16"/>
      <c r="HJA243" s="16"/>
      <c r="HJB243" s="15"/>
      <c r="HJC243" s="15"/>
      <c r="HJD243" s="10"/>
      <c r="HJE243" s="10"/>
      <c r="HJF243" s="19"/>
      <c r="HJG243" s="19"/>
      <c r="HJJ243" s="16"/>
      <c r="HJK243" s="15"/>
      <c r="HJL243" s="15"/>
      <c r="HJM243" s="15"/>
      <c r="HJN243" s="16"/>
      <c r="HJO243" s="16"/>
      <c r="HJP243" s="16"/>
      <c r="HJQ243" s="16"/>
      <c r="HJR243" s="16"/>
      <c r="HJS243" s="15"/>
      <c r="HJT243" s="15"/>
      <c r="HJU243" s="10"/>
      <c r="HJV243" s="10"/>
      <c r="HJW243" s="19"/>
      <c r="HJX243" s="19"/>
      <c r="HKA243" s="16"/>
      <c r="HKB243" s="15"/>
      <c r="HKC243" s="15"/>
      <c r="HKD243" s="15"/>
      <c r="HKE243" s="16"/>
      <c r="HKF243" s="16"/>
      <c r="HKG243" s="16"/>
      <c r="HKH243" s="16"/>
      <c r="HKI243" s="16"/>
      <c r="HKJ243" s="15"/>
      <c r="HKK243" s="15"/>
      <c r="HKL243" s="10"/>
      <c r="HKM243" s="10"/>
      <c r="HKN243" s="19"/>
      <c r="HKO243" s="19"/>
      <c r="HKR243" s="16"/>
      <c r="HKS243" s="15"/>
      <c r="HKT243" s="15"/>
      <c r="HKU243" s="15"/>
      <c r="HKV243" s="16"/>
      <c r="HKW243" s="16"/>
      <c r="HKX243" s="16"/>
      <c r="HKY243" s="16"/>
      <c r="HKZ243" s="16"/>
      <c r="HLA243" s="15"/>
      <c r="HLB243" s="15"/>
      <c r="HLC243" s="10"/>
      <c r="HLD243" s="10"/>
      <c r="HLE243" s="19"/>
      <c r="HLF243" s="19"/>
      <c r="HLI243" s="16"/>
      <c r="HLJ243" s="15"/>
      <c r="HLK243" s="15"/>
      <c r="HLL243" s="15"/>
      <c r="HLM243" s="16"/>
      <c r="HLN243" s="16"/>
      <c r="HLO243" s="16"/>
      <c r="HLP243" s="16"/>
      <c r="HLQ243" s="16"/>
      <c r="HLR243" s="15"/>
      <c r="HLS243" s="15"/>
      <c r="HLT243" s="10"/>
      <c r="HLU243" s="10"/>
      <c r="HLV243" s="19"/>
      <c r="HLW243" s="19"/>
      <c r="HLZ243" s="16"/>
      <c r="HMA243" s="15"/>
      <c r="HMB243" s="15"/>
      <c r="HMC243" s="15"/>
      <c r="HMD243" s="16"/>
      <c r="HME243" s="16"/>
      <c r="HMF243" s="16"/>
      <c r="HMG243" s="16"/>
      <c r="HMH243" s="16"/>
      <c r="HMI243" s="15"/>
      <c r="HMJ243" s="15"/>
      <c r="HMK243" s="10"/>
      <c r="HML243" s="10"/>
      <c r="HMM243" s="19"/>
      <c r="HMN243" s="19"/>
      <c r="HMQ243" s="16"/>
      <c r="HMR243" s="15"/>
      <c r="HMS243" s="15"/>
      <c r="HMT243" s="15"/>
      <c r="HMU243" s="16"/>
      <c r="HMV243" s="16"/>
      <c r="HMW243" s="16"/>
      <c r="HMX243" s="16"/>
      <c r="HMY243" s="16"/>
      <c r="HMZ243" s="15"/>
      <c r="HNA243" s="15"/>
      <c r="HNB243" s="10"/>
      <c r="HNC243" s="10"/>
      <c r="HND243" s="19"/>
      <c r="HNE243" s="19"/>
      <c r="HNH243" s="16"/>
      <c r="HNI243" s="15"/>
      <c r="HNJ243" s="15"/>
      <c r="HNK243" s="15"/>
      <c r="HNL243" s="16"/>
      <c r="HNM243" s="16"/>
      <c r="HNN243" s="16"/>
      <c r="HNO243" s="16"/>
      <c r="HNP243" s="16"/>
      <c r="HNQ243" s="15"/>
      <c r="HNR243" s="15"/>
      <c r="HNS243" s="10"/>
      <c r="HNT243" s="10"/>
      <c r="HNU243" s="19"/>
      <c r="HNV243" s="19"/>
      <c r="HNY243" s="16"/>
      <c r="HNZ243" s="15"/>
      <c r="HOA243" s="15"/>
      <c r="HOB243" s="15"/>
      <c r="HOC243" s="16"/>
      <c r="HOD243" s="16"/>
      <c r="HOE243" s="16"/>
      <c r="HOF243" s="16"/>
      <c r="HOG243" s="16"/>
      <c r="HOH243" s="15"/>
      <c r="HOI243" s="15"/>
      <c r="HOJ243" s="10"/>
      <c r="HOK243" s="10"/>
      <c r="HOL243" s="19"/>
      <c r="HOM243" s="19"/>
      <c r="HOP243" s="16"/>
      <c r="HOQ243" s="15"/>
      <c r="HOR243" s="15"/>
      <c r="HOS243" s="15"/>
      <c r="HOT243" s="16"/>
      <c r="HOU243" s="16"/>
      <c r="HOV243" s="16"/>
      <c r="HOW243" s="16"/>
      <c r="HOX243" s="16"/>
      <c r="HOY243" s="15"/>
      <c r="HOZ243" s="15"/>
      <c r="HPA243" s="10"/>
      <c r="HPB243" s="10"/>
      <c r="HPC243" s="19"/>
      <c r="HPD243" s="19"/>
      <c r="HPG243" s="16"/>
      <c r="HPH243" s="15"/>
      <c r="HPI243" s="15"/>
      <c r="HPJ243" s="15"/>
      <c r="HPK243" s="16"/>
      <c r="HPL243" s="16"/>
      <c r="HPM243" s="16"/>
      <c r="HPN243" s="16"/>
      <c r="HPO243" s="16"/>
      <c r="HPP243" s="15"/>
      <c r="HPQ243" s="15"/>
      <c r="HPR243" s="10"/>
      <c r="HPS243" s="10"/>
      <c r="HPT243" s="19"/>
      <c r="HPU243" s="19"/>
      <c r="HPX243" s="16"/>
      <c r="HPY243" s="15"/>
      <c r="HPZ243" s="15"/>
      <c r="HQA243" s="15"/>
      <c r="HQB243" s="16"/>
      <c r="HQC243" s="16"/>
      <c r="HQD243" s="16"/>
      <c r="HQE243" s="16"/>
      <c r="HQF243" s="16"/>
      <c r="HQG243" s="15"/>
      <c r="HQH243" s="15"/>
      <c r="HQI243" s="10"/>
      <c r="HQJ243" s="10"/>
      <c r="HQK243" s="19"/>
      <c r="HQL243" s="19"/>
      <c r="HQO243" s="16"/>
      <c r="HQP243" s="15"/>
      <c r="HQQ243" s="15"/>
      <c r="HQR243" s="15"/>
      <c r="HQS243" s="16"/>
      <c r="HQT243" s="16"/>
      <c r="HQU243" s="16"/>
      <c r="HQV243" s="16"/>
      <c r="HQW243" s="16"/>
      <c r="HQX243" s="15"/>
      <c r="HQY243" s="15"/>
      <c r="HQZ243" s="10"/>
      <c r="HRA243" s="10"/>
      <c r="HRB243" s="19"/>
      <c r="HRC243" s="19"/>
      <c r="HRF243" s="16"/>
      <c r="HRG243" s="15"/>
      <c r="HRH243" s="15"/>
      <c r="HRI243" s="15"/>
      <c r="HRJ243" s="16"/>
      <c r="HRK243" s="16"/>
      <c r="HRL243" s="16"/>
      <c r="HRM243" s="16"/>
      <c r="HRN243" s="16"/>
      <c r="HRO243" s="15"/>
      <c r="HRP243" s="15"/>
      <c r="HRQ243" s="10"/>
      <c r="HRR243" s="10"/>
      <c r="HRS243" s="19"/>
      <c r="HRT243" s="19"/>
      <c r="HRW243" s="16"/>
      <c r="HRX243" s="15"/>
      <c r="HRY243" s="15"/>
      <c r="HRZ243" s="15"/>
      <c r="HSA243" s="16"/>
      <c r="HSB243" s="16"/>
      <c r="HSC243" s="16"/>
      <c r="HSD243" s="16"/>
      <c r="HSE243" s="16"/>
      <c r="HSF243" s="15"/>
      <c r="HSG243" s="15"/>
      <c r="HSH243" s="10"/>
      <c r="HSI243" s="10"/>
      <c r="HSJ243" s="19"/>
      <c r="HSK243" s="19"/>
      <c r="HSN243" s="16"/>
      <c r="HSO243" s="15"/>
      <c r="HSP243" s="15"/>
      <c r="HSQ243" s="15"/>
      <c r="HSR243" s="16"/>
      <c r="HSS243" s="16"/>
      <c r="HST243" s="16"/>
      <c r="HSU243" s="16"/>
      <c r="HSV243" s="16"/>
      <c r="HSW243" s="15"/>
      <c r="HSX243" s="15"/>
      <c r="HSY243" s="10"/>
      <c r="HSZ243" s="10"/>
      <c r="HTA243" s="19"/>
      <c r="HTB243" s="19"/>
      <c r="HTE243" s="16"/>
      <c r="HTF243" s="15"/>
      <c r="HTG243" s="15"/>
      <c r="HTH243" s="15"/>
      <c r="HTI243" s="16"/>
      <c r="HTJ243" s="16"/>
      <c r="HTK243" s="16"/>
      <c r="HTL243" s="16"/>
      <c r="HTM243" s="16"/>
      <c r="HTN243" s="15"/>
      <c r="HTO243" s="15"/>
      <c r="HTP243" s="10"/>
      <c r="HTQ243" s="10"/>
      <c r="HTR243" s="19"/>
      <c r="HTS243" s="19"/>
      <c r="HTV243" s="16"/>
      <c r="HTW243" s="15"/>
      <c r="HTX243" s="15"/>
      <c r="HTY243" s="15"/>
      <c r="HTZ243" s="16"/>
      <c r="HUA243" s="16"/>
      <c r="HUB243" s="16"/>
      <c r="HUC243" s="16"/>
      <c r="HUD243" s="16"/>
      <c r="HUE243" s="15"/>
      <c r="HUF243" s="15"/>
      <c r="HUG243" s="10"/>
      <c r="HUH243" s="10"/>
      <c r="HUI243" s="19"/>
      <c r="HUJ243" s="19"/>
      <c r="HUM243" s="16"/>
      <c r="HUN243" s="15"/>
      <c r="HUO243" s="15"/>
      <c r="HUP243" s="15"/>
      <c r="HUQ243" s="16"/>
      <c r="HUR243" s="16"/>
      <c r="HUS243" s="16"/>
      <c r="HUT243" s="16"/>
      <c r="HUU243" s="16"/>
      <c r="HUV243" s="15"/>
      <c r="HUW243" s="15"/>
      <c r="HUX243" s="10"/>
      <c r="HUY243" s="10"/>
      <c r="HUZ243" s="19"/>
      <c r="HVA243" s="19"/>
      <c r="HVD243" s="16"/>
      <c r="HVE243" s="15"/>
      <c r="HVF243" s="15"/>
      <c r="HVG243" s="15"/>
      <c r="HVH243" s="16"/>
      <c r="HVI243" s="16"/>
      <c r="HVJ243" s="16"/>
      <c r="HVK243" s="16"/>
      <c r="HVL243" s="16"/>
      <c r="HVM243" s="15"/>
      <c r="HVN243" s="15"/>
      <c r="HVO243" s="10"/>
      <c r="HVP243" s="10"/>
      <c r="HVQ243" s="19"/>
      <c r="HVR243" s="19"/>
      <c r="HVU243" s="16"/>
      <c r="HVV243" s="15"/>
      <c r="HVW243" s="15"/>
      <c r="HVX243" s="15"/>
      <c r="HVY243" s="16"/>
      <c r="HVZ243" s="16"/>
      <c r="HWA243" s="16"/>
      <c r="HWB243" s="16"/>
      <c r="HWC243" s="16"/>
      <c r="HWD243" s="15"/>
      <c r="HWE243" s="15"/>
      <c r="HWF243" s="10"/>
      <c r="HWG243" s="10"/>
      <c r="HWH243" s="19"/>
      <c r="HWI243" s="19"/>
      <c r="HWL243" s="16"/>
      <c r="HWM243" s="15"/>
      <c r="HWN243" s="15"/>
      <c r="HWO243" s="15"/>
      <c r="HWP243" s="16"/>
      <c r="HWQ243" s="16"/>
      <c r="HWR243" s="16"/>
      <c r="HWS243" s="16"/>
      <c r="HWT243" s="16"/>
      <c r="HWU243" s="15"/>
      <c r="HWV243" s="15"/>
      <c r="HWW243" s="10"/>
      <c r="HWX243" s="10"/>
      <c r="HWY243" s="19"/>
      <c r="HWZ243" s="19"/>
      <c r="HXC243" s="16"/>
      <c r="HXD243" s="15"/>
      <c r="HXE243" s="15"/>
      <c r="HXF243" s="15"/>
      <c r="HXG243" s="16"/>
      <c r="HXH243" s="16"/>
      <c r="HXI243" s="16"/>
      <c r="HXJ243" s="16"/>
      <c r="HXK243" s="16"/>
      <c r="HXL243" s="15"/>
      <c r="HXM243" s="15"/>
      <c r="HXN243" s="10"/>
      <c r="HXO243" s="10"/>
      <c r="HXP243" s="19"/>
      <c r="HXQ243" s="19"/>
      <c r="HXT243" s="16"/>
      <c r="HXU243" s="15"/>
      <c r="HXV243" s="15"/>
      <c r="HXW243" s="15"/>
      <c r="HXX243" s="16"/>
      <c r="HXY243" s="16"/>
      <c r="HXZ243" s="16"/>
      <c r="HYA243" s="16"/>
      <c r="HYB243" s="16"/>
      <c r="HYC243" s="15"/>
      <c r="HYD243" s="15"/>
      <c r="HYE243" s="10"/>
      <c r="HYF243" s="10"/>
      <c r="HYG243" s="19"/>
      <c r="HYH243" s="19"/>
      <c r="HYK243" s="16"/>
      <c r="HYL243" s="15"/>
      <c r="HYM243" s="15"/>
      <c r="HYN243" s="15"/>
      <c r="HYO243" s="16"/>
      <c r="HYP243" s="16"/>
      <c r="HYQ243" s="16"/>
      <c r="HYR243" s="16"/>
      <c r="HYS243" s="16"/>
      <c r="HYT243" s="15"/>
      <c r="HYU243" s="15"/>
      <c r="HYV243" s="10"/>
      <c r="HYW243" s="10"/>
      <c r="HYX243" s="19"/>
      <c r="HYY243" s="19"/>
      <c r="HZB243" s="16"/>
      <c r="HZC243" s="15"/>
      <c r="HZD243" s="15"/>
      <c r="HZE243" s="15"/>
      <c r="HZF243" s="16"/>
      <c r="HZG243" s="16"/>
      <c r="HZH243" s="16"/>
      <c r="HZI243" s="16"/>
      <c r="HZJ243" s="16"/>
      <c r="HZK243" s="15"/>
      <c r="HZL243" s="15"/>
      <c r="HZM243" s="10"/>
      <c r="HZN243" s="10"/>
      <c r="HZO243" s="19"/>
      <c r="HZP243" s="19"/>
      <c r="HZS243" s="16"/>
      <c r="HZT243" s="15"/>
      <c r="HZU243" s="15"/>
      <c r="HZV243" s="15"/>
      <c r="HZW243" s="16"/>
      <c r="HZX243" s="16"/>
      <c r="HZY243" s="16"/>
      <c r="HZZ243" s="16"/>
      <c r="IAA243" s="16"/>
      <c r="IAB243" s="15"/>
      <c r="IAC243" s="15"/>
      <c r="IAD243" s="10"/>
      <c r="IAE243" s="10"/>
      <c r="IAF243" s="19"/>
      <c r="IAG243" s="19"/>
      <c r="IAJ243" s="16"/>
      <c r="IAK243" s="15"/>
      <c r="IAL243" s="15"/>
      <c r="IAM243" s="15"/>
      <c r="IAN243" s="16"/>
      <c r="IAO243" s="16"/>
      <c r="IAP243" s="16"/>
      <c r="IAQ243" s="16"/>
      <c r="IAR243" s="16"/>
      <c r="IAS243" s="15"/>
      <c r="IAT243" s="15"/>
      <c r="IAU243" s="10"/>
      <c r="IAV243" s="10"/>
      <c r="IAW243" s="19"/>
      <c r="IAX243" s="19"/>
      <c r="IBA243" s="16"/>
      <c r="IBB243" s="15"/>
      <c r="IBC243" s="15"/>
      <c r="IBD243" s="15"/>
      <c r="IBE243" s="16"/>
      <c r="IBF243" s="16"/>
      <c r="IBG243" s="16"/>
      <c r="IBH243" s="16"/>
      <c r="IBI243" s="16"/>
      <c r="IBJ243" s="15"/>
      <c r="IBK243" s="15"/>
      <c r="IBL243" s="10"/>
      <c r="IBM243" s="10"/>
      <c r="IBN243" s="19"/>
      <c r="IBO243" s="19"/>
      <c r="IBR243" s="16"/>
      <c r="IBS243" s="15"/>
      <c r="IBT243" s="15"/>
      <c r="IBU243" s="15"/>
      <c r="IBV243" s="16"/>
      <c r="IBW243" s="16"/>
      <c r="IBX243" s="16"/>
      <c r="IBY243" s="16"/>
      <c r="IBZ243" s="16"/>
      <c r="ICA243" s="15"/>
      <c r="ICB243" s="15"/>
      <c r="ICC243" s="10"/>
      <c r="ICD243" s="10"/>
      <c r="ICE243" s="19"/>
      <c r="ICF243" s="19"/>
      <c r="ICI243" s="16"/>
      <c r="ICJ243" s="15"/>
      <c r="ICK243" s="15"/>
      <c r="ICL243" s="15"/>
      <c r="ICM243" s="16"/>
      <c r="ICN243" s="16"/>
      <c r="ICO243" s="16"/>
      <c r="ICP243" s="16"/>
      <c r="ICQ243" s="16"/>
      <c r="ICR243" s="15"/>
      <c r="ICS243" s="15"/>
      <c r="ICT243" s="10"/>
      <c r="ICU243" s="10"/>
      <c r="ICV243" s="19"/>
      <c r="ICW243" s="19"/>
      <c r="ICZ243" s="16"/>
      <c r="IDA243" s="15"/>
      <c r="IDB243" s="15"/>
      <c r="IDC243" s="15"/>
      <c r="IDD243" s="16"/>
      <c r="IDE243" s="16"/>
      <c r="IDF243" s="16"/>
      <c r="IDG243" s="16"/>
      <c r="IDH243" s="16"/>
      <c r="IDI243" s="15"/>
      <c r="IDJ243" s="15"/>
      <c r="IDK243" s="10"/>
      <c r="IDL243" s="10"/>
      <c r="IDM243" s="19"/>
      <c r="IDN243" s="19"/>
      <c r="IDQ243" s="16"/>
      <c r="IDR243" s="15"/>
      <c r="IDS243" s="15"/>
      <c r="IDT243" s="15"/>
      <c r="IDU243" s="16"/>
      <c r="IDV243" s="16"/>
      <c r="IDW243" s="16"/>
      <c r="IDX243" s="16"/>
      <c r="IDY243" s="16"/>
      <c r="IDZ243" s="15"/>
      <c r="IEA243" s="15"/>
      <c r="IEB243" s="10"/>
      <c r="IEC243" s="10"/>
      <c r="IED243" s="19"/>
      <c r="IEE243" s="19"/>
      <c r="IEH243" s="16"/>
      <c r="IEI243" s="15"/>
      <c r="IEJ243" s="15"/>
      <c r="IEK243" s="15"/>
      <c r="IEL243" s="16"/>
      <c r="IEM243" s="16"/>
      <c r="IEN243" s="16"/>
      <c r="IEO243" s="16"/>
      <c r="IEP243" s="16"/>
      <c r="IEQ243" s="15"/>
      <c r="IER243" s="15"/>
      <c r="IES243" s="10"/>
      <c r="IET243" s="10"/>
      <c r="IEU243" s="19"/>
      <c r="IEV243" s="19"/>
      <c r="IEY243" s="16"/>
      <c r="IEZ243" s="15"/>
      <c r="IFA243" s="15"/>
      <c r="IFB243" s="15"/>
      <c r="IFC243" s="16"/>
      <c r="IFD243" s="16"/>
      <c r="IFE243" s="16"/>
      <c r="IFF243" s="16"/>
      <c r="IFG243" s="16"/>
      <c r="IFH243" s="15"/>
      <c r="IFI243" s="15"/>
      <c r="IFJ243" s="10"/>
      <c r="IFK243" s="10"/>
      <c r="IFL243" s="19"/>
      <c r="IFM243" s="19"/>
      <c r="IFP243" s="16"/>
      <c r="IFQ243" s="15"/>
      <c r="IFR243" s="15"/>
      <c r="IFS243" s="15"/>
      <c r="IFT243" s="16"/>
      <c r="IFU243" s="16"/>
      <c r="IFV243" s="16"/>
      <c r="IFW243" s="16"/>
      <c r="IFX243" s="16"/>
      <c r="IFY243" s="15"/>
      <c r="IFZ243" s="15"/>
      <c r="IGA243" s="10"/>
      <c r="IGB243" s="10"/>
      <c r="IGC243" s="19"/>
      <c r="IGD243" s="19"/>
      <c r="IGG243" s="16"/>
      <c r="IGH243" s="15"/>
      <c r="IGI243" s="15"/>
      <c r="IGJ243" s="15"/>
      <c r="IGK243" s="16"/>
      <c r="IGL243" s="16"/>
      <c r="IGM243" s="16"/>
      <c r="IGN243" s="16"/>
      <c r="IGO243" s="16"/>
      <c r="IGP243" s="15"/>
      <c r="IGQ243" s="15"/>
      <c r="IGR243" s="10"/>
      <c r="IGS243" s="10"/>
      <c r="IGT243" s="19"/>
      <c r="IGU243" s="19"/>
      <c r="IGX243" s="16"/>
      <c r="IGY243" s="15"/>
      <c r="IGZ243" s="15"/>
      <c r="IHA243" s="15"/>
      <c r="IHB243" s="16"/>
      <c r="IHC243" s="16"/>
      <c r="IHD243" s="16"/>
      <c r="IHE243" s="16"/>
      <c r="IHF243" s="16"/>
      <c r="IHG243" s="15"/>
      <c r="IHH243" s="15"/>
      <c r="IHI243" s="10"/>
      <c r="IHJ243" s="10"/>
      <c r="IHK243" s="19"/>
      <c r="IHL243" s="19"/>
      <c r="IHO243" s="16"/>
      <c r="IHP243" s="15"/>
      <c r="IHQ243" s="15"/>
      <c r="IHR243" s="15"/>
      <c r="IHS243" s="16"/>
      <c r="IHT243" s="16"/>
      <c r="IHU243" s="16"/>
      <c r="IHV243" s="16"/>
      <c r="IHW243" s="16"/>
      <c r="IHX243" s="15"/>
      <c r="IHY243" s="15"/>
      <c r="IHZ243" s="10"/>
      <c r="IIA243" s="10"/>
      <c r="IIB243" s="19"/>
      <c r="IIC243" s="19"/>
      <c r="IIF243" s="16"/>
      <c r="IIG243" s="15"/>
      <c r="IIH243" s="15"/>
      <c r="III243" s="15"/>
      <c r="IIJ243" s="16"/>
      <c r="IIK243" s="16"/>
      <c r="IIL243" s="16"/>
      <c r="IIM243" s="16"/>
      <c r="IIN243" s="16"/>
      <c r="IIO243" s="15"/>
      <c r="IIP243" s="15"/>
      <c r="IIQ243" s="10"/>
      <c r="IIR243" s="10"/>
      <c r="IIS243" s="19"/>
      <c r="IIT243" s="19"/>
      <c r="IIW243" s="16"/>
      <c r="IIX243" s="15"/>
      <c r="IIY243" s="15"/>
      <c r="IIZ243" s="15"/>
      <c r="IJA243" s="16"/>
      <c r="IJB243" s="16"/>
      <c r="IJC243" s="16"/>
      <c r="IJD243" s="16"/>
      <c r="IJE243" s="16"/>
      <c r="IJF243" s="15"/>
      <c r="IJG243" s="15"/>
      <c r="IJH243" s="10"/>
      <c r="IJI243" s="10"/>
      <c r="IJJ243" s="19"/>
      <c r="IJK243" s="19"/>
      <c r="IJN243" s="16"/>
      <c r="IJO243" s="15"/>
      <c r="IJP243" s="15"/>
      <c r="IJQ243" s="15"/>
      <c r="IJR243" s="16"/>
      <c r="IJS243" s="16"/>
      <c r="IJT243" s="16"/>
      <c r="IJU243" s="16"/>
      <c r="IJV243" s="16"/>
      <c r="IJW243" s="15"/>
      <c r="IJX243" s="15"/>
      <c r="IJY243" s="10"/>
      <c r="IJZ243" s="10"/>
      <c r="IKA243" s="19"/>
      <c r="IKB243" s="19"/>
      <c r="IKE243" s="16"/>
      <c r="IKF243" s="15"/>
      <c r="IKG243" s="15"/>
      <c r="IKH243" s="15"/>
      <c r="IKI243" s="16"/>
      <c r="IKJ243" s="16"/>
      <c r="IKK243" s="16"/>
      <c r="IKL243" s="16"/>
      <c r="IKM243" s="16"/>
      <c r="IKN243" s="15"/>
      <c r="IKO243" s="15"/>
      <c r="IKP243" s="10"/>
      <c r="IKQ243" s="10"/>
      <c r="IKR243" s="19"/>
      <c r="IKS243" s="19"/>
      <c r="IKV243" s="16"/>
      <c r="IKW243" s="15"/>
      <c r="IKX243" s="15"/>
      <c r="IKY243" s="15"/>
      <c r="IKZ243" s="16"/>
      <c r="ILA243" s="16"/>
      <c r="ILB243" s="16"/>
      <c r="ILC243" s="16"/>
      <c r="ILD243" s="16"/>
      <c r="ILE243" s="15"/>
      <c r="ILF243" s="15"/>
      <c r="ILG243" s="10"/>
      <c r="ILH243" s="10"/>
      <c r="ILI243" s="19"/>
      <c r="ILJ243" s="19"/>
      <c r="ILM243" s="16"/>
      <c r="ILN243" s="15"/>
      <c r="ILO243" s="15"/>
      <c r="ILP243" s="15"/>
      <c r="ILQ243" s="16"/>
      <c r="ILR243" s="16"/>
      <c r="ILS243" s="16"/>
      <c r="ILT243" s="16"/>
      <c r="ILU243" s="16"/>
      <c r="ILV243" s="15"/>
      <c r="ILW243" s="15"/>
      <c r="ILX243" s="10"/>
      <c r="ILY243" s="10"/>
      <c r="ILZ243" s="19"/>
      <c r="IMA243" s="19"/>
      <c r="IMD243" s="16"/>
      <c r="IME243" s="15"/>
      <c r="IMF243" s="15"/>
      <c r="IMG243" s="15"/>
      <c r="IMH243" s="16"/>
      <c r="IMI243" s="16"/>
      <c r="IMJ243" s="16"/>
      <c r="IMK243" s="16"/>
      <c r="IML243" s="16"/>
      <c r="IMM243" s="15"/>
      <c r="IMN243" s="15"/>
      <c r="IMO243" s="10"/>
      <c r="IMP243" s="10"/>
      <c r="IMQ243" s="19"/>
      <c r="IMR243" s="19"/>
      <c r="IMU243" s="16"/>
      <c r="IMV243" s="15"/>
      <c r="IMW243" s="15"/>
      <c r="IMX243" s="15"/>
      <c r="IMY243" s="16"/>
      <c r="IMZ243" s="16"/>
      <c r="INA243" s="16"/>
      <c r="INB243" s="16"/>
      <c r="INC243" s="16"/>
      <c r="IND243" s="15"/>
      <c r="INE243" s="15"/>
      <c r="INF243" s="10"/>
      <c r="ING243" s="10"/>
      <c r="INH243" s="19"/>
      <c r="INI243" s="19"/>
      <c r="INL243" s="16"/>
      <c r="INM243" s="15"/>
      <c r="INN243" s="15"/>
      <c r="INO243" s="15"/>
      <c r="INP243" s="16"/>
      <c r="INQ243" s="16"/>
      <c r="INR243" s="16"/>
      <c r="INS243" s="16"/>
      <c r="INT243" s="16"/>
      <c r="INU243" s="15"/>
      <c r="INV243" s="15"/>
      <c r="INW243" s="10"/>
      <c r="INX243" s="10"/>
      <c r="INY243" s="19"/>
      <c r="INZ243" s="19"/>
      <c r="IOC243" s="16"/>
      <c r="IOD243" s="15"/>
      <c r="IOE243" s="15"/>
      <c r="IOF243" s="15"/>
      <c r="IOG243" s="16"/>
      <c r="IOH243" s="16"/>
      <c r="IOI243" s="16"/>
      <c r="IOJ243" s="16"/>
      <c r="IOK243" s="16"/>
      <c r="IOL243" s="15"/>
      <c r="IOM243" s="15"/>
      <c r="ION243" s="10"/>
      <c r="IOO243" s="10"/>
      <c r="IOP243" s="19"/>
      <c r="IOQ243" s="19"/>
      <c r="IOT243" s="16"/>
      <c r="IOU243" s="15"/>
      <c r="IOV243" s="15"/>
      <c r="IOW243" s="15"/>
      <c r="IOX243" s="16"/>
      <c r="IOY243" s="16"/>
      <c r="IOZ243" s="16"/>
      <c r="IPA243" s="16"/>
      <c r="IPB243" s="16"/>
      <c r="IPC243" s="15"/>
      <c r="IPD243" s="15"/>
      <c r="IPE243" s="10"/>
      <c r="IPF243" s="10"/>
      <c r="IPG243" s="19"/>
      <c r="IPH243" s="19"/>
      <c r="IPK243" s="16"/>
      <c r="IPL243" s="15"/>
      <c r="IPM243" s="15"/>
      <c r="IPN243" s="15"/>
      <c r="IPO243" s="16"/>
      <c r="IPP243" s="16"/>
      <c r="IPQ243" s="16"/>
      <c r="IPR243" s="16"/>
      <c r="IPS243" s="16"/>
      <c r="IPT243" s="15"/>
      <c r="IPU243" s="15"/>
      <c r="IPV243" s="10"/>
      <c r="IPW243" s="10"/>
      <c r="IPX243" s="19"/>
      <c r="IPY243" s="19"/>
      <c r="IQB243" s="16"/>
      <c r="IQC243" s="15"/>
      <c r="IQD243" s="15"/>
      <c r="IQE243" s="15"/>
      <c r="IQF243" s="16"/>
      <c r="IQG243" s="16"/>
      <c r="IQH243" s="16"/>
      <c r="IQI243" s="16"/>
      <c r="IQJ243" s="16"/>
      <c r="IQK243" s="15"/>
      <c r="IQL243" s="15"/>
      <c r="IQM243" s="10"/>
      <c r="IQN243" s="10"/>
      <c r="IQO243" s="19"/>
      <c r="IQP243" s="19"/>
      <c r="IQS243" s="16"/>
      <c r="IQT243" s="15"/>
      <c r="IQU243" s="15"/>
      <c r="IQV243" s="15"/>
      <c r="IQW243" s="16"/>
      <c r="IQX243" s="16"/>
      <c r="IQY243" s="16"/>
      <c r="IQZ243" s="16"/>
      <c r="IRA243" s="16"/>
      <c r="IRB243" s="15"/>
      <c r="IRC243" s="15"/>
      <c r="IRD243" s="10"/>
      <c r="IRE243" s="10"/>
      <c r="IRF243" s="19"/>
      <c r="IRG243" s="19"/>
      <c r="IRJ243" s="16"/>
      <c r="IRK243" s="15"/>
      <c r="IRL243" s="15"/>
      <c r="IRM243" s="15"/>
      <c r="IRN243" s="16"/>
      <c r="IRO243" s="16"/>
      <c r="IRP243" s="16"/>
      <c r="IRQ243" s="16"/>
      <c r="IRR243" s="16"/>
      <c r="IRS243" s="15"/>
      <c r="IRT243" s="15"/>
      <c r="IRU243" s="10"/>
      <c r="IRV243" s="10"/>
      <c r="IRW243" s="19"/>
      <c r="IRX243" s="19"/>
      <c r="ISA243" s="16"/>
      <c r="ISB243" s="15"/>
      <c r="ISC243" s="15"/>
      <c r="ISD243" s="15"/>
      <c r="ISE243" s="16"/>
      <c r="ISF243" s="16"/>
      <c r="ISG243" s="16"/>
      <c r="ISH243" s="16"/>
      <c r="ISI243" s="16"/>
      <c r="ISJ243" s="15"/>
      <c r="ISK243" s="15"/>
      <c r="ISL243" s="10"/>
      <c r="ISM243" s="10"/>
      <c r="ISN243" s="19"/>
      <c r="ISO243" s="19"/>
      <c r="ISR243" s="16"/>
      <c r="ISS243" s="15"/>
      <c r="IST243" s="15"/>
      <c r="ISU243" s="15"/>
      <c r="ISV243" s="16"/>
      <c r="ISW243" s="16"/>
      <c r="ISX243" s="16"/>
      <c r="ISY243" s="16"/>
      <c r="ISZ243" s="16"/>
      <c r="ITA243" s="15"/>
      <c r="ITB243" s="15"/>
      <c r="ITC243" s="10"/>
      <c r="ITD243" s="10"/>
      <c r="ITE243" s="19"/>
      <c r="ITF243" s="19"/>
      <c r="ITI243" s="16"/>
      <c r="ITJ243" s="15"/>
      <c r="ITK243" s="15"/>
      <c r="ITL243" s="15"/>
      <c r="ITM243" s="16"/>
      <c r="ITN243" s="16"/>
      <c r="ITO243" s="16"/>
      <c r="ITP243" s="16"/>
      <c r="ITQ243" s="16"/>
      <c r="ITR243" s="15"/>
      <c r="ITS243" s="15"/>
      <c r="ITT243" s="10"/>
      <c r="ITU243" s="10"/>
      <c r="ITV243" s="19"/>
      <c r="ITW243" s="19"/>
      <c r="ITZ243" s="16"/>
      <c r="IUA243" s="15"/>
      <c r="IUB243" s="15"/>
      <c r="IUC243" s="15"/>
      <c r="IUD243" s="16"/>
      <c r="IUE243" s="16"/>
      <c r="IUF243" s="16"/>
      <c r="IUG243" s="16"/>
      <c r="IUH243" s="16"/>
      <c r="IUI243" s="15"/>
      <c r="IUJ243" s="15"/>
      <c r="IUK243" s="10"/>
      <c r="IUL243" s="10"/>
      <c r="IUM243" s="19"/>
      <c r="IUN243" s="19"/>
      <c r="IUQ243" s="16"/>
      <c r="IUR243" s="15"/>
      <c r="IUS243" s="15"/>
      <c r="IUT243" s="15"/>
      <c r="IUU243" s="16"/>
      <c r="IUV243" s="16"/>
      <c r="IUW243" s="16"/>
      <c r="IUX243" s="16"/>
      <c r="IUY243" s="16"/>
      <c r="IUZ243" s="15"/>
      <c r="IVA243" s="15"/>
      <c r="IVB243" s="10"/>
      <c r="IVC243" s="10"/>
      <c r="IVD243" s="19"/>
      <c r="IVE243" s="19"/>
      <c r="IVH243" s="16"/>
      <c r="IVI243" s="15"/>
      <c r="IVJ243" s="15"/>
      <c r="IVK243" s="15"/>
      <c r="IVL243" s="16"/>
      <c r="IVM243" s="16"/>
      <c r="IVN243" s="16"/>
      <c r="IVO243" s="16"/>
      <c r="IVP243" s="16"/>
      <c r="IVQ243" s="15"/>
      <c r="IVR243" s="15"/>
      <c r="IVS243" s="10"/>
      <c r="IVT243" s="10"/>
      <c r="IVU243" s="19"/>
      <c r="IVV243" s="19"/>
      <c r="IVY243" s="16"/>
      <c r="IVZ243" s="15"/>
      <c r="IWA243" s="15"/>
      <c r="IWB243" s="15"/>
      <c r="IWC243" s="16"/>
      <c r="IWD243" s="16"/>
      <c r="IWE243" s="16"/>
      <c r="IWF243" s="16"/>
      <c r="IWG243" s="16"/>
      <c r="IWH243" s="15"/>
      <c r="IWI243" s="15"/>
      <c r="IWJ243" s="10"/>
      <c r="IWK243" s="10"/>
      <c r="IWL243" s="19"/>
      <c r="IWM243" s="19"/>
      <c r="IWP243" s="16"/>
      <c r="IWQ243" s="15"/>
      <c r="IWR243" s="15"/>
      <c r="IWS243" s="15"/>
      <c r="IWT243" s="16"/>
      <c r="IWU243" s="16"/>
      <c r="IWV243" s="16"/>
      <c r="IWW243" s="16"/>
      <c r="IWX243" s="16"/>
      <c r="IWY243" s="15"/>
      <c r="IWZ243" s="15"/>
      <c r="IXA243" s="10"/>
      <c r="IXB243" s="10"/>
      <c r="IXC243" s="19"/>
      <c r="IXD243" s="19"/>
      <c r="IXG243" s="16"/>
      <c r="IXH243" s="15"/>
      <c r="IXI243" s="15"/>
      <c r="IXJ243" s="15"/>
      <c r="IXK243" s="16"/>
      <c r="IXL243" s="16"/>
      <c r="IXM243" s="16"/>
      <c r="IXN243" s="16"/>
      <c r="IXO243" s="16"/>
      <c r="IXP243" s="15"/>
      <c r="IXQ243" s="15"/>
      <c r="IXR243" s="10"/>
      <c r="IXS243" s="10"/>
      <c r="IXT243" s="19"/>
      <c r="IXU243" s="19"/>
      <c r="IXX243" s="16"/>
      <c r="IXY243" s="15"/>
      <c r="IXZ243" s="15"/>
      <c r="IYA243" s="15"/>
      <c r="IYB243" s="16"/>
      <c r="IYC243" s="16"/>
      <c r="IYD243" s="16"/>
      <c r="IYE243" s="16"/>
      <c r="IYF243" s="16"/>
      <c r="IYG243" s="15"/>
      <c r="IYH243" s="15"/>
      <c r="IYI243" s="10"/>
      <c r="IYJ243" s="10"/>
      <c r="IYK243" s="19"/>
      <c r="IYL243" s="19"/>
      <c r="IYO243" s="16"/>
      <c r="IYP243" s="15"/>
      <c r="IYQ243" s="15"/>
      <c r="IYR243" s="15"/>
      <c r="IYS243" s="16"/>
      <c r="IYT243" s="16"/>
      <c r="IYU243" s="16"/>
      <c r="IYV243" s="16"/>
      <c r="IYW243" s="16"/>
      <c r="IYX243" s="15"/>
      <c r="IYY243" s="15"/>
      <c r="IYZ243" s="10"/>
      <c r="IZA243" s="10"/>
      <c r="IZB243" s="19"/>
      <c r="IZC243" s="19"/>
      <c r="IZF243" s="16"/>
      <c r="IZG243" s="15"/>
      <c r="IZH243" s="15"/>
      <c r="IZI243" s="15"/>
      <c r="IZJ243" s="16"/>
      <c r="IZK243" s="16"/>
      <c r="IZL243" s="16"/>
      <c r="IZM243" s="16"/>
      <c r="IZN243" s="16"/>
      <c r="IZO243" s="15"/>
      <c r="IZP243" s="15"/>
      <c r="IZQ243" s="10"/>
      <c r="IZR243" s="10"/>
      <c r="IZS243" s="19"/>
      <c r="IZT243" s="19"/>
      <c r="IZW243" s="16"/>
      <c r="IZX243" s="15"/>
      <c r="IZY243" s="15"/>
      <c r="IZZ243" s="15"/>
      <c r="JAA243" s="16"/>
      <c r="JAB243" s="16"/>
      <c r="JAC243" s="16"/>
      <c r="JAD243" s="16"/>
      <c r="JAE243" s="16"/>
      <c r="JAF243" s="15"/>
      <c r="JAG243" s="15"/>
      <c r="JAH243" s="10"/>
      <c r="JAI243" s="10"/>
      <c r="JAJ243" s="19"/>
      <c r="JAK243" s="19"/>
      <c r="JAN243" s="16"/>
      <c r="JAO243" s="15"/>
      <c r="JAP243" s="15"/>
      <c r="JAQ243" s="15"/>
      <c r="JAR243" s="16"/>
      <c r="JAS243" s="16"/>
      <c r="JAT243" s="16"/>
      <c r="JAU243" s="16"/>
      <c r="JAV243" s="16"/>
      <c r="JAW243" s="15"/>
      <c r="JAX243" s="15"/>
      <c r="JAY243" s="10"/>
      <c r="JAZ243" s="10"/>
      <c r="JBA243" s="19"/>
      <c r="JBB243" s="19"/>
      <c r="JBE243" s="16"/>
      <c r="JBF243" s="15"/>
      <c r="JBG243" s="15"/>
      <c r="JBH243" s="15"/>
      <c r="JBI243" s="16"/>
      <c r="JBJ243" s="16"/>
      <c r="JBK243" s="16"/>
      <c r="JBL243" s="16"/>
      <c r="JBM243" s="16"/>
      <c r="JBN243" s="15"/>
      <c r="JBO243" s="15"/>
      <c r="JBP243" s="10"/>
      <c r="JBQ243" s="10"/>
      <c r="JBR243" s="19"/>
      <c r="JBS243" s="19"/>
      <c r="JBV243" s="16"/>
      <c r="JBW243" s="15"/>
      <c r="JBX243" s="15"/>
      <c r="JBY243" s="15"/>
      <c r="JBZ243" s="16"/>
      <c r="JCA243" s="16"/>
      <c r="JCB243" s="16"/>
      <c r="JCC243" s="16"/>
      <c r="JCD243" s="16"/>
      <c r="JCE243" s="15"/>
      <c r="JCF243" s="15"/>
      <c r="JCG243" s="10"/>
      <c r="JCH243" s="10"/>
      <c r="JCI243" s="19"/>
      <c r="JCJ243" s="19"/>
      <c r="JCM243" s="16"/>
      <c r="JCN243" s="15"/>
      <c r="JCO243" s="15"/>
      <c r="JCP243" s="15"/>
      <c r="JCQ243" s="16"/>
      <c r="JCR243" s="16"/>
      <c r="JCS243" s="16"/>
      <c r="JCT243" s="16"/>
      <c r="JCU243" s="16"/>
      <c r="JCV243" s="15"/>
      <c r="JCW243" s="15"/>
      <c r="JCX243" s="10"/>
      <c r="JCY243" s="10"/>
      <c r="JCZ243" s="19"/>
      <c r="JDA243" s="19"/>
      <c r="JDD243" s="16"/>
      <c r="JDE243" s="15"/>
      <c r="JDF243" s="15"/>
      <c r="JDG243" s="15"/>
      <c r="JDH243" s="16"/>
      <c r="JDI243" s="16"/>
      <c r="JDJ243" s="16"/>
      <c r="JDK243" s="16"/>
      <c r="JDL243" s="16"/>
      <c r="JDM243" s="15"/>
      <c r="JDN243" s="15"/>
      <c r="JDO243" s="10"/>
      <c r="JDP243" s="10"/>
      <c r="JDQ243" s="19"/>
      <c r="JDR243" s="19"/>
      <c r="JDU243" s="16"/>
      <c r="JDV243" s="15"/>
      <c r="JDW243" s="15"/>
      <c r="JDX243" s="15"/>
      <c r="JDY243" s="16"/>
      <c r="JDZ243" s="16"/>
      <c r="JEA243" s="16"/>
      <c r="JEB243" s="16"/>
      <c r="JEC243" s="16"/>
      <c r="JED243" s="15"/>
      <c r="JEE243" s="15"/>
      <c r="JEF243" s="10"/>
      <c r="JEG243" s="10"/>
      <c r="JEH243" s="19"/>
      <c r="JEI243" s="19"/>
      <c r="JEL243" s="16"/>
      <c r="JEM243" s="15"/>
      <c r="JEN243" s="15"/>
      <c r="JEO243" s="15"/>
      <c r="JEP243" s="16"/>
      <c r="JEQ243" s="16"/>
      <c r="JER243" s="16"/>
      <c r="JES243" s="16"/>
      <c r="JET243" s="16"/>
      <c r="JEU243" s="15"/>
      <c r="JEV243" s="15"/>
      <c r="JEW243" s="10"/>
      <c r="JEX243" s="10"/>
      <c r="JEY243" s="19"/>
      <c r="JEZ243" s="19"/>
      <c r="JFC243" s="16"/>
      <c r="JFD243" s="15"/>
      <c r="JFE243" s="15"/>
      <c r="JFF243" s="15"/>
      <c r="JFG243" s="16"/>
      <c r="JFH243" s="16"/>
      <c r="JFI243" s="16"/>
      <c r="JFJ243" s="16"/>
      <c r="JFK243" s="16"/>
      <c r="JFL243" s="15"/>
      <c r="JFM243" s="15"/>
      <c r="JFN243" s="10"/>
      <c r="JFO243" s="10"/>
      <c r="JFP243" s="19"/>
      <c r="JFQ243" s="19"/>
      <c r="JFT243" s="16"/>
      <c r="JFU243" s="15"/>
      <c r="JFV243" s="15"/>
      <c r="JFW243" s="15"/>
      <c r="JFX243" s="16"/>
      <c r="JFY243" s="16"/>
      <c r="JFZ243" s="16"/>
      <c r="JGA243" s="16"/>
      <c r="JGB243" s="16"/>
      <c r="JGC243" s="15"/>
      <c r="JGD243" s="15"/>
      <c r="JGE243" s="10"/>
      <c r="JGF243" s="10"/>
      <c r="JGG243" s="19"/>
      <c r="JGH243" s="19"/>
      <c r="JGK243" s="16"/>
      <c r="JGL243" s="15"/>
      <c r="JGM243" s="15"/>
      <c r="JGN243" s="15"/>
      <c r="JGO243" s="16"/>
      <c r="JGP243" s="16"/>
      <c r="JGQ243" s="16"/>
      <c r="JGR243" s="16"/>
      <c r="JGS243" s="16"/>
      <c r="JGT243" s="15"/>
      <c r="JGU243" s="15"/>
      <c r="JGV243" s="10"/>
      <c r="JGW243" s="10"/>
      <c r="JGX243" s="19"/>
      <c r="JGY243" s="19"/>
      <c r="JHB243" s="16"/>
      <c r="JHC243" s="15"/>
      <c r="JHD243" s="15"/>
      <c r="JHE243" s="15"/>
      <c r="JHF243" s="16"/>
      <c r="JHG243" s="16"/>
      <c r="JHH243" s="16"/>
      <c r="JHI243" s="16"/>
      <c r="JHJ243" s="16"/>
      <c r="JHK243" s="15"/>
      <c r="JHL243" s="15"/>
      <c r="JHM243" s="10"/>
      <c r="JHN243" s="10"/>
      <c r="JHO243" s="19"/>
      <c r="JHP243" s="19"/>
      <c r="JHS243" s="16"/>
      <c r="JHT243" s="15"/>
      <c r="JHU243" s="15"/>
      <c r="JHV243" s="15"/>
      <c r="JHW243" s="16"/>
      <c r="JHX243" s="16"/>
      <c r="JHY243" s="16"/>
      <c r="JHZ243" s="16"/>
      <c r="JIA243" s="16"/>
      <c r="JIB243" s="15"/>
      <c r="JIC243" s="15"/>
      <c r="JID243" s="10"/>
      <c r="JIE243" s="10"/>
      <c r="JIF243" s="19"/>
      <c r="JIG243" s="19"/>
      <c r="JIJ243" s="16"/>
      <c r="JIK243" s="15"/>
      <c r="JIL243" s="15"/>
      <c r="JIM243" s="15"/>
      <c r="JIN243" s="16"/>
      <c r="JIO243" s="16"/>
      <c r="JIP243" s="16"/>
      <c r="JIQ243" s="16"/>
      <c r="JIR243" s="16"/>
      <c r="JIS243" s="15"/>
      <c r="JIT243" s="15"/>
      <c r="JIU243" s="10"/>
      <c r="JIV243" s="10"/>
      <c r="JIW243" s="19"/>
      <c r="JIX243" s="19"/>
      <c r="JJA243" s="16"/>
      <c r="JJB243" s="15"/>
      <c r="JJC243" s="15"/>
      <c r="JJD243" s="15"/>
      <c r="JJE243" s="16"/>
      <c r="JJF243" s="16"/>
      <c r="JJG243" s="16"/>
      <c r="JJH243" s="16"/>
      <c r="JJI243" s="16"/>
      <c r="JJJ243" s="15"/>
      <c r="JJK243" s="15"/>
      <c r="JJL243" s="10"/>
      <c r="JJM243" s="10"/>
      <c r="JJN243" s="19"/>
      <c r="JJO243" s="19"/>
      <c r="JJR243" s="16"/>
      <c r="JJS243" s="15"/>
      <c r="JJT243" s="15"/>
      <c r="JJU243" s="15"/>
      <c r="JJV243" s="16"/>
      <c r="JJW243" s="16"/>
      <c r="JJX243" s="16"/>
      <c r="JJY243" s="16"/>
      <c r="JJZ243" s="16"/>
      <c r="JKA243" s="15"/>
      <c r="JKB243" s="15"/>
      <c r="JKC243" s="10"/>
      <c r="JKD243" s="10"/>
      <c r="JKE243" s="19"/>
      <c r="JKF243" s="19"/>
      <c r="JKI243" s="16"/>
      <c r="JKJ243" s="15"/>
      <c r="JKK243" s="15"/>
      <c r="JKL243" s="15"/>
      <c r="JKM243" s="16"/>
      <c r="JKN243" s="16"/>
      <c r="JKO243" s="16"/>
      <c r="JKP243" s="16"/>
      <c r="JKQ243" s="16"/>
      <c r="JKR243" s="15"/>
      <c r="JKS243" s="15"/>
      <c r="JKT243" s="10"/>
      <c r="JKU243" s="10"/>
      <c r="JKV243" s="19"/>
      <c r="JKW243" s="19"/>
      <c r="JKZ243" s="16"/>
      <c r="JLA243" s="15"/>
      <c r="JLB243" s="15"/>
      <c r="JLC243" s="15"/>
      <c r="JLD243" s="16"/>
      <c r="JLE243" s="16"/>
      <c r="JLF243" s="16"/>
      <c r="JLG243" s="16"/>
      <c r="JLH243" s="16"/>
      <c r="JLI243" s="15"/>
      <c r="JLJ243" s="15"/>
      <c r="JLK243" s="10"/>
      <c r="JLL243" s="10"/>
      <c r="JLM243" s="19"/>
      <c r="JLN243" s="19"/>
      <c r="JLQ243" s="16"/>
      <c r="JLR243" s="15"/>
      <c r="JLS243" s="15"/>
      <c r="JLT243" s="15"/>
      <c r="JLU243" s="16"/>
      <c r="JLV243" s="16"/>
      <c r="JLW243" s="16"/>
      <c r="JLX243" s="16"/>
      <c r="JLY243" s="16"/>
      <c r="JLZ243" s="15"/>
      <c r="JMA243" s="15"/>
      <c r="JMB243" s="10"/>
      <c r="JMC243" s="10"/>
      <c r="JMD243" s="19"/>
      <c r="JME243" s="19"/>
      <c r="JMH243" s="16"/>
      <c r="JMI243" s="15"/>
      <c r="JMJ243" s="15"/>
      <c r="JMK243" s="15"/>
      <c r="JML243" s="16"/>
      <c r="JMM243" s="16"/>
      <c r="JMN243" s="16"/>
      <c r="JMO243" s="16"/>
      <c r="JMP243" s="16"/>
      <c r="JMQ243" s="15"/>
      <c r="JMR243" s="15"/>
      <c r="JMS243" s="10"/>
      <c r="JMT243" s="10"/>
      <c r="JMU243" s="19"/>
      <c r="JMV243" s="19"/>
      <c r="JMY243" s="16"/>
      <c r="JMZ243" s="15"/>
      <c r="JNA243" s="15"/>
      <c r="JNB243" s="15"/>
      <c r="JNC243" s="16"/>
      <c r="JND243" s="16"/>
      <c r="JNE243" s="16"/>
      <c r="JNF243" s="16"/>
      <c r="JNG243" s="16"/>
      <c r="JNH243" s="15"/>
      <c r="JNI243" s="15"/>
      <c r="JNJ243" s="10"/>
      <c r="JNK243" s="10"/>
      <c r="JNL243" s="19"/>
      <c r="JNM243" s="19"/>
      <c r="JNP243" s="16"/>
      <c r="JNQ243" s="15"/>
      <c r="JNR243" s="15"/>
      <c r="JNS243" s="15"/>
      <c r="JNT243" s="16"/>
      <c r="JNU243" s="16"/>
      <c r="JNV243" s="16"/>
      <c r="JNW243" s="16"/>
      <c r="JNX243" s="16"/>
      <c r="JNY243" s="15"/>
      <c r="JNZ243" s="15"/>
      <c r="JOA243" s="10"/>
      <c r="JOB243" s="10"/>
      <c r="JOC243" s="19"/>
      <c r="JOD243" s="19"/>
      <c r="JOG243" s="16"/>
      <c r="JOH243" s="15"/>
      <c r="JOI243" s="15"/>
      <c r="JOJ243" s="15"/>
      <c r="JOK243" s="16"/>
      <c r="JOL243" s="16"/>
      <c r="JOM243" s="16"/>
      <c r="JON243" s="16"/>
      <c r="JOO243" s="16"/>
      <c r="JOP243" s="15"/>
      <c r="JOQ243" s="15"/>
      <c r="JOR243" s="10"/>
      <c r="JOS243" s="10"/>
      <c r="JOT243" s="19"/>
      <c r="JOU243" s="19"/>
      <c r="JOX243" s="16"/>
      <c r="JOY243" s="15"/>
      <c r="JOZ243" s="15"/>
      <c r="JPA243" s="15"/>
      <c r="JPB243" s="16"/>
      <c r="JPC243" s="16"/>
      <c r="JPD243" s="16"/>
      <c r="JPE243" s="16"/>
      <c r="JPF243" s="16"/>
      <c r="JPG243" s="15"/>
      <c r="JPH243" s="15"/>
      <c r="JPI243" s="10"/>
      <c r="JPJ243" s="10"/>
      <c r="JPK243" s="19"/>
      <c r="JPL243" s="19"/>
      <c r="JPO243" s="16"/>
      <c r="JPP243" s="15"/>
      <c r="JPQ243" s="15"/>
      <c r="JPR243" s="15"/>
      <c r="JPS243" s="16"/>
      <c r="JPT243" s="16"/>
      <c r="JPU243" s="16"/>
      <c r="JPV243" s="16"/>
      <c r="JPW243" s="16"/>
      <c r="JPX243" s="15"/>
      <c r="JPY243" s="15"/>
      <c r="JPZ243" s="10"/>
      <c r="JQA243" s="10"/>
      <c r="JQB243" s="19"/>
      <c r="JQC243" s="19"/>
      <c r="JQF243" s="16"/>
      <c r="JQG243" s="15"/>
      <c r="JQH243" s="15"/>
      <c r="JQI243" s="15"/>
      <c r="JQJ243" s="16"/>
      <c r="JQK243" s="16"/>
      <c r="JQL243" s="16"/>
      <c r="JQM243" s="16"/>
      <c r="JQN243" s="16"/>
      <c r="JQO243" s="15"/>
      <c r="JQP243" s="15"/>
      <c r="JQQ243" s="10"/>
      <c r="JQR243" s="10"/>
      <c r="JQS243" s="19"/>
      <c r="JQT243" s="19"/>
      <c r="JQW243" s="16"/>
      <c r="JQX243" s="15"/>
      <c r="JQY243" s="15"/>
      <c r="JQZ243" s="15"/>
      <c r="JRA243" s="16"/>
      <c r="JRB243" s="16"/>
      <c r="JRC243" s="16"/>
      <c r="JRD243" s="16"/>
      <c r="JRE243" s="16"/>
      <c r="JRF243" s="15"/>
      <c r="JRG243" s="15"/>
      <c r="JRH243" s="10"/>
      <c r="JRI243" s="10"/>
      <c r="JRJ243" s="19"/>
      <c r="JRK243" s="19"/>
      <c r="JRN243" s="16"/>
      <c r="JRO243" s="15"/>
      <c r="JRP243" s="15"/>
      <c r="JRQ243" s="15"/>
      <c r="JRR243" s="16"/>
      <c r="JRS243" s="16"/>
      <c r="JRT243" s="16"/>
      <c r="JRU243" s="16"/>
      <c r="JRV243" s="16"/>
      <c r="JRW243" s="15"/>
      <c r="JRX243" s="15"/>
      <c r="JRY243" s="10"/>
      <c r="JRZ243" s="10"/>
      <c r="JSA243" s="19"/>
      <c r="JSB243" s="19"/>
      <c r="JSE243" s="16"/>
      <c r="JSF243" s="15"/>
      <c r="JSG243" s="15"/>
      <c r="JSH243" s="15"/>
      <c r="JSI243" s="16"/>
      <c r="JSJ243" s="16"/>
      <c r="JSK243" s="16"/>
      <c r="JSL243" s="16"/>
      <c r="JSM243" s="16"/>
      <c r="JSN243" s="15"/>
      <c r="JSO243" s="15"/>
      <c r="JSP243" s="10"/>
      <c r="JSQ243" s="10"/>
      <c r="JSR243" s="19"/>
      <c r="JSS243" s="19"/>
      <c r="JSV243" s="16"/>
      <c r="JSW243" s="15"/>
      <c r="JSX243" s="15"/>
      <c r="JSY243" s="15"/>
      <c r="JSZ243" s="16"/>
      <c r="JTA243" s="16"/>
      <c r="JTB243" s="16"/>
      <c r="JTC243" s="16"/>
      <c r="JTD243" s="16"/>
      <c r="JTE243" s="15"/>
      <c r="JTF243" s="15"/>
      <c r="JTG243" s="10"/>
      <c r="JTH243" s="10"/>
      <c r="JTI243" s="19"/>
      <c r="JTJ243" s="19"/>
      <c r="JTM243" s="16"/>
      <c r="JTN243" s="15"/>
      <c r="JTO243" s="15"/>
      <c r="JTP243" s="15"/>
      <c r="JTQ243" s="16"/>
      <c r="JTR243" s="16"/>
      <c r="JTS243" s="16"/>
      <c r="JTT243" s="16"/>
      <c r="JTU243" s="16"/>
      <c r="JTV243" s="15"/>
      <c r="JTW243" s="15"/>
      <c r="JTX243" s="10"/>
      <c r="JTY243" s="10"/>
      <c r="JTZ243" s="19"/>
      <c r="JUA243" s="19"/>
      <c r="JUD243" s="16"/>
      <c r="JUE243" s="15"/>
      <c r="JUF243" s="15"/>
      <c r="JUG243" s="15"/>
      <c r="JUH243" s="16"/>
      <c r="JUI243" s="16"/>
      <c r="JUJ243" s="16"/>
      <c r="JUK243" s="16"/>
      <c r="JUL243" s="16"/>
      <c r="JUM243" s="15"/>
      <c r="JUN243" s="15"/>
      <c r="JUO243" s="10"/>
      <c r="JUP243" s="10"/>
      <c r="JUQ243" s="19"/>
      <c r="JUR243" s="19"/>
      <c r="JUU243" s="16"/>
      <c r="JUV243" s="15"/>
      <c r="JUW243" s="15"/>
      <c r="JUX243" s="15"/>
      <c r="JUY243" s="16"/>
      <c r="JUZ243" s="16"/>
      <c r="JVA243" s="16"/>
      <c r="JVB243" s="16"/>
      <c r="JVC243" s="16"/>
      <c r="JVD243" s="15"/>
      <c r="JVE243" s="15"/>
      <c r="JVF243" s="10"/>
      <c r="JVG243" s="10"/>
      <c r="JVH243" s="19"/>
      <c r="JVI243" s="19"/>
      <c r="JVL243" s="16"/>
      <c r="JVM243" s="15"/>
      <c r="JVN243" s="15"/>
      <c r="JVO243" s="15"/>
      <c r="JVP243" s="16"/>
      <c r="JVQ243" s="16"/>
      <c r="JVR243" s="16"/>
      <c r="JVS243" s="16"/>
      <c r="JVT243" s="16"/>
      <c r="JVU243" s="15"/>
      <c r="JVV243" s="15"/>
      <c r="JVW243" s="10"/>
      <c r="JVX243" s="10"/>
      <c r="JVY243" s="19"/>
      <c r="JVZ243" s="19"/>
      <c r="JWC243" s="16"/>
      <c r="JWD243" s="15"/>
      <c r="JWE243" s="15"/>
      <c r="JWF243" s="15"/>
      <c r="JWG243" s="16"/>
      <c r="JWH243" s="16"/>
      <c r="JWI243" s="16"/>
      <c r="JWJ243" s="16"/>
      <c r="JWK243" s="16"/>
      <c r="JWL243" s="15"/>
      <c r="JWM243" s="15"/>
      <c r="JWN243" s="10"/>
      <c r="JWO243" s="10"/>
      <c r="JWP243" s="19"/>
      <c r="JWQ243" s="19"/>
      <c r="JWT243" s="16"/>
      <c r="JWU243" s="15"/>
      <c r="JWV243" s="15"/>
      <c r="JWW243" s="15"/>
      <c r="JWX243" s="16"/>
      <c r="JWY243" s="16"/>
      <c r="JWZ243" s="16"/>
      <c r="JXA243" s="16"/>
      <c r="JXB243" s="16"/>
      <c r="JXC243" s="15"/>
      <c r="JXD243" s="15"/>
      <c r="JXE243" s="10"/>
      <c r="JXF243" s="10"/>
      <c r="JXG243" s="19"/>
      <c r="JXH243" s="19"/>
      <c r="JXK243" s="16"/>
      <c r="JXL243" s="15"/>
      <c r="JXM243" s="15"/>
      <c r="JXN243" s="15"/>
      <c r="JXO243" s="16"/>
      <c r="JXP243" s="16"/>
      <c r="JXQ243" s="16"/>
      <c r="JXR243" s="16"/>
      <c r="JXS243" s="16"/>
      <c r="JXT243" s="15"/>
      <c r="JXU243" s="15"/>
      <c r="JXV243" s="10"/>
      <c r="JXW243" s="10"/>
      <c r="JXX243" s="19"/>
      <c r="JXY243" s="19"/>
      <c r="JYB243" s="16"/>
      <c r="JYC243" s="15"/>
      <c r="JYD243" s="15"/>
      <c r="JYE243" s="15"/>
      <c r="JYF243" s="16"/>
      <c r="JYG243" s="16"/>
      <c r="JYH243" s="16"/>
      <c r="JYI243" s="16"/>
      <c r="JYJ243" s="16"/>
      <c r="JYK243" s="15"/>
      <c r="JYL243" s="15"/>
      <c r="JYM243" s="10"/>
      <c r="JYN243" s="10"/>
      <c r="JYO243" s="19"/>
      <c r="JYP243" s="19"/>
      <c r="JYS243" s="16"/>
      <c r="JYT243" s="15"/>
      <c r="JYU243" s="15"/>
      <c r="JYV243" s="15"/>
      <c r="JYW243" s="16"/>
      <c r="JYX243" s="16"/>
      <c r="JYY243" s="16"/>
      <c r="JYZ243" s="16"/>
      <c r="JZA243" s="16"/>
      <c r="JZB243" s="15"/>
      <c r="JZC243" s="15"/>
      <c r="JZD243" s="10"/>
      <c r="JZE243" s="10"/>
      <c r="JZF243" s="19"/>
      <c r="JZG243" s="19"/>
      <c r="JZJ243" s="16"/>
      <c r="JZK243" s="15"/>
      <c r="JZL243" s="15"/>
      <c r="JZM243" s="15"/>
      <c r="JZN243" s="16"/>
      <c r="JZO243" s="16"/>
      <c r="JZP243" s="16"/>
      <c r="JZQ243" s="16"/>
      <c r="JZR243" s="16"/>
      <c r="JZS243" s="15"/>
      <c r="JZT243" s="15"/>
      <c r="JZU243" s="10"/>
      <c r="JZV243" s="10"/>
      <c r="JZW243" s="19"/>
      <c r="JZX243" s="19"/>
      <c r="KAA243" s="16"/>
      <c r="KAB243" s="15"/>
      <c r="KAC243" s="15"/>
      <c r="KAD243" s="15"/>
      <c r="KAE243" s="16"/>
      <c r="KAF243" s="16"/>
      <c r="KAG243" s="16"/>
      <c r="KAH243" s="16"/>
      <c r="KAI243" s="16"/>
      <c r="KAJ243" s="15"/>
      <c r="KAK243" s="15"/>
      <c r="KAL243" s="10"/>
      <c r="KAM243" s="10"/>
      <c r="KAN243" s="19"/>
      <c r="KAO243" s="19"/>
      <c r="KAR243" s="16"/>
      <c r="KAS243" s="15"/>
      <c r="KAT243" s="15"/>
      <c r="KAU243" s="15"/>
      <c r="KAV243" s="16"/>
      <c r="KAW243" s="16"/>
      <c r="KAX243" s="16"/>
      <c r="KAY243" s="16"/>
      <c r="KAZ243" s="16"/>
      <c r="KBA243" s="15"/>
      <c r="KBB243" s="15"/>
      <c r="KBC243" s="10"/>
      <c r="KBD243" s="10"/>
      <c r="KBE243" s="19"/>
      <c r="KBF243" s="19"/>
      <c r="KBI243" s="16"/>
      <c r="KBJ243" s="15"/>
      <c r="KBK243" s="15"/>
      <c r="KBL243" s="15"/>
      <c r="KBM243" s="16"/>
      <c r="KBN243" s="16"/>
      <c r="KBO243" s="16"/>
      <c r="KBP243" s="16"/>
      <c r="KBQ243" s="16"/>
      <c r="KBR243" s="15"/>
      <c r="KBS243" s="15"/>
      <c r="KBT243" s="10"/>
      <c r="KBU243" s="10"/>
      <c r="KBV243" s="19"/>
      <c r="KBW243" s="19"/>
      <c r="KBZ243" s="16"/>
      <c r="KCA243" s="15"/>
      <c r="KCB243" s="15"/>
      <c r="KCC243" s="15"/>
      <c r="KCD243" s="16"/>
      <c r="KCE243" s="16"/>
      <c r="KCF243" s="16"/>
      <c r="KCG243" s="16"/>
      <c r="KCH243" s="16"/>
      <c r="KCI243" s="15"/>
      <c r="KCJ243" s="15"/>
      <c r="KCK243" s="10"/>
      <c r="KCL243" s="10"/>
      <c r="KCM243" s="19"/>
      <c r="KCN243" s="19"/>
      <c r="KCQ243" s="16"/>
      <c r="KCR243" s="15"/>
      <c r="KCS243" s="15"/>
      <c r="KCT243" s="15"/>
      <c r="KCU243" s="16"/>
      <c r="KCV243" s="16"/>
      <c r="KCW243" s="16"/>
      <c r="KCX243" s="16"/>
      <c r="KCY243" s="16"/>
      <c r="KCZ243" s="15"/>
      <c r="KDA243" s="15"/>
      <c r="KDB243" s="10"/>
      <c r="KDC243" s="10"/>
      <c r="KDD243" s="19"/>
      <c r="KDE243" s="19"/>
      <c r="KDH243" s="16"/>
      <c r="KDI243" s="15"/>
      <c r="KDJ243" s="15"/>
      <c r="KDK243" s="15"/>
      <c r="KDL243" s="16"/>
      <c r="KDM243" s="16"/>
      <c r="KDN243" s="16"/>
      <c r="KDO243" s="16"/>
      <c r="KDP243" s="16"/>
      <c r="KDQ243" s="15"/>
      <c r="KDR243" s="15"/>
      <c r="KDS243" s="10"/>
      <c r="KDT243" s="10"/>
      <c r="KDU243" s="19"/>
      <c r="KDV243" s="19"/>
      <c r="KDY243" s="16"/>
      <c r="KDZ243" s="15"/>
      <c r="KEA243" s="15"/>
      <c r="KEB243" s="15"/>
      <c r="KEC243" s="16"/>
      <c r="KED243" s="16"/>
      <c r="KEE243" s="16"/>
      <c r="KEF243" s="16"/>
      <c r="KEG243" s="16"/>
      <c r="KEH243" s="15"/>
      <c r="KEI243" s="15"/>
      <c r="KEJ243" s="10"/>
      <c r="KEK243" s="10"/>
      <c r="KEL243" s="19"/>
      <c r="KEM243" s="19"/>
      <c r="KEP243" s="16"/>
      <c r="KEQ243" s="15"/>
      <c r="KER243" s="15"/>
      <c r="KES243" s="15"/>
      <c r="KET243" s="16"/>
      <c r="KEU243" s="16"/>
      <c r="KEV243" s="16"/>
      <c r="KEW243" s="16"/>
      <c r="KEX243" s="16"/>
      <c r="KEY243" s="15"/>
      <c r="KEZ243" s="15"/>
      <c r="KFA243" s="10"/>
      <c r="KFB243" s="10"/>
      <c r="KFC243" s="19"/>
      <c r="KFD243" s="19"/>
      <c r="KFG243" s="16"/>
      <c r="KFH243" s="15"/>
      <c r="KFI243" s="15"/>
      <c r="KFJ243" s="15"/>
      <c r="KFK243" s="16"/>
      <c r="KFL243" s="16"/>
      <c r="KFM243" s="16"/>
      <c r="KFN243" s="16"/>
      <c r="KFO243" s="16"/>
      <c r="KFP243" s="15"/>
      <c r="KFQ243" s="15"/>
      <c r="KFR243" s="10"/>
      <c r="KFS243" s="10"/>
      <c r="KFT243" s="19"/>
      <c r="KFU243" s="19"/>
      <c r="KFX243" s="16"/>
      <c r="KFY243" s="15"/>
      <c r="KFZ243" s="15"/>
      <c r="KGA243" s="15"/>
      <c r="KGB243" s="16"/>
      <c r="KGC243" s="16"/>
      <c r="KGD243" s="16"/>
      <c r="KGE243" s="16"/>
      <c r="KGF243" s="16"/>
      <c r="KGG243" s="15"/>
      <c r="KGH243" s="15"/>
      <c r="KGI243" s="10"/>
      <c r="KGJ243" s="10"/>
      <c r="KGK243" s="19"/>
      <c r="KGL243" s="19"/>
      <c r="KGO243" s="16"/>
      <c r="KGP243" s="15"/>
      <c r="KGQ243" s="15"/>
      <c r="KGR243" s="15"/>
      <c r="KGS243" s="16"/>
      <c r="KGT243" s="16"/>
      <c r="KGU243" s="16"/>
      <c r="KGV243" s="16"/>
      <c r="KGW243" s="16"/>
      <c r="KGX243" s="15"/>
      <c r="KGY243" s="15"/>
      <c r="KGZ243" s="10"/>
      <c r="KHA243" s="10"/>
      <c r="KHB243" s="19"/>
      <c r="KHC243" s="19"/>
      <c r="KHF243" s="16"/>
      <c r="KHG243" s="15"/>
      <c r="KHH243" s="15"/>
      <c r="KHI243" s="15"/>
      <c r="KHJ243" s="16"/>
      <c r="KHK243" s="16"/>
      <c r="KHL243" s="16"/>
      <c r="KHM243" s="16"/>
      <c r="KHN243" s="16"/>
      <c r="KHO243" s="15"/>
      <c r="KHP243" s="15"/>
      <c r="KHQ243" s="10"/>
      <c r="KHR243" s="10"/>
      <c r="KHS243" s="19"/>
      <c r="KHT243" s="19"/>
      <c r="KHW243" s="16"/>
      <c r="KHX243" s="15"/>
      <c r="KHY243" s="15"/>
      <c r="KHZ243" s="15"/>
      <c r="KIA243" s="16"/>
      <c r="KIB243" s="16"/>
      <c r="KIC243" s="16"/>
      <c r="KID243" s="16"/>
      <c r="KIE243" s="16"/>
      <c r="KIF243" s="15"/>
      <c r="KIG243" s="15"/>
      <c r="KIH243" s="10"/>
      <c r="KII243" s="10"/>
      <c r="KIJ243" s="19"/>
      <c r="KIK243" s="19"/>
      <c r="KIN243" s="16"/>
      <c r="KIO243" s="15"/>
      <c r="KIP243" s="15"/>
      <c r="KIQ243" s="15"/>
      <c r="KIR243" s="16"/>
      <c r="KIS243" s="16"/>
      <c r="KIT243" s="16"/>
      <c r="KIU243" s="16"/>
      <c r="KIV243" s="16"/>
      <c r="KIW243" s="15"/>
      <c r="KIX243" s="15"/>
      <c r="KIY243" s="10"/>
      <c r="KIZ243" s="10"/>
      <c r="KJA243" s="19"/>
      <c r="KJB243" s="19"/>
      <c r="KJE243" s="16"/>
      <c r="KJF243" s="15"/>
      <c r="KJG243" s="15"/>
      <c r="KJH243" s="15"/>
      <c r="KJI243" s="16"/>
      <c r="KJJ243" s="16"/>
      <c r="KJK243" s="16"/>
      <c r="KJL243" s="16"/>
      <c r="KJM243" s="16"/>
      <c r="KJN243" s="15"/>
      <c r="KJO243" s="15"/>
      <c r="KJP243" s="10"/>
      <c r="KJQ243" s="10"/>
      <c r="KJR243" s="19"/>
      <c r="KJS243" s="19"/>
      <c r="KJV243" s="16"/>
      <c r="KJW243" s="15"/>
      <c r="KJX243" s="15"/>
      <c r="KJY243" s="15"/>
      <c r="KJZ243" s="16"/>
      <c r="KKA243" s="16"/>
      <c r="KKB243" s="16"/>
      <c r="KKC243" s="16"/>
      <c r="KKD243" s="16"/>
      <c r="KKE243" s="15"/>
      <c r="KKF243" s="15"/>
      <c r="KKG243" s="10"/>
      <c r="KKH243" s="10"/>
      <c r="KKI243" s="19"/>
      <c r="KKJ243" s="19"/>
      <c r="KKM243" s="16"/>
      <c r="KKN243" s="15"/>
      <c r="KKO243" s="15"/>
      <c r="KKP243" s="15"/>
      <c r="KKQ243" s="16"/>
      <c r="KKR243" s="16"/>
      <c r="KKS243" s="16"/>
      <c r="KKT243" s="16"/>
      <c r="KKU243" s="16"/>
      <c r="KKV243" s="15"/>
      <c r="KKW243" s="15"/>
      <c r="KKX243" s="10"/>
      <c r="KKY243" s="10"/>
      <c r="KKZ243" s="19"/>
      <c r="KLA243" s="19"/>
      <c r="KLD243" s="16"/>
      <c r="KLE243" s="15"/>
      <c r="KLF243" s="15"/>
      <c r="KLG243" s="15"/>
      <c r="KLH243" s="16"/>
      <c r="KLI243" s="16"/>
      <c r="KLJ243" s="16"/>
      <c r="KLK243" s="16"/>
      <c r="KLL243" s="16"/>
      <c r="KLM243" s="15"/>
      <c r="KLN243" s="15"/>
      <c r="KLO243" s="10"/>
      <c r="KLP243" s="10"/>
      <c r="KLQ243" s="19"/>
      <c r="KLR243" s="19"/>
      <c r="KLU243" s="16"/>
      <c r="KLV243" s="15"/>
      <c r="KLW243" s="15"/>
      <c r="KLX243" s="15"/>
      <c r="KLY243" s="16"/>
      <c r="KLZ243" s="16"/>
      <c r="KMA243" s="16"/>
      <c r="KMB243" s="16"/>
      <c r="KMC243" s="16"/>
      <c r="KMD243" s="15"/>
      <c r="KME243" s="15"/>
      <c r="KMF243" s="10"/>
      <c r="KMG243" s="10"/>
      <c r="KMH243" s="19"/>
      <c r="KMI243" s="19"/>
      <c r="KML243" s="16"/>
      <c r="KMM243" s="15"/>
      <c r="KMN243" s="15"/>
      <c r="KMO243" s="15"/>
      <c r="KMP243" s="16"/>
      <c r="KMQ243" s="16"/>
      <c r="KMR243" s="16"/>
      <c r="KMS243" s="16"/>
      <c r="KMT243" s="16"/>
      <c r="KMU243" s="15"/>
      <c r="KMV243" s="15"/>
      <c r="KMW243" s="10"/>
      <c r="KMX243" s="10"/>
      <c r="KMY243" s="19"/>
      <c r="KMZ243" s="19"/>
      <c r="KNC243" s="16"/>
      <c r="KND243" s="15"/>
      <c r="KNE243" s="15"/>
      <c r="KNF243" s="15"/>
      <c r="KNG243" s="16"/>
      <c r="KNH243" s="16"/>
      <c r="KNI243" s="16"/>
      <c r="KNJ243" s="16"/>
      <c r="KNK243" s="16"/>
      <c r="KNL243" s="15"/>
      <c r="KNM243" s="15"/>
      <c r="KNN243" s="10"/>
      <c r="KNO243" s="10"/>
      <c r="KNP243" s="19"/>
      <c r="KNQ243" s="19"/>
      <c r="KNT243" s="16"/>
      <c r="KNU243" s="15"/>
      <c r="KNV243" s="15"/>
      <c r="KNW243" s="15"/>
      <c r="KNX243" s="16"/>
      <c r="KNY243" s="16"/>
      <c r="KNZ243" s="16"/>
      <c r="KOA243" s="16"/>
      <c r="KOB243" s="16"/>
      <c r="KOC243" s="15"/>
      <c r="KOD243" s="15"/>
      <c r="KOE243" s="10"/>
      <c r="KOF243" s="10"/>
      <c r="KOG243" s="19"/>
      <c r="KOH243" s="19"/>
      <c r="KOK243" s="16"/>
      <c r="KOL243" s="15"/>
      <c r="KOM243" s="15"/>
      <c r="KON243" s="15"/>
      <c r="KOO243" s="16"/>
      <c r="KOP243" s="16"/>
      <c r="KOQ243" s="16"/>
      <c r="KOR243" s="16"/>
      <c r="KOS243" s="16"/>
      <c r="KOT243" s="15"/>
      <c r="KOU243" s="15"/>
      <c r="KOV243" s="10"/>
      <c r="KOW243" s="10"/>
      <c r="KOX243" s="19"/>
      <c r="KOY243" s="19"/>
      <c r="KPB243" s="16"/>
      <c r="KPC243" s="15"/>
      <c r="KPD243" s="15"/>
      <c r="KPE243" s="15"/>
      <c r="KPF243" s="16"/>
      <c r="KPG243" s="16"/>
      <c r="KPH243" s="16"/>
      <c r="KPI243" s="16"/>
      <c r="KPJ243" s="16"/>
      <c r="KPK243" s="15"/>
      <c r="KPL243" s="15"/>
      <c r="KPM243" s="10"/>
      <c r="KPN243" s="10"/>
      <c r="KPO243" s="19"/>
      <c r="KPP243" s="19"/>
      <c r="KPS243" s="16"/>
      <c r="KPT243" s="15"/>
      <c r="KPU243" s="15"/>
      <c r="KPV243" s="15"/>
      <c r="KPW243" s="16"/>
      <c r="KPX243" s="16"/>
      <c r="KPY243" s="16"/>
      <c r="KPZ243" s="16"/>
      <c r="KQA243" s="16"/>
      <c r="KQB243" s="15"/>
      <c r="KQC243" s="15"/>
      <c r="KQD243" s="10"/>
      <c r="KQE243" s="10"/>
      <c r="KQF243" s="19"/>
      <c r="KQG243" s="19"/>
      <c r="KQJ243" s="16"/>
      <c r="KQK243" s="15"/>
      <c r="KQL243" s="15"/>
      <c r="KQM243" s="15"/>
      <c r="KQN243" s="16"/>
      <c r="KQO243" s="16"/>
      <c r="KQP243" s="16"/>
      <c r="KQQ243" s="16"/>
      <c r="KQR243" s="16"/>
      <c r="KQS243" s="15"/>
      <c r="KQT243" s="15"/>
      <c r="KQU243" s="10"/>
      <c r="KQV243" s="10"/>
      <c r="KQW243" s="19"/>
      <c r="KQX243" s="19"/>
      <c r="KRA243" s="16"/>
      <c r="KRB243" s="15"/>
      <c r="KRC243" s="15"/>
      <c r="KRD243" s="15"/>
      <c r="KRE243" s="16"/>
      <c r="KRF243" s="16"/>
      <c r="KRG243" s="16"/>
      <c r="KRH243" s="16"/>
      <c r="KRI243" s="16"/>
      <c r="KRJ243" s="15"/>
      <c r="KRK243" s="15"/>
      <c r="KRL243" s="10"/>
      <c r="KRM243" s="10"/>
      <c r="KRN243" s="19"/>
      <c r="KRO243" s="19"/>
      <c r="KRR243" s="16"/>
      <c r="KRS243" s="15"/>
      <c r="KRT243" s="15"/>
      <c r="KRU243" s="15"/>
      <c r="KRV243" s="16"/>
      <c r="KRW243" s="16"/>
      <c r="KRX243" s="16"/>
      <c r="KRY243" s="16"/>
      <c r="KRZ243" s="16"/>
      <c r="KSA243" s="15"/>
      <c r="KSB243" s="15"/>
      <c r="KSC243" s="10"/>
      <c r="KSD243" s="10"/>
      <c r="KSE243" s="19"/>
      <c r="KSF243" s="19"/>
      <c r="KSI243" s="16"/>
      <c r="KSJ243" s="15"/>
      <c r="KSK243" s="15"/>
      <c r="KSL243" s="15"/>
      <c r="KSM243" s="16"/>
      <c r="KSN243" s="16"/>
      <c r="KSO243" s="16"/>
      <c r="KSP243" s="16"/>
      <c r="KSQ243" s="16"/>
      <c r="KSR243" s="15"/>
      <c r="KSS243" s="15"/>
      <c r="KST243" s="10"/>
      <c r="KSU243" s="10"/>
      <c r="KSV243" s="19"/>
      <c r="KSW243" s="19"/>
      <c r="KSZ243" s="16"/>
      <c r="KTA243" s="15"/>
      <c r="KTB243" s="15"/>
      <c r="KTC243" s="15"/>
      <c r="KTD243" s="16"/>
      <c r="KTE243" s="16"/>
      <c r="KTF243" s="16"/>
      <c r="KTG243" s="16"/>
      <c r="KTH243" s="16"/>
      <c r="KTI243" s="15"/>
      <c r="KTJ243" s="15"/>
      <c r="KTK243" s="10"/>
      <c r="KTL243" s="10"/>
      <c r="KTM243" s="19"/>
      <c r="KTN243" s="19"/>
      <c r="KTQ243" s="16"/>
      <c r="KTR243" s="15"/>
      <c r="KTS243" s="15"/>
      <c r="KTT243" s="15"/>
      <c r="KTU243" s="16"/>
      <c r="KTV243" s="16"/>
      <c r="KTW243" s="16"/>
      <c r="KTX243" s="16"/>
      <c r="KTY243" s="16"/>
      <c r="KTZ243" s="15"/>
      <c r="KUA243" s="15"/>
      <c r="KUB243" s="10"/>
      <c r="KUC243" s="10"/>
      <c r="KUD243" s="19"/>
      <c r="KUE243" s="19"/>
      <c r="KUH243" s="16"/>
      <c r="KUI243" s="15"/>
      <c r="KUJ243" s="15"/>
      <c r="KUK243" s="15"/>
      <c r="KUL243" s="16"/>
      <c r="KUM243" s="16"/>
      <c r="KUN243" s="16"/>
      <c r="KUO243" s="16"/>
      <c r="KUP243" s="16"/>
      <c r="KUQ243" s="15"/>
      <c r="KUR243" s="15"/>
      <c r="KUS243" s="10"/>
      <c r="KUT243" s="10"/>
      <c r="KUU243" s="19"/>
      <c r="KUV243" s="19"/>
      <c r="KUY243" s="16"/>
      <c r="KUZ243" s="15"/>
      <c r="KVA243" s="15"/>
      <c r="KVB243" s="15"/>
      <c r="KVC243" s="16"/>
      <c r="KVD243" s="16"/>
      <c r="KVE243" s="16"/>
      <c r="KVF243" s="16"/>
      <c r="KVG243" s="16"/>
      <c r="KVH243" s="15"/>
      <c r="KVI243" s="15"/>
      <c r="KVJ243" s="10"/>
      <c r="KVK243" s="10"/>
      <c r="KVL243" s="19"/>
      <c r="KVM243" s="19"/>
      <c r="KVP243" s="16"/>
      <c r="KVQ243" s="15"/>
      <c r="KVR243" s="15"/>
      <c r="KVS243" s="15"/>
      <c r="KVT243" s="16"/>
      <c r="KVU243" s="16"/>
      <c r="KVV243" s="16"/>
      <c r="KVW243" s="16"/>
      <c r="KVX243" s="16"/>
      <c r="KVY243" s="15"/>
      <c r="KVZ243" s="15"/>
      <c r="KWA243" s="10"/>
      <c r="KWB243" s="10"/>
      <c r="KWC243" s="19"/>
      <c r="KWD243" s="19"/>
      <c r="KWG243" s="16"/>
      <c r="KWH243" s="15"/>
      <c r="KWI243" s="15"/>
      <c r="KWJ243" s="15"/>
      <c r="KWK243" s="16"/>
      <c r="KWL243" s="16"/>
      <c r="KWM243" s="16"/>
      <c r="KWN243" s="16"/>
      <c r="KWO243" s="16"/>
      <c r="KWP243" s="15"/>
      <c r="KWQ243" s="15"/>
      <c r="KWR243" s="10"/>
      <c r="KWS243" s="10"/>
      <c r="KWT243" s="19"/>
      <c r="KWU243" s="19"/>
      <c r="KWX243" s="16"/>
      <c r="KWY243" s="15"/>
      <c r="KWZ243" s="15"/>
      <c r="KXA243" s="15"/>
      <c r="KXB243" s="16"/>
      <c r="KXC243" s="16"/>
      <c r="KXD243" s="16"/>
      <c r="KXE243" s="16"/>
      <c r="KXF243" s="16"/>
      <c r="KXG243" s="15"/>
      <c r="KXH243" s="15"/>
      <c r="KXI243" s="10"/>
      <c r="KXJ243" s="10"/>
      <c r="KXK243" s="19"/>
      <c r="KXL243" s="19"/>
      <c r="KXO243" s="16"/>
      <c r="KXP243" s="15"/>
      <c r="KXQ243" s="15"/>
      <c r="KXR243" s="15"/>
      <c r="KXS243" s="16"/>
      <c r="KXT243" s="16"/>
      <c r="KXU243" s="16"/>
      <c r="KXV243" s="16"/>
      <c r="KXW243" s="16"/>
      <c r="KXX243" s="15"/>
      <c r="KXY243" s="15"/>
      <c r="KXZ243" s="10"/>
      <c r="KYA243" s="10"/>
      <c r="KYB243" s="19"/>
      <c r="KYC243" s="19"/>
      <c r="KYF243" s="16"/>
      <c r="KYG243" s="15"/>
      <c r="KYH243" s="15"/>
      <c r="KYI243" s="15"/>
      <c r="KYJ243" s="16"/>
      <c r="KYK243" s="16"/>
      <c r="KYL243" s="16"/>
      <c r="KYM243" s="16"/>
      <c r="KYN243" s="16"/>
      <c r="KYO243" s="15"/>
      <c r="KYP243" s="15"/>
      <c r="KYQ243" s="10"/>
      <c r="KYR243" s="10"/>
      <c r="KYS243" s="19"/>
      <c r="KYT243" s="19"/>
      <c r="KYW243" s="16"/>
      <c r="KYX243" s="15"/>
      <c r="KYY243" s="15"/>
      <c r="KYZ243" s="15"/>
      <c r="KZA243" s="16"/>
      <c r="KZB243" s="16"/>
      <c r="KZC243" s="16"/>
      <c r="KZD243" s="16"/>
      <c r="KZE243" s="16"/>
      <c r="KZF243" s="15"/>
      <c r="KZG243" s="15"/>
      <c r="KZH243" s="10"/>
      <c r="KZI243" s="10"/>
      <c r="KZJ243" s="19"/>
      <c r="KZK243" s="19"/>
      <c r="KZN243" s="16"/>
      <c r="KZO243" s="15"/>
      <c r="KZP243" s="15"/>
      <c r="KZQ243" s="15"/>
      <c r="KZR243" s="16"/>
      <c r="KZS243" s="16"/>
      <c r="KZT243" s="16"/>
      <c r="KZU243" s="16"/>
      <c r="KZV243" s="16"/>
      <c r="KZW243" s="15"/>
      <c r="KZX243" s="15"/>
      <c r="KZY243" s="10"/>
      <c r="KZZ243" s="10"/>
      <c r="LAA243" s="19"/>
      <c r="LAB243" s="19"/>
      <c r="LAE243" s="16"/>
      <c r="LAF243" s="15"/>
      <c r="LAG243" s="15"/>
      <c r="LAH243" s="15"/>
      <c r="LAI243" s="16"/>
      <c r="LAJ243" s="16"/>
      <c r="LAK243" s="16"/>
      <c r="LAL243" s="16"/>
      <c r="LAM243" s="16"/>
      <c r="LAN243" s="15"/>
      <c r="LAO243" s="15"/>
      <c r="LAP243" s="10"/>
      <c r="LAQ243" s="10"/>
      <c r="LAR243" s="19"/>
      <c r="LAS243" s="19"/>
      <c r="LAV243" s="16"/>
      <c r="LAW243" s="15"/>
      <c r="LAX243" s="15"/>
      <c r="LAY243" s="15"/>
      <c r="LAZ243" s="16"/>
      <c r="LBA243" s="16"/>
      <c r="LBB243" s="16"/>
      <c r="LBC243" s="16"/>
      <c r="LBD243" s="16"/>
      <c r="LBE243" s="15"/>
      <c r="LBF243" s="15"/>
      <c r="LBG243" s="10"/>
      <c r="LBH243" s="10"/>
      <c r="LBI243" s="19"/>
      <c r="LBJ243" s="19"/>
      <c r="LBM243" s="16"/>
      <c r="LBN243" s="15"/>
      <c r="LBO243" s="15"/>
      <c r="LBP243" s="15"/>
      <c r="LBQ243" s="16"/>
      <c r="LBR243" s="16"/>
      <c r="LBS243" s="16"/>
      <c r="LBT243" s="16"/>
      <c r="LBU243" s="16"/>
      <c r="LBV243" s="15"/>
      <c r="LBW243" s="15"/>
      <c r="LBX243" s="10"/>
      <c r="LBY243" s="10"/>
      <c r="LBZ243" s="19"/>
      <c r="LCA243" s="19"/>
      <c r="LCD243" s="16"/>
      <c r="LCE243" s="15"/>
      <c r="LCF243" s="15"/>
      <c r="LCG243" s="15"/>
      <c r="LCH243" s="16"/>
      <c r="LCI243" s="16"/>
      <c r="LCJ243" s="16"/>
      <c r="LCK243" s="16"/>
      <c r="LCL243" s="16"/>
      <c r="LCM243" s="15"/>
      <c r="LCN243" s="15"/>
      <c r="LCO243" s="10"/>
      <c r="LCP243" s="10"/>
      <c r="LCQ243" s="19"/>
      <c r="LCR243" s="19"/>
      <c r="LCU243" s="16"/>
      <c r="LCV243" s="15"/>
      <c r="LCW243" s="15"/>
      <c r="LCX243" s="15"/>
      <c r="LCY243" s="16"/>
      <c r="LCZ243" s="16"/>
      <c r="LDA243" s="16"/>
      <c r="LDB243" s="16"/>
      <c r="LDC243" s="16"/>
      <c r="LDD243" s="15"/>
      <c r="LDE243" s="15"/>
      <c r="LDF243" s="10"/>
      <c r="LDG243" s="10"/>
      <c r="LDH243" s="19"/>
      <c r="LDI243" s="19"/>
      <c r="LDL243" s="16"/>
      <c r="LDM243" s="15"/>
      <c r="LDN243" s="15"/>
      <c r="LDO243" s="15"/>
      <c r="LDP243" s="16"/>
      <c r="LDQ243" s="16"/>
      <c r="LDR243" s="16"/>
      <c r="LDS243" s="16"/>
      <c r="LDT243" s="16"/>
      <c r="LDU243" s="15"/>
      <c r="LDV243" s="15"/>
      <c r="LDW243" s="10"/>
      <c r="LDX243" s="10"/>
      <c r="LDY243" s="19"/>
      <c r="LDZ243" s="19"/>
      <c r="LEC243" s="16"/>
      <c r="LED243" s="15"/>
      <c r="LEE243" s="15"/>
      <c r="LEF243" s="15"/>
      <c r="LEG243" s="16"/>
      <c r="LEH243" s="16"/>
      <c r="LEI243" s="16"/>
      <c r="LEJ243" s="16"/>
      <c r="LEK243" s="16"/>
      <c r="LEL243" s="15"/>
      <c r="LEM243" s="15"/>
      <c r="LEN243" s="10"/>
      <c r="LEO243" s="10"/>
      <c r="LEP243" s="19"/>
      <c r="LEQ243" s="19"/>
      <c r="LET243" s="16"/>
      <c r="LEU243" s="15"/>
      <c r="LEV243" s="15"/>
      <c r="LEW243" s="15"/>
      <c r="LEX243" s="16"/>
      <c r="LEY243" s="16"/>
      <c r="LEZ243" s="16"/>
      <c r="LFA243" s="16"/>
      <c r="LFB243" s="16"/>
      <c r="LFC243" s="15"/>
      <c r="LFD243" s="15"/>
      <c r="LFE243" s="10"/>
      <c r="LFF243" s="10"/>
      <c r="LFG243" s="19"/>
      <c r="LFH243" s="19"/>
      <c r="LFK243" s="16"/>
      <c r="LFL243" s="15"/>
      <c r="LFM243" s="15"/>
      <c r="LFN243" s="15"/>
      <c r="LFO243" s="16"/>
      <c r="LFP243" s="16"/>
      <c r="LFQ243" s="16"/>
      <c r="LFR243" s="16"/>
      <c r="LFS243" s="16"/>
      <c r="LFT243" s="15"/>
      <c r="LFU243" s="15"/>
      <c r="LFV243" s="10"/>
      <c r="LFW243" s="10"/>
      <c r="LFX243" s="19"/>
      <c r="LFY243" s="19"/>
      <c r="LGB243" s="16"/>
      <c r="LGC243" s="15"/>
      <c r="LGD243" s="15"/>
      <c r="LGE243" s="15"/>
      <c r="LGF243" s="16"/>
      <c r="LGG243" s="16"/>
      <c r="LGH243" s="16"/>
      <c r="LGI243" s="16"/>
      <c r="LGJ243" s="16"/>
      <c r="LGK243" s="15"/>
      <c r="LGL243" s="15"/>
      <c r="LGM243" s="10"/>
      <c r="LGN243" s="10"/>
      <c r="LGO243" s="19"/>
      <c r="LGP243" s="19"/>
      <c r="LGS243" s="16"/>
      <c r="LGT243" s="15"/>
      <c r="LGU243" s="15"/>
      <c r="LGV243" s="15"/>
      <c r="LGW243" s="16"/>
      <c r="LGX243" s="16"/>
      <c r="LGY243" s="16"/>
      <c r="LGZ243" s="16"/>
      <c r="LHA243" s="16"/>
      <c r="LHB243" s="15"/>
      <c r="LHC243" s="15"/>
      <c r="LHD243" s="10"/>
      <c r="LHE243" s="10"/>
      <c r="LHF243" s="19"/>
      <c r="LHG243" s="19"/>
      <c r="LHJ243" s="16"/>
      <c r="LHK243" s="15"/>
      <c r="LHL243" s="15"/>
      <c r="LHM243" s="15"/>
      <c r="LHN243" s="16"/>
      <c r="LHO243" s="16"/>
      <c r="LHP243" s="16"/>
      <c r="LHQ243" s="16"/>
      <c r="LHR243" s="16"/>
      <c r="LHS243" s="15"/>
      <c r="LHT243" s="15"/>
      <c r="LHU243" s="10"/>
      <c r="LHV243" s="10"/>
      <c r="LHW243" s="19"/>
      <c r="LHX243" s="19"/>
      <c r="LIA243" s="16"/>
      <c r="LIB243" s="15"/>
      <c r="LIC243" s="15"/>
      <c r="LID243" s="15"/>
      <c r="LIE243" s="16"/>
      <c r="LIF243" s="16"/>
      <c r="LIG243" s="16"/>
      <c r="LIH243" s="16"/>
      <c r="LII243" s="16"/>
      <c r="LIJ243" s="15"/>
      <c r="LIK243" s="15"/>
      <c r="LIL243" s="10"/>
      <c r="LIM243" s="10"/>
      <c r="LIN243" s="19"/>
      <c r="LIO243" s="19"/>
      <c r="LIR243" s="16"/>
      <c r="LIS243" s="15"/>
      <c r="LIT243" s="15"/>
      <c r="LIU243" s="15"/>
      <c r="LIV243" s="16"/>
      <c r="LIW243" s="16"/>
      <c r="LIX243" s="16"/>
      <c r="LIY243" s="16"/>
      <c r="LIZ243" s="16"/>
      <c r="LJA243" s="15"/>
      <c r="LJB243" s="15"/>
      <c r="LJC243" s="10"/>
      <c r="LJD243" s="10"/>
      <c r="LJE243" s="19"/>
      <c r="LJF243" s="19"/>
      <c r="LJI243" s="16"/>
      <c r="LJJ243" s="15"/>
      <c r="LJK243" s="15"/>
      <c r="LJL243" s="15"/>
      <c r="LJM243" s="16"/>
      <c r="LJN243" s="16"/>
      <c r="LJO243" s="16"/>
      <c r="LJP243" s="16"/>
      <c r="LJQ243" s="16"/>
      <c r="LJR243" s="15"/>
      <c r="LJS243" s="15"/>
      <c r="LJT243" s="10"/>
      <c r="LJU243" s="10"/>
      <c r="LJV243" s="19"/>
      <c r="LJW243" s="19"/>
      <c r="LJZ243" s="16"/>
      <c r="LKA243" s="15"/>
      <c r="LKB243" s="15"/>
      <c r="LKC243" s="15"/>
      <c r="LKD243" s="16"/>
      <c r="LKE243" s="16"/>
      <c r="LKF243" s="16"/>
      <c r="LKG243" s="16"/>
      <c r="LKH243" s="16"/>
      <c r="LKI243" s="15"/>
      <c r="LKJ243" s="15"/>
      <c r="LKK243" s="10"/>
      <c r="LKL243" s="10"/>
      <c r="LKM243" s="19"/>
      <c r="LKN243" s="19"/>
      <c r="LKQ243" s="16"/>
      <c r="LKR243" s="15"/>
      <c r="LKS243" s="15"/>
      <c r="LKT243" s="15"/>
      <c r="LKU243" s="16"/>
      <c r="LKV243" s="16"/>
      <c r="LKW243" s="16"/>
      <c r="LKX243" s="16"/>
      <c r="LKY243" s="16"/>
      <c r="LKZ243" s="15"/>
      <c r="LLA243" s="15"/>
      <c r="LLB243" s="10"/>
      <c r="LLC243" s="10"/>
      <c r="LLD243" s="19"/>
      <c r="LLE243" s="19"/>
      <c r="LLH243" s="16"/>
      <c r="LLI243" s="15"/>
      <c r="LLJ243" s="15"/>
      <c r="LLK243" s="15"/>
      <c r="LLL243" s="16"/>
      <c r="LLM243" s="16"/>
      <c r="LLN243" s="16"/>
      <c r="LLO243" s="16"/>
      <c r="LLP243" s="16"/>
      <c r="LLQ243" s="15"/>
      <c r="LLR243" s="15"/>
      <c r="LLS243" s="10"/>
      <c r="LLT243" s="10"/>
      <c r="LLU243" s="19"/>
      <c r="LLV243" s="19"/>
      <c r="LLY243" s="16"/>
      <c r="LLZ243" s="15"/>
      <c r="LMA243" s="15"/>
      <c r="LMB243" s="15"/>
      <c r="LMC243" s="16"/>
      <c r="LMD243" s="16"/>
      <c r="LME243" s="16"/>
      <c r="LMF243" s="16"/>
      <c r="LMG243" s="16"/>
      <c r="LMH243" s="15"/>
      <c r="LMI243" s="15"/>
      <c r="LMJ243" s="10"/>
      <c r="LMK243" s="10"/>
      <c r="LML243" s="19"/>
      <c r="LMM243" s="19"/>
      <c r="LMP243" s="16"/>
      <c r="LMQ243" s="15"/>
      <c r="LMR243" s="15"/>
      <c r="LMS243" s="15"/>
      <c r="LMT243" s="16"/>
      <c r="LMU243" s="16"/>
      <c r="LMV243" s="16"/>
      <c r="LMW243" s="16"/>
      <c r="LMX243" s="16"/>
      <c r="LMY243" s="15"/>
      <c r="LMZ243" s="15"/>
      <c r="LNA243" s="10"/>
      <c r="LNB243" s="10"/>
      <c r="LNC243" s="19"/>
      <c r="LND243" s="19"/>
      <c r="LNG243" s="16"/>
      <c r="LNH243" s="15"/>
      <c r="LNI243" s="15"/>
      <c r="LNJ243" s="15"/>
      <c r="LNK243" s="16"/>
      <c r="LNL243" s="16"/>
      <c r="LNM243" s="16"/>
      <c r="LNN243" s="16"/>
      <c r="LNO243" s="16"/>
      <c r="LNP243" s="15"/>
      <c r="LNQ243" s="15"/>
      <c r="LNR243" s="10"/>
      <c r="LNS243" s="10"/>
      <c r="LNT243" s="19"/>
      <c r="LNU243" s="19"/>
      <c r="LNX243" s="16"/>
      <c r="LNY243" s="15"/>
      <c r="LNZ243" s="15"/>
      <c r="LOA243" s="15"/>
      <c r="LOB243" s="16"/>
      <c r="LOC243" s="16"/>
      <c r="LOD243" s="16"/>
      <c r="LOE243" s="16"/>
      <c r="LOF243" s="16"/>
      <c r="LOG243" s="15"/>
      <c r="LOH243" s="15"/>
      <c r="LOI243" s="10"/>
      <c r="LOJ243" s="10"/>
      <c r="LOK243" s="19"/>
      <c r="LOL243" s="19"/>
      <c r="LOO243" s="16"/>
      <c r="LOP243" s="15"/>
      <c r="LOQ243" s="15"/>
      <c r="LOR243" s="15"/>
      <c r="LOS243" s="16"/>
      <c r="LOT243" s="16"/>
      <c r="LOU243" s="16"/>
      <c r="LOV243" s="16"/>
      <c r="LOW243" s="16"/>
      <c r="LOX243" s="15"/>
      <c r="LOY243" s="15"/>
      <c r="LOZ243" s="10"/>
      <c r="LPA243" s="10"/>
      <c r="LPB243" s="19"/>
      <c r="LPC243" s="19"/>
      <c r="LPF243" s="16"/>
      <c r="LPG243" s="15"/>
      <c r="LPH243" s="15"/>
      <c r="LPI243" s="15"/>
      <c r="LPJ243" s="16"/>
      <c r="LPK243" s="16"/>
      <c r="LPL243" s="16"/>
      <c r="LPM243" s="16"/>
      <c r="LPN243" s="16"/>
      <c r="LPO243" s="15"/>
      <c r="LPP243" s="15"/>
      <c r="LPQ243" s="10"/>
      <c r="LPR243" s="10"/>
      <c r="LPS243" s="19"/>
      <c r="LPT243" s="19"/>
      <c r="LPW243" s="16"/>
      <c r="LPX243" s="15"/>
      <c r="LPY243" s="15"/>
      <c r="LPZ243" s="15"/>
      <c r="LQA243" s="16"/>
      <c r="LQB243" s="16"/>
      <c r="LQC243" s="16"/>
      <c r="LQD243" s="16"/>
      <c r="LQE243" s="16"/>
      <c r="LQF243" s="15"/>
      <c r="LQG243" s="15"/>
      <c r="LQH243" s="10"/>
      <c r="LQI243" s="10"/>
      <c r="LQJ243" s="19"/>
      <c r="LQK243" s="19"/>
      <c r="LQN243" s="16"/>
      <c r="LQO243" s="15"/>
      <c r="LQP243" s="15"/>
      <c r="LQQ243" s="15"/>
      <c r="LQR243" s="16"/>
      <c r="LQS243" s="16"/>
      <c r="LQT243" s="16"/>
      <c r="LQU243" s="16"/>
      <c r="LQV243" s="16"/>
      <c r="LQW243" s="15"/>
      <c r="LQX243" s="15"/>
      <c r="LQY243" s="10"/>
      <c r="LQZ243" s="10"/>
      <c r="LRA243" s="19"/>
      <c r="LRB243" s="19"/>
      <c r="LRE243" s="16"/>
      <c r="LRF243" s="15"/>
      <c r="LRG243" s="15"/>
      <c r="LRH243" s="15"/>
      <c r="LRI243" s="16"/>
      <c r="LRJ243" s="16"/>
      <c r="LRK243" s="16"/>
      <c r="LRL243" s="16"/>
      <c r="LRM243" s="16"/>
      <c r="LRN243" s="15"/>
      <c r="LRO243" s="15"/>
      <c r="LRP243" s="10"/>
      <c r="LRQ243" s="10"/>
      <c r="LRR243" s="19"/>
      <c r="LRS243" s="19"/>
      <c r="LRV243" s="16"/>
      <c r="LRW243" s="15"/>
      <c r="LRX243" s="15"/>
      <c r="LRY243" s="15"/>
      <c r="LRZ243" s="16"/>
      <c r="LSA243" s="16"/>
      <c r="LSB243" s="16"/>
      <c r="LSC243" s="16"/>
      <c r="LSD243" s="16"/>
      <c r="LSE243" s="15"/>
      <c r="LSF243" s="15"/>
      <c r="LSG243" s="10"/>
      <c r="LSH243" s="10"/>
      <c r="LSI243" s="19"/>
      <c r="LSJ243" s="19"/>
      <c r="LSM243" s="16"/>
      <c r="LSN243" s="15"/>
      <c r="LSO243" s="15"/>
      <c r="LSP243" s="15"/>
      <c r="LSQ243" s="16"/>
      <c r="LSR243" s="16"/>
      <c r="LSS243" s="16"/>
      <c r="LST243" s="16"/>
      <c r="LSU243" s="16"/>
      <c r="LSV243" s="15"/>
      <c r="LSW243" s="15"/>
      <c r="LSX243" s="10"/>
      <c r="LSY243" s="10"/>
      <c r="LSZ243" s="19"/>
      <c r="LTA243" s="19"/>
      <c r="LTD243" s="16"/>
      <c r="LTE243" s="15"/>
      <c r="LTF243" s="15"/>
      <c r="LTG243" s="15"/>
      <c r="LTH243" s="16"/>
      <c r="LTI243" s="16"/>
      <c r="LTJ243" s="16"/>
      <c r="LTK243" s="16"/>
      <c r="LTL243" s="16"/>
      <c r="LTM243" s="15"/>
      <c r="LTN243" s="15"/>
      <c r="LTO243" s="10"/>
      <c r="LTP243" s="10"/>
      <c r="LTQ243" s="19"/>
      <c r="LTR243" s="19"/>
      <c r="LTU243" s="16"/>
      <c r="LTV243" s="15"/>
      <c r="LTW243" s="15"/>
      <c r="LTX243" s="15"/>
      <c r="LTY243" s="16"/>
      <c r="LTZ243" s="16"/>
      <c r="LUA243" s="16"/>
      <c r="LUB243" s="16"/>
      <c r="LUC243" s="16"/>
      <c r="LUD243" s="15"/>
      <c r="LUE243" s="15"/>
      <c r="LUF243" s="10"/>
      <c r="LUG243" s="10"/>
      <c r="LUH243" s="19"/>
      <c r="LUI243" s="19"/>
      <c r="LUL243" s="16"/>
      <c r="LUM243" s="15"/>
      <c r="LUN243" s="15"/>
      <c r="LUO243" s="15"/>
      <c r="LUP243" s="16"/>
      <c r="LUQ243" s="16"/>
      <c r="LUR243" s="16"/>
      <c r="LUS243" s="16"/>
      <c r="LUT243" s="16"/>
      <c r="LUU243" s="15"/>
      <c r="LUV243" s="15"/>
      <c r="LUW243" s="10"/>
      <c r="LUX243" s="10"/>
      <c r="LUY243" s="19"/>
      <c r="LUZ243" s="19"/>
      <c r="LVC243" s="16"/>
      <c r="LVD243" s="15"/>
      <c r="LVE243" s="15"/>
      <c r="LVF243" s="15"/>
      <c r="LVG243" s="16"/>
      <c r="LVH243" s="16"/>
      <c r="LVI243" s="16"/>
      <c r="LVJ243" s="16"/>
      <c r="LVK243" s="16"/>
      <c r="LVL243" s="15"/>
      <c r="LVM243" s="15"/>
      <c r="LVN243" s="10"/>
      <c r="LVO243" s="10"/>
      <c r="LVP243" s="19"/>
      <c r="LVQ243" s="19"/>
      <c r="LVT243" s="16"/>
      <c r="LVU243" s="15"/>
      <c r="LVV243" s="15"/>
      <c r="LVW243" s="15"/>
      <c r="LVX243" s="16"/>
      <c r="LVY243" s="16"/>
      <c r="LVZ243" s="16"/>
      <c r="LWA243" s="16"/>
      <c r="LWB243" s="16"/>
      <c r="LWC243" s="15"/>
      <c r="LWD243" s="15"/>
      <c r="LWE243" s="10"/>
      <c r="LWF243" s="10"/>
      <c r="LWG243" s="19"/>
      <c r="LWH243" s="19"/>
      <c r="LWK243" s="16"/>
      <c r="LWL243" s="15"/>
      <c r="LWM243" s="15"/>
      <c r="LWN243" s="15"/>
      <c r="LWO243" s="16"/>
      <c r="LWP243" s="16"/>
      <c r="LWQ243" s="16"/>
      <c r="LWR243" s="16"/>
      <c r="LWS243" s="16"/>
      <c r="LWT243" s="15"/>
      <c r="LWU243" s="15"/>
      <c r="LWV243" s="10"/>
      <c r="LWW243" s="10"/>
      <c r="LWX243" s="19"/>
      <c r="LWY243" s="19"/>
      <c r="LXB243" s="16"/>
      <c r="LXC243" s="15"/>
      <c r="LXD243" s="15"/>
      <c r="LXE243" s="15"/>
      <c r="LXF243" s="16"/>
      <c r="LXG243" s="16"/>
      <c r="LXH243" s="16"/>
      <c r="LXI243" s="16"/>
      <c r="LXJ243" s="16"/>
      <c r="LXK243" s="15"/>
      <c r="LXL243" s="15"/>
      <c r="LXM243" s="10"/>
      <c r="LXN243" s="10"/>
      <c r="LXO243" s="19"/>
      <c r="LXP243" s="19"/>
      <c r="LXS243" s="16"/>
      <c r="LXT243" s="15"/>
      <c r="LXU243" s="15"/>
      <c r="LXV243" s="15"/>
      <c r="LXW243" s="16"/>
      <c r="LXX243" s="16"/>
      <c r="LXY243" s="16"/>
      <c r="LXZ243" s="16"/>
      <c r="LYA243" s="16"/>
      <c r="LYB243" s="15"/>
      <c r="LYC243" s="15"/>
      <c r="LYD243" s="10"/>
      <c r="LYE243" s="10"/>
      <c r="LYF243" s="19"/>
      <c r="LYG243" s="19"/>
      <c r="LYJ243" s="16"/>
      <c r="LYK243" s="15"/>
      <c r="LYL243" s="15"/>
      <c r="LYM243" s="15"/>
      <c r="LYN243" s="16"/>
      <c r="LYO243" s="16"/>
      <c r="LYP243" s="16"/>
      <c r="LYQ243" s="16"/>
      <c r="LYR243" s="16"/>
      <c r="LYS243" s="15"/>
      <c r="LYT243" s="15"/>
      <c r="LYU243" s="10"/>
      <c r="LYV243" s="10"/>
      <c r="LYW243" s="19"/>
      <c r="LYX243" s="19"/>
      <c r="LZA243" s="16"/>
      <c r="LZB243" s="15"/>
      <c r="LZC243" s="15"/>
      <c r="LZD243" s="15"/>
      <c r="LZE243" s="16"/>
      <c r="LZF243" s="16"/>
      <c r="LZG243" s="16"/>
      <c r="LZH243" s="16"/>
      <c r="LZI243" s="16"/>
      <c r="LZJ243" s="15"/>
      <c r="LZK243" s="15"/>
      <c r="LZL243" s="10"/>
      <c r="LZM243" s="10"/>
      <c r="LZN243" s="19"/>
      <c r="LZO243" s="19"/>
      <c r="LZR243" s="16"/>
      <c r="LZS243" s="15"/>
      <c r="LZT243" s="15"/>
      <c r="LZU243" s="15"/>
      <c r="LZV243" s="16"/>
      <c r="LZW243" s="16"/>
      <c r="LZX243" s="16"/>
      <c r="LZY243" s="16"/>
      <c r="LZZ243" s="16"/>
      <c r="MAA243" s="15"/>
      <c r="MAB243" s="15"/>
      <c r="MAC243" s="10"/>
      <c r="MAD243" s="10"/>
      <c r="MAE243" s="19"/>
      <c r="MAF243" s="19"/>
      <c r="MAI243" s="16"/>
      <c r="MAJ243" s="15"/>
      <c r="MAK243" s="15"/>
      <c r="MAL243" s="15"/>
      <c r="MAM243" s="16"/>
      <c r="MAN243" s="16"/>
      <c r="MAO243" s="16"/>
      <c r="MAP243" s="16"/>
      <c r="MAQ243" s="16"/>
      <c r="MAR243" s="15"/>
      <c r="MAS243" s="15"/>
      <c r="MAT243" s="10"/>
      <c r="MAU243" s="10"/>
      <c r="MAV243" s="19"/>
      <c r="MAW243" s="19"/>
      <c r="MAZ243" s="16"/>
      <c r="MBA243" s="15"/>
      <c r="MBB243" s="15"/>
      <c r="MBC243" s="15"/>
      <c r="MBD243" s="16"/>
      <c r="MBE243" s="16"/>
      <c r="MBF243" s="16"/>
      <c r="MBG243" s="16"/>
      <c r="MBH243" s="16"/>
      <c r="MBI243" s="15"/>
      <c r="MBJ243" s="15"/>
      <c r="MBK243" s="10"/>
      <c r="MBL243" s="10"/>
      <c r="MBM243" s="19"/>
      <c r="MBN243" s="19"/>
      <c r="MBQ243" s="16"/>
      <c r="MBR243" s="15"/>
      <c r="MBS243" s="15"/>
      <c r="MBT243" s="15"/>
      <c r="MBU243" s="16"/>
      <c r="MBV243" s="16"/>
      <c r="MBW243" s="16"/>
      <c r="MBX243" s="16"/>
      <c r="MBY243" s="16"/>
      <c r="MBZ243" s="15"/>
      <c r="MCA243" s="15"/>
      <c r="MCB243" s="10"/>
      <c r="MCC243" s="10"/>
      <c r="MCD243" s="19"/>
      <c r="MCE243" s="19"/>
      <c r="MCH243" s="16"/>
      <c r="MCI243" s="15"/>
      <c r="MCJ243" s="15"/>
      <c r="MCK243" s="15"/>
      <c r="MCL243" s="16"/>
      <c r="MCM243" s="16"/>
      <c r="MCN243" s="16"/>
      <c r="MCO243" s="16"/>
      <c r="MCP243" s="16"/>
      <c r="MCQ243" s="15"/>
      <c r="MCR243" s="15"/>
      <c r="MCS243" s="10"/>
      <c r="MCT243" s="10"/>
      <c r="MCU243" s="19"/>
      <c r="MCV243" s="19"/>
      <c r="MCY243" s="16"/>
      <c r="MCZ243" s="15"/>
      <c r="MDA243" s="15"/>
      <c r="MDB243" s="15"/>
      <c r="MDC243" s="16"/>
      <c r="MDD243" s="16"/>
      <c r="MDE243" s="16"/>
      <c r="MDF243" s="16"/>
      <c r="MDG243" s="16"/>
      <c r="MDH243" s="15"/>
      <c r="MDI243" s="15"/>
      <c r="MDJ243" s="10"/>
      <c r="MDK243" s="10"/>
      <c r="MDL243" s="19"/>
      <c r="MDM243" s="19"/>
      <c r="MDP243" s="16"/>
      <c r="MDQ243" s="15"/>
      <c r="MDR243" s="15"/>
      <c r="MDS243" s="15"/>
      <c r="MDT243" s="16"/>
      <c r="MDU243" s="16"/>
      <c r="MDV243" s="16"/>
      <c r="MDW243" s="16"/>
      <c r="MDX243" s="16"/>
      <c r="MDY243" s="15"/>
      <c r="MDZ243" s="15"/>
      <c r="MEA243" s="10"/>
      <c r="MEB243" s="10"/>
      <c r="MEC243" s="19"/>
      <c r="MED243" s="19"/>
      <c r="MEG243" s="16"/>
      <c r="MEH243" s="15"/>
      <c r="MEI243" s="15"/>
      <c r="MEJ243" s="15"/>
      <c r="MEK243" s="16"/>
      <c r="MEL243" s="16"/>
      <c r="MEM243" s="16"/>
      <c r="MEN243" s="16"/>
      <c r="MEO243" s="16"/>
      <c r="MEP243" s="15"/>
      <c r="MEQ243" s="15"/>
      <c r="MER243" s="10"/>
      <c r="MES243" s="10"/>
      <c r="MET243" s="19"/>
      <c r="MEU243" s="19"/>
      <c r="MEX243" s="16"/>
      <c r="MEY243" s="15"/>
      <c r="MEZ243" s="15"/>
      <c r="MFA243" s="15"/>
      <c r="MFB243" s="16"/>
      <c r="MFC243" s="16"/>
      <c r="MFD243" s="16"/>
      <c r="MFE243" s="16"/>
      <c r="MFF243" s="16"/>
      <c r="MFG243" s="15"/>
      <c r="MFH243" s="15"/>
      <c r="MFI243" s="10"/>
      <c r="MFJ243" s="10"/>
      <c r="MFK243" s="19"/>
      <c r="MFL243" s="19"/>
      <c r="MFO243" s="16"/>
      <c r="MFP243" s="15"/>
      <c r="MFQ243" s="15"/>
      <c r="MFR243" s="15"/>
      <c r="MFS243" s="16"/>
      <c r="MFT243" s="16"/>
      <c r="MFU243" s="16"/>
      <c r="MFV243" s="16"/>
      <c r="MFW243" s="16"/>
      <c r="MFX243" s="15"/>
      <c r="MFY243" s="15"/>
      <c r="MFZ243" s="10"/>
      <c r="MGA243" s="10"/>
      <c r="MGB243" s="19"/>
      <c r="MGC243" s="19"/>
      <c r="MGF243" s="16"/>
      <c r="MGG243" s="15"/>
      <c r="MGH243" s="15"/>
      <c r="MGI243" s="15"/>
      <c r="MGJ243" s="16"/>
      <c r="MGK243" s="16"/>
      <c r="MGL243" s="16"/>
      <c r="MGM243" s="16"/>
      <c r="MGN243" s="16"/>
      <c r="MGO243" s="15"/>
      <c r="MGP243" s="15"/>
      <c r="MGQ243" s="10"/>
      <c r="MGR243" s="10"/>
      <c r="MGS243" s="19"/>
      <c r="MGT243" s="19"/>
      <c r="MGW243" s="16"/>
      <c r="MGX243" s="15"/>
      <c r="MGY243" s="15"/>
      <c r="MGZ243" s="15"/>
      <c r="MHA243" s="16"/>
      <c r="MHB243" s="16"/>
      <c r="MHC243" s="16"/>
      <c r="MHD243" s="16"/>
      <c r="MHE243" s="16"/>
      <c r="MHF243" s="15"/>
      <c r="MHG243" s="15"/>
      <c r="MHH243" s="10"/>
      <c r="MHI243" s="10"/>
      <c r="MHJ243" s="19"/>
      <c r="MHK243" s="19"/>
      <c r="MHN243" s="16"/>
      <c r="MHO243" s="15"/>
      <c r="MHP243" s="15"/>
      <c r="MHQ243" s="15"/>
      <c r="MHR243" s="16"/>
      <c r="MHS243" s="16"/>
      <c r="MHT243" s="16"/>
      <c r="MHU243" s="16"/>
      <c r="MHV243" s="16"/>
      <c r="MHW243" s="15"/>
      <c r="MHX243" s="15"/>
      <c r="MHY243" s="10"/>
      <c r="MHZ243" s="10"/>
      <c r="MIA243" s="19"/>
      <c r="MIB243" s="19"/>
      <c r="MIE243" s="16"/>
      <c r="MIF243" s="15"/>
      <c r="MIG243" s="15"/>
      <c r="MIH243" s="15"/>
      <c r="MII243" s="16"/>
      <c r="MIJ243" s="16"/>
      <c r="MIK243" s="16"/>
      <c r="MIL243" s="16"/>
      <c r="MIM243" s="16"/>
      <c r="MIN243" s="15"/>
      <c r="MIO243" s="15"/>
      <c r="MIP243" s="10"/>
      <c r="MIQ243" s="10"/>
      <c r="MIR243" s="19"/>
      <c r="MIS243" s="19"/>
      <c r="MIV243" s="16"/>
      <c r="MIW243" s="15"/>
      <c r="MIX243" s="15"/>
      <c r="MIY243" s="15"/>
      <c r="MIZ243" s="16"/>
      <c r="MJA243" s="16"/>
      <c r="MJB243" s="16"/>
      <c r="MJC243" s="16"/>
      <c r="MJD243" s="16"/>
      <c r="MJE243" s="15"/>
      <c r="MJF243" s="15"/>
      <c r="MJG243" s="10"/>
      <c r="MJH243" s="10"/>
      <c r="MJI243" s="19"/>
      <c r="MJJ243" s="19"/>
      <c r="MJM243" s="16"/>
      <c r="MJN243" s="15"/>
      <c r="MJO243" s="15"/>
      <c r="MJP243" s="15"/>
      <c r="MJQ243" s="16"/>
      <c r="MJR243" s="16"/>
      <c r="MJS243" s="16"/>
      <c r="MJT243" s="16"/>
      <c r="MJU243" s="16"/>
      <c r="MJV243" s="15"/>
      <c r="MJW243" s="15"/>
      <c r="MJX243" s="10"/>
      <c r="MJY243" s="10"/>
      <c r="MJZ243" s="19"/>
      <c r="MKA243" s="19"/>
      <c r="MKD243" s="16"/>
      <c r="MKE243" s="15"/>
      <c r="MKF243" s="15"/>
      <c r="MKG243" s="15"/>
      <c r="MKH243" s="16"/>
      <c r="MKI243" s="16"/>
      <c r="MKJ243" s="16"/>
      <c r="MKK243" s="16"/>
      <c r="MKL243" s="16"/>
      <c r="MKM243" s="15"/>
      <c r="MKN243" s="15"/>
      <c r="MKO243" s="10"/>
      <c r="MKP243" s="10"/>
      <c r="MKQ243" s="19"/>
      <c r="MKR243" s="19"/>
      <c r="MKU243" s="16"/>
      <c r="MKV243" s="15"/>
      <c r="MKW243" s="15"/>
      <c r="MKX243" s="15"/>
      <c r="MKY243" s="16"/>
      <c r="MKZ243" s="16"/>
      <c r="MLA243" s="16"/>
      <c r="MLB243" s="16"/>
      <c r="MLC243" s="16"/>
      <c r="MLD243" s="15"/>
      <c r="MLE243" s="15"/>
      <c r="MLF243" s="10"/>
      <c r="MLG243" s="10"/>
      <c r="MLH243" s="19"/>
      <c r="MLI243" s="19"/>
      <c r="MLL243" s="16"/>
      <c r="MLM243" s="15"/>
      <c r="MLN243" s="15"/>
      <c r="MLO243" s="15"/>
      <c r="MLP243" s="16"/>
      <c r="MLQ243" s="16"/>
      <c r="MLR243" s="16"/>
      <c r="MLS243" s="16"/>
      <c r="MLT243" s="16"/>
      <c r="MLU243" s="15"/>
      <c r="MLV243" s="15"/>
      <c r="MLW243" s="10"/>
      <c r="MLX243" s="10"/>
      <c r="MLY243" s="19"/>
      <c r="MLZ243" s="19"/>
      <c r="MMC243" s="16"/>
      <c r="MMD243" s="15"/>
      <c r="MME243" s="15"/>
      <c r="MMF243" s="15"/>
      <c r="MMG243" s="16"/>
      <c r="MMH243" s="16"/>
      <c r="MMI243" s="16"/>
      <c r="MMJ243" s="16"/>
      <c r="MMK243" s="16"/>
      <c r="MML243" s="15"/>
      <c r="MMM243" s="15"/>
      <c r="MMN243" s="10"/>
      <c r="MMO243" s="10"/>
      <c r="MMP243" s="19"/>
      <c r="MMQ243" s="19"/>
      <c r="MMT243" s="16"/>
      <c r="MMU243" s="15"/>
      <c r="MMV243" s="15"/>
      <c r="MMW243" s="15"/>
      <c r="MMX243" s="16"/>
      <c r="MMY243" s="16"/>
      <c r="MMZ243" s="16"/>
      <c r="MNA243" s="16"/>
      <c r="MNB243" s="16"/>
      <c r="MNC243" s="15"/>
      <c r="MND243" s="15"/>
      <c r="MNE243" s="10"/>
      <c r="MNF243" s="10"/>
      <c r="MNG243" s="19"/>
      <c r="MNH243" s="19"/>
      <c r="MNK243" s="16"/>
      <c r="MNL243" s="15"/>
      <c r="MNM243" s="15"/>
      <c r="MNN243" s="15"/>
      <c r="MNO243" s="16"/>
      <c r="MNP243" s="16"/>
      <c r="MNQ243" s="16"/>
      <c r="MNR243" s="16"/>
      <c r="MNS243" s="16"/>
      <c r="MNT243" s="15"/>
      <c r="MNU243" s="15"/>
      <c r="MNV243" s="10"/>
      <c r="MNW243" s="10"/>
      <c r="MNX243" s="19"/>
      <c r="MNY243" s="19"/>
      <c r="MOB243" s="16"/>
      <c r="MOC243" s="15"/>
      <c r="MOD243" s="15"/>
      <c r="MOE243" s="15"/>
      <c r="MOF243" s="16"/>
      <c r="MOG243" s="16"/>
      <c r="MOH243" s="16"/>
      <c r="MOI243" s="16"/>
      <c r="MOJ243" s="16"/>
      <c r="MOK243" s="15"/>
      <c r="MOL243" s="15"/>
      <c r="MOM243" s="10"/>
      <c r="MON243" s="10"/>
      <c r="MOO243" s="19"/>
      <c r="MOP243" s="19"/>
      <c r="MOS243" s="16"/>
      <c r="MOT243" s="15"/>
      <c r="MOU243" s="15"/>
      <c r="MOV243" s="15"/>
      <c r="MOW243" s="16"/>
      <c r="MOX243" s="16"/>
      <c r="MOY243" s="16"/>
      <c r="MOZ243" s="16"/>
      <c r="MPA243" s="16"/>
      <c r="MPB243" s="15"/>
      <c r="MPC243" s="15"/>
      <c r="MPD243" s="10"/>
      <c r="MPE243" s="10"/>
      <c r="MPF243" s="19"/>
      <c r="MPG243" s="19"/>
      <c r="MPJ243" s="16"/>
      <c r="MPK243" s="15"/>
      <c r="MPL243" s="15"/>
      <c r="MPM243" s="15"/>
      <c r="MPN243" s="16"/>
      <c r="MPO243" s="16"/>
      <c r="MPP243" s="16"/>
      <c r="MPQ243" s="16"/>
      <c r="MPR243" s="16"/>
      <c r="MPS243" s="15"/>
      <c r="MPT243" s="15"/>
      <c r="MPU243" s="10"/>
      <c r="MPV243" s="10"/>
      <c r="MPW243" s="19"/>
      <c r="MPX243" s="19"/>
      <c r="MQA243" s="16"/>
      <c r="MQB243" s="15"/>
      <c r="MQC243" s="15"/>
      <c r="MQD243" s="15"/>
      <c r="MQE243" s="16"/>
      <c r="MQF243" s="16"/>
      <c r="MQG243" s="16"/>
      <c r="MQH243" s="16"/>
      <c r="MQI243" s="16"/>
      <c r="MQJ243" s="15"/>
      <c r="MQK243" s="15"/>
      <c r="MQL243" s="10"/>
      <c r="MQM243" s="10"/>
      <c r="MQN243" s="19"/>
      <c r="MQO243" s="19"/>
      <c r="MQR243" s="16"/>
      <c r="MQS243" s="15"/>
      <c r="MQT243" s="15"/>
      <c r="MQU243" s="15"/>
      <c r="MQV243" s="16"/>
      <c r="MQW243" s="16"/>
      <c r="MQX243" s="16"/>
      <c r="MQY243" s="16"/>
      <c r="MQZ243" s="16"/>
      <c r="MRA243" s="15"/>
      <c r="MRB243" s="15"/>
      <c r="MRC243" s="10"/>
      <c r="MRD243" s="10"/>
      <c r="MRE243" s="19"/>
      <c r="MRF243" s="19"/>
      <c r="MRI243" s="16"/>
      <c r="MRJ243" s="15"/>
      <c r="MRK243" s="15"/>
      <c r="MRL243" s="15"/>
      <c r="MRM243" s="16"/>
      <c r="MRN243" s="16"/>
      <c r="MRO243" s="16"/>
      <c r="MRP243" s="16"/>
      <c r="MRQ243" s="16"/>
      <c r="MRR243" s="15"/>
      <c r="MRS243" s="15"/>
      <c r="MRT243" s="10"/>
      <c r="MRU243" s="10"/>
      <c r="MRV243" s="19"/>
      <c r="MRW243" s="19"/>
      <c r="MRZ243" s="16"/>
      <c r="MSA243" s="15"/>
      <c r="MSB243" s="15"/>
      <c r="MSC243" s="15"/>
      <c r="MSD243" s="16"/>
      <c r="MSE243" s="16"/>
      <c r="MSF243" s="16"/>
      <c r="MSG243" s="16"/>
      <c r="MSH243" s="16"/>
      <c r="MSI243" s="15"/>
      <c r="MSJ243" s="15"/>
      <c r="MSK243" s="10"/>
      <c r="MSL243" s="10"/>
      <c r="MSM243" s="19"/>
      <c r="MSN243" s="19"/>
      <c r="MSQ243" s="16"/>
      <c r="MSR243" s="15"/>
      <c r="MSS243" s="15"/>
      <c r="MST243" s="15"/>
      <c r="MSU243" s="16"/>
      <c r="MSV243" s="16"/>
      <c r="MSW243" s="16"/>
      <c r="MSX243" s="16"/>
      <c r="MSY243" s="16"/>
      <c r="MSZ243" s="15"/>
      <c r="MTA243" s="15"/>
      <c r="MTB243" s="10"/>
      <c r="MTC243" s="10"/>
      <c r="MTD243" s="19"/>
      <c r="MTE243" s="19"/>
      <c r="MTH243" s="16"/>
      <c r="MTI243" s="15"/>
      <c r="MTJ243" s="15"/>
      <c r="MTK243" s="15"/>
      <c r="MTL243" s="16"/>
      <c r="MTM243" s="16"/>
      <c r="MTN243" s="16"/>
      <c r="MTO243" s="16"/>
      <c r="MTP243" s="16"/>
      <c r="MTQ243" s="15"/>
      <c r="MTR243" s="15"/>
      <c r="MTS243" s="10"/>
      <c r="MTT243" s="10"/>
      <c r="MTU243" s="19"/>
      <c r="MTV243" s="19"/>
      <c r="MTY243" s="16"/>
      <c r="MTZ243" s="15"/>
      <c r="MUA243" s="15"/>
      <c r="MUB243" s="15"/>
      <c r="MUC243" s="16"/>
      <c r="MUD243" s="16"/>
      <c r="MUE243" s="16"/>
      <c r="MUF243" s="16"/>
      <c r="MUG243" s="16"/>
      <c r="MUH243" s="15"/>
      <c r="MUI243" s="15"/>
      <c r="MUJ243" s="10"/>
      <c r="MUK243" s="10"/>
      <c r="MUL243" s="19"/>
      <c r="MUM243" s="19"/>
      <c r="MUP243" s="16"/>
      <c r="MUQ243" s="15"/>
      <c r="MUR243" s="15"/>
      <c r="MUS243" s="15"/>
      <c r="MUT243" s="16"/>
      <c r="MUU243" s="16"/>
      <c r="MUV243" s="16"/>
      <c r="MUW243" s="16"/>
      <c r="MUX243" s="16"/>
      <c r="MUY243" s="15"/>
      <c r="MUZ243" s="15"/>
      <c r="MVA243" s="10"/>
      <c r="MVB243" s="10"/>
      <c r="MVC243" s="19"/>
      <c r="MVD243" s="19"/>
      <c r="MVG243" s="16"/>
      <c r="MVH243" s="15"/>
      <c r="MVI243" s="15"/>
      <c r="MVJ243" s="15"/>
      <c r="MVK243" s="16"/>
      <c r="MVL243" s="16"/>
      <c r="MVM243" s="16"/>
      <c r="MVN243" s="16"/>
      <c r="MVO243" s="16"/>
      <c r="MVP243" s="15"/>
      <c r="MVQ243" s="15"/>
      <c r="MVR243" s="10"/>
      <c r="MVS243" s="10"/>
      <c r="MVT243" s="19"/>
      <c r="MVU243" s="19"/>
      <c r="MVX243" s="16"/>
      <c r="MVY243" s="15"/>
      <c r="MVZ243" s="15"/>
      <c r="MWA243" s="15"/>
      <c r="MWB243" s="16"/>
      <c r="MWC243" s="16"/>
      <c r="MWD243" s="16"/>
      <c r="MWE243" s="16"/>
      <c r="MWF243" s="16"/>
      <c r="MWG243" s="15"/>
      <c r="MWH243" s="15"/>
      <c r="MWI243" s="10"/>
      <c r="MWJ243" s="10"/>
      <c r="MWK243" s="19"/>
      <c r="MWL243" s="19"/>
      <c r="MWO243" s="16"/>
      <c r="MWP243" s="15"/>
      <c r="MWQ243" s="15"/>
      <c r="MWR243" s="15"/>
      <c r="MWS243" s="16"/>
      <c r="MWT243" s="16"/>
      <c r="MWU243" s="16"/>
      <c r="MWV243" s="16"/>
      <c r="MWW243" s="16"/>
      <c r="MWX243" s="15"/>
      <c r="MWY243" s="15"/>
      <c r="MWZ243" s="10"/>
      <c r="MXA243" s="10"/>
      <c r="MXB243" s="19"/>
      <c r="MXC243" s="19"/>
      <c r="MXF243" s="16"/>
      <c r="MXG243" s="15"/>
      <c r="MXH243" s="15"/>
      <c r="MXI243" s="15"/>
      <c r="MXJ243" s="16"/>
      <c r="MXK243" s="16"/>
      <c r="MXL243" s="16"/>
      <c r="MXM243" s="16"/>
      <c r="MXN243" s="16"/>
      <c r="MXO243" s="15"/>
      <c r="MXP243" s="15"/>
      <c r="MXQ243" s="10"/>
      <c r="MXR243" s="10"/>
      <c r="MXS243" s="19"/>
      <c r="MXT243" s="19"/>
      <c r="MXW243" s="16"/>
      <c r="MXX243" s="15"/>
      <c r="MXY243" s="15"/>
      <c r="MXZ243" s="15"/>
      <c r="MYA243" s="16"/>
      <c r="MYB243" s="16"/>
      <c r="MYC243" s="16"/>
      <c r="MYD243" s="16"/>
      <c r="MYE243" s="16"/>
      <c r="MYF243" s="15"/>
      <c r="MYG243" s="15"/>
      <c r="MYH243" s="10"/>
      <c r="MYI243" s="10"/>
      <c r="MYJ243" s="19"/>
      <c r="MYK243" s="19"/>
      <c r="MYN243" s="16"/>
      <c r="MYO243" s="15"/>
      <c r="MYP243" s="15"/>
      <c r="MYQ243" s="15"/>
      <c r="MYR243" s="16"/>
      <c r="MYS243" s="16"/>
      <c r="MYT243" s="16"/>
      <c r="MYU243" s="16"/>
      <c r="MYV243" s="16"/>
      <c r="MYW243" s="15"/>
      <c r="MYX243" s="15"/>
      <c r="MYY243" s="10"/>
      <c r="MYZ243" s="10"/>
      <c r="MZA243" s="19"/>
      <c r="MZB243" s="19"/>
      <c r="MZE243" s="16"/>
      <c r="MZF243" s="15"/>
      <c r="MZG243" s="15"/>
      <c r="MZH243" s="15"/>
      <c r="MZI243" s="16"/>
      <c r="MZJ243" s="16"/>
      <c r="MZK243" s="16"/>
      <c r="MZL243" s="16"/>
      <c r="MZM243" s="16"/>
      <c r="MZN243" s="15"/>
      <c r="MZO243" s="15"/>
      <c r="MZP243" s="10"/>
      <c r="MZQ243" s="10"/>
      <c r="MZR243" s="19"/>
      <c r="MZS243" s="19"/>
      <c r="MZV243" s="16"/>
      <c r="MZW243" s="15"/>
      <c r="MZX243" s="15"/>
      <c r="MZY243" s="15"/>
      <c r="MZZ243" s="16"/>
      <c r="NAA243" s="16"/>
      <c r="NAB243" s="16"/>
      <c r="NAC243" s="16"/>
      <c r="NAD243" s="16"/>
      <c r="NAE243" s="15"/>
      <c r="NAF243" s="15"/>
      <c r="NAG243" s="10"/>
      <c r="NAH243" s="10"/>
      <c r="NAI243" s="19"/>
      <c r="NAJ243" s="19"/>
      <c r="NAM243" s="16"/>
      <c r="NAN243" s="15"/>
      <c r="NAO243" s="15"/>
      <c r="NAP243" s="15"/>
      <c r="NAQ243" s="16"/>
      <c r="NAR243" s="16"/>
      <c r="NAS243" s="16"/>
      <c r="NAT243" s="16"/>
      <c r="NAU243" s="16"/>
      <c r="NAV243" s="15"/>
      <c r="NAW243" s="15"/>
      <c r="NAX243" s="10"/>
      <c r="NAY243" s="10"/>
      <c r="NAZ243" s="19"/>
      <c r="NBA243" s="19"/>
      <c r="NBD243" s="16"/>
      <c r="NBE243" s="15"/>
      <c r="NBF243" s="15"/>
      <c r="NBG243" s="15"/>
      <c r="NBH243" s="16"/>
      <c r="NBI243" s="16"/>
      <c r="NBJ243" s="16"/>
      <c r="NBK243" s="16"/>
      <c r="NBL243" s="16"/>
      <c r="NBM243" s="15"/>
      <c r="NBN243" s="15"/>
      <c r="NBO243" s="10"/>
      <c r="NBP243" s="10"/>
      <c r="NBQ243" s="19"/>
      <c r="NBR243" s="19"/>
      <c r="NBU243" s="16"/>
      <c r="NBV243" s="15"/>
      <c r="NBW243" s="15"/>
      <c r="NBX243" s="15"/>
      <c r="NBY243" s="16"/>
      <c r="NBZ243" s="16"/>
      <c r="NCA243" s="16"/>
      <c r="NCB243" s="16"/>
      <c r="NCC243" s="16"/>
      <c r="NCD243" s="15"/>
      <c r="NCE243" s="15"/>
      <c r="NCF243" s="10"/>
      <c r="NCG243" s="10"/>
      <c r="NCH243" s="19"/>
      <c r="NCI243" s="19"/>
      <c r="NCL243" s="16"/>
      <c r="NCM243" s="15"/>
      <c r="NCN243" s="15"/>
      <c r="NCO243" s="15"/>
      <c r="NCP243" s="16"/>
      <c r="NCQ243" s="16"/>
      <c r="NCR243" s="16"/>
      <c r="NCS243" s="16"/>
      <c r="NCT243" s="16"/>
      <c r="NCU243" s="15"/>
      <c r="NCV243" s="15"/>
      <c r="NCW243" s="10"/>
      <c r="NCX243" s="10"/>
      <c r="NCY243" s="19"/>
      <c r="NCZ243" s="19"/>
      <c r="NDC243" s="16"/>
      <c r="NDD243" s="15"/>
      <c r="NDE243" s="15"/>
      <c r="NDF243" s="15"/>
      <c r="NDG243" s="16"/>
      <c r="NDH243" s="16"/>
      <c r="NDI243" s="16"/>
      <c r="NDJ243" s="16"/>
      <c r="NDK243" s="16"/>
      <c r="NDL243" s="15"/>
      <c r="NDM243" s="15"/>
      <c r="NDN243" s="10"/>
      <c r="NDO243" s="10"/>
      <c r="NDP243" s="19"/>
      <c r="NDQ243" s="19"/>
      <c r="NDT243" s="16"/>
      <c r="NDU243" s="15"/>
      <c r="NDV243" s="15"/>
      <c r="NDW243" s="15"/>
      <c r="NDX243" s="16"/>
      <c r="NDY243" s="16"/>
      <c r="NDZ243" s="16"/>
      <c r="NEA243" s="16"/>
      <c r="NEB243" s="16"/>
      <c r="NEC243" s="15"/>
      <c r="NED243" s="15"/>
      <c r="NEE243" s="10"/>
      <c r="NEF243" s="10"/>
      <c r="NEG243" s="19"/>
      <c r="NEH243" s="19"/>
      <c r="NEK243" s="16"/>
      <c r="NEL243" s="15"/>
      <c r="NEM243" s="15"/>
      <c r="NEN243" s="15"/>
      <c r="NEO243" s="16"/>
      <c r="NEP243" s="16"/>
      <c r="NEQ243" s="16"/>
      <c r="NER243" s="16"/>
      <c r="NES243" s="16"/>
      <c r="NET243" s="15"/>
      <c r="NEU243" s="15"/>
      <c r="NEV243" s="10"/>
      <c r="NEW243" s="10"/>
      <c r="NEX243" s="19"/>
      <c r="NEY243" s="19"/>
      <c r="NFB243" s="16"/>
      <c r="NFC243" s="15"/>
      <c r="NFD243" s="15"/>
      <c r="NFE243" s="15"/>
      <c r="NFF243" s="16"/>
      <c r="NFG243" s="16"/>
      <c r="NFH243" s="16"/>
      <c r="NFI243" s="16"/>
      <c r="NFJ243" s="16"/>
      <c r="NFK243" s="15"/>
      <c r="NFL243" s="15"/>
      <c r="NFM243" s="10"/>
      <c r="NFN243" s="10"/>
      <c r="NFO243" s="19"/>
      <c r="NFP243" s="19"/>
      <c r="NFS243" s="16"/>
      <c r="NFT243" s="15"/>
      <c r="NFU243" s="15"/>
      <c r="NFV243" s="15"/>
      <c r="NFW243" s="16"/>
      <c r="NFX243" s="16"/>
      <c r="NFY243" s="16"/>
      <c r="NFZ243" s="16"/>
      <c r="NGA243" s="16"/>
      <c r="NGB243" s="15"/>
      <c r="NGC243" s="15"/>
      <c r="NGD243" s="10"/>
      <c r="NGE243" s="10"/>
      <c r="NGF243" s="19"/>
      <c r="NGG243" s="19"/>
      <c r="NGJ243" s="16"/>
      <c r="NGK243" s="15"/>
      <c r="NGL243" s="15"/>
      <c r="NGM243" s="15"/>
      <c r="NGN243" s="16"/>
      <c r="NGO243" s="16"/>
      <c r="NGP243" s="16"/>
      <c r="NGQ243" s="16"/>
      <c r="NGR243" s="16"/>
      <c r="NGS243" s="15"/>
      <c r="NGT243" s="15"/>
      <c r="NGU243" s="10"/>
      <c r="NGV243" s="10"/>
      <c r="NGW243" s="19"/>
      <c r="NGX243" s="19"/>
      <c r="NHA243" s="16"/>
      <c r="NHB243" s="15"/>
      <c r="NHC243" s="15"/>
      <c r="NHD243" s="15"/>
      <c r="NHE243" s="16"/>
      <c r="NHF243" s="16"/>
      <c r="NHG243" s="16"/>
      <c r="NHH243" s="16"/>
      <c r="NHI243" s="16"/>
      <c r="NHJ243" s="15"/>
      <c r="NHK243" s="15"/>
      <c r="NHL243" s="10"/>
      <c r="NHM243" s="10"/>
      <c r="NHN243" s="19"/>
      <c r="NHO243" s="19"/>
      <c r="NHR243" s="16"/>
      <c r="NHS243" s="15"/>
      <c r="NHT243" s="15"/>
      <c r="NHU243" s="15"/>
      <c r="NHV243" s="16"/>
      <c r="NHW243" s="16"/>
      <c r="NHX243" s="16"/>
      <c r="NHY243" s="16"/>
      <c r="NHZ243" s="16"/>
      <c r="NIA243" s="15"/>
      <c r="NIB243" s="15"/>
      <c r="NIC243" s="10"/>
      <c r="NID243" s="10"/>
      <c r="NIE243" s="19"/>
      <c r="NIF243" s="19"/>
      <c r="NII243" s="16"/>
      <c r="NIJ243" s="15"/>
      <c r="NIK243" s="15"/>
      <c r="NIL243" s="15"/>
      <c r="NIM243" s="16"/>
      <c r="NIN243" s="16"/>
      <c r="NIO243" s="16"/>
      <c r="NIP243" s="16"/>
      <c r="NIQ243" s="16"/>
      <c r="NIR243" s="15"/>
      <c r="NIS243" s="15"/>
      <c r="NIT243" s="10"/>
      <c r="NIU243" s="10"/>
      <c r="NIV243" s="19"/>
      <c r="NIW243" s="19"/>
      <c r="NIZ243" s="16"/>
      <c r="NJA243" s="15"/>
      <c r="NJB243" s="15"/>
      <c r="NJC243" s="15"/>
      <c r="NJD243" s="16"/>
      <c r="NJE243" s="16"/>
      <c r="NJF243" s="16"/>
      <c r="NJG243" s="16"/>
      <c r="NJH243" s="16"/>
      <c r="NJI243" s="15"/>
      <c r="NJJ243" s="15"/>
      <c r="NJK243" s="10"/>
      <c r="NJL243" s="10"/>
      <c r="NJM243" s="19"/>
      <c r="NJN243" s="19"/>
      <c r="NJQ243" s="16"/>
      <c r="NJR243" s="15"/>
      <c r="NJS243" s="15"/>
      <c r="NJT243" s="15"/>
      <c r="NJU243" s="16"/>
      <c r="NJV243" s="16"/>
      <c r="NJW243" s="16"/>
      <c r="NJX243" s="16"/>
      <c r="NJY243" s="16"/>
      <c r="NJZ243" s="15"/>
      <c r="NKA243" s="15"/>
      <c r="NKB243" s="10"/>
      <c r="NKC243" s="10"/>
      <c r="NKD243" s="19"/>
      <c r="NKE243" s="19"/>
      <c r="NKH243" s="16"/>
      <c r="NKI243" s="15"/>
      <c r="NKJ243" s="15"/>
      <c r="NKK243" s="15"/>
      <c r="NKL243" s="16"/>
      <c r="NKM243" s="16"/>
      <c r="NKN243" s="16"/>
      <c r="NKO243" s="16"/>
      <c r="NKP243" s="16"/>
      <c r="NKQ243" s="15"/>
      <c r="NKR243" s="15"/>
      <c r="NKS243" s="10"/>
      <c r="NKT243" s="10"/>
      <c r="NKU243" s="19"/>
      <c r="NKV243" s="19"/>
      <c r="NKY243" s="16"/>
      <c r="NKZ243" s="15"/>
      <c r="NLA243" s="15"/>
      <c r="NLB243" s="15"/>
      <c r="NLC243" s="16"/>
      <c r="NLD243" s="16"/>
      <c r="NLE243" s="16"/>
      <c r="NLF243" s="16"/>
      <c r="NLG243" s="16"/>
      <c r="NLH243" s="15"/>
      <c r="NLI243" s="15"/>
      <c r="NLJ243" s="10"/>
      <c r="NLK243" s="10"/>
      <c r="NLL243" s="19"/>
      <c r="NLM243" s="19"/>
      <c r="NLP243" s="16"/>
      <c r="NLQ243" s="15"/>
      <c r="NLR243" s="15"/>
      <c r="NLS243" s="15"/>
      <c r="NLT243" s="16"/>
      <c r="NLU243" s="16"/>
      <c r="NLV243" s="16"/>
      <c r="NLW243" s="16"/>
      <c r="NLX243" s="16"/>
      <c r="NLY243" s="15"/>
      <c r="NLZ243" s="15"/>
      <c r="NMA243" s="10"/>
      <c r="NMB243" s="10"/>
      <c r="NMC243" s="19"/>
      <c r="NMD243" s="19"/>
      <c r="NMG243" s="16"/>
      <c r="NMH243" s="15"/>
      <c r="NMI243" s="15"/>
      <c r="NMJ243" s="15"/>
      <c r="NMK243" s="16"/>
      <c r="NML243" s="16"/>
      <c r="NMM243" s="16"/>
      <c r="NMN243" s="16"/>
      <c r="NMO243" s="16"/>
      <c r="NMP243" s="15"/>
      <c r="NMQ243" s="15"/>
      <c r="NMR243" s="10"/>
      <c r="NMS243" s="10"/>
      <c r="NMT243" s="19"/>
      <c r="NMU243" s="19"/>
      <c r="NMX243" s="16"/>
      <c r="NMY243" s="15"/>
      <c r="NMZ243" s="15"/>
      <c r="NNA243" s="15"/>
      <c r="NNB243" s="16"/>
      <c r="NNC243" s="16"/>
      <c r="NND243" s="16"/>
      <c r="NNE243" s="16"/>
      <c r="NNF243" s="16"/>
      <c r="NNG243" s="15"/>
      <c r="NNH243" s="15"/>
      <c r="NNI243" s="10"/>
      <c r="NNJ243" s="10"/>
      <c r="NNK243" s="19"/>
      <c r="NNL243" s="19"/>
      <c r="NNO243" s="16"/>
      <c r="NNP243" s="15"/>
      <c r="NNQ243" s="15"/>
      <c r="NNR243" s="15"/>
      <c r="NNS243" s="16"/>
      <c r="NNT243" s="16"/>
      <c r="NNU243" s="16"/>
      <c r="NNV243" s="16"/>
      <c r="NNW243" s="16"/>
      <c r="NNX243" s="15"/>
      <c r="NNY243" s="15"/>
      <c r="NNZ243" s="10"/>
      <c r="NOA243" s="10"/>
      <c r="NOB243" s="19"/>
      <c r="NOC243" s="19"/>
      <c r="NOF243" s="16"/>
      <c r="NOG243" s="15"/>
      <c r="NOH243" s="15"/>
      <c r="NOI243" s="15"/>
      <c r="NOJ243" s="16"/>
      <c r="NOK243" s="16"/>
      <c r="NOL243" s="16"/>
      <c r="NOM243" s="16"/>
      <c r="NON243" s="16"/>
      <c r="NOO243" s="15"/>
      <c r="NOP243" s="15"/>
      <c r="NOQ243" s="10"/>
      <c r="NOR243" s="10"/>
      <c r="NOS243" s="19"/>
      <c r="NOT243" s="19"/>
      <c r="NOW243" s="16"/>
      <c r="NOX243" s="15"/>
      <c r="NOY243" s="15"/>
      <c r="NOZ243" s="15"/>
      <c r="NPA243" s="16"/>
      <c r="NPB243" s="16"/>
      <c r="NPC243" s="16"/>
      <c r="NPD243" s="16"/>
      <c r="NPE243" s="16"/>
      <c r="NPF243" s="15"/>
      <c r="NPG243" s="15"/>
      <c r="NPH243" s="10"/>
      <c r="NPI243" s="10"/>
      <c r="NPJ243" s="19"/>
      <c r="NPK243" s="19"/>
      <c r="NPN243" s="16"/>
      <c r="NPO243" s="15"/>
      <c r="NPP243" s="15"/>
      <c r="NPQ243" s="15"/>
      <c r="NPR243" s="16"/>
      <c r="NPS243" s="16"/>
      <c r="NPT243" s="16"/>
      <c r="NPU243" s="16"/>
      <c r="NPV243" s="16"/>
      <c r="NPW243" s="15"/>
      <c r="NPX243" s="15"/>
      <c r="NPY243" s="10"/>
      <c r="NPZ243" s="10"/>
      <c r="NQA243" s="19"/>
      <c r="NQB243" s="19"/>
      <c r="NQE243" s="16"/>
      <c r="NQF243" s="15"/>
      <c r="NQG243" s="15"/>
      <c r="NQH243" s="15"/>
      <c r="NQI243" s="16"/>
      <c r="NQJ243" s="16"/>
      <c r="NQK243" s="16"/>
      <c r="NQL243" s="16"/>
      <c r="NQM243" s="16"/>
      <c r="NQN243" s="15"/>
      <c r="NQO243" s="15"/>
      <c r="NQP243" s="10"/>
      <c r="NQQ243" s="10"/>
      <c r="NQR243" s="19"/>
      <c r="NQS243" s="19"/>
      <c r="NQV243" s="16"/>
      <c r="NQW243" s="15"/>
      <c r="NQX243" s="15"/>
      <c r="NQY243" s="15"/>
      <c r="NQZ243" s="16"/>
      <c r="NRA243" s="16"/>
      <c r="NRB243" s="16"/>
      <c r="NRC243" s="16"/>
      <c r="NRD243" s="16"/>
      <c r="NRE243" s="15"/>
      <c r="NRF243" s="15"/>
      <c r="NRG243" s="10"/>
      <c r="NRH243" s="10"/>
      <c r="NRI243" s="19"/>
      <c r="NRJ243" s="19"/>
      <c r="NRM243" s="16"/>
      <c r="NRN243" s="15"/>
      <c r="NRO243" s="15"/>
      <c r="NRP243" s="15"/>
      <c r="NRQ243" s="16"/>
      <c r="NRR243" s="16"/>
      <c r="NRS243" s="16"/>
      <c r="NRT243" s="16"/>
      <c r="NRU243" s="16"/>
      <c r="NRV243" s="15"/>
      <c r="NRW243" s="15"/>
      <c r="NRX243" s="10"/>
      <c r="NRY243" s="10"/>
      <c r="NRZ243" s="19"/>
      <c r="NSA243" s="19"/>
      <c r="NSD243" s="16"/>
      <c r="NSE243" s="15"/>
      <c r="NSF243" s="15"/>
      <c r="NSG243" s="15"/>
      <c r="NSH243" s="16"/>
      <c r="NSI243" s="16"/>
      <c r="NSJ243" s="16"/>
      <c r="NSK243" s="16"/>
      <c r="NSL243" s="16"/>
      <c r="NSM243" s="15"/>
      <c r="NSN243" s="15"/>
      <c r="NSO243" s="10"/>
      <c r="NSP243" s="10"/>
      <c r="NSQ243" s="19"/>
      <c r="NSR243" s="19"/>
      <c r="NSU243" s="16"/>
      <c r="NSV243" s="15"/>
      <c r="NSW243" s="15"/>
      <c r="NSX243" s="15"/>
      <c r="NSY243" s="16"/>
      <c r="NSZ243" s="16"/>
      <c r="NTA243" s="16"/>
      <c r="NTB243" s="16"/>
      <c r="NTC243" s="16"/>
      <c r="NTD243" s="15"/>
      <c r="NTE243" s="15"/>
      <c r="NTF243" s="10"/>
      <c r="NTG243" s="10"/>
      <c r="NTH243" s="19"/>
      <c r="NTI243" s="19"/>
      <c r="NTL243" s="16"/>
      <c r="NTM243" s="15"/>
      <c r="NTN243" s="15"/>
      <c r="NTO243" s="15"/>
      <c r="NTP243" s="16"/>
      <c r="NTQ243" s="16"/>
      <c r="NTR243" s="16"/>
      <c r="NTS243" s="16"/>
      <c r="NTT243" s="16"/>
      <c r="NTU243" s="15"/>
      <c r="NTV243" s="15"/>
      <c r="NTW243" s="10"/>
      <c r="NTX243" s="10"/>
      <c r="NTY243" s="19"/>
      <c r="NTZ243" s="19"/>
      <c r="NUC243" s="16"/>
      <c r="NUD243" s="15"/>
      <c r="NUE243" s="15"/>
      <c r="NUF243" s="15"/>
      <c r="NUG243" s="16"/>
      <c r="NUH243" s="16"/>
      <c r="NUI243" s="16"/>
      <c r="NUJ243" s="16"/>
      <c r="NUK243" s="16"/>
      <c r="NUL243" s="15"/>
      <c r="NUM243" s="15"/>
      <c r="NUN243" s="10"/>
      <c r="NUO243" s="10"/>
      <c r="NUP243" s="19"/>
      <c r="NUQ243" s="19"/>
      <c r="NUT243" s="16"/>
      <c r="NUU243" s="15"/>
      <c r="NUV243" s="15"/>
      <c r="NUW243" s="15"/>
      <c r="NUX243" s="16"/>
      <c r="NUY243" s="16"/>
      <c r="NUZ243" s="16"/>
      <c r="NVA243" s="16"/>
      <c r="NVB243" s="16"/>
      <c r="NVC243" s="15"/>
      <c r="NVD243" s="15"/>
      <c r="NVE243" s="10"/>
      <c r="NVF243" s="10"/>
      <c r="NVG243" s="19"/>
      <c r="NVH243" s="19"/>
      <c r="NVK243" s="16"/>
      <c r="NVL243" s="15"/>
      <c r="NVM243" s="15"/>
      <c r="NVN243" s="15"/>
      <c r="NVO243" s="16"/>
      <c r="NVP243" s="16"/>
      <c r="NVQ243" s="16"/>
      <c r="NVR243" s="16"/>
      <c r="NVS243" s="16"/>
      <c r="NVT243" s="15"/>
      <c r="NVU243" s="15"/>
      <c r="NVV243" s="10"/>
      <c r="NVW243" s="10"/>
      <c r="NVX243" s="19"/>
      <c r="NVY243" s="19"/>
      <c r="NWB243" s="16"/>
      <c r="NWC243" s="15"/>
      <c r="NWD243" s="15"/>
      <c r="NWE243" s="15"/>
      <c r="NWF243" s="16"/>
      <c r="NWG243" s="16"/>
      <c r="NWH243" s="16"/>
      <c r="NWI243" s="16"/>
      <c r="NWJ243" s="16"/>
      <c r="NWK243" s="15"/>
      <c r="NWL243" s="15"/>
      <c r="NWM243" s="10"/>
      <c r="NWN243" s="10"/>
      <c r="NWO243" s="19"/>
      <c r="NWP243" s="19"/>
      <c r="NWS243" s="16"/>
      <c r="NWT243" s="15"/>
      <c r="NWU243" s="15"/>
      <c r="NWV243" s="15"/>
      <c r="NWW243" s="16"/>
      <c r="NWX243" s="16"/>
      <c r="NWY243" s="16"/>
      <c r="NWZ243" s="16"/>
      <c r="NXA243" s="16"/>
      <c r="NXB243" s="15"/>
      <c r="NXC243" s="15"/>
      <c r="NXD243" s="10"/>
      <c r="NXE243" s="10"/>
      <c r="NXF243" s="19"/>
      <c r="NXG243" s="19"/>
      <c r="NXJ243" s="16"/>
      <c r="NXK243" s="15"/>
      <c r="NXL243" s="15"/>
      <c r="NXM243" s="15"/>
      <c r="NXN243" s="16"/>
      <c r="NXO243" s="16"/>
      <c r="NXP243" s="16"/>
      <c r="NXQ243" s="16"/>
      <c r="NXR243" s="16"/>
      <c r="NXS243" s="15"/>
      <c r="NXT243" s="15"/>
      <c r="NXU243" s="10"/>
      <c r="NXV243" s="10"/>
      <c r="NXW243" s="19"/>
      <c r="NXX243" s="19"/>
      <c r="NYA243" s="16"/>
      <c r="NYB243" s="15"/>
      <c r="NYC243" s="15"/>
      <c r="NYD243" s="15"/>
      <c r="NYE243" s="16"/>
      <c r="NYF243" s="16"/>
      <c r="NYG243" s="16"/>
      <c r="NYH243" s="16"/>
      <c r="NYI243" s="16"/>
      <c r="NYJ243" s="15"/>
      <c r="NYK243" s="15"/>
      <c r="NYL243" s="10"/>
      <c r="NYM243" s="10"/>
      <c r="NYN243" s="19"/>
      <c r="NYO243" s="19"/>
      <c r="NYR243" s="16"/>
      <c r="NYS243" s="15"/>
      <c r="NYT243" s="15"/>
      <c r="NYU243" s="15"/>
      <c r="NYV243" s="16"/>
      <c r="NYW243" s="16"/>
      <c r="NYX243" s="16"/>
      <c r="NYY243" s="16"/>
      <c r="NYZ243" s="16"/>
      <c r="NZA243" s="15"/>
      <c r="NZB243" s="15"/>
      <c r="NZC243" s="10"/>
      <c r="NZD243" s="10"/>
      <c r="NZE243" s="19"/>
      <c r="NZF243" s="19"/>
      <c r="NZI243" s="16"/>
      <c r="NZJ243" s="15"/>
      <c r="NZK243" s="15"/>
      <c r="NZL243" s="15"/>
      <c r="NZM243" s="16"/>
      <c r="NZN243" s="16"/>
      <c r="NZO243" s="16"/>
      <c r="NZP243" s="16"/>
      <c r="NZQ243" s="16"/>
      <c r="NZR243" s="15"/>
      <c r="NZS243" s="15"/>
      <c r="NZT243" s="10"/>
      <c r="NZU243" s="10"/>
      <c r="NZV243" s="19"/>
      <c r="NZW243" s="19"/>
      <c r="NZZ243" s="16"/>
      <c r="OAA243" s="15"/>
      <c r="OAB243" s="15"/>
      <c r="OAC243" s="15"/>
      <c r="OAD243" s="16"/>
      <c r="OAE243" s="16"/>
      <c r="OAF243" s="16"/>
      <c r="OAG243" s="16"/>
      <c r="OAH243" s="16"/>
      <c r="OAI243" s="15"/>
      <c r="OAJ243" s="15"/>
      <c r="OAK243" s="10"/>
      <c r="OAL243" s="10"/>
      <c r="OAM243" s="19"/>
      <c r="OAN243" s="19"/>
      <c r="OAQ243" s="16"/>
      <c r="OAR243" s="15"/>
      <c r="OAS243" s="15"/>
      <c r="OAT243" s="15"/>
      <c r="OAU243" s="16"/>
      <c r="OAV243" s="16"/>
      <c r="OAW243" s="16"/>
      <c r="OAX243" s="16"/>
      <c r="OAY243" s="16"/>
      <c r="OAZ243" s="15"/>
      <c r="OBA243" s="15"/>
      <c r="OBB243" s="10"/>
      <c r="OBC243" s="10"/>
      <c r="OBD243" s="19"/>
      <c r="OBE243" s="19"/>
      <c r="OBH243" s="16"/>
      <c r="OBI243" s="15"/>
      <c r="OBJ243" s="15"/>
      <c r="OBK243" s="15"/>
      <c r="OBL243" s="16"/>
      <c r="OBM243" s="16"/>
      <c r="OBN243" s="16"/>
      <c r="OBO243" s="16"/>
      <c r="OBP243" s="16"/>
      <c r="OBQ243" s="15"/>
      <c r="OBR243" s="15"/>
      <c r="OBS243" s="10"/>
      <c r="OBT243" s="10"/>
      <c r="OBU243" s="19"/>
      <c r="OBV243" s="19"/>
      <c r="OBY243" s="16"/>
      <c r="OBZ243" s="15"/>
      <c r="OCA243" s="15"/>
      <c r="OCB243" s="15"/>
      <c r="OCC243" s="16"/>
      <c r="OCD243" s="16"/>
      <c r="OCE243" s="16"/>
      <c r="OCF243" s="16"/>
      <c r="OCG243" s="16"/>
      <c r="OCH243" s="15"/>
      <c r="OCI243" s="15"/>
      <c r="OCJ243" s="10"/>
      <c r="OCK243" s="10"/>
      <c r="OCL243" s="19"/>
      <c r="OCM243" s="19"/>
      <c r="OCP243" s="16"/>
      <c r="OCQ243" s="15"/>
      <c r="OCR243" s="15"/>
      <c r="OCS243" s="15"/>
      <c r="OCT243" s="16"/>
      <c r="OCU243" s="16"/>
      <c r="OCV243" s="16"/>
      <c r="OCW243" s="16"/>
      <c r="OCX243" s="16"/>
      <c r="OCY243" s="15"/>
      <c r="OCZ243" s="15"/>
      <c r="ODA243" s="10"/>
      <c r="ODB243" s="10"/>
      <c r="ODC243" s="19"/>
      <c r="ODD243" s="19"/>
      <c r="ODG243" s="16"/>
      <c r="ODH243" s="15"/>
      <c r="ODI243" s="15"/>
      <c r="ODJ243" s="15"/>
      <c r="ODK243" s="16"/>
      <c r="ODL243" s="16"/>
      <c r="ODM243" s="16"/>
      <c r="ODN243" s="16"/>
      <c r="ODO243" s="16"/>
      <c r="ODP243" s="15"/>
      <c r="ODQ243" s="15"/>
      <c r="ODR243" s="10"/>
      <c r="ODS243" s="10"/>
      <c r="ODT243" s="19"/>
      <c r="ODU243" s="19"/>
      <c r="ODX243" s="16"/>
      <c r="ODY243" s="15"/>
      <c r="ODZ243" s="15"/>
      <c r="OEA243" s="15"/>
      <c r="OEB243" s="16"/>
      <c r="OEC243" s="16"/>
      <c r="OED243" s="16"/>
      <c r="OEE243" s="16"/>
      <c r="OEF243" s="16"/>
      <c r="OEG243" s="15"/>
      <c r="OEH243" s="15"/>
      <c r="OEI243" s="10"/>
      <c r="OEJ243" s="10"/>
      <c r="OEK243" s="19"/>
      <c r="OEL243" s="19"/>
      <c r="OEO243" s="16"/>
      <c r="OEP243" s="15"/>
      <c r="OEQ243" s="15"/>
      <c r="OER243" s="15"/>
      <c r="OES243" s="16"/>
      <c r="OET243" s="16"/>
      <c r="OEU243" s="16"/>
      <c r="OEV243" s="16"/>
      <c r="OEW243" s="16"/>
      <c r="OEX243" s="15"/>
      <c r="OEY243" s="15"/>
      <c r="OEZ243" s="10"/>
      <c r="OFA243" s="10"/>
      <c r="OFB243" s="19"/>
      <c r="OFC243" s="19"/>
      <c r="OFF243" s="16"/>
      <c r="OFG243" s="15"/>
      <c r="OFH243" s="15"/>
      <c r="OFI243" s="15"/>
      <c r="OFJ243" s="16"/>
      <c r="OFK243" s="16"/>
      <c r="OFL243" s="16"/>
      <c r="OFM243" s="16"/>
      <c r="OFN243" s="16"/>
      <c r="OFO243" s="15"/>
      <c r="OFP243" s="15"/>
      <c r="OFQ243" s="10"/>
      <c r="OFR243" s="10"/>
      <c r="OFS243" s="19"/>
      <c r="OFT243" s="19"/>
      <c r="OFW243" s="16"/>
      <c r="OFX243" s="15"/>
      <c r="OFY243" s="15"/>
      <c r="OFZ243" s="15"/>
      <c r="OGA243" s="16"/>
      <c r="OGB243" s="16"/>
      <c r="OGC243" s="16"/>
      <c r="OGD243" s="16"/>
      <c r="OGE243" s="16"/>
      <c r="OGF243" s="15"/>
      <c r="OGG243" s="15"/>
      <c r="OGH243" s="10"/>
      <c r="OGI243" s="10"/>
      <c r="OGJ243" s="19"/>
      <c r="OGK243" s="19"/>
      <c r="OGN243" s="16"/>
      <c r="OGO243" s="15"/>
      <c r="OGP243" s="15"/>
      <c r="OGQ243" s="15"/>
      <c r="OGR243" s="16"/>
      <c r="OGS243" s="16"/>
      <c r="OGT243" s="16"/>
      <c r="OGU243" s="16"/>
      <c r="OGV243" s="16"/>
      <c r="OGW243" s="15"/>
      <c r="OGX243" s="15"/>
      <c r="OGY243" s="10"/>
      <c r="OGZ243" s="10"/>
      <c r="OHA243" s="19"/>
      <c r="OHB243" s="19"/>
      <c r="OHE243" s="16"/>
      <c r="OHF243" s="15"/>
      <c r="OHG243" s="15"/>
      <c r="OHH243" s="15"/>
      <c r="OHI243" s="16"/>
      <c r="OHJ243" s="16"/>
      <c r="OHK243" s="16"/>
      <c r="OHL243" s="16"/>
      <c r="OHM243" s="16"/>
      <c r="OHN243" s="15"/>
      <c r="OHO243" s="15"/>
      <c r="OHP243" s="10"/>
      <c r="OHQ243" s="10"/>
      <c r="OHR243" s="19"/>
      <c r="OHS243" s="19"/>
      <c r="OHV243" s="16"/>
      <c r="OHW243" s="15"/>
      <c r="OHX243" s="15"/>
      <c r="OHY243" s="15"/>
      <c r="OHZ243" s="16"/>
      <c r="OIA243" s="16"/>
      <c r="OIB243" s="16"/>
      <c r="OIC243" s="16"/>
      <c r="OID243" s="16"/>
      <c r="OIE243" s="15"/>
      <c r="OIF243" s="15"/>
      <c r="OIG243" s="10"/>
      <c r="OIH243" s="10"/>
      <c r="OII243" s="19"/>
      <c r="OIJ243" s="19"/>
      <c r="OIM243" s="16"/>
      <c r="OIN243" s="15"/>
      <c r="OIO243" s="15"/>
      <c r="OIP243" s="15"/>
      <c r="OIQ243" s="16"/>
      <c r="OIR243" s="16"/>
      <c r="OIS243" s="16"/>
      <c r="OIT243" s="16"/>
      <c r="OIU243" s="16"/>
      <c r="OIV243" s="15"/>
      <c r="OIW243" s="15"/>
      <c r="OIX243" s="10"/>
      <c r="OIY243" s="10"/>
      <c r="OIZ243" s="19"/>
      <c r="OJA243" s="19"/>
      <c r="OJD243" s="16"/>
      <c r="OJE243" s="15"/>
      <c r="OJF243" s="15"/>
      <c r="OJG243" s="15"/>
      <c r="OJH243" s="16"/>
      <c r="OJI243" s="16"/>
      <c r="OJJ243" s="16"/>
      <c r="OJK243" s="16"/>
      <c r="OJL243" s="16"/>
      <c r="OJM243" s="15"/>
      <c r="OJN243" s="15"/>
      <c r="OJO243" s="10"/>
      <c r="OJP243" s="10"/>
      <c r="OJQ243" s="19"/>
      <c r="OJR243" s="19"/>
      <c r="OJU243" s="16"/>
      <c r="OJV243" s="15"/>
      <c r="OJW243" s="15"/>
      <c r="OJX243" s="15"/>
      <c r="OJY243" s="16"/>
      <c r="OJZ243" s="16"/>
      <c r="OKA243" s="16"/>
      <c r="OKB243" s="16"/>
      <c r="OKC243" s="16"/>
      <c r="OKD243" s="15"/>
      <c r="OKE243" s="15"/>
      <c r="OKF243" s="10"/>
      <c r="OKG243" s="10"/>
      <c r="OKH243" s="19"/>
      <c r="OKI243" s="19"/>
      <c r="OKL243" s="16"/>
      <c r="OKM243" s="15"/>
      <c r="OKN243" s="15"/>
      <c r="OKO243" s="15"/>
      <c r="OKP243" s="16"/>
      <c r="OKQ243" s="16"/>
      <c r="OKR243" s="16"/>
      <c r="OKS243" s="16"/>
      <c r="OKT243" s="16"/>
      <c r="OKU243" s="15"/>
      <c r="OKV243" s="15"/>
      <c r="OKW243" s="10"/>
      <c r="OKX243" s="10"/>
      <c r="OKY243" s="19"/>
      <c r="OKZ243" s="19"/>
      <c r="OLC243" s="16"/>
      <c r="OLD243" s="15"/>
      <c r="OLE243" s="15"/>
      <c r="OLF243" s="15"/>
      <c r="OLG243" s="16"/>
      <c r="OLH243" s="16"/>
      <c r="OLI243" s="16"/>
      <c r="OLJ243" s="16"/>
      <c r="OLK243" s="16"/>
      <c r="OLL243" s="15"/>
      <c r="OLM243" s="15"/>
      <c r="OLN243" s="10"/>
      <c r="OLO243" s="10"/>
      <c r="OLP243" s="19"/>
      <c r="OLQ243" s="19"/>
      <c r="OLT243" s="16"/>
      <c r="OLU243" s="15"/>
      <c r="OLV243" s="15"/>
      <c r="OLW243" s="15"/>
      <c r="OLX243" s="16"/>
      <c r="OLY243" s="16"/>
      <c r="OLZ243" s="16"/>
      <c r="OMA243" s="16"/>
      <c r="OMB243" s="16"/>
      <c r="OMC243" s="15"/>
      <c r="OMD243" s="15"/>
      <c r="OME243" s="10"/>
      <c r="OMF243" s="10"/>
      <c r="OMG243" s="19"/>
      <c r="OMH243" s="19"/>
      <c r="OMK243" s="16"/>
      <c r="OML243" s="15"/>
      <c r="OMM243" s="15"/>
      <c r="OMN243" s="15"/>
      <c r="OMO243" s="16"/>
      <c r="OMP243" s="16"/>
      <c r="OMQ243" s="16"/>
      <c r="OMR243" s="16"/>
      <c r="OMS243" s="16"/>
      <c r="OMT243" s="15"/>
      <c r="OMU243" s="15"/>
      <c r="OMV243" s="10"/>
      <c r="OMW243" s="10"/>
      <c r="OMX243" s="19"/>
      <c r="OMY243" s="19"/>
      <c r="ONB243" s="16"/>
      <c r="ONC243" s="15"/>
      <c r="OND243" s="15"/>
      <c r="ONE243" s="15"/>
      <c r="ONF243" s="16"/>
      <c r="ONG243" s="16"/>
      <c r="ONH243" s="16"/>
      <c r="ONI243" s="16"/>
      <c r="ONJ243" s="16"/>
      <c r="ONK243" s="15"/>
      <c r="ONL243" s="15"/>
      <c r="ONM243" s="10"/>
      <c r="ONN243" s="10"/>
      <c r="ONO243" s="19"/>
      <c r="ONP243" s="19"/>
      <c r="ONS243" s="16"/>
      <c r="ONT243" s="15"/>
      <c r="ONU243" s="15"/>
      <c r="ONV243" s="15"/>
      <c r="ONW243" s="16"/>
      <c r="ONX243" s="16"/>
      <c r="ONY243" s="16"/>
      <c r="ONZ243" s="16"/>
      <c r="OOA243" s="16"/>
      <c r="OOB243" s="15"/>
      <c r="OOC243" s="15"/>
      <c r="OOD243" s="10"/>
      <c r="OOE243" s="10"/>
      <c r="OOF243" s="19"/>
      <c r="OOG243" s="19"/>
      <c r="OOJ243" s="16"/>
      <c r="OOK243" s="15"/>
      <c r="OOL243" s="15"/>
      <c r="OOM243" s="15"/>
      <c r="OON243" s="16"/>
      <c r="OOO243" s="16"/>
      <c r="OOP243" s="16"/>
      <c r="OOQ243" s="16"/>
      <c r="OOR243" s="16"/>
      <c r="OOS243" s="15"/>
      <c r="OOT243" s="15"/>
      <c r="OOU243" s="10"/>
      <c r="OOV243" s="10"/>
      <c r="OOW243" s="19"/>
      <c r="OOX243" s="19"/>
      <c r="OPA243" s="16"/>
      <c r="OPB243" s="15"/>
      <c r="OPC243" s="15"/>
      <c r="OPD243" s="15"/>
      <c r="OPE243" s="16"/>
      <c r="OPF243" s="16"/>
      <c r="OPG243" s="16"/>
      <c r="OPH243" s="16"/>
      <c r="OPI243" s="16"/>
      <c r="OPJ243" s="15"/>
      <c r="OPK243" s="15"/>
      <c r="OPL243" s="10"/>
      <c r="OPM243" s="10"/>
      <c r="OPN243" s="19"/>
      <c r="OPO243" s="19"/>
      <c r="OPR243" s="16"/>
      <c r="OPS243" s="15"/>
      <c r="OPT243" s="15"/>
      <c r="OPU243" s="15"/>
      <c r="OPV243" s="16"/>
      <c r="OPW243" s="16"/>
      <c r="OPX243" s="16"/>
      <c r="OPY243" s="16"/>
      <c r="OPZ243" s="16"/>
      <c r="OQA243" s="15"/>
      <c r="OQB243" s="15"/>
      <c r="OQC243" s="10"/>
      <c r="OQD243" s="10"/>
      <c r="OQE243" s="19"/>
      <c r="OQF243" s="19"/>
      <c r="OQI243" s="16"/>
      <c r="OQJ243" s="15"/>
      <c r="OQK243" s="15"/>
      <c r="OQL243" s="15"/>
      <c r="OQM243" s="16"/>
      <c r="OQN243" s="16"/>
      <c r="OQO243" s="16"/>
      <c r="OQP243" s="16"/>
      <c r="OQQ243" s="16"/>
      <c r="OQR243" s="15"/>
      <c r="OQS243" s="15"/>
      <c r="OQT243" s="10"/>
      <c r="OQU243" s="10"/>
      <c r="OQV243" s="19"/>
      <c r="OQW243" s="19"/>
      <c r="OQZ243" s="16"/>
      <c r="ORA243" s="15"/>
      <c r="ORB243" s="15"/>
      <c r="ORC243" s="15"/>
      <c r="ORD243" s="16"/>
      <c r="ORE243" s="16"/>
      <c r="ORF243" s="16"/>
      <c r="ORG243" s="16"/>
      <c r="ORH243" s="16"/>
      <c r="ORI243" s="15"/>
      <c r="ORJ243" s="15"/>
      <c r="ORK243" s="10"/>
      <c r="ORL243" s="10"/>
      <c r="ORM243" s="19"/>
      <c r="ORN243" s="19"/>
      <c r="ORQ243" s="16"/>
      <c r="ORR243" s="15"/>
      <c r="ORS243" s="15"/>
      <c r="ORT243" s="15"/>
      <c r="ORU243" s="16"/>
      <c r="ORV243" s="16"/>
      <c r="ORW243" s="16"/>
      <c r="ORX243" s="16"/>
      <c r="ORY243" s="16"/>
      <c r="ORZ243" s="15"/>
      <c r="OSA243" s="15"/>
      <c r="OSB243" s="10"/>
      <c r="OSC243" s="10"/>
      <c r="OSD243" s="19"/>
      <c r="OSE243" s="19"/>
      <c r="OSH243" s="16"/>
      <c r="OSI243" s="15"/>
      <c r="OSJ243" s="15"/>
      <c r="OSK243" s="15"/>
      <c r="OSL243" s="16"/>
      <c r="OSM243" s="16"/>
      <c r="OSN243" s="16"/>
      <c r="OSO243" s="16"/>
      <c r="OSP243" s="16"/>
      <c r="OSQ243" s="15"/>
      <c r="OSR243" s="15"/>
      <c r="OSS243" s="10"/>
      <c r="OST243" s="10"/>
      <c r="OSU243" s="19"/>
      <c r="OSV243" s="19"/>
      <c r="OSY243" s="16"/>
      <c r="OSZ243" s="15"/>
      <c r="OTA243" s="15"/>
      <c r="OTB243" s="15"/>
      <c r="OTC243" s="16"/>
      <c r="OTD243" s="16"/>
      <c r="OTE243" s="16"/>
      <c r="OTF243" s="16"/>
      <c r="OTG243" s="16"/>
      <c r="OTH243" s="15"/>
      <c r="OTI243" s="15"/>
      <c r="OTJ243" s="10"/>
      <c r="OTK243" s="10"/>
      <c r="OTL243" s="19"/>
      <c r="OTM243" s="19"/>
      <c r="OTP243" s="16"/>
      <c r="OTQ243" s="15"/>
      <c r="OTR243" s="15"/>
      <c r="OTS243" s="15"/>
      <c r="OTT243" s="16"/>
      <c r="OTU243" s="16"/>
      <c r="OTV243" s="16"/>
      <c r="OTW243" s="16"/>
      <c r="OTX243" s="16"/>
      <c r="OTY243" s="15"/>
      <c r="OTZ243" s="15"/>
      <c r="OUA243" s="10"/>
      <c r="OUB243" s="10"/>
      <c r="OUC243" s="19"/>
      <c r="OUD243" s="19"/>
      <c r="OUG243" s="16"/>
      <c r="OUH243" s="15"/>
      <c r="OUI243" s="15"/>
      <c r="OUJ243" s="15"/>
      <c r="OUK243" s="16"/>
      <c r="OUL243" s="16"/>
      <c r="OUM243" s="16"/>
      <c r="OUN243" s="16"/>
      <c r="OUO243" s="16"/>
      <c r="OUP243" s="15"/>
      <c r="OUQ243" s="15"/>
      <c r="OUR243" s="10"/>
      <c r="OUS243" s="10"/>
      <c r="OUT243" s="19"/>
      <c r="OUU243" s="19"/>
      <c r="OUX243" s="16"/>
      <c r="OUY243" s="15"/>
      <c r="OUZ243" s="15"/>
      <c r="OVA243" s="15"/>
      <c r="OVB243" s="16"/>
      <c r="OVC243" s="16"/>
      <c r="OVD243" s="16"/>
      <c r="OVE243" s="16"/>
      <c r="OVF243" s="16"/>
      <c r="OVG243" s="15"/>
      <c r="OVH243" s="15"/>
      <c r="OVI243" s="10"/>
      <c r="OVJ243" s="10"/>
      <c r="OVK243" s="19"/>
      <c r="OVL243" s="19"/>
      <c r="OVO243" s="16"/>
      <c r="OVP243" s="15"/>
      <c r="OVQ243" s="15"/>
      <c r="OVR243" s="15"/>
      <c r="OVS243" s="16"/>
      <c r="OVT243" s="16"/>
      <c r="OVU243" s="16"/>
      <c r="OVV243" s="16"/>
      <c r="OVW243" s="16"/>
      <c r="OVX243" s="15"/>
      <c r="OVY243" s="15"/>
      <c r="OVZ243" s="10"/>
      <c r="OWA243" s="10"/>
      <c r="OWB243" s="19"/>
      <c r="OWC243" s="19"/>
      <c r="OWF243" s="16"/>
      <c r="OWG243" s="15"/>
      <c r="OWH243" s="15"/>
      <c r="OWI243" s="15"/>
      <c r="OWJ243" s="16"/>
      <c r="OWK243" s="16"/>
      <c r="OWL243" s="16"/>
      <c r="OWM243" s="16"/>
      <c r="OWN243" s="16"/>
      <c r="OWO243" s="15"/>
      <c r="OWP243" s="15"/>
      <c r="OWQ243" s="10"/>
      <c r="OWR243" s="10"/>
      <c r="OWS243" s="19"/>
      <c r="OWT243" s="19"/>
      <c r="OWW243" s="16"/>
      <c r="OWX243" s="15"/>
      <c r="OWY243" s="15"/>
      <c r="OWZ243" s="15"/>
      <c r="OXA243" s="16"/>
      <c r="OXB243" s="16"/>
      <c r="OXC243" s="16"/>
      <c r="OXD243" s="16"/>
      <c r="OXE243" s="16"/>
      <c r="OXF243" s="15"/>
      <c r="OXG243" s="15"/>
      <c r="OXH243" s="10"/>
      <c r="OXI243" s="10"/>
      <c r="OXJ243" s="19"/>
      <c r="OXK243" s="19"/>
      <c r="OXN243" s="16"/>
      <c r="OXO243" s="15"/>
      <c r="OXP243" s="15"/>
      <c r="OXQ243" s="15"/>
      <c r="OXR243" s="16"/>
      <c r="OXS243" s="16"/>
      <c r="OXT243" s="16"/>
      <c r="OXU243" s="16"/>
      <c r="OXV243" s="16"/>
      <c r="OXW243" s="15"/>
      <c r="OXX243" s="15"/>
      <c r="OXY243" s="10"/>
      <c r="OXZ243" s="10"/>
      <c r="OYA243" s="19"/>
      <c r="OYB243" s="19"/>
      <c r="OYE243" s="16"/>
      <c r="OYF243" s="15"/>
      <c r="OYG243" s="15"/>
      <c r="OYH243" s="15"/>
      <c r="OYI243" s="16"/>
      <c r="OYJ243" s="16"/>
      <c r="OYK243" s="16"/>
      <c r="OYL243" s="16"/>
      <c r="OYM243" s="16"/>
      <c r="OYN243" s="15"/>
      <c r="OYO243" s="15"/>
      <c r="OYP243" s="10"/>
      <c r="OYQ243" s="10"/>
      <c r="OYR243" s="19"/>
      <c r="OYS243" s="19"/>
      <c r="OYV243" s="16"/>
      <c r="OYW243" s="15"/>
      <c r="OYX243" s="15"/>
      <c r="OYY243" s="15"/>
      <c r="OYZ243" s="16"/>
      <c r="OZA243" s="16"/>
      <c r="OZB243" s="16"/>
      <c r="OZC243" s="16"/>
      <c r="OZD243" s="16"/>
      <c r="OZE243" s="15"/>
      <c r="OZF243" s="15"/>
      <c r="OZG243" s="10"/>
      <c r="OZH243" s="10"/>
      <c r="OZI243" s="19"/>
      <c r="OZJ243" s="19"/>
      <c r="OZM243" s="16"/>
      <c r="OZN243" s="15"/>
      <c r="OZO243" s="15"/>
      <c r="OZP243" s="15"/>
      <c r="OZQ243" s="16"/>
      <c r="OZR243" s="16"/>
      <c r="OZS243" s="16"/>
      <c r="OZT243" s="16"/>
      <c r="OZU243" s="16"/>
      <c r="OZV243" s="15"/>
      <c r="OZW243" s="15"/>
      <c r="OZX243" s="10"/>
      <c r="OZY243" s="10"/>
      <c r="OZZ243" s="19"/>
      <c r="PAA243" s="19"/>
      <c r="PAD243" s="16"/>
      <c r="PAE243" s="15"/>
      <c r="PAF243" s="15"/>
      <c r="PAG243" s="15"/>
      <c r="PAH243" s="16"/>
      <c r="PAI243" s="16"/>
      <c r="PAJ243" s="16"/>
      <c r="PAK243" s="16"/>
      <c r="PAL243" s="16"/>
      <c r="PAM243" s="15"/>
      <c r="PAN243" s="15"/>
      <c r="PAO243" s="10"/>
      <c r="PAP243" s="10"/>
      <c r="PAQ243" s="19"/>
      <c r="PAR243" s="19"/>
      <c r="PAU243" s="16"/>
      <c r="PAV243" s="15"/>
      <c r="PAW243" s="15"/>
      <c r="PAX243" s="15"/>
      <c r="PAY243" s="16"/>
      <c r="PAZ243" s="16"/>
      <c r="PBA243" s="16"/>
      <c r="PBB243" s="16"/>
      <c r="PBC243" s="16"/>
      <c r="PBD243" s="15"/>
      <c r="PBE243" s="15"/>
      <c r="PBF243" s="10"/>
      <c r="PBG243" s="10"/>
      <c r="PBH243" s="19"/>
      <c r="PBI243" s="19"/>
      <c r="PBL243" s="16"/>
      <c r="PBM243" s="15"/>
      <c r="PBN243" s="15"/>
      <c r="PBO243" s="15"/>
      <c r="PBP243" s="16"/>
      <c r="PBQ243" s="16"/>
      <c r="PBR243" s="16"/>
      <c r="PBS243" s="16"/>
      <c r="PBT243" s="16"/>
      <c r="PBU243" s="15"/>
      <c r="PBV243" s="15"/>
      <c r="PBW243" s="10"/>
      <c r="PBX243" s="10"/>
      <c r="PBY243" s="19"/>
      <c r="PBZ243" s="19"/>
      <c r="PCC243" s="16"/>
      <c r="PCD243" s="15"/>
      <c r="PCE243" s="15"/>
      <c r="PCF243" s="15"/>
      <c r="PCG243" s="16"/>
      <c r="PCH243" s="16"/>
      <c r="PCI243" s="16"/>
      <c r="PCJ243" s="16"/>
      <c r="PCK243" s="16"/>
      <c r="PCL243" s="15"/>
      <c r="PCM243" s="15"/>
      <c r="PCN243" s="10"/>
      <c r="PCO243" s="10"/>
      <c r="PCP243" s="19"/>
      <c r="PCQ243" s="19"/>
      <c r="PCT243" s="16"/>
      <c r="PCU243" s="15"/>
      <c r="PCV243" s="15"/>
      <c r="PCW243" s="15"/>
      <c r="PCX243" s="16"/>
      <c r="PCY243" s="16"/>
      <c r="PCZ243" s="16"/>
      <c r="PDA243" s="16"/>
      <c r="PDB243" s="16"/>
      <c r="PDC243" s="15"/>
      <c r="PDD243" s="15"/>
      <c r="PDE243" s="10"/>
      <c r="PDF243" s="10"/>
      <c r="PDG243" s="19"/>
      <c r="PDH243" s="19"/>
      <c r="PDK243" s="16"/>
      <c r="PDL243" s="15"/>
      <c r="PDM243" s="15"/>
      <c r="PDN243" s="15"/>
      <c r="PDO243" s="16"/>
      <c r="PDP243" s="16"/>
      <c r="PDQ243" s="16"/>
      <c r="PDR243" s="16"/>
      <c r="PDS243" s="16"/>
      <c r="PDT243" s="15"/>
      <c r="PDU243" s="15"/>
      <c r="PDV243" s="10"/>
      <c r="PDW243" s="10"/>
      <c r="PDX243" s="19"/>
      <c r="PDY243" s="19"/>
      <c r="PEB243" s="16"/>
      <c r="PEC243" s="15"/>
      <c r="PED243" s="15"/>
      <c r="PEE243" s="15"/>
      <c r="PEF243" s="16"/>
      <c r="PEG243" s="16"/>
      <c r="PEH243" s="16"/>
      <c r="PEI243" s="16"/>
      <c r="PEJ243" s="16"/>
      <c r="PEK243" s="15"/>
      <c r="PEL243" s="15"/>
      <c r="PEM243" s="10"/>
      <c r="PEN243" s="10"/>
      <c r="PEO243" s="19"/>
      <c r="PEP243" s="19"/>
      <c r="PES243" s="16"/>
      <c r="PET243" s="15"/>
      <c r="PEU243" s="15"/>
      <c r="PEV243" s="15"/>
      <c r="PEW243" s="16"/>
      <c r="PEX243" s="16"/>
      <c r="PEY243" s="16"/>
      <c r="PEZ243" s="16"/>
      <c r="PFA243" s="16"/>
      <c r="PFB243" s="15"/>
      <c r="PFC243" s="15"/>
      <c r="PFD243" s="10"/>
      <c r="PFE243" s="10"/>
      <c r="PFF243" s="19"/>
      <c r="PFG243" s="19"/>
      <c r="PFJ243" s="16"/>
      <c r="PFK243" s="15"/>
      <c r="PFL243" s="15"/>
      <c r="PFM243" s="15"/>
      <c r="PFN243" s="16"/>
      <c r="PFO243" s="16"/>
      <c r="PFP243" s="16"/>
      <c r="PFQ243" s="16"/>
      <c r="PFR243" s="16"/>
      <c r="PFS243" s="15"/>
      <c r="PFT243" s="15"/>
      <c r="PFU243" s="10"/>
      <c r="PFV243" s="10"/>
      <c r="PFW243" s="19"/>
      <c r="PFX243" s="19"/>
      <c r="PGA243" s="16"/>
      <c r="PGB243" s="15"/>
      <c r="PGC243" s="15"/>
      <c r="PGD243" s="15"/>
      <c r="PGE243" s="16"/>
      <c r="PGF243" s="16"/>
      <c r="PGG243" s="16"/>
      <c r="PGH243" s="16"/>
      <c r="PGI243" s="16"/>
      <c r="PGJ243" s="15"/>
      <c r="PGK243" s="15"/>
      <c r="PGL243" s="10"/>
      <c r="PGM243" s="10"/>
      <c r="PGN243" s="19"/>
      <c r="PGO243" s="19"/>
      <c r="PGR243" s="16"/>
      <c r="PGS243" s="15"/>
      <c r="PGT243" s="15"/>
      <c r="PGU243" s="15"/>
      <c r="PGV243" s="16"/>
      <c r="PGW243" s="16"/>
      <c r="PGX243" s="16"/>
      <c r="PGY243" s="16"/>
      <c r="PGZ243" s="16"/>
      <c r="PHA243" s="15"/>
      <c r="PHB243" s="15"/>
      <c r="PHC243" s="10"/>
      <c r="PHD243" s="10"/>
      <c r="PHE243" s="19"/>
      <c r="PHF243" s="19"/>
      <c r="PHI243" s="16"/>
      <c r="PHJ243" s="15"/>
      <c r="PHK243" s="15"/>
      <c r="PHL243" s="15"/>
      <c r="PHM243" s="16"/>
      <c r="PHN243" s="16"/>
      <c r="PHO243" s="16"/>
      <c r="PHP243" s="16"/>
      <c r="PHQ243" s="16"/>
      <c r="PHR243" s="15"/>
      <c r="PHS243" s="15"/>
      <c r="PHT243" s="10"/>
      <c r="PHU243" s="10"/>
      <c r="PHV243" s="19"/>
      <c r="PHW243" s="19"/>
      <c r="PHZ243" s="16"/>
      <c r="PIA243" s="15"/>
      <c r="PIB243" s="15"/>
      <c r="PIC243" s="15"/>
      <c r="PID243" s="16"/>
      <c r="PIE243" s="16"/>
      <c r="PIF243" s="16"/>
      <c r="PIG243" s="16"/>
      <c r="PIH243" s="16"/>
      <c r="PII243" s="15"/>
      <c r="PIJ243" s="15"/>
      <c r="PIK243" s="10"/>
      <c r="PIL243" s="10"/>
      <c r="PIM243" s="19"/>
      <c r="PIN243" s="19"/>
      <c r="PIQ243" s="16"/>
      <c r="PIR243" s="15"/>
      <c r="PIS243" s="15"/>
      <c r="PIT243" s="15"/>
      <c r="PIU243" s="16"/>
      <c r="PIV243" s="16"/>
      <c r="PIW243" s="16"/>
      <c r="PIX243" s="16"/>
      <c r="PIY243" s="16"/>
      <c r="PIZ243" s="15"/>
      <c r="PJA243" s="15"/>
      <c r="PJB243" s="10"/>
      <c r="PJC243" s="10"/>
      <c r="PJD243" s="19"/>
      <c r="PJE243" s="19"/>
      <c r="PJH243" s="16"/>
      <c r="PJI243" s="15"/>
      <c r="PJJ243" s="15"/>
      <c r="PJK243" s="15"/>
      <c r="PJL243" s="16"/>
      <c r="PJM243" s="16"/>
      <c r="PJN243" s="16"/>
      <c r="PJO243" s="16"/>
      <c r="PJP243" s="16"/>
      <c r="PJQ243" s="15"/>
      <c r="PJR243" s="15"/>
      <c r="PJS243" s="10"/>
      <c r="PJT243" s="10"/>
      <c r="PJU243" s="19"/>
      <c r="PJV243" s="19"/>
      <c r="PJY243" s="16"/>
      <c r="PJZ243" s="15"/>
      <c r="PKA243" s="15"/>
      <c r="PKB243" s="15"/>
      <c r="PKC243" s="16"/>
      <c r="PKD243" s="16"/>
      <c r="PKE243" s="16"/>
      <c r="PKF243" s="16"/>
      <c r="PKG243" s="16"/>
      <c r="PKH243" s="15"/>
      <c r="PKI243" s="15"/>
      <c r="PKJ243" s="10"/>
      <c r="PKK243" s="10"/>
      <c r="PKL243" s="19"/>
      <c r="PKM243" s="19"/>
      <c r="PKP243" s="16"/>
      <c r="PKQ243" s="15"/>
      <c r="PKR243" s="15"/>
      <c r="PKS243" s="15"/>
      <c r="PKT243" s="16"/>
      <c r="PKU243" s="16"/>
      <c r="PKV243" s="16"/>
      <c r="PKW243" s="16"/>
      <c r="PKX243" s="16"/>
      <c r="PKY243" s="15"/>
      <c r="PKZ243" s="15"/>
      <c r="PLA243" s="10"/>
      <c r="PLB243" s="10"/>
      <c r="PLC243" s="19"/>
      <c r="PLD243" s="19"/>
      <c r="PLG243" s="16"/>
      <c r="PLH243" s="15"/>
      <c r="PLI243" s="15"/>
      <c r="PLJ243" s="15"/>
      <c r="PLK243" s="16"/>
      <c r="PLL243" s="16"/>
      <c r="PLM243" s="16"/>
      <c r="PLN243" s="16"/>
      <c r="PLO243" s="16"/>
      <c r="PLP243" s="15"/>
      <c r="PLQ243" s="15"/>
      <c r="PLR243" s="10"/>
      <c r="PLS243" s="10"/>
      <c r="PLT243" s="19"/>
      <c r="PLU243" s="19"/>
      <c r="PLX243" s="16"/>
      <c r="PLY243" s="15"/>
      <c r="PLZ243" s="15"/>
      <c r="PMA243" s="15"/>
      <c r="PMB243" s="16"/>
      <c r="PMC243" s="16"/>
      <c r="PMD243" s="16"/>
      <c r="PME243" s="16"/>
      <c r="PMF243" s="16"/>
      <c r="PMG243" s="15"/>
      <c r="PMH243" s="15"/>
      <c r="PMI243" s="10"/>
      <c r="PMJ243" s="10"/>
      <c r="PMK243" s="19"/>
      <c r="PML243" s="19"/>
      <c r="PMO243" s="16"/>
      <c r="PMP243" s="15"/>
      <c r="PMQ243" s="15"/>
      <c r="PMR243" s="15"/>
      <c r="PMS243" s="16"/>
      <c r="PMT243" s="16"/>
      <c r="PMU243" s="16"/>
      <c r="PMV243" s="16"/>
      <c r="PMW243" s="16"/>
      <c r="PMX243" s="15"/>
      <c r="PMY243" s="15"/>
      <c r="PMZ243" s="10"/>
      <c r="PNA243" s="10"/>
      <c r="PNB243" s="19"/>
      <c r="PNC243" s="19"/>
      <c r="PNF243" s="16"/>
      <c r="PNG243" s="15"/>
      <c r="PNH243" s="15"/>
      <c r="PNI243" s="15"/>
      <c r="PNJ243" s="16"/>
      <c r="PNK243" s="16"/>
      <c r="PNL243" s="16"/>
      <c r="PNM243" s="16"/>
      <c r="PNN243" s="16"/>
      <c r="PNO243" s="15"/>
      <c r="PNP243" s="15"/>
      <c r="PNQ243" s="10"/>
      <c r="PNR243" s="10"/>
      <c r="PNS243" s="19"/>
      <c r="PNT243" s="19"/>
      <c r="PNW243" s="16"/>
      <c r="PNX243" s="15"/>
      <c r="PNY243" s="15"/>
      <c r="PNZ243" s="15"/>
      <c r="POA243" s="16"/>
      <c r="POB243" s="16"/>
      <c r="POC243" s="16"/>
      <c r="POD243" s="16"/>
      <c r="POE243" s="16"/>
      <c r="POF243" s="15"/>
      <c r="POG243" s="15"/>
      <c r="POH243" s="10"/>
      <c r="POI243" s="10"/>
      <c r="POJ243" s="19"/>
      <c r="POK243" s="19"/>
      <c r="PON243" s="16"/>
      <c r="POO243" s="15"/>
      <c r="POP243" s="15"/>
      <c r="POQ243" s="15"/>
      <c r="POR243" s="16"/>
      <c r="POS243" s="16"/>
      <c r="POT243" s="16"/>
      <c r="POU243" s="16"/>
      <c r="POV243" s="16"/>
      <c r="POW243" s="15"/>
      <c r="POX243" s="15"/>
      <c r="POY243" s="10"/>
      <c r="POZ243" s="10"/>
      <c r="PPA243" s="19"/>
      <c r="PPB243" s="19"/>
      <c r="PPE243" s="16"/>
      <c r="PPF243" s="15"/>
      <c r="PPG243" s="15"/>
      <c r="PPH243" s="15"/>
      <c r="PPI243" s="16"/>
      <c r="PPJ243" s="16"/>
      <c r="PPK243" s="16"/>
      <c r="PPL243" s="16"/>
      <c r="PPM243" s="16"/>
      <c r="PPN243" s="15"/>
      <c r="PPO243" s="15"/>
      <c r="PPP243" s="10"/>
      <c r="PPQ243" s="10"/>
      <c r="PPR243" s="19"/>
      <c r="PPS243" s="19"/>
      <c r="PPV243" s="16"/>
      <c r="PPW243" s="15"/>
      <c r="PPX243" s="15"/>
      <c r="PPY243" s="15"/>
      <c r="PPZ243" s="16"/>
      <c r="PQA243" s="16"/>
      <c r="PQB243" s="16"/>
      <c r="PQC243" s="16"/>
      <c r="PQD243" s="16"/>
      <c r="PQE243" s="15"/>
      <c r="PQF243" s="15"/>
      <c r="PQG243" s="10"/>
      <c r="PQH243" s="10"/>
      <c r="PQI243" s="19"/>
      <c r="PQJ243" s="19"/>
      <c r="PQM243" s="16"/>
      <c r="PQN243" s="15"/>
      <c r="PQO243" s="15"/>
      <c r="PQP243" s="15"/>
      <c r="PQQ243" s="16"/>
      <c r="PQR243" s="16"/>
      <c r="PQS243" s="16"/>
      <c r="PQT243" s="16"/>
      <c r="PQU243" s="16"/>
      <c r="PQV243" s="15"/>
      <c r="PQW243" s="15"/>
      <c r="PQX243" s="10"/>
      <c r="PQY243" s="10"/>
      <c r="PQZ243" s="19"/>
      <c r="PRA243" s="19"/>
      <c r="PRD243" s="16"/>
      <c r="PRE243" s="15"/>
      <c r="PRF243" s="15"/>
      <c r="PRG243" s="15"/>
      <c r="PRH243" s="16"/>
      <c r="PRI243" s="16"/>
      <c r="PRJ243" s="16"/>
      <c r="PRK243" s="16"/>
      <c r="PRL243" s="16"/>
      <c r="PRM243" s="15"/>
      <c r="PRN243" s="15"/>
      <c r="PRO243" s="10"/>
      <c r="PRP243" s="10"/>
      <c r="PRQ243" s="19"/>
      <c r="PRR243" s="19"/>
      <c r="PRU243" s="16"/>
      <c r="PRV243" s="15"/>
      <c r="PRW243" s="15"/>
      <c r="PRX243" s="15"/>
      <c r="PRY243" s="16"/>
      <c r="PRZ243" s="16"/>
      <c r="PSA243" s="16"/>
      <c r="PSB243" s="16"/>
      <c r="PSC243" s="16"/>
      <c r="PSD243" s="15"/>
      <c r="PSE243" s="15"/>
      <c r="PSF243" s="10"/>
      <c r="PSG243" s="10"/>
      <c r="PSH243" s="19"/>
      <c r="PSI243" s="19"/>
      <c r="PSL243" s="16"/>
      <c r="PSM243" s="15"/>
      <c r="PSN243" s="15"/>
      <c r="PSO243" s="15"/>
      <c r="PSP243" s="16"/>
      <c r="PSQ243" s="16"/>
      <c r="PSR243" s="16"/>
      <c r="PSS243" s="16"/>
      <c r="PST243" s="16"/>
      <c r="PSU243" s="15"/>
      <c r="PSV243" s="15"/>
      <c r="PSW243" s="10"/>
      <c r="PSX243" s="10"/>
      <c r="PSY243" s="19"/>
      <c r="PSZ243" s="19"/>
      <c r="PTC243" s="16"/>
      <c r="PTD243" s="15"/>
      <c r="PTE243" s="15"/>
      <c r="PTF243" s="15"/>
      <c r="PTG243" s="16"/>
      <c r="PTH243" s="16"/>
      <c r="PTI243" s="16"/>
      <c r="PTJ243" s="16"/>
      <c r="PTK243" s="16"/>
      <c r="PTL243" s="15"/>
      <c r="PTM243" s="15"/>
      <c r="PTN243" s="10"/>
      <c r="PTO243" s="10"/>
      <c r="PTP243" s="19"/>
      <c r="PTQ243" s="19"/>
      <c r="PTT243" s="16"/>
      <c r="PTU243" s="15"/>
      <c r="PTV243" s="15"/>
      <c r="PTW243" s="15"/>
      <c r="PTX243" s="16"/>
      <c r="PTY243" s="16"/>
      <c r="PTZ243" s="16"/>
      <c r="PUA243" s="16"/>
      <c r="PUB243" s="16"/>
      <c r="PUC243" s="15"/>
      <c r="PUD243" s="15"/>
      <c r="PUE243" s="10"/>
      <c r="PUF243" s="10"/>
      <c r="PUG243" s="19"/>
      <c r="PUH243" s="19"/>
      <c r="PUK243" s="16"/>
      <c r="PUL243" s="15"/>
      <c r="PUM243" s="15"/>
      <c r="PUN243" s="15"/>
      <c r="PUO243" s="16"/>
      <c r="PUP243" s="16"/>
      <c r="PUQ243" s="16"/>
      <c r="PUR243" s="16"/>
      <c r="PUS243" s="16"/>
      <c r="PUT243" s="15"/>
      <c r="PUU243" s="15"/>
      <c r="PUV243" s="10"/>
      <c r="PUW243" s="10"/>
      <c r="PUX243" s="19"/>
      <c r="PUY243" s="19"/>
      <c r="PVB243" s="16"/>
      <c r="PVC243" s="15"/>
      <c r="PVD243" s="15"/>
      <c r="PVE243" s="15"/>
      <c r="PVF243" s="16"/>
      <c r="PVG243" s="16"/>
      <c r="PVH243" s="16"/>
      <c r="PVI243" s="16"/>
      <c r="PVJ243" s="16"/>
      <c r="PVK243" s="15"/>
      <c r="PVL243" s="15"/>
      <c r="PVM243" s="10"/>
      <c r="PVN243" s="10"/>
      <c r="PVO243" s="19"/>
      <c r="PVP243" s="19"/>
      <c r="PVS243" s="16"/>
      <c r="PVT243" s="15"/>
      <c r="PVU243" s="15"/>
      <c r="PVV243" s="15"/>
      <c r="PVW243" s="16"/>
      <c r="PVX243" s="16"/>
      <c r="PVY243" s="16"/>
      <c r="PVZ243" s="16"/>
      <c r="PWA243" s="16"/>
      <c r="PWB243" s="15"/>
      <c r="PWC243" s="15"/>
      <c r="PWD243" s="10"/>
      <c r="PWE243" s="10"/>
      <c r="PWF243" s="19"/>
      <c r="PWG243" s="19"/>
      <c r="PWJ243" s="16"/>
      <c r="PWK243" s="15"/>
      <c r="PWL243" s="15"/>
      <c r="PWM243" s="15"/>
      <c r="PWN243" s="16"/>
      <c r="PWO243" s="16"/>
      <c r="PWP243" s="16"/>
      <c r="PWQ243" s="16"/>
      <c r="PWR243" s="16"/>
      <c r="PWS243" s="15"/>
      <c r="PWT243" s="15"/>
      <c r="PWU243" s="10"/>
      <c r="PWV243" s="10"/>
      <c r="PWW243" s="19"/>
      <c r="PWX243" s="19"/>
      <c r="PXA243" s="16"/>
      <c r="PXB243" s="15"/>
      <c r="PXC243" s="15"/>
      <c r="PXD243" s="15"/>
      <c r="PXE243" s="16"/>
      <c r="PXF243" s="16"/>
      <c r="PXG243" s="16"/>
      <c r="PXH243" s="16"/>
      <c r="PXI243" s="16"/>
      <c r="PXJ243" s="15"/>
      <c r="PXK243" s="15"/>
      <c r="PXL243" s="10"/>
      <c r="PXM243" s="10"/>
      <c r="PXN243" s="19"/>
      <c r="PXO243" s="19"/>
      <c r="PXR243" s="16"/>
      <c r="PXS243" s="15"/>
      <c r="PXT243" s="15"/>
      <c r="PXU243" s="15"/>
      <c r="PXV243" s="16"/>
      <c r="PXW243" s="16"/>
      <c r="PXX243" s="16"/>
      <c r="PXY243" s="16"/>
      <c r="PXZ243" s="16"/>
      <c r="PYA243" s="15"/>
      <c r="PYB243" s="15"/>
      <c r="PYC243" s="10"/>
      <c r="PYD243" s="10"/>
      <c r="PYE243" s="19"/>
      <c r="PYF243" s="19"/>
      <c r="PYI243" s="16"/>
      <c r="PYJ243" s="15"/>
      <c r="PYK243" s="15"/>
      <c r="PYL243" s="15"/>
      <c r="PYM243" s="16"/>
      <c r="PYN243" s="16"/>
      <c r="PYO243" s="16"/>
      <c r="PYP243" s="16"/>
      <c r="PYQ243" s="16"/>
      <c r="PYR243" s="15"/>
      <c r="PYS243" s="15"/>
      <c r="PYT243" s="10"/>
      <c r="PYU243" s="10"/>
      <c r="PYV243" s="19"/>
      <c r="PYW243" s="19"/>
      <c r="PYZ243" s="16"/>
      <c r="PZA243" s="15"/>
      <c r="PZB243" s="15"/>
      <c r="PZC243" s="15"/>
      <c r="PZD243" s="16"/>
      <c r="PZE243" s="16"/>
      <c r="PZF243" s="16"/>
      <c r="PZG243" s="16"/>
      <c r="PZH243" s="16"/>
      <c r="PZI243" s="15"/>
      <c r="PZJ243" s="15"/>
      <c r="PZK243" s="10"/>
      <c r="PZL243" s="10"/>
      <c r="PZM243" s="19"/>
      <c r="PZN243" s="19"/>
      <c r="PZQ243" s="16"/>
      <c r="PZR243" s="15"/>
      <c r="PZS243" s="15"/>
      <c r="PZT243" s="15"/>
      <c r="PZU243" s="16"/>
      <c r="PZV243" s="16"/>
      <c r="PZW243" s="16"/>
      <c r="PZX243" s="16"/>
      <c r="PZY243" s="16"/>
      <c r="PZZ243" s="15"/>
      <c r="QAA243" s="15"/>
      <c r="QAB243" s="10"/>
      <c r="QAC243" s="10"/>
      <c r="QAD243" s="19"/>
      <c r="QAE243" s="19"/>
      <c r="QAH243" s="16"/>
      <c r="QAI243" s="15"/>
      <c r="QAJ243" s="15"/>
      <c r="QAK243" s="15"/>
      <c r="QAL243" s="16"/>
      <c r="QAM243" s="16"/>
      <c r="QAN243" s="16"/>
      <c r="QAO243" s="16"/>
      <c r="QAP243" s="16"/>
      <c r="QAQ243" s="15"/>
      <c r="QAR243" s="15"/>
      <c r="QAS243" s="10"/>
      <c r="QAT243" s="10"/>
      <c r="QAU243" s="19"/>
      <c r="QAV243" s="19"/>
      <c r="QAY243" s="16"/>
      <c r="QAZ243" s="15"/>
      <c r="QBA243" s="15"/>
      <c r="QBB243" s="15"/>
      <c r="QBC243" s="16"/>
      <c r="QBD243" s="16"/>
      <c r="QBE243" s="16"/>
      <c r="QBF243" s="16"/>
      <c r="QBG243" s="16"/>
      <c r="QBH243" s="15"/>
      <c r="QBI243" s="15"/>
      <c r="QBJ243" s="10"/>
      <c r="QBK243" s="10"/>
      <c r="QBL243" s="19"/>
      <c r="QBM243" s="19"/>
      <c r="QBP243" s="16"/>
      <c r="QBQ243" s="15"/>
      <c r="QBR243" s="15"/>
      <c r="QBS243" s="15"/>
      <c r="QBT243" s="16"/>
      <c r="QBU243" s="16"/>
      <c r="QBV243" s="16"/>
      <c r="QBW243" s="16"/>
      <c r="QBX243" s="16"/>
      <c r="QBY243" s="15"/>
      <c r="QBZ243" s="15"/>
      <c r="QCA243" s="10"/>
      <c r="QCB243" s="10"/>
      <c r="QCC243" s="19"/>
      <c r="QCD243" s="19"/>
      <c r="QCG243" s="16"/>
      <c r="QCH243" s="15"/>
      <c r="QCI243" s="15"/>
      <c r="QCJ243" s="15"/>
      <c r="QCK243" s="16"/>
      <c r="QCL243" s="16"/>
      <c r="QCM243" s="16"/>
      <c r="QCN243" s="16"/>
      <c r="QCO243" s="16"/>
      <c r="QCP243" s="15"/>
      <c r="QCQ243" s="15"/>
      <c r="QCR243" s="10"/>
      <c r="QCS243" s="10"/>
      <c r="QCT243" s="19"/>
      <c r="QCU243" s="19"/>
      <c r="QCX243" s="16"/>
      <c r="QCY243" s="15"/>
      <c r="QCZ243" s="15"/>
      <c r="QDA243" s="15"/>
      <c r="QDB243" s="16"/>
      <c r="QDC243" s="16"/>
      <c r="QDD243" s="16"/>
      <c r="QDE243" s="16"/>
      <c r="QDF243" s="16"/>
      <c r="QDG243" s="15"/>
      <c r="QDH243" s="15"/>
      <c r="QDI243" s="10"/>
      <c r="QDJ243" s="10"/>
      <c r="QDK243" s="19"/>
      <c r="QDL243" s="19"/>
      <c r="QDO243" s="16"/>
      <c r="QDP243" s="15"/>
      <c r="QDQ243" s="15"/>
      <c r="QDR243" s="15"/>
      <c r="QDS243" s="16"/>
      <c r="QDT243" s="16"/>
      <c r="QDU243" s="16"/>
      <c r="QDV243" s="16"/>
      <c r="QDW243" s="16"/>
      <c r="QDX243" s="15"/>
      <c r="QDY243" s="15"/>
      <c r="QDZ243" s="10"/>
      <c r="QEA243" s="10"/>
      <c r="QEB243" s="19"/>
      <c r="QEC243" s="19"/>
      <c r="QEF243" s="16"/>
      <c r="QEG243" s="15"/>
      <c r="QEH243" s="15"/>
      <c r="QEI243" s="15"/>
      <c r="QEJ243" s="16"/>
      <c r="QEK243" s="16"/>
      <c r="QEL243" s="16"/>
      <c r="QEM243" s="16"/>
      <c r="QEN243" s="16"/>
      <c r="QEO243" s="15"/>
      <c r="QEP243" s="15"/>
      <c r="QEQ243" s="10"/>
      <c r="QER243" s="10"/>
      <c r="QES243" s="19"/>
      <c r="QET243" s="19"/>
      <c r="QEW243" s="16"/>
      <c r="QEX243" s="15"/>
      <c r="QEY243" s="15"/>
      <c r="QEZ243" s="15"/>
      <c r="QFA243" s="16"/>
      <c r="QFB243" s="16"/>
      <c r="QFC243" s="16"/>
      <c r="QFD243" s="16"/>
      <c r="QFE243" s="16"/>
      <c r="QFF243" s="15"/>
      <c r="QFG243" s="15"/>
      <c r="QFH243" s="10"/>
      <c r="QFI243" s="10"/>
      <c r="QFJ243" s="19"/>
      <c r="QFK243" s="19"/>
      <c r="QFN243" s="16"/>
      <c r="QFO243" s="15"/>
      <c r="QFP243" s="15"/>
      <c r="QFQ243" s="15"/>
      <c r="QFR243" s="16"/>
      <c r="QFS243" s="16"/>
      <c r="QFT243" s="16"/>
      <c r="QFU243" s="16"/>
      <c r="QFV243" s="16"/>
      <c r="QFW243" s="15"/>
      <c r="QFX243" s="15"/>
      <c r="QFY243" s="10"/>
      <c r="QFZ243" s="10"/>
      <c r="QGA243" s="19"/>
      <c r="QGB243" s="19"/>
      <c r="QGE243" s="16"/>
      <c r="QGF243" s="15"/>
      <c r="QGG243" s="15"/>
      <c r="QGH243" s="15"/>
      <c r="QGI243" s="16"/>
      <c r="QGJ243" s="16"/>
      <c r="QGK243" s="16"/>
      <c r="QGL243" s="16"/>
      <c r="QGM243" s="16"/>
      <c r="QGN243" s="15"/>
      <c r="QGO243" s="15"/>
      <c r="QGP243" s="10"/>
      <c r="QGQ243" s="10"/>
      <c r="QGR243" s="19"/>
      <c r="QGS243" s="19"/>
      <c r="QGV243" s="16"/>
      <c r="QGW243" s="15"/>
      <c r="QGX243" s="15"/>
      <c r="QGY243" s="15"/>
      <c r="QGZ243" s="16"/>
      <c r="QHA243" s="16"/>
      <c r="QHB243" s="16"/>
      <c r="QHC243" s="16"/>
      <c r="QHD243" s="16"/>
      <c r="QHE243" s="15"/>
      <c r="QHF243" s="15"/>
      <c r="QHG243" s="10"/>
      <c r="QHH243" s="10"/>
      <c r="QHI243" s="19"/>
      <c r="QHJ243" s="19"/>
      <c r="QHM243" s="16"/>
      <c r="QHN243" s="15"/>
      <c r="QHO243" s="15"/>
      <c r="QHP243" s="15"/>
      <c r="QHQ243" s="16"/>
      <c r="QHR243" s="16"/>
      <c r="QHS243" s="16"/>
      <c r="QHT243" s="16"/>
      <c r="QHU243" s="16"/>
      <c r="QHV243" s="15"/>
      <c r="QHW243" s="15"/>
      <c r="QHX243" s="10"/>
      <c r="QHY243" s="10"/>
      <c r="QHZ243" s="19"/>
      <c r="QIA243" s="19"/>
      <c r="QID243" s="16"/>
      <c r="QIE243" s="15"/>
      <c r="QIF243" s="15"/>
      <c r="QIG243" s="15"/>
      <c r="QIH243" s="16"/>
      <c r="QII243" s="16"/>
      <c r="QIJ243" s="16"/>
      <c r="QIK243" s="16"/>
      <c r="QIL243" s="16"/>
      <c r="QIM243" s="15"/>
      <c r="QIN243" s="15"/>
      <c r="QIO243" s="10"/>
      <c r="QIP243" s="10"/>
      <c r="QIQ243" s="19"/>
      <c r="QIR243" s="19"/>
      <c r="QIU243" s="16"/>
      <c r="QIV243" s="15"/>
      <c r="QIW243" s="15"/>
      <c r="QIX243" s="15"/>
      <c r="QIY243" s="16"/>
      <c r="QIZ243" s="16"/>
      <c r="QJA243" s="16"/>
      <c r="QJB243" s="16"/>
      <c r="QJC243" s="16"/>
      <c r="QJD243" s="15"/>
      <c r="QJE243" s="15"/>
      <c r="QJF243" s="10"/>
      <c r="QJG243" s="10"/>
      <c r="QJH243" s="19"/>
      <c r="QJI243" s="19"/>
      <c r="QJL243" s="16"/>
      <c r="QJM243" s="15"/>
      <c r="QJN243" s="15"/>
      <c r="QJO243" s="15"/>
      <c r="QJP243" s="16"/>
      <c r="QJQ243" s="16"/>
      <c r="QJR243" s="16"/>
      <c r="QJS243" s="16"/>
      <c r="QJT243" s="16"/>
      <c r="QJU243" s="15"/>
      <c r="QJV243" s="15"/>
      <c r="QJW243" s="10"/>
      <c r="QJX243" s="10"/>
      <c r="QJY243" s="19"/>
      <c r="QJZ243" s="19"/>
      <c r="QKC243" s="16"/>
      <c r="QKD243" s="15"/>
      <c r="QKE243" s="15"/>
      <c r="QKF243" s="15"/>
      <c r="QKG243" s="16"/>
      <c r="QKH243" s="16"/>
      <c r="QKI243" s="16"/>
      <c r="QKJ243" s="16"/>
      <c r="QKK243" s="16"/>
      <c r="QKL243" s="15"/>
      <c r="QKM243" s="15"/>
      <c r="QKN243" s="10"/>
      <c r="QKO243" s="10"/>
      <c r="QKP243" s="19"/>
      <c r="QKQ243" s="19"/>
      <c r="QKT243" s="16"/>
      <c r="QKU243" s="15"/>
      <c r="QKV243" s="15"/>
      <c r="QKW243" s="15"/>
      <c r="QKX243" s="16"/>
      <c r="QKY243" s="16"/>
      <c r="QKZ243" s="16"/>
      <c r="QLA243" s="16"/>
      <c r="QLB243" s="16"/>
      <c r="QLC243" s="15"/>
      <c r="QLD243" s="15"/>
      <c r="QLE243" s="10"/>
      <c r="QLF243" s="10"/>
      <c r="QLG243" s="19"/>
      <c r="QLH243" s="19"/>
      <c r="QLK243" s="16"/>
      <c r="QLL243" s="15"/>
      <c r="QLM243" s="15"/>
      <c r="QLN243" s="15"/>
      <c r="QLO243" s="16"/>
      <c r="QLP243" s="16"/>
      <c r="QLQ243" s="16"/>
      <c r="QLR243" s="16"/>
      <c r="QLS243" s="16"/>
      <c r="QLT243" s="15"/>
      <c r="QLU243" s="15"/>
      <c r="QLV243" s="10"/>
      <c r="QLW243" s="10"/>
      <c r="QLX243" s="19"/>
      <c r="QLY243" s="19"/>
      <c r="QMB243" s="16"/>
      <c r="QMC243" s="15"/>
      <c r="QMD243" s="15"/>
      <c r="QME243" s="15"/>
      <c r="QMF243" s="16"/>
      <c r="QMG243" s="16"/>
      <c r="QMH243" s="16"/>
      <c r="QMI243" s="16"/>
      <c r="QMJ243" s="16"/>
      <c r="QMK243" s="15"/>
      <c r="QML243" s="15"/>
      <c r="QMM243" s="10"/>
      <c r="QMN243" s="10"/>
      <c r="QMO243" s="19"/>
      <c r="QMP243" s="19"/>
      <c r="QMS243" s="16"/>
      <c r="QMT243" s="15"/>
      <c r="QMU243" s="15"/>
      <c r="QMV243" s="15"/>
      <c r="QMW243" s="16"/>
      <c r="QMX243" s="16"/>
      <c r="QMY243" s="16"/>
      <c r="QMZ243" s="16"/>
      <c r="QNA243" s="16"/>
      <c r="QNB243" s="15"/>
      <c r="QNC243" s="15"/>
      <c r="QND243" s="10"/>
      <c r="QNE243" s="10"/>
      <c r="QNF243" s="19"/>
      <c r="QNG243" s="19"/>
      <c r="QNJ243" s="16"/>
      <c r="QNK243" s="15"/>
      <c r="QNL243" s="15"/>
      <c r="QNM243" s="15"/>
      <c r="QNN243" s="16"/>
      <c r="QNO243" s="16"/>
      <c r="QNP243" s="16"/>
      <c r="QNQ243" s="16"/>
      <c r="QNR243" s="16"/>
      <c r="QNS243" s="15"/>
      <c r="QNT243" s="15"/>
      <c r="QNU243" s="10"/>
      <c r="QNV243" s="10"/>
      <c r="QNW243" s="19"/>
      <c r="QNX243" s="19"/>
      <c r="QOA243" s="16"/>
      <c r="QOB243" s="15"/>
      <c r="QOC243" s="15"/>
      <c r="QOD243" s="15"/>
      <c r="QOE243" s="16"/>
      <c r="QOF243" s="16"/>
      <c r="QOG243" s="16"/>
      <c r="QOH243" s="16"/>
      <c r="QOI243" s="16"/>
      <c r="QOJ243" s="15"/>
      <c r="QOK243" s="15"/>
      <c r="QOL243" s="10"/>
      <c r="QOM243" s="10"/>
      <c r="QON243" s="19"/>
      <c r="QOO243" s="19"/>
      <c r="QOR243" s="16"/>
      <c r="QOS243" s="15"/>
      <c r="QOT243" s="15"/>
      <c r="QOU243" s="15"/>
      <c r="QOV243" s="16"/>
      <c r="QOW243" s="16"/>
      <c r="QOX243" s="16"/>
      <c r="QOY243" s="16"/>
      <c r="QOZ243" s="16"/>
      <c r="QPA243" s="15"/>
      <c r="QPB243" s="15"/>
      <c r="QPC243" s="10"/>
      <c r="QPD243" s="10"/>
      <c r="QPE243" s="19"/>
      <c r="QPF243" s="19"/>
      <c r="QPI243" s="16"/>
      <c r="QPJ243" s="15"/>
      <c r="QPK243" s="15"/>
      <c r="QPL243" s="15"/>
      <c r="QPM243" s="16"/>
      <c r="QPN243" s="16"/>
      <c r="QPO243" s="16"/>
      <c r="QPP243" s="16"/>
      <c r="QPQ243" s="16"/>
      <c r="QPR243" s="15"/>
      <c r="QPS243" s="15"/>
      <c r="QPT243" s="10"/>
      <c r="QPU243" s="10"/>
      <c r="QPV243" s="19"/>
      <c r="QPW243" s="19"/>
      <c r="QPZ243" s="16"/>
      <c r="QQA243" s="15"/>
      <c r="QQB243" s="15"/>
      <c r="QQC243" s="15"/>
      <c r="QQD243" s="16"/>
      <c r="QQE243" s="16"/>
      <c r="QQF243" s="16"/>
      <c r="QQG243" s="16"/>
      <c r="QQH243" s="16"/>
      <c r="QQI243" s="15"/>
      <c r="QQJ243" s="15"/>
      <c r="QQK243" s="10"/>
      <c r="QQL243" s="10"/>
      <c r="QQM243" s="19"/>
      <c r="QQN243" s="19"/>
      <c r="QQQ243" s="16"/>
      <c r="QQR243" s="15"/>
      <c r="QQS243" s="15"/>
      <c r="QQT243" s="15"/>
      <c r="QQU243" s="16"/>
      <c r="QQV243" s="16"/>
      <c r="QQW243" s="16"/>
      <c r="QQX243" s="16"/>
      <c r="QQY243" s="16"/>
      <c r="QQZ243" s="15"/>
      <c r="QRA243" s="15"/>
      <c r="QRB243" s="10"/>
      <c r="QRC243" s="10"/>
      <c r="QRD243" s="19"/>
      <c r="QRE243" s="19"/>
      <c r="QRH243" s="16"/>
      <c r="QRI243" s="15"/>
      <c r="QRJ243" s="15"/>
      <c r="QRK243" s="15"/>
      <c r="QRL243" s="16"/>
      <c r="QRM243" s="16"/>
      <c r="QRN243" s="16"/>
      <c r="QRO243" s="16"/>
      <c r="QRP243" s="16"/>
      <c r="QRQ243" s="15"/>
      <c r="QRR243" s="15"/>
      <c r="QRS243" s="10"/>
      <c r="QRT243" s="10"/>
      <c r="QRU243" s="19"/>
      <c r="QRV243" s="19"/>
      <c r="QRY243" s="16"/>
      <c r="QRZ243" s="15"/>
      <c r="QSA243" s="15"/>
      <c r="QSB243" s="15"/>
      <c r="QSC243" s="16"/>
      <c r="QSD243" s="16"/>
      <c r="QSE243" s="16"/>
      <c r="QSF243" s="16"/>
      <c r="QSG243" s="16"/>
      <c r="QSH243" s="15"/>
      <c r="QSI243" s="15"/>
      <c r="QSJ243" s="10"/>
      <c r="QSK243" s="10"/>
      <c r="QSL243" s="19"/>
      <c r="QSM243" s="19"/>
      <c r="QSP243" s="16"/>
      <c r="QSQ243" s="15"/>
      <c r="QSR243" s="15"/>
      <c r="QSS243" s="15"/>
      <c r="QST243" s="16"/>
      <c r="QSU243" s="16"/>
      <c r="QSV243" s="16"/>
      <c r="QSW243" s="16"/>
      <c r="QSX243" s="16"/>
      <c r="QSY243" s="15"/>
      <c r="QSZ243" s="15"/>
      <c r="QTA243" s="10"/>
      <c r="QTB243" s="10"/>
      <c r="QTC243" s="19"/>
      <c r="QTD243" s="19"/>
      <c r="QTG243" s="16"/>
      <c r="QTH243" s="15"/>
      <c r="QTI243" s="15"/>
      <c r="QTJ243" s="15"/>
      <c r="QTK243" s="16"/>
      <c r="QTL243" s="16"/>
      <c r="QTM243" s="16"/>
      <c r="QTN243" s="16"/>
      <c r="QTO243" s="16"/>
      <c r="QTP243" s="15"/>
      <c r="QTQ243" s="15"/>
      <c r="QTR243" s="10"/>
      <c r="QTS243" s="10"/>
      <c r="QTT243" s="19"/>
      <c r="QTU243" s="19"/>
      <c r="QTX243" s="16"/>
      <c r="QTY243" s="15"/>
      <c r="QTZ243" s="15"/>
      <c r="QUA243" s="15"/>
      <c r="QUB243" s="16"/>
      <c r="QUC243" s="16"/>
      <c r="QUD243" s="16"/>
      <c r="QUE243" s="16"/>
      <c r="QUF243" s="16"/>
      <c r="QUG243" s="15"/>
      <c r="QUH243" s="15"/>
      <c r="QUI243" s="10"/>
      <c r="QUJ243" s="10"/>
      <c r="QUK243" s="19"/>
      <c r="QUL243" s="19"/>
      <c r="QUO243" s="16"/>
      <c r="QUP243" s="15"/>
      <c r="QUQ243" s="15"/>
      <c r="QUR243" s="15"/>
      <c r="QUS243" s="16"/>
      <c r="QUT243" s="16"/>
      <c r="QUU243" s="16"/>
      <c r="QUV243" s="16"/>
      <c r="QUW243" s="16"/>
      <c r="QUX243" s="15"/>
      <c r="QUY243" s="15"/>
      <c r="QUZ243" s="10"/>
      <c r="QVA243" s="10"/>
      <c r="QVB243" s="19"/>
      <c r="QVC243" s="19"/>
      <c r="QVF243" s="16"/>
      <c r="QVG243" s="15"/>
      <c r="QVH243" s="15"/>
      <c r="QVI243" s="15"/>
      <c r="QVJ243" s="16"/>
      <c r="QVK243" s="16"/>
      <c r="QVL243" s="16"/>
      <c r="QVM243" s="16"/>
      <c r="QVN243" s="16"/>
      <c r="QVO243" s="15"/>
      <c r="QVP243" s="15"/>
      <c r="QVQ243" s="10"/>
      <c r="QVR243" s="10"/>
      <c r="QVS243" s="19"/>
      <c r="QVT243" s="19"/>
      <c r="QVW243" s="16"/>
      <c r="QVX243" s="15"/>
      <c r="QVY243" s="15"/>
      <c r="QVZ243" s="15"/>
      <c r="QWA243" s="16"/>
      <c r="QWB243" s="16"/>
      <c r="QWC243" s="16"/>
      <c r="QWD243" s="16"/>
      <c r="QWE243" s="16"/>
      <c r="QWF243" s="15"/>
      <c r="QWG243" s="15"/>
      <c r="QWH243" s="10"/>
      <c r="QWI243" s="10"/>
      <c r="QWJ243" s="19"/>
      <c r="QWK243" s="19"/>
      <c r="QWN243" s="16"/>
      <c r="QWO243" s="15"/>
      <c r="QWP243" s="15"/>
      <c r="QWQ243" s="15"/>
      <c r="QWR243" s="16"/>
      <c r="QWS243" s="16"/>
      <c r="QWT243" s="16"/>
      <c r="QWU243" s="16"/>
      <c r="QWV243" s="16"/>
      <c r="QWW243" s="15"/>
      <c r="QWX243" s="15"/>
      <c r="QWY243" s="10"/>
      <c r="QWZ243" s="10"/>
      <c r="QXA243" s="19"/>
      <c r="QXB243" s="19"/>
      <c r="QXE243" s="16"/>
      <c r="QXF243" s="15"/>
      <c r="QXG243" s="15"/>
      <c r="QXH243" s="15"/>
      <c r="QXI243" s="16"/>
      <c r="QXJ243" s="16"/>
      <c r="QXK243" s="16"/>
      <c r="QXL243" s="16"/>
      <c r="QXM243" s="16"/>
      <c r="QXN243" s="15"/>
      <c r="QXO243" s="15"/>
      <c r="QXP243" s="10"/>
      <c r="QXQ243" s="10"/>
      <c r="QXR243" s="19"/>
      <c r="QXS243" s="19"/>
      <c r="QXV243" s="16"/>
      <c r="QXW243" s="15"/>
      <c r="QXX243" s="15"/>
      <c r="QXY243" s="15"/>
      <c r="QXZ243" s="16"/>
      <c r="QYA243" s="16"/>
      <c r="QYB243" s="16"/>
      <c r="QYC243" s="16"/>
      <c r="QYD243" s="16"/>
      <c r="QYE243" s="15"/>
      <c r="QYF243" s="15"/>
      <c r="QYG243" s="10"/>
      <c r="QYH243" s="10"/>
      <c r="QYI243" s="19"/>
      <c r="QYJ243" s="19"/>
      <c r="QYM243" s="16"/>
      <c r="QYN243" s="15"/>
      <c r="QYO243" s="15"/>
      <c r="QYP243" s="15"/>
      <c r="QYQ243" s="16"/>
      <c r="QYR243" s="16"/>
      <c r="QYS243" s="16"/>
      <c r="QYT243" s="16"/>
      <c r="QYU243" s="16"/>
      <c r="QYV243" s="15"/>
      <c r="QYW243" s="15"/>
      <c r="QYX243" s="10"/>
      <c r="QYY243" s="10"/>
      <c r="QYZ243" s="19"/>
      <c r="QZA243" s="19"/>
      <c r="QZD243" s="16"/>
      <c r="QZE243" s="15"/>
      <c r="QZF243" s="15"/>
      <c r="QZG243" s="15"/>
      <c r="QZH243" s="16"/>
      <c r="QZI243" s="16"/>
      <c r="QZJ243" s="16"/>
      <c r="QZK243" s="16"/>
      <c r="QZL243" s="16"/>
      <c r="QZM243" s="15"/>
      <c r="QZN243" s="15"/>
      <c r="QZO243" s="10"/>
      <c r="QZP243" s="10"/>
      <c r="QZQ243" s="19"/>
      <c r="QZR243" s="19"/>
      <c r="QZU243" s="16"/>
      <c r="QZV243" s="15"/>
      <c r="QZW243" s="15"/>
      <c r="QZX243" s="15"/>
      <c r="QZY243" s="16"/>
      <c r="QZZ243" s="16"/>
      <c r="RAA243" s="16"/>
      <c r="RAB243" s="16"/>
      <c r="RAC243" s="16"/>
      <c r="RAD243" s="15"/>
      <c r="RAE243" s="15"/>
      <c r="RAF243" s="10"/>
      <c r="RAG243" s="10"/>
      <c r="RAH243" s="19"/>
      <c r="RAI243" s="19"/>
      <c r="RAL243" s="16"/>
      <c r="RAM243" s="15"/>
      <c r="RAN243" s="15"/>
      <c r="RAO243" s="15"/>
      <c r="RAP243" s="16"/>
      <c r="RAQ243" s="16"/>
      <c r="RAR243" s="16"/>
      <c r="RAS243" s="16"/>
      <c r="RAT243" s="16"/>
      <c r="RAU243" s="15"/>
      <c r="RAV243" s="15"/>
      <c r="RAW243" s="10"/>
      <c r="RAX243" s="10"/>
      <c r="RAY243" s="19"/>
      <c r="RAZ243" s="19"/>
      <c r="RBC243" s="16"/>
      <c r="RBD243" s="15"/>
      <c r="RBE243" s="15"/>
      <c r="RBF243" s="15"/>
      <c r="RBG243" s="16"/>
      <c r="RBH243" s="16"/>
      <c r="RBI243" s="16"/>
      <c r="RBJ243" s="16"/>
      <c r="RBK243" s="16"/>
      <c r="RBL243" s="15"/>
      <c r="RBM243" s="15"/>
      <c r="RBN243" s="10"/>
      <c r="RBO243" s="10"/>
      <c r="RBP243" s="19"/>
      <c r="RBQ243" s="19"/>
      <c r="RBT243" s="16"/>
      <c r="RBU243" s="15"/>
      <c r="RBV243" s="15"/>
      <c r="RBW243" s="15"/>
      <c r="RBX243" s="16"/>
      <c r="RBY243" s="16"/>
      <c r="RBZ243" s="16"/>
      <c r="RCA243" s="16"/>
      <c r="RCB243" s="16"/>
      <c r="RCC243" s="15"/>
      <c r="RCD243" s="15"/>
      <c r="RCE243" s="10"/>
      <c r="RCF243" s="10"/>
      <c r="RCG243" s="19"/>
      <c r="RCH243" s="19"/>
      <c r="RCK243" s="16"/>
      <c r="RCL243" s="15"/>
      <c r="RCM243" s="15"/>
      <c r="RCN243" s="15"/>
      <c r="RCO243" s="16"/>
      <c r="RCP243" s="16"/>
      <c r="RCQ243" s="16"/>
      <c r="RCR243" s="16"/>
      <c r="RCS243" s="16"/>
      <c r="RCT243" s="15"/>
      <c r="RCU243" s="15"/>
      <c r="RCV243" s="10"/>
      <c r="RCW243" s="10"/>
      <c r="RCX243" s="19"/>
      <c r="RCY243" s="19"/>
      <c r="RDB243" s="16"/>
      <c r="RDC243" s="15"/>
      <c r="RDD243" s="15"/>
      <c r="RDE243" s="15"/>
      <c r="RDF243" s="16"/>
      <c r="RDG243" s="16"/>
      <c r="RDH243" s="16"/>
      <c r="RDI243" s="16"/>
      <c r="RDJ243" s="16"/>
      <c r="RDK243" s="15"/>
      <c r="RDL243" s="15"/>
      <c r="RDM243" s="10"/>
      <c r="RDN243" s="10"/>
      <c r="RDO243" s="19"/>
      <c r="RDP243" s="19"/>
      <c r="RDS243" s="16"/>
      <c r="RDT243" s="15"/>
      <c r="RDU243" s="15"/>
      <c r="RDV243" s="15"/>
      <c r="RDW243" s="16"/>
      <c r="RDX243" s="16"/>
      <c r="RDY243" s="16"/>
      <c r="RDZ243" s="16"/>
      <c r="REA243" s="16"/>
      <c r="REB243" s="15"/>
      <c r="REC243" s="15"/>
      <c r="RED243" s="10"/>
      <c r="REE243" s="10"/>
      <c r="REF243" s="19"/>
      <c r="REG243" s="19"/>
      <c r="REJ243" s="16"/>
      <c r="REK243" s="15"/>
      <c r="REL243" s="15"/>
      <c r="REM243" s="15"/>
      <c r="REN243" s="16"/>
      <c r="REO243" s="16"/>
      <c r="REP243" s="16"/>
      <c r="REQ243" s="16"/>
      <c r="RER243" s="16"/>
      <c r="RES243" s="15"/>
      <c r="RET243" s="15"/>
      <c r="REU243" s="10"/>
      <c r="REV243" s="10"/>
      <c r="REW243" s="19"/>
      <c r="REX243" s="19"/>
      <c r="RFA243" s="16"/>
      <c r="RFB243" s="15"/>
      <c r="RFC243" s="15"/>
      <c r="RFD243" s="15"/>
      <c r="RFE243" s="16"/>
      <c r="RFF243" s="16"/>
      <c r="RFG243" s="16"/>
      <c r="RFH243" s="16"/>
      <c r="RFI243" s="16"/>
      <c r="RFJ243" s="15"/>
      <c r="RFK243" s="15"/>
      <c r="RFL243" s="10"/>
      <c r="RFM243" s="10"/>
      <c r="RFN243" s="19"/>
      <c r="RFO243" s="19"/>
      <c r="RFR243" s="16"/>
      <c r="RFS243" s="15"/>
      <c r="RFT243" s="15"/>
      <c r="RFU243" s="15"/>
      <c r="RFV243" s="16"/>
      <c r="RFW243" s="16"/>
      <c r="RFX243" s="16"/>
      <c r="RFY243" s="16"/>
      <c r="RFZ243" s="16"/>
      <c r="RGA243" s="15"/>
      <c r="RGB243" s="15"/>
      <c r="RGC243" s="10"/>
      <c r="RGD243" s="10"/>
      <c r="RGE243" s="19"/>
      <c r="RGF243" s="19"/>
      <c r="RGI243" s="16"/>
      <c r="RGJ243" s="15"/>
      <c r="RGK243" s="15"/>
      <c r="RGL243" s="15"/>
      <c r="RGM243" s="16"/>
      <c r="RGN243" s="16"/>
      <c r="RGO243" s="16"/>
      <c r="RGP243" s="16"/>
      <c r="RGQ243" s="16"/>
      <c r="RGR243" s="15"/>
      <c r="RGS243" s="15"/>
      <c r="RGT243" s="10"/>
      <c r="RGU243" s="10"/>
      <c r="RGV243" s="19"/>
      <c r="RGW243" s="19"/>
      <c r="RGZ243" s="16"/>
      <c r="RHA243" s="15"/>
      <c r="RHB243" s="15"/>
      <c r="RHC243" s="15"/>
      <c r="RHD243" s="16"/>
      <c r="RHE243" s="16"/>
      <c r="RHF243" s="16"/>
      <c r="RHG243" s="16"/>
      <c r="RHH243" s="16"/>
      <c r="RHI243" s="15"/>
      <c r="RHJ243" s="15"/>
      <c r="RHK243" s="10"/>
      <c r="RHL243" s="10"/>
      <c r="RHM243" s="19"/>
      <c r="RHN243" s="19"/>
      <c r="RHQ243" s="16"/>
      <c r="RHR243" s="15"/>
      <c r="RHS243" s="15"/>
      <c r="RHT243" s="15"/>
      <c r="RHU243" s="16"/>
      <c r="RHV243" s="16"/>
      <c r="RHW243" s="16"/>
      <c r="RHX243" s="16"/>
      <c r="RHY243" s="16"/>
      <c r="RHZ243" s="15"/>
      <c r="RIA243" s="15"/>
      <c r="RIB243" s="10"/>
      <c r="RIC243" s="10"/>
      <c r="RID243" s="19"/>
      <c r="RIE243" s="19"/>
      <c r="RIH243" s="16"/>
      <c r="RII243" s="15"/>
      <c r="RIJ243" s="15"/>
      <c r="RIK243" s="15"/>
      <c r="RIL243" s="16"/>
      <c r="RIM243" s="16"/>
      <c r="RIN243" s="16"/>
      <c r="RIO243" s="16"/>
      <c r="RIP243" s="16"/>
      <c r="RIQ243" s="15"/>
      <c r="RIR243" s="15"/>
      <c r="RIS243" s="10"/>
      <c r="RIT243" s="10"/>
      <c r="RIU243" s="19"/>
      <c r="RIV243" s="19"/>
      <c r="RIY243" s="16"/>
      <c r="RIZ243" s="15"/>
      <c r="RJA243" s="15"/>
      <c r="RJB243" s="15"/>
      <c r="RJC243" s="16"/>
      <c r="RJD243" s="16"/>
      <c r="RJE243" s="16"/>
      <c r="RJF243" s="16"/>
      <c r="RJG243" s="16"/>
      <c r="RJH243" s="15"/>
      <c r="RJI243" s="15"/>
      <c r="RJJ243" s="10"/>
      <c r="RJK243" s="10"/>
      <c r="RJL243" s="19"/>
      <c r="RJM243" s="19"/>
      <c r="RJP243" s="16"/>
      <c r="RJQ243" s="15"/>
      <c r="RJR243" s="15"/>
      <c r="RJS243" s="15"/>
      <c r="RJT243" s="16"/>
      <c r="RJU243" s="16"/>
      <c r="RJV243" s="16"/>
      <c r="RJW243" s="16"/>
      <c r="RJX243" s="16"/>
      <c r="RJY243" s="15"/>
      <c r="RJZ243" s="15"/>
      <c r="RKA243" s="10"/>
      <c r="RKB243" s="10"/>
      <c r="RKC243" s="19"/>
      <c r="RKD243" s="19"/>
      <c r="RKG243" s="16"/>
      <c r="RKH243" s="15"/>
      <c r="RKI243" s="15"/>
      <c r="RKJ243" s="15"/>
      <c r="RKK243" s="16"/>
      <c r="RKL243" s="16"/>
      <c r="RKM243" s="16"/>
      <c r="RKN243" s="16"/>
      <c r="RKO243" s="16"/>
      <c r="RKP243" s="15"/>
      <c r="RKQ243" s="15"/>
      <c r="RKR243" s="10"/>
      <c r="RKS243" s="10"/>
      <c r="RKT243" s="19"/>
      <c r="RKU243" s="19"/>
      <c r="RKX243" s="16"/>
      <c r="RKY243" s="15"/>
      <c r="RKZ243" s="15"/>
      <c r="RLA243" s="15"/>
      <c r="RLB243" s="16"/>
      <c r="RLC243" s="16"/>
      <c r="RLD243" s="16"/>
      <c r="RLE243" s="16"/>
      <c r="RLF243" s="16"/>
      <c r="RLG243" s="15"/>
      <c r="RLH243" s="15"/>
      <c r="RLI243" s="10"/>
      <c r="RLJ243" s="10"/>
      <c r="RLK243" s="19"/>
      <c r="RLL243" s="19"/>
      <c r="RLO243" s="16"/>
      <c r="RLP243" s="15"/>
      <c r="RLQ243" s="15"/>
      <c r="RLR243" s="15"/>
      <c r="RLS243" s="16"/>
      <c r="RLT243" s="16"/>
      <c r="RLU243" s="16"/>
      <c r="RLV243" s="16"/>
      <c r="RLW243" s="16"/>
      <c r="RLX243" s="15"/>
      <c r="RLY243" s="15"/>
      <c r="RLZ243" s="10"/>
      <c r="RMA243" s="10"/>
      <c r="RMB243" s="19"/>
      <c r="RMC243" s="19"/>
      <c r="RMF243" s="16"/>
      <c r="RMG243" s="15"/>
      <c r="RMH243" s="15"/>
      <c r="RMI243" s="15"/>
      <c r="RMJ243" s="16"/>
      <c r="RMK243" s="16"/>
      <c r="RML243" s="16"/>
      <c r="RMM243" s="16"/>
      <c r="RMN243" s="16"/>
      <c r="RMO243" s="15"/>
      <c r="RMP243" s="15"/>
      <c r="RMQ243" s="10"/>
      <c r="RMR243" s="10"/>
      <c r="RMS243" s="19"/>
      <c r="RMT243" s="19"/>
      <c r="RMW243" s="16"/>
      <c r="RMX243" s="15"/>
      <c r="RMY243" s="15"/>
      <c r="RMZ243" s="15"/>
      <c r="RNA243" s="16"/>
      <c r="RNB243" s="16"/>
      <c r="RNC243" s="16"/>
      <c r="RND243" s="16"/>
      <c r="RNE243" s="16"/>
      <c r="RNF243" s="15"/>
      <c r="RNG243" s="15"/>
      <c r="RNH243" s="10"/>
      <c r="RNI243" s="10"/>
      <c r="RNJ243" s="19"/>
      <c r="RNK243" s="19"/>
      <c r="RNN243" s="16"/>
      <c r="RNO243" s="15"/>
      <c r="RNP243" s="15"/>
      <c r="RNQ243" s="15"/>
      <c r="RNR243" s="16"/>
      <c r="RNS243" s="16"/>
      <c r="RNT243" s="16"/>
      <c r="RNU243" s="16"/>
      <c r="RNV243" s="16"/>
      <c r="RNW243" s="15"/>
      <c r="RNX243" s="15"/>
      <c r="RNY243" s="10"/>
      <c r="RNZ243" s="10"/>
      <c r="ROA243" s="19"/>
      <c r="ROB243" s="19"/>
      <c r="ROE243" s="16"/>
      <c r="ROF243" s="15"/>
      <c r="ROG243" s="15"/>
      <c r="ROH243" s="15"/>
      <c r="ROI243" s="16"/>
      <c r="ROJ243" s="16"/>
      <c r="ROK243" s="16"/>
      <c r="ROL243" s="16"/>
      <c r="ROM243" s="16"/>
      <c r="RON243" s="15"/>
      <c r="ROO243" s="15"/>
      <c r="ROP243" s="10"/>
      <c r="ROQ243" s="10"/>
      <c r="ROR243" s="19"/>
      <c r="ROS243" s="19"/>
      <c r="ROV243" s="16"/>
      <c r="ROW243" s="15"/>
      <c r="ROX243" s="15"/>
      <c r="ROY243" s="15"/>
      <c r="ROZ243" s="16"/>
      <c r="RPA243" s="16"/>
      <c r="RPB243" s="16"/>
      <c r="RPC243" s="16"/>
      <c r="RPD243" s="16"/>
      <c r="RPE243" s="15"/>
      <c r="RPF243" s="15"/>
      <c r="RPG243" s="10"/>
      <c r="RPH243" s="10"/>
      <c r="RPI243" s="19"/>
      <c r="RPJ243" s="19"/>
      <c r="RPM243" s="16"/>
      <c r="RPN243" s="15"/>
      <c r="RPO243" s="15"/>
      <c r="RPP243" s="15"/>
      <c r="RPQ243" s="16"/>
      <c r="RPR243" s="16"/>
      <c r="RPS243" s="16"/>
      <c r="RPT243" s="16"/>
      <c r="RPU243" s="16"/>
      <c r="RPV243" s="15"/>
      <c r="RPW243" s="15"/>
      <c r="RPX243" s="10"/>
      <c r="RPY243" s="10"/>
      <c r="RPZ243" s="19"/>
      <c r="RQA243" s="19"/>
      <c r="RQD243" s="16"/>
      <c r="RQE243" s="15"/>
      <c r="RQF243" s="15"/>
      <c r="RQG243" s="15"/>
      <c r="RQH243" s="16"/>
      <c r="RQI243" s="16"/>
      <c r="RQJ243" s="16"/>
      <c r="RQK243" s="16"/>
      <c r="RQL243" s="16"/>
      <c r="RQM243" s="15"/>
      <c r="RQN243" s="15"/>
      <c r="RQO243" s="10"/>
      <c r="RQP243" s="10"/>
      <c r="RQQ243" s="19"/>
      <c r="RQR243" s="19"/>
      <c r="RQU243" s="16"/>
      <c r="RQV243" s="15"/>
      <c r="RQW243" s="15"/>
      <c r="RQX243" s="15"/>
      <c r="RQY243" s="16"/>
      <c r="RQZ243" s="16"/>
      <c r="RRA243" s="16"/>
      <c r="RRB243" s="16"/>
      <c r="RRC243" s="16"/>
      <c r="RRD243" s="15"/>
      <c r="RRE243" s="15"/>
      <c r="RRF243" s="10"/>
      <c r="RRG243" s="10"/>
      <c r="RRH243" s="19"/>
      <c r="RRI243" s="19"/>
      <c r="RRL243" s="16"/>
      <c r="RRM243" s="15"/>
      <c r="RRN243" s="15"/>
      <c r="RRO243" s="15"/>
      <c r="RRP243" s="16"/>
      <c r="RRQ243" s="16"/>
      <c r="RRR243" s="16"/>
      <c r="RRS243" s="16"/>
      <c r="RRT243" s="16"/>
      <c r="RRU243" s="15"/>
      <c r="RRV243" s="15"/>
      <c r="RRW243" s="10"/>
      <c r="RRX243" s="10"/>
      <c r="RRY243" s="19"/>
      <c r="RRZ243" s="19"/>
      <c r="RSC243" s="16"/>
      <c r="RSD243" s="15"/>
      <c r="RSE243" s="15"/>
      <c r="RSF243" s="15"/>
      <c r="RSG243" s="16"/>
      <c r="RSH243" s="16"/>
      <c r="RSI243" s="16"/>
      <c r="RSJ243" s="16"/>
      <c r="RSK243" s="16"/>
      <c r="RSL243" s="15"/>
      <c r="RSM243" s="15"/>
      <c r="RSN243" s="10"/>
      <c r="RSO243" s="10"/>
      <c r="RSP243" s="19"/>
      <c r="RSQ243" s="19"/>
      <c r="RST243" s="16"/>
      <c r="RSU243" s="15"/>
      <c r="RSV243" s="15"/>
      <c r="RSW243" s="15"/>
      <c r="RSX243" s="16"/>
      <c r="RSY243" s="16"/>
      <c r="RSZ243" s="16"/>
      <c r="RTA243" s="16"/>
      <c r="RTB243" s="16"/>
      <c r="RTC243" s="15"/>
      <c r="RTD243" s="15"/>
      <c r="RTE243" s="10"/>
      <c r="RTF243" s="10"/>
      <c r="RTG243" s="19"/>
      <c r="RTH243" s="19"/>
      <c r="RTK243" s="16"/>
      <c r="RTL243" s="15"/>
      <c r="RTM243" s="15"/>
      <c r="RTN243" s="15"/>
      <c r="RTO243" s="16"/>
      <c r="RTP243" s="16"/>
      <c r="RTQ243" s="16"/>
      <c r="RTR243" s="16"/>
      <c r="RTS243" s="16"/>
      <c r="RTT243" s="15"/>
      <c r="RTU243" s="15"/>
      <c r="RTV243" s="10"/>
      <c r="RTW243" s="10"/>
      <c r="RTX243" s="19"/>
      <c r="RTY243" s="19"/>
      <c r="RUB243" s="16"/>
      <c r="RUC243" s="15"/>
      <c r="RUD243" s="15"/>
      <c r="RUE243" s="15"/>
      <c r="RUF243" s="16"/>
      <c r="RUG243" s="16"/>
      <c r="RUH243" s="16"/>
      <c r="RUI243" s="16"/>
      <c r="RUJ243" s="16"/>
      <c r="RUK243" s="15"/>
      <c r="RUL243" s="15"/>
      <c r="RUM243" s="10"/>
      <c r="RUN243" s="10"/>
      <c r="RUO243" s="19"/>
      <c r="RUP243" s="19"/>
      <c r="RUS243" s="16"/>
      <c r="RUT243" s="15"/>
      <c r="RUU243" s="15"/>
      <c r="RUV243" s="15"/>
      <c r="RUW243" s="16"/>
      <c r="RUX243" s="16"/>
      <c r="RUY243" s="16"/>
      <c r="RUZ243" s="16"/>
      <c r="RVA243" s="16"/>
      <c r="RVB243" s="15"/>
      <c r="RVC243" s="15"/>
      <c r="RVD243" s="10"/>
      <c r="RVE243" s="10"/>
      <c r="RVF243" s="19"/>
      <c r="RVG243" s="19"/>
      <c r="RVJ243" s="16"/>
      <c r="RVK243" s="15"/>
      <c r="RVL243" s="15"/>
      <c r="RVM243" s="15"/>
      <c r="RVN243" s="16"/>
      <c r="RVO243" s="16"/>
      <c r="RVP243" s="16"/>
      <c r="RVQ243" s="16"/>
      <c r="RVR243" s="16"/>
      <c r="RVS243" s="15"/>
      <c r="RVT243" s="15"/>
      <c r="RVU243" s="10"/>
      <c r="RVV243" s="10"/>
      <c r="RVW243" s="19"/>
      <c r="RVX243" s="19"/>
      <c r="RWA243" s="16"/>
      <c r="RWB243" s="15"/>
      <c r="RWC243" s="15"/>
      <c r="RWD243" s="15"/>
      <c r="RWE243" s="16"/>
      <c r="RWF243" s="16"/>
      <c r="RWG243" s="16"/>
      <c r="RWH243" s="16"/>
      <c r="RWI243" s="16"/>
      <c r="RWJ243" s="15"/>
      <c r="RWK243" s="15"/>
      <c r="RWL243" s="10"/>
      <c r="RWM243" s="10"/>
      <c r="RWN243" s="19"/>
      <c r="RWO243" s="19"/>
      <c r="RWR243" s="16"/>
      <c r="RWS243" s="15"/>
      <c r="RWT243" s="15"/>
      <c r="RWU243" s="15"/>
      <c r="RWV243" s="16"/>
      <c r="RWW243" s="16"/>
      <c r="RWX243" s="16"/>
      <c r="RWY243" s="16"/>
      <c r="RWZ243" s="16"/>
      <c r="RXA243" s="15"/>
      <c r="RXB243" s="15"/>
      <c r="RXC243" s="10"/>
      <c r="RXD243" s="10"/>
      <c r="RXE243" s="19"/>
      <c r="RXF243" s="19"/>
      <c r="RXI243" s="16"/>
      <c r="RXJ243" s="15"/>
      <c r="RXK243" s="15"/>
      <c r="RXL243" s="15"/>
      <c r="RXM243" s="16"/>
      <c r="RXN243" s="16"/>
      <c r="RXO243" s="16"/>
      <c r="RXP243" s="16"/>
      <c r="RXQ243" s="16"/>
      <c r="RXR243" s="15"/>
      <c r="RXS243" s="15"/>
      <c r="RXT243" s="10"/>
      <c r="RXU243" s="10"/>
      <c r="RXV243" s="19"/>
      <c r="RXW243" s="19"/>
      <c r="RXZ243" s="16"/>
      <c r="RYA243" s="15"/>
      <c r="RYB243" s="15"/>
      <c r="RYC243" s="15"/>
      <c r="RYD243" s="16"/>
      <c r="RYE243" s="16"/>
      <c r="RYF243" s="16"/>
      <c r="RYG243" s="16"/>
      <c r="RYH243" s="16"/>
      <c r="RYI243" s="15"/>
      <c r="RYJ243" s="15"/>
      <c r="RYK243" s="10"/>
      <c r="RYL243" s="10"/>
      <c r="RYM243" s="19"/>
      <c r="RYN243" s="19"/>
      <c r="RYQ243" s="16"/>
      <c r="RYR243" s="15"/>
      <c r="RYS243" s="15"/>
      <c r="RYT243" s="15"/>
      <c r="RYU243" s="16"/>
      <c r="RYV243" s="16"/>
      <c r="RYW243" s="16"/>
      <c r="RYX243" s="16"/>
      <c r="RYY243" s="16"/>
      <c r="RYZ243" s="15"/>
      <c r="RZA243" s="15"/>
      <c r="RZB243" s="10"/>
      <c r="RZC243" s="10"/>
      <c r="RZD243" s="19"/>
      <c r="RZE243" s="19"/>
      <c r="RZH243" s="16"/>
      <c r="RZI243" s="15"/>
      <c r="RZJ243" s="15"/>
      <c r="RZK243" s="15"/>
      <c r="RZL243" s="16"/>
      <c r="RZM243" s="16"/>
      <c r="RZN243" s="16"/>
      <c r="RZO243" s="16"/>
      <c r="RZP243" s="16"/>
      <c r="RZQ243" s="15"/>
      <c r="RZR243" s="15"/>
      <c r="RZS243" s="10"/>
      <c r="RZT243" s="10"/>
      <c r="RZU243" s="19"/>
      <c r="RZV243" s="19"/>
      <c r="RZY243" s="16"/>
      <c r="RZZ243" s="15"/>
      <c r="SAA243" s="15"/>
      <c r="SAB243" s="15"/>
      <c r="SAC243" s="16"/>
      <c r="SAD243" s="16"/>
      <c r="SAE243" s="16"/>
      <c r="SAF243" s="16"/>
      <c r="SAG243" s="16"/>
      <c r="SAH243" s="15"/>
      <c r="SAI243" s="15"/>
      <c r="SAJ243" s="10"/>
      <c r="SAK243" s="10"/>
      <c r="SAL243" s="19"/>
      <c r="SAM243" s="19"/>
      <c r="SAP243" s="16"/>
      <c r="SAQ243" s="15"/>
      <c r="SAR243" s="15"/>
      <c r="SAS243" s="15"/>
      <c r="SAT243" s="16"/>
      <c r="SAU243" s="16"/>
      <c r="SAV243" s="16"/>
      <c r="SAW243" s="16"/>
      <c r="SAX243" s="16"/>
      <c r="SAY243" s="15"/>
      <c r="SAZ243" s="15"/>
      <c r="SBA243" s="10"/>
      <c r="SBB243" s="10"/>
      <c r="SBC243" s="19"/>
      <c r="SBD243" s="19"/>
      <c r="SBG243" s="16"/>
      <c r="SBH243" s="15"/>
      <c r="SBI243" s="15"/>
      <c r="SBJ243" s="15"/>
      <c r="SBK243" s="16"/>
      <c r="SBL243" s="16"/>
      <c r="SBM243" s="16"/>
      <c r="SBN243" s="16"/>
      <c r="SBO243" s="16"/>
      <c r="SBP243" s="15"/>
      <c r="SBQ243" s="15"/>
      <c r="SBR243" s="10"/>
      <c r="SBS243" s="10"/>
      <c r="SBT243" s="19"/>
      <c r="SBU243" s="19"/>
      <c r="SBX243" s="16"/>
      <c r="SBY243" s="15"/>
      <c r="SBZ243" s="15"/>
      <c r="SCA243" s="15"/>
      <c r="SCB243" s="16"/>
      <c r="SCC243" s="16"/>
      <c r="SCD243" s="16"/>
      <c r="SCE243" s="16"/>
      <c r="SCF243" s="16"/>
      <c r="SCG243" s="15"/>
      <c r="SCH243" s="15"/>
      <c r="SCI243" s="10"/>
      <c r="SCJ243" s="10"/>
      <c r="SCK243" s="19"/>
      <c r="SCL243" s="19"/>
      <c r="SCO243" s="16"/>
      <c r="SCP243" s="15"/>
      <c r="SCQ243" s="15"/>
      <c r="SCR243" s="15"/>
      <c r="SCS243" s="16"/>
      <c r="SCT243" s="16"/>
      <c r="SCU243" s="16"/>
      <c r="SCV243" s="16"/>
      <c r="SCW243" s="16"/>
      <c r="SCX243" s="15"/>
      <c r="SCY243" s="15"/>
      <c r="SCZ243" s="10"/>
      <c r="SDA243" s="10"/>
      <c r="SDB243" s="19"/>
      <c r="SDC243" s="19"/>
      <c r="SDF243" s="16"/>
      <c r="SDG243" s="15"/>
      <c r="SDH243" s="15"/>
      <c r="SDI243" s="15"/>
      <c r="SDJ243" s="16"/>
      <c r="SDK243" s="16"/>
      <c r="SDL243" s="16"/>
      <c r="SDM243" s="16"/>
      <c r="SDN243" s="16"/>
      <c r="SDO243" s="15"/>
      <c r="SDP243" s="15"/>
      <c r="SDQ243" s="10"/>
      <c r="SDR243" s="10"/>
      <c r="SDS243" s="19"/>
      <c r="SDT243" s="19"/>
      <c r="SDW243" s="16"/>
      <c r="SDX243" s="15"/>
      <c r="SDY243" s="15"/>
      <c r="SDZ243" s="15"/>
      <c r="SEA243" s="16"/>
      <c r="SEB243" s="16"/>
      <c r="SEC243" s="16"/>
      <c r="SED243" s="16"/>
      <c r="SEE243" s="16"/>
      <c r="SEF243" s="15"/>
      <c r="SEG243" s="15"/>
      <c r="SEH243" s="10"/>
      <c r="SEI243" s="10"/>
      <c r="SEJ243" s="19"/>
      <c r="SEK243" s="19"/>
      <c r="SEN243" s="16"/>
      <c r="SEO243" s="15"/>
      <c r="SEP243" s="15"/>
      <c r="SEQ243" s="15"/>
      <c r="SER243" s="16"/>
      <c r="SES243" s="16"/>
      <c r="SET243" s="16"/>
      <c r="SEU243" s="16"/>
      <c r="SEV243" s="16"/>
      <c r="SEW243" s="15"/>
      <c r="SEX243" s="15"/>
      <c r="SEY243" s="10"/>
      <c r="SEZ243" s="10"/>
      <c r="SFA243" s="19"/>
      <c r="SFB243" s="19"/>
      <c r="SFE243" s="16"/>
      <c r="SFF243" s="15"/>
      <c r="SFG243" s="15"/>
      <c r="SFH243" s="15"/>
      <c r="SFI243" s="16"/>
      <c r="SFJ243" s="16"/>
      <c r="SFK243" s="16"/>
      <c r="SFL243" s="16"/>
      <c r="SFM243" s="16"/>
      <c r="SFN243" s="15"/>
      <c r="SFO243" s="15"/>
      <c r="SFP243" s="10"/>
      <c r="SFQ243" s="10"/>
      <c r="SFR243" s="19"/>
      <c r="SFS243" s="19"/>
      <c r="SFV243" s="16"/>
      <c r="SFW243" s="15"/>
      <c r="SFX243" s="15"/>
      <c r="SFY243" s="15"/>
      <c r="SFZ243" s="16"/>
      <c r="SGA243" s="16"/>
      <c r="SGB243" s="16"/>
      <c r="SGC243" s="16"/>
      <c r="SGD243" s="16"/>
      <c r="SGE243" s="15"/>
      <c r="SGF243" s="15"/>
      <c r="SGG243" s="10"/>
      <c r="SGH243" s="10"/>
      <c r="SGI243" s="19"/>
      <c r="SGJ243" s="19"/>
      <c r="SGM243" s="16"/>
      <c r="SGN243" s="15"/>
      <c r="SGO243" s="15"/>
      <c r="SGP243" s="15"/>
      <c r="SGQ243" s="16"/>
      <c r="SGR243" s="16"/>
      <c r="SGS243" s="16"/>
      <c r="SGT243" s="16"/>
      <c r="SGU243" s="16"/>
      <c r="SGV243" s="15"/>
      <c r="SGW243" s="15"/>
      <c r="SGX243" s="10"/>
      <c r="SGY243" s="10"/>
      <c r="SGZ243" s="19"/>
      <c r="SHA243" s="19"/>
      <c r="SHD243" s="16"/>
      <c r="SHE243" s="15"/>
      <c r="SHF243" s="15"/>
      <c r="SHG243" s="15"/>
      <c r="SHH243" s="16"/>
      <c r="SHI243" s="16"/>
      <c r="SHJ243" s="16"/>
      <c r="SHK243" s="16"/>
      <c r="SHL243" s="16"/>
      <c r="SHM243" s="15"/>
      <c r="SHN243" s="15"/>
      <c r="SHO243" s="10"/>
      <c r="SHP243" s="10"/>
      <c r="SHQ243" s="19"/>
      <c r="SHR243" s="19"/>
      <c r="SHU243" s="16"/>
      <c r="SHV243" s="15"/>
      <c r="SHW243" s="15"/>
      <c r="SHX243" s="15"/>
      <c r="SHY243" s="16"/>
      <c r="SHZ243" s="16"/>
      <c r="SIA243" s="16"/>
      <c r="SIB243" s="16"/>
      <c r="SIC243" s="16"/>
      <c r="SID243" s="15"/>
      <c r="SIE243" s="15"/>
      <c r="SIF243" s="10"/>
      <c r="SIG243" s="10"/>
      <c r="SIH243" s="19"/>
      <c r="SII243" s="19"/>
      <c r="SIL243" s="16"/>
      <c r="SIM243" s="15"/>
      <c r="SIN243" s="15"/>
      <c r="SIO243" s="15"/>
      <c r="SIP243" s="16"/>
      <c r="SIQ243" s="16"/>
      <c r="SIR243" s="16"/>
      <c r="SIS243" s="16"/>
      <c r="SIT243" s="16"/>
      <c r="SIU243" s="15"/>
      <c r="SIV243" s="15"/>
      <c r="SIW243" s="10"/>
      <c r="SIX243" s="10"/>
      <c r="SIY243" s="19"/>
      <c r="SIZ243" s="19"/>
      <c r="SJC243" s="16"/>
      <c r="SJD243" s="15"/>
      <c r="SJE243" s="15"/>
      <c r="SJF243" s="15"/>
      <c r="SJG243" s="16"/>
      <c r="SJH243" s="16"/>
      <c r="SJI243" s="16"/>
      <c r="SJJ243" s="16"/>
      <c r="SJK243" s="16"/>
      <c r="SJL243" s="15"/>
      <c r="SJM243" s="15"/>
      <c r="SJN243" s="10"/>
      <c r="SJO243" s="10"/>
      <c r="SJP243" s="19"/>
      <c r="SJQ243" s="19"/>
      <c r="SJT243" s="16"/>
      <c r="SJU243" s="15"/>
      <c r="SJV243" s="15"/>
      <c r="SJW243" s="15"/>
      <c r="SJX243" s="16"/>
      <c r="SJY243" s="16"/>
      <c r="SJZ243" s="16"/>
      <c r="SKA243" s="16"/>
      <c r="SKB243" s="16"/>
      <c r="SKC243" s="15"/>
      <c r="SKD243" s="15"/>
      <c r="SKE243" s="10"/>
      <c r="SKF243" s="10"/>
      <c r="SKG243" s="19"/>
      <c r="SKH243" s="19"/>
      <c r="SKK243" s="16"/>
      <c r="SKL243" s="15"/>
      <c r="SKM243" s="15"/>
      <c r="SKN243" s="15"/>
      <c r="SKO243" s="16"/>
      <c r="SKP243" s="16"/>
      <c r="SKQ243" s="16"/>
      <c r="SKR243" s="16"/>
      <c r="SKS243" s="16"/>
      <c r="SKT243" s="15"/>
      <c r="SKU243" s="15"/>
      <c r="SKV243" s="10"/>
      <c r="SKW243" s="10"/>
      <c r="SKX243" s="19"/>
      <c r="SKY243" s="19"/>
      <c r="SLB243" s="16"/>
      <c r="SLC243" s="15"/>
      <c r="SLD243" s="15"/>
      <c r="SLE243" s="15"/>
      <c r="SLF243" s="16"/>
      <c r="SLG243" s="16"/>
      <c r="SLH243" s="16"/>
      <c r="SLI243" s="16"/>
      <c r="SLJ243" s="16"/>
      <c r="SLK243" s="15"/>
      <c r="SLL243" s="15"/>
      <c r="SLM243" s="10"/>
      <c r="SLN243" s="10"/>
      <c r="SLO243" s="19"/>
      <c r="SLP243" s="19"/>
      <c r="SLS243" s="16"/>
      <c r="SLT243" s="15"/>
      <c r="SLU243" s="15"/>
      <c r="SLV243" s="15"/>
      <c r="SLW243" s="16"/>
      <c r="SLX243" s="16"/>
      <c r="SLY243" s="16"/>
      <c r="SLZ243" s="16"/>
      <c r="SMA243" s="16"/>
      <c r="SMB243" s="15"/>
      <c r="SMC243" s="15"/>
      <c r="SMD243" s="10"/>
      <c r="SME243" s="10"/>
      <c r="SMF243" s="19"/>
      <c r="SMG243" s="19"/>
      <c r="SMJ243" s="16"/>
      <c r="SMK243" s="15"/>
      <c r="SML243" s="15"/>
      <c r="SMM243" s="15"/>
      <c r="SMN243" s="16"/>
      <c r="SMO243" s="16"/>
      <c r="SMP243" s="16"/>
      <c r="SMQ243" s="16"/>
      <c r="SMR243" s="16"/>
      <c r="SMS243" s="15"/>
      <c r="SMT243" s="15"/>
      <c r="SMU243" s="10"/>
      <c r="SMV243" s="10"/>
      <c r="SMW243" s="19"/>
      <c r="SMX243" s="19"/>
      <c r="SNA243" s="16"/>
      <c r="SNB243" s="15"/>
      <c r="SNC243" s="15"/>
      <c r="SND243" s="15"/>
      <c r="SNE243" s="16"/>
      <c r="SNF243" s="16"/>
      <c r="SNG243" s="16"/>
      <c r="SNH243" s="16"/>
      <c r="SNI243" s="16"/>
      <c r="SNJ243" s="15"/>
      <c r="SNK243" s="15"/>
      <c r="SNL243" s="10"/>
      <c r="SNM243" s="10"/>
      <c r="SNN243" s="19"/>
      <c r="SNO243" s="19"/>
      <c r="SNR243" s="16"/>
      <c r="SNS243" s="15"/>
      <c r="SNT243" s="15"/>
      <c r="SNU243" s="15"/>
      <c r="SNV243" s="16"/>
      <c r="SNW243" s="16"/>
      <c r="SNX243" s="16"/>
      <c r="SNY243" s="16"/>
      <c r="SNZ243" s="16"/>
      <c r="SOA243" s="15"/>
      <c r="SOB243" s="15"/>
      <c r="SOC243" s="10"/>
      <c r="SOD243" s="10"/>
      <c r="SOE243" s="19"/>
      <c r="SOF243" s="19"/>
      <c r="SOI243" s="16"/>
      <c r="SOJ243" s="15"/>
      <c r="SOK243" s="15"/>
      <c r="SOL243" s="15"/>
      <c r="SOM243" s="16"/>
      <c r="SON243" s="16"/>
      <c r="SOO243" s="16"/>
      <c r="SOP243" s="16"/>
      <c r="SOQ243" s="16"/>
      <c r="SOR243" s="15"/>
      <c r="SOS243" s="15"/>
      <c r="SOT243" s="10"/>
      <c r="SOU243" s="10"/>
      <c r="SOV243" s="19"/>
      <c r="SOW243" s="19"/>
      <c r="SOZ243" s="16"/>
      <c r="SPA243" s="15"/>
      <c r="SPB243" s="15"/>
      <c r="SPC243" s="15"/>
      <c r="SPD243" s="16"/>
      <c r="SPE243" s="16"/>
      <c r="SPF243" s="16"/>
      <c r="SPG243" s="16"/>
      <c r="SPH243" s="16"/>
      <c r="SPI243" s="15"/>
      <c r="SPJ243" s="15"/>
      <c r="SPK243" s="10"/>
      <c r="SPL243" s="10"/>
      <c r="SPM243" s="19"/>
      <c r="SPN243" s="19"/>
      <c r="SPQ243" s="16"/>
      <c r="SPR243" s="15"/>
      <c r="SPS243" s="15"/>
      <c r="SPT243" s="15"/>
      <c r="SPU243" s="16"/>
      <c r="SPV243" s="16"/>
      <c r="SPW243" s="16"/>
      <c r="SPX243" s="16"/>
      <c r="SPY243" s="16"/>
      <c r="SPZ243" s="15"/>
      <c r="SQA243" s="15"/>
      <c r="SQB243" s="10"/>
      <c r="SQC243" s="10"/>
      <c r="SQD243" s="19"/>
      <c r="SQE243" s="19"/>
      <c r="SQH243" s="16"/>
      <c r="SQI243" s="15"/>
      <c r="SQJ243" s="15"/>
      <c r="SQK243" s="15"/>
      <c r="SQL243" s="16"/>
      <c r="SQM243" s="16"/>
      <c r="SQN243" s="16"/>
      <c r="SQO243" s="16"/>
      <c r="SQP243" s="16"/>
      <c r="SQQ243" s="15"/>
      <c r="SQR243" s="15"/>
      <c r="SQS243" s="10"/>
      <c r="SQT243" s="10"/>
      <c r="SQU243" s="19"/>
      <c r="SQV243" s="19"/>
      <c r="SQY243" s="16"/>
      <c r="SQZ243" s="15"/>
      <c r="SRA243" s="15"/>
      <c r="SRB243" s="15"/>
      <c r="SRC243" s="16"/>
      <c r="SRD243" s="16"/>
      <c r="SRE243" s="16"/>
      <c r="SRF243" s="16"/>
      <c r="SRG243" s="16"/>
      <c r="SRH243" s="15"/>
      <c r="SRI243" s="15"/>
      <c r="SRJ243" s="10"/>
      <c r="SRK243" s="10"/>
      <c r="SRL243" s="19"/>
      <c r="SRM243" s="19"/>
      <c r="SRP243" s="16"/>
      <c r="SRQ243" s="15"/>
      <c r="SRR243" s="15"/>
      <c r="SRS243" s="15"/>
      <c r="SRT243" s="16"/>
      <c r="SRU243" s="16"/>
      <c r="SRV243" s="16"/>
      <c r="SRW243" s="16"/>
      <c r="SRX243" s="16"/>
      <c r="SRY243" s="15"/>
      <c r="SRZ243" s="15"/>
      <c r="SSA243" s="10"/>
      <c r="SSB243" s="10"/>
      <c r="SSC243" s="19"/>
      <c r="SSD243" s="19"/>
      <c r="SSG243" s="16"/>
      <c r="SSH243" s="15"/>
      <c r="SSI243" s="15"/>
      <c r="SSJ243" s="15"/>
      <c r="SSK243" s="16"/>
      <c r="SSL243" s="16"/>
      <c r="SSM243" s="16"/>
      <c r="SSN243" s="16"/>
      <c r="SSO243" s="16"/>
      <c r="SSP243" s="15"/>
      <c r="SSQ243" s="15"/>
      <c r="SSR243" s="10"/>
      <c r="SSS243" s="10"/>
      <c r="SST243" s="19"/>
      <c r="SSU243" s="19"/>
      <c r="SSX243" s="16"/>
      <c r="SSY243" s="15"/>
      <c r="SSZ243" s="15"/>
      <c r="STA243" s="15"/>
      <c r="STB243" s="16"/>
      <c r="STC243" s="16"/>
      <c r="STD243" s="16"/>
      <c r="STE243" s="16"/>
      <c r="STF243" s="16"/>
      <c r="STG243" s="15"/>
      <c r="STH243" s="15"/>
      <c r="STI243" s="10"/>
      <c r="STJ243" s="10"/>
      <c r="STK243" s="19"/>
      <c r="STL243" s="19"/>
      <c r="STO243" s="16"/>
      <c r="STP243" s="15"/>
      <c r="STQ243" s="15"/>
      <c r="STR243" s="15"/>
      <c r="STS243" s="16"/>
      <c r="STT243" s="16"/>
      <c r="STU243" s="16"/>
      <c r="STV243" s="16"/>
      <c r="STW243" s="16"/>
      <c r="STX243" s="15"/>
      <c r="STY243" s="15"/>
      <c r="STZ243" s="10"/>
      <c r="SUA243" s="10"/>
      <c r="SUB243" s="19"/>
      <c r="SUC243" s="19"/>
      <c r="SUF243" s="16"/>
      <c r="SUG243" s="15"/>
      <c r="SUH243" s="15"/>
      <c r="SUI243" s="15"/>
      <c r="SUJ243" s="16"/>
      <c r="SUK243" s="16"/>
      <c r="SUL243" s="16"/>
      <c r="SUM243" s="16"/>
      <c r="SUN243" s="16"/>
      <c r="SUO243" s="15"/>
      <c r="SUP243" s="15"/>
      <c r="SUQ243" s="10"/>
      <c r="SUR243" s="10"/>
      <c r="SUS243" s="19"/>
      <c r="SUT243" s="19"/>
      <c r="SUW243" s="16"/>
      <c r="SUX243" s="15"/>
      <c r="SUY243" s="15"/>
      <c r="SUZ243" s="15"/>
      <c r="SVA243" s="16"/>
      <c r="SVB243" s="16"/>
      <c r="SVC243" s="16"/>
      <c r="SVD243" s="16"/>
      <c r="SVE243" s="16"/>
      <c r="SVF243" s="15"/>
      <c r="SVG243" s="15"/>
      <c r="SVH243" s="10"/>
      <c r="SVI243" s="10"/>
      <c r="SVJ243" s="19"/>
      <c r="SVK243" s="19"/>
      <c r="SVN243" s="16"/>
      <c r="SVO243" s="15"/>
      <c r="SVP243" s="15"/>
      <c r="SVQ243" s="15"/>
      <c r="SVR243" s="16"/>
      <c r="SVS243" s="16"/>
      <c r="SVT243" s="16"/>
      <c r="SVU243" s="16"/>
      <c r="SVV243" s="16"/>
      <c r="SVW243" s="15"/>
      <c r="SVX243" s="15"/>
      <c r="SVY243" s="10"/>
      <c r="SVZ243" s="10"/>
      <c r="SWA243" s="19"/>
      <c r="SWB243" s="19"/>
      <c r="SWE243" s="16"/>
      <c r="SWF243" s="15"/>
      <c r="SWG243" s="15"/>
      <c r="SWH243" s="15"/>
      <c r="SWI243" s="16"/>
      <c r="SWJ243" s="16"/>
      <c r="SWK243" s="16"/>
      <c r="SWL243" s="16"/>
      <c r="SWM243" s="16"/>
      <c r="SWN243" s="15"/>
      <c r="SWO243" s="15"/>
      <c r="SWP243" s="10"/>
      <c r="SWQ243" s="10"/>
      <c r="SWR243" s="19"/>
      <c r="SWS243" s="19"/>
      <c r="SWV243" s="16"/>
      <c r="SWW243" s="15"/>
      <c r="SWX243" s="15"/>
      <c r="SWY243" s="15"/>
      <c r="SWZ243" s="16"/>
      <c r="SXA243" s="16"/>
      <c r="SXB243" s="16"/>
      <c r="SXC243" s="16"/>
      <c r="SXD243" s="16"/>
      <c r="SXE243" s="15"/>
      <c r="SXF243" s="15"/>
      <c r="SXG243" s="10"/>
      <c r="SXH243" s="10"/>
      <c r="SXI243" s="19"/>
      <c r="SXJ243" s="19"/>
      <c r="SXM243" s="16"/>
      <c r="SXN243" s="15"/>
      <c r="SXO243" s="15"/>
      <c r="SXP243" s="15"/>
      <c r="SXQ243" s="16"/>
      <c r="SXR243" s="16"/>
      <c r="SXS243" s="16"/>
      <c r="SXT243" s="16"/>
      <c r="SXU243" s="16"/>
      <c r="SXV243" s="15"/>
      <c r="SXW243" s="15"/>
      <c r="SXX243" s="10"/>
      <c r="SXY243" s="10"/>
      <c r="SXZ243" s="19"/>
      <c r="SYA243" s="19"/>
      <c r="SYD243" s="16"/>
      <c r="SYE243" s="15"/>
      <c r="SYF243" s="15"/>
      <c r="SYG243" s="15"/>
      <c r="SYH243" s="16"/>
      <c r="SYI243" s="16"/>
      <c r="SYJ243" s="16"/>
      <c r="SYK243" s="16"/>
      <c r="SYL243" s="16"/>
      <c r="SYM243" s="15"/>
      <c r="SYN243" s="15"/>
      <c r="SYO243" s="10"/>
      <c r="SYP243" s="10"/>
      <c r="SYQ243" s="19"/>
      <c r="SYR243" s="19"/>
      <c r="SYU243" s="16"/>
      <c r="SYV243" s="15"/>
      <c r="SYW243" s="15"/>
      <c r="SYX243" s="15"/>
      <c r="SYY243" s="16"/>
      <c r="SYZ243" s="16"/>
      <c r="SZA243" s="16"/>
      <c r="SZB243" s="16"/>
      <c r="SZC243" s="16"/>
      <c r="SZD243" s="15"/>
      <c r="SZE243" s="15"/>
      <c r="SZF243" s="10"/>
      <c r="SZG243" s="10"/>
      <c r="SZH243" s="19"/>
      <c r="SZI243" s="19"/>
      <c r="SZL243" s="16"/>
      <c r="SZM243" s="15"/>
      <c r="SZN243" s="15"/>
      <c r="SZO243" s="15"/>
      <c r="SZP243" s="16"/>
      <c r="SZQ243" s="16"/>
      <c r="SZR243" s="16"/>
      <c r="SZS243" s="16"/>
      <c r="SZT243" s="16"/>
      <c r="SZU243" s="15"/>
      <c r="SZV243" s="15"/>
      <c r="SZW243" s="10"/>
      <c r="SZX243" s="10"/>
      <c r="SZY243" s="19"/>
      <c r="SZZ243" s="19"/>
      <c r="TAC243" s="16"/>
      <c r="TAD243" s="15"/>
      <c r="TAE243" s="15"/>
      <c r="TAF243" s="15"/>
      <c r="TAG243" s="16"/>
      <c r="TAH243" s="16"/>
      <c r="TAI243" s="16"/>
      <c r="TAJ243" s="16"/>
      <c r="TAK243" s="16"/>
      <c r="TAL243" s="15"/>
      <c r="TAM243" s="15"/>
      <c r="TAN243" s="10"/>
      <c r="TAO243" s="10"/>
      <c r="TAP243" s="19"/>
      <c r="TAQ243" s="19"/>
      <c r="TAT243" s="16"/>
      <c r="TAU243" s="15"/>
      <c r="TAV243" s="15"/>
      <c r="TAW243" s="15"/>
      <c r="TAX243" s="16"/>
      <c r="TAY243" s="16"/>
      <c r="TAZ243" s="16"/>
      <c r="TBA243" s="16"/>
      <c r="TBB243" s="16"/>
      <c r="TBC243" s="15"/>
      <c r="TBD243" s="15"/>
      <c r="TBE243" s="10"/>
      <c r="TBF243" s="10"/>
      <c r="TBG243" s="19"/>
      <c r="TBH243" s="19"/>
      <c r="TBK243" s="16"/>
      <c r="TBL243" s="15"/>
      <c r="TBM243" s="15"/>
      <c r="TBN243" s="15"/>
      <c r="TBO243" s="16"/>
      <c r="TBP243" s="16"/>
      <c r="TBQ243" s="16"/>
      <c r="TBR243" s="16"/>
      <c r="TBS243" s="16"/>
      <c r="TBT243" s="15"/>
      <c r="TBU243" s="15"/>
      <c r="TBV243" s="10"/>
      <c r="TBW243" s="10"/>
      <c r="TBX243" s="19"/>
      <c r="TBY243" s="19"/>
      <c r="TCB243" s="16"/>
      <c r="TCC243" s="15"/>
      <c r="TCD243" s="15"/>
      <c r="TCE243" s="15"/>
      <c r="TCF243" s="16"/>
      <c r="TCG243" s="16"/>
      <c r="TCH243" s="16"/>
      <c r="TCI243" s="16"/>
      <c r="TCJ243" s="16"/>
      <c r="TCK243" s="15"/>
      <c r="TCL243" s="15"/>
      <c r="TCM243" s="10"/>
      <c r="TCN243" s="10"/>
      <c r="TCO243" s="19"/>
      <c r="TCP243" s="19"/>
      <c r="TCS243" s="16"/>
      <c r="TCT243" s="15"/>
      <c r="TCU243" s="15"/>
      <c r="TCV243" s="15"/>
      <c r="TCW243" s="16"/>
      <c r="TCX243" s="16"/>
      <c r="TCY243" s="16"/>
      <c r="TCZ243" s="16"/>
      <c r="TDA243" s="16"/>
      <c r="TDB243" s="15"/>
      <c r="TDC243" s="15"/>
      <c r="TDD243" s="10"/>
      <c r="TDE243" s="10"/>
      <c r="TDF243" s="19"/>
      <c r="TDG243" s="19"/>
      <c r="TDJ243" s="16"/>
      <c r="TDK243" s="15"/>
      <c r="TDL243" s="15"/>
      <c r="TDM243" s="15"/>
      <c r="TDN243" s="16"/>
      <c r="TDO243" s="16"/>
      <c r="TDP243" s="16"/>
      <c r="TDQ243" s="16"/>
      <c r="TDR243" s="16"/>
      <c r="TDS243" s="15"/>
      <c r="TDT243" s="15"/>
      <c r="TDU243" s="10"/>
      <c r="TDV243" s="10"/>
      <c r="TDW243" s="19"/>
      <c r="TDX243" s="19"/>
      <c r="TEA243" s="16"/>
      <c r="TEB243" s="15"/>
      <c r="TEC243" s="15"/>
      <c r="TED243" s="15"/>
      <c r="TEE243" s="16"/>
      <c r="TEF243" s="16"/>
      <c r="TEG243" s="16"/>
      <c r="TEH243" s="16"/>
      <c r="TEI243" s="16"/>
      <c r="TEJ243" s="15"/>
      <c r="TEK243" s="15"/>
      <c r="TEL243" s="10"/>
      <c r="TEM243" s="10"/>
      <c r="TEN243" s="19"/>
      <c r="TEO243" s="19"/>
      <c r="TER243" s="16"/>
      <c r="TES243" s="15"/>
      <c r="TET243" s="15"/>
      <c r="TEU243" s="15"/>
      <c r="TEV243" s="16"/>
      <c r="TEW243" s="16"/>
      <c r="TEX243" s="16"/>
      <c r="TEY243" s="16"/>
      <c r="TEZ243" s="16"/>
      <c r="TFA243" s="15"/>
      <c r="TFB243" s="15"/>
      <c r="TFC243" s="10"/>
      <c r="TFD243" s="10"/>
      <c r="TFE243" s="19"/>
      <c r="TFF243" s="19"/>
      <c r="TFI243" s="16"/>
      <c r="TFJ243" s="15"/>
      <c r="TFK243" s="15"/>
      <c r="TFL243" s="15"/>
      <c r="TFM243" s="16"/>
      <c r="TFN243" s="16"/>
      <c r="TFO243" s="16"/>
      <c r="TFP243" s="16"/>
      <c r="TFQ243" s="16"/>
      <c r="TFR243" s="15"/>
      <c r="TFS243" s="15"/>
      <c r="TFT243" s="10"/>
      <c r="TFU243" s="10"/>
      <c r="TFV243" s="19"/>
      <c r="TFW243" s="19"/>
      <c r="TFZ243" s="16"/>
      <c r="TGA243" s="15"/>
      <c r="TGB243" s="15"/>
      <c r="TGC243" s="15"/>
      <c r="TGD243" s="16"/>
      <c r="TGE243" s="16"/>
      <c r="TGF243" s="16"/>
      <c r="TGG243" s="16"/>
      <c r="TGH243" s="16"/>
      <c r="TGI243" s="15"/>
      <c r="TGJ243" s="15"/>
      <c r="TGK243" s="10"/>
      <c r="TGL243" s="10"/>
      <c r="TGM243" s="19"/>
      <c r="TGN243" s="19"/>
      <c r="TGQ243" s="16"/>
      <c r="TGR243" s="15"/>
      <c r="TGS243" s="15"/>
      <c r="TGT243" s="15"/>
      <c r="TGU243" s="16"/>
      <c r="TGV243" s="16"/>
      <c r="TGW243" s="16"/>
      <c r="TGX243" s="16"/>
      <c r="TGY243" s="16"/>
      <c r="TGZ243" s="15"/>
      <c r="THA243" s="15"/>
      <c r="THB243" s="10"/>
      <c r="THC243" s="10"/>
      <c r="THD243" s="19"/>
      <c r="THE243" s="19"/>
      <c r="THH243" s="16"/>
      <c r="THI243" s="15"/>
      <c r="THJ243" s="15"/>
      <c r="THK243" s="15"/>
      <c r="THL243" s="16"/>
      <c r="THM243" s="16"/>
      <c r="THN243" s="16"/>
      <c r="THO243" s="16"/>
      <c r="THP243" s="16"/>
      <c r="THQ243" s="15"/>
      <c r="THR243" s="15"/>
      <c r="THS243" s="10"/>
      <c r="THT243" s="10"/>
      <c r="THU243" s="19"/>
      <c r="THV243" s="19"/>
      <c r="THY243" s="16"/>
      <c r="THZ243" s="15"/>
      <c r="TIA243" s="15"/>
      <c r="TIB243" s="15"/>
      <c r="TIC243" s="16"/>
      <c r="TID243" s="16"/>
      <c r="TIE243" s="16"/>
      <c r="TIF243" s="16"/>
      <c r="TIG243" s="16"/>
      <c r="TIH243" s="15"/>
      <c r="TII243" s="15"/>
      <c r="TIJ243" s="10"/>
      <c r="TIK243" s="10"/>
      <c r="TIL243" s="19"/>
      <c r="TIM243" s="19"/>
      <c r="TIP243" s="16"/>
      <c r="TIQ243" s="15"/>
      <c r="TIR243" s="15"/>
      <c r="TIS243" s="15"/>
      <c r="TIT243" s="16"/>
      <c r="TIU243" s="16"/>
      <c r="TIV243" s="16"/>
      <c r="TIW243" s="16"/>
      <c r="TIX243" s="16"/>
      <c r="TIY243" s="15"/>
      <c r="TIZ243" s="15"/>
      <c r="TJA243" s="10"/>
      <c r="TJB243" s="10"/>
      <c r="TJC243" s="19"/>
      <c r="TJD243" s="19"/>
      <c r="TJG243" s="16"/>
      <c r="TJH243" s="15"/>
      <c r="TJI243" s="15"/>
      <c r="TJJ243" s="15"/>
      <c r="TJK243" s="16"/>
      <c r="TJL243" s="16"/>
      <c r="TJM243" s="16"/>
      <c r="TJN243" s="16"/>
      <c r="TJO243" s="16"/>
      <c r="TJP243" s="15"/>
      <c r="TJQ243" s="15"/>
      <c r="TJR243" s="10"/>
      <c r="TJS243" s="10"/>
      <c r="TJT243" s="19"/>
      <c r="TJU243" s="19"/>
      <c r="TJX243" s="16"/>
      <c r="TJY243" s="15"/>
      <c r="TJZ243" s="15"/>
      <c r="TKA243" s="15"/>
      <c r="TKB243" s="16"/>
      <c r="TKC243" s="16"/>
      <c r="TKD243" s="16"/>
      <c r="TKE243" s="16"/>
      <c r="TKF243" s="16"/>
      <c r="TKG243" s="15"/>
      <c r="TKH243" s="15"/>
      <c r="TKI243" s="10"/>
      <c r="TKJ243" s="10"/>
      <c r="TKK243" s="19"/>
      <c r="TKL243" s="19"/>
      <c r="TKO243" s="16"/>
      <c r="TKP243" s="15"/>
      <c r="TKQ243" s="15"/>
      <c r="TKR243" s="15"/>
      <c r="TKS243" s="16"/>
      <c r="TKT243" s="16"/>
      <c r="TKU243" s="16"/>
      <c r="TKV243" s="16"/>
      <c r="TKW243" s="16"/>
      <c r="TKX243" s="15"/>
      <c r="TKY243" s="15"/>
      <c r="TKZ243" s="10"/>
      <c r="TLA243" s="10"/>
      <c r="TLB243" s="19"/>
      <c r="TLC243" s="19"/>
      <c r="TLF243" s="16"/>
      <c r="TLG243" s="15"/>
      <c r="TLH243" s="15"/>
      <c r="TLI243" s="15"/>
      <c r="TLJ243" s="16"/>
      <c r="TLK243" s="16"/>
      <c r="TLL243" s="16"/>
      <c r="TLM243" s="16"/>
      <c r="TLN243" s="16"/>
      <c r="TLO243" s="15"/>
      <c r="TLP243" s="15"/>
      <c r="TLQ243" s="10"/>
      <c r="TLR243" s="10"/>
      <c r="TLS243" s="19"/>
      <c r="TLT243" s="19"/>
      <c r="TLW243" s="16"/>
      <c r="TLX243" s="15"/>
      <c r="TLY243" s="15"/>
      <c r="TLZ243" s="15"/>
      <c r="TMA243" s="16"/>
      <c r="TMB243" s="16"/>
      <c r="TMC243" s="16"/>
      <c r="TMD243" s="16"/>
      <c r="TME243" s="16"/>
      <c r="TMF243" s="15"/>
      <c r="TMG243" s="15"/>
      <c r="TMH243" s="10"/>
      <c r="TMI243" s="10"/>
      <c r="TMJ243" s="19"/>
      <c r="TMK243" s="19"/>
      <c r="TMN243" s="16"/>
      <c r="TMO243" s="15"/>
      <c r="TMP243" s="15"/>
      <c r="TMQ243" s="15"/>
      <c r="TMR243" s="16"/>
      <c r="TMS243" s="16"/>
      <c r="TMT243" s="16"/>
      <c r="TMU243" s="16"/>
      <c r="TMV243" s="16"/>
      <c r="TMW243" s="15"/>
      <c r="TMX243" s="15"/>
      <c r="TMY243" s="10"/>
      <c r="TMZ243" s="10"/>
      <c r="TNA243" s="19"/>
      <c r="TNB243" s="19"/>
      <c r="TNE243" s="16"/>
      <c r="TNF243" s="15"/>
      <c r="TNG243" s="15"/>
      <c r="TNH243" s="15"/>
      <c r="TNI243" s="16"/>
      <c r="TNJ243" s="16"/>
      <c r="TNK243" s="16"/>
      <c r="TNL243" s="16"/>
      <c r="TNM243" s="16"/>
      <c r="TNN243" s="15"/>
      <c r="TNO243" s="15"/>
      <c r="TNP243" s="10"/>
      <c r="TNQ243" s="10"/>
      <c r="TNR243" s="19"/>
      <c r="TNS243" s="19"/>
      <c r="TNV243" s="16"/>
      <c r="TNW243" s="15"/>
      <c r="TNX243" s="15"/>
      <c r="TNY243" s="15"/>
      <c r="TNZ243" s="16"/>
      <c r="TOA243" s="16"/>
      <c r="TOB243" s="16"/>
      <c r="TOC243" s="16"/>
      <c r="TOD243" s="16"/>
      <c r="TOE243" s="15"/>
      <c r="TOF243" s="15"/>
      <c r="TOG243" s="10"/>
      <c r="TOH243" s="10"/>
      <c r="TOI243" s="19"/>
      <c r="TOJ243" s="19"/>
      <c r="TOM243" s="16"/>
      <c r="TON243" s="15"/>
      <c r="TOO243" s="15"/>
      <c r="TOP243" s="15"/>
      <c r="TOQ243" s="16"/>
      <c r="TOR243" s="16"/>
      <c r="TOS243" s="16"/>
      <c r="TOT243" s="16"/>
      <c r="TOU243" s="16"/>
      <c r="TOV243" s="15"/>
      <c r="TOW243" s="15"/>
      <c r="TOX243" s="10"/>
      <c r="TOY243" s="10"/>
      <c r="TOZ243" s="19"/>
      <c r="TPA243" s="19"/>
      <c r="TPD243" s="16"/>
      <c r="TPE243" s="15"/>
      <c r="TPF243" s="15"/>
      <c r="TPG243" s="15"/>
      <c r="TPH243" s="16"/>
      <c r="TPI243" s="16"/>
      <c r="TPJ243" s="16"/>
      <c r="TPK243" s="16"/>
      <c r="TPL243" s="16"/>
      <c r="TPM243" s="15"/>
      <c r="TPN243" s="15"/>
      <c r="TPO243" s="10"/>
      <c r="TPP243" s="10"/>
      <c r="TPQ243" s="19"/>
      <c r="TPR243" s="19"/>
      <c r="TPU243" s="16"/>
      <c r="TPV243" s="15"/>
      <c r="TPW243" s="15"/>
      <c r="TPX243" s="15"/>
      <c r="TPY243" s="16"/>
      <c r="TPZ243" s="16"/>
      <c r="TQA243" s="16"/>
      <c r="TQB243" s="16"/>
      <c r="TQC243" s="16"/>
      <c r="TQD243" s="15"/>
      <c r="TQE243" s="15"/>
      <c r="TQF243" s="10"/>
      <c r="TQG243" s="10"/>
      <c r="TQH243" s="19"/>
      <c r="TQI243" s="19"/>
      <c r="TQL243" s="16"/>
      <c r="TQM243" s="15"/>
      <c r="TQN243" s="15"/>
      <c r="TQO243" s="15"/>
      <c r="TQP243" s="16"/>
      <c r="TQQ243" s="16"/>
      <c r="TQR243" s="16"/>
      <c r="TQS243" s="16"/>
      <c r="TQT243" s="16"/>
      <c r="TQU243" s="15"/>
      <c r="TQV243" s="15"/>
      <c r="TQW243" s="10"/>
      <c r="TQX243" s="10"/>
      <c r="TQY243" s="19"/>
      <c r="TQZ243" s="19"/>
      <c r="TRC243" s="16"/>
      <c r="TRD243" s="15"/>
      <c r="TRE243" s="15"/>
      <c r="TRF243" s="15"/>
      <c r="TRG243" s="16"/>
      <c r="TRH243" s="16"/>
      <c r="TRI243" s="16"/>
      <c r="TRJ243" s="16"/>
      <c r="TRK243" s="16"/>
      <c r="TRL243" s="15"/>
      <c r="TRM243" s="15"/>
      <c r="TRN243" s="10"/>
      <c r="TRO243" s="10"/>
      <c r="TRP243" s="19"/>
      <c r="TRQ243" s="19"/>
      <c r="TRT243" s="16"/>
      <c r="TRU243" s="15"/>
      <c r="TRV243" s="15"/>
      <c r="TRW243" s="15"/>
      <c r="TRX243" s="16"/>
      <c r="TRY243" s="16"/>
      <c r="TRZ243" s="16"/>
      <c r="TSA243" s="16"/>
      <c r="TSB243" s="16"/>
      <c r="TSC243" s="15"/>
      <c r="TSD243" s="15"/>
      <c r="TSE243" s="10"/>
      <c r="TSF243" s="10"/>
      <c r="TSG243" s="19"/>
      <c r="TSH243" s="19"/>
      <c r="TSK243" s="16"/>
      <c r="TSL243" s="15"/>
      <c r="TSM243" s="15"/>
      <c r="TSN243" s="15"/>
      <c r="TSO243" s="16"/>
      <c r="TSP243" s="16"/>
      <c r="TSQ243" s="16"/>
      <c r="TSR243" s="16"/>
      <c r="TSS243" s="16"/>
      <c r="TST243" s="15"/>
      <c r="TSU243" s="15"/>
      <c r="TSV243" s="10"/>
      <c r="TSW243" s="10"/>
      <c r="TSX243" s="19"/>
      <c r="TSY243" s="19"/>
      <c r="TTB243" s="16"/>
      <c r="TTC243" s="15"/>
      <c r="TTD243" s="15"/>
      <c r="TTE243" s="15"/>
      <c r="TTF243" s="16"/>
      <c r="TTG243" s="16"/>
      <c r="TTH243" s="16"/>
      <c r="TTI243" s="16"/>
      <c r="TTJ243" s="16"/>
      <c r="TTK243" s="15"/>
      <c r="TTL243" s="15"/>
      <c r="TTM243" s="10"/>
      <c r="TTN243" s="10"/>
      <c r="TTO243" s="19"/>
      <c r="TTP243" s="19"/>
      <c r="TTS243" s="16"/>
      <c r="TTT243" s="15"/>
      <c r="TTU243" s="15"/>
      <c r="TTV243" s="15"/>
      <c r="TTW243" s="16"/>
      <c r="TTX243" s="16"/>
      <c r="TTY243" s="16"/>
      <c r="TTZ243" s="16"/>
      <c r="TUA243" s="16"/>
      <c r="TUB243" s="15"/>
      <c r="TUC243" s="15"/>
      <c r="TUD243" s="10"/>
      <c r="TUE243" s="10"/>
      <c r="TUF243" s="19"/>
      <c r="TUG243" s="19"/>
      <c r="TUJ243" s="16"/>
      <c r="TUK243" s="15"/>
      <c r="TUL243" s="15"/>
      <c r="TUM243" s="15"/>
      <c r="TUN243" s="16"/>
      <c r="TUO243" s="16"/>
      <c r="TUP243" s="16"/>
      <c r="TUQ243" s="16"/>
      <c r="TUR243" s="16"/>
      <c r="TUS243" s="15"/>
      <c r="TUT243" s="15"/>
      <c r="TUU243" s="10"/>
      <c r="TUV243" s="10"/>
      <c r="TUW243" s="19"/>
      <c r="TUX243" s="19"/>
      <c r="TVA243" s="16"/>
      <c r="TVB243" s="15"/>
      <c r="TVC243" s="15"/>
      <c r="TVD243" s="15"/>
      <c r="TVE243" s="16"/>
      <c r="TVF243" s="16"/>
      <c r="TVG243" s="16"/>
      <c r="TVH243" s="16"/>
      <c r="TVI243" s="16"/>
      <c r="TVJ243" s="15"/>
      <c r="TVK243" s="15"/>
      <c r="TVL243" s="10"/>
      <c r="TVM243" s="10"/>
      <c r="TVN243" s="19"/>
      <c r="TVO243" s="19"/>
      <c r="TVR243" s="16"/>
      <c r="TVS243" s="15"/>
      <c r="TVT243" s="15"/>
      <c r="TVU243" s="15"/>
      <c r="TVV243" s="16"/>
      <c r="TVW243" s="16"/>
      <c r="TVX243" s="16"/>
      <c r="TVY243" s="16"/>
      <c r="TVZ243" s="16"/>
      <c r="TWA243" s="15"/>
      <c r="TWB243" s="15"/>
      <c r="TWC243" s="10"/>
      <c r="TWD243" s="10"/>
      <c r="TWE243" s="19"/>
      <c r="TWF243" s="19"/>
      <c r="TWI243" s="16"/>
      <c r="TWJ243" s="15"/>
      <c r="TWK243" s="15"/>
      <c r="TWL243" s="15"/>
      <c r="TWM243" s="16"/>
      <c r="TWN243" s="16"/>
      <c r="TWO243" s="16"/>
      <c r="TWP243" s="16"/>
      <c r="TWQ243" s="16"/>
      <c r="TWR243" s="15"/>
      <c r="TWS243" s="15"/>
      <c r="TWT243" s="10"/>
      <c r="TWU243" s="10"/>
      <c r="TWV243" s="19"/>
      <c r="TWW243" s="19"/>
      <c r="TWZ243" s="16"/>
      <c r="TXA243" s="15"/>
      <c r="TXB243" s="15"/>
      <c r="TXC243" s="15"/>
      <c r="TXD243" s="16"/>
      <c r="TXE243" s="16"/>
      <c r="TXF243" s="16"/>
      <c r="TXG243" s="16"/>
      <c r="TXH243" s="16"/>
      <c r="TXI243" s="15"/>
      <c r="TXJ243" s="15"/>
      <c r="TXK243" s="10"/>
      <c r="TXL243" s="10"/>
      <c r="TXM243" s="19"/>
      <c r="TXN243" s="19"/>
      <c r="TXQ243" s="16"/>
      <c r="TXR243" s="15"/>
      <c r="TXS243" s="15"/>
      <c r="TXT243" s="15"/>
      <c r="TXU243" s="16"/>
      <c r="TXV243" s="16"/>
      <c r="TXW243" s="16"/>
      <c r="TXX243" s="16"/>
      <c r="TXY243" s="16"/>
      <c r="TXZ243" s="15"/>
      <c r="TYA243" s="15"/>
      <c r="TYB243" s="10"/>
      <c r="TYC243" s="10"/>
      <c r="TYD243" s="19"/>
      <c r="TYE243" s="19"/>
      <c r="TYH243" s="16"/>
      <c r="TYI243" s="15"/>
      <c r="TYJ243" s="15"/>
      <c r="TYK243" s="15"/>
      <c r="TYL243" s="16"/>
      <c r="TYM243" s="16"/>
      <c r="TYN243" s="16"/>
      <c r="TYO243" s="16"/>
      <c r="TYP243" s="16"/>
      <c r="TYQ243" s="15"/>
      <c r="TYR243" s="15"/>
      <c r="TYS243" s="10"/>
      <c r="TYT243" s="10"/>
      <c r="TYU243" s="19"/>
      <c r="TYV243" s="19"/>
      <c r="TYY243" s="16"/>
      <c r="TYZ243" s="15"/>
      <c r="TZA243" s="15"/>
      <c r="TZB243" s="15"/>
      <c r="TZC243" s="16"/>
      <c r="TZD243" s="16"/>
      <c r="TZE243" s="16"/>
      <c r="TZF243" s="16"/>
      <c r="TZG243" s="16"/>
      <c r="TZH243" s="15"/>
      <c r="TZI243" s="15"/>
      <c r="TZJ243" s="10"/>
      <c r="TZK243" s="10"/>
      <c r="TZL243" s="19"/>
      <c r="TZM243" s="19"/>
      <c r="TZP243" s="16"/>
      <c r="TZQ243" s="15"/>
      <c r="TZR243" s="15"/>
      <c r="TZS243" s="15"/>
      <c r="TZT243" s="16"/>
      <c r="TZU243" s="16"/>
      <c r="TZV243" s="16"/>
      <c r="TZW243" s="16"/>
      <c r="TZX243" s="16"/>
      <c r="TZY243" s="15"/>
      <c r="TZZ243" s="15"/>
      <c r="UAA243" s="10"/>
      <c r="UAB243" s="10"/>
      <c r="UAC243" s="19"/>
      <c r="UAD243" s="19"/>
      <c r="UAG243" s="16"/>
      <c r="UAH243" s="15"/>
      <c r="UAI243" s="15"/>
      <c r="UAJ243" s="15"/>
      <c r="UAK243" s="16"/>
      <c r="UAL243" s="16"/>
      <c r="UAM243" s="16"/>
      <c r="UAN243" s="16"/>
      <c r="UAO243" s="16"/>
      <c r="UAP243" s="15"/>
      <c r="UAQ243" s="15"/>
      <c r="UAR243" s="10"/>
      <c r="UAS243" s="10"/>
      <c r="UAT243" s="19"/>
      <c r="UAU243" s="19"/>
      <c r="UAX243" s="16"/>
      <c r="UAY243" s="15"/>
      <c r="UAZ243" s="15"/>
      <c r="UBA243" s="15"/>
      <c r="UBB243" s="16"/>
      <c r="UBC243" s="16"/>
      <c r="UBD243" s="16"/>
      <c r="UBE243" s="16"/>
      <c r="UBF243" s="16"/>
      <c r="UBG243" s="15"/>
      <c r="UBH243" s="15"/>
      <c r="UBI243" s="10"/>
      <c r="UBJ243" s="10"/>
      <c r="UBK243" s="19"/>
      <c r="UBL243" s="19"/>
      <c r="UBO243" s="16"/>
      <c r="UBP243" s="15"/>
      <c r="UBQ243" s="15"/>
      <c r="UBR243" s="15"/>
      <c r="UBS243" s="16"/>
      <c r="UBT243" s="16"/>
      <c r="UBU243" s="16"/>
      <c r="UBV243" s="16"/>
      <c r="UBW243" s="16"/>
      <c r="UBX243" s="15"/>
      <c r="UBY243" s="15"/>
      <c r="UBZ243" s="10"/>
      <c r="UCA243" s="10"/>
      <c r="UCB243" s="19"/>
      <c r="UCC243" s="19"/>
      <c r="UCF243" s="16"/>
      <c r="UCG243" s="15"/>
      <c r="UCH243" s="15"/>
      <c r="UCI243" s="15"/>
      <c r="UCJ243" s="16"/>
      <c r="UCK243" s="16"/>
      <c r="UCL243" s="16"/>
      <c r="UCM243" s="16"/>
      <c r="UCN243" s="16"/>
      <c r="UCO243" s="15"/>
      <c r="UCP243" s="15"/>
      <c r="UCQ243" s="10"/>
      <c r="UCR243" s="10"/>
      <c r="UCS243" s="19"/>
      <c r="UCT243" s="19"/>
      <c r="UCW243" s="16"/>
      <c r="UCX243" s="15"/>
      <c r="UCY243" s="15"/>
      <c r="UCZ243" s="15"/>
      <c r="UDA243" s="16"/>
      <c r="UDB243" s="16"/>
      <c r="UDC243" s="16"/>
      <c r="UDD243" s="16"/>
      <c r="UDE243" s="16"/>
      <c r="UDF243" s="15"/>
      <c r="UDG243" s="15"/>
      <c r="UDH243" s="10"/>
      <c r="UDI243" s="10"/>
      <c r="UDJ243" s="19"/>
      <c r="UDK243" s="19"/>
      <c r="UDN243" s="16"/>
      <c r="UDO243" s="15"/>
      <c r="UDP243" s="15"/>
      <c r="UDQ243" s="15"/>
      <c r="UDR243" s="16"/>
      <c r="UDS243" s="16"/>
      <c r="UDT243" s="16"/>
      <c r="UDU243" s="16"/>
      <c r="UDV243" s="16"/>
      <c r="UDW243" s="15"/>
      <c r="UDX243" s="15"/>
      <c r="UDY243" s="10"/>
      <c r="UDZ243" s="10"/>
      <c r="UEA243" s="19"/>
      <c r="UEB243" s="19"/>
      <c r="UEE243" s="16"/>
      <c r="UEF243" s="15"/>
      <c r="UEG243" s="15"/>
      <c r="UEH243" s="15"/>
      <c r="UEI243" s="16"/>
      <c r="UEJ243" s="16"/>
      <c r="UEK243" s="16"/>
      <c r="UEL243" s="16"/>
      <c r="UEM243" s="16"/>
      <c r="UEN243" s="15"/>
      <c r="UEO243" s="15"/>
      <c r="UEP243" s="10"/>
      <c r="UEQ243" s="10"/>
      <c r="UER243" s="19"/>
      <c r="UES243" s="19"/>
      <c r="UEV243" s="16"/>
      <c r="UEW243" s="15"/>
      <c r="UEX243" s="15"/>
      <c r="UEY243" s="15"/>
      <c r="UEZ243" s="16"/>
      <c r="UFA243" s="16"/>
      <c r="UFB243" s="16"/>
      <c r="UFC243" s="16"/>
      <c r="UFD243" s="16"/>
      <c r="UFE243" s="15"/>
      <c r="UFF243" s="15"/>
      <c r="UFG243" s="10"/>
      <c r="UFH243" s="10"/>
      <c r="UFI243" s="19"/>
      <c r="UFJ243" s="19"/>
      <c r="UFM243" s="16"/>
      <c r="UFN243" s="15"/>
      <c r="UFO243" s="15"/>
      <c r="UFP243" s="15"/>
      <c r="UFQ243" s="16"/>
      <c r="UFR243" s="16"/>
      <c r="UFS243" s="16"/>
      <c r="UFT243" s="16"/>
      <c r="UFU243" s="16"/>
      <c r="UFV243" s="15"/>
      <c r="UFW243" s="15"/>
      <c r="UFX243" s="10"/>
      <c r="UFY243" s="10"/>
      <c r="UFZ243" s="19"/>
      <c r="UGA243" s="19"/>
      <c r="UGD243" s="16"/>
      <c r="UGE243" s="15"/>
      <c r="UGF243" s="15"/>
      <c r="UGG243" s="15"/>
      <c r="UGH243" s="16"/>
      <c r="UGI243" s="16"/>
      <c r="UGJ243" s="16"/>
      <c r="UGK243" s="16"/>
      <c r="UGL243" s="16"/>
      <c r="UGM243" s="15"/>
      <c r="UGN243" s="15"/>
      <c r="UGO243" s="10"/>
      <c r="UGP243" s="10"/>
      <c r="UGQ243" s="19"/>
      <c r="UGR243" s="19"/>
      <c r="UGU243" s="16"/>
      <c r="UGV243" s="15"/>
      <c r="UGW243" s="15"/>
      <c r="UGX243" s="15"/>
      <c r="UGY243" s="16"/>
      <c r="UGZ243" s="16"/>
      <c r="UHA243" s="16"/>
      <c r="UHB243" s="16"/>
      <c r="UHC243" s="16"/>
      <c r="UHD243" s="15"/>
      <c r="UHE243" s="15"/>
      <c r="UHF243" s="10"/>
      <c r="UHG243" s="10"/>
      <c r="UHH243" s="19"/>
      <c r="UHI243" s="19"/>
      <c r="UHL243" s="16"/>
      <c r="UHM243" s="15"/>
      <c r="UHN243" s="15"/>
      <c r="UHO243" s="15"/>
      <c r="UHP243" s="16"/>
      <c r="UHQ243" s="16"/>
      <c r="UHR243" s="16"/>
      <c r="UHS243" s="16"/>
      <c r="UHT243" s="16"/>
      <c r="UHU243" s="15"/>
      <c r="UHV243" s="15"/>
      <c r="UHW243" s="10"/>
      <c r="UHX243" s="10"/>
      <c r="UHY243" s="19"/>
      <c r="UHZ243" s="19"/>
      <c r="UIC243" s="16"/>
      <c r="UID243" s="15"/>
      <c r="UIE243" s="15"/>
      <c r="UIF243" s="15"/>
      <c r="UIG243" s="16"/>
      <c r="UIH243" s="16"/>
      <c r="UII243" s="16"/>
      <c r="UIJ243" s="16"/>
      <c r="UIK243" s="16"/>
      <c r="UIL243" s="15"/>
      <c r="UIM243" s="15"/>
      <c r="UIN243" s="10"/>
      <c r="UIO243" s="10"/>
      <c r="UIP243" s="19"/>
      <c r="UIQ243" s="19"/>
      <c r="UIT243" s="16"/>
      <c r="UIU243" s="15"/>
      <c r="UIV243" s="15"/>
      <c r="UIW243" s="15"/>
      <c r="UIX243" s="16"/>
      <c r="UIY243" s="16"/>
      <c r="UIZ243" s="16"/>
      <c r="UJA243" s="16"/>
      <c r="UJB243" s="16"/>
      <c r="UJC243" s="15"/>
      <c r="UJD243" s="15"/>
      <c r="UJE243" s="10"/>
      <c r="UJF243" s="10"/>
      <c r="UJG243" s="19"/>
      <c r="UJH243" s="19"/>
      <c r="UJK243" s="16"/>
      <c r="UJL243" s="15"/>
      <c r="UJM243" s="15"/>
      <c r="UJN243" s="15"/>
      <c r="UJO243" s="16"/>
      <c r="UJP243" s="16"/>
      <c r="UJQ243" s="16"/>
      <c r="UJR243" s="16"/>
      <c r="UJS243" s="16"/>
      <c r="UJT243" s="15"/>
      <c r="UJU243" s="15"/>
      <c r="UJV243" s="10"/>
      <c r="UJW243" s="10"/>
      <c r="UJX243" s="19"/>
      <c r="UJY243" s="19"/>
      <c r="UKB243" s="16"/>
      <c r="UKC243" s="15"/>
      <c r="UKD243" s="15"/>
      <c r="UKE243" s="15"/>
      <c r="UKF243" s="16"/>
      <c r="UKG243" s="16"/>
      <c r="UKH243" s="16"/>
      <c r="UKI243" s="16"/>
      <c r="UKJ243" s="16"/>
      <c r="UKK243" s="15"/>
      <c r="UKL243" s="15"/>
      <c r="UKM243" s="10"/>
      <c r="UKN243" s="10"/>
      <c r="UKO243" s="19"/>
      <c r="UKP243" s="19"/>
      <c r="UKS243" s="16"/>
      <c r="UKT243" s="15"/>
      <c r="UKU243" s="15"/>
      <c r="UKV243" s="15"/>
      <c r="UKW243" s="16"/>
      <c r="UKX243" s="16"/>
      <c r="UKY243" s="16"/>
      <c r="UKZ243" s="16"/>
      <c r="ULA243" s="16"/>
      <c r="ULB243" s="15"/>
      <c r="ULC243" s="15"/>
      <c r="ULD243" s="10"/>
      <c r="ULE243" s="10"/>
      <c r="ULF243" s="19"/>
      <c r="ULG243" s="19"/>
      <c r="ULJ243" s="16"/>
      <c r="ULK243" s="15"/>
      <c r="ULL243" s="15"/>
      <c r="ULM243" s="15"/>
      <c r="ULN243" s="16"/>
      <c r="ULO243" s="16"/>
      <c r="ULP243" s="16"/>
      <c r="ULQ243" s="16"/>
      <c r="ULR243" s="16"/>
      <c r="ULS243" s="15"/>
      <c r="ULT243" s="15"/>
      <c r="ULU243" s="10"/>
      <c r="ULV243" s="10"/>
      <c r="ULW243" s="19"/>
      <c r="ULX243" s="19"/>
      <c r="UMA243" s="16"/>
      <c r="UMB243" s="15"/>
      <c r="UMC243" s="15"/>
      <c r="UMD243" s="15"/>
      <c r="UME243" s="16"/>
      <c r="UMF243" s="16"/>
      <c r="UMG243" s="16"/>
      <c r="UMH243" s="16"/>
      <c r="UMI243" s="16"/>
      <c r="UMJ243" s="15"/>
      <c r="UMK243" s="15"/>
      <c r="UML243" s="10"/>
      <c r="UMM243" s="10"/>
      <c r="UMN243" s="19"/>
      <c r="UMO243" s="19"/>
      <c r="UMR243" s="16"/>
      <c r="UMS243" s="15"/>
      <c r="UMT243" s="15"/>
      <c r="UMU243" s="15"/>
      <c r="UMV243" s="16"/>
      <c r="UMW243" s="16"/>
      <c r="UMX243" s="16"/>
      <c r="UMY243" s="16"/>
      <c r="UMZ243" s="16"/>
      <c r="UNA243" s="15"/>
      <c r="UNB243" s="15"/>
      <c r="UNC243" s="10"/>
      <c r="UND243" s="10"/>
      <c r="UNE243" s="19"/>
      <c r="UNF243" s="19"/>
      <c r="UNI243" s="16"/>
      <c r="UNJ243" s="15"/>
      <c r="UNK243" s="15"/>
      <c r="UNL243" s="15"/>
      <c r="UNM243" s="16"/>
      <c r="UNN243" s="16"/>
      <c r="UNO243" s="16"/>
      <c r="UNP243" s="16"/>
      <c r="UNQ243" s="16"/>
      <c r="UNR243" s="15"/>
      <c r="UNS243" s="15"/>
      <c r="UNT243" s="10"/>
      <c r="UNU243" s="10"/>
      <c r="UNV243" s="19"/>
      <c r="UNW243" s="19"/>
      <c r="UNZ243" s="16"/>
      <c r="UOA243" s="15"/>
      <c r="UOB243" s="15"/>
      <c r="UOC243" s="15"/>
      <c r="UOD243" s="16"/>
      <c r="UOE243" s="16"/>
      <c r="UOF243" s="16"/>
      <c r="UOG243" s="16"/>
      <c r="UOH243" s="16"/>
      <c r="UOI243" s="15"/>
      <c r="UOJ243" s="15"/>
      <c r="UOK243" s="10"/>
      <c r="UOL243" s="10"/>
      <c r="UOM243" s="19"/>
      <c r="UON243" s="19"/>
      <c r="UOQ243" s="16"/>
      <c r="UOR243" s="15"/>
      <c r="UOS243" s="15"/>
      <c r="UOT243" s="15"/>
      <c r="UOU243" s="16"/>
      <c r="UOV243" s="16"/>
      <c r="UOW243" s="16"/>
      <c r="UOX243" s="16"/>
      <c r="UOY243" s="16"/>
      <c r="UOZ243" s="15"/>
      <c r="UPA243" s="15"/>
      <c r="UPB243" s="10"/>
      <c r="UPC243" s="10"/>
      <c r="UPD243" s="19"/>
      <c r="UPE243" s="19"/>
      <c r="UPH243" s="16"/>
      <c r="UPI243" s="15"/>
      <c r="UPJ243" s="15"/>
      <c r="UPK243" s="15"/>
      <c r="UPL243" s="16"/>
      <c r="UPM243" s="16"/>
      <c r="UPN243" s="16"/>
      <c r="UPO243" s="16"/>
      <c r="UPP243" s="16"/>
      <c r="UPQ243" s="15"/>
      <c r="UPR243" s="15"/>
      <c r="UPS243" s="10"/>
      <c r="UPT243" s="10"/>
      <c r="UPU243" s="19"/>
      <c r="UPV243" s="19"/>
      <c r="UPY243" s="16"/>
      <c r="UPZ243" s="15"/>
      <c r="UQA243" s="15"/>
      <c r="UQB243" s="15"/>
      <c r="UQC243" s="16"/>
      <c r="UQD243" s="16"/>
      <c r="UQE243" s="16"/>
      <c r="UQF243" s="16"/>
      <c r="UQG243" s="16"/>
      <c r="UQH243" s="15"/>
      <c r="UQI243" s="15"/>
      <c r="UQJ243" s="10"/>
      <c r="UQK243" s="10"/>
      <c r="UQL243" s="19"/>
      <c r="UQM243" s="19"/>
      <c r="UQP243" s="16"/>
      <c r="UQQ243" s="15"/>
      <c r="UQR243" s="15"/>
      <c r="UQS243" s="15"/>
      <c r="UQT243" s="16"/>
      <c r="UQU243" s="16"/>
      <c r="UQV243" s="16"/>
      <c r="UQW243" s="16"/>
      <c r="UQX243" s="16"/>
      <c r="UQY243" s="15"/>
      <c r="UQZ243" s="15"/>
      <c r="URA243" s="10"/>
      <c r="URB243" s="10"/>
      <c r="URC243" s="19"/>
      <c r="URD243" s="19"/>
      <c r="URG243" s="16"/>
      <c r="URH243" s="15"/>
      <c r="URI243" s="15"/>
      <c r="URJ243" s="15"/>
      <c r="URK243" s="16"/>
      <c r="URL243" s="16"/>
      <c r="URM243" s="16"/>
      <c r="URN243" s="16"/>
      <c r="URO243" s="16"/>
      <c r="URP243" s="15"/>
      <c r="URQ243" s="15"/>
      <c r="URR243" s="10"/>
      <c r="URS243" s="10"/>
      <c r="URT243" s="19"/>
      <c r="URU243" s="19"/>
      <c r="URX243" s="16"/>
      <c r="URY243" s="15"/>
      <c r="URZ243" s="15"/>
      <c r="USA243" s="15"/>
      <c r="USB243" s="16"/>
      <c r="USC243" s="16"/>
      <c r="USD243" s="16"/>
      <c r="USE243" s="16"/>
      <c r="USF243" s="16"/>
      <c r="USG243" s="15"/>
      <c r="USH243" s="15"/>
      <c r="USI243" s="10"/>
      <c r="USJ243" s="10"/>
      <c r="USK243" s="19"/>
      <c r="USL243" s="19"/>
      <c r="USO243" s="16"/>
      <c r="USP243" s="15"/>
      <c r="USQ243" s="15"/>
      <c r="USR243" s="15"/>
      <c r="USS243" s="16"/>
      <c r="UST243" s="16"/>
      <c r="USU243" s="16"/>
      <c r="USV243" s="16"/>
      <c r="USW243" s="16"/>
      <c r="USX243" s="15"/>
      <c r="USY243" s="15"/>
      <c r="USZ243" s="10"/>
      <c r="UTA243" s="10"/>
      <c r="UTB243" s="19"/>
      <c r="UTC243" s="19"/>
      <c r="UTF243" s="16"/>
      <c r="UTG243" s="15"/>
      <c r="UTH243" s="15"/>
      <c r="UTI243" s="15"/>
      <c r="UTJ243" s="16"/>
      <c r="UTK243" s="16"/>
      <c r="UTL243" s="16"/>
      <c r="UTM243" s="16"/>
      <c r="UTN243" s="16"/>
      <c r="UTO243" s="15"/>
      <c r="UTP243" s="15"/>
      <c r="UTQ243" s="10"/>
      <c r="UTR243" s="10"/>
      <c r="UTS243" s="19"/>
      <c r="UTT243" s="19"/>
      <c r="UTW243" s="16"/>
      <c r="UTX243" s="15"/>
      <c r="UTY243" s="15"/>
      <c r="UTZ243" s="15"/>
      <c r="UUA243" s="16"/>
      <c r="UUB243" s="16"/>
      <c r="UUC243" s="16"/>
      <c r="UUD243" s="16"/>
      <c r="UUE243" s="16"/>
      <c r="UUF243" s="15"/>
      <c r="UUG243" s="15"/>
      <c r="UUH243" s="10"/>
      <c r="UUI243" s="10"/>
      <c r="UUJ243" s="19"/>
      <c r="UUK243" s="19"/>
      <c r="UUN243" s="16"/>
      <c r="UUO243" s="15"/>
      <c r="UUP243" s="15"/>
      <c r="UUQ243" s="15"/>
      <c r="UUR243" s="16"/>
      <c r="UUS243" s="16"/>
      <c r="UUT243" s="16"/>
      <c r="UUU243" s="16"/>
      <c r="UUV243" s="16"/>
      <c r="UUW243" s="15"/>
      <c r="UUX243" s="15"/>
      <c r="UUY243" s="10"/>
      <c r="UUZ243" s="10"/>
      <c r="UVA243" s="19"/>
      <c r="UVB243" s="19"/>
      <c r="UVE243" s="16"/>
      <c r="UVF243" s="15"/>
      <c r="UVG243" s="15"/>
      <c r="UVH243" s="15"/>
      <c r="UVI243" s="16"/>
      <c r="UVJ243" s="16"/>
      <c r="UVK243" s="16"/>
      <c r="UVL243" s="16"/>
      <c r="UVM243" s="16"/>
      <c r="UVN243" s="15"/>
      <c r="UVO243" s="15"/>
      <c r="UVP243" s="10"/>
      <c r="UVQ243" s="10"/>
      <c r="UVR243" s="19"/>
      <c r="UVS243" s="19"/>
      <c r="UVV243" s="16"/>
      <c r="UVW243" s="15"/>
      <c r="UVX243" s="15"/>
      <c r="UVY243" s="15"/>
      <c r="UVZ243" s="16"/>
      <c r="UWA243" s="16"/>
      <c r="UWB243" s="16"/>
      <c r="UWC243" s="16"/>
      <c r="UWD243" s="16"/>
      <c r="UWE243" s="15"/>
      <c r="UWF243" s="15"/>
      <c r="UWG243" s="10"/>
      <c r="UWH243" s="10"/>
      <c r="UWI243" s="19"/>
      <c r="UWJ243" s="19"/>
      <c r="UWM243" s="16"/>
      <c r="UWN243" s="15"/>
      <c r="UWO243" s="15"/>
      <c r="UWP243" s="15"/>
      <c r="UWQ243" s="16"/>
      <c r="UWR243" s="16"/>
      <c r="UWS243" s="16"/>
      <c r="UWT243" s="16"/>
      <c r="UWU243" s="16"/>
      <c r="UWV243" s="15"/>
      <c r="UWW243" s="15"/>
      <c r="UWX243" s="10"/>
      <c r="UWY243" s="10"/>
      <c r="UWZ243" s="19"/>
      <c r="UXA243" s="19"/>
      <c r="UXD243" s="16"/>
      <c r="UXE243" s="15"/>
      <c r="UXF243" s="15"/>
      <c r="UXG243" s="15"/>
      <c r="UXH243" s="16"/>
      <c r="UXI243" s="16"/>
      <c r="UXJ243" s="16"/>
      <c r="UXK243" s="16"/>
      <c r="UXL243" s="16"/>
      <c r="UXM243" s="15"/>
      <c r="UXN243" s="15"/>
      <c r="UXO243" s="10"/>
      <c r="UXP243" s="10"/>
      <c r="UXQ243" s="19"/>
      <c r="UXR243" s="19"/>
      <c r="UXU243" s="16"/>
      <c r="UXV243" s="15"/>
      <c r="UXW243" s="15"/>
      <c r="UXX243" s="15"/>
      <c r="UXY243" s="16"/>
      <c r="UXZ243" s="16"/>
      <c r="UYA243" s="16"/>
      <c r="UYB243" s="16"/>
      <c r="UYC243" s="16"/>
      <c r="UYD243" s="15"/>
      <c r="UYE243" s="15"/>
      <c r="UYF243" s="10"/>
      <c r="UYG243" s="10"/>
      <c r="UYH243" s="19"/>
      <c r="UYI243" s="19"/>
      <c r="UYL243" s="16"/>
      <c r="UYM243" s="15"/>
      <c r="UYN243" s="15"/>
      <c r="UYO243" s="15"/>
      <c r="UYP243" s="16"/>
      <c r="UYQ243" s="16"/>
      <c r="UYR243" s="16"/>
      <c r="UYS243" s="16"/>
      <c r="UYT243" s="16"/>
      <c r="UYU243" s="15"/>
      <c r="UYV243" s="15"/>
      <c r="UYW243" s="10"/>
      <c r="UYX243" s="10"/>
      <c r="UYY243" s="19"/>
      <c r="UYZ243" s="19"/>
      <c r="UZC243" s="16"/>
      <c r="UZD243" s="15"/>
      <c r="UZE243" s="15"/>
      <c r="UZF243" s="15"/>
      <c r="UZG243" s="16"/>
      <c r="UZH243" s="16"/>
      <c r="UZI243" s="16"/>
      <c r="UZJ243" s="16"/>
      <c r="UZK243" s="16"/>
      <c r="UZL243" s="15"/>
      <c r="UZM243" s="15"/>
      <c r="UZN243" s="10"/>
      <c r="UZO243" s="10"/>
      <c r="UZP243" s="19"/>
      <c r="UZQ243" s="19"/>
      <c r="UZT243" s="16"/>
      <c r="UZU243" s="15"/>
      <c r="UZV243" s="15"/>
      <c r="UZW243" s="15"/>
      <c r="UZX243" s="16"/>
      <c r="UZY243" s="16"/>
      <c r="UZZ243" s="16"/>
      <c r="VAA243" s="16"/>
      <c r="VAB243" s="16"/>
      <c r="VAC243" s="15"/>
      <c r="VAD243" s="15"/>
      <c r="VAE243" s="10"/>
      <c r="VAF243" s="10"/>
      <c r="VAG243" s="19"/>
      <c r="VAH243" s="19"/>
      <c r="VAK243" s="16"/>
      <c r="VAL243" s="15"/>
      <c r="VAM243" s="15"/>
      <c r="VAN243" s="15"/>
      <c r="VAO243" s="16"/>
      <c r="VAP243" s="16"/>
      <c r="VAQ243" s="16"/>
      <c r="VAR243" s="16"/>
      <c r="VAS243" s="16"/>
      <c r="VAT243" s="15"/>
      <c r="VAU243" s="15"/>
      <c r="VAV243" s="10"/>
      <c r="VAW243" s="10"/>
      <c r="VAX243" s="19"/>
      <c r="VAY243" s="19"/>
      <c r="VBB243" s="16"/>
      <c r="VBC243" s="15"/>
      <c r="VBD243" s="15"/>
      <c r="VBE243" s="15"/>
      <c r="VBF243" s="16"/>
      <c r="VBG243" s="16"/>
      <c r="VBH243" s="16"/>
      <c r="VBI243" s="16"/>
      <c r="VBJ243" s="16"/>
      <c r="VBK243" s="15"/>
      <c r="VBL243" s="15"/>
      <c r="VBM243" s="10"/>
      <c r="VBN243" s="10"/>
      <c r="VBO243" s="19"/>
      <c r="VBP243" s="19"/>
      <c r="VBS243" s="16"/>
      <c r="VBT243" s="15"/>
      <c r="VBU243" s="15"/>
      <c r="VBV243" s="15"/>
      <c r="VBW243" s="16"/>
      <c r="VBX243" s="16"/>
      <c r="VBY243" s="16"/>
      <c r="VBZ243" s="16"/>
      <c r="VCA243" s="16"/>
      <c r="VCB243" s="15"/>
      <c r="VCC243" s="15"/>
      <c r="VCD243" s="10"/>
      <c r="VCE243" s="10"/>
      <c r="VCF243" s="19"/>
      <c r="VCG243" s="19"/>
      <c r="VCJ243" s="16"/>
      <c r="VCK243" s="15"/>
      <c r="VCL243" s="15"/>
      <c r="VCM243" s="15"/>
      <c r="VCN243" s="16"/>
      <c r="VCO243" s="16"/>
      <c r="VCP243" s="16"/>
      <c r="VCQ243" s="16"/>
      <c r="VCR243" s="16"/>
      <c r="VCS243" s="15"/>
      <c r="VCT243" s="15"/>
      <c r="VCU243" s="10"/>
      <c r="VCV243" s="10"/>
      <c r="VCW243" s="19"/>
      <c r="VCX243" s="19"/>
      <c r="VDA243" s="16"/>
      <c r="VDB243" s="15"/>
      <c r="VDC243" s="15"/>
      <c r="VDD243" s="15"/>
      <c r="VDE243" s="16"/>
      <c r="VDF243" s="16"/>
      <c r="VDG243" s="16"/>
      <c r="VDH243" s="16"/>
      <c r="VDI243" s="16"/>
      <c r="VDJ243" s="15"/>
      <c r="VDK243" s="15"/>
      <c r="VDL243" s="10"/>
      <c r="VDM243" s="10"/>
      <c r="VDN243" s="19"/>
      <c r="VDO243" s="19"/>
      <c r="VDR243" s="16"/>
      <c r="VDS243" s="15"/>
      <c r="VDT243" s="15"/>
      <c r="VDU243" s="15"/>
      <c r="VDV243" s="16"/>
      <c r="VDW243" s="16"/>
      <c r="VDX243" s="16"/>
      <c r="VDY243" s="16"/>
      <c r="VDZ243" s="16"/>
      <c r="VEA243" s="15"/>
      <c r="VEB243" s="15"/>
      <c r="VEC243" s="10"/>
      <c r="VED243" s="10"/>
      <c r="VEE243" s="19"/>
      <c r="VEF243" s="19"/>
      <c r="VEI243" s="16"/>
      <c r="VEJ243" s="15"/>
      <c r="VEK243" s="15"/>
      <c r="VEL243" s="15"/>
      <c r="VEM243" s="16"/>
      <c r="VEN243" s="16"/>
      <c r="VEO243" s="16"/>
      <c r="VEP243" s="16"/>
      <c r="VEQ243" s="16"/>
      <c r="VER243" s="15"/>
      <c r="VES243" s="15"/>
      <c r="VET243" s="10"/>
      <c r="VEU243" s="10"/>
      <c r="VEV243" s="19"/>
      <c r="VEW243" s="19"/>
      <c r="VEZ243" s="16"/>
      <c r="VFA243" s="15"/>
      <c r="VFB243" s="15"/>
      <c r="VFC243" s="15"/>
      <c r="VFD243" s="16"/>
      <c r="VFE243" s="16"/>
      <c r="VFF243" s="16"/>
      <c r="VFG243" s="16"/>
      <c r="VFH243" s="16"/>
      <c r="VFI243" s="15"/>
      <c r="VFJ243" s="15"/>
      <c r="VFK243" s="10"/>
      <c r="VFL243" s="10"/>
      <c r="VFM243" s="19"/>
      <c r="VFN243" s="19"/>
      <c r="VFQ243" s="16"/>
      <c r="VFR243" s="15"/>
      <c r="VFS243" s="15"/>
      <c r="VFT243" s="15"/>
      <c r="VFU243" s="16"/>
      <c r="VFV243" s="16"/>
      <c r="VFW243" s="16"/>
      <c r="VFX243" s="16"/>
      <c r="VFY243" s="16"/>
      <c r="VFZ243" s="15"/>
      <c r="VGA243" s="15"/>
      <c r="VGB243" s="10"/>
      <c r="VGC243" s="10"/>
      <c r="VGD243" s="19"/>
      <c r="VGE243" s="19"/>
      <c r="VGH243" s="16"/>
      <c r="VGI243" s="15"/>
      <c r="VGJ243" s="15"/>
      <c r="VGK243" s="15"/>
      <c r="VGL243" s="16"/>
      <c r="VGM243" s="16"/>
      <c r="VGN243" s="16"/>
      <c r="VGO243" s="16"/>
      <c r="VGP243" s="16"/>
      <c r="VGQ243" s="15"/>
      <c r="VGR243" s="15"/>
      <c r="VGS243" s="10"/>
      <c r="VGT243" s="10"/>
      <c r="VGU243" s="19"/>
      <c r="VGV243" s="19"/>
      <c r="VGY243" s="16"/>
      <c r="VGZ243" s="15"/>
      <c r="VHA243" s="15"/>
      <c r="VHB243" s="15"/>
      <c r="VHC243" s="16"/>
      <c r="VHD243" s="16"/>
      <c r="VHE243" s="16"/>
      <c r="VHF243" s="16"/>
      <c r="VHG243" s="16"/>
      <c r="VHH243" s="15"/>
      <c r="VHI243" s="15"/>
      <c r="VHJ243" s="10"/>
      <c r="VHK243" s="10"/>
      <c r="VHL243" s="19"/>
      <c r="VHM243" s="19"/>
      <c r="VHP243" s="16"/>
      <c r="VHQ243" s="15"/>
      <c r="VHR243" s="15"/>
      <c r="VHS243" s="15"/>
      <c r="VHT243" s="16"/>
      <c r="VHU243" s="16"/>
      <c r="VHV243" s="16"/>
      <c r="VHW243" s="16"/>
      <c r="VHX243" s="16"/>
      <c r="VHY243" s="15"/>
      <c r="VHZ243" s="15"/>
      <c r="VIA243" s="10"/>
      <c r="VIB243" s="10"/>
      <c r="VIC243" s="19"/>
      <c r="VID243" s="19"/>
      <c r="VIG243" s="16"/>
      <c r="VIH243" s="15"/>
      <c r="VII243" s="15"/>
      <c r="VIJ243" s="15"/>
      <c r="VIK243" s="16"/>
      <c r="VIL243" s="16"/>
      <c r="VIM243" s="16"/>
      <c r="VIN243" s="16"/>
      <c r="VIO243" s="16"/>
      <c r="VIP243" s="15"/>
      <c r="VIQ243" s="15"/>
      <c r="VIR243" s="10"/>
      <c r="VIS243" s="10"/>
      <c r="VIT243" s="19"/>
      <c r="VIU243" s="19"/>
      <c r="VIX243" s="16"/>
      <c r="VIY243" s="15"/>
      <c r="VIZ243" s="15"/>
      <c r="VJA243" s="15"/>
      <c r="VJB243" s="16"/>
      <c r="VJC243" s="16"/>
      <c r="VJD243" s="16"/>
      <c r="VJE243" s="16"/>
      <c r="VJF243" s="16"/>
      <c r="VJG243" s="15"/>
      <c r="VJH243" s="15"/>
      <c r="VJI243" s="10"/>
      <c r="VJJ243" s="10"/>
      <c r="VJK243" s="19"/>
      <c r="VJL243" s="19"/>
      <c r="VJO243" s="16"/>
      <c r="VJP243" s="15"/>
      <c r="VJQ243" s="15"/>
      <c r="VJR243" s="15"/>
      <c r="VJS243" s="16"/>
      <c r="VJT243" s="16"/>
      <c r="VJU243" s="16"/>
      <c r="VJV243" s="16"/>
      <c r="VJW243" s="16"/>
      <c r="VJX243" s="15"/>
      <c r="VJY243" s="15"/>
      <c r="VJZ243" s="10"/>
      <c r="VKA243" s="10"/>
      <c r="VKB243" s="19"/>
      <c r="VKC243" s="19"/>
      <c r="VKF243" s="16"/>
      <c r="VKG243" s="15"/>
      <c r="VKH243" s="15"/>
      <c r="VKI243" s="15"/>
      <c r="VKJ243" s="16"/>
      <c r="VKK243" s="16"/>
      <c r="VKL243" s="16"/>
      <c r="VKM243" s="16"/>
      <c r="VKN243" s="16"/>
      <c r="VKO243" s="15"/>
      <c r="VKP243" s="15"/>
      <c r="VKQ243" s="10"/>
      <c r="VKR243" s="10"/>
      <c r="VKS243" s="19"/>
      <c r="VKT243" s="19"/>
      <c r="VKW243" s="16"/>
      <c r="VKX243" s="15"/>
      <c r="VKY243" s="15"/>
      <c r="VKZ243" s="15"/>
      <c r="VLA243" s="16"/>
      <c r="VLB243" s="16"/>
      <c r="VLC243" s="16"/>
      <c r="VLD243" s="16"/>
      <c r="VLE243" s="16"/>
      <c r="VLF243" s="15"/>
      <c r="VLG243" s="15"/>
      <c r="VLH243" s="10"/>
      <c r="VLI243" s="10"/>
      <c r="VLJ243" s="19"/>
      <c r="VLK243" s="19"/>
      <c r="VLN243" s="16"/>
      <c r="VLO243" s="15"/>
      <c r="VLP243" s="15"/>
      <c r="VLQ243" s="15"/>
      <c r="VLR243" s="16"/>
      <c r="VLS243" s="16"/>
      <c r="VLT243" s="16"/>
      <c r="VLU243" s="16"/>
      <c r="VLV243" s="16"/>
      <c r="VLW243" s="15"/>
      <c r="VLX243" s="15"/>
      <c r="VLY243" s="10"/>
      <c r="VLZ243" s="10"/>
      <c r="VMA243" s="19"/>
      <c r="VMB243" s="19"/>
      <c r="VME243" s="16"/>
      <c r="VMF243" s="15"/>
      <c r="VMG243" s="15"/>
      <c r="VMH243" s="15"/>
      <c r="VMI243" s="16"/>
      <c r="VMJ243" s="16"/>
      <c r="VMK243" s="16"/>
      <c r="VML243" s="16"/>
      <c r="VMM243" s="16"/>
      <c r="VMN243" s="15"/>
      <c r="VMO243" s="15"/>
      <c r="VMP243" s="10"/>
      <c r="VMQ243" s="10"/>
      <c r="VMR243" s="19"/>
      <c r="VMS243" s="19"/>
      <c r="VMV243" s="16"/>
      <c r="VMW243" s="15"/>
      <c r="VMX243" s="15"/>
      <c r="VMY243" s="15"/>
      <c r="VMZ243" s="16"/>
      <c r="VNA243" s="16"/>
      <c r="VNB243" s="16"/>
      <c r="VNC243" s="16"/>
      <c r="VND243" s="16"/>
      <c r="VNE243" s="15"/>
      <c r="VNF243" s="15"/>
      <c r="VNG243" s="10"/>
      <c r="VNH243" s="10"/>
      <c r="VNI243" s="19"/>
      <c r="VNJ243" s="19"/>
      <c r="VNM243" s="16"/>
      <c r="VNN243" s="15"/>
      <c r="VNO243" s="15"/>
      <c r="VNP243" s="15"/>
      <c r="VNQ243" s="16"/>
      <c r="VNR243" s="16"/>
      <c r="VNS243" s="16"/>
      <c r="VNT243" s="16"/>
      <c r="VNU243" s="16"/>
      <c r="VNV243" s="15"/>
      <c r="VNW243" s="15"/>
      <c r="VNX243" s="10"/>
      <c r="VNY243" s="10"/>
      <c r="VNZ243" s="19"/>
      <c r="VOA243" s="19"/>
      <c r="VOD243" s="16"/>
      <c r="VOE243" s="15"/>
      <c r="VOF243" s="15"/>
      <c r="VOG243" s="15"/>
      <c r="VOH243" s="16"/>
      <c r="VOI243" s="16"/>
      <c r="VOJ243" s="16"/>
      <c r="VOK243" s="16"/>
      <c r="VOL243" s="16"/>
      <c r="VOM243" s="15"/>
      <c r="VON243" s="15"/>
      <c r="VOO243" s="10"/>
      <c r="VOP243" s="10"/>
      <c r="VOQ243" s="19"/>
      <c r="VOR243" s="19"/>
      <c r="VOU243" s="16"/>
      <c r="VOV243" s="15"/>
      <c r="VOW243" s="15"/>
      <c r="VOX243" s="15"/>
      <c r="VOY243" s="16"/>
      <c r="VOZ243" s="16"/>
      <c r="VPA243" s="16"/>
      <c r="VPB243" s="16"/>
      <c r="VPC243" s="16"/>
      <c r="VPD243" s="15"/>
      <c r="VPE243" s="15"/>
      <c r="VPF243" s="10"/>
      <c r="VPG243" s="10"/>
      <c r="VPH243" s="19"/>
      <c r="VPI243" s="19"/>
      <c r="VPL243" s="16"/>
      <c r="VPM243" s="15"/>
      <c r="VPN243" s="15"/>
      <c r="VPO243" s="15"/>
      <c r="VPP243" s="16"/>
      <c r="VPQ243" s="16"/>
      <c r="VPR243" s="16"/>
      <c r="VPS243" s="16"/>
      <c r="VPT243" s="16"/>
      <c r="VPU243" s="15"/>
      <c r="VPV243" s="15"/>
      <c r="VPW243" s="10"/>
      <c r="VPX243" s="10"/>
      <c r="VPY243" s="19"/>
      <c r="VPZ243" s="19"/>
      <c r="VQC243" s="16"/>
      <c r="VQD243" s="15"/>
      <c r="VQE243" s="15"/>
      <c r="VQF243" s="15"/>
      <c r="VQG243" s="16"/>
      <c r="VQH243" s="16"/>
      <c r="VQI243" s="16"/>
      <c r="VQJ243" s="16"/>
      <c r="VQK243" s="16"/>
      <c r="VQL243" s="15"/>
      <c r="VQM243" s="15"/>
      <c r="VQN243" s="10"/>
      <c r="VQO243" s="10"/>
      <c r="VQP243" s="19"/>
      <c r="VQQ243" s="19"/>
      <c r="VQT243" s="16"/>
      <c r="VQU243" s="15"/>
      <c r="VQV243" s="15"/>
      <c r="VQW243" s="15"/>
      <c r="VQX243" s="16"/>
      <c r="VQY243" s="16"/>
      <c r="VQZ243" s="16"/>
      <c r="VRA243" s="16"/>
      <c r="VRB243" s="16"/>
      <c r="VRC243" s="15"/>
      <c r="VRD243" s="15"/>
      <c r="VRE243" s="10"/>
      <c r="VRF243" s="10"/>
      <c r="VRG243" s="19"/>
      <c r="VRH243" s="19"/>
      <c r="VRK243" s="16"/>
      <c r="VRL243" s="15"/>
      <c r="VRM243" s="15"/>
      <c r="VRN243" s="15"/>
      <c r="VRO243" s="16"/>
      <c r="VRP243" s="16"/>
      <c r="VRQ243" s="16"/>
      <c r="VRR243" s="16"/>
      <c r="VRS243" s="16"/>
      <c r="VRT243" s="15"/>
      <c r="VRU243" s="15"/>
      <c r="VRV243" s="10"/>
      <c r="VRW243" s="10"/>
      <c r="VRX243" s="19"/>
      <c r="VRY243" s="19"/>
      <c r="VSB243" s="16"/>
      <c r="VSC243" s="15"/>
      <c r="VSD243" s="15"/>
      <c r="VSE243" s="15"/>
      <c r="VSF243" s="16"/>
      <c r="VSG243" s="16"/>
      <c r="VSH243" s="16"/>
      <c r="VSI243" s="16"/>
      <c r="VSJ243" s="16"/>
      <c r="VSK243" s="15"/>
      <c r="VSL243" s="15"/>
      <c r="VSM243" s="10"/>
      <c r="VSN243" s="10"/>
      <c r="VSO243" s="19"/>
      <c r="VSP243" s="19"/>
      <c r="VSS243" s="16"/>
      <c r="VST243" s="15"/>
      <c r="VSU243" s="15"/>
      <c r="VSV243" s="15"/>
      <c r="VSW243" s="16"/>
      <c r="VSX243" s="16"/>
      <c r="VSY243" s="16"/>
      <c r="VSZ243" s="16"/>
      <c r="VTA243" s="16"/>
      <c r="VTB243" s="15"/>
      <c r="VTC243" s="15"/>
      <c r="VTD243" s="10"/>
      <c r="VTE243" s="10"/>
      <c r="VTF243" s="19"/>
      <c r="VTG243" s="19"/>
      <c r="VTJ243" s="16"/>
      <c r="VTK243" s="15"/>
      <c r="VTL243" s="15"/>
      <c r="VTM243" s="15"/>
      <c r="VTN243" s="16"/>
      <c r="VTO243" s="16"/>
      <c r="VTP243" s="16"/>
      <c r="VTQ243" s="16"/>
      <c r="VTR243" s="16"/>
      <c r="VTS243" s="15"/>
      <c r="VTT243" s="15"/>
      <c r="VTU243" s="10"/>
      <c r="VTV243" s="10"/>
      <c r="VTW243" s="19"/>
      <c r="VTX243" s="19"/>
      <c r="VUA243" s="16"/>
      <c r="VUB243" s="15"/>
      <c r="VUC243" s="15"/>
      <c r="VUD243" s="15"/>
      <c r="VUE243" s="16"/>
      <c r="VUF243" s="16"/>
      <c r="VUG243" s="16"/>
      <c r="VUH243" s="16"/>
      <c r="VUI243" s="16"/>
      <c r="VUJ243" s="15"/>
      <c r="VUK243" s="15"/>
      <c r="VUL243" s="10"/>
      <c r="VUM243" s="10"/>
      <c r="VUN243" s="19"/>
      <c r="VUO243" s="19"/>
      <c r="VUR243" s="16"/>
      <c r="VUS243" s="15"/>
      <c r="VUT243" s="15"/>
      <c r="VUU243" s="15"/>
      <c r="VUV243" s="16"/>
      <c r="VUW243" s="16"/>
      <c r="VUX243" s="16"/>
      <c r="VUY243" s="16"/>
      <c r="VUZ243" s="16"/>
      <c r="VVA243" s="15"/>
      <c r="VVB243" s="15"/>
      <c r="VVC243" s="10"/>
      <c r="VVD243" s="10"/>
      <c r="VVE243" s="19"/>
      <c r="VVF243" s="19"/>
      <c r="VVI243" s="16"/>
      <c r="VVJ243" s="15"/>
      <c r="VVK243" s="15"/>
      <c r="VVL243" s="15"/>
      <c r="VVM243" s="16"/>
      <c r="VVN243" s="16"/>
      <c r="VVO243" s="16"/>
      <c r="VVP243" s="16"/>
      <c r="VVQ243" s="16"/>
      <c r="VVR243" s="15"/>
      <c r="VVS243" s="15"/>
      <c r="VVT243" s="10"/>
      <c r="VVU243" s="10"/>
      <c r="VVV243" s="19"/>
      <c r="VVW243" s="19"/>
      <c r="VVZ243" s="16"/>
      <c r="VWA243" s="15"/>
      <c r="VWB243" s="15"/>
      <c r="VWC243" s="15"/>
      <c r="VWD243" s="16"/>
      <c r="VWE243" s="16"/>
      <c r="VWF243" s="16"/>
      <c r="VWG243" s="16"/>
      <c r="VWH243" s="16"/>
      <c r="VWI243" s="15"/>
      <c r="VWJ243" s="15"/>
      <c r="VWK243" s="10"/>
      <c r="VWL243" s="10"/>
      <c r="VWM243" s="19"/>
      <c r="VWN243" s="19"/>
      <c r="VWQ243" s="16"/>
      <c r="VWR243" s="15"/>
      <c r="VWS243" s="15"/>
      <c r="VWT243" s="15"/>
      <c r="VWU243" s="16"/>
      <c r="VWV243" s="16"/>
      <c r="VWW243" s="16"/>
      <c r="VWX243" s="16"/>
      <c r="VWY243" s="16"/>
      <c r="VWZ243" s="15"/>
      <c r="VXA243" s="15"/>
      <c r="VXB243" s="10"/>
      <c r="VXC243" s="10"/>
      <c r="VXD243" s="19"/>
      <c r="VXE243" s="19"/>
      <c r="VXH243" s="16"/>
      <c r="VXI243" s="15"/>
      <c r="VXJ243" s="15"/>
      <c r="VXK243" s="15"/>
      <c r="VXL243" s="16"/>
      <c r="VXM243" s="16"/>
      <c r="VXN243" s="16"/>
      <c r="VXO243" s="16"/>
      <c r="VXP243" s="16"/>
      <c r="VXQ243" s="15"/>
      <c r="VXR243" s="15"/>
      <c r="VXS243" s="10"/>
      <c r="VXT243" s="10"/>
      <c r="VXU243" s="19"/>
      <c r="VXV243" s="19"/>
      <c r="VXY243" s="16"/>
      <c r="VXZ243" s="15"/>
      <c r="VYA243" s="15"/>
      <c r="VYB243" s="15"/>
      <c r="VYC243" s="16"/>
      <c r="VYD243" s="16"/>
      <c r="VYE243" s="16"/>
      <c r="VYF243" s="16"/>
      <c r="VYG243" s="16"/>
      <c r="VYH243" s="15"/>
      <c r="VYI243" s="15"/>
      <c r="VYJ243" s="10"/>
      <c r="VYK243" s="10"/>
      <c r="VYL243" s="19"/>
      <c r="VYM243" s="19"/>
      <c r="VYP243" s="16"/>
      <c r="VYQ243" s="15"/>
      <c r="VYR243" s="15"/>
      <c r="VYS243" s="15"/>
      <c r="VYT243" s="16"/>
      <c r="VYU243" s="16"/>
      <c r="VYV243" s="16"/>
      <c r="VYW243" s="16"/>
      <c r="VYX243" s="16"/>
      <c r="VYY243" s="15"/>
      <c r="VYZ243" s="15"/>
      <c r="VZA243" s="10"/>
      <c r="VZB243" s="10"/>
      <c r="VZC243" s="19"/>
      <c r="VZD243" s="19"/>
      <c r="VZG243" s="16"/>
      <c r="VZH243" s="15"/>
      <c r="VZI243" s="15"/>
      <c r="VZJ243" s="15"/>
      <c r="VZK243" s="16"/>
      <c r="VZL243" s="16"/>
      <c r="VZM243" s="16"/>
      <c r="VZN243" s="16"/>
      <c r="VZO243" s="16"/>
      <c r="VZP243" s="15"/>
      <c r="VZQ243" s="15"/>
      <c r="VZR243" s="10"/>
      <c r="VZS243" s="10"/>
      <c r="VZT243" s="19"/>
      <c r="VZU243" s="19"/>
      <c r="VZX243" s="16"/>
      <c r="VZY243" s="15"/>
      <c r="VZZ243" s="15"/>
      <c r="WAA243" s="15"/>
      <c r="WAB243" s="16"/>
      <c r="WAC243" s="16"/>
      <c r="WAD243" s="16"/>
      <c r="WAE243" s="16"/>
      <c r="WAF243" s="16"/>
      <c r="WAG243" s="15"/>
      <c r="WAH243" s="15"/>
      <c r="WAI243" s="10"/>
      <c r="WAJ243" s="10"/>
      <c r="WAK243" s="19"/>
      <c r="WAL243" s="19"/>
      <c r="WAO243" s="16"/>
      <c r="WAP243" s="15"/>
      <c r="WAQ243" s="15"/>
      <c r="WAR243" s="15"/>
      <c r="WAS243" s="16"/>
      <c r="WAT243" s="16"/>
      <c r="WAU243" s="16"/>
      <c r="WAV243" s="16"/>
      <c r="WAW243" s="16"/>
      <c r="WAX243" s="15"/>
      <c r="WAY243" s="15"/>
      <c r="WAZ243" s="10"/>
      <c r="WBA243" s="10"/>
      <c r="WBB243" s="19"/>
      <c r="WBC243" s="19"/>
      <c r="WBF243" s="16"/>
      <c r="WBG243" s="15"/>
      <c r="WBH243" s="15"/>
      <c r="WBI243" s="15"/>
      <c r="WBJ243" s="16"/>
      <c r="WBK243" s="16"/>
      <c r="WBL243" s="16"/>
      <c r="WBM243" s="16"/>
      <c r="WBN243" s="16"/>
      <c r="WBO243" s="15"/>
      <c r="WBP243" s="15"/>
      <c r="WBQ243" s="10"/>
      <c r="WBR243" s="10"/>
      <c r="WBS243" s="19"/>
      <c r="WBT243" s="19"/>
      <c r="WBW243" s="16"/>
      <c r="WBX243" s="15"/>
      <c r="WBY243" s="15"/>
      <c r="WBZ243" s="15"/>
      <c r="WCA243" s="16"/>
      <c r="WCB243" s="16"/>
      <c r="WCC243" s="16"/>
      <c r="WCD243" s="16"/>
      <c r="WCE243" s="16"/>
      <c r="WCF243" s="15"/>
      <c r="WCG243" s="15"/>
      <c r="WCH243" s="10"/>
      <c r="WCI243" s="10"/>
      <c r="WCJ243" s="19"/>
      <c r="WCK243" s="19"/>
      <c r="WCN243" s="16"/>
      <c r="WCO243" s="15"/>
      <c r="WCP243" s="15"/>
      <c r="WCQ243" s="15"/>
      <c r="WCR243" s="16"/>
      <c r="WCS243" s="16"/>
      <c r="WCT243" s="16"/>
      <c r="WCU243" s="16"/>
      <c r="WCV243" s="16"/>
      <c r="WCW243" s="15"/>
      <c r="WCX243" s="15"/>
      <c r="WCY243" s="10"/>
      <c r="WCZ243" s="10"/>
      <c r="WDA243" s="19"/>
      <c r="WDB243" s="19"/>
      <c r="WDE243" s="16"/>
      <c r="WDF243" s="15"/>
      <c r="WDG243" s="15"/>
      <c r="WDH243" s="15"/>
      <c r="WDI243" s="16"/>
      <c r="WDJ243" s="16"/>
      <c r="WDK243" s="16"/>
      <c r="WDL243" s="16"/>
      <c r="WDM243" s="16"/>
      <c r="WDN243" s="15"/>
      <c r="WDO243" s="15"/>
      <c r="WDP243" s="10"/>
      <c r="WDQ243" s="10"/>
      <c r="WDR243" s="19"/>
      <c r="WDS243" s="19"/>
      <c r="WDV243" s="16"/>
      <c r="WDW243" s="15"/>
      <c r="WDX243" s="15"/>
      <c r="WDY243" s="15"/>
      <c r="WDZ243" s="16"/>
      <c r="WEA243" s="16"/>
      <c r="WEB243" s="16"/>
      <c r="WEC243" s="16"/>
      <c r="WED243" s="16"/>
      <c r="WEE243" s="15"/>
      <c r="WEF243" s="15"/>
      <c r="WEG243" s="10"/>
      <c r="WEH243" s="10"/>
      <c r="WEI243" s="19"/>
      <c r="WEJ243" s="19"/>
      <c r="WEM243" s="16"/>
      <c r="WEN243" s="15"/>
      <c r="WEO243" s="15"/>
      <c r="WEP243" s="15"/>
      <c r="WEQ243" s="16"/>
      <c r="WER243" s="16"/>
      <c r="WES243" s="16"/>
      <c r="WET243" s="16"/>
      <c r="WEU243" s="16"/>
      <c r="WEV243" s="15"/>
      <c r="WEW243" s="15"/>
      <c r="WEX243" s="10"/>
      <c r="WEY243" s="10"/>
      <c r="WEZ243" s="19"/>
      <c r="WFA243" s="19"/>
      <c r="WFD243" s="16"/>
      <c r="WFE243" s="15"/>
      <c r="WFF243" s="15"/>
      <c r="WFG243" s="15"/>
      <c r="WFH243" s="16"/>
      <c r="WFI243" s="16"/>
      <c r="WFJ243" s="16"/>
      <c r="WFK243" s="16"/>
      <c r="WFL243" s="16"/>
      <c r="WFM243" s="15"/>
      <c r="WFN243" s="15"/>
      <c r="WFO243" s="10"/>
      <c r="WFP243" s="10"/>
      <c r="WFQ243" s="19"/>
      <c r="WFR243" s="19"/>
      <c r="WFU243" s="16"/>
      <c r="WFV243" s="15"/>
      <c r="WFW243" s="15"/>
      <c r="WFX243" s="15"/>
      <c r="WFY243" s="16"/>
      <c r="WFZ243" s="16"/>
      <c r="WGA243" s="16"/>
      <c r="WGB243" s="16"/>
      <c r="WGC243" s="16"/>
      <c r="WGD243" s="15"/>
      <c r="WGE243" s="15"/>
      <c r="WGF243" s="10"/>
      <c r="WGG243" s="10"/>
      <c r="WGH243" s="19"/>
      <c r="WGI243" s="19"/>
      <c r="WGL243" s="16"/>
      <c r="WGM243" s="15"/>
      <c r="WGN243" s="15"/>
      <c r="WGO243" s="15"/>
      <c r="WGP243" s="16"/>
      <c r="WGQ243" s="16"/>
      <c r="WGR243" s="16"/>
      <c r="WGS243" s="16"/>
      <c r="WGT243" s="16"/>
      <c r="WGU243" s="15"/>
      <c r="WGV243" s="15"/>
      <c r="WGW243" s="10"/>
      <c r="WGX243" s="10"/>
      <c r="WGY243" s="19"/>
      <c r="WGZ243" s="19"/>
      <c r="WHC243" s="16"/>
      <c r="WHD243" s="15"/>
      <c r="WHE243" s="15"/>
      <c r="WHF243" s="15"/>
      <c r="WHG243" s="16"/>
      <c r="WHH243" s="16"/>
      <c r="WHI243" s="16"/>
      <c r="WHJ243" s="16"/>
      <c r="WHK243" s="16"/>
      <c r="WHL243" s="15"/>
      <c r="WHM243" s="15"/>
      <c r="WHN243" s="10"/>
      <c r="WHO243" s="10"/>
      <c r="WHP243" s="19"/>
      <c r="WHQ243" s="19"/>
      <c r="WHT243" s="16"/>
      <c r="WHU243" s="15"/>
      <c r="WHV243" s="15"/>
      <c r="WHW243" s="15"/>
      <c r="WHX243" s="16"/>
      <c r="WHY243" s="16"/>
      <c r="WHZ243" s="16"/>
      <c r="WIA243" s="16"/>
      <c r="WIB243" s="16"/>
      <c r="WIC243" s="15"/>
      <c r="WID243" s="15"/>
      <c r="WIE243" s="10"/>
      <c r="WIF243" s="10"/>
      <c r="WIG243" s="19"/>
      <c r="WIH243" s="19"/>
      <c r="WIK243" s="16"/>
      <c r="WIL243" s="15"/>
      <c r="WIM243" s="15"/>
      <c r="WIN243" s="15"/>
      <c r="WIO243" s="16"/>
      <c r="WIP243" s="16"/>
      <c r="WIQ243" s="16"/>
      <c r="WIR243" s="16"/>
      <c r="WIS243" s="16"/>
      <c r="WIT243" s="15"/>
      <c r="WIU243" s="15"/>
      <c r="WIV243" s="10"/>
      <c r="WIW243" s="10"/>
      <c r="WIX243" s="19"/>
      <c r="WIY243" s="19"/>
      <c r="WJB243" s="16"/>
      <c r="WJC243" s="15"/>
      <c r="WJD243" s="15"/>
      <c r="WJE243" s="15"/>
      <c r="WJF243" s="16"/>
      <c r="WJG243" s="16"/>
      <c r="WJH243" s="16"/>
      <c r="WJI243" s="16"/>
      <c r="WJJ243" s="16"/>
      <c r="WJK243" s="15"/>
      <c r="WJL243" s="15"/>
      <c r="WJM243" s="10"/>
      <c r="WJN243" s="10"/>
      <c r="WJO243" s="19"/>
      <c r="WJP243" s="19"/>
      <c r="WJS243" s="16"/>
      <c r="WJT243" s="15"/>
      <c r="WJU243" s="15"/>
      <c r="WJV243" s="15"/>
      <c r="WJW243" s="16"/>
      <c r="WJX243" s="16"/>
      <c r="WJY243" s="16"/>
      <c r="WJZ243" s="16"/>
      <c r="WKA243" s="16"/>
      <c r="WKB243" s="15"/>
      <c r="WKC243" s="15"/>
      <c r="WKD243" s="10"/>
      <c r="WKE243" s="10"/>
      <c r="WKF243" s="19"/>
      <c r="WKG243" s="19"/>
      <c r="WKJ243" s="16"/>
      <c r="WKK243" s="15"/>
      <c r="WKL243" s="15"/>
      <c r="WKM243" s="15"/>
      <c r="WKN243" s="16"/>
      <c r="WKO243" s="16"/>
      <c r="WKP243" s="16"/>
      <c r="WKQ243" s="16"/>
      <c r="WKR243" s="16"/>
      <c r="WKS243" s="15"/>
      <c r="WKT243" s="15"/>
      <c r="WKU243" s="10"/>
      <c r="WKV243" s="10"/>
      <c r="WKW243" s="19"/>
      <c r="WKX243" s="19"/>
      <c r="WLA243" s="16"/>
      <c r="WLB243" s="15"/>
      <c r="WLC243" s="15"/>
      <c r="WLD243" s="15"/>
      <c r="WLE243" s="16"/>
      <c r="WLF243" s="16"/>
      <c r="WLG243" s="16"/>
      <c r="WLH243" s="16"/>
      <c r="WLI243" s="16"/>
      <c r="WLJ243" s="15"/>
      <c r="WLK243" s="15"/>
      <c r="WLL243" s="10"/>
      <c r="WLM243" s="10"/>
      <c r="WLN243" s="19"/>
      <c r="WLO243" s="19"/>
      <c r="WLR243" s="16"/>
      <c r="WLS243" s="15"/>
      <c r="WLT243" s="15"/>
      <c r="WLU243" s="15"/>
      <c r="WLV243" s="16"/>
      <c r="WLW243" s="16"/>
      <c r="WLX243" s="16"/>
      <c r="WLY243" s="16"/>
      <c r="WLZ243" s="16"/>
      <c r="WMA243" s="15"/>
      <c r="WMB243" s="15"/>
      <c r="WMC243" s="10"/>
      <c r="WMD243" s="10"/>
      <c r="WME243" s="19"/>
      <c r="WMF243" s="19"/>
      <c r="WMI243" s="16"/>
      <c r="WMJ243" s="15"/>
      <c r="WMK243" s="15"/>
      <c r="WML243" s="15"/>
      <c r="WMM243" s="16"/>
      <c r="WMN243" s="16"/>
      <c r="WMO243" s="16"/>
      <c r="WMP243" s="16"/>
      <c r="WMQ243" s="16"/>
      <c r="WMR243" s="15"/>
      <c r="WMS243" s="15"/>
      <c r="WMT243" s="10"/>
      <c r="WMU243" s="10"/>
      <c r="WMV243" s="19"/>
      <c r="WMW243" s="19"/>
      <c r="WMZ243" s="16"/>
      <c r="WNA243" s="15"/>
      <c r="WNB243" s="15"/>
      <c r="WNC243" s="15"/>
      <c r="WND243" s="16"/>
      <c r="WNE243" s="16"/>
      <c r="WNF243" s="16"/>
      <c r="WNG243" s="16"/>
      <c r="WNH243" s="16"/>
      <c r="WNI243" s="15"/>
      <c r="WNJ243" s="15"/>
      <c r="WNK243" s="10"/>
      <c r="WNL243" s="10"/>
      <c r="WNM243" s="19"/>
      <c r="WNN243" s="19"/>
      <c r="WNQ243" s="16"/>
      <c r="WNR243" s="15"/>
      <c r="WNS243" s="15"/>
      <c r="WNT243" s="15"/>
      <c r="WNU243" s="16"/>
      <c r="WNV243" s="16"/>
      <c r="WNW243" s="16"/>
      <c r="WNX243" s="16"/>
      <c r="WNY243" s="16"/>
      <c r="WNZ243" s="15"/>
      <c r="WOA243" s="15"/>
      <c r="WOB243" s="10"/>
      <c r="WOC243" s="10"/>
      <c r="WOD243" s="19"/>
      <c r="WOE243" s="19"/>
      <c r="WOH243" s="16"/>
      <c r="WOI243" s="15"/>
      <c r="WOJ243" s="15"/>
      <c r="WOK243" s="15"/>
      <c r="WOL243" s="16"/>
      <c r="WOM243" s="16"/>
      <c r="WON243" s="16"/>
      <c r="WOO243" s="16"/>
      <c r="WOP243" s="16"/>
      <c r="WOQ243" s="15"/>
      <c r="WOR243" s="15"/>
      <c r="WOS243" s="10"/>
      <c r="WOT243" s="10"/>
      <c r="WOU243" s="19"/>
      <c r="WOV243" s="19"/>
      <c r="WOY243" s="16"/>
      <c r="WOZ243" s="15"/>
      <c r="WPA243" s="15"/>
      <c r="WPB243" s="15"/>
      <c r="WPC243" s="16"/>
      <c r="WPD243" s="16"/>
      <c r="WPE243" s="16"/>
      <c r="WPF243" s="16"/>
      <c r="WPG243" s="16"/>
      <c r="WPH243" s="15"/>
      <c r="WPI243" s="15"/>
      <c r="WPJ243" s="10"/>
      <c r="WPK243" s="10"/>
      <c r="WPL243" s="19"/>
      <c r="WPM243" s="19"/>
      <c r="WPP243" s="16"/>
      <c r="WPQ243" s="15"/>
      <c r="WPR243" s="15"/>
      <c r="WPS243" s="15"/>
      <c r="WPT243" s="16"/>
      <c r="WPU243" s="16"/>
      <c r="WPV243" s="16"/>
      <c r="WPW243" s="16"/>
      <c r="WPX243" s="16"/>
      <c r="WPY243" s="15"/>
      <c r="WPZ243" s="15"/>
      <c r="WQA243" s="10"/>
      <c r="WQB243" s="10"/>
      <c r="WQC243" s="19"/>
      <c r="WQD243" s="19"/>
      <c r="WQG243" s="16"/>
      <c r="WQH243" s="15"/>
      <c r="WQI243" s="15"/>
      <c r="WQJ243" s="15"/>
      <c r="WQK243" s="16"/>
      <c r="WQL243" s="16"/>
      <c r="WQM243" s="16"/>
      <c r="WQN243" s="16"/>
      <c r="WQO243" s="16"/>
      <c r="WQP243" s="15"/>
      <c r="WQQ243" s="15"/>
      <c r="WQR243" s="10"/>
      <c r="WQS243" s="10"/>
      <c r="WQT243" s="19"/>
      <c r="WQU243" s="19"/>
      <c r="WQX243" s="16"/>
      <c r="WQY243" s="15"/>
      <c r="WQZ243" s="15"/>
      <c r="WRA243" s="15"/>
      <c r="WRB243" s="16"/>
      <c r="WRC243" s="16"/>
      <c r="WRD243" s="16"/>
      <c r="WRE243" s="16"/>
      <c r="WRF243" s="16"/>
      <c r="WRG243" s="15"/>
      <c r="WRH243" s="15"/>
      <c r="WRI243" s="10"/>
      <c r="WRJ243" s="10"/>
      <c r="WRK243" s="19"/>
      <c r="WRL243" s="19"/>
      <c r="WRO243" s="16"/>
      <c r="WRP243" s="15"/>
      <c r="WRQ243" s="15"/>
      <c r="WRR243" s="15"/>
      <c r="WRS243" s="16"/>
      <c r="WRT243" s="16"/>
      <c r="WRU243" s="16"/>
      <c r="WRV243" s="16"/>
      <c r="WRW243" s="16"/>
      <c r="WRX243" s="15"/>
      <c r="WRY243" s="15"/>
      <c r="WRZ243" s="10"/>
      <c r="WSA243" s="10"/>
      <c r="WSB243" s="19"/>
      <c r="WSC243" s="19"/>
      <c r="WSF243" s="16"/>
      <c r="WSG243" s="15"/>
      <c r="WSH243" s="15"/>
      <c r="WSI243" s="15"/>
      <c r="WSJ243" s="16"/>
      <c r="WSK243" s="16"/>
      <c r="WSL243" s="16"/>
      <c r="WSM243" s="16"/>
      <c r="WSN243" s="16"/>
      <c r="WSO243" s="15"/>
      <c r="WSP243" s="15"/>
      <c r="WSQ243" s="10"/>
      <c r="WSR243" s="10"/>
      <c r="WSS243" s="19"/>
      <c r="WST243" s="19"/>
      <c r="WSW243" s="16"/>
      <c r="WSX243" s="15"/>
      <c r="WSY243" s="15"/>
      <c r="WSZ243" s="15"/>
      <c r="WTA243" s="16"/>
      <c r="WTB243" s="16"/>
      <c r="WTC243" s="16"/>
      <c r="WTD243" s="16"/>
      <c r="WTE243" s="16"/>
      <c r="WTF243" s="15"/>
      <c r="WTG243" s="15"/>
      <c r="WTH243" s="10"/>
      <c r="WTI243" s="10"/>
      <c r="WTJ243" s="19"/>
      <c r="WTK243" s="19"/>
      <c r="WTN243" s="16"/>
      <c r="WTO243" s="15"/>
      <c r="WTP243" s="15"/>
      <c r="WTQ243" s="15"/>
      <c r="WTR243" s="16"/>
      <c r="WTS243" s="16"/>
      <c r="WTT243" s="16"/>
      <c r="WTU243" s="16"/>
      <c r="WTV243" s="16"/>
      <c r="WTW243" s="15"/>
      <c r="WTX243" s="15"/>
      <c r="WTY243" s="10"/>
      <c r="WTZ243" s="10"/>
      <c r="WUA243" s="19"/>
      <c r="WUB243" s="19"/>
      <c r="WUE243" s="16"/>
      <c r="WUF243" s="15"/>
      <c r="WUG243" s="15"/>
      <c r="WUH243" s="15"/>
      <c r="WUI243" s="16"/>
      <c r="WUJ243" s="16"/>
      <c r="WUK243" s="16"/>
      <c r="WUL243" s="16"/>
      <c r="WUM243" s="16"/>
      <c r="WUN243" s="15"/>
      <c r="WUO243" s="15"/>
      <c r="WUP243" s="10"/>
      <c r="WUQ243" s="10"/>
      <c r="WUR243" s="19"/>
      <c r="WUS243" s="19"/>
      <c r="WUV243" s="16"/>
      <c r="WUW243" s="15"/>
      <c r="WUX243" s="15"/>
      <c r="WUY243" s="15"/>
      <c r="WUZ243" s="16"/>
      <c r="WVA243" s="16"/>
      <c r="WVB243" s="16"/>
      <c r="WVC243" s="16"/>
      <c r="WVD243" s="16"/>
      <c r="WVE243" s="15"/>
      <c r="WVF243" s="15"/>
      <c r="WVG243" s="10"/>
      <c r="WVH243" s="10"/>
      <c r="WVI243" s="19"/>
      <c r="WVJ243" s="19"/>
      <c r="WVM243" s="16"/>
      <c r="WVN243" s="15"/>
      <c r="WVO243" s="15"/>
      <c r="WVP243" s="15"/>
      <c r="WVQ243" s="16"/>
      <c r="WVR243" s="16"/>
      <c r="WVS243" s="16"/>
      <c r="WVT243" s="16"/>
      <c r="WVU243" s="16"/>
      <c r="WVV243" s="15"/>
      <c r="WVW243" s="15"/>
      <c r="WVX243" s="10"/>
      <c r="WVY243" s="10"/>
      <c r="WVZ243" s="19"/>
      <c r="WWA243" s="19"/>
      <c r="WWD243" s="16"/>
      <c r="WWE243" s="15"/>
      <c r="WWF243" s="15"/>
      <c r="WWG243" s="15"/>
      <c r="WWH243" s="16"/>
      <c r="WWI243" s="16"/>
      <c r="WWJ243" s="16"/>
      <c r="WWK243" s="16"/>
      <c r="WWL243" s="16"/>
      <c r="WWM243" s="15"/>
      <c r="WWN243" s="15"/>
      <c r="WWO243" s="10"/>
      <c r="WWP243" s="10"/>
      <c r="WWQ243" s="19"/>
      <c r="WWR243" s="19"/>
      <c r="WWU243" s="16"/>
      <c r="WWV243" s="15"/>
      <c r="WWW243" s="15"/>
      <c r="WWX243" s="15"/>
      <c r="WWY243" s="16"/>
      <c r="WWZ243" s="16"/>
      <c r="WXA243" s="16"/>
      <c r="WXB243" s="16"/>
      <c r="WXC243" s="16"/>
      <c r="WXD243" s="15"/>
      <c r="WXE243" s="15"/>
      <c r="WXF243" s="10"/>
      <c r="WXG243" s="10"/>
      <c r="WXH243" s="19"/>
      <c r="WXI243" s="19"/>
      <c r="WXL243" s="16"/>
      <c r="WXM243" s="15"/>
      <c r="WXN243" s="15"/>
      <c r="WXO243" s="15"/>
      <c r="WXP243" s="16"/>
      <c r="WXQ243" s="16"/>
      <c r="WXR243" s="16"/>
      <c r="WXS243" s="16"/>
      <c r="WXT243" s="16"/>
      <c r="WXU243" s="15"/>
      <c r="WXV243" s="15"/>
      <c r="WXW243" s="10"/>
      <c r="WXX243" s="10"/>
      <c r="WXY243" s="19"/>
      <c r="WXZ243" s="19"/>
      <c r="WYC243" s="16"/>
      <c r="WYD243" s="15"/>
      <c r="WYE243" s="15"/>
      <c r="WYF243" s="15"/>
      <c r="WYG243" s="16"/>
      <c r="WYH243" s="16"/>
      <c r="WYI243" s="16"/>
      <c r="WYJ243" s="16"/>
      <c r="WYK243" s="16"/>
      <c r="WYL243" s="15"/>
      <c r="WYM243" s="15"/>
      <c r="WYN243" s="10"/>
      <c r="WYO243" s="10"/>
      <c r="WYP243" s="19"/>
      <c r="WYQ243" s="19"/>
      <c r="WYT243" s="16"/>
      <c r="WYU243" s="15"/>
      <c r="WYV243" s="15"/>
      <c r="WYW243" s="15"/>
      <c r="WYX243" s="16"/>
      <c r="WYY243" s="16"/>
      <c r="WYZ243" s="16"/>
      <c r="WZA243" s="16"/>
      <c r="WZB243" s="16"/>
      <c r="WZC243" s="15"/>
      <c r="WZD243" s="15"/>
      <c r="WZE243" s="10"/>
      <c r="WZF243" s="10"/>
      <c r="WZG243" s="19"/>
      <c r="WZH243" s="19"/>
      <c r="WZK243" s="16"/>
      <c r="WZL243" s="15"/>
      <c r="WZM243" s="15"/>
      <c r="WZN243" s="15"/>
      <c r="WZO243" s="16"/>
      <c r="WZP243" s="16"/>
      <c r="WZQ243" s="16"/>
      <c r="WZR243" s="16"/>
      <c r="WZS243" s="16"/>
      <c r="WZT243" s="15"/>
      <c r="WZU243" s="15"/>
      <c r="WZV243" s="10"/>
      <c r="WZW243" s="10"/>
      <c r="WZX243" s="19"/>
      <c r="WZY243" s="19"/>
      <c r="XAB243" s="16"/>
      <c r="XAC243" s="15"/>
      <c r="XAD243" s="15"/>
      <c r="XAE243" s="15"/>
      <c r="XAF243" s="16"/>
      <c r="XAG243" s="16"/>
      <c r="XAH243" s="16"/>
      <c r="XAI243" s="16"/>
      <c r="XAJ243" s="16"/>
      <c r="XAK243" s="15"/>
      <c r="XAL243" s="15"/>
      <c r="XAM243" s="10"/>
      <c r="XAN243" s="10"/>
      <c r="XAO243" s="19"/>
      <c r="XAP243" s="19"/>
      <c r="XAS243" s="16"/>
      <c r="XAT243" s="15"/>
      <c r="XAU243" s="15"/>
      <c r="XAV243" s="15"/>
      <c r="XAW243" s="16"/>
      <c r="XAX243" s="16"/>
      <c r="XAY243" s="16"/>
      <c r="XAZ243" s="16"/>
      <c r="XBA243" s="16"/>
      <c r="XBB243" s="15"/>
      <c r="XBC243" s="15"/>
      <c r="XBD243" s="10"/>
      <c r="XBE243" s="10"/>
      <c r="XBF243" s="19"/>
      <c r="XBG243" s="19"/>
      <c r="XBJ243" s="16"/>
      <c r="XBK243" s="15"/>
      <c r="XBL243" s="15"/>
      <c r="XBM243" s="15"/>
      <c r="XBN243" s="16"/>
      <c r="XBO243" s="16"/>
      <c r="XBP243" s="16"/>
      <c r="XBQ243" s="16"/>
      <c r="XBR243" s="16"/>
      <c r="XBS243" s="15"/>
      <c r="XBT243" s="15"/>
      <c r="XBU243" s="10"/>
      <c r="XBV243" s="10"/>
      <c r="XBW243" s="19"/>
      <c r="XBX243" s="19"/>
      <c r="XCA243" s="16"/>
      <c r="XCB243" s="15"/>
      <c r="XCC243" s="15"/>
      <c r="XCD243" s="15"/>
      <c r="XCE243" s="16"/>
      <c r="XCF243" s="16"/>
      <c r="XCG243" s="16"/>
      <c r="XCH243" s="16"/>
      <c r="XCI243" s="16"/>
      <c r="XCJ243" s="15"/>
      <c r="XCK243" s="15"/>
      <c r="XCL243" s="10"/>
      <c r="XCM243" s="10"/>
      <c r="XCN243" s="19"/>
      <c r="XCO243" s="19"/>
      <c r="XCR243" s="16"/>
      <c r="XCS243" s="15"/>
      <c r="XCT243" s="15"/>
      <c r="XCU243" s="15"/>
      <c r="XCV243" s="16"/>
      <c r="XCW243" s="16"/>
      <c r="XCX243" s="16"/>
      <c r="XCY243" s="16"/>
      <c r="XCZ243" s="16"/>
      <c r="XDA243" s="15"/>
      <c r="XDB243" s="15"/>
      <c r="XDC243" s="10"/>
      <c r="XDD243" s="10"/>
      <c r="XDE243" s="19"/>
      <c r="XDF243" s="19"/>
      <c r="XDI243" s="16"/>
      <c r="XDJ243" s="15"/>
      <c r="XDK243" s="15"/>
      <c r="XDL243" s="15"/>
      <c r="XDM243" s="16"/>
      <c r="XDN243" s="16"/>
      <c r="XDO243" s="16"/>
      <c r="XDP243" s="16"/>
      <c r="XDQ243" s="16"/>
      <c r="XDR243" s="15"/>
      <c r="XDS243" s="15"/>
      <c r="XDT243" s="10"/>
      <c r="XDU243" s="10"/>
      <c r="XDV243" s="19"/>
      <c r="XDW243" s="19"/>
      <c r="XDZ243" s="16"/>
      <c r="XEA243" s="15"/>
      <c r="XEB243" s="15"/>
      <c r="XEC243" s="15"/>
      <c r="XED243" s="16"/>
      <c r="XEE243" s="16"/>
      <c r="XEF243" s="16"/>
      <c r="XEG243" s="16"/>
      <c r="XEH243" s="16"/>
      <c r="XEI243" s="15"/>
      <c r="XEJ243" s="15"/>
      <c r="XEK243" s="10"/>
      <c r="XEL243" s="10"/>
      <c r="XEM243" s="19"/>
      <c r="XEN243" s="19"/>
      <c r="XEQ243" s="16"/>
      <c r="XER243" s="15"/>
      <c r="XES243" s="15"/>
      <c r="XET243" s="15"/>
      <c r="XEU243" s="16"/>
      <c r="XEV243" s="16"/>
      <c r="XEW243" s="16"/>
      <c r="XEX243" s="16"/>
      <c r="XEY243" s="16"/>
      <c r="XEZ243" s="15"/>
      <c r="XFA243" s="15"/>
      <c r="XFB243" s="10"/>
      <c r="XFC243" s="10"/>
      <c r="XFD243" s="19"/>
    </row>
    <row r="244" spans="1:4094 4097:8191 8194:12288 12291:16384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1198</v>
      </c>
      <c r="E244" s="32" t="s">
        <v>164</v>
      </c>
      <c r="F244" s="32" t="s">
        <v>1199</v>
      </c>
      <c r="G244" s="32" t="s">
        <v>1201</v>
      </c>
      <c r="H244" s="32" t="s">
        <v>352</v>
      </c>
      <c r="I244" s="31" t="s">
        <v>1200</v>
      </c>
      <c r="J244" s="31">
        <v>99</v>
      </c>
      <c r="K244" s="33" t="s">
        <v>713</v>
      </c>
      <c r="L244" s="33" t="s">
        <v>684</v>
      </c>
      <c r="M244" s="34" t="s">
        <v>1366</v>
      </c>
      <c r="N244" s="34" t="s">
        <v>1696</v>
      </c>
      <c r="O244" s="35">
        <v>1</v>
      </c>
      <c r="P244" s="35"/>
      <c r="Q244" s="32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1</v>
      </c>
      <c r="AF244" s="1">
        <f t="shared" si="91"/>
        <v>0</v>
      </c>
      <c r="AG244" s="1">
        <f t="shared" si="92"/>
        <v>1</v>
      </c>
      <c r="AH244" s="1">
        <f t="shared" si="93"/>
        <v>0</v>
      </c>
      <c r="AI244" s="1">
        <f t="shared" si="94"/>
        <v>1</v>
      </c>
    </row>
    <row r="245" spans="1:4094 4097:8191 8194:12288 12291:16384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955</v>
      </c>
      <c r="E245" s="32" t="s">
        <v>164</v>
      </c>
      <c r="F245" s="32" t="s">
        <v>953</v>
      </c>
      <c r="G245" s="32" t="s">
        <v>1082</v>
      </c>
      <c r="H245" s="32" t="s">
        <v>352</v>
      </c>
      <c r="I245" s="31" t="s">
        <v>954</v>
      </c>
      <c r="J245" s="31">
        <v>1</v>
      </c>
      <c r="K245" s="33" t="s">
        <v>933</v>
      </c>
      <c r="L245" s="33" t="s">
        <v>680</v>
      </c>
      <c r="M245" s="34" t="s">
        <v>1367</v>
      </c>
      <c r="N245" s="34" t="s">
        <v>1700</v>
      </c>
      <c r="O245" s="35">
        <v>1</v>
      </c>
      <c r="P245" s="35"/>
      <c r="Q245" s="32"/>
      <c r="R245" s="15"/>
      <c r="S245" s="1">
        <f t="shared" si="79"/>
        <v>1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91"/>
        <v>0</v>
      </c>
      <c r="AG245" s="1">
        <f t="shared" si="92"/>
        <v>1</v>
      </c>
      <c r="AH245" s="1">
        <f t="shared" si="93"/>
        <v>0</v>
      </c>
      <c r="AI245" s="1">
        <f t="shared" si="94"/>
        <v>1</v>
      </c>
      <c r="AJ245" s="15"/>
      <c r="AK245" s="15"/>
      <c r="AL245" s="15"/>
      <c r="AM245" s="15"/>
      <c r="AN245" s="15"/>
      <c r="AO245" s="15"/>
      <c r="AP245" s="15"/>
      <c r="AQ245" s="15"/>
      <c r="AR245" s="15"/>
      <c r="AS245" s="10"/>
      <c r="AT245" s="10"/>
      <c r="AU245" s="21"/>
      <c r="AV245" s="21"/>
      <c r="AY245" s="21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0"/>
      <c r="BK245" s="10"/>
      <c r="BL245" s="21"/>
      <c r="BM245" s="21"/>
      <c r="BP245" s="21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0"/>
      <c r="CB245" s="10"/>
      <c r="CC245" s="21"/>
      <c r="CD245" s="21"/>
      <c r="CG245" s="21"/>
      <c r="CH245" s="15"/>
      <c r="CI245" s="15"/>
      <c r="CJ245" s="15"/>
      <c r="CK245" s="15"/>
      <c r="CL245" s="15"/>
      <c r="CM245" s="15"/>
      <c r="CN245" s="15"/>
      <c r="CO245" s="15"/>
      <c r="CP245" s="15"/>
      <c r="CQ245" s="15"/>
      <c r="CR245" s="10"/>
      <c r="CS245" s="10"/>
      <c r="CT245" s="21"/>
      <c r="CU245" s="21"/>
      <c r="CX245" s="21"/>
      <c r="CY245" s="15"/>
      <c r="CZ245" s="15"/>
      <c r="DA245" s="15"/>
      <c r="DB245" s="15"/>
      <c r="DC245" s="15"/>
      <c r="DD245" s="15"/>
      <c r="DE245" s="15"/>
      <c r="DF245" s="15"/>
      <c r="DG245" s="15"/>
      <c r="DH245" s="15"/>
      <c r="DI245" s="10"/>
      <c r="DJ245" s="10"/>
      <c r="DK245" s="21"/>
      <c r="DL245" s="21"/>
      <c r="DO245" s="21"/>
      <c r="DP245" s="15"/>
      <c r="DQ245" s="15"/>
      <c r="DR245" s="15"/>
      <c r="DS245" s="15"/>
      <c r="DT245" s="15"/>
      <c r="DU245" s="15"/>
      <c r="DV245" s="15"/>
      <c r="DW245" s="15"/>
      <c r="DX245" s="15"/>
      <c r="DY245" s="15"/>
      <c r="DZ245" s="10"/>
      <c r="EA245" s="10"/>
      <c r="EB245" s="21"/>
      <c r="EC245" s="21"/>
      <c r="EF245" s="21"/>
      <c r="EG245" s="15"/>
      <c r="EH245" s="15"/>
      <c r="EI245" s="15"/>
      <c r="EJ245" s="15"/>
      <c r="EK245" s="15"/>
      <c r="EL245" s="15"/>
      <c r="EM245" s="15"/>
      <c r="EN245" s="15"/>
      <c r="EO245" s="15"/>
      <c r="EP245" s="15"/>
      <c r="EQ245" s="10"/>
      <c r="ER245" s="10"/>
      <c r="ES245" s="21"/>
      <c r="ET245" s="21"/>
      <c r="EW245" s="21"/>
      <c r="EX245" s="15"/>
      <c r="EY245" s="15"/>
      <c r="EZ245" s="15"/>
      <c r="FA245" s="15"/>
      <c r="FB245" s="15"/>
      <c r="FC245" s="15"/>
      <c r="FD245" s="15"/>
      <c r="FE245" s="15"/>
      <c r="FF245" s="15"/>
      <c r="FG245" s="15"/>
      <c r="FH245" s="10"/>
      <c r="FI245" s="10"/>
      <c r="FJ245" s="21"/>
      <c r="FK245" s="21"/>
      <c r="FN245" s="21"/>
      <c r="FO245" s="15"/>
      <c r="FP245" s="15"/>
      <c r="FQ245" s="15"/>
      <c r="FR245" s="15"/>
      <c r="FS245" s="15"/>
      <c r="FT245" s="15"/>
      <c r="FU245" s="15"/>
      <c r="FV245" s="15"/>
      <c r="FW245" s="15"/>
      <c r="FX245" s="15"/>
      <c r="FY245" s="10"/>
      <c r="FZ245" s="10"/>
      <c r="GA245" s="21"/>
      <c r="GB245" s="21"/>
      <c r="GE245" s="21"/>
      <c r="GF245" s="15"/>
      <c r="GG245" s="15"/>
      <c r="GH245" s="15"/>
      <c r="GI245" s="15"/>
      <c r="GJ245" s="15"/>
      <c r="GK245" s="15"/>
      <c r="GL245" s="15"/>
      <c r="GM245" s="15"/>
      <c r="GN245" s="15"/>
      <c r="GO245" s="15"/>
      <c r="GP245" s="10"/>
      <c r="GQ245" s="10"/>
      <c r="GR245" s="21"/>
      <c r="GS245" s="21"/>
      <c r="GV245" s="21"/>
      <c r="GW245" s="15"/>
      <c r="GX245" s="15"/>
      <c r="GY245" s="15"/>
      <c r="GZ245" s="15"/>
      <c r="HA245" s="15"/>
      <c r="HB245" s="15"/>
      <c r="HC245" s="15"/>
      <c r="HD245" s="15"/>
      <c r="HE245" s="15"/>
      <c r="HF245" s="15"/>
      <c r="HG245" s="10"/>
      <c r="HH245" s="10"/>
      <c r="HI245" s="21"/>
      <c r="HJ245" s="21"/>
      <c r="HM245" s="21"/>
      <c r="HN245" s="15"/>
      <c r="HO245" s="15"/>
      <c r="HP245" s="15"/>
      <c r="HQ245" s="15"/>
      <c r="HR245" s="15"/>
      <c r="HS245" s="15"/>
      <c r="HT245" s="15"/>
      <c r="HU245" s="15"/>
      <c r="HV245" s="15"/>
      <c r="HW245" s="15"/>
      <c r="HX245" s="10"/>
      <c r="HY245" s="10"/>
      <c r="HZ245" s="21"/>
      <c r="IA245" s="21"/>
      <c r="ID245" s="21"/>
      <c r="IE245" s="15"/>
      <c r="IF245" s="15"/>
      <c r="IG245" s="15"/>
      <c r="IH245" s="15"/>
      <c r="II245" s="15"/>
      <c r="IJ245" s="15"/>
      <c r="IK245" s="15"/>
      <c r="IL245" s="15"/>
      <c r="IM245" s="15"/>
      <c r="IN245" s="15"/>
      <c r="IO245" s="10"/>
      <c r="IP245" s="10"/>
      <c r="IQ245" s="21"/>
      <c r="IR245" s="21"/>
      <c r="IU245" s="21"/>
      <c r="IV245" s="15"/>
      <c r="IW245" s="15"/>
      <c r="IX245" s="15"/>
      <c r="IY245" s="15"/>
      <c r="IZ245" s="15"/>
      <c r="JA245" s="15"/>
      <c r="JB245" s="15"/>
      <c r="JC245" s="15"/>
      <c r="JD245" s="15"/>
      <c r="JE245" s="15"/>
      <c r="JF245" s="10"/>
      <c r="JG245" s="10"/>
      <c r="JH245" s="21"/>
      <c r="JI245" s="21"/>
      <c r="JL245" s="21"/>
      <c r="JM245" s="15"/>
      <c r="JN245" s="15"/>
      <c r="JO245" s="15"/>
      <c r="JP245" s="15"/>
      <c r="JQ245" s="15"/>
      <c r="JR245" s="15"/>
      <c r="JS245" s="15"/>
      <c r="JT245" s="15"/>
      <c r="JU245" s="15"/>
      <c r="JV245" s="15"/>
      <c r="JW245" s="10"/>
      <c r="JX245" s="10"/>
      <c r="JY245" s="21"/>
      <c r="JZ245" s="21"/>
      <c r="KC245" s="21"/>
      <c r="KD245" s="15"/>
      <c r="KE245" s="15"/>
      <c r="KF245" s="15"/>
      <c r="KG245" s="15"/>
      <c r="KH245" s="15"/>
      <c r="KI245" s="15"/>
      <c r="KJ245" s="15"/>
      <c r="KK245" s="15"/>
      <c r="KL245" s="15"/>
      <c r="KM245" s="15"/>
      <c r="KN245" s="10"/>
      <c r="KO245" s="10"/>
      <c r="KP245" s="21"/>
      <c r="KQ245" s="21"/>
      <c r="KT245" s="21"/>
      <c r="KU245" s="15"/>
      <c r="KV245" s="15"/>
      <c r="KW245" s="15"/>
      <c r="KX245" s="15"/>
      <c r="KY245" s="15"/>
      <c r="KZ245" s="15"/>
      <c r="LA245" s="15"/>
      <c r="LB245" s="15"/>
      <c r="LC245" s="15"/>
      <c r="LD245" s="15"/>
      <c r="LE245" s="10"/>
      <c r="LF245" s="10"/>
      <c r="LG245" s="21"/>
      <c r="LH245" s="21"/>
      <c r="LK245" s="21"/>
      <c r="LL245" s="15"/>
      <c r="LM245" s="15"/>
      <c r="LN245" s="15"/>
      <c r="LO245" s="15"/>
      <c r="LP245" s="15"/>
      <c r="LQ245" s="15"/>
      <c r="LR245" s="15"/>
      <c r="LS245" s="15"/>
      <c r="LT245" s="15"/>
      <c r="LU245" s="15"/>
      <c r="LV245" s="10"/>
      <c r="LW245" s="10"/>
      <c r="LX245" s="21"/>
      <c r="LY245" s="21"/>
      <c r="MB245" s="21"/>
      <c r="MC245" s="15"/>
      <c r="MD245" s="15"/>
      <c r="ME245" s="15"/>
      <c r="MF245" s="15"/>
      <c r="MG245" s="15"/>
      <c r="MH245" s="15"/>
      <c r="MI245" s="15"/>
      <c r="MJ245" s="15"/>
      <c r="MK245" s="15"/>
      <c r="ML245" s="15"/>
      <c r="MM245" s="10"/>
      <c r="MN245" s="10"/>
      <c r="MO245" s="21"/>
      <c r="MP245" s="21"/>
      <c r="MS245" s="21"/>
      <c r="MT245" s="15"/>
      <c r="MU245" s="15"/>
      <c r="MV245" s="15"/>
      <c r="MW245" s="15"/>
      <c r="MX245" s="15"/>
      <c r="MY245" s="15"/>
      <c r="MZ245" s="15"/>
      <c r="NA245" s="15"/>
      <c r="NB245" s="15"/>
      <c r="NC245" s="15"/>
      <c r="ND245" s="10"/>
      <c r="NE245" s="10"/>
      <c r="NF245" s="21"/>
      <c r="NG245" s="21"/>
      <c r="NJ245" s="21"/>
      <c r="NK245" s="15"/>
      <c r="NL245" s="15"/>
      <c r="NM245" s="15"/>
      <c r="NN245" s="15"/>
      <c r="NO245" s="15"/>
      <c r="NP245" s="15"/>
      <c r="NQ245" s="15"/>
      <c r="NR245" s="15"/>
      <c r="NS245" s="15"/>
      <c r="NT245" s="15"/>
      <c r="NU245" s="10"/>
      <c r="NV245" s="10"/>
      <c r="NW245" s="21"/>
      <c r="NX245" s="21"/>
      <c r="OA245" s="21"/>
      <c r="OB245" s="15"/>
      <c r="OC245" s="15"/>
      <c r="OD245" s="15"/>
      <c r="OE245" s="15"/>
      <c r="OF245" s="15"/>
      <c r="OG245" s="15"/>
      <c r="OH245" s="15"/>
      <c r="OI245" s="15"/>
      <c r="OJ245" s="15"/>
      <c r="OK245" s="15"/>
      <c r="OL245" s="10"/>
      <c r="OM245" s="10"/>
      <c r="ON245" s="21"/>
      <c r="OO245" s="21"/>
      <c r="OR245" s="21"/>
      <c r="OS245" s="15"/>
      <c r="OT245" s="15"/>
      <c r="OU245" s="15"/>
      <c r="OV245" s="15"/>
      <c r="OW245" s="15"/>
      <c r="OX245" s="15"/>
      <c r="OY245" s="15"/>
      <c r="OZ245" s="15"/>
      <c r="PA245" s="15"/>
      <c r="PB245" s="15"/>
      <c r="PC245" s="10"/>
      <c r="PD245" s="10"/>
      <c r="PE245" s="21"/>
      <c r="PF245" s="21"/>
      <c r="PI245" s="21"/>
      <c r="PJ245" s="15"/>
      <c r="PK245" s="15"/>
      <c r="PL245" s="15"/>
      <c r="PM245" s="15"/>
      <c r="PN245" s="15"/>
      <c r="PO245" s="15"/>
      <c r="PP245" s="15"/>
      <c r="PQ245" s="15"/>
      <c r="PR245" s="15"/>
      <c r="PS245" s="15"/>
      <c r="PT245" s="10"/>
      <c r="PU245" s="10"/>
      <c r="PV245" s="21"/>
      <c r="PW245" s="21"/>
      <c r="PZ245" s="21"/>
      <c r="QA245" s="15"/>
      <c r="QB245" s="15"/>
      <c r="QC245" s="15"/>
      <c r="QD245" s="15"/>
      <c r="QE245" s="15"/>
      <c r="QF245" s="15"/>
      <c r="QG245" s="15"/>
      <c r="QH245" s="15"/>
      <c r="QI245" s="15"/>
      <c r="QJ245" s="15"/>
      <c r="QK245" s="10"/>
      <c r="QL245" s="10"/>
      <c r="QM245" s="21"/>
      <c r="QN245" s="21"/>
      <c r="QQ245" s="21"/>
      <c r="QR245" s="15"/>
      <c r="QS245" s="15"/>
      <c r="QT245" s="15"/>
      <c r="QU245" s="15"/>
      <c r="QV245" s="15"/>
      <c r="QW245" s="15"/>
      <c r="QX245" s="15"/>
      <c r="QY245" s="15"/>
      <c r="QZ245" s="15"/>
      <c r="RA245" s="15"/>
      <c r="RB245" s="10"/>
      <c r="RC245" s="10"/>
      <c r="RD245" s="21"/>
      <c r="RE245" s="21"/>
      <c r="RH245" s="21"/>
      <c r="RI245" s="15"/>
      <c r="RJ245" s="15"/>
      <c r="RK245" s="15"/>
      <c r="RL245" s="15"/>
      <c r="RM245" s="15"/>
      <c r="RN245" s="15"/>
      <c r="RO245" s="15"/>
      <c r="RP245" s="15"/>
      <c r="RQ245" s="15"/>
      <c r="RR245" s="15"/>
      <c r="RS245" s="10"/>
      <c r="RT245" s="10"/>
      <c r="RU245" s="21"/>
      <c r="RV245" s="21"/>
      <c r="RY245" s="21"/>
      <c r="RZ245" s="15"/>
      <c r="SA245" s="15"/>
      <c r="SB245" s="15"/>
      <c r="SC245" s="15"/>
      <c r="SD245" s="15"/>
      <c r="SE245" s="15"/>
      <c r="SF245" s="15"/>
      <c r="SG245" s="15"/>
      <c r="SH245" s="15"/>
      <c r="SI245" s="15"/>
      <c r="SJ245" s="10"/>
      <c r="SK245" s="10"/>
      <c r="SL245" s="21"/>
      <c r="SM245" s="21"/>
      <c r="SP245" s="21"/>
      <c r="SQ245" s="15"/>
      <c r="SR245" s="15"/>
      <c r="SS245" s="15"/>
      <c r="ST245" s="15"/>
      <c r="SU245" s="15"/>
      <c r="SV245" s="15"/>
      <c r="SW245" s="15"/>
      <c r="SX245" s="15"/>
      <c r="SY245" s="15"/>
      <c r="SZ245" s="15"/>
      <c r="TA245" s="10"/>
      <c r="TB245" s="10"/>
      <c r="TC245" s="21"/>
      <c r="TD245" s="21"/>
      <c r="TG245" s="21"/>
      <c r="TH245" s="15"/>
      <c r="TI245" s="15"/>
      <c r="TJ245" s="15"/>
      <c r="TK245" s="15"/>
      <c r="TL245" s="15"/>
      <c r="TM245" s="15"/>
      <c r="TN245" s="15"/>
      <c r="TO245" s="15"/>
      <c r="TP245" s="15"/>
      <c r="TQ245" s="15"/>
      <c r="TR245" s="10"/>
      <c r="TS245" s="10"/>
      <c r="TT245" s="21"/>
      <c r="TU245" s="21"/>
      <c r="TX245" s="21"/>
      <c r="TY245" s="15"/>
      <c r="TZ245" s="15"/>
      <c r="UA245" s="15"/>
      <c r="UB245" s="15"/>
      <c r="UC245" s="15"/>
      <c r="UD245" s="15"/>
      <c r="UE245" s="15"/>
      <c r="UF245" s="15"/>
      <c r="UG245" s="15"/>
      <c r="UH245" s="15"/>
      <c r="UI245" s="10"/>
      <c r="UJ245" s="10"/>
      <c r="UK245" s="21"/>
      <c r="UL245" s="21"/>
      <c r="UO245" s="21"/>
      <c r="UP245" s="15"/>
      <c r="UQ245" s="15"/>
      <c r="UR245" s="15"/>
      <c r="US245" s="15"/>
      <c r="UT245" s="15"/>
      <c r="UU245" s="15"/>
      <c r="UV245" s="15"/>
      <c r="UW245" s="15"/>
      <c r="UX245" s="15"/>
      <c r="UY245" s="15"/>
      <c r="UZ245" s="10"/>
      <c r="VA245" s="10"/>
      <c r="VB245" s="21"/>
      <c r="VC245" s="21"/>
      <c r="VF245" s="21"/>
      <c r="VG245" s="15"/>
      <c r="VH245" s="15"/>
      <c r="VI245" s="15"/>
      <c r="VJ245" s="15"/>
      <c r="VK245" s="15"/>
      <c r="VL245" s="15"/>
      <c r="VM245" s="15"/>
      <c r="VN245" s="15"/>
      <c r="VO245" s="15"/>
      <c r="VP245" s="15"/>
      <c r="VQ245" s="10"/>
      <c r="VR245" s="10"/>
      <c r="VS245" s="21"/>
      <c r="VT245" s="21"/>
      <c r="VW245" s="21"/>
      <c r="VX245" s="15"/>
      <c r="VY245" s="15"/>
      <c r="VZ245" s="15"/>
      <c r="WA245" s="15"/>
      <c r="WB245" s="15"/>
      <c r="WC245" s="15"/>
      <c r="WD245" s="15"/>
      <c r="WE245" s="15"/>
      <c r="WF245" s="15"/>
      <c r="WG245" s="15"/>
      <c r="WH245" s="10"/>
      <c r="WI245" s="10"/>
      <c r="WJ245" s="21"/>
      <c r="WK245" s="21"/>
      <c r="WN245" s="21"/>
      <c r="WO245" s="15"/>
      <c r="WP245" s="15"/>
      <c r="WQ245" s="15"/>
      <c r="WR245" s="15"/>
      <c r="WS245" s="15"/>
      <c r="WT245" s="15"/>
      <c r="WU245" s="15"/>
      <c r="WV245" s="15"/>
      <c r="WW245" s="15"/>
      <c r="WX245" s="15"/>
      <c r="WY245" s="10"/>
      <c r="WZ245" s="10"/>
      <c r="XA245" s="21"/>
      <c r="XB245" s="21"/>
      <c r="XE245" s="21"/>
      <c r="XF245" s="15"/>
      <c r="XG245" s="15"/>
      <c r="XH245" s="15"/>
      <c r="XI245" s="15"/>
      <c r="XJ245" s="15"/>
      <c r="XK245" s="15"/>
      <c r="XL245" s="15"/>
      <c r="XM245" s="15"/>
      <c r="XN245" s="15"/>
      <c r="XO245" s="15"/>
      <c r="XP245" s="10"/>
      <c r="XQ245" s="10"/>
      <c r="XR245" s="21"/>
      <c r="XS245" s="21"/>
      <c r="XV245" s="21"/>
      <c r="XW245" s="15"/>
      <c r="XX245" s="15"/>
      <c r="XY245" s="15"/>
      <c r="XZ245" s="15"/>
      <c r="YA245" s="15"/>
      <c r="YB245" s="15"/>
      <c r="YC245" s="15"/>
      <c r="YD245" s="15"/>
      <c r="YE245" s="15"/>
      <c r="YF245" s="15"/>
      <c r="YG245" s="10"/>
      <c r="YH245" s="10"/>
      <c r="YI245" s="21"/>
      <c r="YJ245" s="21"/>
      <c r="YM245" s="21"/>
      <c r="YN245" s="15"/>
      <c r="YO245" s="15"/>
      <c r="YP245" s="15"/>
      <c r="YQ245" s="15"/>
      <c r="YR245" s="15"/>
      <c r="YS245" s="15"/>
      <c r="YT245" s="15"/>
      <c r="YU245" s="15"/>
      <c r="YV245" s="15"/>
      <c r="YW245" s="15"/>
      <c r="YX245" s="10"/>
      <c r="YY245" s="10"/>
      <c r="YZ245" s="21"/>
      <c r="ZA245" s="21"/>
      <c r="ZD245" s="21"/>
      <c r="ZE245" s="15"/>
      <c r="ZF245" s="15"/>
      <c r="ZG245" s="15"/>
      <c r="ZH245" s="15"/>
      <c r="ZI245" s="15"/>
      <c r="ZJ245" s="15"/>
      <c r="ZK245" s="15"/>
      <c r="ZL245" s="15"/>
      <c r="ZM245" s="15"/>
      <c r="ZN245" s="15"/>
      <c r="ZO245" s="10"/>
      <c r="ZP245" s="10"/>
      <c r="ZQ245" s="21"/>
      <c r="ZR245" s="21"/>
      <c r="ZU245" s="21"/>
      <c r="ZV245" s="15"/>
      <c r="ZW245" s="15"/>
      <c r="ZX245" s="15"/>
      <c r="ZY245" s="15"/>
      <c r="ZZ245" s="15"/>
      <c r="AAA245" s="15"/>
      <c r="AAB245" s="15"/>
      <c r="AAC245" s="15"/>
      <c r="AAD245" s="15"/>
      <c r="AAE245" s="15"/>
      <c r="AAF245" s="10"/>
      <c r="AAG245" s="10"/>
      <c r="AAH245" s="21"/>
      <c r="AAI245" s="21"/>
      <c r="AAL245" s="21"/>
      <c r="AAM245" s="15"/>
      <c r="AAN245" s="15"/>
      <c r="AAO245" s="15"/>
      <c r="AAP245" s="15"/>
      <c r="AAQ245" s="15"/>
      <c r="AAR245" s="15"/>
      <c r="AAS245" s="15"/>
      <c r="AAT245" s="15"/>
      <c r="AAU245" s="15"/>
      <c r="AAV245" s="15"/>
      <c r="AAW245" s="10"/>
      <c r="AAX245" s="10"/>
      <c r="AAY245" s="21"/>
      <c r="AAZ245" s="21"/>
      <c r="ABC245" s="21"/>
      <c r="ABD245" s="15"/>
      <c r="ABE245" s="15"/>
      <c r="ABF245" s="15"/>
      <c r="ABG245" s="15"/>
      <c r="ABH245" s="15"/>
      <c r="ABI245" s="15"/>
      <c r="ABJ245" s="15"/>
      <c r="ABK245" s="15"/>
      <c r="ABL245" s="15"/>
      <c r="ABM245" s="15"/>
      <c r="ABN245" s="10"/>
      <c r="ABO245" s="10"/>
      <c r="ABP245" s="21"/>
      <c r="ABQ245" s="21"/>
      <c r="ABT245" s="21"/>
      <c r="ABU245" s="15"/>
      <c r="ABV245" s="15"/>
      <c r="ABW245" s="15"/>
      <c r="ABX245" s="15"/>
      <c r="ABY245" s="15"/>
      <c r="ABZ245" s="15"/>
      <c r="ACA245" s="15"/>
      <c r="ACB245" s="15"/>
      <c r="ACC245" s="15"/>
      <c r="ACD245" s="15"/>
      <c r="ACE245" s="10"/>
      <c r="ACF245" s="10"/>
      <c r="ACG245" s="21"/>
      <c r="ACH245" s="21"/>
      <c r="ACK245" s="21"/>
      <c r="ACL245" s="15"/>
      <c r="ACM245" s="15"/>
      <c r="ACN245" s="15"/>
      <c r="ACO245" s="15"/>
      <c r="ACP245" s="15"/>
      <c r="ACQ245" s="15"/>
      <c r="ACR245" s="15"/>
      <c r="ACS245" s="15"/>
      <c r="ACT245" s="15"/>
      <c r="ACU245" s="15"/>
      <c r="ACV245" s="10"/>
      <c r="ACW245" s="10"/>
      <c r="ACX245" s="21"/>
      <c r="ACY245" s="21"/>
      <c r="ADB245" s="21"/>
      <c r="ADC245" s="15"/>
      <c r="ADD245" s="15"/>
      <c r="ADE245" s="15"/>
      <c r="ADF245" s="15"/>
      <c r="ADG245" s="15"/>
      <c r="ADH245" s="15"/>
      <c r="ADI245" s="15"/>
      <c r="ADJ245" s="15"/>
      <c r="ADK245" s="15"/>
      <c r="ADL245" s="15"/>
      <c r="ADM245" s="10"/>
      <c r="ADN245" s="10"/>
      <c r="ADO245" s="21"/>
      <c r="ADP245" s="21"/>
      <c r="ADS245" s="21"/>
      <c r="ADT245" s="15"/>
      <c r="ADU245" s="15"/>
      <c r="ADV245" s="15"/>
      <c r="ADW245" s="15"/>
      <c r="ADX245" s="15"/>
      <c r="ADY245" s="15"/>
      <c r="ADZ245" s="15"/>
      <c r="AEA245" s="15"/>
      <c r="AEB245" s="15"/>
      <c r="AEC245" s="15"/>
      <c r="AED245" s="10"/>
      <c r="AEE245" s="10"/>
      <c r="AEF245" s="21"/>
      <c r="AEG245" s="21"/>
      <c r="AEJ245" s="21"/>
      <c r="AEK245" s="15"/>
      <c r="AEL245" s="15"/>
      <c r="AEM245" s="15"/>
      <c r="AEN245" s="15"/>
      <c r="AEO245" s="15"/>
      <c r="AEP245" s="15"/>
      <c r="AEQ245" s="15"/>
      <c r="AER245" s="15"/>
      <c r="AES245" s="15"/>
      <c r="AET245" s="15"/>
      <c r="AEU245" s="10"/>
      <c r="AEV245" s="10"/>
      <c r="AEW245" s="21"/>
      <c r="AEX245" s="21"/>
      <c r="AFA245" s="21"/>
      <c r="AFB245" s="15"/>
      <c r="AFC245" s="15"/>
      <c r="AFD245" s="15"/>
      <c r="AFE245" s="15"/>
      <c r="AFF245" s="15"/>
      <c r="AFG245" s="15"/>
      <c r="AFH245" s="15"/>
      <c r="AFI245" s="15"/>
      <c r="AFJ245" s="15"/>
      <c r="AFK245" s="15"/>
      <c r="AFL245" s="10"/>
      <c r="AFM245" s="10"/>
      <c r="AFN245" s="21"/>
      <c r="AFO245" s="21"/>
      <c r="AFR245" s="21"/>
      <c r="AFS245" s="15"/>
      <c r="AFT245" s="15"/>
      <c r="AFU245" s="15"/>
      <c r="AFV245" s="15"/>
      <c r="AFW245" s="15"/>
      <c r="AFX245" s="15"/>
      <c r="AFY245" s="15"/>
      <c r="AFZ245" s="15"/>
      <c r="AGA245" s="15"/>
      <c r="AGB245" s="15"/>
      <c r="AGC245" s="10"/>
      <c r="AGD245" s="10"/>
      <c r="AGE245" s="21"/>
      <c r="AGF245" s="21"/>
      <c r="AGI245" s="21"/>
      <c r="AGJ245" s="15"/>
      <c r="AGK245" s="15"/>
      <c r="AGL245" s="15"/>
      <c r="AGM245" s="15"/>
      <c r="AGN245" s="15"/>
      <c r="AGO245" s="15"/>
      <c r="AGP245" s="15"/>
      <c r="AGQ245" s="15"/>
      <c r="AGR245" s="15"/>
      <c r="AGS245" s="15"/>
      <c r="AGT245" s="10"/>
      <c r="AGU245" s="10"/>
      <c r="AGV245" s="21"/>
      <c r="AGW245" s="21"/>
      <c r="AGZ245" s="21"/>
      <c r="AHA245" s="15"/>
      <c r="AHB245" s="15"/>
      <c r="AHC245" s="15"/>
      <c r="AHD245" s="15"/>
      <c r="AHE245" s="15"/>
      <c r="AHF245" s="15"/>
      <c r="AHG245" s="15"/>
      <c r="AHH245" s="15"/>
      <c r="AHI245" s="15"/>
      <c r="AHJ245" s="15"/>
      <c r="AHK245" s="10"/>
      <c r="AHL245" s="10"/>
      <c r="AHM245" s="21"/>
      <c r="AHN245" s="21"/>
      <c r="AHQ245" s="21"/>
      <c r="AHR245" s="15"/>
      <c r="AHS245" s="15"/>
      <c r="AHT245" s="15"/>
      <c r="AHU245" s="15"/>
      <c r="AHV245" s="15"/>
      <c r="AHW245" s="15"/>
      <c r="AHX245" s="15"/>
      <c r="AHY245" s="15"/>
      <c r="AHZ245" s="15"/>
      <c r="AIA245" s="15"/>
      <c r="AIB245" s="10"/>
      <c r="AIC245" s="10"/>
      <c r="AID245" s="21"/>
      <c r="AIE245" s="21"/>
      <c r="AIH245" s="21"/>
      <c r="AII245" s="15"/>
      <c r="AIJ245" s="15"/>
      <c r="AIK245" s="15"/>
      <c r="AIL245" s="15"/>
      <c r="AIM245" s="15"/>
      <c r="AIN245" s="15"/>
      <c r="AIO245" s="15"/>
      <c r="AIP245" s="15"/>
      <c r="AIQ245" s="15"/>
      <c r="AIR245" s="15"/>
      <c r="AIS245" s="10"/>
      <c r="AIT245" s="10"/>
      <c r="AIU245" s="21"/>
      <c r="AIV245" s="21"/>
      <c r="AIY245" s="21"/>
      <c r="AIZ245" s="15"/>
      <c r="AJA245" s="15"/>
      <c r="AJB245" s="15"/>
      <c r="AJC245" s="15"/>
      <c r="AJD245" s="15"/>
      <c r="AJE245" s="15"/>
      <c r="AJF245" s="15"/>
      <c r="AJG245" s="15"/>
      <c r="AJH245" s="15"/>
      <c r="AJI245" s="15"/>
      <c r="AJJ245" s="10"/>
      <c r="AJK245" s="10"/>
      <c r="AJL245" s="21"/>
      <c r="AJM245" s="21"/>
      <c r="AJP245" s="21"/>
      <c r="AJQ245" s="15"/>
      <c r="AJR245" s="15"/>
      <c r="AJS245" s="15"/>
      <c r="AJT245" s="15"/>
      <c r="AJU245" s="15"/>
      <c r="AJV245" s="15"/>
      <c r="AJW245" s="15"/>
      <c r="AJX245" s="15"/>
      <c r="AJY245" s="15"/>
      <c r="AJZ245" s="15"/>
      <c r="AKA245" s="10"/>
      <c r="AKB245" s="10"/>
      <c r="AKC245" s="21"/>
      <c r="AKD245" s="21"/>
      <c r="AKG245" s="21"/>
      <c r="AKH245" s="15"/>
      <c r="AKI245" s="15"/>
      <c r="AKJ245" s="15"/>
      <c r="AKK245" s="15"/>
      <c r="AKL245" s="15"/>
      <c r="AKM245" s="15"/>
      <c r="AKN245" s="15"/>
      <c r="AKO245" s="15"/>
      <c r="AKP245" s="15"/>
      <c r="AKQ245" s="15"/>
      <c r="AKR245" s="10"/>
      <c r="AKS245" s="10"/>
      <c r="AKT245" s="21"/>
      <c r="AKU245" s="21"/>
      <c r="AKX245" s="21"/>
      <c r="AKY245" s="15"/>
      <c r="AKZ245" s="15"/>
      <c r="ALA245" s="15"/>
      <c r="ALB245" s="15"/>
      <c r="ALC245" s="15"/>
      <c r="ALD245" s="15"/>
      <c r="ALE245" s="15"/>
      <c r="ALF245" s="15"/>
      <c r="ALG245" s="15"/>
      <c r="ALH245" s="15"/>
      <c r="ALI245" s="10"/>
      <c r="ALJ245" s="10"/>
      <c r="ALK245" s="21"/>
      <c r="ALL245" s="21"/>
      <c r="ALO245" s="21"/>
      <c r="ALP245" s="15"/>
      <c r="ALQ245" s="15"/>
      <c r="ALR245" s="15"/>
      <c r="ALS245" s="15"/>
      <c r="ALT245" s="15"/>
      <c r="ALU245" s="15"/>
      <c r="ALV245" s="15"/>
      <c r="ALW245" s="15"/>
      <c r="ALX245" s="15"/>
      <c r="ALY245" s="15"/>
      <c r="ALZ245" s="10"/>
      <c r="AMA245" s="10"/>
      <c r="AMB245" s="21"/>
      <c r="AMC245" s="21"/>
      <c r="AMF245" s="21"/>
      <c r="AMG245" s="15"/>
      <c r="AMH245" s="15"/>
      <c r="AMI245" s="15"/>
      <c r="AMJ245" s="15"/>
      <c r="AMK245" s="15"/>
      <c r="AML245" s="15"/>
      <c r="AMM245" s="15"/>
      <c r="AMN245" s="15"/>
      <c r="AMO245" s="15"/>
      <c r="AMP245" s="15"/>
      <c r="AMQ245" s="10"/>
      <c r="AMR245" s="10"/>
      <c r="AMS245" s="21"/>
      <c r="AMT245" s="21"/>
      <c r="AMW245" s="21"/>
      <c r="AMX245" s="15"/>
      <c r="AMY245" s="15"/>
      <c r="AMZ245" s="15"/>
      <c r="ANA245" s="15"/>
      <c r="ANB245" s="15"/>
      <c r="ANC245" s="15"/>
      <c r="AND245" s="15"/>
      <c r="ANE245" s="15"/>
      <c r="ANF245" s="15"/>
      <c r="ANG245" s="15"/>
      <c r="ANH245" s="10"/>
      <c r="ANI245" s="10"/>
      <c r="ANJ245" s="21"/>
      <c r="ANK245" s="21"/>
      <c r="ANN245" s="21"/>
      <c r="ANO245" s="15"/>
      <c r="ANP245" s="15"/>
      <c r="ANQ245" s="15"/>
      <c r="ANR245" s="15"/>
      <c r="ANS245" s="15"/>
      <c r="ANT245" s="15"/>
      <c r="ANU245" s="15"/>
      <c r="ANV245" s="15"/>
      <c r="ANW245" s="15"/>
      <c r="ANX245" s="15"/>
      <c r="ANY245" s="10"/>
      <c r="ANZ245" s="10"/>
      <c r="AOA245" s="21"/>
      <c r="AOB245" s="21"/>
      <c r="AOE245" s="21"/>
      <c r="AOF245" s="15"/>
      <c r="AOG245" s="15"/>
      <c r="AOH245" s="15"/>
      <c r="AOI245" s="15"/>
      <c r="AOJ245" s="15"/>
      <c r="AOK245" s="15"/>
      <c r="AOL245" s="15"/>
      <c r="AOM245" s="15"/>
      <c r="AON245" s="15"/>
      <c r="AOO245" s="15"/>
      <c r="AOP245" s="10"/>
      <c r="AOQ245" s="10"/>
      <c r="AOR245" s="21"/>
      <c r="AOS245" s="21"/>
      <c r="AOV245" s="21"/>
      <c r="AOW245" s="15"/>
      <c r="AOX245" s="15"/>
      <c r="AOY245" s="15"/>
      <c r="AOZ245" s="15"/>
      <c r="APA245" s="15"/>
      <c r="APB245" s="15"/>
      <c r="APC245" s="15"/>
      <c r="APD245" s="15"/>
      <c r="APE245" s="15"/>
      <c r="APF245" s="15"/>
      <c r="APG245" s="10"/>
      <c r="APH245" s="10"/>
      <c r="API245" s="21"/>
      <c r="APJ245" s="21"/>
      <c r="APM245" s="21"/>
      <c r="APN245" s="15"/>
      <c r="APO245" s="15"/>
      <c r="APP245" s="15"/>
      <c r="APQ245" s="15"/>
      <c r="APR245" s="15"/>
      <c r="APS245" s="15"/>
      <c r="APT245" s="15"/>
      <c r="APU245" s="15"/>
      <c r="APV245" s="15"/>
      <c r="APW245" s="15"/>
      <c r="APX245" s="10"/>
      <c r="APY245" s="10"/>
      <c r="APZ245" s="21"/>
      <c r="AQA245" s="21"/>
      <c r="AQD245" s="21"/>
      <c r="AQE245" s="15"/>
      <c r="AQF245" s="15"/>
      <c r="AQG245" s="15"/>
      <c r="AQH245" s="15"/>
      <c r="AQI245" s="15"/>
      <c r="AQJ245" s="15"/>
      <c r="AQK245" s="15"/>
      <c r="AQL245" s="15"/>
      <c r="AQM245" s="15"/>
      <c r="AQN245" s="15"/>
      <c r="AQO245" s="10"/>
      <c r="AQP245" s="10"/>
      <c r="AQQ245" s="21"/>
      <c r="AQR245" s="21"/>
      <c r="AQU245" s="21"/>
      <c r="AQV245" s="15"/>
      <c r="AQW245" s="15"/>
      <c r="AQX245" s="15"/>
      <c r="AQY245" s="15"/>
      <c r="AQZ245" s="15"/>
      <c r="ARA245" s="15"/>
      <c r="ARB245" s="15"/>
      <c r="ARC245" s="15"/>
      <c r="ARD245" s="15"/>
      <c r="ARE245" s="15"/>
      <c r="ARF245" s="10"/>
      <c r="ARG245" s="10"/>
      <c r="ARH245" s="21"/>
      <c r="ARI245" s="21"/>
      <c r="ARL245" s="21"/>
      <c r="ARM245" s="15"/>
      <c r="ARN245" s="15"/>
      <c r="ARO245" s="15"/>
      <c r="ARP245" s="15"/>
      <c r="ARQ245" s="15"/>
      <c r="ARR245" s="15"/>
      <c r="ARS245" s="15"/>
      <c r="ART245" s="15"/>
      <c r="ARU245" s="15"/>
      <c r="ARV245" s="15"/>
      <c r="ARW245" s="10"/>
      <c r="ARX245" s="10"/>
      <c r="ARY245" s="21"/>
      <c r="ARZ245" s="21"/>
      <c r="ASC245" s="21"/>
      <c r="ASD245" s="15"/>
      <c r="ASE245" s="15"/>
      <c r="ASF245" s="15"/>
      <c r="ASG245" s="15"/>
      <c r="ASH245" s="15"/>
      <c r="ASI245" s="15"/>
      <c r="ASJ245" s="15"/>
      <c r="ASK245" s="15"/>
      <c r="ASL245" s="15"/>
      <c r="ASM245" s="15"/>
      <c r="ASN245" s="10"/>
      <c r="ASO245" s="10"/>
      <c r="ASP245" s="21"/>
      <c r="ASQ245" s="21"/>
      <c r="AST245" s="21"/>
      <c r="ASU245" s="15"/>
      <c r="ASV245" s="15"/>
      <c r="ASW245" s="15"/>
      <c r="ASX245" s="15"/>
      <c r="ASY245" s="15"/>
      <c r="ASZ245" s="15"/>
      <c r="ATA245" s="15"/>
      <c r="ATB245" s="15"/>
      <c r="ATC245" s="15"/>
      <c r="ATD245" s="15"/>
      <c r="ATE245" s="10"/>
      <c r="ATF245" s="10"/>
      <c r="ATG245" s="21"/>
      <c r="ATH245" s="21"/>
      <c r="ATK245" s="21"/>
      <c r="ATL245" s="15"/>
      <c r="ATM245" s="15"/>
      <c r="ATN245" s="15"/>
      <c r="ATO245" s="15"/>
      <c r="ATP245" s="15"/>
      <c r="ATQ245" s="15"/>
      <c r="ATR245" s="15"/>
      <c r="ATS245" s="15"/>
      <c r="ATT245" s="15"/>
      <c r="ATU245" s="15"/>
      <c r="ATV245" s="10"/>
      <c r="ATW245" s="10"/>
      <c r="ATX245" s="21"/>
      <c r="ATY245" s="21"/>
      <c r="AUB245" s="21"/>
      <c r="AUC245" s="15"/>
      <c r="AUD245" s="15"/>
      <c r="AUE245" s="15"/>
      <c r="AUF245" s="15"/>
      <c r="AUG245" s="15"/>
      <c r="AUH245" s="15"/>
      <c r="AUI245" s="15"/>
      <c r="AUJ245" s="15"/>
      <c r="AUK245" s="15"/>
      <c r="AUL245" s="15"/>
      <c r="AUM245" s="10"/>
      <c r="AUN245" s="10"/>
      <c r="AUO245" s="21"/>
      <c r="AUP245" s="21"/>
      <c r="AUS245" s="21"/>
      <c r="AUT245" s="15"/>
      <c r="AUU245" s="15"/>
      <c r="AUV245" s="15"/>
      <c r="AUW245" s="15"/>
      <c r="AUX245" s="15"/>
      <c r="AUY245" s="15"/>
      <c r="AUZ245" s="15"/>
      <c r="AVA245" s="15"/>
      <c r="AVB245" s="15"/>
      <c r="AVC245" s="15"/>
      <c r="AVD245" s="10"/>
      <c r="AVE245" s="10"/>
      <c r="AVF245" s="21"/>
      <c r="AVG245" s="21"/>
      <c r="AVJ245" s="21"/>
      <c r="AVK245" s="15"/>
      <c r="AVL245" s="15"/>
      <c r="AVM245" s="15"/>
      <c r="AVN245" s="15"/>
      <c r="AVO245" s="15"/>
      <c r="AVP245" s="15"/>
      <c r="AVQ245" s="15"/>
      <c r="AVR245" s="15"/>
      <c r="AVS245" s="15"/>
      <c r="AVT245" s="15"/>
      <c r="AVU245" s="10"/>
      <c r="AVV245" s="10"/>
      <c r="AVW245" s="21"/>
      <c r="AVX245" s="21"/>
      <c r="AWA245" s="21"/>
      <c r="AWB245" s="15"/>
      <c r="AWC245" s="15"/>
      <c r="AWD245" s="15"/>
      <c r="AWE245" s="15"/>
      <c r="AWF245" s="15"/>
      <c r="AWG245" s="15"/>
      <c r="AWH245" s="15"/>
      <c r="AWI245" s="15"/>
      <c r="AWJ245" s="15"/>
      <c r="AWK245" s="15"/>
      <c r="AWL245" s="10"/>
      <c r="AWM245" s="10"/>
      <c r="AWN245" s="21"/>
      <c r="AWO245" s="21"/>
      <c r="AWR245" s="21"/>
      <c r="AWS245" s="15"/>
      <c r="AWT245" s="15"/>
      <c r="AWU245" s="15"/>
      <c r="AWV245" s="15"/>
      <c r="AWW245" s="15"/>
      <c r="AWX245" s="15"/>
      <c r="AWY245" s="15"/>
      <c r="AWZ245" s="15"/>
      <c r="AXA245" s="15"/>
      <c r="AXB245" s="15"/>
      <c r="AXC245" s="10"/>
      <c r="AXD245" s="10"/>
      <c r="AXE245" s="21"/>
      <c r="AXF245" s="21"/>
      <c r="AXI245" s="21"/>
      <c r="AXJ245" s="15"/>
      <c r="AXK245" s="15"/>
      <c r="AXL245" s="15"/>
      <c r="AXM245" s="15"/>
      <c r="AXN245" s="15"/>
      <c r="AXO245" s="15"/>
      <c r="AXP245" s="15"/>
      <c r="AXQ245" s="15"/>
      <c r="AXR245" s="15"/>
      <c r="AXS245" s="15"/>
      <c r="AXT245" s="10"/>
      <c r="AXU245" s="10"/>
      <c r="AXV245" s="21"/>
      <c r="AXW245" s="21"/>
      <c r="AXZ245" s="21"/>
      <c r="AYA245" s="15"/>
      <c r="AYB245" s="15"/>
      <c r="AYC245" s="15"/>
      <c r="AYD245" s="15"/>
      <c r="AYE245" s="15"/>
      <c r="AYF245" s="15"/>
      <c r="AYG245" s="15"/>
      <c r="AYH245" s="15"/>
      <c r="AYI245" s="15"/>
      <c r="AYJ245" s="15"/>
      <c r="AYK245" s="10"/>
      <c r="AYL245" s="10"/>
      <c r="AYM245" s="21"/>
      <c r="AYN245" s="21"/>
      <c r="AYQ245" s="21"/>
      <c r="AYR245" s="15"/>
      <c r="AYS245" s="15"/>
      <c r="AYT245" s="15"/>
      <c r="AYU245" s="15"/>
      <c r="AYV245" s="15"/>
      <c r="AYW245" s="15"/>
      <c r="AYX245" s="15"/>
      <c r="AYY245" s="15"/>
      <c r="AYZ245" s="15"/>
      <c r="AZA245" s="15"/>
      <c r="AZB245" s="10"/>
      <c r="AZC245" s="10"/>
      <c r="AZD245" s="21"/>
      <c r="AZE245" s="21"/>
      <c r="AZH245" s="21"/>
      <c r="AZI245" s="15"/>
      <c r="AZJ245" s="15"/>
      <c r="AZK245" s="15"/>
      <c r="AZL245" s="15"/>
      <c r="AZM245" s="15"/>
      <c r="AZN245" s="15"/>
      <c r="AZO245" s="15"/>
      <c r="AZP245" s="15"/>
      <c r="AZQ245" s="15"/>
      <c r="AZR245" s="15"/>
      <c r="AZS245" s="10"/>
      <c r="AZT245" s="10"/>
      <c r="AZU245" s="21"/>
      <c r="AZV245" s="21"/>
      <c r="AZY245" s="21"/>
      <c r="AZZ245" s="15"/>
      <c r="BAA245" s="15"/>
      <c r="BAB245" s="15"/>
      <c r="BAC245" s="15"/>
      <c r="BAD245" s="15"/>
      <c r="BAE245" s="15"/>
      <c r="BAF245" s="15"/>
      <c r="BAG245" s="15"/>
      <c r="BAH245" s="15"/>
      <c r="BAI245" s="15"/>
      <c r="BAJ245" s="10"/>
      <c r="BAK245" s="10"/>
      <c r="BAL245" s="21"/>
      <c r="BAM245" s="21"/>
      <c r="BAP245" s="21"/>
      <c r="BAQ245" s="15"/>
      <c r="BAR245" s="15"/>
      <c r="BAS245" s="15"/>
      <c r="BAT245" s="15"/>
      <c r="BAU245" s="15"/>
      <c r="BAV245" s="15"/>
      <c r="BAW245" s="15"/>
      <c r="BAX245" s="15"/>
      <c r="BAY245" s="15"/>
      <c r="BAZ245" s="15"/>
      <c r="BBA245" s="10"/>
      <c r="BBB245" s="10"/>
      <c r="BBC245" s="21"/>
      <c r="BBD245" s="21"/>
      <c r="BBG245" s="21"/>
      <c r="BBH245" s="15"/>
      <c r="BBI245" s="15"/>
      <c r="BBJ245" s="15"/>
      <c r="BBK245" s="15"/>
      <c r="BBL245" s="15"/>
      <c r="BBM245" s="15"/>
      <c r="BBN245" s="15"/>
      <c r="BBO245" s="15"/>
      <c r="BBP245" s="15"/>
      <c r="BBQ245" s="15"/>
      <c r="BBR245" s="10"/>
      <c r="BBS245" s="10"/>
      <c r="BBT245" s="21"/>
      <c r="BBU245" s="21"/>
      <c r="BBX245" s="21"/>
      <c r="BBY245" s="15"/>
      <c r="BBZ245" s="15"/>
      <c r="BCA245" s="15"/>
      <c r="BCB245" s="15"/>
      <c r="BCC245" s="15"/>
      <c r="BCD245" s="15"/>
      <c r="BCE245" s="15"/>
      <c r="BCF245" s="15"/>
      <c r="BCG245" s="15"/>
      <c r="BCH245" s="15"/>
      <c r="BCI245" s="10"/>
      <c r="BCJ245" s="10"/>
      <c r="BCK245" s="21"/>
      <c r="BCL245" s="21"/>
      <c r="BCO245" s="21"/>
      <c r="BCP245" s="15"/>
      <c r="BCQ245" s="15"/>
      <c r="BCR245" s="15"/>
      <c r="BCS245" s="15"/>
      <c r="BCT245" s="15"/>
      <c r="BCU245" s="15"/>
      <c r="BCV245" s="15"/>
      <c r="BCW245" s="15"/>
      <c r="BCX245" s="15"/>
      <c r="BCY245" s="15"/>
      <c r="BCZ245" s="10"/>
      <c r="BDA245" s="10"/>
      <c r="BDB245" s="21"/>
      <c r="BDC245" s="21"/>
      <c r="BDF245" s="21"/>
      <c r="BDG245" s="15"/>
      <c r="BDH245" s="15"/>
      <c r="BDI245" s="15"/>
      <c r="BDJ245" s="15"/>
      <c r="BDK245" s="15"/>
      <c r="BDL245" s="15"/>
      <c r="BDM245" s="15"/>
      <c r="BDN245" s="15"/>
      <c r="BDO245" s="15"/>
      <c r="BDP245" s="15"/>
      <c r="BDQ245" s="10"/>
      <c r="BDR245" s="10"/>
      <c r="BDS245" s="21"/>
      <c r="BDT245" s="21"/>
      <c r="BDW245" s="21"/>
      <c r="BDX245" s="15"/>
      <c r="BDY245" s="15"/>
      <c r="BDZ245" s="15"/>
      <c r="BEA245" s="15"/>
      <c r="BEB245" s="15"/>
      <c r="BEC245" s="15"/>
      <c r="BED245" s="15"/>
      <c r="BEE245" s="15"/>
      <c r="BEF245" s="15"/>
      <c r="BEG245" s="15"/>
      <c r="BEH245" s="10"/>
      <c r="BEI245" s="10"/>
      <c r="BEJ245" s="21"/>
      <c r="BEK245" s="21"/>
      <c r="BEN245" s="21"/>
      <c r="BEO245" s="15"/>
      <c r="BEP245" s="15"/>
      <c r="BEQ245" s="15"/>
      <c r="BER245" s="15"/>
      <c r="BES245" s="15"/>
      <c r="BET245" s="15"/>
      <c r="BEU245" s="15"/>
      <c r="BEV245" s="15"/>
      <c r="BEW245" s="15"/>
      <c r="BEX245" s="15"/>
      <c r="BEY245" s="10"/>
      <c r="BEZ245" s="10"/>
      <c r="BFA245" s="21"/>
      <c r="BFB245" s="21"/>
      <c r="BFE245" s="21"/>
      <c r="BFF245" s="15"/>
      <c r="BFG245" s="15"/>
      <c r="BFH245" s="15"/>
      <c r="BFI245" s="15"/>
      <c r="BFJ245" s="15"/>
      <c r="BFK245" s="15"/>
      <c r="BFL245" s="15"/>
      <c r="BFM245" s="15"/>
      <c r="BFN245" s="15"/>
      <c r="BFO245" s="15"/>
      <c r="BFP245" s="10"/>
      <c r="BFQ245" s="10"/>
      <c r="BFR245" s="21"/>
      <c r="BFS245" s="21"/>
      <c r="BFV245" s="21"/>
      <c r="BFW245" s="15"/>
      <c r="BFX245" s="15"/>
      <c r="BFY245" s="15"/>
      <c r="BFZ245" s="15"/>
      <c r="BGA245" s="15"/>
      <c r="BGB245" s="15"/>
      <c r="BGC245" s="15"/>
      <c r="BGD245" s="15"/>
      <c r="BGE245" s="15"/>
      <c r="BGF245" s="15"/>
      <c r="BGG245" s="10"/>
      <c r="BGH245" s="10"/>
      <c r="BGI245" s="21"/>
      <c r="BGJ245" s="21"/>
      <c r="BGM245" s="21"/>
      <c r="BGN245" s="15"/>
      <c r="BGO245" s="15"/>
      <c r="BGP245" s="15"/>
      <c r="BGQ245" s="15"/>
      <c r="BGR245" s="15"/>
      <c r="BGS245" s="15"/>
      <c r="BGT245" s="15"/>
      <c r="BGU245" s="15"/>
      <c r="BGV245" s="15"/>
      <c r="BGW245" s="15"/>
      <c r="BGX245" s="10"/>
      <c r="BGY245" s="10"/>
      <c r="BGZ245" s="21"/>
      <c r="BHA245" s="21"/>
      <c r="BHD245" s="21"/>
      <c r="BHE245" s="15"/>
      <c r="BHF245" s="15"/>
      <c r="BHG245" s="15"/>
      <c r="BHH245" s="15"/>
      <c r="BHI245" s="15"/>
      <c r="BHJ245" s="15"/>
      <c r="BHK245" s="15"/>
      <c r="BHL245" s="15"/>
      <c r="BHM245" s="15"/>
      <c r="BHN245" s="15"/>
      <c r="BHO245" s="10"/>
      <c r="BHP245" s="10"/>
      <c r="BHQ245" s="21"/>
      <c r="BHR245" s="21"/>
      <c r="BHU245" s="21"/>
      <c r="BHV245" s="15"/>
      <c r="BHW245" s="15"/>
      <c r="BHX245" s="15"/>
      <c r="BHY245" s="15"/>
      <c r="BHZ245" s="15"/>
      <c r="BIA245" s="15"/>
      <c r="BIB245" s="15"/>
      <c r="BIC245" s="15"/>
      <c r="BID245" s="15"/>
      <c r="BIE245" s="15"/>
      <c r="BIF245" s="10"/>
      <c r="BIG245" s="10"/>
      <c r="BIH245" s="21"/>
      <c r="BII245" s="21"/>
      <c r="BIL245" s="21"/>
      <c r="BIM245" s="15"/>
      <c r="BIN245" s="15"/>
      <c r="BIO245" s="15"/>
      <c r="BIP245" s="15"/>
      <c r="BIQ245" s="15"/>
      <c r="BIR245" s="15"/>
      <c r="BIS245" s="15"/>
      <c r="BIT245" s="15"/>
      <c r="BIU245" s="15"/>
      <c r="BIV245" s="15"/>
      <c r="BIW245" s="10"/>
      <c r="BIX245" s="10"/>
      <c r="BIY245" s="21"/>
      <c r="BIZ245" s="21"/>
      <c r="BJC245" s="21"/>
      <c r="BJD245" s="15"/>
      <c r="BJE245" s="15"/>
      <c r="BJF245" s="15"/>
      <c r="BJG245" s="15"/>
      <c r="BJH245" s="15"/>
      <c r="BJI245" s="15"/>
      <c r="BJJ245" s="15"/>
      <c r="BJK245" s="15"/>
      <c r="BJL245" s="15"/>
      <c r="BJM245" s="15"/>
      <c r="BJN245" s="10"/>
      <c r="BJO245" s="10"/>
      <c r="BJP245" s="21"/>
      <c r="BJQ245" s="21"/>
      <c r="BJT245" s="21"/>
      <c r="BJU245" s="15"/>
      <c r="BJV245" s="15"/>
      <c r="BJW245" s="15"/>
      <c r="BJX245" s="15"/>
      <c r="BJY245" s="15"/>
      <c r="BJZ245" s="15"/>
      <c r="BKA245" s="15"/>
      <c r="BKB245" s="15"/>
      <c r="BKC245" s="15"/>
      <c r="BKD245" s="15"/>
      <c r="BKE245" s="10"/>
      <c r="BKF245" s="10"/>
      <c r="BKG245" s="21"/>
      <c r="BKH245" s="21"/>
      <c r="BKK245" s="21"/>
      <c r="BKL245" s="15"/>
      <c r="BKM245" s="15"/>
      <c r="BKN245" s="15"/>
      <c r="BKO245" s="15"/>
      <c r="BKP245" s="15"/>
      <c r="BKQ245" s="15"/>
      <c r="BKR245" s="15"/>
      <c r="BKS245" s="15"/>
      <c r="BKT245" s="15"/>
      <c r="BKU245" s="15"/>
      <c r="BKV245" s="10"/>
      <c r="BKW245" s="10"/>
      <c r="BKX245" s="21"/>
      <c r="BKY245" s="21"/>
      <c r="BLB245" s="21"/>
      <c r="BLC245" s="15"/>
      <c r="BLD245" s="15"/>
      <c r="BLE245" s="15"/>
      <c r="BLF245" s="15"/>
      <c r="BLG245" s="15"/>
      <c r="BLH245" s="15"/>
      <c r="BLI245" s="15"/>
      <c r="BLJ245" s="15"/>
      <c r="BLK245" s="15"/>
      <c r="BLL245" s="15"/>
      <c r="BLM245" s="10"/>
      <c r="BLN245" s="10"/>
      <c r="BLO245" s="21"/>
      <c r="BLP245" s="21"/>
      <c r="BLS245" s="21"/>
      <c r="BLT245" s="15"/>
      <c r="BLU245" s="15"/>
      <c r="BLV245" s="15"/>
      <c r="BLW245" s="15"/>
      <c r="BLX245" s="15"/>
      <c r="BLY245" s="15"/>
      <c r="BLZ245" s="15"/>
      <c r="BMA245" s="15"/>
      <c r="BMB245" s="15"/>
      <c r="BMC245" s="15"/>
      <c r="BMD245" s="10"/>
      <c r="BME245" s="10"/>
      <c r="BMF245" s="21"/>
      <c r="BMG245" s="21"/>
      <c r="BMJ245" s="21"/>
      <c r="BMK245" s="15"/>
      <c r="BML245" s="15"/>
      <c r="BMM245" s="15"/>
      <c r="BMN245" s="15"/>
      <c r="BMO245" s="15"/>
      <c r="BMP245" s="15"/>
      <c r="BMQ245" s="15"/>
      <c r="BMR245" s="15"/>
      <c r="BMS245" s="15"/>
      <c r="BMT245" s="15"/>
      <c r="BMU245" s="10"/>
      <c r="BMV245" s="10"/>
      <c r="BMW245" s="21"/>
      <c r="BMX245" s="21"/>
      <c r="BNA245" s="21"/>
      <c r="BNB245" s="15"/>
      <c r="BNC245" s="15"/>
      <c r="BND245" s="15"/>
      <c r="BNE245" s="15"/>
      <c r="BNF245" s="15"/>
      <c r="BNG245" s="15"/>
      <c r="BNH245" s="15"/>
      <c r="BNI245" s="15"/>
      <c r="BNJ245" s="15"/>
      <c r="BNK245" s="15"/>
      <c r="BNL245" s="10"/>
      <c r="BNM245" s="10"/>
      <c r="BNN245" s="21"/>
      <c r="BNO245" s="21"/>
      <c r="BNR245" s="21"/>
      <c r="BNS245" s="15"/>
      <c r="BNT245" s="15"/>
      <c r="BNU245" s="15"/>
      <c r="BNV245" s="15"/>
      <c r="BNW245" s="15"/>
      <c r="BNX245" s="15"/>
      <c r="BNY245" s="15"/>
      <c r="BNZ245" s="15"/>
      <c r="BOA245" s="15"/>
      <c r="BOB245" s="15"/>
      <c r="BOC245" s="10"/>
      <c r="BOD245" s="10"/>
      <c r="BOE245" s="21"/>
      <c r="BOF245" s="21"/>
      <c r="BOI245" s="21"/>
      <c r="BOJ245" s="15"/>
      <c r="BOK245" s="15"/>
      <c r="BOL245" s="15"/>
      <c r="BOM245" s="15"/>
      <c r="BON245" s="15"/>
      <c r="BOO245" s="15"/>
      <c r="BOP245" s="15"/>
      <c r="BOQ245" s="15"/>
      <c r="BOR245" s="15"/>
      <c r="BOS245" s="15"/>
      <c r="BOT245" s="10"/>
      <c r="BOU245" s="10"/>
      <c r="BOV245" s="21"/>
      <c r="BOW245" s="21"/>
      <c r="BOZ245" s="21"/>
      <c r="BPA245" s="15"/>
      <c r="BPB245" s="15"/>
      <c r="BPC245" s="15"/>
      <c r="BPD245" s="15"/>
      <c r="BPE245" s="15"/>
      <c r="BPF245" s="15"/>
      <c r="BPG245" s="15"/>
      <c r="BPH245" s="15"/>
      <c r="BPI245" s="15"/>
      <c r="BPJ245" s="15"/>
      <c r="BPK245" s="10"/>
      <c r="BPL245" s="10"/>
      <c r="BPM245" s="21"/>
      <c r="BPN245" s="21"/>
      <c r="BPQ245" s="21"/>
      <c r="BPR245" s="15"/>
      <c r="BPS245" s="15"/>
      <c r="BPT245" s="15"/>
      <c r="BPU245" s="15"/>
      <c r="BPV245" s="15"/>
      <c r="BPW245" s="15"/>
      <c r="BPX245" s="15"/>
      <c r="BPY245" s="15"/>
      <c r="BPZ245" s="15"/>
      <c r="BQA245" s="15"/>
      <c r="BQB245" s="10"/>
      <c r="BQC245" s="10"/>
      <c r="BQD245" s="21"/>
      <c r="BQE245" s="21"/>
      <c r="BQH245" s="21"/>
      <c r="BQI245" s="15"/>
      <c r="BQJ245" s="15"/>
      <c r="BQK245" s="15"/>
      <c r="BQL245" s="15"/>
      <c r="BQM245" s="15"/>
      <c r="BQN245" s="15"/>
      <c r="BQO245" s="15"/>
      <c r="BQP245" s="15"/>
      <c r="BQQ245" s="15"/>
      <c r="BQR245" s="15"/>
      <c r="BQS245" s="10"/>
      <c r="BQT245" s="10"/>
      <c r="BQU245" s="21"/>
      <c r="BQV245" s="21"/>
      <c r="BQY245" s="21"/>
      <c r="BQZ245" s="15"/>
      <c r="BRA245" s="15"/>
      <c r="BRB245" s="15"/>
      <c r="BRC245" s="15"/>
      <c r="BRD245" s="15"/>
      <c r="BRE245" s="15"/>
      <c r="BRF245" s="15"/>
      <c r="BRG245" s="15"/>
      <c r="BRH245" s="15"/>
      <c r="BRI245" s="15"/>
      <c r="BRJ245" s="10"/>
      <c r="BRK245" s="10"/>
      <c r="BRL245" s="21"/>
      <c r="BRM245" s="21"/>
      <c r="BRP245" s="21"/>
      <c r="BRQ245" s="15"/>
      <c r="BRR245" s="15"/>
      <c r="BRS245" s="15"/>
      <c r="BRT245" s="15"/>
      <c r="BRU245" s="15"/>
      <c r="BRV245" s="15"/>
      <c r="BRW245" s="15"/>
      <c r="BRX245" s="15"/>
      <c r="BRY245" s="15"/>
      <c r="BRZ245" s="15"/>
      <c r="BSA245" s="10"/>
      <c r="BSB245" s="10"/>
      <c r="BSC245" s="21"/>
      <c r="BSD245" s="21"/>
      <c r="BSG245" s="21"/>
      <c r="BSH245" s="15"/>
      <c r="BSI245" s="15"/>
      <c r="BSJ245" s="15"/>
      <c r="BSK245" s="15"/>
      <c r="BSL245" s="15"/>
      <c r="BSM245" s="15"/>
      <c r="BSN245" s="15"/>
      <c r="BSO245" s="15"/>
      <c r="BSP245" s="15"/>
      <c r="BSQ245" s="15"/>
      <c r="BSR245" s="10"/>
      <c r="BSS245" s="10"/>
      <c r="BST245" s="21"/>
      <c r="BSU245" s="21"/>
      <c r="BSX245" s="21"/>
      <c r="BSY245" s="15"/>
      <c r="BSZ245" s="15"/>
      <c r="BTA245" s="15"/>
      <c r="BTB245" s="15"/>
      <c r="BTC245" s="15"/>
      <c r="BTD245" s="15"/>
      <c r="BTE245" s="15"/>
      <c r="BTF245" s="15"/>
      <c r="BTG245" s="15"/>
      <c r="BTH245" s="15"/>
      <c r="BTI245" s="10"/>
      <c r="BTJ245" s="10"/>
      <c r="BTK245" s="21"/>
      <c r="BTL245" s="21"/>
      <c r="BTO245" s="21"/>
      <c r="BTP245" s="15"/>
      <c r="BTQ245" s="15"/>
      <c r="BTR245" s="15"/>
      <c r="BTS245" s="15"/>
      <c r="BTT245" s="15"/>
      <c r="BTU245" s="15"/>
      <c r="BTV245" s="15"/>
      <c r="BTW245" s="15"/>
      <c r="BTX245" s="15"/>
      <c r="BTY245" s="15"/>
      <c r="BTZ245" s="10"/>
      <c r="BUA245" s="10"/>
      <c r="BUB245" s="21"/>
      <c r="BUC245" s="21"/>
      <c r="BUF245" s="21"/>
      <c r="BUG245" s="15"/>
      <c r="BUH245" s="15"/>
      <c r="BUI245" s="15"/>
      <c r="BUJ245" s="15"/>
      <c r="BUK245" s="15"/>
      <c r="BUL245" s="15"/>
      <c r="BUM245" s="15"/>
      <c r="BUN245" s="15"/>
      <c r="BUO245" s="15"/>
      <c r="BUP245" s="15"/>
      <c r="BUQ245" s="10"/>
      <c r="BUR245" s="10"/>
      <c r="BUS245" s="21"/>
      <c r="BUT245" s="21"/>
      <c r="BUW245" s="21"/>
      <c r="BUX245" s="15"/>
      <c r="BUY245" s="15"/>
      <c r="BUZ245" s="15"/>
      <c r="BVA245" s="15"/>
      <c r="BVB245" s="15"/>
      <c r="BVC245" s="15"/>
      <c r="BVD245" s="15"/>
      <c r="BVE245" s="15"/>
      <c r="BVF245" s="15"/>
      <c r="BVG245" s="15"/>
      <c r="BVH245" s="10"/>
      <c r="BVI245" s="10"/>
      <c r="BVJ245" s="21"/>
      <c r="BVK245" s="21"/>
      <c r="BVN245" s="21"/>
      <c r="BVO245" s="15"/>
      <c r="BVP245" s="15"/>
      <c r="BVQ245" s="15"/>
      <c r="BVR245" s="15"/>
      <c r="BVS245" s="15"/>
      <c r="BVT245" s="15"/>
      <c r="BVU245" s="15"/>
      <c r="BVV245" s="15"/>
      <c r="BVW245" s="15"/>
      <c r="BVX245" s="15"/>
      <c r="BVY245" s="10"/>
      <c r="BVZ245" s="10"/>
      <c r="BWA245" s="21"/>
      <c r="BWB245" s="21"/>
      <c r="BWE245" s="21"/>
      <c r="BWF245" s="15"/>
      <c r="BWG245" s="15"/>
      <c r="BWH245" s="15"/>
      <c r="BWI245" s="15"/>
      <c r="BWJ245" s="15"/>
      <c r="BWK245" s="15"/>
      <c r="BWL245" s="15"/>
      <c r="BWM245" s="15"/>
      <c r="BWN245" s="15"/>
      <c r="BWO245" s="15"/>
      <c r="BWP245" s="10"/>
      <c r="BWQ245" s="10"/>
      <c r="BWR245" s="21"/>
      <c r="BWS245" s="21"/>
      <c r="BWV245" s="21"/>
      <c r="BWW245" s="15"/>
      <c r="BWX245" s="15"/>
      <c r="BWY245" s="15"/>
      <c r="BWZ245" s="15"/>
      <c r="BXA245" s="15"/>
      <c r="BXB245" s="15"/>
      <c r="BXC245" s="15"/>
      <c r="BXD245" s="15"/>
      <c r="BXE245" s="15"/>
      <c r="BXF245" s="15"/>
      <c r="BXG245" s="10"/>
      <c r="BXH245" s="10"/>
      <c r="BXI245" s="21"/>
      <c r="BXJ245" s="21"/>
      <c r="BXM245" s="21"/>
      <c r="BXN245" s="15"/>
      <c r="BXO245" s="15"/>
      <c r="BXP245" s="15"/>
      <c r="BXQ245" s="15"/>
      <c r="BXR245" s="15"/>
      <c r="BXS245" s="15"/>
      <c r="BXT245" s="15"/>
      <c r="BXU245" s="15"/>
      <c r="BXV245" s="15"/>
      <c r="BXW245" s="15"/>
      <c r="BXX245" s="10"/>
      <c r="BXY245" s="10"/>
      <c r="BXZ245" s="21"/>
      <c r="BYA245" s="21"/>
      <c r="BYD245" s="21"/>
      <c r="BYE245" s="15"/>
      <c r="BYF245" s="15"/>
      <c r="BYG245" s="15"/>
      <c r="BYH245" s="15"/>
      <c r="BYI245" s="15"/>
      <c r="BYJ245" s="15"/>
      <c r="BYK245" s="15"/>
      <c r="BYL245" s="15"/>
      <c r="BYM245" s="15"/>
      <c r="BYN245" s="15"/>
      <c r="BYO245" s="10"/>
      <c r="BYP245" s="10"/>
      <c r="BYQ245" s="21"/>
      <c r="BYR245" s="21"/>
      <c r="BYU245" s="21"/>
      <c r="BYV245" s="15"/>
      <c r="BYW245" s="15"/>
      <c r="BYX245" s="15"/>
      <c r="BYY245" s="15"/>
      <c r="BYZ245" s="15"/>
      <c r="BZA245" s="15"/>
      <c r="BZB245" s="15"/>
      <c r="BZC245" s="15"/>
      <c r="BZD245" s="15"/>
      <c r="BZE245" s="15"/>
      <c r="BZF245" s="10"/>
      <c r="BZG245" s="10"/>
      <c r="BZH245" s="21"/>
      <c r="BZI245" s="21"/>
      <c r="BZL245" s="21"/>
      <c r="BZM245" s="15"/>
      <c r="BZN245" s="15"/>
      <c r="BZO245" s="15"/>
      <c r="BZP245" s="15"/>
      <c r="BZQ245" s="15"/>
      <c r="BZR245" s="15"/>
      <c r="BZS245" s="15"/>
      <c r="BZT245" s="15"/>
      <c r="BZU245" s="15"/>
      <c r="BZV245" s="15"/>
      <c r="BZW245" s="10"/>
      <c r="BZX245" s="10"/>
      <c r="BZY245" s="21"/>
      <c r="BZZ245" s="21"/>
      <c r="CAC245" s="21"/>
      <c r="CAD245" s="15"/>
      <c r="CAE245" s="15"/>
      <c r="CAF245" s="15"/>
      <c r="CAG245" s="15"/>
      <c r="CAH245" s="15"/>
      <c r="CAI245" s="15"/>
      <c r="CAJ245" s="15"/>
      <c r="CAK245" s="15"/>
      <c r="CAL245" s="15"/>
      <c r="CAM245" s="15"/>
      <c r="CAN245" s="10"/>
      <c r="CAO245" s="10"/>
      <c r="CAP245" s="21"/>
      <c r="CAQ245" s="21"/>
      <c r="CAT245" s="21"/>
      <c r="CAU245" s="15"/>
      <c r="CAV245" s="15"/>
      <c r="CAW245" s="15"/>
      <c r="CAX245" s="15"/>
      <c r="CAY245" s="15"/>
      <c r="CAZ245" s="15"/>
      <c r="CBA245" s="15"/>
      <c r="CBB245" s="15"/>
      <c r="CBC245" s="15"/>
      <c r="CBD245" s="15"/>
      <c r="CBE245" s="10"/>
      <c r="CBF245" s="10"/>
      <c r="CBG245" s="21"/>
      <c r="CBH245" s="21"/>
      <c r="CBK245" s="21"/>
      <c r="CBL245" s="15"/>
      <c r="CBM245" s="15"/>
      <c r="CBN245" s="15"/>
      <c r="CBO245" s="15"/>
      <c r="CBP245" s="15"/>
      <c r="CBQ245" s="15"/>
      <c r="CBR245" s="15"/>
      <c r="CBS245" s="15"/>
      <c r="CBT245" s="15"/>
      <c r="CBU245" s="15"/>
      <c r="CBV245" s="10"/>
      <c r="CBW245" s="10"/>
      <c r="CBX245" s="21"/>
      <c r="CBY245" s="21"/>
      <c r="CCB245" s="21"/>
      <c r="CCC245" s="15"/>
      <c r="CCD245" s="15"/>
      <c r="CCE245" s="15"/>
      <c r="CCF245" s="15"/>
      <c r="CCG245" s="15"/>
      <c r="CCH245" s="15"/>
      <c r="CCI245" s="15"/>
      <c r="CCJ245" s="15"/>
      <c r="CCK245" s="15"/>
      <c r="CCL245" s="15"/>
      <c r="CCM245" s="10"/>
      <c r="CCN245" s="10"/>
      <c r="CCO245" s="21"/>
      <c r="CCP245" s="21"/>
      <c r="CCS245" s="21"/>
      <c r="CCT245" s="15"/>
      <c r="CCU245" s="15"/>
      <c r="CCV245" s="15"/>
      <c r="CCW245" s="15"/>
      <c r="CCX245" s="15"/>
      <c r="CCY245" s="15"/>
      <c r="CCZ245" s="15"/>
      <c r="CDA245" s="15"/>
      <c r="CDB245" s="15"/>
      <c r="CDC245" s="15"/>
      <c r="CDD245" s="10"/>
      <c r="CDE245" s="10"/>
      <c r="CDF245" s="21"/>
      <c r="CDG245" s="21"/>
      <c r="CDJ245" s="21"/>
      <c r="CDK245" s="15"/>
      <c r="CDL245" s="15"/>
      <c r="CDM245" s="15"/>
      <c r="CDN245" s="15"/>
      <c r="CDO245" s="15"/>
      <c r="CDP245" s="15"/>
      <c r="CDQ245" s="15"/>
      <c r="CDR245" s="15"/>
      <c r="CDS245" s="15"/>
      <c r="CDT245" s="15"/>
      <c r="CDU245" s="10"/>
      <c r="CDV245" s="10"/>
      <c r="CDW245" s="21"/>
      <c r="CDX245" s="21"/>
      <c r="CEA245" s="21"/>
      <c r="CEB245" s="15"/>
      <c r="CEC245" s="15"/>
      <c r="CED245" s="15"/>
      <c r="CEE245" s="15"/>
      <c r="CEF245" s="15"/>
      <c r="CEG245" s="15"/>
      <c r="CEH245" s="15"/>
      <c r="CEI245" s="15"/>
      <c r="CEJ245" s="15"/>
      <c r="CEK245" s="15"/>
      <c r="CEL245" s="10"/>
      <c r="CEM245" s="10"/>
      <c r="CEN245" s="21"/>
      <c r="CEO245" s="21"/>
      <c r="CER245" s="21"/>
      <c r="CES245" s="15"/>
      <c r="CET245" s="15"/>
      <c r="CEU245" s="15"/>
      <c r="CEV245" s="15"/>
      <c r="CEW245" s="15"/>
      <c r="CEX245" s="15"/>
      <c r="CEY245" s="15"/>
      <c r="CEZ245" s="15"/>
      <c r="CFA245" s="15"/>
      <c r="CFB245" s="15"/>
      <c r="CFC245" s="10"/>
      <c r="CFD245" s="10"/>
      <c r="CFE245" s="21"/>
      <c r="CFF245" s="21"/>
      <c r="CFI245" s="21"/>
      <c r="CFJ245" s="15"/>
      <c r="CFK245" s="15"/>
      <c r="CFL245" s="15"/>
      <c r="CFM245" s="15"/>
      <c r="CFN245" s="15"/>
      <c r="CFO245" s="15"/>
      <c r="CFP245" s="15"/>
      <c r="CFQ245" s="15"/>
      <c r="CFR245" s="15"/>
      <c r="CFS245" s="15"/>
      <c r="CFT245" s="10"/>
      <c r="CFU245" s="10"/>
      <c r="CFV245" s="21"/>
      <c r="CFW245" s="21"/>
      <c r="CFZ245" s="21"/>
      <c r="CGA245" s="15"/>
      <c r="CGB245" s="15"/>
      <c r="CGC245" s="15"/>
      <c r="CGD245" s="15"/>
      <c r="CGE245" s="15"/>
      <c r="CGF245" s="15"/>
      <c r="CGG245" s="15"/>
      <c r="CGH245" s="15"/>
      <c r="CGI245" s="15"/>
      <c r="CGJ245" s="15"/>
      <c r="CGK245" s="10"/>
      <c r="CGL245" s="10"/>
      <c r="CGM245" s="21"/>
      <c r="CGN245" s="21"/>
      <c r="CGQ245" s="21"/>
      <c r="CGR245" s="15"/>
      <c r="CGS245" s="15"/>
      <c r="CGT245" s="15"/>
      <c r="CGU245" s="15"/>
      <c r="CGV245" s="15"/>
      <c r="CGW245" s="15"/>
      <c r="CGX245" s="15"/>
      <c r="CGY245" s="15"/>
      <c r="CGZ245" s="15"/>
      <c r="CHA245" s="15"/>
      <c r="CHB245" s="10"/>
      <c r="CHC245" s="10"/>
      <c r="CHD245" s="21"/>
      <c r="CHE245" s="21"/>
      <c r="CHH245" s="21"/>
      <c r="CHI245" s="15"/>
      <c r="CHJ245" s="15"/>
      <c r="CHK245" s="15"/>
      <c r="CHL245" s="15"/>
      <c r="CHM245" s="15"/>
      <c r="CHN245" s="15"/>
      <c r="CHO245" s="15"/>
      <c r="CHP245" s="15"/>
      <c r="CHQ245" s="15"/>
      <c r="CHR245" s="15"/>
      <c r="CHS245" s="10"/>
      <c r="CHT245" s="10"/>
      <c r="CHU245" s="21"/>
      <c r="CHV245" s="21"/>
      <c r="CHY245" s="21"/>
      <c r="CHZ245" s="15"/>
      <c r="CIA245" s="15"/>
      <c r="CIB245" s="15"/>
      <c r="CIC245" s="15"/>
      <c r="CID245" s="15"/>
      <c r="CIE245" s="15"/>
      <c r="CIF245" s="15"/>
      <c r="CIG245" s="15"/>
      <c r="CIH245" s="15"/>
      <c r="CII245" s="15"/>
      <c r="CIJ245" s="10"/>
      <c r="CIK245" s="10"/>
      <c r="CIL245" s="21"/>
      <c r="CIM245" s="21"/>
      <c r="CIP245" s="21"/>
      <c r="CIQ245" s="15"/>
      <c r="CIR245" s="15"/>
      <c r="CIS245" s="15"/>
      <c r="CIT245" s="15"/>
      <c r="CIU245" s="15"/>
      <c r="CIV245" s="15"/>
      <c r="CIW245" s="15"/>
      <c r="CIX245" s="15"/>
      <c r="CIY245" s="15"/>
      <c r="CIZ245" s="15"/>
      <c r="CJA245" s="10"/>
      <c r="CJB245" s="10"/>
      <c r="CJC245" s="21"/>
      <c r="CJD245" s="21"/>
      <c r="CJG245" s="21"/>
      <c r="CJH245" s="15"/>
      <c r="CJI245" s="15"/>
      <c r="CJJ245" s="15"/>
      <c r="CJK245" s="15"/>
      <c r="CJL245" s="15"/>
      <c r="CJM245" s="15"/>
      <c r="CJN245" s="15"/>
      <c r="CJO245" s="15"/>
      <c r="CJP245" s="15"/>
      <c r="CJQ245" s="15"/>
      <c r="CJR245" s="10"/>
      <c r="CJS245" s="10"/>
      <c r="CJT245" s="21"/>
      <c r="CJU245" s="21"/>
      <c r="CJX245" s="21"/>
      <c r="CJY245" s="15"/>
      <c r="CJZ245" s="15"/>
      <c r="CKA245" s="15"/>
      <c r="CKB245" s="15"/>
      <c r="CKC245" s="15"/>
      <c r="CKD245" s="15"/>
      <c r="CKE245" s="15"/>
      <c r="CKF245" s="15"/>
      <c r="CKG245" s="15"/>
      <c r="CKH245" s="15"/>
      <c r="CKI245" s="10"/>
      <c r="CKJ245" s="10"/>
      <c r="CKK245" s="21"/>
      <c r="CKL245" s="21"/>
      <c r="CKO245" s="21"/>
      <c r="CKP245" s="15"/>
      <c r="CKQ245" s="15"/>
      <c r="CKR245" s="15"/>
      <c r="CKS245" s="15"/>
      <c r="CKT245" s="15"/>
      <c r="CKU245" s="15"/>
      <c r="CKV245" s="15"/>
      <c r="CKW245" s="15"/>
      <c r="CKX245" s="15"/>
      <c r="CKY245" s="15"/>
      <c r="CKZ245" s="10"/>
      <c r="CLA245" s="10"/>
      <c r="CLB245" s="21"/>
      <c r="CLC245" s="21"/>
      <c r="CLF245" s="21"/>
      <c r="CLG245" s="15"/>
      <c r="CLH245" s="15"/>
      <c r="CLI245" s="15"/>
      <c r="CLJ245" s="15"/>
      <c r="CLK245" s="15"/>
      <c r="CLL245" s="15"/>
      <c r="CLM245" s="15"/>
      <c r="CLN245" s="15"/>
      <c r="CLO245" s="15"/>
      <c r="CLP245" s="15"/>
      <c r="CLQ245" s="10"/>
      <c r="CLR245" s="10"/>
      <c r="CLS245" s="21"/>
      <c r="CLT245" s="21"/>
      <c r="CLW245" s="21"/>
      <c r="CLX245" s="15"/>
      <c r="CLY245" s="15"/>
      <c r="CLZ245" s="15"/>
      <c r="CMA245" s="15"/>
      <c r="CMB245" s="15"/>
      <c r="CMC245" s="15"/>
      <c r="CMD245" s="15"/>
      <c r="CME245" s="15"/>
      <c r="CMF245" s="15"/>
      <c r="CMG245" s="15"/>
      <c r="CMH245" s="10"/>
      <c r="CMI245" s="10"/>
      <c r="CMJ245" s="21"/>
      <c r="CMK245" s="21"/>
      <c r="CMN245" s="21"/>
      <c r="CMO245" s="15"/>
      <c r="CMP245" s="15"/>
      <c r="CMQ245" s="15"/>
      <c r="CMR245" s="15"/>
      <c r="CMS245" s="15"/>
      <c r="CMT245" s="15"/>
      <c r="CMU245" s="15"/>
      <c r="CMV245" s="15"/>
      <c r="CMW245" s="15"/>
      <c r="CMX245" s="15"/>
      <c r="CMY245" s="10"/>
      <c r="CMZ245" s="10"/>
      <c r="CNA245" s="21"/>
      <c r="CNB245" s="21"/>
      <c r="CNE245" s="21"/>
      <c r="CNF245" s="15"/>
      <c r="CNG245" s="15"/>
      <c r="CNH245" s="15"/>
      <c r="CNI245" s="15"/>
      <c r="CNJ245" s="15"/>
      <c r="CNK245" s="15"/>
      <c r="CNL245" s="15"/>
      <c r="CNM245" s="15"/>
      <c r="CNN245" s="15"/>
      <c r="CNO245" s="15"/>
      <c r="CNP245" s="10"/>
      <c r="CNQ245" s="10"/>
      <c r="CNR245" s="21"/>
      <c r="CNS245" s="21"/>
      <c r="CNV245" s="21"/>
      <c r="CNW245" s="15"/>
      <c r="CNX245" s="15"/>
      <c r="CNY245" s="15"/>
      <c r="CNZ245" s="15"/>
      <c r="COA245" s="15"/>
      <c r="COB245" s="15"/>
      <c r="COC245" s="15"/>
      <c r="COD245" s="15"/>
      <c r="COE245" s="15"/>
      <c r="COF245" s="15"/>
      <c r="COG245" s="10"/>
      <c r="COH245" s="10"/>
      <c r="COI245" s="21"/>
      <c r="COJ245" s="21"/>
      <c r="COM245" s="21"/>
      <c r="CON245" s="15"/>
      <c r="COO245" s="15"/>
      <c r="COP245" s="15"/>
      <c r="COQ245" s="15"/>
      <c r="COR245" s="15"/>
      <c r="COS245" s="15"/>
      <c r="COT245" s="15"/>
      <c r="COU245" s="15"/>
      <c r="COV245" s="15"/>
      <c r="COW245" s="15"/>
      <c r="COX245" s="10"/>
      <c r="COY245" s="10"/>
      <c r="COZ245" s="21"/>
      <c r="CPA245" s="21"/>
      <c r="CPD245" s="21"/>
      <c r="CPE245" s="15"/>
      <c r="CPF245" s="15"/>
      <c r="CPG245" s="15"/>
      <c r="CPH245" s="15"/>
      <c r="CPI245" s="15"/>
      <c r="CPJ245" s="15"/>
      <c r="CPK245" s="15"/>
      <c r="CPL245" s="15"/>
      <c r="CPM245" s="15"/>
      <c r="CPN245" s="15"/>
      <c r="CPO245" s="10"/>
      <c r="CPP245" s="10"/>
      <c r="CPQ245" s="21"/>
      <c r="CPR245" s="21"/>
      <c r="CPU245" s="21"/>
      <c r="CPV245" s="15"/>
      <c r="CPW245" s="15"/>
      <c r="CPX245" s="15"/>
      <c r="CPY245" s="15"/>
      <c r="CPZ245" s="15"/>
      <c r="CQA245" s="15"/>
      <c r="CQB245" s="15"/>
      <c r="CQC245" s="15"/>
      <c r="CQD245" s="15"/>
      <c r="CQE245" s="15"/>
      <c r="CQF245" s="10"/>
      <c r="CQG245" s="10"/>
      <c r="CQH245" s="21"/>
      <c r="CQI245" s="21"/>
      <c r="CQL245" s="21"/>
      <c r="CQM245" s="15"/>
      <c r="CQN245" s="15"/>
      <c r="CQO245" s="15"/>
      <c r="CQP245" s="15"/>
      <c r="CQQ245" s="15"/>
      <c r="CQR245" s="15"/>
      <c r="CQS245" s="15"/>
      <c r="CQT245" s="15"/>
      <c r="CQU245" s="15"/>
      <c r="CQV245" s="15"/>
      <c r="CQW245" s="10"/>
      <c r="CQX245" s="10"/>
      <c r="CQY245" s="21"/>
      <c r="CQZ245" s="21"/>
      <c r="CRC245" s="21"/>
      <c r="CRD245" s="15"/>
      <c r="CRE245" s="15"/>
      <c r="CRF245" s="15"/>
      <c r="CRG245" s="15"/>
      <c r="CRH245" s="15"/>
      <c r="CRI245" s="15"/>
      <c r="CRJ245" s="15"/>
      <c r="CRK245" s="15"/>
      <c r="CRL245" s="15"/>
      <c r="CRM245" s="15"/>
      <c r="CRN245" s="10"/>
      <c r="CRO245" s="10"/>
      <c r="CRP245" s="21"/>
      <c r="CRQ245" s="21"/>
      <c r="CRT245" s="21"/>
      <c r="CRU245" s="15"/>
      <c r="CRV245" s="15"/>
      <c r="CRW245" s="15"/>
      <c r="CRX245" s="15"/>
      <c r="CRY245" s="15"/>
      <c r="CRZ245" s="15"/>
      <c r="CSA245" s="15"/>
      <c r="CSB245" s="15"/>
      <c r="CSC245" s="15"/>
      <c r="CSD245" s="15"/>
      <c r="CSE245" s="10"/>
      <c r="CSF245" s="10"/>
      <c r="CSG245" s="21"/>
      <c r="CSH245" s="21"/>
      <c r="CSK245" s="21"/>
      <c r="CSL245" s="15"/>
      <c r="CSM245" s="15"/>
      <c r="CSN245" s="15"/>
      <c r="CSO245" s="15"/>
      <c r="CSP245" s="15"/>
      <c r="CSQ245" s="15"/>
      <c r="CSR245" s="15"/>
      <c r="CSS245" s="15"/>
      <c r="CST245" s="15"/>
      <c r="CSU245" s="15"/>
      <c r="CSV245" s="10"/>
      <c r="CSW245" s="10"/>
      <c r="CSX245" s="21"/>
      <c r="CSY245" s="21"/>
      <c r="CTB245" s="21"/>
      <c r="CTC245" s="15"/>
      <c r="CTD245" s="15"/>
      <c r="CTE245" s="15"/>
      <c r="CTF245" s="15"/>
      <c r="CTG245" s="15"/>
      <c r="CTH245" s="15"/>
      <c r="CTI245" s="15"/>
      <c r="CTJ245" s="15"/>
      <c r="CTK245" s="15"/>
      <c r="CTL245" s="15"/>
      <c r="CTM245" s="10"/>
      <c r="CTN245" s="10"/>
      <c r="CTO245" s="21"/>
      <c r="CTP245" s="21"/>
      <c r="CTS245" s="21"/>
      <c r="CTT245" s="15"/>
      <c r="CTU245" s="15"/>
      <c r="CTV245" s="15"/>
      <c r="CTW245" s="15"/>
      <c r="CTX245" s="15"/>
      <c r="CTY245" s="15"/>
      <c r="CTZ245" s="15"/>
      <c r="CUA245" s="15"/>
      <c r="CUB245" s="15"/>
      <c r="CUC245" s="15"/>
      <c r="CUD245" s="10"/>
      <c r="CUE245" s="10"/>
      <c r="CUF245" s="21"/>
      <c r="CUG245" s="21"/>
      <c r="CUJ245" s="21"/>
      <c r="CUK245" s="15"/>
      <c r="CUL245" s="15"/>
      <c r="CUM245" s="15"/>
      <c r="CUN245" s="15"/>
      <c r="CUO245" s="15"/>
      <c r="CUP245" s="15"/>
      <c r="CUQ245" s="15"/>
      <c r="CUR245" s="15"/>
      <c r="CUS245" s="15"/>
      <c r="CUT245" s="15"/>
      <c r="CUU245" s="10"/>
      <c r="CUV245" s="10"/>
      <c r="CUW245" s="21"/>
      <c r="CUX245" s="21"/>
      <c r="CVA245" s="21"/>
      <c r="CVB245" s="15"/>
      <c r="CVC245" s="15"/>
      <c r="CVD245" s="15"/>
      <c r="CVE245" s="15"/>
      <c r="CVF245" s="15"/>
      <c r="CVG245" s="15"/>
      <c r="CVH245" s="15"/>
      <c r="CVI245" s="15"/>
      <c r="CVJ245" s="15"/>
      <c r="CVK245" s="15"/>
      <c r="CVL245" s="10"/>
      <c r="CVM245" s="10"/>
      <c r="CVN245" s="21"/>
      <c r="CVO245" s="21"/>
      <c r="CVR245" s="21"/>
      <c r="CVS245" s="15"/>
      <c r="CVT245" s="15"/>
      <c r="CVU245" s="15"/>
      <c r="CVV245" s="15"/>
      <c r="CVW245" s="15"/>
      <c r="CVX245" s="15"/>
      <c r="CVY245" s="15"/>
      <c r="CVZ245" s="15"/>
      <c r="CWA245" s="15"/>
      <c r="CWB245" s="15"/>
      <c r="CWC245" s="10"/>
      <c r="CWD245" s="10"/>
      <c r="CWE245" s="21"/>
      <c r="CWF245" s="21"/>
      <c r="CWI245" s="21"/>
      <c r="CWJ245" s="15"/>
      <c r="CWK245" s="15"/>
      <c r="CWL245" s="15"/>
      <c r="CWM245" s="15"/>
      <c r="CWN245" s="15"/>
      <c r="CWO245" s="15"/>
      <c r="CWP245" s="15"/>
      <c r="CWQ245" s="15"/>
      <c r="CWR245" s="15"/>
      <c r="CWS245" s="15"/>
      <c r="CWT245" s="10"/>
      <c r="CWU245" s="10"/>
      <c r="CWV245" s="21"/>
      <c r="CWW245" s="21"/>
      <c r="CWZ245" s="21"/>
      <c r="CXA245" s="15"/>
      <c r="CXB245" s="15"/>
      <c r="CXC245" s="15"/>
      <c r="CXD245" s="15"/>
      <c r="CXE245" s="15"/>
      <c r="CXF245" s="15"/>
      <c r="CXG245" s="15"/>
      <c r="CXH245" s="15"/>
      <c r="CXI245" s="15"/>
      <c r="CXJ245" s="15"/>
      <c r="CXK245" s="10"/>
      <c r="CXL245" s="10"/>
      <c r="CXM245" s="21"/>
      <c r="CXN245" s="21"/>
      <c r="CXQ245" s="21"/>
      <c r="CXR245" s="15"/>
      <c r="CXS245" s="15"/>
      <c r="CXT245" s="15"/>
      <c r="CXU245" s="15"/>
      <c r="CXV245" s="15"/>
      <c r="CXW245" s="15"/>
      <c r="CXX245" s="15"/>
      <c r="CXY245" s="15"/>
      <c r="CXZ245" s="15"/>
      <c r="CYA245" s="15"/>
      <c r="CYB245" s="10"/>
      <c r="CYC245" s="10"/>
      <c r="CYD245" s="21"/>
      <c r="CYE245" s="21"/>
      <c r="CYH245" s="21"/>
      <c r="CYI245" s="15"/>
      <c r="CYJ245" s="15"/>
      <c r="CYK245" s="15"/>
      <c r="CYL245" s="15"/>
      <c r="CYM245" s="15"/>
      <c r="CYN245" s="15"/>
      <c r="CYO245" s="15"/>
      <c r="CYP245" s="15"/>
      <c r="CYQ245" s="15"/>
      <c r="CYR245" s="15"/>
      <c r="CYS245" s="10"/>
      <c r="CYT245" s="10"/>
      <c r="CYU245" s="21"/>
      <c r="CYV245" s="21"/>
      <c r="CYY245" s="21"/>
      <c r="CYZ245" s="15"/>
      <c r="CZA245" s="15"/>
      <c r="CZB245" s="15"/>
      <c r="CZC245" s="15"/>
      <c r="CZD245" s="15"/>
      <c r="CZE245" s="15"/>
      <c r="CZF245" s="15"/>
      <c r="CZG245" s="15"/>
      <c r="CZH245" s="15"/>
      <c r="CZI245" s="15"/>
      <c r="CZJ245" s="10"/>
      <c r="CZK245" s="10"/>
      <c r="CZL245" s="21"/>
      <c r="CZM245" s="21"/>
      <c r="CZP245" s="21"/>
      <c r="CZQ245" s="15"/>
      <c r="CZR245" s="15"/>
      <c r="CZS245" s="15"/>
      <c r="CZT245" s="15"/>
      <c r="CZU245" s="15"/>
      <c r="CZV245" s="15"/>
      <c r="CZW245" s="15"/>
      <c r="CZX245" s="15"/>
      <c r="CZY245" s="15"/>
      <c r="CZZ245" s="15"/>
      <c r="DAA245" s="10"/>
      <c r="DAB245" s="10"/>
      <c r="DAC245" s="21"/>
      <c r="DAD245" s="21"/>
      <c r="DAG245" s="21"/>
      <c r="DAH245" s="15"/>
      <c r="DAI245" s="15"/>
      <c r="DAJ245" s="15"/>
      <c r="DAK245" s="15"/>
      <c r="DAL245" s="15"/>
      <c r="DAM245" s="15"/>
      <c r="DAN245" s="15"/>
      <c r="DAO245" s="15"/>
      <c r="DAP245" s="15"/>
      <c r="DAQ245" s="15"/>
      <c r="DAR245" s="10"/>
      <c r="DAS245" s="10"/>
      <c r="DAT245" s="21"/>
      <c r="DAU245" s="21"/>
      <c r="DAX245" s="21"/>
      <c r="DAY245" s="15"/>
      <c r="DAZ245" s="15"/>
      <c r="DBA245" s="15"/>
      <c r="DBB245" s="15"/>
      <c r="DBC245" s="15"/>
      <c r="DBD245" s="15"/>
      <c r="DBE245" s="15"/>
      <c r="DBF245" s="15"/>
      <c r="DBG245" s="15"/>
      <c r="DBH245" s="15"/>
      <c r="DBI245" s="10"/>
      <c r="DBJ245" s="10"/>
      <c r="DBK245" s="21"/>
      <c r="DBL245" s="21"/>
      <c r="DBO245" s="21"/>
      <c r="DBP245" s="15"/>
      <c r="DBQ245" s="15"/>
      <c r="DBR245" s="15"/>
      <c r="DBS245" s="15"/>
      <c r="DBT245" s="15"/>
      <c r="DBU245" s="15"/>
      <c r="DBV245" s="15"/>
      <c r="DBW245" s="15"/>
      <c r="DBX245" s="15"/>
      <c r="DBY245" s="15"/>
      <c r="DBZ245" s="10"/>
      <c r="DCA245" s="10"/>
      <c r="DCB245" s="21"/>
      <c r="DCC245" s="21"/>
      <c r="DCF245" s="21"/>
      <c r="DCG245" s="15"/>
      <c r="DCH245" s="15"/>
      <c r="DCI245" s="15"/>
      <c r="DCJ245" s="15"/>
      <c r="DCK245" s="15"/>
      <c r="DCL245" s="15"/>
      <c r="DCM245" s="15"/>
      <c r="DCN245" s="15"/>
      <c r="DCO245" s="15"/>
      <c r="DCP245" s="15"/>
      <c r="DCQ245" s="10"/>
      <c r="DCR245" s="10"/>
      <c r="DCS245" s="21"/>
      <c r="DCT245" s="21"/>
      <c r="DCW245" s="21"/>
      <c r="DCX245" s="15"/>
      <c r="DCY245" s="15"/>
      <c r="DCZ245" s="15"/>
      <c r="DDA245" s="15"/>
      <c r="DDB245" s="15"/>
      <c r="DDC245" s="15"/>
      <c r="DDD245" s="15"/>
      <c r="DDE245" s="15"/>
      <c r="DDF245" s="15"/>
      <c r="DDG245" s="15"/>
      <c r="DDH245" s="10"/>
      <c r="DDI245" s="10"/>
      <c r="DDJ245" s="21"/>
      <c r="DDK245" s="21"/>
      <c r="DDN245" s="21"/>
      <c r="DDO245" s="15"/>
      <c r="DDP245" s="15"/>
      <c r="DDQ245" s="15"/>
      <c r="DDR245" s="15"/>
      <c r="DDS245" s="15"/>
      <c r="DDT245" s="15"/>
      <c r="DDU245" s="15"/>
      <c r="DDV245" s="15"/>
      <c r="DDW245" s="15"/>
      <c r="DDX245" s="15"/>
      <c r="DDY245" s="10"/>
      <c r="DDZ245" s="10"/>
      <c r="DEA245" s="21"/>
      <c r="DEB245" s="21"/>
      <c r="DEE245" s="21"/>
      <c r="DEF245" s="15"/>
      <c r="DEG245" s="15"/>
      <c r="DEH245" s="15"/>
      <c r="DEI245" s="15"/>
      <c r="DEJ245" s="15"/>
      <c r="DEK245" s="15"/>
      <c r="DEL245" s="15"/>
      <c r="DEM245" s="15"/>
      <c r="DEN245" s="15"/>
      <c r="DEO245" s="15"/>
      <c r="DEP245" s="10"/>
      <c r="DEQ245" s="10"/>
      <c r="DER245" s="21"/>
      <c r="DES245" s="21"/>
      <c r="DEV245" s="21"/>
      <c r="DEW245" s="15"/>
      <c r="DEX245" s="15"/>
      <c r="DEY245" s="15"/>
      <c r="DEZ245" s="15"/>
      <c r="DFA245" s="15"/>
      <c r="DFB245" s="15"/>
      <c r="DFC245" s="15"/>
      <c r="DFD245" s="15"/>
      <c r="DFE245" s="15"/>
      <c r="DFF245" s="15"/>
      <c r="DFG245" s="10"/>
      <c r="DFH245" s="10"/>
      <c r="DFI245" s="21"/>
      <c r="DFJ245" s="21"/>
      <c r="DFM245" s="21"/>
      <c r="DFN245" s="15"/>
      <c r="DFO245" s="15"/>
      <c r="DFP245" s="15"/>
      <c r="DFQ245" s="15"/>
      <c r="DFR245" s="15"/>
      <c r="DFS245" s="15"/>
      <c r="DFT245" s="15"/>
      <c r="DFU245" s="15"/>
      <c r="DFV245" s="15"/>
      <c r="DFW245" s="15"/>
      <c r="DFX245" s="10"/>
      <c r="DFY245" s="10"/>
      <c r="DFZ245" s="21"/>
      <c r="DGA245" s="21"/>
      <c r="DGD245" s="21"/>
      <c r="DGE245" s="15"/>
      <c r="DGF245" s="15"/>
      <c r="DGG245" s="15"/>
      <c r="DGH245" s="15"/>
      <c r="DGI245" s="15"/>
      <c r="DGJ245" s="15"/>
      <c r="DGK245" s="15"/>
      <c r="DGL245" s="15"/>
      <c r="DGM245" s="15"/>
      <c r="DGN245" s="15"/>
      <c r="DGO245" s="10"/>
      <c r="DGP245" s="10"/>
      <c r="DGQ245" s="21"/>
      <c r="DGR245" s="21"/>
      <c r="DGU245" s="21"/>
      <c r="DGV245" s="15"/>
      <c r="DGW245" s="15"/>
      <c r="DGX245" s="15"/>
      <c r="DGY245" s="15"/>
      <c r="DGZ245" s="15"/>
      <c r="DHA245" s="15"/>
      <c r="DHB245" s="15"/>
      <c r="DHC245" s="15"/>
      <c r="DHD245" s="15"/>
      <c r="DHE245" s="15"/>
      <c r="DHF245" s="10"/>
      <c r="DHG245" s="10"/>
      <c r="DHH245" s="21"/>
      <c r="DHI245" s="21"/>
      <c r="DHL245" s="21"/>
      <c r="DHM245" s="15"/>
      <c r="DHN245" s="15"/>
      <c r="DHO245" s="15"/>
      <c r="DHP245" s="15"/>
      <c r="DHQ245" s="15"/>
      <c r="DHR245" s="15"/>
      <c r="DHS245" s="15"/>
      <c r="DHT245" s="15"/>
      <c r="DHU245" s="15"/>
      <c r="DHV245" s="15"/>
      <c r="DHW245" s="10"/>
      <c r="DHX245" s="10"/>
      <c r="DHY245" s="21"/>
      <c r="DHZ245" s="21"/>
      <c r="DIC245" s="21"/>
      <c r="DID245" s="15"/>
      <c r="DIE245" s="15"/>
      <c r="DIF245" s="15"/>
      <c r="DIG245" s="15"/>
      <c r="DIH245" s="15"/>
      <c r="DII245" s="15"/>
      <c r="DIJ245" s="15"/>
      <c r="DIK245" s="15"/>
      <c r="DIL245" s="15"/>
      <c r="DIM245" s="15"/>
      <c r="DIN245" s="10"/>
      <c r="DIO245" s="10"/>
      <c r="DIP245" s="21"/>
      <c r="DIQ245" s="21"/>
      <c r="DIT245" s="21"/>
      <c r="DIU245" s="15"/>
      <c r="DIV245" s="15"/>
      <c r="DIW245" s="15"/>
      <c r="DIX245" s="15"/>
      <c r="DIY245" s="15"/>
      <c r="DIZ245" s="15"/>
      <c r="DJA245" s="15"/>
      <c r="DJB245" s="15"/>
      <c r="DJC245" s="15"/>
      <c r="DJD245" s="15"/>
      <c r="DJE245" s="10"/>
      <c r="DJF245" s="10"/>
      <c r="DJG245" s="21"/>
      <c r="DJH245" s="21"/>
      <c r="DJK245" s="21"/>
      <c r="DJL245" s="15"/>
      <c r="DJM245" s="15"/>
      <c r="DJN245" s="15"/>
      <c r="DJO245" s="15"/>
      <c r="DJP245" s="15"/>
      <c r="DJQ245" s="15"/>
      <c r="DJR245" s="15"/>
      <c r="DJS245" s="15"/>
      <c r="DJT245" s="15"/>
      <c r="DJU245" s="15"/>
      <c r="DJV245" s="10"/>
      <c r="DJW245" s="10"/>
      <c r="DJX245" s="21"/>
      <c r="DJY245" s="21"/>
      <c r="DKB245" s="21"/>
      <c r="DKC245" s="15"/>
      <c r="DKD245" s="15"/>
      <c r="DKE245" s="15"/>
      <c r="DKF245" s="15"/>
      <c r="DKG245" s="15"/>
      <c r="DKH245" s="15"/>
      <c r="DKI245" s="15"/>
      <c r="DKJ245" s="15"/>
      <c r="DKK245" s="15"/>
      <c r="DKL245" s="15"/>
      <c r="DKM245" s="10"/>
      <c r="DKN245" s="10"/>
      <c r="DKO245" s="21"/>
      <c r="DKP245" s="21"/>
      <c r="DKS245" s="21"/>
      <c r="DKT245" s="15"/>
      <c r="DKU245" s="15"/>
      <c r="DKV245" s="15"/>
      <c r="DKW245" s="15"/>
      <c r="DKX245" s="15"/>
      <c r="DKY245" s="15"/>
      <c r="DKZ245" s="15"/>
      <c r="DLA245" s="15"/>
      <c r="DLB245" s="15"/>
      <c r="DLC245" s="15"/>
      <c r="DLD245" s="10"/>
      <c r="DLE245" s="10"/>
      <c r="DLF245" s="21"/>
      <c r="DLG245" s="21"/>
      <c r="DLJ245" s="21"/>
      <c r="DLK245" s="15"/>
      <c r="DLL245" s="15"/>
      <c r="DLM245" s="15"/>
      <c r="DLN245" s="15"/>
      <c r="DLO245" s="15"/>
      <c r="DLP245" s="15"/>
      <c r="DLQ245" s="15"/>
      <c r="DLR245" s="15"/>
      <c r="DLS245" s="15"/>
      <c r="DLT245" s="15"/>
      <c r="DLU245" s="10"/>
      <c r="DLV245" s="10"/>
      <c r="DLW245" s="21"/>
      <c r="DLX245" s="21"/>
      <c r="DMA245" s="21"/>
      <c r="DMB245" s="15"/>
      <c r="DMC245" s="15"/>
      <c r="DMD245" s="15"/>
      <c r="DME245" s="15"/>
      <c r="DMF245" s="15"/>
      <c r="DMG245" s="15"/>
      <c r="DMH245" s="15"/>
      <c r="DMI245" s="15"/>
      <c r="DMJ245" s="15"/>
      <c r="DMK245" s="15"/>
      <c r="DML245" s="10"/>
      <c r="DMM245" s="10"/>
      <c r="DMN245" s="21"/>
      <c r="DMO245" s="21"/>
      <c r="DMR245" s="21"/>
      <c r="DMS245" s="15"/>
      <c r="DMT245" s="15"/>
      <c r="DMU245" s="15"/>
      <c r="DMV245" s="15"/>
      <c r="DMW245" s="15"/>
      <c r="DMX245" s="15"/>
      <c r="DMY245" s="15"/>
      <c r="DMZ245" s="15"/>
      <c r="DNA245" s="15"/>
      <c r="DNB245" s="15"/>
      <c r="DNC245" s="10"/>
      <c r="DND245" s="10"/>
      <c r="DNE245" s="21"/>
      <c r="DNF245" s="21"/>
      <c r="DNI245" s="21"/>
      <c r="DNJ245" s="15"/>
      <c r="DNK245" s="15"/>
      <c r="DNL245" s="15"/>
      <c r="DNM245" s="15"/>
      <c r="DNN245" s="15"/>
      <c r="DNO245" s="15"/>
      <c r="DNP245" s="15"/>
      <c r="DNQ245" s="15"/>
      <c r="DNR245" s="15"/>
      <c r="DNS245" s="15"/>
      <c r="DNT245" s="10"/>
      <c r="DNU245" s="10"/>
      <c r="DNV245" s="21"/>
      <c r="DNW245" s="21"/>
      <c r="DNZ245" s="21"/>
      <c r="DOA245" s="15"/>
      <c r="DOB245" s="15"/>
      <c r="DOC245" s="15"/>
      <c r="DOD245" s="15"/>
      <c r="DOE245" s="15"/>
      <c r="DOF245" s="15"/>
      <c r="DOG245" s="15"/>
      <c r="DOH245" s="15"/>
      <c r="DOI245" s="15"/>
      <c r="DOJ245" s="15"/>
      <c r="DOK245" s="10"/>
      <c r="DOL245" s="10"/>
      <c r="DOM245" s="21"/>
      <c r="DON245" s="21"/>
      <c r="DOQ245" s="21"/>
      <c r="DOR245" s="15"/>
      <c r="DOS245" s="15"/>
      <c r="DOT245" s="15"/>
      <c r="DOU245" s="15"/>
      <c r="DOV245" s="15"/>
      <c r="DOW245" s="15"/>
      <c r="DOX245" s="15"/>
      <c r="DOY245" s="15"/>
      <c r="DOZ245" s="15"/>
      <c r="DPA245" s="15"/>
      <c r="DPB245" s="10"/>
      <c r="DPC245" s="10"/>
      <c r="DPD245" s="21"/>
      <c r="DPE245" s="21"/>
      <c r="DPH245" s="21"/>
      <c r="DPI245" s="15"/>
      <c r="DPJ245" s="15"/>
      <c r="DPK245" s="15"/>
      <c r="DPL245" s="15"/>
      <c r="DPM245" s="15"/>
      <c r="DPN245" s="15"/>
      <c r="DPO245" s="15"/>
      <c r="DPP245" s="15"/>
      <c r="DPQ245" s="15"/>
      <c r="DPR245" s="15"/>
      <c r="DPS245" s="10"/>
      <c r="DPT245" s="10"/>
      <c r="DPU245" s="21"/>
      <c r="DPV245" s="21"/>
      <c r="DPY245" s="21"/>
      <c r="DPZ245" s="15"/>
      <c r="DQA245" s="15"/>
      <c r="DQB245" s="15"/>
      <c r="DQC245" s="15"/>
      <c r="DQD245" s="15"/>
      <c r="DQE245" s="15"/>
      <c r="DQF245" s="15"/>
      <c r="DQG245" s="15"/>
      <c r="DQH245" s="15"/>
      <c r="DQI245" s="15"/>
      <c r="DQJ245" s="10"/>
      <c r="DQK245" s="10"/>
      <c r="DQL245" s="21"/>
      <c r="DQM245" s="21"/>
      <c r="DQP245" s="21"/>
      <c r="DQQ245" s="15"/>
      <c r="DQR245" s="15"/>
      <c r="DQS245" s="15"/>
      <c r="DQT245" s="15"/>
      <c r="DQU245" s="15"/>
      <c r="DQV245" s="15"/>
      <c r="DQW245" s="15"/>
      <c r="DQX245" s="15"/>
      <c r="DQY245" s="15"/>
      <c r="DQZ245" s="15"/>
      <c r="DRA245" s="10"/>
      <c r="DRB245" s="10"/>
      <c r="DRC245" s="21"/>
      <c r="DRD245" s="21"/>
      <c r="DRG245" s="21"/>
      <c r="DRH245" s="15"/>
      <c r="DRI245" s="15"/>
      <c r="DRJ245" s="15"/>
      <c r="DRK245" s="15"/>
      <c r="DRL245" s="15"/>
      <c r="DRM245" s="15"/>
      <c r="DRN245" s="15"/>
      <c r="DRO245" s="15"/>
      <c r="DRP245" s="15"/>
      <c r="DRQ245" s="15"/>
      <c r="DRR245" s="10"/>
      <c r="DRS245" s="10"/>
      <c r="DRT245" s="21"/>
      <c r="DRU245" s="21"/>
      <c r="DRX245" s="21"/>
      <c r="DRY245" s="15"/>
      <c r="DRZ245" s="15"/>
      <c r="DSA245" s="15"/>
      <c r="DSB245" s="15"/>
      <c r="DSC245" s="15"/>
      <c r="DSD245" s="15"/>
      <c r="DSE245" s="15"/>
      <c r="DSF245" s="15"/>
      <c r="DSG245" s="15"/>
      <c r="DSH245" s="15"/>
      <c r="DSI245" s="10"/>
      <c r="DSJ245" s="10"/>
      <c r="DSK245" s="21"/>
      <c r="DSL245" s="21"/>
      <c r="DSO245" s="21"/>
      <c r="DSP245" s="15"/>
      <c r="DSQ245" s="15"/>
      <c r="DSR245" s="15"/>
      <c r="DSS245" s="15"/>
      <c r="DST245" s="15"/>
      <c r="DSU245" s="15"/>
      <c r="DSV245" s="15"/>
      <c r="DSW245" s="15"/>
      <c r="DSX245" s="15"/>
      <c r="DSY245" s="15"/>
      <c r="DSZ245" s="10"/>
      <c r="DTA245" s="10"/>
      <c r="DTB245" s="21"/>
      <c r="DTC245" s="21"/>
      <c r="DTF245" s="21"/>
      <c r="DTG245" s="15"/>
      <c r="DTH245" s="15"/>
      <c r="DTI245" s="15"/>
      <c r="DTJ245" s="15"/>
      <c r="DTK245" s="15"/>
      <c r="DTL245" s="15"/>
      <c r="DTM245" s="15"/>
      <c r="DTN245" s="15"/>
      <c r="DTO245" s="15"/>
      <c r="DTP245" s="15"/>
      <c r="DTQ245" s="10"/>
      <c r="DTR245" s="10"/>
      <c r="DTS245" s="21"/>
      <c r="DTT245" s="21"/>
      <c r="DTW245" s="21"/>
      <c r="DTX245" s="15"/>
      <c r="DTY245" s="15"/>
      <c r="DTZ245" s="15"/>
      <c r="DUA245" s="15"/>
      <c r="DUB245" s="15"/>
      <c r="DUC245" s="15"/>
      <c r="DUD245" s="15"/>
      <c r="DUE245" s="15"/>
      <c r="DUF245" s="15"/>
      <c r="DUG245" s="15"/>
      <c r="DUH245" s="10"/>
      <c r="DUI245" s="10"/>
      <c r="DUJ245" s="21"/>
      <c r="DUK245" s="21"/>
      <c r="DUN245" s="21"/>
      <c r="DUO245" s="15"/>
      <c r="DUP245" s="15"/>
      <c r="DUQ245" s="15"/>
      <c r="DUR245" s="15"/>
      <c r="DUS245" s="15"/>
      <c r="DUT245" s="15"/>
      <c r="DUU245" s="15"/>
      <c r="DUV245" s="15"/>
      <c r="DUW245" s="15"/>
      <c r="DUX245" s="15"/>
      <c r="DUY245" s="10"/>
      <c r="DUZ245" s="10"/>
      <c r="DVA245" s="21"/>
      <c r="DVB245" s="21"/>
      <c r="DVE245" s="21"/>
      <c r="DVF245" s="15"/>
      <c r="DVG245" s="15"/>
      <c r="DVH245" s="15"/>
      <c r="DVI245" s="15"/>
      <c r="DVJ245" s="15"/>
      <c r="DVK245" s="15"/>
      <c r="DVL245" s="15"/>
      <c r="DVM245" s="15"/>
      <c r="DVN245" s="15"/>
      <c r="DVO245" s="15"/>
      <c r="DVP245" s="10"/>
      <c r="DVQ245" s="10"/>
      <c r="DVR245" s="21"/>
      <c r="DVS245" s="21"/>
      <c r="DVV245" s="21"/>
      <c r="DVW245" s="15"/>
      <c r="DVX245" s="15"/>
      <c r="DVY245" s="15"/>
      <c r="DVZ245" s="15"/>
      <c r="DWA245" s="15"/>
      <c r="DWB245" s="15"/>
      <c r="DWC245" s="15"/>
      <c r="DWD245" s="15"/>
      <c r="DWE245" s="15"/>
      <c r="DWF245" s="15"/>
      <c r="DWG245" s="10"/>
      <c r="DWH245" s="10"/>
      <c r="DWI245" s="21"/>
      <c r="DWJ245" s="21"/>
      <c r="DWM245" s="21"/>
      <c r="DWN245" s="15"/>
      <c r="DWO245" s="15"/>
      <c r="DWP245" s="15"/>
      <c r="DWQ245" s="15"/>
      <c r="DWR245" s="15"/>
      <c r="DWS245" s="15"/>
      <c r="DWT245" s="15"/>
      <c r="DWU245" s="15"/>
      <c r="DWV245" s="15"/>
      <c r="DWW245" s="15"/>
      <c r="DWX245" s="10"/>
      <c r="DWY245" s="10"/>
      <c r="DWZ245" s="21"/>
      <c r="DXA245" s="21"/>
      <c r="DXD245" s="21"/>
      <c r="DXE245" s="15"/>
      <c r="DXF245" s="15"/>
      <c r="DXG245" s="15"/>
      <c r="DXH245" s="15"/>
      <c r="DXI245" s="15"/>
      <c r="DXJ245" s="15"/>
      <c r="DXK245" s="15"/>
      <c r="DXL245" s="15"/>
      <c r="DXM245" s="15"/>
      <c r="DXN245" s="15"/>
      <c r="DXO245" s="10"/>
      <c r="DXP245" s="10"/>
      <c r="DXQ245" s="21"/>
      <c r="DXR245" s="21"/>
      <c r="DXU245" s="21"/>
      <c r="DXV245" s="15"/>
      <c r="DXW245" s="15"/>
      <c r="DXX245" s="15"/>
      <c r="DXY245" s="15"/>
      <c r="DXZ245" s="15"/>
      <c r="DYA245" s="15"/>
      <c r="DYB245" s="15"/>
      <c r="DYC245" s="15"/>
      <c r="DYD245" s="15"/>
      <c r="DYE245" s="15"/>
      <c r="DYF245" s="10"/>
      <c r="DYG245" s="10"/>
      <c r="DYH245" s="21"/>
      <c r="DYI245" s="21"/>
      <c r="DYL245" s="21"/>
      <c r="DYM245" s="15"/>
      <c r="DYN245" s="15"/>
      <c r="DYO245" s="15"/>
      <c r="DYP245" s="15"/>
      <c r="DYQ245" s="15"/>
      <c r="DYR245" s="15"/>
      <c r="DYS245" s="15"/>
      <c r="DYT245" s="15"/>
      <c r="DYU245" s="15"/>
      <c r="DYV245" s="15"/>
      <c r="DYW245" s="10"/>
      <c r="DYX245" s="10"/>
      <c r="DYY245" s="21"/>
      <c r="DYZ245" s="21"/>
      <c r="DZC245" s="21"/>
      <c r="DZD245" s="15"/>
      <c r="DZE245" s="15"/>
      <c r="DZF245" s="15"/>
      <c r="DZG245" s="15"/>
      <c r="DZH245" s="15"/>
      <c r="DZI245" s="15"/>
      <c r="DZJ245" s="15"/>
      <c r="DZK245" s="15"/>
      <c r="DZL245" s="15"/>
      <c r="DZM245" s="15"/>
      <c r="DZN245" s="10"/>
      <c r="DZO245" s="10"/>
      <c r="DZP245" s="21"/>
      <c r="DZQ245" s="21"/>
      <c r="DZT245" s="21"/>
      <c r="DZU245" s="15"/>
      <c r="DZV245" s="15"/>
      <c r="DZW245" s="15"/>
      <c r="DZX245" s="15"/>
      <c r="DZY245" s="15"/>
      <c r="DZZ245" s="15"/>
      <c r="EAA245" s="15"/>
      <c r="EAB245" s="15"/>
      <c r="EAC245" s="15"/>
      <c r="EAD245" s="15"/>
      <c r="EAE245" s="10"/>
      <c r="EAF245" s="10"/>
      <c r="EAG245" s="21"/>
      <c r="EAH245" s="21"/>
      <c r="EAK245" s="21"/>
      <c r="EAL245" s="15"/>
      <c r="EAM245" s="15"/>
      <c r="EAN245" s="15"/>
      <c r="EAO245" s="15"/>
      <c r="EAP245" s="15"/>
      <c r="EAQ245" s="15"/>
      <c r="EAR245" s="15"/>
      <c r="EAS245" s="15"/>
      <c r="EAT245" s="15"/>
      <c r="EAU245" s="15"/>
      <c r="EAV245" s="10"/>
      <c r="EAW245" s="10"/>
      <c r="EAX245" s="21"/>
      <c r="EAY245" s="21"/>
      <c r="EBB245" s="21"/>
      <c r="EBC245" s="15"/>
      <c r="EBD245" s="15"/>
      <c r="EBE245" s="15"/>
      <c r="EBF245" s="15"/>
      <c r="EBG245" s="15"/>
      <c r="EBH245" s="15"/>
      <c r="EBI245" s="15"/>
      <c r="EBJ245" s="15"/>
      <c r="EBK245" s="15"/>
      <c r="EBL245" s="15"/>
      <c r="EBM245" s="10"/>
      <c r="EBN245" s="10"/>
      <c r="EBO245" s="21"/>
      <c r="EBP245" s="21"/>
      <c r="EBS245" s="21"/>
      <c r="EBT245" s="15"/>
      <c r="EBU245" s="15"/>
      <c r="EBV245" s="15"/>
      <c r="EBW245" s="15"/>
      <c r="EBX245" s="15"/>
      <c r="EBY245" s="15"/>
      <c r="EBZ245" s="15"/>
      <c r="ECA245" s="15"/>
      <c r="ECB245" s="15"/>
      <c r="ECC245" s="15"/>
      <c r="ECD245" s="10"/>
      <c r="ECE245" s="10"/>
      <c r="ECF245" s="21"/>
      <c r="ECG245" s="21"/>
      <c r="ECJ245" s="21"/>
      <c r="ECK245" s="15"/>
      <c r="ECL245" s="15"/>
      <c r="ECM245" s="15"/>
      <c r="ECN245" s="15"/>
      <c r="ECO245" s="15"/>
      <c r="ECP245" s="15"/>
      <c r="ECQ245" s="15"/>
      <c r="ECR245" s="15"/>
      <c r="ECS245" s="15"/>
      <c r="ECT245" s="15"/>
      <c r="ECU245" s="10"/>
      <c r="ECV245" s="10"/>
      <c r="ECW245" s="21"/>
      <c r="ECX245" s="21"/>
      <c r="EDA245" s="21"/>
      <c r="EDB245" s="15"/>
      <c r="EDC245" s="15"/>
      <c r="EDD245" s="15"/>
      <c r="EDE245" s="15"/>
      <c r="EDF245" s="15"/>
      <c r="EDG245" s="15"/>
      <c r="EDH245" s="15"/>
      <c r="EDI245" s="15"/>
      <c r="EDJ245" s="15"/>
      <c r="EDK245" s="15"/>
      <c r="EDL245" s="10"/>
      <c r="EDM245" s="10"/>
      <c r="EDN245" s="21"/>
      <c r="EDO245" s="21"/>
      <c r="EDR245" s="21"/>
      <c r="EDS245" s="15"/>
      <c r="EDT245" s="15"/>
      <c r="EDU245" s="15"/>
      <c r="EDV245" s="15"/>
      <c r="EDW245" s="15"/>
      <c r="EDX245" s="15"/>
      <c r="EDY245" s="15"/>
      <c r="EDZ245" s="15"/>
      <c r="EEA245" s="15"/>
      <c r="EEB245" s="15"/>
      <c r="EEC245" s="10"/>
      <c r="EED245" s="10"/>
      <c r="EEE245" s="21"/>
      <c r="EEF245" s="21"/>
      <c r="EEI245" s="21"/>
      <c r="EEJ245" s="15"/>
      <c r="EEK245" s="15"/>
      <c r="EEL245" s="15"/>
      <c r="EEM245" s="15"/>
      <c r="EEN245" s="15"/>
      <c r="EEO245" s="15"/>
      <c r="EEP245" s="15"/>
      <c r="EEQ245" s="15"/>
      <c r="EER245" s="15"/>
      <c r="EES245" s="15"/>
      <c r="EET245" s="10"/>
      <c r="EEU245" s="10"/>
      <c r="EEV245" s="21"/>
      <c r="EEW245" s="21"/>
      <c r="EEZ245" s="21"/>
      <c r="EFA245" s="15"/>
      <c r="EFB245" s="15"/>
      <c r="EFC245" s="15"/>
      <c r="EFD245" s="15"/>
      <c r="EFE245" s="15"/>
      <c r="EFF245" s="15"/>
      <c r="EFG245" s="15"/>
      <c r="EFH245" s="15"/>
      <c r="EFI245" s="15"/>
      <c r="EFJ245" s="15"/>
      <c r="EFK245" s="10"/>
      <c r="EFL245" s="10"/>
      <c r="EFM245" s="21"/>
      <c r="EFN245" s="21"/>
      <c r="EFQ245" s="21"/>
      <c r="EFR245" s="15"/>
      <c r="EFS245" s="15"/>
      <c r="EFT245" s="15"/>
      <c r="EFU245" s="15"/>
      <c r="EFV245" s="15"/>
      <c r="EFW245" s="15"/>
      <c r="EFX245" s="15"/>
      <c r="EFY245" s="15"/>
      <c r="EFZ245" s="15"/>
      <c r="EGA245" s="15"/>
      <c r="EGB245" s="10"/>
      <c r="EGC245" s="10"/>
      <c r="EGD245" s="21"/>
      <c r="EGE245" s="21"/>
      <c r="EGH245" s="21"/>
      <c r="EGI245" s="15"/>
      <c r="EGJ245" s="15"/>
      <c r="EGK245" s="15"/>
      <c r="EGL245" s="15"/>
      <c r="EGM245" s="15"/>
      <c r="EGN245" s="15"/>
      <c r="EGO245" s="15"/>
      <c r="EGP245" s="15"/>
      <c r="EGQ245" s="15"/>
      <c r="EGR245" s="15"/>
      <c r="EGS245" s="10"/>
      <c r="EGT245" s="10"/>
      <c r="EGU245" s="21"/>
      <c r="EGV245" s="21"/>
      <c r="EGY245" s="21"/>
      <c r="EGZ245" s="15"/>
      <c r="EHA245" s="15"/>
      <c r="EHB245" s="15"/>
      <c r="EHC245" s="15"/>
      <c r="EHD245" s="15"/>
      <c r="EHE245" s="15"/>
      <c r="EHF245" s="15"/>
      <c r="EHG245" s="15"/>
      <c r="EHH245" s="15"/>
      <c r="EHI245" s="15"/>
      <c r="EHJ245" s="10"/>
      <c r="EHK245" s="10"/>
      <c r="EHL245" s="21"/>
      <c r="EHM245" s="21"/>
      <c r="EHP245" s="21"/>
      <c r="EHQ245" s="15"/>
      <c r="EHR245" s="15"/>
      <c r="EHS245" s="15"/>
      <c r="EHT245" s="15"/>
      <c r="EHU245" s="15"/>
      <c r="EHV245" s="15"/>
      <c r="EHW245" s="15"/>
      <c r="EHX245" s="15"/>
      <c r="EHY245" s="15"/>
      <c r="EHZ245" s="15"/>
      <c r="EIA245" s="10"/>
      <c r="EIB245" s="10"/>
      <c r="EIC245" s="21"/>
      <c r="EID245" s="21"/>
      <c r="EIG245" s="21"/>
      <c r="EIH245" s="15"/>
      <c r="EII245" s="15"/>
      <c r="EIJ245" s="15"/>
      <c r="EIK245" s="15"/>
      <c r="EIL245" s="15"/>
      <c r="EIM245" s="15"/>
      <c r="EIN245" s="15"/>
      <c r="EIO245" s="15"/>
      <c r="EIP245" s="15"/>
      <c r="EIQ245" s="15"/>
      <c r="EIR245" s="10"/>
      <c r="EIS245" s="10"/>
      <c r="EIT245" s="21"/>
      <c r="EIU245" s="21"/>
      <c r="EIX245" s="21"/>
      <c r="EIY245" s="15"/>
      <c r="EIZ245" s="15"/>
      <c r="EJA245" s="15"/>
      <c r="EJB245" s="15"/>
      <c r="EJC245" s="15"/>
      <c r="EJD245" s="15"/>
      <c r="EJE245" s="15"/>
      <c r="EJF245" s="15"/>
      <c r="EJG245" s="15"/>
      <c r="EJH245" s="15"/>
      <c r="EJI245" s="10"/>
      <c r="EJJ245" s="10"/>
      <c r="EJK245" s="21"/>
      <c r="EJL245" s="21"/>
      <c r="EJO245" s="21"/>
      <c r="EJP245" s="15"/>
      <c r="EJQ245" s="15"/>
      <c r="EJR245" s="15"/>
      <c r="EJS245" s="15"/>
      <c r="EJT245" s="15"/>
      <c r="EJU245" s="15"/>
      <c r="EJV245" s="15"/>
      <c r="EJW245" s="15"/>
      <c r="EJX245" s="15"/>
      <c r="EJY245" s="15"/>
      <c r="EJZ245" s="10"/>
      <c r="EKA245" s="10"/>
      <c r="EKB245" s="21"/>
      <c r="EKC245" s="21"/>
      <c r="EKF245" s="21"/>
      <c r="EKG245" s="15"/>
      <c r="EKH245" s="15"/>
      <c r="EKI245" s="15"/>
      <c r="EKJ245" s="15"/>
      <c r="EKK245" s="15"/>
      <c r="EKL245" s="15"/>
      <c r="EKM245" s="15"/>
      <c r="EKN245" s="15"/>
      <c r="EKO245" s="15"/>
      <c r="EKP245" s="15"/>
      <c r="EKQ245" s="10"/>
      <c r="EKR245" s="10"/>
      <c r="EKS245" s="21"/>
      <c r="EKT245" s="21"/>
      <c r="EKW245" s="21"/>
      <c r="EKX245" s="15"/>
      <c r="EKY245" s="15"/>
      <c r="EKZ245" s="15"/>
      <c r="ELA245" s="15"/>
      <c r="ELB245" s="15"/>
      <c r="ELC245" s="15"/>
      <c r="ELD245" s="15"/>
      <c r="ELE245" s="15"/>
      <c r="ELF245" s="15"/>
      <c r="ELG245" s="15"/>
      <c r="ELH245" s="10"/>
      <c r="ELI245" s="10"/>
      <c r="ELJ245" s="21"/>
      <c r="ELK245" s="21"/>
      <c r="ELN245" s="21"/>
      <c r="ELO245" s="15"/>
      <c r="ELP245" s="15"/>
      <c r="ELQ245" s="15"/>
      <c r="ELR245" s="15"/>
      <c r="ELS245" s="15"/>
      <c r="ELT245" s="15"/>
      <c r="ELU245" s="15"/>
      <c r="ELV245" s="15"/>
      <c r="ELW245" s="15"/>
      <c r="ELX245" s="15"/>
      <c r="ELY245" s="10"/>
      <c r="ELZ245" s="10"/>
      <c r="EMA245" s="21"/>
      <c r="EMB245" s="21"/>
      <c r="EME245" s="21"/>
      <c r="EMF245" s="15"/>
      <c r="EMG245" s="15"/>
      <c r="EMH245" s="15"/>
      <c r="EMI245" s="15"/>
      <c r="EMJ245" s="15"/>
      <c r="EMK245" s="15"/>
      <c r="EML245" s="15"/>
      <c r="EMM245" s="15"/>
      <c r="EMN245" s="15"/>
      <c r="EMO245" s="15"/>
      <c r="EMP245" s="10"/>
      <c r="EMQ245" s="10"/>
      <c r="EMR245" s="21"/>
      <c r="EMS245" s="21"/>
      <c r="EMV245" s="21"/>
      <c r="EMW245" s="15"/>
      <c r="EMX245" s="15"/>
      <c r="EMY245" s="15"/>
      <c r="EMZ245" s="15"/>
      <c r="ENA245" s="15"/>
      <c r="ENB245" s="15"/>
      <c r="ENC245" s="15"/>
      <c r="END245" s="15"/>
      <c r="ENE245" s="15"/>
      <c r="ENF245" s="15"/>
      <c r="ENG245" s="10"/>
      <c r="ENH245" s="10"/>
      <c r="ENI245" s="21"/>
      <c r="ENJ245" s="21"/>
      <c r="ENM245" s="21"/>
      <c r="ENN245" s="15"/>
      <c r="ENO245" s="15"/>
      <c r="ENP245" s="15"/>
      <c r="ENQ245" s="15"/>
      <c r="ENR245" s="15"/>
      <c r="ENS245" s="15"/>
      <c r="ENT245" s="15"/>
      <c r="ENU245" s="15"/>
      <c r="ENV245" s="15"/>
      <c r="ENW245" s="15"/>
      <c r="ENX245" s="10"/>
      <c r="ENY245" s="10"/>
      <c r="ENZ245" s="21"/>
      <c r="EOA245" s="21"/>
      <c r="EOD245" s="21"/>
      <c r="EOE245" s="15"/>
      <c r="EOF245" s="15"/>
      <c r="EOG245" s="15"/>
      <c r="EOH245" s="15"/>
      <c r="EOI245" s="15"/>
      <c r="EOJ245" s="15"/>
      <c r="EOK245" s="15"/>
      <c r="EOL245" s="15"/>
      <c r="EOM245" s="15"/>
      <c r="EON245" s="15"/>
      <c r="EOO245" s="10"/>
      <c r="EOP245" s="10"/>
      <c r="EOQ245" s="21"/>
      <c r="EOR245" s="21"/>
      <c r="EOU245" s="21"/>
      <c r="EOV245" s="15"/>
      <c r="EOW245" s="15"/>
      <c r="EOX245" s="15"/>
      <c r="EOY245" s="15"/>
      <c r="EOZ245" s="15"/>
      <c r="EPA245" s="15"/>
      <c r="EPB245" s="15"/>
      <c r="EPC245" s="15"/>
      <c r="EPD245" s="15"/>
      <c r="EPE245" s="15"/>
      <c r="EPF245" s="10"/>
      <c r="EPG245" s="10"/>
      <c r="EPH245" s="21"/>
      <c r="EPI245" s="21"/>
      <c r="EPL245" s="21"/>
      <c r="EPM245" s="15"/>
      <c r="EPN245" s="15"/>
      <c r="EPO245" s="15"/>
      <c r="EPP245" s="15"/>
      <c r="EPQ245" s="15"/>
      <c r="EPR245" s="15"/>
      <c r="EPS245" s="15"/>
      <c r="EPT245" s="15"/>
      <c r="EPU245" s="15"/>
      <c r="EPV245" s="15"/>
      <c r="EPW245" s="10"/>
      <c r="EPX245" s="10"/>
      <c r="EPY245" s="21"/>
      <c r="EPZ245" s="21"/>
      <c r="EQC245" s="21"/>
      <c r="EQD245" s="15"/>
      <c r="EQE245" s="15"/>
      <c r="EQF245" s="15"/>
      <c r="EQG245" s="15"/>
      <c r="EQH245" s="15"/>
      <c r="EQI245" s="15"/>
      <c r="EQJ245" s="15"/>
      <c r="EQK245" s="15"/>
      <c r="EQL245" s="15"/>
      <c r="EQM245" s="15"/>
      <c r="EQN245" s="10"/>
      <c r="EQO245" s="10"/>
      <c r="EQP245" s="21"/>
      <c r="EQQ245" s="21"/>
      <c r="EQT245" s="21"/>
      <c r="EQU245" s="15"/>
      <c r="EQV245" s="15"/>
      <c r="EQW245" s="15"/>
      <c r="EQX245" s="15"/>
      <c r="EQY245" s="15"/>
      <c r="EQZ245" s="15"/>
      <c r="ERA245" s="15"/>
      <c r="ERB245" s="15"/>
      <c r="ERC245" s="15"/>
      <c r="ERD245" s="15"/>
      <c r="ERE245" s="10"/>
      <c r="ERF245" s="10"/>
      <c r="ERG245" s="21"/>
      <c r="ERH245" s="21"/>
      <c r="ERK245" s="21"/>
      <c r="ERL245" s="15"/>
      <c r="ERM245" s="15"/>
      <c r="ERN245" s="15"/>
      <c r="ERO245" s="15"/>
      <c r="ERP245" s="15"/>
      <c r="ERQ245" s="15"/>
      <c r="ERR245" s="15"/>
      <c r="ERS245" s="15"/>
      <c r="ERT245" s="15"/>
      <c r="ERU245" s="15"/>
      <c r="ERV245" s="10"/>
      <c r="ERW245" s="10"/>
      <c r="ERX245" s="21"/>
      <c r="ERY245" s="21"/>
      <c r="ESB245" s="21"/>
      <c r="ESC245" s="15"/>
      <c r="ESD245" s="15"/>
      <c r="ESE245" s="15"/>
      <c r="ESF245" s="15"/>
      <c r="ESG245" s="15"/>
      <c r="ESH245" s="15"/>
      <c r="ESI245" s="15"/>
      <c r="ESJ245" s="15"/>
      <c r="ESK245" s="15"/>
      <c r="ESL245" s="15"/>
      <c r="ESM245" s="10"/>
      <c r="ESN245" s="10"/>
      <c r="ESO245" s="21"/>
      <c r="ESP245" s="21"/>
      <c r="ESS245" s="21"/>
      <c r="EST245" s="15"/>
      <c r="ESU245" s="15"/>
      <c r="ESV245" s="15"/>
      <c r="ESW245" s="15"/>
      <c r="ESX245" s="15"/>
      <c r="ESY245" s="15"/>
      <c r="ESZ245" s="15"/>
      <c r="ETA245" s="15"/>
      <c r="ETB245" s="15"/>
      <c r="ETC245" s="15"/>
      <c r="ETD245" s="10"/>
      <c r="ETE245" s="10"/>
      <c r="ETF245" s="21"/>
      <c r="ETG245" s="21"/>
      <c r="ETJ245" s="21"/>
      <c r="ETK245" s="15"/>
      <c r="ETL245" s="15"/>
      <c r="ETM245" s="15"/>
      <c r="ETN245" s="15"/>
      <c r="ETO245" s="15"/>
      <c r="ETP245" s="15"/>
      <c r="ETQ245" s="15"/>
      <c r="ETR245" s="15"/>
      <c r="ETS245" s="15"/>
      <c r="ETT245" s="15"/>
      <c r="ETU245" s="10"/>
      <c r="ETV245" s="10"/>
      <c r="ETW245" s="21"/>
      <c r="ETX245" s="21"/>
      <c r="EUA245" s="21"/>
      <c r="EUB245" s="15"/>
      <c r="EUC245" s="15"/>
      <c r="EUD245" s="15"/>
      <c r="EUE245" s="15"/>
      <c r="EUF245" s="15"/>
      <c r="EUG245" s="15"/>
      <c r="EUH245" s="15"/>
      <c r="EUI245" s="15"/>
      <c r="EUJ245" s="15"/>
      <c r="EUK245" s="15"/>
      <c r="EUL245" s="10"/>
      <c r="EUM245" s="10"/>
      <c r="EUN245" s="21"/>
      <c r="EUO245" s="21"/>
      <c r="EUR245" s="21"/>
      <c r="EUS245" s="15"/>
      <c r="EUT245" s="15"/>
      <c r="EUU245" s="15"/>
      <c r="EUV245" s="15"/>
      <c r="EUW245" s="15"/>
      <c r="EUX245" s="15"/>
      <c r="EUY245" s="15"/>
      <c r="EUZ245" s="15"/>
      <c r="EVA245" s="15"/>
      <c r="EVB245" s="15"/>
      <c r="EVC245" s="10"/>
      <c r="EVD245" s="10"/>
      <c r="EVE245" s="21"/>
      <c r="EVF245" s="21"/>
      <c r="EVI245" s="21"/>
      <c r="EVJ245" s="15"/>
      <c r="EVK245" s="15"/>
      <c r="EVL245" s="15"/>
      <c r="EVM245" s="15"/>
      <c r="EVN245" s="15"/>
      <c r="EVO245" s="15"/>
      <c r="EVP245" s="15"/>
      <c r="EVQ245" s="15"/>
      <c r="EVR245" s="15"/>
      <c r="EVS245" s="15"/>
      <c r="EVT245" s="10"/>
      <c r="EVU245" s="10"/>
      <c r="EVV245" s="21"/>
      <c r="EVW245" s="21"/>
      <c r="EVZ245" s="21"/>
      <c r="EWA245" s="15"/>
      <c r="EWB245" s="15"/>
      <c r="EWC245" s="15"/>
      <c r="EWD245" s="15"/>
      <c r="EWE245" s="15"/>
      <c r="EWF245" s="15"/>
      <c r="EWG245" s="15"/>
      <c r="EWH245" s="15"/>
      <c r="EWI245" s="15"/>
      <c r="EWJ245" s="15"/>
      <c r="EWK245" s="10"/>
      <c r="EWL245" s="10"/>
      <c r="EWM245" s="21"/>
      <c r="EWN245" s="21"/>
      <c r="EWQ245" s="21"/>
      <c r="EWR245" s="15"/>
      <c r="EWS245" s="15"/>
      <c r="EWT245" s="15"/>
      <c r="EWU245" s="15"/>
      <c r="EWV245" s="15"/>
      <c r="EWW245" s="15"/>
      <c r="EWX245" s="15"/>
      <c r="EWY245" s="15"/>
      <c r="EWZ245" s="15"/>
      <c r="EXA245" s="15"/>
      <c r="EXB245" s="10"/>
      <c r="EXC245" s="10"/>
      <c r="EXD245" s="21"/>
      <c r="EXE245" s="21"/>
      <c r="EXH245" s="21"/>
      <c r="EXI245" s="15"/>
      <c r="EXJ245" s="15"/>
      <c r="EXK245" s="15"/>
      <c r="EXL245" s="15"/>
      <c r="EXM245" s="15"/>
      <c r="EXN245" s="15"/>
      <c r="EXO245" s="15"/>
      <c r="EXP245" s="15"/>
      <c r="EXQ245" s="15"/>
      <c r="EXR245" s="15"/>
      <c r="EXS245" s="10"/>
      <c r="EXT245" s="10"/>
      <c r="EXU245" s="21"/>
      <c r="EXV245" s="21"/>
      <c r="EXY245" s="21"/>
      <c r="EXZ245" s="15"/>
      <c r="EYA245" s="15"/>
      <c r="EYB245" s="15"/>
      <c r="EYC245" s="15"/>
      <c r="EYD245" s="15"/>
      <c r="EYE245" s="15"/>
      <c r="EYF245" s="15"/>
      <c r="EYG245" s="15"/>
      <c r="EYH245" s="15"/>
      <c r="EYI245" s="15"/>
      <c r="EYJ245" s="10"/>
      <c r="EYK245" s="10"/>
      <c r="EYL245" s="21"/>
      <c r="EYM245" s="21"/>
      <c r="EYP245" s="21"/>
      <c r="EYQ245" s="15"/>
      <c r="EYR245" s="15"/>
      <c r="EYS245" s="15"/>
      <c r="EYT245" s="15"/>
      <c r="EYU245" s="15"/>
      <c r="EYV245" s="15"/>
      <c r="EYW245" s="15"/>
      <c r="EYX245" s="15"/>
      <c r="EYY245" s="15"/>
      <c r="EYZ245" s="15"/>
      <c r="EZA245" s="10"/>
      <c r="EZB245" s="10"/>
      <c r="EZC245" s="21"/>
      <c r="EZD245" s="21"/>
      <c r="EZG245" s="21"/>
      <c r="EZH245" s="15"/>
      <c r="EZI245" s="15"/>
      <c r="EZJ245" s="15"/>
      <c r="EZK245" s="15"/>
      <c r="EZL245" s="15"/>
      <c r="EZM245" s="15"/>
      <c r="EZN245" s="15"/>
      <c r="EZO245" s="15"/>
      <c r="EZP245" s="15"/>
      <c r="EZQ245" s="15"/>
      <c r="EZR245" s="10"/>
      <c r="EZS245" s="10"/>
      <c r="EZT245" s="21"/>
      <c r="EZU245" s="21"/>
      <c r="EZX245" s="21"/>
      <c r="EZY245" s="15"/>
      <c r="EZZ245" s="15"/>
      <c r="FAA245" s="15"/>
      <c r="FAB245" s="15"/>
      <c r="FAC245" s="15"/>
      <c r="FAD245" s="15"/>
      <c r="FAE245" s="15"/>
      <c r="FAF245" s="15"/>
      <c r="FAG245" s="15"/>
      <c r="FAH245" s="15"/>
      <c r="FAI245" s="10"/>
      <c r="FAJ245" s="10"/>
      <c r="FAK245" s="21"/>
      <c r="FAL245" s="21"/>
      <c r="FAO245" s="21"/>
      <c r="FAP245" s="15"/>
      <c r="FAQ245" s="15"/>
      <c r="FAR245" s="15"/>
      <c r="FAS245" s="15"/>
      <c r="FAT245" s="15"/>
      <c r="FAU245" s="15"/>
      <c r="FAV245" s="15"/>
      <c r="FAW245" s="15"/>
      <c r="FAX245" s="15"/>
      <c r="FAY245" s="15"/>
      <c r="FAZ245" s="10"/>
      <c r="FBA245" s="10"/>
      <c r="FBB245" s="21"/>
      <c r="FBC245" s="21"/>
      <c r="FBF245" s="21"/>
      <c r="FBG245" s="15"/>
      <c r="FBH245" s="15"/>
      <c r="FBI245" s="15"/>
      <c r="FBJ245" s="15"/>
      <c r="FBK245" s="15"/>
      <c r="FBL245" s="15"/>
      <c r="FBM245" s="15"/>
      <c r="FBN245" s="15"/>
      <c r="FBO245" s="15"/>
      <c r="FBP245" s="15"/>
      <c r="FBQ245" s="10"/>
      <c r="FBR245" s="10"/>
      <c r="FBS245" s="21"/>
      <c r="FBT245" s="21"/>
      <c r="FBW245" s="21"/>
      <c r="FBX245" s="15"/>
      <c r="FBY245" s="15"/>
      <c r="FBZ245" s="15"/>
      <c r="FCA245" s="15"/>
      <c r="FCB245" s="15"/>
      <c r="FCC245" s="15"/>
      <c r="FCD245" s="15"/>
      <c r="FCE245" s="15"/>
      <c r="FCF245" s="15"/>
      <c r="FCG245" s="15"/>
      <c r="FCH245" s="10"/>
      <c r="FCI245" s="10"/>
      <c r="FCJ245" s="21"/>
      <c r="FCK245" s="21"/>
      <c r="FCN245" s="21"/>
      <c r="FCO245" s="15"/>
      <c r="FCP245" s="15"/>
      <c r="FCQ245" s="15"/>
      <c r="FCR245" s="15"/>
      <c r="FCS245" s="15"/>
      <c r="FCT245" s="15"/>
      <c r="FCU245" s="15"/>
      <c r="FCV245" s="15"/>
      <c r="FCW245" s="15"/>
      <c r="FCX245" s="15"/>
      <c r="FCY245" s="10"/>
      <c r="FCZ245" s="10"/>
      <c r="FDA245" s="21"/>
      <c r="FDB245" s="21"/>
      <c r="FDE245" s="21"/>
      <c r="FDF245" s="15"/>
      <c r="FDG245" s="15"/>
      <c r="FDH245" s="15"/>
      <c r="FDI245" s="15"/>
      <c r="FDJ245" s="15"/>
      <c r="FDK245" s="15"/>
      <c r="FDL245" s="15"/>
      <c r="FDM245" s="15"/>
      <c r="FDN245" s="15"/>
      <c r="FDO245" s="15"/>
      <c r="FDP245" s="10"/>
      <c r="FDQ245" s="10"/>
      <c r="FDR245" s="21"/>
      <c r="FDS245" s="21"/>
      <c r="FDV245" s="21"/>
      <c r="FDW245" s="15"/>
      <c r="FDX245" s="15"/>
      <c r="FDY245" s="15"/>
      <c r="FDZ245" s="15"/>
      <c r="FEA245" s="15"/>
      <c r="FEB245" s="15"/>
      <c r="FEC245" s="15"/>
      <c r="FED245" s="15"/>
      <c r="FEE245" s="15"/>
      <c r="FEF245" s="15"/>
      <c r="FEG245" s="10"/>
      <c r="FEH245" s="10"/>
      <c r="FEI245" s="21"/>
      <c r="FEJ245" s="21"/>
      <c r="FEM245" s="21"/>
      <c r="FEN245" s="15"/>
      <c r="FEO245" s="15"/>
      <c r="FEP245" s="15"/>
      <c r="FEQ245" s="15"/>
      <c r="FER245" s="15"/>
      <c r="FES245" s="15"/>
      <c r="FET245" s="15"/>
      <c r="FEU245" s="15"/>
      <c r="FEV245" s="15"/>
      <c r="FEW245" s="15"/>
      <c r="FEX245" s="10"/>
      <c r="FEY245" s="10"/>
      <c r="FEZ245" s="21"/>
      <c r="FFA245" s="21"/>
      <c r="FFD245" s="21"/>
      <c r="FFE245" s="15"/>
      <c r="FFF245" s="15"/>
      <c r="FFG245" s="15"/>
      <c r="FFH245" s="15"/>
      <c r="FFI245" s="15"/>
      <c r="FFJ245" s="15"/>
      <c r="FFK245" s="15"/>
      <c r="FFL245" s="15"/>
      <c r="FFM245" s="15"/>
      <c r="FFN245" s="15"/>
      <c r="FFO245" s="10"/>
      <c r="FFP245" s="10"/>
      <c r="FFQ245" s="21"/>
      <c r="FFR245" s="21"/>
      <c r="FFU245" s="21"/>
      <c r="FFV245" s="15"/>
      <c r="FFW245" s="15"/>
      <c r="FFX245" s="15"/>
      <c r="FFY245" s="15"/>
      <c r="FFZ245" s="15"/>
      <c r="FGA245" s="15"/>
      <c r="FGB245" s="15"/>
      <c r="FGC245" s="15"/>
      <c r="FGD245" s="15"/>
      <c r="FGE245" s="15"/>
      <c r="FGF245" s="10"/>
      <c r="FGG245" s="10"/>
      <c r="FGH245" s="21"/>
      <c r="FGI245" s="21"/>
      <c r="FGL245" s="21"/>
      <c r="FGM245" s="15"/>
      <c r="FGN245" s="15"/>
      <c r="FGO245" s="15"/>
      <c r="FGP245" s="15"/>
      <c r="FGQ245" s="15"/>
      <c r="FGR245" s="15"/>
      <c r="FGS245" s="15"/>
      <c r="FGT245" s="15"/>
      <c r="FGU245" s="15"/>
      <c r="FGV245" s="15"/>
      <c r="FGW245" s="10"/>
      <c r="FGX245" s="10"/>
      <c r="FGY245" s="21"/>
      <c r="FGZ245" s="21"/>
      <c r="FHC245" s="21"/>
      <c r="FHD245" s="15"/>
      <c r="FHE245" s="15"/>
      <c r="FHF245" s="15"/>
      <c r="FHG245" s="15"/>
      <c r="FHH245" s="15"/>
      <c r="FHI245" s="15"/>
      <c r="FHJ245" s="15"/>
      <c r="FHK245" s="15"/>
      <c r="FHL245" s="15"/>
      <c r="FHM245" s="15"/>
      <c r="FHN245" s="10"/>
      <c r="FHO245" s="10"/>
      <c r="FHP245" s="21"/>
      <c r="FHQ245" s="21"/>
      <c r="FHT245" s="21"/>
      <c r="FHU245" s="15"/>
      <c r="FHV245" s="15"/>
      <c r="FHW245" s="15"/>
      <c r="FHX245" s="15"/>
      <c r="FHY245" s="15"/>
      <c r="FHZ245" s="15"/>
      <c r="FIA245" s="15"/>
      <c r="FIB245" s="15"/>
      <c r="FIC245" s="15"/>
      <c r="FID245" s="15"/>
      <c r="FIE245" s="10"/>
      <c r="FIF245" s="10"/>
      <c r="FIG245" s="21"/>
      <c r="FIH245" s="21"/>
      <c r="FIK245" s="21"/>
      <c r="FIL245" s="15"/>
      <c r="FIM245" s="15"/>
      <c r="FIN245" s="15"/>
      <c r="FIO245" s="15"/>
      <c r="FIP245" s="15"/>
      <c r="FIQ245" s="15"/>
      <c r="FIR245" s="15"/>
      <c r="FIS245" s="15"/>
      <c r="FIT245" s="15"/>
      <c r="FIU245" s="15"/>
      <c r="FIV245" s="10"/>
      <c r="FIW245" s="10"/>
      <c r="FIX245" s="21"/>
      <c r="FIY245" s="21"/>
      <c r="FJB245" s="21"/>
      <c r="FJC245" s="15"/>
      <c r="FJD245" s="15"/>
      <c r="FJE245" s="15"/>
      <c r="FJF245" s="15"/>
      <c r="FJG245" s="15"/>
      <c r="FJH245" s="15"/>
      <c r="FJI245" s="15"/>
      <c r="FJJ245" s="15"/>
      <c r="FJK245" s="15"/>
      <c r="FJL245" s="15"/>
      <c r="FJM245" s="10"/>
      <c r="FJN245" s="10"/>
      <c r="FJO245" s="21"/>
      <c r="FJP245" s="21"/>
      <c r="FJS245" s="21"/>
      <c r="FJT245" s="15"/>
      <c r="FJU245" s="15"/>
      <c r="FJV245" s="15"/>
      <c r="FJW245" s="15"/>
      <c r="FJX245" s="15"/>
      <c r="FJY245" s="15"/>
      <c r="FJZ245" s="15"/>
      <c r="FKA245" s="15"/>
      <c r="FKB245" s="15"/>
      <c r="FKC245" s="15"/>
      <c r="FKD245" s="10"/>
      <c r="FKE245" s="10"/>
      <c r="FKF245" s="21"/>
      <c r="FKG245" s="21"/>
      <c r="FKJ245" s="21"/>
      <c r="FKK245" s="15"/>
      <c r="FKL245" s="15"/>
      <c r="FKM245" s="15"/>
      <c r="FKN245" s="15"/>
      <c r="FKO245" s="15"/>
      <c r="FKP245" s="15"/>
      <c r="FKQ245" s="15"/>
      <c r="FKR245" s="15"/>
      <c r="FKS245" s="15"/>
      <c r="FKT245" s="15"/>
      <c r="FKU245" s="10"/>
      <c r="FKV245" s="10"/>
      <c r="FKW245" s="21"/>
      <c r="FKX245" s="21"/>
      <c r="FLA245" s="21"/>
      <c r="FLB245" s="15"/>
      <c r="FLC245" s="15"/>
      <c r="FLD245" s="15"/>
      <c r="FLE245" s="15"/>
      <c r="FLF245" s="15"/>
      <c r="FLG245" s="15"/>
      <c r="FLH245" s="15"/>
      <c r="FLI245" s="15"/>
      <c r="FLJ245" s="15"/>
      <c r="FLK245" s="15"/>
      <c r="FLL245" s="10"/>
      <c r="FLM245" s="10"/>
      <c r="FLN245" s="21"/>
      <c r="FLO245" s="21"/>
      <c r="FLR245" s="21"/>
      <c r="FLS245" s="15"/>
      <c r="FLT245" s="15"/>
      <c r="FLU245" s="15"/>
      <c r="FLV245" s="15"/>
      <c r="FLW245" s="15"/>
      <c r="FLX245" s="15"/>
      <c r="FLY245" s="15"/>
      <c r="FLZ245" s="15"/>
      <c r="FMA245" s="15"/>
      <c r="FMB245" s="15"/>
      <c r="FMC245" s="10"/>
      <c r="FMD245" s="10"/>
      <c r="FME245" s="21"/>
      <c r="FMF245" s="21"/>
      <c r="FMI245" s="21"/>
      <c r="FMJ245" s="15"/>
      <c r="FMK245" s="15"/>
      <c r="FML245" s="15"/>
      <c r="FMM245" s="15"/>
      <c r="FMN245" s="15"/>
      <c r="FMO245" s="15"/>
      <c r="FMP245" s="15"/>
      <c r="FMQ245" s="15"/>
      <c r="FMR245" s="15"/>
      <c r="FMS245" s="15"/>
      <c r="FMT245" s="10"/>
      <c r="FMU245" s="10"/>
      <c r="FMV245" s="21"/>
      <c r="FMW245" s="21"/>
      <c r="FMZ245" s="21"/>
      <c r="FNA245" s="15"/>
      <c r="FNB245" s="15"/>
      <c r="FNC245" s="15"/>
      <c r="FND245" s="15"/>
      <c r="FNE245" s="15"/>
      <c r="FNF245" s="15"/>
      <c r="FNG245" s="15"/>
      <c r="FNH245" s="15"/>
      <c r="FNI245" s="15"/>
      <c r="FNJ245" s="15"/>
      <c r="FNK245" s="10"/>
      <c r="FNL245" s="10"/>
      <c r="FNM245" s="21"/>
      <c r="FNN245" s="21"/>
      <c r="FNQ245" s="21"/>
      <c r="FNR245" s="15"/>
      <c r="FNS245" s="15"/>
      <c r="FNT245" s="15"/>
      <c r="FNU245" s="15"/>
      <c r="FNV245" s="15"/>
      <c r="FNW245" s="15"/>
      <c r="FNX245" s="15"/>
      <c r="FNY245" s="15"/>
      <c r="FNZ245" s="15"/>
      <c r="FOA245" s="15"/>
      <c r="FOB245" s="10"/>
      <c r="FOC245" s="10"/>
      <c r="FOD245" s="21"/>
      <c r="FOE245" s="21"/>
      <c r="FOH245" s="21"/>
      <c r="FOI245" s="15"/>
      <c r="FOJ245" s="15"/>
      <c r="FOK245" s="15"/>
      <c r="FOL245" s="15"/>
      <c r="FOM245" s="15"/>
      <c r="FON245" s="15"/>
      <c r="FOO245" s="15"/>
      <c r="FOP245" s="15"/>
      <c r="FOQ245" s="15"/>
      <c r="FOR245" s="15"/>
      <c r="FOS245" s="10"/>
      <c r="FOT245" s="10"/>
      <c r="FOU245" s="21"/>
      <c r="FOV245" s="21"/>
      <c r="FOY245" s="21"/>
      <c r="FOZ245" s="15"/>
      <c r="FPA245" s="15"/>
      <c r="FPB245" s="15"/>
      <c r="FPC245" s="15"/>
      <c r="FPD245" s="15"/>
      <c r="FPE245" s="15"/>
      <c r="FPF245" s="15"/>
      <c r="FPG245" s="15"/>
      <c r="FPH245" s="15"/>
      <c r="FPI245" s="15"/>
      <c r="FPJ245" s="10"/>
      <c r="FPK245" s="10"/>
      <c r="FPL245" s="21"/>
      <c r="FPM245" s="21"/>
      <c r="FPP245" s="21"/>
      <c r="FPQ245" s="15"/>
      <c r="FPR245" s="15"/>
      <c r="FPS245" s="15"/>
      <c r="FPT245" s="15"/>
      <c r="FPU245" s="15"/>
      <c r="FPV245" s="15"/>
      <c r="FPW245" s="15"/>
      <c r="FPX245" s="15"/>
      <c r="FPY245" s="15"/>
      <c r="FPZ245" s="15"/>
      <c r="FQA245" s="10"/>
      <c r="FQB245" s="10"/>
      <c r="FQC245" s="21"/>
      <c r="FQD245" s="21"/>
      <c r="FQG245" s="21"/>
      <c r="FQH245" s="15"/>
      <c r="FQI245" s="15"/>
      <c r="FQJ245" s="15"/>
      <c r="FQK245" s="15"/>
      <c r="FQL245" s="15"/>
      <c r="FQM245" s="15"/>
      <c r="FQN245" s="15"/>
      <c r="FQO245" s="15"/>
      <c r="FQP245" s="15"/>
      <c r="FQQ245" s="15"/>
      <c r="FQR245" s="10"/>
      <c r="FQS245" s="10"/>
      <c r="FQT245" s="21"/>
      <c r="FQU245" s="21"/>
      <c r="FQX245" s="21"/>
      <c r="FQY245" s="15"/>
      <c r="FQZ245" s="15"/>
      <c r="FRA245" s="15"/>
      <c r="FRB245" s="15"/>
      <c r="FRC245" s="15"/>
      <c r="FRD245" s="15"/>
      <c r="FRE245" s="15"/>
      <c r="FRF245" s="15"/>
      <c r="FRG245" s="15"/>
      <c r="FRH245" s="15"/>
      <c r="FRI245" s="10"/>
      <c r="FRJ245" s="10"/>
      <c r="FRK245" s="21"/>
      <c r="FRL245" s="21"/>
      <c r="FRO245" s="21"/>
      <c r="FRP245" s="15"/>
      <c r="FRQ245" s="15"/>
      <c r="FRR245" s="15"/>
      <c r="FRS245" s="15"/>
      <c r="FRT245" s="15"/>
      <c r="FRU245" s="15"/>
      <c r="FRV245" s="15"/>
      <c r="FRW245" s="15"/>
      <c r="FRX245" s="15"/>
      <c r="FRY245" s="15"/>
      <c r="FRZ245" s="10"/>
      <c r="FSA245" s="10"/>
      <c r="FSB245" s="21"/>
      <c r="FSC245" s="21"/>
      <c r="FSF245" s="21"/>
      <c r="FSG245" s="15"/>
      <c r="FSH245" s="15"/>
      <c r="FSI245" s="15"/>
      <c r="FSJ245" s="15"/>
      <c r="FSK245" s="15"/>
      <c r="FSL245" s="15"/>
      <c r="FSM245" s="15"/>
      <c r="FSN245" s="15"/>
      <c r="FSO245" s="15"/>
      <c r="FSP245" s="15"/>
      <c r="FSQ245" s="10"/>
      <c r="FSR245" s="10"/>
      <c r="FSS245" s="21"/>
      <c r="FST245" s="21"/>
      <c r="FSW245" s="21"/>
      <c r="FSX245" s="15"/>
      <c r="FSY245" s="15"/>
      <c r="FSZ245" s="15"/>
      <c r="FTA245" s="15"/>
      <c r="FTB245" s="15"/>
      <c r="FTC245" s="15"/>
      <c r="FTD245" s="15"/>
      <c r="FTE245" s="15"/>
      <c r="FTF245" s="15"/>
      <c r="FTG245" s="15"/>
      <c r="FTH245" s="10"/>
      <c r="FTI245" s="10"/>
      <c r="FTJ245" s="21"/>
      <c r="FTK245" s="21"/>
      <c r="FTN245" s="21"/>
      <c r="FTO245" s="15"/>
      <c r="FTP245" s="15"/>
      <c r="FTQ245" s="15"/>
      <c r="FTR245" s="15"/>
      <c r="FTS245" s="15"/>
      <c r="FTT245" s="15"/>
      <c r="FTU245" s="15"/>
      <c r="FTV245" s="15"/>
      <c r="FTW245" s="15"/>
      <c r="FTX245" s="15"/>
      <c r="FTY245" s="10"/>
      <c r="FTZ245" s="10"/>
      <c r="FUA245" s="21"/>
      <c r="FUB245" s="21"/>
      <c r="FUE245" s="21"/>
      <c r="FUF245" s="15"/>
      <c r="FUG245" s="15"/>
      <c r="FUH245" s="15"/>
      <c r="FUI245" s="15"/>
      <c r="FUJ245" s="15"/>
      <c r="FUK245" s="15"/>
      <c r="FUL245" s="15"/>
      <c r="FUM245" s="15"/>
      <c r="FUN245" s="15"/>
      <c r="FUO245" s="15"/>
      <c r="FUP245" s="10"/>
      <c r="FUQ245" s="10"/>
      <c r="FUR245" s="21"/>
      <c r="FUS245" s="21"/>
      <c r="FUV245" s="21"/>
      <c r="FUW245" s="15"/>
      <c r="FUX245" s="15"/>
      <c r="FUY245" s="15"/>
      <c r="FUZ245" s="15"/>
      <c r="FVA245" s="15"/>
      <c r="FVB245" s="15"/>
      <c r="FVC245" s="15"/>
      <c r="FVD245" s="15"/>
      <c r="FVE245" s="15"/>
      <c r="FVF245" s="15"/>
      <c r="FVG245" s="10"/>
      <c r="FVH245" s="10"/>
      <c r="FVI245" s="21"/>
      <c r="FVJ245" s="21"/>
      <c r="FVM245" s="21"/>
      <c r="FVN245" s="15"/>
      <c r="FVO245" s="15"/>
      <c r="FVP245" s="15"/>
      <c r="FVQ245" s="15"/>
      <c r="FVR245" s="15"/>
      <c r="FVS245" s="15"/>
      <c r="FVT245" s="15"/>
      <c r="FVU245" s="15"/>
      <c r="FVV245" s="15"/>
      <c r="FVW245" s="15"/>
      <c r="FVX245" s="10"/>
      <c r="FVY245" s="10"/>
      <c r="FVZ245" s="21"/>
      <c r="FWA245" s="21"/>
      <c r="FWD245" s="21"/>
      <c r="FWE245" s="15"/>
      <c r="FWF245" s="15"/>
      <c r="FWG245" s="15"/>
      <c r="FWH245" s="15"/>
      <c r="FWI245" s="15"/>
      <c r="FWJ245" s="15"/>
      <c r="FWK245" s="15"/>
      <c r="FWL245" s="15"/>
      <c r="FWM245" s="15"/>
      <c r="FWN245" s="15"/>
      <c r="FWO245" s="10"/>
      <c r="FWP245" s="10"/>
      <c r="FWQ245" s="21"/>
      <c r="FWR245" s="21"/>
      <c r="FWU245" s="21"/>
      <c r="FWV245" s="15"/>
      <c r="FWW245" s="15"/>
      <c r="FWX245" s="15"/>
      <c r="FWY245" s="15"/>
      <c r="FWZ245" s="15"/>
      <c r="FXA245" s="15"/>
      <c r="FXB245" s="15"/>
      <c r="FXC245" s="15"/>
      <c r="FXD245" s="15"/>
      <c r="FXE245" s="15"/>
      <c r="FXF245" s="10"/>
      <c r="FXG245" s="10"/>
      <c r="FXH245" s="21"/>
      <c r="FXI245" s="21"/>
      <c r="FXL245" s="21"/>
      <c r="FXM245" s="15"/>
      <c r="FXN245" s="15"/>
      <c r="FXO245" s="15"/>
      <c r="FXP245" s="15"/>
      <c r="FXQ245" s="15"/>
      <c r="FXR245" s="15"/>
      <c r="FXS245" s="15"/>
      <c r="FXT245" s="15"/>
      <c r="FXU245" s="15"/>
      <c r="FXV245" s="15"/>
      <c r="FXW245" s="10"/>
      <c r="FXX245" s="10"/>
      <c r="FXY245" s="21"/>
      <c r="FXZ245" s="21"/>
      <c r="FYC245" s="21"/>
      <c r="FYD245" s="15"/>
      <c r="FYE245" s="15"/>
      <c r="FYF245" s="15"/>
      <c r="FYG245" s="15"/>
      <c r="FYH245" s="15"/>
      <c r="FYI245" s="15"/>
      <c r="FYJ245" s="15"/>
      <c r="FYK245" s="15"/>
      <c r="FYL245" s="15"/>
      <c r="FYM245" s="15"/>
      <c r="FYN245" s="10"/>
      <c r="FYO245" s="10"/>
      <c r="FYP245" s="21"/>
      <c r="FYQ245" s="21"/>
      <c r="FYT245" s="21"/>
      <c r="FYU245" s="15"/>
      <c r="FYV245" s="15"/>
      <c r="FYW245" s="15"/>
      <c r="FYX245" s="15"/>
      <c r="FYY245" s="15"/>
      <c r="FYZ245" s="15"/>
      <c r="FZA245" s="15"/>
      <c r="FZB245" s="15"/>
      <c r="FZC245" s="15"/>
      <c r="FZD245" s="15"/>
      <c r="FZE245" s="10"/>
      <c r="FZF245" s="10"/>
      <c r="FZG245" s="21"/>
      <c r="FZH245" s="21"/>
      <c r="FZK245" s="21"/>
      <c r="FZL245" s="15"/>
      <c r="FZM245" s="15"/>
      <c r="FZN245" s="15"/>
      <c r="FZO245" s="15"/>
      <c r="FZP245" s="15"/>
      <c r="FZQ245" s="15"/>
      <c r="FZR245" s="15"/>
      <c r="FZS245" s="15"/>
      <c r="FZT245" s="15"/>
      <c r="FZU245" s="15"/>
      <c r="FZV245" s="10"/>
      <c r="FZW245" s="10"/>
      <c r="FZX245" s="21"/>
      <c r="FZY245" s="21"/>
      <c r="GAB245" s="21"/>
      <c r="GAC245" s="15"/>
      <c r="GAD245" s="15"/>
      <c r="GAE245" s="15"/>
      <c r="GAF245" s="15"/>
      <c r="GAG245" s="15"/>
      <c r="GAH245" s="15"/>
      <c r="GAI245" s="15"/>
      <c r="GAJ245" s="15"/>
      <c r="GAK245" s="15"/>
      <c r="GAL245" s="15"/>
      <c r="GAM245" s="10"/>
      <c r="GAN245" s="10"/>
      <c r="GAO245" s="21"/>
      <c r="GAP245" s="21"/>
      <c r="GAS245" s="21"/>
      <c r="GAT245" s="15"/>
      <c r="GAU245" s="15"/>
      <c r="GAV245" s="15"/>
      <c r="GAW245" s="15"/>
      <c r="GAX245" s="15"/>
      <c r="GAY245" s="15"/>
      <c r="GAZ245" s="15"/>
      <c r="GBA245" s="15"/>
      <c r="GBB245" s="15"/>
      <c r="GBC245" s="15"/>
      <c r="GBD245" s="10"/>
      <c r="GBE245" s="10"/>
      <c r="GBF245" s="21"/>
      <c r="GBG245" s="21"/>
      <c r="GBJ245" s="21"/>
      <c r="GBK245" s="15"/>
      <c r="GBL245" s="15"/>
      <c r="GBM245" s="15"/>
      <c r="GBN245" s="15"/>
      <c r="GBO245" s="15"/>
      <c r="GBP245" s="15"/>
      <c r="GBQ245" s="15"/>
      <c r="GBR245" s="15"/>
      <c r="GBS245" s="15"/>
      <c r="GBT245" s="15"/>
      <c r="GBU245" s="10"/>
      <c r="GBV245" s="10"/>
      <c r="GBW245" s="21"/>
      <c r="GBX245" s="21"/>
      <c r="GCA245" s="21"/>
      <c r="GCB245" s="15"/>
      <c r="GCC245" s="15"/>
      <c r="GCD245" s="15"/>
      <c r="GCE245" s="15"/>
      <c r="GCF245" s="15"/>
      <c r="GCG245" s="15"/>
      <c r="GCH245" s="15"/>
      <c r="GCI245" s="15"/>
      <c r="GCJ245" s="15"/>
      <c r="GCK245" s="15"/>
      <c r="GCL245" s="10"/>
      <c r="GCM245" s="10"/>
      <c r="GCN245" s="21"/>
      <c r="GCO245" s="21"/>
      <c r="GCR245" s="21"/>
      <c r="GCS245" s="15"/>
      <c r="GCT245" s="15"/>
      <c r="GCU245" s="15"/>
      <c r="GCV245" s="15"/>
      <c r="GCW245" s="15"/>
      <c r="GCX245" s="15"/>
      <c r="GCY245" s="15"/>
      <c r="GCZ245" s="15"/>
      <c r="GDA245" s="15"/>
      <c r="GDB245" s="15"/>
      <c r="GDC245" s="10"/>
      <c r="GDD245" s="10"/>
      <c r="GDE245" s="21"/>
      <c r="GDF245" s="21"/>
      <c r="GDI245" s="21"/>
      <c r="GDJ245" s="15"/>
      <c r="GDK245" s="15"/>
      <c r="GDL245" s="15"/>
      <c r="GDM245" s="15"/>
      <c r="GDN245" s="15"/>
      <c r="GDO245" s="15"/>
      <c r="GDP245" s="15"/>
      <c r="GDQ245" s="15"/>
      <c r="GDR245" s="15"/>
      <c r="GDS245" s="15"/>
      <c r="GDT245" s="10"/>
      <c r="GDU245" s="10"/>
      <c r="GDV245" s="21"/>
      <c r="GDW245" s="21"/>
      <c r="GDZ245" s="21"/>
      <c r="GEA245" s="15"/>
      <c r="GEB245" s="15"/>
      <c r="GEC245" s="15"/>
      <c r="GED245" s="15"/>
      <c r="GEE245" s="15"/>
      <c r="GEF245" s="15"/>
      <c r="GEG245" s="15"/>
      <c r="GEH245" s="15"/>
      <c r="GEI245" s="15"/>
      <c r="GEJ245" s="15"/>
      <c r="GEK245" s="10"/>
      <c r="GEL245" s="10"/>
      <c r="GEM245" s="21"/>
      <c r="GEN245" s="21"/>
      <c r="GEQ245" s="21"/>
      <c r="GER245" s="15"/>
      <c r="GES245" s="15"/>
      <c r="GET245" s="15"/>
      <c r="GEU245" s="15"/>
      <c r="GEV245" s="15"/>
      <c r="GEW245" s="15"/>
      <c r="GEX245" s="15"/>
      <c r="GEY245" s="15"/>
      <c r="GEZ245" s="15"/>
      <c r="GFA245" s="15"/>
      <c r="GFB245" s="10"/>
      <c r="GFC245" s="10"/>
      <c r="GFD245" s="21"/>
      <c r="GFE245" s="21"/>
      <c r="GFH245" s="21"/>
      <c r="GFI245" s="15"/>
      <c r="GFJ245" s="15"/>
      <c r="GFK245" s="15"/>
      <c r="GFL245" s="15"/>
      <c r="GFM245" s="15"/>
      <c r="GFN245" s="15"/>
      <c r="GFO245" s="15"/>
      <c r="GFP245" s="15"/>
      <c r="GFQ245" s="15"/>
      <c r="GFR245" s="15"/>
      <c r="GFS245" s="10"/>
      <c r="GFT245" s="10"/>
      <c r="GFU245" s="21"/>
      <c r="GFV245" s="21"/>
      <c r="GFY245" s="21"/>
      <c r="GFZ245" s="15"/>
      <c r="GGA245" s="15"/>
      <c r="GGB245" s="15"/>
      <c r="GGC245" s="15"/>
      <c r="GGD245" s="15"/>
      <c r="GGE245" s="15"/>
      <c r="GGF245" s="15"/>
      <c r="GGG245" s="15"/>
      <c r="GGH245" s="15"/>
      <c r="GGI245" s="15"/>
      <c r="GGJ245" s="10"/>
      <c r="GGK245" s="10"/>
      <c r="GGL245" s="21"/>
      <c r="GGM245" s="21"/>
      <c r="GGP245" s="21"/>
      <c r="GGQ245" s="15"/>
      <c r="GGR245" s="15"/>
      <c r="GGS245" s="15"/>
      <c r="GGT245" s="15"/>
      <c r="GGU245" s="15"/>
      <c r="GGV245" s="15"/>
      <c r="GGW245" s="15"/>
      <c r="GGX245" s="15"/>
      <c r="GGY245" s="15"/>
      <c r="GGZ245" s="15"/>
      <c r="GHA245" s="10"/>
      <c r="GHB245" s="10"/>
      <c r="GHC245" s="21"/>
      <c r="GHD245" s="21"/>
      <c r="GHG245" s="21"/>
      <c r="GHH245" s="15"/>
      <c r="GHI245" s="15"/>
      <c r="GHJ245" s="15"/>
      <c r="GHK245" s="15"/>
      <c r="GHL245" s="15"/>
      <c r="GHM245" s="15"/>
      <c r="GHN245" s="15"/>
      <c r="GHO245" s="15"/>
      <c r="GHP245" s="15"/>
      <c r="GHQ245" s="15"/>
      <c r="GHR245" s="10"/>
      <c r="GHS245" s="10"/>
      <c r="GHT245" s="21"/>
      <c r="GHU245" s="21"/>
      <c r="GHX245" s="21"/>
      <c r="GHY245" s="15"/>
      <c r="GHZ245" s="15"/>
      <c r="GIA245" s="15"/>
      <c r="GIB245" s="15"/>
      <c r="GIC245" s="15"/>
      <c r="GID245" s="15"/>
      <c r="GIE245" s="15"/>
      <c r="GIF245" s="15"/>
      <c r="GIG245" s="15"/>
      <c r="GIH245" s="15"/>
      <c r="GII245" s="10"/>
      <c r="GIJ245" s="10"/>
      <c r="GIK245" s="21"/>
      <c r="GIL245" s="21"/>
      <c r="GIO245" s="21"/>
      <c r="GIP245" s="15"/>
      <c r="GIQ245" s="15"/>
      <c r="GIR245" s="15"/>
      <c r="GIS245" s="15"/>
      <c r="GIT245" s="15"/>
      <c r="GIU245" s="15"/>
      <c r="GIV245" s="15"/>
      <c r="GIW245" s="15"/>
      <c r="GIX245" s="15"/>
      <c r="GIY245" s="15"/>
      <c r="GIZ245" s="10"/>
      <c r="GJA245" s="10"/>
      <c r="GJB245" s="21"/>
      <c r="GJC245" s="21"/>
      <c r="GJF245" s="21"/>
      <c r="GJG245" s="15"/>
      <c r="GJH245" s="15"/>
      <c r="GJI245" s="15"/>
      <c r="GJJ245" s="15"/>
      <c r="GJK245" s="15"/>
      <c r="GJL245" s="15"/>
      <c r="GJM245" s="15"/>
      <c r="GJN245" s="15"/>
      <c r="GJO245" s="15"/>
      <c r="GJP245" s="15"/>
      <c r="GJQ245" s="10"/>
      <c r="GJR245" s="10"/>
      <c r="GJS245" s="21"/>
      <c r="GJT245" s="21"/>
      <c r="GJW245" s="21"/>
      <c r="GJX245" s="15"/>
      <c r="GJY245" s="15"/>
      <c r="GJZ245" s="15"/>
      <c r="GKA245" s="15"/>
      <c r="GKB245" s="15"/>
      <c r="GKC245" s="15"/>
      <c r="GKD245" s="15"/>
      <c r="GKE245" s="15"/>
      <c r="GKF245" s="15"/>
      <c r="GKG245" s="15"/>
      <c r="GKH245" s="10"/>
      <c r="GKI245" s="10"/>
      <c r="GKJ245" s="21"/>
      <c r="GKK245" s="21"/>
      <c r="GKN245" s="21"/>
      <c r="GKO245" s="15"/>
      <c r="GKP245" s="15"/>
      <c r="GKQ245" s="15"/>
      <c r="GKR245" s="15"/>
      <c r="GKS245" s="15"/>
      <c r="GKT245" s="15"/>
      <c r="GKU245" s="15"/>
      <c r="GKV245" s="15"/>
      <c r="GKW245" s="15"/>
      <c r="GKX245" s="15"/>
      <c r="GKY245" s="10"/>
      <c r="GKZ245" s="10"/>
      <c r="GLA245" s="21"/>
      <c r="GLB245" s="21"/>
      <c r="GLE245" s="21"/>
      <c r="GLF245" s="15"/>
      <c r="GLG245" s="15"/>
      <c r="GLH245" s="15"/>
      <c r="GLI245" s="15"/>
      <c r="GLJ245" s="15"/>
      <c r="GLK245" s="15"/>
      <c r="GLL245" s="15"/>
      <c r="GLM245" s="15"/>
      <c r="GLN245" s="15"/>
      <c r="GLO245" s="15"/>
      <c r="GLP245" s="10"/>
      <c r="GLQ245" s="10"/>
      <c r="GLR245" s="21"/>
      <c r="GLS245" s="21"/>
      <c r="GLV245" s="21"/>
      <c r="GLW245" s="15"/>
      <c r="GLX245" s="15"/>
      <c r="GLY245" s="15"/>
      <c r="GLZ245" s="15"/>
      <c r="GMA245" s="15"/>
      <c r="GMB245" s="15"/>
      <c r="GMC245" s="15"/>
      <c r="GMD245" s="15"/>
      <c r="GME245" s="15"/>
      <c r="GMF245" s="15"/>
      <c r="GMG245" s="10"/>
      <c r="GMH245" s="10"/>
      <c r="GMI245" s="21"/>
      <c r="GMJ245" s="21"/>
      <c r="GMM245" s="21"/>
      <c r="GMN245" s="15"/>
      <c r="GMO245" s="15"/>
      <c r="GMP245" s="15"/>
      <c r="GMQ245" s="15"/>
      <c r="GMR245" s="15"/>
      <c r="GMS245" s="15"/>
      <c r="GMT245" s="15"/>
      <c r="GMU245" s="15"/>
      <c r="GMV245" s="15"/>
      <c r="GMW245" s="15"/>
      <c r="GMX245" s="10"/>
      <c r="GMY245" s="10"/>
      <c r="GMZ245" s="21"/>
      <c r="GNA245" s="21"/>
      <c r="GND245" s="21"/>
      <c r="GNE245" s="15"/>
      <c r="GNF245" s="15"/>
      <c r="GNG245" s="15"/>
      <c r="GNH245" s="15"/>
      <c r="GNI245" s="15"/>
      <c r="GNJ245" s="15"/>
      <c r="GNK245" s="15"/>
      <c r="GNL245" s="15"/>
      <c r="GNM245" s="15"/>
      <c r="GNN245" s="15"/>
      <c r="GNO245" s="10"/>
      <c r="GNP245" s="10"/>
      <c r="GNQ245" s="21"/>
      <c r="GNR245" s="21"/>
      <c r="GNU245" s="21"/>
      <c r="GNV245" s="15"/>
      <c r="GNW245" s="15"/>
      <c r="GNX245" s="15"/>
      <c r="GNY245" s="15"/>
      <c r="GNZ245" s="15"/>
      <c r="GOA245" s="15"/>
      <c r="GOB245" s="15"/>
      <c r="GOC245" s="15"/>
      <c r="GOD245" s="15"/>
      <c r="GOE245" s="15"/>
      <c r="GOF245" s="10"/>
      <c r="GOG245" s="10"/>
      <c r="GOH245" s="21"/>
      <c r="GOI245" s="21"/>
      <c r="GOL245" s="21"/>
      <c r="GOM245" s="15"/>
      <c r="GON245" s="15"/>
      <c r="GOO245" s="15"/>
      <c r="GOP245" s="15"/>
      <c r="GOQ245" s="15"/>
      <c r="GOR245" s="15"/>
      <c r="GOS245" s="15"/>
      <c r="GOT245" s="15"/>
      <c r="GOU245" s="15"/>
      <c r="GOV245" s="15"/>
      <c r="GOW245" s="10"/>
      <c r="GOX245" s="10"/>
      <c r="GOY245" s="21"/>
      <c r="GOZ245" s="21"/>
      <c r="GPC245" s="21"/>
      <c r="GPD245" s="15"/>
      <c r="GPE245" s="15"/>
      <c r="GPF245" s="15"/>
      <c r="GPG245" s="15"/>
      <c r="GPH245" s="15"/>
      <c r="GPI245" s="15"/>
      <c r="GPJ245" s="15"/>
      <c r="GPK245" s="15"/>
      <c r="GPL245" s="15"/>
      <c r="GPM245" s="15"/>
      <c r="GPN245" s="10"/>
      <c r="GPO245" s="10"/>
      <c r="GPP245" s="21"/>
      <c r="GPQ245" s="21"/>
      <c r="GPT245" s="21"/>
      <c r="GPU245" s="15"/>
      <c r="GPV245" s="15"/>
      <c r="GPW245" s="15"/>
      <c r="GPX245" s="15"/>
      <c r="GPY245" s="15"/>
      <c r="GPZ245" s="15"/>
      <c r="GQA245" s="15"/>
      <c r="GQB245" s="15"/>
      <c r="GQC245" s="15"/>
      <c r="GQD245" s="15"/>
      <c r="GQE245" s="10"/>
      <c r="GQF245" s="10"/>
      <c r="GQG245" s="21"/>
      <c r="GQH245" s="21"/>
      <c r="GQK245" s="21"/>
      <c r="GQL245" s="15"/>
      <c r="GQM245" s="15"/>
      <c r="GQN245" s="15"/>
      <c r="GQO245" s="15"/>
      <c r="GQP245" s="15"/>
      <c r="GQQ245" s="15"/>
      <c r="GQR245" s="15"/>
      <c r="GQS245" s="15"/>
      <c r="GQT245" s="15"/>
      <c r="GQU245" s="15"/>
      <c r="GQV245" s="10"/>
      <c r="GQW245" s="10"/>
      <c r="GQX245" s="21"/>
      <c r="GQY245" s="21"/>
      <c r="GRB245" s="21"/>
      <c r="GRC245" s="15"/>
      <c r="GRD245" s="15"/>
      <c r="GRE245" s="15"/>
      <c r="GRF245" s="15"/>
      <c r="GRG245" s="15"/>
      <c r="GRH245" s="15"/>
      <c r="GRI245" s="15"/>
      <c r="GRJ245" s="15"/>
      <c r="GRK245" s="15"/>
      <c r="GRL245" s="15"/>
      <c r="GRM245" s="10"/>
      <c r="GRN245" s="10"/>
      <c r="GRO245" s="21"/>
      <c r="GRP245" s="21"/>
      <c r="GRS245" s="21"/>
      <c r="GRT245" s="15"/>
      <c r="GRU245" s="15"/>
      <c r="GRV245" s="15"/>
      <c r="GRW245" s="15"/>
      <c r="GRX245" s="15"/>
      <c r="GRY245" s="15"/>
      <c r="GRZ245" s="15"/>
      <c r="GSA245" s="15"/>
      <c r="GSB245" s="15"/>
      <c r="GSC245" s="15"/>
      <c r="GSD245" s="10"/>
      <c r="GSE245" s="10"/>
      <c r="GSF245" s="21"/>
      <c r="GSG245" s="21"/>
      <c r="GSJ245" s="21"/>
      <c r="GSK245" s="15"/>
      <c r="GSL245" s="15"/>
      <c r="GSM245" s="15"/>
      <c r="GSN245" s="15"/>
      <c r="GSO245" s="15"/>
      <c r="GSP245" s="15"/>
      <c r="GSQ245" s="15"/>
      <c r="GSR245" s="15"/>
      <c r="GSS245" s="15"/>
      <c r="GST245" s="15"/>
      <c r="GSU245" s="10"/>
      <c r="GSV245" s="10"/>
      <c r="GSW245" s="21"/>
      <c r="GSX245" s="21"/>
      <c r="GTA245" s="21"/>
      <c r="GTB245" s="15"/>
      <c r="GTC245" s="15"/>
      <c r="GTD245" s="15"/>
      <c r="GTE245" s="15"/>
      <c r="GTF245" s="15"/>
      <c r="GTG245" s="15"/>
      <c r="GTH245" s="15"/>
      <c r="GTI245" s="15"/>
      <c r="GTJ245" s="15"/>
      <c r="GTK245" s="15"/>
      <c r="GTL245" s="10"/>
      <c r="GTM245" s="10"/>
      <c r="GTN245" s="21"/>
      <c r="GTO245" s="21"/>
      <c r="GTR245" s="21"/>
      <c r="GTS245" s="15"/>
      <c r="GTT245" s="15"/>
      <c r="GTU245" s="15"/>
      <c r="GTV245" s="15"/>
      <c r="GTW245" s="15"/>
      <c r="GTX245" s="15"/>
      <c r="GTY245" s="15"/>
      <c r="GTZ245" s="15"/>
      <c r="GUA245" s="15"/>
      <c r="GUB245" s="15"/>
      <c r="GUC245" s="10"/>
      <c r="GUD245" s="10"/>
      <c r="GUE245" s="21"/>
      <c r="GUF245" s="21"/>
      <c r="GUI245" s="21"/>
      <c r="GUJ245" s="15"/>
      <c r="GUK245" s="15"/>
      <c r="GUL245" s="15"/>
      <c r="GUM245" s="15"/>
      <c r="GUN245" s="15"/>
      <c r="GUO245" s="15"/>
      <c r="GUP245" s="15"/>
      <c r="GUQ245" s="15"/>
      <c r="GUR245" s="15"/>
      <c r="GUS245" s="15"/>
      <c r="GUT245" s="10"/>
      <c r="GUU245" s="10"/>
      <c r="GUV245" s="21"/>
      <c r="GUW245" s="21"/>
      <c r="GUZ245" s="21"/>
      <c r="GVA245" s="15"/>
      <c r="GVB245" s="15"/>
      <c r="GVC245" s="15"/>
      <c r="GVD245" s="15"/>
      <c r="GVE245" s="15"/>
      <c r="GVF245" s="15"/>
      <c r="GVG245" s="15"/>
      <c r="GVH245" s="15"/>
      <c r="GVI245" s="15"/>
      <c r="GVJ245" s="15"/>
      <c r="GVK245" s="10"/>
      <c r="GVL245" s="10"/>
      <c r="GVM245" s="21"/>
      <c r="GVN245" s="21"/>
      <c r="GVQ245" s="21"/>
      <c r="GVR245" s="15"/>
      <c r="GVS245" s="15"/>
      <c r="GVT245" s="15"/>
      <c r="GVU245" s="15"/>
      <c r="GVV245" s="15"/>
      <c r="GVW245" s="15"/>
      <c r="GVX245" s="15"/>
      <c r="GVY245" s="15"/>
      <c r="GVZ245" s="15"/>
      <c r="GWA245" s="15"/>
      <c r="GWB245" s="10"/>
      <c r="GWC245" s="10"/>
      <c r="GWD245" s="21"/>
      <c r="GWE245" s="21"/>
      <c r="GWH245" s="21"/>
      <c r="GWI245" s="15"/>
      <c r="GWJ245" s="15"/>
      <c r="GWK245" s="15"/>
      <c r="GWL245" s="15"/>
      <c r="GWM245" s="15"/>
      <c r="GWN245" s="15"/>
      <c r="GWO245" s="15"/>
      <c r="GWP245" s="15"/>
      <c r="GWQ245" s="15"/>
      <c r="GWR245" s="15"/>
      <c r="GWS245" s="10"/>
      <c r="GWT245" s="10"/>
      <c r="GWU245" s="21"/>
      <c r="GWV245" s="21"/>
      <c r="GWY245" s="21"/>
      <c r="GWZ245" s="15"/>
      <c r="GXA245" s="15"/>
      <c r="GXB245" s="15"/>
      <c r="GXC245" s="15"/>
      <c r="GXD245" s="15"/>
      <c r="GXE245" s="15"/>
      <c r="GXF245" s="15"/>
      <c r="GXG245" s="15"/>
      <c r="GXH245" s="15"/>
      <c r="GXI245" s="15"/>
      <c r="GXJ245" s="10"/>
      <c r="GXK245" s="10"/>
      <c r="GXL245" s="21"/>
      <c r="GXM245" s="21"/>
      <c r="GXP245" s="21"/>
      <c r="GXQ245" s="15"/>
      <c r="GXR245" s="15"/>
      <c r="GXS245" s="15"/>
      <c r="GXT245" s="15"/>
      <c r="GXU245" s="15"/>
      <c r="GXV245" s="15"/>
      <c r="GXW245" s="15"/>
      <c r="GXX245" s="15"/>
      <c r="GXY245" s="15"/>
      <c r="GXZ245" s="15"/>
      <c r="GYA245" s="10"/>
      <c r="GYB245" s="10"/>
      <c r="GYC245" s="21"/>
      <c r="GYD245" s="21"/>
      <c r="GYG245" s="21"/>
      <c r="GYH245" s="15"/>
      <c r="GYI245" s="15"/>
      <c r="GYJ245" s="15"/>
      <c r="GYK245" s="15"/>
      <c r="GYL245" s="15"/>
      <c r="GYM245" s="15"/>
      <c r="GYN245" s="15"/>
      <c r="GYO245" s="15"/>
      <c r="GYP245" s="15"/>
      <c r="GYQ245" s="15"/>
      <c r="GYR245" s="10"/>
      <c r="GYS245" s="10"/>
      <c r="GYT245" s="21"/>
      <c r="GYU245" s="21"/>
      <c r="GYX245" s="21"/>
      <c r="GYY245" s="15"/>
      <c r="GYZ245" s="15"/>
      <c r="GZA245" s="15"/>
      <c r="GZB245" s="15"/>
      <c r="GZC245" s="15"/>
      <c r="GZD245" s="15"/>
      <c r="GZE245" s="15"/>
      <c r="GZF245" s="15"/>
      <c r="GZG245" s="15"/>
      <c r="GZH245" s="15"/>
      <c r="GZI245" s="10"/>
      <c r="GZJ245" s="10"/>
      <c r="GZK245" s="21"/>
      <c r="GZL245" s="21"/>
      <c r="GZO245" s="21"/>
      <c r="GZP245" s="15"/>
      <c r="GZQ245" s="15"/>
      <c r="GZR245" s="15"/>
      <c r="GZS245" s="15"/>
      <c r="GZT245" s="15"/>
      <c r="GZU245" s="15"/>
      <c r="GZV245" s="15"/>
      <c r="GZW245" s="15"/>
      <c r="GZX245" s="15"/>
      <c r="GZY245" s="15"/>
      <c r="GZZ245" s="10"/>
      <c r="HAA245" s="10"/>
      <c r="HAB245" s="21"/>
      <c r="HAC245" s="21"/>
      <c r="HAF245" s="21"/>
      <c r="HAG245" s="15"/>
      <c r="HAH245" s="15"/>
      <c r="HAI245" s="15"/>
      <c r="HAJ245" s="15"/>
      <c r="HAK245" s="15"/>
      <c r="HAL245" s="15"/>
      <c r="HAM245" s="15"/>
      <c r="HAN245" s="15"/>
      <c r="HAO245" s="15"/>
      <c r="HAP245" s="15"/>
      <c r="HAQ245" s="10"/>
      <c r="HAR245" s="10"/>
      <c r="HAS245" s="21"/>
      <c r="HAT245" s="21"/>
      <c r="HAW245" s="21"/>
      <c r="HAX245" s="15"/>
      <c r="HAY245" s="15"/>
      <c r="HAZ245" s="15"/>
      <c r="HBA245" s="15"/>
      <c r="HBB245" s="15"/>
      <c r="HBC245" s="15"/>
      <c r="HBD245" s="15"/>
      <c r="HBE245" s="15"/>
      <c r="HBF245" s="15"/>
      <c r="HBG245" s="15"/>
      <c r="HBH245" s="10"/>
      <c r="HBI245" s="10"/>
      <c r="HBJ245" s="21"/>
      <c r="HBK245" s="21"/>
      <c r="HBN245" s="21"/>
      <c r="HBO245" s="15"/>
      <c r="HBP245" s="15"/>
      <c r="HBQ245" s="15"/>
      <c r="HBR245" s="15"/>
      <c r="HBS245" s="15"/>
      <c r="HBT245" s="15"/>
      <c r="HBU245" s="15"/>
      <c r="HBV245" s="15"/>
      <c r="HBW245" s="15"/>
      <c r="HBX245" s="15"/>
      <c r="HBY245" s="10"/>
      <c r="HBZ245" s="10"/>
      <c r="HCA245" s="21"/>
      <c r="HCB245" s="21"/>
      <c r="HCE245" s="21"/>
      <c r="HCF245" s="15"/>
      <c r="HCG245" s="15"/>
      <c r="HCH245" s="15"/>
      <c r="HCI245" s="15"/>
      <c r="HCJ245" s="15"/>
      <c r="HCK245" s="15"/>
      <c r="HCL245" s="15"/>
      <c r="HCM245" s="15"/>
      <c r="HCN245" s="15"/>
      <c r="HCO245" s="15"/>
      <c r="HCP245" s="10"/>
      <c r="HCQ245" s="10"/>
      <c r="HCR245" s="21"/>
      <c r="HCS245" s="21"/>
      <c r="HCV245" s="21"/>
      <c r="HCW245" s="15"/>
      <c r="HCX245" s="15"/>
      <c r="HCY245" s="15"/>
      <c r="HCZ245" s="15"/>
      <c r="HDA245" s="15"/>
      <c r="HDB245" s="15"/>
      <c r="HDC245" s="15"/>
      <c r="HDD245" s="15"/>
      <c r="HDE245" s="15"/>
      <c r="HDF245" s="15"/>
      <c r="HDG245" s="10"/>
      <c r="HDH245" s="10"/>
      <c r="HDI245" s="21"/>
      <c r="HDJ245" s="21"/>
      <c r="HDM245" s="21"/>
      <c r="HDN245" s="15"/>
      <c r="HDO245" s="15"/>
      <c r="HDP245" s="15"/>
      <c r="HDQ245" s="15"/>
      <c r="HDR245" s="15"/>
      <c r="HDS245" s="15"/>
      <c r="HDT245" s="15"/>
      <c r="HDU245" s="15"/>
      <c r="HDV245" s="15"/>
      <c r="HDW245" s="15"/>
      <c r="HDX245" s="10"/>
      <c r="HDY245" s="10"/>
      <c r="HDZ245" s="21"/>
      <c r="HEA245" s="21"/>
      <c r="HED245" s="21"/>
      <c r="HEE245" s="15"/>
      <c r="HEF245" s="15"/>
      <c r="HEG245" s="15"/>
      <c r="HEH245" s="15"/>
      <c r="HEI245" s="15"/>
      <c r="HEJ245" s="15"/>
      <c r="HEK245" s="15"/>
      <c r="HEL245" s="15"/>
      <c r="HEM245" s="15"/>
      <c r="HEN245" s="15"/>
      <c r="HEO245" s="10"/>
      <c r="HEP245" s="10"/>
      <c r="HEQ245" s="21"/>
      <c r="HER245" s="21"/>
      <c r="HEU245" s="21"/>
      <c r="HEV245" s="15"/>
      <c r="HEW245" s="15"/>
      <c r="HEX245" s="15"/>
      <c r="HEY245" s="15"/>
      <c r="HEZ245" s="15"/>
      <c r="HFA245" s="15"/>
      <c r="HFB245" s="15"/>
      <c r="HFC245" s="15"/>
      <c r="HFD245" s="15"/>
      <c r="HFE245" s="15"/>
      <c r="HFF245" s="10"/>
      <c r="HFG245" s="10"/>
      <c r="HFH245" s="21"/>
      <c r="HFI245" s="21"/>
      <c r="HFL245" s="21"/>
      <c r="HFM245" s="15"/>
      <c r="HFN245" s="15"/>
      <c r="HFO245" s="15"/>
      <c r="HFP245" s="15"/>
      <c r="HFQ245" s="15"/>
      <c r="HFR245" s="15"/>
      <c r="HFS245" s="15"/>
      <c r="HFT245" s="15"/>
      <c r="HFU245" s="15"/>
      <c r="HFV245" s="15"/>
      <c r="HFW245" s="10"/>
      <c r="HFX245" s="10"/>
      <c r="HFY245" s="21"/>
      <c r="HFZ245" s="21"/>
      <c r="HGC245" s="21"/>
      <c r="HGD245" s="15"/>
      <c r="HGE245" s="15"/>
      <c r="HGF245" s="15"/>
      <c r="HGG245" s="15"/>
      <c r="HGH245" s="15"/>
      <c r="HGI245" s="15"/>
      <c r="HGJ245" s="15"/>
      <c r="HGK245" s="15"/>
      <c r="HGL245" s="15"/>
      <c r="HGM245" s="15"/>
      <c r="HGN245" s="10"/>
      <c r="HGO245" s="10"/>
      <c r="HGP245" s="21"/>
      <c r="HGQ245" s="21"/>
      <c r="HGT245" s="21"/>
      <c r="HGU245" s="15"/>
      <c r="HGV245" s="15"/>
      <c r="HGW245" s="15"/>
      <c r="HGX245" s="15"/>
      <c r="HGY245" s="15"/>
      <c r="HGZ245" s="15"/>
      <c r="HHA245" s="15"/>
      <c r="HHB245" s="15"/>
      <c r="HHC245" s="15"/>
      <c r="HHD245" s="15"/>
      <c r="HHE245" s="10"/>
      <c r="HHF245" s="10"/>
      <c r="HHG245" s="21"/>
      <c r="HHH245" s="21"/>
      <c r="HHK245" s="21"/>
      <c r="HHL245" s="15"/>
      <c r="HHM245" s="15"/>
      <c r="HHN245" s="15"/>
      <c r="HHO245" s="15"/>
      <c r="HHP245" s="15"/>
      <c r="HHQ245" s="15"/>
      <c r="HHR245" s="15"/>
      <c r="HHS245" s="15"/>
      <c r="HHT245" s="15"/>
      <c r="HHU245" s="15"/>
      <c r="HHV245" s="10"/>
      <c r="HHW245" s="10"/>
      <c r="HHX245" s="21"/>
      <c r="HHY245" s="21"/>
      <c r="HIB245" s="21"/>
      <c r="HIC245" s="15"/>
      <c r="HID245" s="15"/>
      <c r="HIE245" s="15"/>
      <c r="HIF245" s="15"/>
      <c r="HIG245" s="15"/>
      <c r="HIH245" s="15"/>
      <c r="HII245" s="15"/>
      <c r="HIJ245" s="15"/>
      <c r="HIK245" s="15"/>
      <c r="HIL245" s="15"/>
      <c r="HIM245" s="10"/>
      <c r="HIN245" s="10"/>
      <c r="HIO245" s="21"/>
      <c r="HIP245" s="21"/>
      <c r="HIS245" s="21"/>
      <c r="HIT245" s="15"/>
      <c r="HIU245" s="15"/>
      <c r="HIV245" s="15"/>
      <c r="HIW245" s="15"/>
      <c r="HIX245" s="15"/>
      <c r="HIY245" s="15"/>
      <c r="HIZ245" s="15"/>
      <c r="HJA245" s="15"/>
      <c r="HJB245" s="15"/>
      <c r="HJC245" s="15"/>
      <c r="HJD245" s="10"/>
      <c r="HJE245" s="10"/>
      <c r="HJF245" s="21"/>
      <c r="HJG245" s="21"/>
      <c r="HJJ245" s="21"/>
      <c r="HJK245" s="15"/>
      <c r="HJL245" s="15"/>
      <c r="HJM245" s="15"/>
      <c r="HJN245" s="15"/>
      <c r="HJO245" s="15"/>
      <c r="HJP245" s="15"/>
      <c r="HJQ245" s="15"/>
      <c r="HJR245" s="15"/>
      <c r="HJS245" s="15"/>
      <c r="HJT245" s="15"/>
      <c r="HJU245" s="10"/>
      <c r="HJV245" s="10"/>
      <c r="HJW245" s="21"/>
      <c r="HJX245" s="21"/>
      <c r="HKA245" s="21"/>
      <c r="HKB245" s="15"/>
      <c r="HKC245" s="15"/>
      <c r="HKD245" s="15"/>
      <c r="HKE245" s="15"/>
      <c r="HKF245" s="15"/>
      <c r="HKG245" s="15"/>
      <c r="HKH245" s="15"/>
      <c r="HKI245" s="15"/>
      <c r="HKJ245" s="15"/>
      <c r="HKK245" s="15"/>
      <c r="HKL245" s="10"/>
      <c r="HKM245" s="10"/>
      <c r="HKN245" s="21"/>
      <c r="HKO245" s="21"/>
      <c r="HKR245" s="21"/>
      <c r="HKS245" s="15"/>
      <c r="HKT245" s="15"/>
      <c r="HKU245" s="15"/>
      <c r="HKV245" s="15"/>
      <c r="HKW245" s="15"/>
      <c r="HKX245" s="15"/>
      <c r="HKY245" s="15"/>
      <c r="HKZ245" s="15"/>
      <c r="HLA245" s="15"/>
      <c r="HLB245" s="15"/>
      <c r="HLC245" s="10"/>
      <c r="HLD245" s="10"/>
      <c r="HLE245" s="21"/>
      <c r="HLF245" s="21"/>
      <c r="HLI245" s="21"/>
      <c r="HLJ245" s="15"/>
      <c r="HLK245" s="15"/>
      <c r="HLL245" s="15"/>
      <c r="HLM245" s="15"/>
      <c r="HLN245" s="15"/>
      <c r="HLO245" s="15"/>
      <c r="HLP245" s="15"/>
      <c r="HLQ245" s="15"/>
      <c r="HLR245" s="15"/>
      <c r="HLS245" s="15"/>
      <c r="HLT245" s="10"/>
      <c r="HLU245" s="10"/>
      <c r="HLV245" s="21"/>
      <c r="HLW245" s="21"/>
      <c r="HLZ245" s="21"/>
      <c r="HMA245" s="15"/>
      <c r="HMB245" s="15"/>
      <c r="HMC245" s="15"/>
      <c r="HMD245" s="15"/>
      <c r="HME245" s="15"/>
      <c r="HMF245" s="15"/>
      <c r="HMG245" s="15"/>
      <c r="HMH245" s="15"/>
      <c r="HMI245" s="15"/>
      <c r="HMJ245" s="15"/>
      <c r="HMK245" s="10"/>
      <c r="HML245" s="10"/>
      <c r="HMM245" s="21"/>
      <c r="HMN245" s="21"/>
      <c r="HMQ245" s="21"/>
      <c r="HMR245" s="15"/>
      <c r="HMS245" s="15"/>
      <c r="HMT245" s="15"/>
      <c r="HMU245" s="15"/>
      <c r="HMV245" s="15"/>
      <c r="HMW245" s="15"/>
      <c r="HMX245" s="15"/>
      <c r="HMY245" s="15"/>
      <c r="HMZ245" s="15"/>
      <c r="HNA245" s="15"/>
      <c r="HNB245" s="10"/>
      <c r="HNC245" s="10"/>
      <c r="HND245" s="21"/>
      <c r="HNE245" s="21"/>
      <c r="HNH245" s="21"/>
      <c r="HNI245" s="15"/>
      <c r="HNJ245" s="15"/>
      <c r="HNK245" s="15"/>
      <c r="HNL245" s="15"/>
      <c r="HNM245" s="15"/>
      <c r="HNN245" s="15"/>
      <c r="HNO245" s="15"/>
      <c r="HNP245" s="15"/>
      <c r="HNQ245" s="15"/>
      <c r="HNR245" s="15"/>
      <c r="HNS245" s="10"/>
      <c r="HNT245" s="10"/>
      <c r="HNU245" s="21"/>
      <c r="HNV245" s="21"/>
      <c r="HNY245" s="21"/>
      <c r="HNZ245" s="15"/>
      <c r="HOA245" s="15"/>
      <c r="HOB245" s="15"/>
      <c r="HOC245" s="15"/>
      <c r="HOD245" s="15"/>
      <c r="HOE245" s="15"/>
      <c r="HOF245" s="15"/>
      <c r="HOG245" s="15"/>
      <c r="HOH245" s="15"/>
      <c r="HOI245" s="15"/>
      <c r="HOJ245" s="10"/>
      <c r="HOK245" s="10"/>
      <c r="HOL245" s="21"/>
      <c r="HOM245" s="21"/>
      <c r="HOP245" s="21"/>
      <c r="HOQ245" s="15"/>
      <c r="HOR245" s="15"/>
      <c r="HOS245" s="15"/>
      <c r="HOT245" s="15"/>
      <c r="HOU245" s="15"/>
      <c r="HOV245" s="15"/>
      <c r="HOW245" s="15"/>
      <c r="HOX245" s="15"/>
      <c r="HOY245" s="15"/>
      <c r="HOZ245" s="15"/>
      <c r="HPA245" s="10"/>
      <c r="HPB245" s="10"/>
      <c r="HPC245" s="21"/>
      <c r="HPD245" s="21"/>
      <c r="HPG245" s="21"/>
      <c r="HPH245" s="15"/>
      <c r="HPI245" s="15"/>
      <c r="HPJ245" s="15"/>
      <c r="HPK245" s="15"/>
      <c r="HPL245" s="15"/>
      <c r="HPM245" s="15"/>
      <c r="HPN245" s="15"/>
      <c r="HPO245" s="15"/>
      <c r="HPP245" s="15"/>
      <c r="HPQ245" s="15"/>
      <c r="HPR245" s="10"/>
      <c r="HPS245" s="10"/>
      <c r="HPT245" s="21"/>
      <c r="HPU245" s="21"/>
      <c r="HPX245" s="21"/>
      <c r="HPY245" s="15"/>
      <c r="HPZ245" s="15"/>
      <c r="HQA245" s="15"/>
      <c r="HQB245" s="15"/>
      <c r="HQC245" s="15"/>
      <c r="HQD245" s="15"/>
      <c r="HQE245" s="15"/>
      <c r="HQF245" s="15"/>
      <c r="HQG245" s="15"/>
      <c r="HQH245" s="15"/>
      <c r="HQI245" s="10"/>
      <c r="HQJ245" s="10"/>
      <c r="HQK245" s="21"/>
      <c r="HQL245" s="21"/>
      <c r="HQO245" s="21"/>
      <c r="HQP245" s="15"/>
      <c r="HQQ245" s="15"/>
      <c r="HQR245" s="15"/>
      <c r="HQS245" s="15"/>
      <c r="HQT245" s="15"/>
      <c r="HQU245" s="15"/>
      <c r="HQV245" s="15"/>
      <c r="HQW245" s="15"/>
      <c r="HQX245" s="15"/>
      <c r="HQY245" s="15"/>
      <c r="HQZ245" s="10"/>
      <c r="HRA245" s="10"/>
      <c r="HRB245" s="21"/>
      <c r="HRC245" s="21"/>
      <c r="HRF245" s="21"/>
      <c r="HRG245" s="15"/>
      <c r="HRH245" s="15"/>
      <c r="HRI245" s="15"/>
      <c r="HRJ245" s="15"/>
      <c r="HRK245" s="15"/>
      <c r="HRL245" s="15"/>
      <c r="HRM245" s="15"/>
      <c r="HRN245" s="15"/>
      <c r="HRO245" s="15"/>
      <c r="HRP245" s="15"/>
      <c r="HRQ245" s="10"/>
      <c r="HRR245" s="10"/>
      <c r="HRS245" s="21"/>
      <c r="HRT245" s="21"/>
      <c r="HRW245" s="21"/>
      <c r="HRX245" s="15"/>
      <c r="HRY245" s="15"/>
      <c r="HRZ245" s="15"/>
      <c r="HSA245" s="15"/>
      <c r="HSB245" s="15"/>
      <c r="HSC245" s="15"/>
      <c r="HSD245" s="15"/>
      <c r="HSE245" s="15"/>
      <c r="HSF245" s="15"/>
      <c r="HSG245" s="15"/>
      <c r="HSH245" s="10"/>
      <c r="HSI245" s="10"/>
      <c r="HSJ245" s="21"/>
      <c r="HSK245" s="21"/>
      <c r="HSN245" s="21"/>
      <c r="HSO245" s="15"/>
      <c r="HSP245" s="15"/>
      <c r="HSQ245" s="15"/>
      <c r="HSR245" s="15"/>
      <c r="HSS245" s="15"/>
      <c r="HST245" s="15"/>
      <c r="HSU245" s="15"/>
      <c r="HSV245" s="15"/>
      <c r="HSW245" s="15"/>
      <c r="HSX245" s="15"/>
      <c r="HSY245" s="10"/>
      <c r="HSZ245" s="10"/>
      <c r="HTA245" s="21"/>
      <c r="HTB245" s="21"/>
      <c r="HTE245" s="21"/>
      <c r="HTF245" s="15"/>
      <c r="HTG245" s="15"/>
      <c r="HTH245" s="15"/>
      <c r="HTI245" s="15"/>
      <c r="HTJ245" s="15"/>
      <c r="HTK245" s="15"/>
      <c r="HTL245" s="15"/>
      <c r="HTM245" s="15"/>
      <c r="HTN245" s="15"/>
      <c r="HTO245" s="15"/>
      <c r="HTP245" s="10"/>
      <c r="HTQ245" s="10"/>
      <c r="HTR245" s="21"/>
      <c r="HTS245" s="21"/>
      <c r="HTV245" s="21"/>
      <c r="HTW245" s="15"/>
      <c r="HTX245" s="15"/>
      <c r="HTY245" s="15"/>
      <c r="HTZ245" s="15"/>
      <c r="HUA245" s="15"/>
      <c r="HUB245" s="15"/>
      <c r="HUC245" s="15"/>
      <c r="HUD245" s="15"/>
      <c r="HUE245" s="15"/>
      <c r="HUF245" s="15"/>
      <c r="HUG245" s="10"/>
      <c r="HUH245" s="10"/>
      <c r="HUI245" s="21"/>
      <c r="HUJ245" s="21"/>
      <c r="HUM245" s="21"/>
      <c r="HUN245" s="15"/>
      <c r="HUO245" s="15"/>
      <c r="HUP245" s="15"/>
      <c r="HUQ245" s="15"/>
      <c r="HUR245" s="15"/>
      <c r="HUS245" s="15"/>
      <c r="HUT245" s="15"/>
      <c r="HUU245" s="15"/>
      <c r="HUV245" s="15"/>
      <c r="HUW245" s="15"/>
      <c r="HUX245" s="10"/>
      <c r="HUY245" s="10"/>
      <c r="HUZ245" s="21"/>
      <c r="HVA245" s="21"/>
      <c r="HVD245" s="21"/>
      <c r="HVE245" s="15"/>
      <c r="HVF245" s="15"/>
      <c r="HVG245" s="15"/>
      <c r="HVH245" s="15"/>
      <c r="HVI245" s="15"/>
      <c r="HVJ245" s="15"/>
      <c r="HVK245" s="15"/>
      <c r="HVL245" s="15"/>
      <c r="HVM245" s="15"/>
      <c r="HVN245" s="15"/>
      <c r="HVO245" s="10"/>
      <c r="HVP245" s="10"/>
      <c r="HVQ245" s="21"/>
      <c r="HVR245" s="21"/>
      <c r="HVU245" s="21"/>
      <c r="HVV245" s="15"/>
      <c r="HVW245" s="15"/>
      <c r="HVX245" s="15"/>
      <c r="HVY245" s="15"/>
      <c r="HVZ245" s="15"/>
      <c r="HWA245" s="15"/>
      <c r="HWB245" s="15"/>
      <c r="HWC245" s="15"/>
      <c r="HWD245" s="15"/>
      <c r="HWE245" s="15"/>
      <c r="HWF245" s="10"/>
      <c r="HWG245" s="10"/>
      <c r="HWH245" s="21"/>
      <c r="HWI245" s="21"/>
      <c r="HWL245" s="21"/>
      <c r="HWM245" s="15"/>
      <c r="HWN245" s="15"/>
      <c r="HWO245" s="15"/>
      <c r="HWP245" s="15"/>
      <c r="HWQ245" s="15"/>
      <c r="HWR245" s="15"/>
      <c r="HWS245" s="15"/>
      <c r="HWT245" s="15"/>
      <c r="HWU245" s="15"/>
      <c r="HWV245" s="15"/>
      <c r="HWW245" s="10"/>
      <c r="HWX245" s="10"/>
      <c r="HWY245" s="21"/>
      <c r="HWZ245" s="21"/>
      <c r="HXC245" s="21"/>
      <c r="HXD245" s="15"/>
      <c r="HXE245" s="15"/>
      <c r="HXF245" s="15"/>
      <c r="HXG245" s="15"/>
      <c r="HXH245" s="15"/>
      <c r="HXI245" s="15"/>
      <c r="HXJ245" s="15"/>
      <c r="HXK245" s="15"/>
      <c r="HXL245" s="15"/>
      <c r="HXM245" s="15"/>
      <c r="HXN245" s="10"/>
      <c r="HXO245" s="10"/>
      <c r="HXP245" s="21"/>
      <c r="HXQ245" s="21"/>
      <c r="HXT245" s="21"/>
      <c r="HXU245" s="15"/>
      <c r="HXV245" s="15"/>
      <c r="HXW245" s="15"/>
      <c r="HXX245" s="15"/>
      <c r="HXY245" s="15"/>
      <c r="HXZ245" s="15"/>
      <c r="HYA245" s="15"/>
      <c r="HYB245" s="15"/>
      <c r="HYC245" s="15"/>
      <c r="HYD245" s="15"/>
      <c r="HYE245" s="10"/>
      <c r="HYF245" s="10"/>
      <c r="HYG245" s="21"/>
      <c r="HYH245" s="21"/>
      <c r="HYK245" s="21"/>
      <c r="HYL245" s="15"/>
      <c r="HYM245" s="15"/>
      <c r="HYN245" s="15"/>
      <c r="HYO245" s="15"/>
      <c r="HYP245" s="15"/>
      <c r="HYQ245" s="15"/>
      <c r="HYR245" s="15"/>
      <c r="HYS245" s="15"/>
      <c r="HYT245" s="15"/>
      <c r="HYU245" s="15"/>
      <c r="HYV245" s="10"/>
      <c r="HYW245" s="10"/>
      <c r="HYX245" s="21"/>
      <c r="HYY245" s="21"/>
      <c r="HZB245" s="21"/>
      <c r="HZC245" s="15"/>
      <c r="HZD245" s="15"/>
      <c r="HZE245" s="15"/>
      <c r="HZF245" s="15"/>
      <c r="HZG245" s="15"/>
      <c r="HZH245" s="15"/>
      <c r="HZI245" s="15"/>
      <c r="HZJ245" s="15"/>
      <c r="HZK245" s="15"/>
      <c r="HZL245" s="15"/>
      <c r="HZM245" s="10"/>
      <c r="HZN245" s="10"/>
      <c r="HZO245" s="21"/>
      <c r="HZP245" s="21"/>
      <c r="HZS245" s="21"/>
      <c r="HZT245" s="15"/>
      <c r="HZU245" s="15"/>
      <c r="HZV245" s="15"/>
      <c r="HZW245" s="15"/>
      <c r="HZX245" s="15"/>
      <c r="HZY245" s="15"/>
      <c r="HZZ245" s="15"/>
      <c r="IAA245" s="15"/>
      <c r="IAB245" s="15"/>
      <c r="IAC245" s="15"/>
      <c r="IAD245" s="10"/>
      <c r="IAE245" s="10"/>
      <c r="IAF245" s="21"/>
      <c r="IAG245" s="21"/>
      <c r="IAJ245" s="21"/>
      <c r="IAK245" s="15"/>
      <c r="IAL245" s="15"/>
      <c r="IAM245" s="15"/>
      <c r="IAN245" s="15"/>
      <c r="IAO245" s="15"/>
      <c r="IAP245" s="15"/>
      <c r="IAQ245" s="15"/>
      <c r="IAR245" s="15"/>
      <c r="IAS245" s="15"/>
      <c r="IAT245" s="15"/>
      <c r="IAU245" s="10"/>
      <c r="IAV245" s="10"/>
      <c r="IAW245" s="21"/>
      <c r="IAX245" s="21"/>
      <c r="IBA245" s="21"/>
      <c r="IBB245" s="15"/>
      <c r="IBC245" s="15"/>
      <c r="IBD245" s="15"/>
      <c r="IBE245" s="15"/>
      <c r="IBF245" s="15"/>
      <c r="IBG245" s="15"/>
      <c r="IBH245" s="15"/>
      <c r="IBI245" s="15"/>
      <c r="IBJ245" s="15"/>
      <c r="IBK245" s="15"/>
      <c r="IBL245" s="10"/>
      <c r="IBM245" s="10"/>
      <c r="IBN245" s="21"/>
      <c r="IBO245" s="21"/>
      <c r="IBR245" s="21"/>
      <c r="IBS245" s="15"/>
      <c r="IBT245" s="15"/>
      <c r="IBU245" s="15"/>
      <c r="IBV245" s="15"/>
      <c r="IBW245" s="15"/>
      <c r="IBX245" s="15"/>
      <c r="IBY245" s="15"/>
      <c r="IBZ245" s="15"/>
      <c r="ICA245" s="15"/>
      <c r="ICB245" s="15"/>
      <c r="ICC245" s="10"/>
      <c r="ICD245" s="10"/>
      <c r="ICE245" s="21"/>
      <c r="ICF245" s="21"/>
      <c r="ICI245" s="21"/>
      <c r="ICJ245" s="15"/>
      <c r="ICK245" s="15"/>
      <c r="ICL245" s="15"/>
      <c r="ICM245" s="15"/>
      <c r="ICN245" s="15"/>
      <c r="ICO245" s="15"/>
      <c r="ICP245" s="15"/>
      <c r="ICQ245" s="15"/>
      <c r="ICR245" s="15"/>
      <c r="ICS245" s="15"/>
      <c r="ICT245" s="10"/>
      <c r="ICU245" s="10"/>
      <c r="ICV245" s="21"/>
      <c r="ICW245" s="21"/>
      <c r="ICZ245" s="21"/>
      <c r="IDA245" s="15"/>
      <c r="IDB245" s="15"/>
      <c r="IDC245" s="15"/>
      <c r="IDD245" s="15"/>
      <c r="IDE245" s="15"/>
      <c r="IDF245" s="15"/>
      <c r="IDG245" s="15"/>
      <c r="IDH245" s="15"/>
      <c r="IDI245" s="15"/>
      <c r="IDJ245" s="15"/>
      <c r="IDK245" s="10"/>
      <c r="IDL245" s="10"/>
      <c r="IDM245" s="21"/>
      <c r="IDN245" s="21"/>
      <c r="IDQ245" s="21"/>
      <c r="IDR245" s="15"/>
      <c r="IDS245" s="15"/>
      <c r="IDT245" s="15"/>
      <c r="IDU245" s="15"/>
      <c r="IDV245" s="15"/>
      <c r="IDW245" s="15"/>
      <c r="IDX245" s="15"/>
      <c r="IDY245" s="15"/>
      <c r="IDZ245" s="15"/>
      <c r="IEA245" s="15"/>
      <c r="IEB245" s="10"/>
      <c r="IEC245" s="10"/>
      <c r="IED245" s="21"/>
      <c r="IEE245" s="21"/>
      <c r="IEH245" s="21"/>
      <c r="IEI245" s="15"/>
      <c r="IEJ245" s="15"/>
      <c r="IEK245" s="15"/>
      <c r="IEL245" s="15"/>
      <c r="IEM245" s="15"/>
      <c r="IEN245" s="15"/>
      <c r="IEO245" s="15"/>
      <c r="IEP245" s="15"/>
      <c r="IEQ245" s="15"/>
      <c r="IER245" s="15"/>
      <c r="IES245" s="10"/>
      <c r="IET245" s="10"/>
      <c r="IEU245" s="21"/>
      <c r="IEV245" s="21"/>
      <c r="IEY245" s="21"/>
      <c r="IEZ245" s="15"/>
      <c r="IFA245" s="15"/>
      <c r="IFB245" s="15"/>
      <c r="IFC245" s="15"/>
      <c r="IFD245" s="15"/>
      <c r="IFE245" s="15"/>
      <c r="IFF245" s="15"/>
      <c r="IFG245" s="15"/>
      <c r="IFH245" s="15"/>
      <c r="IFI245" s="15"/>
      <c r="IFJ245" s="10"/>
      <c r="IFK245" s="10"/>
      <c r="IFL245" s="21"/>
      <c r="IFM245" s="21"/>
      <c r="IFP245" s="21"/>
      <c r="IFQ245" s="15"/>
      <c r="IFR245" s="15"/>
      <c r="IFS245" s="15"/>
      <c r="IFT245" s="15"/>
      <c r="IFU245" s="15"/>
      <c r="IFV245" s="15"/>
      <c r="IFW245" s="15"/>
      <c r="IFX245" s="15"/>
      <c r="IFY245" s="15"/>
      <c r="IFZ245" s="15"/>
      <c r="IGA245" s="10"/>
      <c r="IGB245" s="10"/>
      <c r="IGC245" s="21"/>
      <c r="IGD245" s="21"/>
      <c r="IGG245" s="21"/>
      <c r="IGH245" s="15"/>
      <c r="IGI245" s="15"/>
      <c r="IGJ245" s="15"/>
      <c r="IGK245" s="15"/>
      <c r="IGL245" s="15"/>
      <c r="IGM245" s="15"/>
      <c r="IGN245" s="15"/>
      <c r="IGO245" s="15"/>
      <c r="IGP245" s="15"/>
      <c r="IGQ245" s="15"/>
      <c r="IGR245" s="10"/>
      <c r="IGS245" s="10"/>
      <c r="IGT245" s="21"/>
      <c r="IGU245" s="21"/>
      <c r="IGX245" s="21"/>
      <c r="IGY245" s="15"/>
      <c r="IGZ245" s="15"/>
      <c r="IHA245" s="15"/>
      <c r="IHB245" s="15"/>
      <c r="IHC245" s="15"/>
      <c r="IHD245" s="15"/>
      <c r="IHE245" s="15"/>
      <c r="IHF245" s="15"/>
      <c r="IHG245" s="15"/>
      <c r="IHH245" s="15"/>
      <c r="IHI245" s="10"/>
      <c r="IHJ245" s="10"/>
      <c r="IHK245" s="21"/>
      <c r="IHL245" s="21"/>
      <c r="IHO245" s="21"/>
      <c r="IHP245" s="15"/>
      <c r="IHQ245" s="15"/>
      <c r="IHR245" s="15"/>
      <c r="IHS245" s="15"/>
      <c r="IHT245" s="15"/>
      <c r="IHU245" s="15"/>
      <c r="IHV245" s="15"/>
      <c r="IHW245" s="15"/>
      <c r="IHX245" s="15"/>
      <c r="IHY245" s="15"/>
      <c r="IHZ245" s="10"/>
      <c r="IIA245" s="10"/>
      <c r="IIB245" s="21"/>
      <c r="IIC245" s="21"/>
      <c r="IIF245" s="21"/>
      <c r="IIG245" s="15"/>
      <c r="IIH245" s="15"/>
      <c r="III245" s="15"/>
      <c r="IIJ245" s="15"/>
      <c r="IIK245" s="15"/>
      <c r="IIL245" s="15"/>
      <c r="IIM245" s="15"/>
      <c r="IIN245" s="15"/>
      <c r="IIO245" s="15"/>
      <c r="IIP245" s="15"/>
      <c r="IIQ245" s="10"/>
      <c r="IIR245" s="10"/>
      <c r="IIS245" s="21"/>
      <c r="IIT245" s="21"/>
      <c r="IIW245" s="21"/>
      <c r="IIX245" s="15"/>
      <c r="IIY245" s="15"/>
      <c r="IIZ245" s="15"/>
      <c r="IJA245" s="15"/>
      <c r="IJB245" s="15"/>
      <c r="IJC245" s="15"/>
      <c r="IJD245" s="15"/>
      <c r="IJE245" s="15"/>
      <c r="IJF245" s="15"/>
      <c r="IJG245" s="15"/>
      <c r="IJH245" s="10"/>
      <c r="IJI245" s="10"/>
      <c r="IJJ245" s="21"/>
      <c r="IJK245" s="21"/>
      <c r="IJN245" s="21"/>
      <c r="IJO245" s="15"/>
      <c r="IJP245" s="15"/>
      <c r="IJQ245" s="15"/>
      <c r="IJR245" s="15"/>
      <c r="IJS245" s="15"/>
      <c r="IJT245" s="15"/>
      <c r="IJU245" s="15"/>
      <c r="IJV245" s="15"/>
      <c r="IJW245" s="15"/>
      <c r="IJX245" s="15"/>
      <c r="IJY245" s="10"/>
      <c r="IJZ245" s="10"/>
      <c r="IKA245" s="21"/>
      <c r="IKB245" s="21"/>
      <c r="IKE245" s="21"/>
      <c r="IKF245" s="15"/>
      <c r="IKG245" s="15"/>
      <c r="IKH245" s="15"/>
      <c r="IKI245" s="15"/>
      <c r="IKJ245" s="15"/>
      <c r="IKK245" s="15"/>
      <c r="IKL245" s="15"/>
      <c r="IKM245" s="15"/>
      <c r="IKN245" s="15"/>
      <c r="IKO245" s="15"/>
      <c r="IKP245" s="10"/>
      <c r="IKQ245" s="10"/>
      <c r="IKR245" s="21"/>
      <c r="IKS245" s="21"/>
      <c r="IKV245" s="21"/>
      <c r="IKW245" s="15"/>
      <c r="IKX245" s="15"/>
      <c r="IKY245" s="15"/>
      <c r="IKZ245" s="15"/>
      <c r="ILA245" s="15"/>
      <c r="ILB245" s="15"/>
      <c r="ILC245" s="15"/>
      <c r="ILD245" s="15"/>
      <c r="ILE245" s="15"/>
      <c r="ILF245" s="15"/>
      <c r="ILG245" s="10"/>
      <c r="ILH245" s="10"/>
      <c r="ILI245" s="21"/>
      <c r="ILJ245" s="21"/>
      <c r="ILM245" s="21"/>
      <c r="ILN245" s="15"/>
      <c r="ILO245" s="15"/>
      <c r="ILP245" s="15"/>
      <c r="ILQ245" s="15"/>
      <c r="ILR245" s="15"/>
      <c r="ILS245" s="15"/>
      <c r="ILT245" s="15"/>
      <c r="ILU245" s="15"/>
      <c r="ILV245" s="15"/>
      <c r="ILW245" s="15"/>
      <c r="ILX245" s="10"/>
      <c r="ILY245" s="10"/>
      <c r="ILZ245" s="21"/>
      <c r="IMA245" s="21"/>
      <c r="IMD245" s="21"/>
      <c r="IME245" s="15"/>
      <c r="IMF245" s="15"/>
      <c r="IMG245" s="15"/>
      <c r="IMH245" s="15"/>
      <c r="IMI245" s="15"/>
      <c r="IMJ245" s="15"/>
      <c r="IMK245" s="15"/>
      <c r="IML245" s="15"/>
      <c r="IMM245" s="15"/>
      <c r="IMN245" s="15"/>
      <c r="IMO245" s="10"/>
      <c r="IMP245" s="10"/>
      <c r="IMQ245" s="21"/>
      <c r="IMR245" s="21"/>
      <c r="IMU245" s="21"/>
      <c r="IMV245" s="15"/>
      <c r="IMW245" s="15"/>
      <c r="IMX245" s="15"/>
      <c r="IMY245" s="15"/>
      <c r="IMZ245" s="15"/>
      <c r="INA245" s="15"/>
      <c r="INB245" s="15"/>
      <c r="INC245" s="15"/>
      <c r="IND245" s="15"/>
      <c r="INE245" s="15"/>
      <c r="INF245" s="10"/>
      <c r="ING245" s="10"/>
      <c r="INH245" s="21"/>
      <c r="INI245" s="21"/>
      <c r="INL245" s="21"/>
      <c r="INM245" s="15"/>
      <c r="INN245" s="15"/>
      <c r="INO245" s="15"/>
      <c r="INP245" s="15"/>
      <c r="INQ245" s="15"/>
      <c r="INR245" s="15"/>
      <c r="INS245" s="15"/>
      <c r="INT245" s="15"/>
      <c r="INU245" s="15"/>
      <c r="INV245" s="15"/>
      <c r="INW245" s="10"/>
      <c r="INX245" s="10"/>
      <c r="INY245" s="21"/>
      <c r="INZ245" s="21"/>
      <c r="IOC245" s="21"/>
      <c r="IOD245" s="15"/>
      <c r="IOE245" s="15"/>
      <c r="IOF245" s="15"/>
      <c r="IOG245" s="15"/>
      <c r="IOH245" s="15"/>
      <c r="IOI245" s="15"/>
      <c r="IOJ245" s="15"/>
      <c r="IOK245" s="15"/>
      <c r="IOL245" s="15"/>
      <c r="IOM245" s="15"/>
      <c r="ION245" s="10"/>
      <c r="IOO245" s="10"/>
      <c r="IOP245" s="21"/>
      <c r="IOQ245" s="21"/>
      <c r="IOT245" s="21"/>
      <c r="IOU245" s="15"/>
      <c r="IOV245" s="15"/>
      <c r="IOW245" s="15"/>
      <c r="IOX245" s="15"/>
      <c r="IOY245" s="15"/>
      <c r="IOZ245" s="15"/>
      <c r="IPA245" s="15"/>
      <c r="IPB245" s="15"/>
      <c r="IPC245" s="15"/>
      <c r="IPD245" s="15"/>
      <c r="IPE245" s="10"/>
      <c r="IPF245" s="10"/>
      <c r="IPG245" s="21"/>
      <c r="IPH245" s="21"/>
      <c r="IPK245" s="21"/>
      <c r="IPL245" s="15"/>
      <c r="IPM245" s="15"/>
      <c r="IPN245" s="15"/>
      <c r="IPO245" s="15"/>
      <c r="IPP245" s="15"/>
      <c r="IPQ245" s="15"/>
      <c r="IPR245" s="15"/>
      <c r="IPS245" s="15"/>
      <c r="IPT245" s="15"/>
      <c r="IPU245" s="15"/>
      <c r="IPV245" s="10"/>
      <c r="IPW245" s="10"/>
      <c r="IPX245" s="21"/>
      <c r="IPY245" s="21"/>
      <c r="IQB245" s="21"/>
      <c r="IQC245" s="15"/>
      <c r="IQD245" s="15"/>
      <c r="IQE245" s="15"/>
      <c r="IQF245" s="15"/>
      <c r="IQG245" s="15"/>
      <c r="IQH245" s="15"/>
      <c r="IQI245" s="15"/>
      <c r="IQJ245" s="15"/>
      <c r="IQK245" s="15"/>
      <c r="IQL245" s="15"/>
      <c r="IQM245" s="10"/>
      <c r="IQN245" s="10"/>
      <c r="IQO245" s="21"/>
      <c r="IQP245" s="21"/>
      <c r="IQS245" s="21"/>
      <c r="IQT245" s="15"/>
      <c r="IQU245" s="15"/>
      <c r="IQV245" s="15"/>
      <c r="IQW245" s="15"/>
      <c r="IQX245" s="15"/>
      <c r="IQY245" s="15"/>
      <c r="IQZ245" s="15"/>
      <c r="IRA245" s="15"/>
      <c r="IRB245" s="15"/>
      <c r="IRC245" s="15"/>
      <c r="IRD245" s="10"/>
      <c r="IRE245" s="10"/>
      <c r="IRF245" s="21"/>
      <c r="IRG245" s="21"/>
      <c r="IRJ245" s="21"/>
      <c r="IRK245" s="15"/>
      <c r="IRL245" s="15"/>
      <c r="IRM245" s="15"/>
      <c r="IRN245" s="15"/>
      <c r="IRO245" s="15"/>
      <c r="IRP245" s="15"/>
      <c r="IRQ245" s="15"/>
      <c r="IRR245" s="15"/>
      <c r="IRS245" s="15"/>
      <c r="IRT245" s="15"/>
      <c r="IRU245" s="10"/>
      <c r="IRV245" s="10"/>
      <c r="IRW245" s="21"/>
      <c r="IRX245" s="21"/>
      <c r="ISA245" s="21"/>
      <c r="ISB245" s="15"/>
      <c r="ISC245" s="15"/>
      <c r="ISD245" s="15"/>
      <c r="ISE245" s="15"/>
      <c r="ISF245" s="15"/>
      <c r="ISG245" s="15"/>
      <c r="ISH245" s="15"/>
      <c r="ISI245" s="15"/>
      <c r="ISJ245" s="15"/>
      <c r="ISK245" s="15"/>
      <c r="ISL245" s="10"/>
      <c r="ISM245" s="10"/>
      <c r="ISN245" s="21"/>
      <c r="ISO245" s="21"/>
      <c r="ISR245" s="21"/>
      <c r="ISS245" s="15"/>
      <c r="IST245" s="15"/>
      <c r="ISU245" s="15"/>
      <c r="ISV245" s="15"/>
      <c r="ISW245" s="15"/>
      <c r="ISX245" s="15"/>
      <c r="ISY245" s="15"/>
      <c r="ISZ245" s="15"/>
      <c r="ITA245" s="15"/>
      <c r="ITB245" s="15"/>
      <c r="ITC245" s="10"/>
      <c r="ITD245" s="10"/>
      <c r="ITE245" s="21"/>
      <c r="ITF245" s="21"/>
      <c r="ITI245" s="21"/>
      <c r="ITJ245" s="15"/>
      <c r="ITK245" s="15"/>
      <c r="ITL245" s="15"/>
      <c r="ITM245" s="15"/>
      <c r="ITN245" s="15"/>
      <c r="ITO245" s="15"/>
      <c r="ITP245" s="15"/>
      <c r="ITQ245" s="15"/>
      <c r="ITR245" s="15"/>
      <c r="ITS245" s="15"/>
      <c r="ITT245" s="10"/>
      <c r="ITU245" s="10"/>
      <c r="ITV245" s="21"/>
      <c r="ITW245" s="21"/>
      <c r="ITZ245" s="21"/>
      <c r="IUA245" s="15"/>
      <c r="IUB245" s="15"/>
      <c r="IUC245" s="15"/>
      <c r="IUD245" s="15"/>
      <c r="IUE245" s="15"/>
      <c r="IUF245" s="15"/>
      <c r="IUG245" s="15"/>
      <c r="IUH245" s="15"/>
      <c r="IUI245" s="15"/>
      <c r="IUJ245" s="15"/>
      <c r="IUK245" s="10"/>
      <c r="IUL245" s="10"/>
      <c r="IUM245" s="21"/>
      <c r="IUN245" s="21"/>
      <c r="IUQ245" s="21"/>
      <c r="IUR245" s="15"/>
      <c r="IUS245" s="15"/>
      <c r="IUT245" s="15"/>
      <c r="IUU245" s="15"/>
      <c r="IUV245" s="15"/>
      <c r="IUW245" s="15"/>
      <c r="IUX245" s="15"/>
      <c r="IUY245" s="15"/>
      <c r="IUZ245" s="15"/>
      <c r="IVA245" s="15"/>
      <c r="IVB245" s="10"/>
      <c r="IVC245" s="10"/>
      <c r="IVD245" s="21"/>
      <c r="IVE245" s="21"/>
      <c r="IVH245" s="21"/>
      <c r="IVI245" s="15"/>
      <c r="IVJ245" s="15"/>
      <c r="IVK245" s="15"/>
      <c r="IVL245" s="15"/>
      <c r="IVM245" s="15"/>
      <c r="IVN245" s="15"/>
      <c r="IVO245" s="15"/>
      <c r="IVP245" s="15"/>
      <c r="IVQ245" s="15"/>
      <c r="IVR245" s="15"/>
      <c r="IVS245" s="10"/>
      <c r="IVT245" s="10"/>
      <c r="IVU245" s="21"/>
      <c r="IVV245" s="21"/>
      <c r="IVY245" s="21"/>
      <c r="IVZ245" s="15"/>
      <c r="IWA245" s="15"/>
      <c r="IWB245" s="15"/>
      <c r="IWC245" s="15"/>
      <c r="IWD245" s="15"/>
      <c r="IWE245" s="15"/>
      <c r="IWF245" s="15"/>
      <c r="IWG245" s="15"/>
      <c r="IWH245" s="15"/>
      <c r="IWI245" s="15"/>
      <c r="IWJ245" s="10"/>
      <c r="IWK245" s="10"/>
      <c r="IWL245" s="21"/>
      <c r="IWM245" s="21"/>
      <c r="IWP245" s="21"/>
      <c r="IWQ245" s="15"/>
      <c r="IWR245" s="15"/>
      <c r="IWS245" s="15"/>
      <c r="IWT245" s="15"/>
      <c r="IWU245" s="15"/>
      <c r="IWV245" s="15"/>
      <c r="IWW245" s="15"/>
      <c r="IWX245" s="15"/>
      <c r="IWY245" s="15"/>
      <c r="IWZ245" s="15"/>
      <c r="IXA245" s="10"/>
      <c r="IXB245" s="10"/>
      <c r="IXC245" s="21"/>
      <c r="IXD245" s="21"/>
      <c r="IXG245" s="21"/>
      <c r="IXH245" s="15"/>
      <c r="IXI245" s="15"/>
      <c r="IXJ245" s="15"/>
      <c r="IXK245" s="15"/>
      <c r="IXL245" s="15"/>
      <c r="IXM245" s="15"/>
      <c r="IXN245" s="15"/>
      <c r="IXO245" s="15"/>
      <c r="IXP245" s="15"/>
      <c r="IXQ245" s="15"/>
      <c r="IXR245" s="10"/>
      <c r="IXS245" s="10"/>
      <c r="IXT245" s="21"/>
      <c r="IXU245" s="21"/>
      <c r="IXX245" s="21"/>
      <c r="IXY245" s="15"/>
      <c r="IXZ245" s="15"/>
      <c r="IYA245" s="15"/>
      <c r="IYB245" s="15"/>
      <c r="IYC245" s="15"/>
      <c r="IYD245" s="15"/>
      <c r="IYE245" s="15"/>
      <c r="IYF245" s="15"/>
      <c r="IYG245" s="15"/>
      <c r="IYH245" s="15"/>
      <c r="IYI245" s="10"/>
      <c r="IYJ245" s="10"/>
      <c r="IYK245" s="21"/>
      <c r="IYL245" s="21"/>
      <c r="IYO245" s="21"/>
      <c r="IYP245" s="15"/>
      <c r="IYQ245" s="15"/>
      <c r="IYR245" s="15"/>
      <c r="IYS245" s="15"/>
      <c r="IYT245" s="15"/>
      <c r="IYU245" s="15"/>
      <c r="IYV245" s="15"/>
      <c r="IYW245" s="15"/>
      <c r="IYX245" s="15"/>
      <c r="IYY245" s="15"/>
      <c r="IYZ245" s="10"/>
      <c r="IZA245" s="10"/>
      <c r="IZB245" s="21"/>
      <c r="IZC245" s="21"/>
      <c r="IZF245" s="21"/>
      <c r="IZG245" s="15"/>
      <c r="IZH245" s="15"/>
      <c r="IZI245" s="15"/>
      <c r="IZJ245" s="15"/>
      <c r="IZK245" s="15"/>
      <c r="IZL245" s="15"/>
      <c r="IZM245" s="15"/>
      <c r="IZN245" s="15"/>
      <c r="IZO245" s="15"/>
      <c r="IZP245" s="15"/>
      <c r="IZQ245" s="10"/>
      <c r="IZR245" s="10"/>
      <c r="IZS245" s="21"/>
      <c r="IZT245" s="21"/>
      <c r="IZW245" s="21"/>
      <c r="IZX245" s="15"/>
      <c r="IZY245" s="15"/>
      <c r="IZZ245" s="15"/>
      <c r="JAA245" s="15"/>
      <c r="JAB245" s="15"/>
      <c r="JAC245" s="15"/>
      <c r="JAD245" s="15"/>
      <c r="JAE245" s="15"/>
      <c r="JAF245" s="15"/>
      <c r="JAG245" s="15"/>
      <c r="JAH245" s="10"/>
      <c r="JAI245" s="10"/>
      <c r="JAJ245" s="21"/>
      <c r="JAK245" s="21"/>
      <c r="JAN245" s="21"/>
      <c r="JAO245" s="15"/>
      <c r="JAP245" s="15"/>
      <c r="JAQ245" s="15"/>
      <c r="JAR245" s="15"/>
      <c r="JAS245" s="15"/>
      <c r="JAT245" s="15"/>
      <c r="JAU245" s="15"/>
      <c r="JAV245" s="15"/>
      <c r="JAW245" s="15"/>
      <c r="JAX245" s="15"/>
      <c r="JAY245" s="10"/>
      <c r="JAZ245" s="10"/>
      <c r="JBA245" s="21"/>
      <c r="JBB245" s="21"/>
      <c r="JBE245" s="21"/>
      <c r="JBF245" s="15"/>
      <c r="JBG245" s="15"/>
      <c r="JBH245" s="15"/>
      <c r="JBI245" s="15"/>
      <c r="JBJ245" s="15"/>
      <c r="JBK245" s="15"/>
      <c r="JBL245" s="15"/>
      <c r="JBM245" s="15"/>
      <c r="JBN245" s="15"/>
      <c r="JBO245" s="15"/>
      <c r="JBP245" s="10"/>
      <c r="JBQ245" s="10"/>
      <c r="JBR245" s="21"/>
      <c r="JBS245" s="21"/>
      <c r="JBV245" s="21"/>
      <c r="JBW245" s="15"/>
      <c r="JBX245" s="15"/>
      <c r="JBY245" s="15"/>
      <c r="JBZ245" s="15"/>
      <c r="JCA245" s="15"/>
      <c r="JCB245" s="15"/>
      <c r="JCC245" s="15"/>
      <c r="JCD245" s="15"/>
      <c r="JCE245" s="15"/>
      <c r="JCF245" s="15"/>
      <c r="JCG245" s="10"/>
      <c r="JCH245" s="10"/>
      <c r="JCI245" s="21"/>
      <c r="JCJ245" s="21"/>
      <c r="JCM245" s="21"/>
      <c r="JCN245" s="15"/>
      <c r="JCO245" s="15"/>
      <c r="JCP245" s="15"/>
      <c r="JCQ245" s="15"/>
      <c r="JCR245" s="15"/>
      <c r="JCS245" s="15"/>
      <c r="JCT245" s="15"/>
      <c r="JCU245" s="15"/>
      <c r="JCV245" s="15"/>
      <c r="JCW245" s="15"/>
      <c r="JCX245" s="10"/>
      <c r="JCY245" s="10"/>
      <c r="JCZ245" s="21"/>
      <c r="JDA245" s="21"/>
      <c r="JDD245" s="21"/>
      <c r="JDE245" s="15"/>
      <c r="JDF245" s="15"/>
      <c r="JDG245" s="15"/>
      <c r="JDH245" s="15"/>
      <c r="JDI245" s="15"/>
      <c r="JDJ245" s="15"/>
      <c r="JDK245" s="15"/>
      <c r="JDL245" s="15"/>
      <c r="JDM245" s="15"/>
      <c r="JDN245" s="15"/>
      <c r="JDO245" s="10"/>
      <c r="JDP245" s="10"/>
      <c r="JDQ245" s="21"/>
      <c r="JDR245" s="21"/>
      <c r="JDU245" s="21"/>
      <c r="JDV245" s="15"/>
      <c r="JDW245" s="15"/>
      <c r="JDX245" s="15"/>
      <c r="JDY245" s="15"/>
      <c r="JDZ245" s="15"/>
      <c r="JEA245" s="15"/>
      <c r="JEB245" s="15"/>
      <c r="JEC245" s="15"/>
      <c r="JED245" s="15"/>
      <c r="JEE245" s="15"/>
      <c r="JEF245" s="10"/>
      <c r="JEG245" s="10"/>
      <c r="JEH245" s="21"/>
      <c r="JEI245" s="21"/>
      <c r="JEL245" s="21"/>
      <c r="JEM245" s="15"/>
      <c r="JEN245" s="15"/>
      <c r="JEO245" s="15"/>
      <c r="JEP245" s="15"/>
      <c r="JEQ245" s="15"/>
      <c r="JER245" s="15"/>
      <c r="JES245" s="15"/>
      <c r="JET245" s="15"/>
      <c r="JEU245" s="15"/>
      <c r="JEV245" s="15"/>
      <c r="JEW245" s="10"/>
      <c r="JEX245" s="10"/>
      <c r="JEY245" s="21"/>
      <c r="JEZ245" s="21"/>
      <c r="JFC245" s="21"/>
      <c r="JFD245" s="15"/>
      <c r="JFE245" s="15"/>
      <c r="JFF245" s="15"/>
      <c r="JFG245" s="15"/>
      <c r="JFH245" s="15"/>
      <c r="JFI245" s="15"/>
      <c r="JFJ245" s="15"/>
      <c r="JFK245" s="15"/>
      <c r="JFL245" s="15"/>
      <c r="JFM245" s="15"/>
      <c r="JFN245" s="10"/>
      <c r="JFO245" s="10"/>
      <c r="JFP245" s="21"/>
      <c r="JFQ245" s="21"/>
      <c r="JFT245" s="21"/>
      <c r="JFU245" s="15"/>
      <c r="JFV245" s="15"/>
      <c r="JFW245" s="15"/>
      <c r="JFX245" s="15"/>
      <c r="JFY245" s="15"/>
      <c r="JFZ245" s="15"/>
      <c r="JGA245" s="15"/>
      <c r="JGB245" s="15"/>
      <c r="JGC245" s="15"/>
      <c r="JGD245" s="15"/>
      <c r="JGE245" s="10"/>
      <c r="JGF245" s="10"/>
      <c r="JGG245" s="21"/>
      <c r="JGH245" s="21"/>
      <c r="JGK245" s="21"/>
      <c r="JGL245" s="15"/>
      <c r="JGM245" s="15"/>
      <c r="JGN245" s="15"/>
      <c r="JGO245" s="15"/>
      <c r="JGP245" s="15"/>
      <c r="JGQ245" s="15"/>
      <c r="JGR245" s="15"/>
      <c r="JGS245" s="15"/>
      <c r="JGT245" s="15"/>
      <c r="JGU245" s="15"/>
      <c r="JGV245" s="10"/>
      <c r="JGW245" s="10"/>
      <c r="JGX245" s="21"/>
      <c r="JGY245" s="21"/>
      <c r="JHB245" s="21"/>
      <c r="JHC245" s="15"/>
      <c r="JHD245" s="15"/>
      <c r="JHE245" s="15"/>
      <c r="JHF245" s="15"/>
      <c r="JHG245" s="15"/>
      <c r="JHH245" s="15"/>
      <c r="JHI245" s="15"/>
      <c r="JHJ245" s="15"/>
      <c r="JHK245" s="15"/>
      <c r="JHL245" s="15"/>
      <c r="JHM245" s="10"/>
      <c r="JHN245" s="10"/>
      <c r="JHO245" s="21"/>
      <c r="JHP245" s="21"/>
      <c r="JHS245" s="21"/>
      <c r="JHT245" s="15"/>
      <c r="JHU245" s="15"/>
      <c r="JHV245" s="15"/>
      <c r="JHW245" s="15"/>
      <c r="JHX245" s="15"/>
      <c r="JHY245" s="15"/>
      <c r="JHZ245" s="15"/>
      <c r="JIA245" s="15"/>
      <c r="JIB245" s="15"/>
      <c r="JIC245" s="15"/>
      <c r="JID245" s="10"/>
      <c r="JIE245" s="10"/>
      <c r="JIF245" s="21"/>
      <c r="JIG245" s="21"/>
      <c r="JIJ245" s="21"/>
      <c r="JIK245" s="15"/>
      <c r="JIL245" s="15"/>
      <c r="JIM245" s="15"/>
      <c r="JIN245" s="15"/>
      <c r="JIO245" s="15"/>
      <c r="JIP245" s="15"/>
      <c r="JIQ245" s="15"/>
      <c r="JIR245" s="15"/>
      <c r="JIS245" s="15"/>
      <c r="JIT245" s="15"/>
      <c r="JIU245" s="10"/>
      <c r="JIV245" s="10"/>
      <c r="JIW245" s="21"/>
      <c r="JIX245" s="21"/>
      <c r="JJA245" s="21"/>
      <c r="JJB245" s="15"/>
      <c r="JJC245" s="15"/>
      <c r="JJD245" s="15"/>
      <c r="JJE245" s="15"/>
      <c r="JJF245" s="15"/>
      <c r="JJG245" s="15"/>
      <c r="JJH245" s="15"/>
      <c r="JJI245" s="15"/>
      <c r="JJJ245" s="15"/>
      <c r="JJK245" s="15"/>
      <c r="JJL245" s="10"/>
      <c r="JJM245" s="10"/>
      <c r="JJN245" s="21"/>
      <c r="JJO245" s="21"/>
      <c r="JJR245" s="21"/>
      <c r="JJS245" s="15"/>
      <c r="JJT245" s="15"/>
      <c r="JJU245" s="15"/>
      <c r="JJV245" s="15"/>
      <c r="JJW245" s="15"/>
      <c r="JJX245" s="15"/>
      <c r="JJY245" s="15"/>
      <c r="JJZ245" s="15"/>
      <c r="JKA245" s="15"/>
      <c r="JKB245" s="15"/>
      <c r="JKC245" s="10"/>
      <c r="JKD245" s="10"/>
      <c r="JKE245" s="21"/>
      <c r="JKF245" s="21"/>
      <c r="JKI245" s="21"/>
      <c r="JKJ245" s="15"/>
      <c r="JKK245" s="15"/>
      <c r="JKL245" s="15"/>
      <c r="JKM245" s="15"/>
      <c r="JKN245" s="15"/>
      <c r="JKO245" s="15"/>
      <c r="JKP245" s="15"/>
      <c r="JKQ245" s="15"/>
      <c r="JKR245" s="15"/>
      <c r="JKS245" s="15"/>
      <c r="JKT245" s="10"/>
      <c r="JKU245" s="10"/>
      <c r="JKV245" s="21"/>
      <c r="JKW245" s="21"/>
      <c r="JKZ245" s="21"/>
      <c r="JLA245" s="15"/>
      <c r="JLB245" s="15"/>
      <c r="JLC245" s="15"/>
      <c r="JLD245" s="15"/>
      <c r="JLE245" s="15"/>
      <c r="JLF245" s="15"/>
      <c r="JLG245" s="15"/>
      <c r="JLH245" s="15"/>
      <c r="JLI245" s="15"/>
      <c r="JLJ245" s="15"/>
      <c r="JLK245" s="10"/>
      <c r="JLL245" s="10"/>
      <c r="JLM245" s="21"/>
      <c r="JLN245" s="21"/>
      <c r="JLQ245" s="21"/>
      <c r="JLR245" s="15"/>
      <c r="JLS245" s="15"/>
      <c r="JLT245" s="15"/>
      <c r="JLU245" s="15"/>
      <c r="JLV245" s="15"/>
      <c r="JLW245" s="15"/>
      <c r="JLX245" s="15"/>
      <c r="JLY245" s="15"/>
      <c r="JLZ245" s="15"/>
      <c r="JMA245" s="15"/>
      <c r="JMB245" s="10"/>
      <c r="JMC245" s="10"/>
      <c r="JMD245" s="21"/>
      <c r="JME245" s="21"/>
      <c r="JMH245" s="21"/>
      <c r="JMI245" s="15"/>
      <c r="JMJ245" s="15"/>
      <c r="JMK245" s="15"/>
      <c r="JML245" s="15"/>
      <c r="JMM245" s="15"/>
      <c r="JMN245" s="15"/>
      <c r="JMO245" s="15"/>
      <c r="JMP245" s="15"/>
      <c r="JMQ245" s="15"/>
      <c r="JMR245" s="15"/>
      <c r="JMS245" s="10"/>
      <c r="JMT245" s="10"/>
      <c r="JMU245" s="21"/>
      <c r="JMV245" s="21"/>
      <c r="JMY245" s="21"/>
      <c r="JMZ245" s="15"/>
      <c r="JNA245" s="15"/>
      <c r="JNB245" s="15"/>
      <c r="JNC245" s="15"/>
      <c r="JND245" s="15"/>
      <c r="JNE245" s="15"/>
      <c r="JNF245" s="15"/>
      <c r="JNG245" s="15"/>
      <c r="JNH245" s="15"/>
      <c r="JNI245" s="15"/>
      <c r="JNJ245" s="10"/>
      <c r="JNK245" s="10"/>
      <c r="JNL245" s="21"/>
      <c r="JNM245" s="21"/>
      <c r="JNP245" s="21"/>
      <c r="JNQ245" s="15"/>
      <c r="JNR245" s="15"/>
      <c r="JNS245" s="15"/>
      <c r="JNT245" s="15"/>
      <c r="JNU245" s="15"/>
      <c r="JNV245" s="15"/>
      <c r="JNW245" s="15"/>
      <c r="JNX245" s="15"/>
      <c r="JNY245" s="15"/>
      <c r="JNZ245" s="15"/>
      <c r="JOA245" s="10"/>
      <c r="JOB245" s="10"/>
      <c r="JOC245" s="21"/>
      <c r="JOD245" s="21"/>
      <c r="JOG245" s="21"/>
      <c r="JOH245" s="15"/>
      <c r="JOI245" s="15"/>
      <c r="JOJ245" s="15"/>
      <c r="JOK245" s="15"/>
      <c r="JOL245" s="15"/>
      <c r="JOM245" s="15"/>
      <c r="JON245" s="15"/>
      <c r="JOO245" s="15"/>
      <c r="JOP245" s="15"/>
      <c r="JOQ245" s="15"/>
      <c r="JOR245" s="10"/>
      <c r="JOS245" s="10"/>
      <c r="JOT245" s="21"/>
      <c r="JOU245" s="21"/>
      <c r="JOX245" s="21"/>
      <c r="JOY245" s="15"/>
      <c r="JOZ245" s="15"/>
      <c r="JPA245" s="15"/>
      <c r="JPB245" s="15"/>
      <c r="JPC245" s="15"/>
      <c r="JPD245" s="15"/>
      <c r="JPE245" s="15"/>
      <c r="JPF245" s="15"/>
      <c r="JPG245" s="15"/>
      <c r="JPH245" s="15"/>
      <c r="JPI245" s="10"/>
      <c r="JPJ245" s="10"/>
      <c r="JPK245" s="21"/>
      <c r="JPL245" s="21"/>
      <c r="JPO245" s="21"/>
      <c r="JPP245" s="15"/>
      <c r="JPQ245" s="15"/>
      <c r="JPR245" s="15"/>
      <c r="JPS245" s="15"/>
      <c r="JPT245" s="15"/>
      <c r="JPU245" s="15"/>
      <c r="JPV245" s="15"/>
      <c r="JPW245" s="15"/>
      <c r="JPX245" s="15"/>
      <c r="JPY245" s="15"/>
      <c r="JPZ245" s="10"/>
      <c r="JQA245" s="10"/>
      <c r="JQB245" s="21"/>
      <c r="JQC245" s="21"/>
      <c r="JQF245" s="21"/>
      <c r="JQG245" s="15"/>
      <c r="JQH245" s="15"/>
      <c r="JQI245" s="15"/>
      <c r="JQJ245" s="15"/>
      <c r="JQK245" s="15"/>
      <c r="JQL245" s="15"/>
      <c r="JQM245" s="15"/>
      <c r="JQN245" s="15"/>
      <c r="JQO245" s="15"/>
      <c r="JQP245" s="15"/>
      <c r="JQQ245" s="10"/>
      <c r="JQR245" s="10"/>
      <c r="JQS245" s="21"/>
      <c r="JQT245" s="21"/>
      <c r="JQW245" s="21"/>
      <c r="JQX245" s="15"/>
      <c r="JQY245" s="15"/>
      <c r="JQZ245" s="15"/>
      <c r="JRA245" s="15"/>
      <c r="JRB245" s="15"/>
      <c r="JRC245" s="15"/>
      <c r="JRD245" s="15"/>
      <c r="JRE245" s="15"/>
      <c r="JRF245" s="15"/>
      <c r="JRG245" s="15"/>
      <c r="JRH245" s="10"/>
      <c r="JRI245" s="10"/>
      <c r="JRJ245" s="21"/>
      <c r="JRK245" s="21"/>
      <c r="JRN245" s="21"/>
      <c r="JRO245" s="15"/>
      <c r="JRP245" s="15"/>
      <c r="JRQ245" s="15"/>
      <c r="JRR245" s="15"/>
      <c r="JRS245" s="15"/>
      <c r="JRT245" s="15"/>
      <c r="JRU245" s="15"/>
      <c r="JRV245" s="15"/>
      <c r="JRW245" s="15"/>
      <c r="JRX245" s="15"/>
      <c r="JRY245" s="10"/>
      <c r="JRZ245" s="10"/>
      <c r="JSA245" s="21"/>
      <c r="JSB245" s="21"/>
      <c r="JSE245" s="21"/>
      <c r="JSF245" s="15"/>
      <c r="JSG245" s="15"/>
      <c r="JSH245" s="15"/>
      <c r="JSI245" s="15"/>
      <c r="JSJ245" s="15"/>
      <c r="JSK245" s="15"/>
      <c r="JSL245" s="15"/>
      <c r="JSM245" s="15"/>
      <c r="JSN245" s="15"/>
      <c r="JSO245" s="15"/>
      <c r="JSP245" s="10"/>
      <c r="JSQ245" s="10"/>
      <c r="JSR245" s="21"/>
      <c r="JSS245" s="21"/>
      <c r="JSV245" s="21"/>
      <c r="JSW245" s="15"/>
      <c r="JSX245" s="15"/>
      <c r="JSY245" s="15"/>
      <c r="JSZ245" s="15"/>
      <c r="JTA245" s="15"/>
      <c r="JTB245" s="15"/>
      <c r="JTC245" s="15"/>
      <c r="JTD245" s="15"/>
      <c r="JTE245" s="15"/>
      <c r="JTF245" s="15"/>
      <c r="JTG245" s="10"/>
      <c r="JTH245" s="10"/>
      <c r="JTI245" s="21"/>
      <c r="JTJ245" s="21"/>
      <c r="JTM245" s="21"/>
      <c r="JTN245" s="15"/>
      <c r="JTO245" s="15"/>
      <c r="JTP245" s="15"/>
      <c r="JTQ245" s="15"/>
      <c r="JTR245" s="15"/>
      <c r="JTS245" s="15"/>
      <c r="JTT245" s="15"/>
      <c r="JTU245" s="15"/>
      <c r="JTV245" s="15"/>
      <c r="JTW245" s="15"/>
      <c r="JTX245" s="10"/>
      <c r="JTY245" s="10"/>
      <c r="JTZ245" s="21"/>
      <c r="JUA245" s="21"/>
      <c r="JUD245" s="21"/>
      <c r="JUE245" s="15"/>
      <c r="JUF245" s="15"/>
      <c r="JUG245" s="15"/>
      <c r="JUH245" s="15"/>
      <c r="JUI245" s="15"/>
      <c r="JUJ245" s="15"/>
      <c r="JUK245" s="15"/>
      <c r="JUL245" s="15"/>
      <c r="JUM245" s="15"/>
      <c r="JUN245" s="15"/>
      <c r="JUO245" s="10"/>
      <c r="JUP245" s="10"/>
      <c r="JUQ245" s="21"/>
      <c r="JUR245" s="21"/>
      <c r="JUU245" s="21"/>
      <c r="JUV245" s="15"/>
      <c r="JUW245" s="15"/>
      <c r="JUX245" s="15"/>
      <c r="JUY245" s="15"/>
      <c r="JUZ245" s="15"/>
      <c r="JVA245" s="15"/>
      <c r="JVB245" s="15"/>
      <c r="JVC245" s="15"/>
      <c r="JVD245" s="15"/>
      <c r="JVE245" s="15"/>
      <c r="JVF245" s="10"/>
      <c r="JVG245" s="10"/>
      <c r="JVH245" s="21"/>
      <c r="JVI245" s="21"/>
      <c r="JVL245" s="21"/>
      <c r="JVM245" s="15"/>
      <c r="JVN245" s="15"/>
      <c r="JVO245" s="15"/>
      <c r="JVP245" s="15"/>
      <c r="JVQ245" s="15"/>
      <c r="JVR245" s="15"/>
      <c r="JVS245" s="15"/>
      <c r="JVT245" s="15"/>
      <c r="JVU245" s="15"/>
      <c r="JVV245" s="15"/>
      <c r="JVW245" s="10"/>
      <c r="JVX245" s="10"/>
      <c r="JVY245" s="21"/>
      <c r="JVZ245" s="21"/>
      <c r="JWC245" s="21"/>
      <c r="JWD245" s="15"/>
      <c r="JWE245" s="15"/>
      <c r="JWF245" s="15"/>
      <c r="JWG245" s="15"/>
      <c r="JWH245" s="15"/>
      <c r="JWI245" s="15"/>
      <c r="JWJ245" s="15"/>
      <c r="JWK245" s="15"/>
      <c r="JWL245" s="15"/>
      <c r="JWM245" s="15"/>
      <c r="JWN245" s="10"/>
      <c r="JWO245" s="10"/>
      <c r="JWP245" s="21"/>
      <c r="JWQ245" s="21"/>
      <c r="JWT245" s="21"/>
      <c r="JWU245" s="15"/>
      <c r="JWV245" s="15"/>
      <c r="JWW245" s="15"/>
      <c r="JWX245" s="15"/>
      <c r="JWY245" s="15"/>
      <c r="JWZ245" s="15"/>
      <c r="JXA245" s="15"/>
      <c r="JXB245" s="15"/>
      <c r="JXC245" s="15"/>
      <c r="JXD245" s="15"/>
      <c r="JXE245" s="10"/>
      <c r="JXF245" s="10"/>
      <c r="JXG245" s="21"/>
      <c r="JXH245" s="21"/>
      <c r="JXK245" s="21"/>
      <c r="JXL245" s="15"/>
      <c r="JXM245" s="15"/>
      <c r="JXN245" s="15"/>
      <c r="JXO245" s="15"/>
      <c r="JXP245" s="15"/>
      <c r="JXQ245" s="15"/>
      <c r="JXR245" s="15"/>
      <c r="JXS245" s="15"/>
      <c r="JXT245" s="15"/>
      <c r="JXU245" s="15"/>
      <c r="JXV245" s="10"/>
      <c r="JXW245" s="10"/>
      <c r="JXX245" s="21"/>
      <c r="JXY245" s="21"/>
      <c r="JYB245" s="21"/>
      <c r="JYC245" s="15"/>
      <c r="JYD245" s="15"/>
      <c r="JYE245" s="15"/>
      <c r="JYF245" s="15"/>
      <c r="JYG245" s="15"/>
      <c r="JYH245" s="15"/>
      <c r="JYI245" s="15"/>
      <c r="JYJ245" s="15"/>
      <c r="JYK245" s="15"/>
      <c r="JYL245" s="15"/>
      <c r="JYM245" s="10"/>
      <c r="JYN245" s="10"/>
      <c r="JYO245" s="21"/>
      <c r="JYP245" s="21"/>
      <c r="JYS245" s="21"/>
      <c r="JYT245" s="15"/>
      <c r="JYU245" s="15"/>
      <c r="JYV245" s="15"/>
      <c r="JYW245" s="15"/>
      <c r="JYX245" s="15"/>
      <c r="JYY245" s="15"/>
      <c r="JYZ245" s="15"/>
      <c r="JZA245" s="15"/>
      <c r="JZB245" s="15"/>
      <c r="JZC245" s="15"/>
      <c r="JZD245" s="10"/>
      <c r="JZE245" s="10"/>
      <c r="JZF245" s="21"/>
      <c r="JZG245" s="21"/>
      <c r="JZJ245" s="21"/>
      <c r="JZK245" s="15"/>
      <c r="JZL245" s="15"/>
      <c r="JZM245" s="15"/>
      <c r="JZN245" s="15"/>
      <c r="JZO245" s="15"/>
      <c r="JZP245" s="15"/>
      <c r="JZQ245" s="15"/>
      <c r="JZR245" s="15"/>
      <c r="JZS245" s="15"/>
      <c r="JZT245" s="15"/>
      <c r="JZU245" s="10"/>
      <c r="JZV245" s="10"/>
      <c r="JZW245" s="21"/>
      <c r="JZX245" s="21"/>
      <c r="KAA245" s="21"/>
      <c r="KAB245" s="15"/>
      <c r="KAC245" s="15"/>
      <c r="KAD245" s="15"/>
      <c r="KAE245" s="15"/>
      <c r="KAF245" s="15"/>
      <c r="KAG245" s="15"/>
      <c r="KAH245" s="15"/>
      <c r="KAI245" s="15"/>
      <c r="KAJ245" s="15"/>
      <c r="KAK245" s="15"/>
      <c r="KAL245" s="10"/>
      <c r="KAM245" s="10"/>
      <c r="KAN245" s="21"/>
      <c r="KAO245" s="21"/>
      <c r="KAR245" s="21"/>
      <c r="KAS245" s="15"/>
      <c r="KAT245" s="15"/>
      <c r="KAU245" s="15"/>
      <c r="KAV245" s="15"/>
      <c r="KAW245" s="15"/>
      <c r="KAX245" s="15"/>
      <c r="KAY245" s="15"/>
      <c r="KAZ245" s="15"/>
      <c r="KBA245" s="15"/>
      <c r="KBB245" s="15"/>
      <c r="KBC245" s="10"/>
      <c r="KBD245" s="10"/>
      <c r="KBE245" s="21"/>
      <c r="KBF245" s="21"/>
      <c r="KBI245" s="21"/>
      <c r="KBJ245" s="15"/>
      <c r="KBK245" s="15"/>
      <c r="KBL245" s="15"/>
      <c r="KBM245" s="15"/>
      <c r="KBN245" s="15"/>
      <c r="KBO245" s="15"/>
      <c r="KBP245" s="15"/>
      <c r="KBQ245" s="15"/>
      <c r="KBR245" s="15"/>
      <c r="KBS245" s="15"/>
      <c r="KBT245" s="10"/>
      <c r="KBU245" s="10"/>
      <c r="KBV245" s="21"/>
      <c r="KBW245" s="21"/>
      <c r="KBZ245" s="21"/>
      <c r="KCA245" s="15"/>
      <c r="KCB245" s="15"/>
      <c r="KCC245" s="15"/>
      <c r="KCD245" s="15"/>
      <c r="KCE245" s="15"/>
      <c r="KCF245" s="15"/>
      <c r="KCG245" s="15"/>
      <c r="KCH245" s="15"/>
      <c r="KCI245" s="15"/>
      <c r="KCJ245" s="15"/>
      <c r="KCK245" s="10"/>
      <c r="KCL245" s="10"/>
      <c r="KCM245" s="21"/>
      <c r="KCN245" s="21"/>
      <c r="KCQ245" s="21"/>
      <c r="KCR245" s="15"/>
      <c r="KCS245" s="15"/>
      <c r="KCT245" s="15"/>
      <c r="KCU245" s="15"/>
      <c r="KCV245" s="15"/>
      <c r="KCW245" s="15"/>
      <c r="KCX245" s="15"/>
      <c r="KCY245" s="15"/>
      <c r="KCZ245" s="15"/>
      <c r="KDA245" s="15"/>
      <c r="KDB245" s="10"/>
      <c r="KDC245" s="10"/>
      <c r="KDD245" s="21"/>
      <c r="KDE245" s="21"/>
      <c r="KDH245" s="21"/>
      <c r="KDI245" s="15"/>
      <c r="KDJ245" s="15"/>
      <c r="KDK245" s="15"/>
      <c r="KDL245" s="15"/>
      <c r="KDM245" s="15"/>
      <c r="KDN245" s="15"/>
      <c r="KDO245" s="15"/>
      <c r="KDP245" s="15"/>
      <c r="KDQ245" s="15"/>
      <c r="KDR245" s="15"/>
      <c r="KDS245" s="10"/>
      <c r="KDT245" s="10"/>
      <c r="KDU245" s="21"/>
      <c r="KDV245" s="21"/>
      <c r="KDY245" s="21"/>
      <c r="KDZ245" s="15"/>
      <c r="KEA245" s="15"/>
      <c r="KEB245" s="15"/>
      <c r="KEC245" s="15"/>
      <c r="KED245" s="15"/>
      <c r="KEE245" s="15"/>
      <c r="KEF245" s="15"/>
      <c r="KEG245" s="15"/>
      <c r="KEH245" s="15"/>
      <c r="KEI245" s="15"/>
      <c r="KEJ245" s="10"/>
      <c r="KEK245" s="10"/>
      <c r="KEL245" s="21"/>
      <c r="KEM245" s="21"/>
      <c r="KEP245" s="21"/>
      <c r="KEQ245" s="15"/>
      <c r="KER245" s="15"/>
      <c r="KES245" s="15"/>
      <c r="KET245" s="15"/>
      <c r="KEU245" s="15"/>
      <c r="KEV245" s="15"/>
      <c r="KEW245" s="15"/>
      <c r="KEX245" s="15"/>
      <c r="KEY245" s="15"/>
      <c r="KEZ245" s="15"/>
      <c r="KFA245" s="10"/>
      <c r="KFB245" s="10"/>
      <c r="KFC245" s="21"/>
      <c r="KFD245" s="21"/>
      <c r="KFG245" s="21"/>
      <c r="KFH245" s="15"/>
      <c r="KFI245" s="15"/>
      <c r="KFJ245" s="15"/>
      <c r="KFK245" s="15"/>
      <c r="KFL245" s="15"/>
      <c r="KFM245" s="15"/>
      <c r="KFN245" s="15"/>
      <c r="KFO245" s="15"/>
      <c r="KFP245" s="15"/>
      <c r="KFQ245" s="15"/>
      <c r="KFR245" s="10"/>
      <c r="KFS245" s="10"/>
      <c r="KFT245" s="21"/>
      <c r="KFU245" s="21"/>
      <c r="KFX245" s="21"/>
      <c r="KFY245" s="15"/>
      <c r="KFZ245" s="15"/>
      <c r="KGA245" s="15"/>
      <c r="KGB245" s="15"/>
      <c r="KGC245" s="15"/>
      <c r="KGD245" s="15"/>
      <c r="KGE245" s="15"/>
      <c r="KGF245" s="15"/>
      <c r="KGG245" s="15"/>
      <c r="KGH245" s="15"/>
      <c r="KGI245" s="10"/>
      <c r="KGJ245" s="10"/>
      <c r="KGK245" s="21"/>
      <c r="KGL245" s="21"/>
      <c r="KGO245" s="21"/>
      <c r="KGP245" s="15"/>
      <c r="KGQ245" s="15"/>
      <c r="KGR245" s="15"/>
      <c r="KGS245" s="15"/>
      <c r="KGT245" s="15"/>
      <c r="KGU245" s="15"/>
      <c r="KGV245" s="15"/>
      <c r="KGW245" s="15"/>
      <c r="KGX245" s="15"/>
      <c r="KGY245" s="15"/>
      <c r="KGZ245" s="10"/>
      <c r="KHA245" s="10"/>
      <c r="KHB245" s="21"/>
      <c r="KHC245" s="21"/>
      <c r="KHF245" s="21"/>
      <c r="KHG245" s="15"/>
      <c r="KHH245" s="15"/>
      <c r="KHI245" s="15"/>
      <c r="KHJ245" s="15"/>
      <c r="KHK245" s="15"/>
      <c r="KHL245" s="15"/>
      <c r="KHM245" s="15"/>
      <c r="KHN245" s="15"/>
      <c r="KHO245" s="15"/>
      <c r="KHP245" s="15"/>
      <c r="KHQ245" s="10"/>
      <c r="KHR245" s="10"/>
      <c r="KHS245" s="21"/>
      <c r="KHT245" s="21"/>
      <c r="KHW245" s="21"/>
      <c r="KHX245" s="15"/>
      <c r="KHY245" s="15"/>
      <c r="KHZ245" s="15"/>
      <c r="KIA245" s="15"/>
      <c r="KIB245" s="15"/>
      <c r="KIC245" s="15"/>
      <c r="KID245" s="15"/>
      <c r="KIE245" s="15"/>
      <c r="KIF245" s="15"/>
      <c r="KIG245" s="15"/>
      <c r="KIH245" s="10"/>
      <c r="KII245" s="10"/>
      <c r="KIJ245" s="21"/>
      <c r="KIK245" s="21"/>
      <c r="KIN245" s="21"/>
      <c r="KIO245" s="15"/>
      <c r="KIP245" s="15"/>
      <c r="KIQ245" s="15"/>
      <c r="KIR245" s="15"/>
      <c r="KIS245" s="15"/>
      <c r="KIT245" s="15"/>
      <c r="KIU245" s="15"/>
      <c r="KIV245" s="15"/>
      <c r="KIW245" s="15"/>
      <c r="KIX245" s="15"/>
      <c r="KIY245" s="10"/>
      <c r="KIZ245" s="10"/>
      <c r="KJA245" s="21"/>
      <c r="KJB245" s="21"/>
      <c r="KJE245" s="21"/>
      <c r="KJF245" s="15"/>
      <c r="KJG245" s="15"/>
      <c r="KJH245" s="15"/>
      <c r="KJI245" s="15"/>
      <c r="KJJ245" s="15"/>
      <c r="KJK245" s="15"/>
      <c r="KJL245" s="15"/>
      <c r="KJM245" s="15"/>
      <c r="KJN245" s="15"/>
      <c r="KJO245" s="15"/>
      <c r="KJP245" s="10"/>
      <c r="KJQ245" s="10"/>
      <c r="KJR245" s="21"/>
      <c r="KJS245" s="21"/>
      <c r="KJV245" s="21"/>
      <c r="KJW245" s="15"/>
      <c r="KJX245" s="15"/>
      <c r="KJY245" s="15"/>
      <c r="KJZ245" s="15"/>
      <c r="KKA245" s="15"/>
      <c r="KKB245" s="15"/>
      <c r="KKC245" s="15"/>
      <c r="KKD245" s="15"/>
      <c r="KKE245" s="15"/>
      <c r="KKF245" s="15"/>
      <c r="KKG245" s="10"/>
      <c r="KKH245" s="10"/>
      <c r="KKI245" s="21"/>
      <c r="KKJ245" s="21"/>
      <c r="KKM245" s="21"/>
      <c r="KKN245" s="15"/>
      <c r="KKO245" s="15"/>
      <c r="KKP245" s="15"/>
      <c r="KKQ245" s="15"/>
      <c r="KKR245" s="15"/>
      <c r="KKS245" s="15"/>
      <c r="KKT245" s="15"/>
      <c r="KKU245" s="15"/>
      <c r="KKV245" s="15"/>
      <c r="KKW245" s="15"/>
      <c r="KKX245" s="10"/>
      <c r="KKY245" s="10"/>
      <c r="KKZ245" s="21"/>
      <c r="KLA245" s="21"/>
      <c r="KLD245" s="21"/>
      <c r="KLE245" s="15"/>
      <c r="KLF245" s="15"/>
      <c r="KLG245" s="15"/>
      <c r="KLH245" s="15"/>
      <c r="KLI245" s="15"/>
      <c r="KLJ245" s="15"/>
      <c r="KLK245" s="15"/>
      <c r="KLL245" s="15"/>
      <c r="KLM245" s="15"/>
      <c r="KLN245" s="15"/>
      <c r="KLO245" s="10"/>
      <c r="KLP245" s="10"/>
      <c r="KLQ245" s="21"/>
      <c r="KLR245" s="21"/>
      <c r="KLU245" s="21"/>
      <c r="KLV245" s="15"/>
      <c r="KLW245" s="15"/>
      <c r="KLX245" s="15"/>
      <c r="KLY245" s="15"/>
      <c r="KLZ245" s="15"/>
      <c r="KMA245" s="15"/>
      <c r="KMB245" s="15"/>
      <c r="KMC245" s="15"/>
      <c r="KMD245" s="15"/>
      <c r="KME245" s="15"/>
      <c r="KMF245" s="10"/>
      <c r="KMG245" s="10"/>
      <c r="KMH245" s="21"/>
      <c r="KMI245" s="21"/>
      <c r="KML245" s="21"/>
      <c r="KMM245" s="15"/>
      <c r="KMN245" s="15"/>
      <c r="KMO245" s="15"/>
      <c r="KMP245" s="15"/>
      <c r="KMQ245" s="15"/>
      <c r="KMR245" s="15"/>
      <c r="KMS245" s="15"/>
      <c r="KMT245" s="15"/>
      <c r="KMU245" s="15"/>
      <c r="KMV245" s="15"/>
      <c r="KMW245" s="10"/>
      <c r="KMX245" s="10"/>
      <c r="KMY245" s="21"/>
      <c r="KMZ245" s="21"/>
      <c r="KNC245" s="21"/>
      <c r="KND245" s="15"/>
      <c r="KNE245" s="15"/>
      <c r="KNF245" s="15"/>
      <c r="KNG245" s="15"/>
      <c r="KNH245" s="15"/>
      <c r="KNI245" s="15"/>
      <c r="KNJ245" s="15"/>
      <c r="KNK245" s="15"/>
      <c r="KNL245" s="15"/>
      <c r="KNM245" s="15"/>
      <c r="KNN245" s="10"/>
      <c r="KNO245" s="10"/>
      <c r="KNP245" s="21"/>
      <c r="KNQ245" s="21"/>
      <c r="KNT245" s="21"/>
      <c r="KNU245" s="15"/>
      <c r="KNV245" s="15"/>
      <c r="KNW245" s="15"/>
      <c r="KNX245" s="15"/>
      <c r="KNY245" s="15"/>
      <c r="KNZ245" s="15"/>
      <c r="KOA245" s="15"/>
      <c r="KOB245" s="15"/>
      <c r="KOC245" s="15"/>
      <c r="KOD245" s="15"/>
      <c r="KOE245" s="10"/>
      <c r="KOF245" s="10"/>
      <c r="KOG245" s="21"/>
      <c r="KOH245" s="21"/>
      <c r="KOK245" s="21"/>
      <c r="KOL245" s="15"/>
      <c r="KOM245" s="15"/>
      <c r="KON245" s="15"/>
      <c r="KOO245" s="15"/>
      <c r="KOP245" s="15"/>
      <c r="KOQ245" s="15"/>
      <c r="KOR245" s="15"/>
      <c r="KOS245" s="15"/>
      <c r="KOT245" s="15"/>
      <c r="KOU245" s="15"/>
      <c r="KOV245" s="10"/>
      <c r="KOW245" s="10"/>
      <c r="KOX245" s="21"/>
      <c r="KOY245" s="21"/>
      <c r="KPB245" s="21"/>
      <c r="KPC245" s="15"/>
      <c r="KPD245" s="15"/>
      <c r="KPE245" s="15"/>
      <c r="KPF245" s="15"/>
      <c r="KPG245" s="15"/>
      <c r="KPH245" s="15"/>
      <c r="KPI245" s="15"/>
      <c r="KPJ245" s="15"/>
      <c r="KPK245" s="15"/>
      <c r="KPL245" s="15"/>
      <c r="KPM245" s="10"/>
      <c r="KPN245" s="10"/>
      <c r="KPO245" s="21"/>
      <c r="KPP245" s="21"/>
      <c r="KPS245" s="21"/>
      <c r="KPT245" s="15"/>
      <c r="KPU245" s="15"/>
      <c r="KPV245" s="15"/>
      <c r="KPW245" s="15"/>
      <c r="KPX245" s="15"/>
      <c r="KPY245" s="15"/>
      <c r="KPZ245" s="15"/>
      <c r="KQA245" s="15"/>
      <c r="KQB245" s="15"/>
      <c r="KQC245" s="15"/>
      <c r="KQD245" s="10"/>
      <c r="KQE245" s="10"/>
      <c r="KQF245" s="21"/>
      <c r="KQG245" s="21"/>
      <c r="KQJ245" s="21"/>
      <c r="KQK245" s="15"/>
      <c r="KQL245" s="15"/>
      <c r="KQM245" s="15"/>
      <c r="KQN245" s="15"/>
      <c r="KQO245" s="15"/>
      <c r="KQP245" s="15"/>
      <c r="KQQ245" s="15"/>
      <c r="KQR245" s="15"/>
      <c r="KQS245" s="15"/>
      <c r="KQT245" s="15"/>
      <c r="KQU245" s="10"/>
      <c r="KQV245" s="10"/>
      <c r="KQW245" s="21"/>
      <c r="KQX245" s="21"/>
      <c r="KRA245" s="21"/>
      <c r="KRB245" s="15"/>
      <c r="KRC245" s="15"/>
      <c r="KRD245" s="15"/>
      <c r="KRE245" s="15"/>
      <c r="KRF245" s="15"/>
      <c r="KRG245" s="15"/>
      <c r="KRH245" s="15"/>
      <c r="KRI245" s="15"/>
      <c r="KRJ245" s="15"/>
      <c r="KRK245" s="15"/>
      <c r="KRL245" s="10"/>
      <c r="KRM245" s="10"/>
      <c r="KRN245" s="21"/>
      <c r="KRO245" s="21"/>
      <c r="KRR245" s="21"/>
      <c r="KRS245" s="15"/>
      <c r="KRT245" s="15"/>
      <c r="KRU245" s="15"/>
      <c r="KRV245" s="15"/>
      <c r="KRW245" s="15"/>
      <c r="KRX245" s="15"/>
      <c r="KRY245" s="15"/>
      <c r="KRZ245" s="15"/>
      <c r="KSA245" s="15"/>
      <c r="KSB245" s="15"/>
      <c r="KSC245" s="10"/>
      <c r="KSD245" s="10"/>
      <c r="KSE245" s="21"/>
      <c r="KSF245" s="21"/>
      <c r="KSI245" s="21"/>
      <c r="KSJ245" s="15"/>
      <c r="KSK245" s="15"/>
      <c r="KSL245" s="15"/>
      <c r="KSM245" s="15"/>
      <c r="KSN245" s="15"/>
      <c r="KSO245" s="15"/>
      <c r="KSP245" s="15"/>
      <c r="KSQ245" s="15"/>
      <c r="KSR245" s="15"/>
      <c r="KSS245" s="15"/>
      <c r="KST245" s="10"/>
      <c r="KSU245" s="10"/>
      <c r="KSV245" s="21"/>
      <c r="KSW245" s="21"/>
      <c r="KSZ245" s="21"/>
      <c r="KTA245" s="15"/>
      <c r="KTB245" s="15"/>
      <c r="KTC245" s="15"/>
      <c r="KTD245" s="15"/>
      <c r="KTE245" s="15"/>
      <c r="KTF245" s="15"/>
      <c r="KTG245" s="15"/>
      <c r="KTH245" s="15"/>
      <c r="KTI245" s="15"/>
      <c r="KTJ245" s="15"/>
      <c r="KTK245" s="10"/>
      <c r="KTL245" s="10"/>
      <c r="KTM245" s="21"/>
      <c r="KTN245" s="21"/>
      <c r="KTQ245" s="21"/>
      <c r="KTR245" s="15"/>
      <c r="KTS245" s="15"/>
      <c r="KTT245" s="15"/>
      <c r="KTU245" s="15"/>
      <c r="KTV245" s="15"/>
      <c r="KTW245" s="15"/>
      <c r="KTX245" s="15"/>
      <c r="KTY245" s="15"/>
      <c r="KTZ245" s="15"/>
      <c r="KUA245" s="15"/>
      <c r="KUB245" s="10"/>
      <c r="KUC245" s="10"/>
      <c r="KUD245" s="21"/>
      <c r="KUE245" s="21"/>
      <c r="KUH245" s="21"/>
      <c r="KUI245" s="15"/>
      <c r="KUJ245" s="15"/>
      <c r="KUK245" s="15"/>
      <c r="KUL245" s="15"/>
      <c r="KUM245" s="15"/>
      <c r="KUN245" s="15"/>
      <c r="KUO245" s="15"/>
      <c r="KUP245" s="15"/>
      <c r="KUQ245" s="15"/>
      <c r="KUR245" s="15"/>
      <c r="KUS245" s="10"/>
      <c r="KUT245" s="10"/>
      <c r="KUU245" s="21"/>
      <c r="KUV245" s="21"/>
      <c r="KUY245" s="21"/>
      <c r="KUZ245" s="15"/>
      <c r="KVA245" s="15"/>
      <c r="KVB245" s="15"/>
      <c r="KVC245" s="15"/>
      <c r="KVD245" s="15"/>
      <c r="KVE245" s="15"/>
      <c r="KVF245" s="15"/>
      <c r="KVG245" s="15"/>
      <c r="KVH245" s="15"/>
      <c r="KVI245" s="15"/>
      <c r="KVJ245" s="10"/>
      <c r="KVK245" s="10"/>
      <c r="KVL245" s="21"/>
      <c r="KVM245" s="21"/>
      <c r="KVP245" s="21"/>
      <c r="KVQ245" s="15"/>
      <c r="KVR245" s="15"/>
      <c r="KVS245" s="15"/>
      <c r="KVT245" s="15"/>
      <c r="KVU245" s="15"/>
      <c r="KVV245" s="15"/>
      <c r="KVW245" s="15"/>
      <c r="KVX245" s="15"/>
      <c r="KVY245" s="15"/>
      <c r="KVZ245" s="15"/>
      <c r="KWA245" s="10"/>
      <c r="KWB245" s="10"/>
      <c r="KWC245" s="21"/>
      <c r="KWD245" s="21"/>
      <c r="KWG245" s="21"/>
      <c r="KWH245" s="15"/>
      <c r="KWI245" s="15"/>
      <c r="KWJ245" s="15"/>
      <c r="KWK245" s="15"/>
      <c r="KWL245" s="15"/>
      <c r="KWM245" s="15"/>
      <c r="KWN245" s="15"/>
      <c r="KWO245" s="15"/>
      <c r="KWP245" s="15"/>
      <c r="KWQ245" s="15"/>
      <c r="KWR245" s="10"/>
      <c r="KWS245" s="10"/>
      <c r="KWT245" s="21"/>
      <c r="KWU245" s="21"/>
      <c r="KWX245" s="21"/>
      <c r="KWY245" s="15"/>
      <c r="KWZ245" s="15"/>
      <c r="KXA245" s="15"/>
      <c r="KXB245" s="15"/>
      <c r="KXC245" s="15"/>
      <c r="KXD245" s="15"/>
      <c r="KXE245" s="15"/>
      <c r="KXF245" s="15"/>
      <c r="KXG245" s="15"/>
      <c r="KXH245" s="15"/>
      <c r="KXI245" s="10"/>
      <c r="KXJ245" s="10"/>
      <c r="KXK245" s="21"/>
      <c r="KXL245" s="21"/>
      <c r="KXO245" s="21"/>
      <c r="KXP245" s="15"/>
      <c r="KXQ245" s="15"/>
      <c r="KXR245" s="15"/>
      <c r="KXS245" s="15"/>
      <c r="KXT245" s="15"/>
      <c r="KXU245" s="15"/>
      <c r="KXV245" s="15"/>
      <c r="KXW245" s="15"/>
      <c r="KXX245" s="15"/>
      <c r="KXY245" s="15"/>
      <c r="KXZ245" s="10"/>
      <c r="KYA245" s="10"/>
      <c r="KYB245" s="21"/>
      <c r="KYC245" s="21"/>
      <c r="KYF245" s="21"/>
      <c r="KYG245" s="15"/>
      <c r="KYH245" s="15"/>
      <c r="KYI245" s="15"/>
      <c r="KYJ245" s="15"/>
      <c r="KYK245" s="15"/>
      <c r="KYL245" s="15"/>
      <c r="KYM245" s="15"/>
      <c r="KYN245" s="15"/>
      <c r="KYO245" s="15"/>
      <c r="KYP245" s="15"/>
      <c r="KYQ245" s="10"/>
      <c r="KYR245" s="10"/>
      <c r="KYS245" s="21"/>
      <c r="KYT245" s="21"/>
      <c r="KYW245" s="21"/>
      <c r="KYX245" s="15"/>
      <c r="KYY245" s="15"/>
      <c r="KYZ245" s="15"/>
      <c r="KZA245" s="15"/>
      <c r="KZB245" s="15"/>
      <c r="KZC245" s="15"/>
      <c r="KZD245" s="15"/>
      <c r="KZE245" s="15"/>
      <c r="KZF245" s="15"/>
      <c r="KZG245" s="15"/>
      <c r="KZH245" s="10"/>
      <c r="KZI245" s="10"/>
      <c r="KZJ245" s="21"/>
      <c r="KZK245" s="21"/>
      <c r="KZN245" s="21"/>
      <c r="KZO245" s="15"/>
      <c r="KZP245" s="15"/>
      <c r="KZQ245" s="15"/>
      <c r="KZR245" s="15"/>
      <c r="KZS245" s="15"/>
      <c r="KZT245" s="15"/>
      <c r="KZU245" s="15"/>
      <c r="KZV245" s="15"/>
      <c r="KZW245" s="15"/>
      <c r="KZX245" s="15"/>
      <c r="KZY245" s="10"/>
      <c r="KZZ245" s="10"/>
      <c r="LAA245" s="21"/>
      <c r="LAB245" s="21"/>
      <c r="LAE245" s="21"/>
      <c r="LAF245" s="15"/>
      <c r="LAG245" s="15"/>
      <c r="LAH245" s="15"/>
      <c r="LAI245" s="15"/>
      <c r="LAJ245" s="15"/>
      <c r="LAK245" s="15"/>
      <c r="LAL245" s="15"/>
      <c r="LAM245" s="15"/>
      <c r="LAN245" s="15"/>
      <c r="LAO245" s="15"/>
      <c r="LAP245" s="10"/>
      <c r="LAQ245" s="10"/>
      <c r="LAR245" s="21"/>
      <c r="LAS245" s="21"/>
      <c r="LAV245" s="21"/>
      <c r="LAW245" s="15"/>
      <c r="LAX245" s="15"/>
      <c r="LAY245" s="15"/>
      <c r="LAZ245" s="15"/>
      <c r="LBA245" s="15"/>
      <c r="LBB245" s="15"/>
      <c r="LBC245" s="15"/>
      <c r="LBD245" s="15"/>
      <c r="LBE245" s="15"/>
      <c r="LBF245" s="15"/>
      <c r="LBG245" s="10"/>
      <c r="LBH245" s="10"/>
      <c r="LBI245" s="21"/>
      <c r="LBJ245" s="21"/>
      <c r="LBM245" s="21"/>
      <c r="LBN245" s="15"/>
      <c r="LBO245" s="15"/>
      <c r="LBP245" s="15"/>
      <c r="LBQ245" s="15"/>
      <c r="LBR245" s="15"/>
      <c r="LBS245" s="15"/>
      <c r="LBT245" s="15"/>
      <c r="LBU245" s="15"/>
      <c r="LBV245" s="15"/>
      <c r="LBW245" s="15"/>
      <c r="LBX245" s="10"/>
      <c r="LBY245" s="10"/>
      <c r="LBZ245" s="21"/>
      <c r="LCA245" s="21"/>
      <c r="LCD245" s="21"/>
      <c r="LCE245" s="15"/>
      <c r="LCF245" s="15"/>
      <c r="LCG245" s="15"/>
      <c r="LCH245" s="15"/>
      <c r="LCI245" s="15"/>
      <c r="LCJ245" s="15"/>
      <c r="LCK245" s="15"/>
      <c r="LCL245" s="15"/>
      <c r="LCM245" s="15"/>
      <c r="LCN245" s="15"/>
      <c r="LCO245" s="10"/>
      <c r="LCP245" s="10"/>
      <c r="LCQ245" s="21"/>
      <c r="LCR245" s="21"/>
      <c r="LCU245" s="21"/>
      <c r="LCV245" s="15"/>
      <c r="LCW245" s="15"/>
      <c r="LCX245" s="15"/>
      <c r="LCY245" s="15"/>
      <c r="LCZ245" s="15"/>
      <c r="LDA245" s="15"/>
      <c r="LDB245" s="15"/>
      <c r="LDC245" s="15"/>
      <c r="LDD245" s="15"/>
      <c r="LDE245" s="15"/>
      <c r="LDF245" s="10"/>
      <c r="LDG245" s="10"/>
      <c r="LDH245" s="21"/>
      <c r="LDI245" s="21"/>
      <c r="LDL245" s="21"/>
      <c r="LDM245" s="15"/>
      <c r="LDN245" s="15"/>
      <c r="LDO245" s="15"/>
      <c r="LDP245" s="15"/>
      <c r="LDQ245" s="15"/>
      <c r="LDR245" s="15"/>
      <c r="LDS245" s="15"/>
      <c r="LDT245" s="15"/>
      <c r="LDU245" s="15"/>
      <c r="LDV245" s="15"/>
      <c r="LDW245" s="10"/>
      <c r="LDX245" s="10"/>
      <c r="LDY245" s="21"/>
      <c r="LDZ245" s="21"/>
      <c r="LEC245" s="21"/>
      <c r="LED245" s="15"/>
      <c r="LEE245" s="15"/>
      <c r="LEF245" s="15"/>
      <c r="LEG245" s="15"/>
      <c r="LEH245" s="15"/>
      <c r="LEI245" s="15"/>
      <c r="LEJ245" s="15"/>
      <c r="LEK245" s="15"/>
      <c r="LEL245" s="15"/>
      <c r="LEM245" s="15"/>
      <c r="LEN245" s="10"/>
      <c r="LEO245" s="10"/>
      <c r="LEP245" s="21"/>
      <c r="LEQ245" s="21"/>
      <c r="LET245" s="21"/>
      <c r="LEU245" s="15"/>
      <c r="LEV245" s="15"/>
      <c r="LEW245" s="15"/>
      <c r="LEX245" s="15"/>
      <c r="LEY245" s="15"/>
      <c r="LEZ245" s="15"/>
      <c r="LFA245" s="15"/>
      <c r="LFB245" s="15"/>
      <c r="LFC245" s="15"/>
      <c r="LFD245" s="15"/>
      <c r="LFE245" s="10"/>
      <c r="LFF245" s="10"/>
      <c r="LFG245" s="21"/>
      <c r="LFH245" s="21"/>
      <c r="LFK245" s="21"/>
      <c r="LFL245" s="15"/>
      <c r="LFM245" s="15"/>
      <c r="LFN245" s="15"/>
      <c r="LFO245" s="15"/>
      <c r="LFP245" s="15"/>
      <c r="LFQ245" s="15"/>
      <c r="LFR245" s="15"/>
      <c r="LFS245" s="15"/>
      <c r="LFT245" s="15"/>
      <c r="LFU245" s="15"/>
      <c r="LFV245" s="10"/>
      <c r="LFW245" s="10"/>
      <c r="LFX245" s="21"/>
      <c r="LFY245" s="21"/>
      <c r="LGB245" s="21"/>
      <c r="LGC245" s="15"/>
      <c r="LGD245" s="15"/>
      <c r="LGE245" s="15"/>
      <c r="LGF245" s="15"/>
      <c r="LGG245" s="15"/>
      <c r="LGH245" s="15"/>
      <c r="LGI245" s="15"/>
      <c r="LGJ245" s="15"/>
      <c r="LGK245" s="15"/>
      <c r="LGL245" s="15"/>
      <c r="LGM245" s="10"/>
      <c r="LGN245" s="10"/>
      <c r="LGO245" s="21"/>
      <c r="LGP245" s="21"/>
      <c r="LGS245" s="21"/>
      <c r="LGT245" s="15"/>
      <c r="LGU245" s="15"/>
      <c r="LGV245" s="15"/>
      <c r="LGW245" s="15"/>
      <c r="LGX245" s="15"/>
      <c r="LGY245" s="15"/>
      <c r="LGZ245" s="15"/>
      <c r="LHA245" s="15"/>
      <c r="LHB245" s="15"/>
      <c r="LHC245" s="15"/>
      <c r="LHD245" s="10"/>
      <c r="LHE245" s="10"/>
      <c r="LHF245" s="21"/>
      <c r="LHG245" s="21"/>
      <c r="LHJ245" s="21"/>
      <c r="LHK245" s="15"/>
      <c r="LHL245" s="15"/>
      <c r="LHM245" s="15"/>
      <c r="LHN245" s="15"/>
      <c r="LHO245" s="15"/>
      <c r="LHP245" s="15"/>
      <c r="LHQ245" s="15"/>
      <c r="LHR245" s="15"/>
      <c r="LHS245" s="15"/>
      <c r="LHT245" s="15"/>
      <c r="LHU245" s="10"/>
      <c r="LHV245" s="10"/>
      <c r="LHW245" s="21"/>
      <c r="LHX245" s="21"/>
      <c r="LIA245" s="21"/>
      <c r="LIB245" s="15"/>
      <c r="LIC245" s="15"/>
      <c r="LID245" s="15"/>
      <c r="LIE245" s="15"/>
      <c r="LIF245" s="15"/>
      <c r="LIG245" s="15"/>
      <c r="LIH245" s="15"/>
      <c r="LII245" s="15"/>
      <c r="LIJ245" s="15"/>
      <c r="LIK245" s="15"/>
      <c r="LIL245" s="10"/>
      <c r="LIM245" s="10"/>
      <c r="LIN245" s="21"/>
      <c r="LIO245" s="21"/>
      <c r="LIR245" s="21"/>
      <c r="LIS245" s="15"/>
      <c r="LIT245" s="15"/>
      <c r="LIU245" s="15"/>
      <c r="LIV245" s="15"/>
      <c r="LIW245" s="15"/>
      <c r="LIX245" s="15"/>
      <c r="LIY245" s="15"/>
      <c r="LIZ245" s="15"/>
      <c r="LJA245" s="15"/>
      <c r="LJB245" s="15"/>
      <c r="LJC245" s="10"/>
      <c r="LJD245" s="10"/>
      <c r="LJE245" s="21"/>
      <c r="LJF245" s="21"/>
      <c r="LJI245" s="21"/>
      <c r="LJJ245" s="15"/>
      <c r="LJK245" s="15"/>
      <c r="LJL245" s="15"/>
      <c r="LJM245" s="15"/>
      <c r="LJN245" s="15"/>
      <c r="LJO245" s="15"/>
      <c r="LJP245" s="15"/>
      <c r="LJQ245" s="15"/>
      <c r="LJR245" s="15"/>
      <c r="LJS245" s="15"/>
      <c r="LJT245" s="10"/>
      <c r="LJU245" s="10"/>
      <c r="LJV245" s="21"/>
      <c r="LJW245" s="21"/>
      <c r="LJZ245" s="21"/>
      <c r="LKA245" s="15"/>
      <c r="LKB245" s="15"/>
      <c r="LKC245" s="15"/>
      <c r="LKD245" s="15"/>
      <c r="LKE245" s="15"/>
      <c r="LKF245" s="15"/>
      <c r="LKG245" s="15"/>
      <c r="LKH245" s="15"/>
      <c r="LKI245" s="15"/>
      <c r="LKJ245" s="15"/>
      <c r="LKK245" s="10"/>
      <c r="LKL245" s="10"/>
      <c r="LKM245" s="21"/>
      <c r="LKN245" s="21"/>
      <c r="LKQ245" s="21"/>
      <c r="LKR245" s="15"/>
      <c r="LKS245" s="15"/>
      <c r="LKT245" s="15"/>
      <c r="LKU245" s="15"/>
      <c r="LKV245" s="15"/>
      <c r="LKW245" s="15"/>
      <c r="LKX245" s="15"/>
      <c r="LKY245" s="15"/>
      <c r="LKZ245" s="15"/>
      <c r="LLA245" s="15"/>
      <c r="LLB245" s="10"/>
      <c r="LLC245" s="10"/>
      <c r="LLD245" s="21"/>
      <c r="LLE245" s="21"/>
      <c r="LLH245" s="21"/>
      <c r="LLI245" s="15"/>
      <c r="LLJ245" s="15"/>
      <c r="LLK245" s="15"/>
      <c r="LLL245" s="15"/>
      <c r="LLM245" s="15"/>
      <c r="LLN245" s="15"/>
      <c r="LLO245" s="15"/>
      <c r="LLP245" s="15"/>
      <c r="LLQ245" s="15"/>
      <c r="LLR245" s="15"/>
      <c r="LLS245" s="10"/>
      <c r="LLT245" s="10"/>
      <c r="LLU245" s="21"/>
      <c r="LLV245" s="21"/>
      <c r="LLY245" s="21"/>
      <c r="LLZ245" s="15"/>
      <c r="LMA245" s="15"/>
      <c r="LMB245" s="15"/>
      <c r="LMC245" s="15"/>
      <c r="LMD245" s="15"/>
      <c r="LME245" s="15"/>
      <c r="LMF245" s="15"/>
      <c r="LMG245" s="15"/>
      <c r="LMH245" s="15"/>
      <c r="LMI245" s="15"/>
      <c r="LMJ245" s="10"/>
      <c r="LMK245" s="10"/>
      <c r="LML245" s="21"/>
      <c r="LMM245" s="21"/>
      <c r="LMP245" s="21"/>
      <c r="LMQ245" s="15"/>
      <c r="LMR245" s="15"/>
      <c r="LMS245" s="15"/>
      <c r="LMT245" s="15"/>
      <c r="LMU245" s="15"/>
      <c r="LMV245" s="15"/>
      <c r="LMW245" s="15"/>
      <c r="LMX245" s="15"/>
      <c r="LMY245" s="15"/>
      <c r="LMZ245" s="15"/>
      <c r="LNA245" s="10"/>
      <c r="LNB245" s="10"/>
      <c r="LNC245" s="21"/>
      <c r="LND245" s="21"/>
      <c r="LNG245" s="21"/>
      <c r="LNH245" s="15"/>
      <c r="LNI245" s="15"/>
      <c r="LNJ245" s="15"/>
      <c r="LNK245" s="15"/>
      <c r="LNL245" s="15"/>
      <c r="LNM245" s="15"/>
      <c r="LNN245" s="15"/>
      <c r="LNO245" s="15"/>
      <c r="LNP245" s="15"/>
      <c r="LNQ245" s="15"/>
      <c r="LNR245" s="10"/>
      <c r="LNS245" s="10"/>
      <c r="LNT245" s="21"/>
      <c r="LNU245" s="21"/>
      <c r="LNX245" s="21"/>
      <c r="LNY245" s="15"/>
      <c r="LNZ245" s="15"/>
      <c r="LOA245" s="15"/>
      <c r="LOB245" s="15"/>
      <c r="LOC245" s="15"/>
      <c r="LOD245" s="15"/>
      <c r="LOE245" s="15"/>
      <c r="LOF245" s="15"/>
      <c r="LOG245" s="15"/>
      <c r="LOH245" s="15"/>
      <c r="LOI245" s="10"/>
      <c r="LOJ245" s="10"/>
      <c r="LOK245" s="21"/>
      <c r="LOL245" s="21"/>
      <c r="LOO245" s="21"/>
      <c r="LOP245" s="15"/>
      <c r="LOQ245" s="15"/>
      <c r="LOR245" s="15"/>
      <c r="LOS245" s="15"/>
      <c r="LOT245" s="15"/>
      <c r="LOU245" s="15"/>
      <c r="LOV245" s="15"/>
      <c r="LOW245" s="15"/>
      <c r="LOX245" s="15"/>
      <c r="LOY245" s="15"/>
      <c r="LOZ245" s="10"/>
      <c r="LPA245" s="10"/>
      <c r="LPB245" s="21"/>
      <c r="LPC245" s="21"/>
      <c r="LPF245" s="21"/>
      <c r="LPG245" s="15"/>
      <c r="LPH245" s="15"/>
      <c r="LPI245" s="15"/>
      <c r="LPJ245" s="15"/>
      <c r="LPK245" s="15"/>
      <c r="LPL245" s="15"/>
      <c r="LPM245" s="15"/>
      <c r="LPN245" s="15"/>
      <c r="LPO245" s="15"/>
      <c r="LPP245" s="15"/>
      <c r="LPQ245" s="10"/>
      <c r="LPR245" s="10"/>
      <c r="LPS245" s="21"/>
      <c r="LPT245" s="21"/>
      <c r="LPW245" s="21"/>
      <c r="LPX245" s="15"/>
      <c r="LPY245" s="15"/>
      <c r="LPZ245" s="15"/>
      <c r="LQA245" s="15"/>
      <c r="LQB245" s="15"/>
      <c r="LQC245" s="15"/>
      <c r="LQD245" s="15"/>
      <c r="LQE245" s="15"/>
      <c r="LQF245" s="15"/>
      <c r="LQG245" s="15"/>
      <c r="LQH245" s="10"/>
      <c r="LQI245" s="10"/>
      <c r="LQJ245" s="21"/>
      <c r="LQK245" s="21"/>
      <c r="LQN245" s="21"/>
      <c r="LQO245" s="15"/>
      <c r="LQP245" s="15"/>
      <c r="LQQ245" s="15"/>
      <c r="LQR245" s="15"/>
      <c r="LQS245" s="15"/>
      <c r="LQT245" s="15"/>
      <c r="LQU245" s="15"/>
      <c r="LQV245" s="15"/>
      <c r="LQW245" s="15"/>
      <c r="LQX245" s="15"/>
      <c r="LQY245" s="10"/>
      <c r="LQZ245" s="10"/>
      <c r="LRA245" s="21"/>
      <c r="LRB245" s="21"/>
      <c r="LRE245" s="21"/>
      <c r="LRF245" s="15"/>
      <c r="LRG245" s="15"/>
      <c r="LRH245" s="15"/>
      <c r="LRI245" s="15"/>
      <c r="LRJ245" s="15"/>
      <c r="LRK245" s="15"/>
      <c r="LRL245" s="15"/>
      <c r="LRM245" s="15"/>
      <c r="LRN245" s="15"/>
      <c r="LRO245" s="15"/>
      <c r="LRP245" s="10"/>
      <c r="LRQ245" s="10"/>
      <c r="LRR245" s="21"/>
      <c r="LRS245" s="21"/>
      <c r="LRV245" s="21"/>
      <c r="LRW245" s="15"/>
      <c r="LRX245" s="15"/>
      <c r="LRY245" s="15"/>
      <c r="LRZ245" s="15"/>
      <c r="LSA245" s="15"/>
      <c r="LSB245" s="15"/>
      <c r="LSC245" s="15"/>
      <c r="LSD245" s="15"/>
      <c r="LSE245" s="15"/>
      <c r="LSF245" s="15"/>
      <c r="LSG245" s="10"/>
      <c r="LSH245" s="10"/>
      <c r="LSI245" s="21"/>
      <c r="LSJ245" s="21"/>
      <c r="LSM245" s="21"/>
      <c r="LSN245" s="15"/>
      <c r="LSO245" s="15"/>
      <c r="LSP245" s="15"/>
      <c r="LSQ245" s="15"/>
      <c r="LSR245" s="15"/>
      <c r="LSS245" s="15"/>
      <c r="LST245" s="15"/>
      <c r="LSU245" s="15"/>
      <c r="LSV245" s="15"/>
      <c r="LSW245" s="15"/>
      <c r="LSX245" s="10"/>
      <c r="LSY245" s="10"/>
      <c r="LSZ245" s="21"/>
      <c r="LTA245" s="21"/>
      <c r="LTD245" s="21"/>
      <c r="LTE245" s="15"/>
      <c r="LTF245" s="15"/>
      <c r="LTG245" s="15"/>
      <c r="LTH245" s="15"/>
      <c r="LTI245" s="15"/>
      <c r="LTJ245" s="15"/>
      <c r="LTK245" s="15"/>
      <c r="LTL245" s="15"/>
      <c r="LTM245" s="15"/>
      <c r="LTN245" s="15"/>
      <c r="LTO245" s="10"/>
      <c r="LTP245" s="10"/>
      <c r="LTQ245" s="21"/>
      <c r="LTR245" s="21"/>
      <c r="LTU245" s="21"/>
      <c r="LTV245" s="15"/>
      <c r="LTW245" s="15"/>
      <c r="LTX245" s="15"/>
      <c r="LTY245" s="15"/>
      <c r="LTZ245" s="15"/>
      <c r="LUA245" s="15"/>
      <c r="LUB245" s="15"/>
      <c r="LUC245" s="15"/>
      <c r="LUD245" s="15"/>
      <c r="LUE245" s="15"/>
      <c r="LUF245" s="10"/>
      <c r="LUG245" s="10"/>
      <c r="LUH245" s="21"/>
      <c r="LUI245" s="21"/>
      <c r="LUL245" s="21"/>
      <c r="LUM245" s="15"/>
      <c r="LUN245" s="15"/>
      <c r="LUO245" s="15"/>
      <c r="LUP245" s="15"/>
      <c r="LUQ245" s="15"/>
      <c r="LUR245" s="15"/>
      <c r="LUS245" s="15"/>
      <c r="LUT245" s="15"/>
      <c r="LUU245" s="15"/>
      <c r="LUV245" s="15"/>
      <c r="LUW245" s="10"/>
      <c r="LUX245" s="10"/>
      <c r="LUY245" s="21"/>
      <c r="LUZ245" s="21"/>
      <c r="LVC245" s="21"/>
      <c r="LVD245" s="15"/>
      <c r="LVE245" s="15"/>
      <c r="LVF245" s="15"/>
      <c r="LVG245" s="15"/>
      <c r="LVH245" s="15"/>
      <c r="LVI245" s="15"/>
      <c r="LVJ245" s="15"/>
      <c r="LVK245" s="15"/>
      <c r="LVL245" s="15"/>
      <c r="LVM245" s="15"/>
      <c r="LVN245" s="10"/>
      <c r="LVO245" s="10"/>
      <c r="LVP245" s="21"/>
      <c r="LVQ245" s="21"/>
      <c r="LVT245" s="21"/>
      <c r="LVU245" s="15"/>
      <c r="LVV245" s="15"/>
      <c r="LVW245" s="15"/>
      <c r="LVX245" s="15"/>
      <c r="LVY245" s="15"/>
      <c r="LVZ245" s="15"/>
      <c r="LWA245" s="15"/>
      <c r="LWB245" s="15"/>
      <c r="LWC245" s="15"/>
      <c r="LWD245" s="15"/>
      <c r="LWE245" s="10"/>
      <c r="LWF245" s="10"/>
      <c r="LWG245" s="21"/>
      <c r="LWH245" s="21"/>
      <c r="LWK245" s="21"/>
      <c r="LWL245" s="15"/>
      <c r="LWM245" s="15"/>
      <c r="LWN245" s="15"/>
      <c r="LWO245" s="15"/>
      <c r="LWP245" s="15"/>
      <c r="LWQ245" s="15"/>
      <c r="LWR245" s="15"/>
      <c r="LWS245" s="15"/>
      <c r="LWT245" s="15"/>
      <c r="LWU245" s="15"/>
      <c r="LWV245" s="10"/>
      <c r="LWW245" s="10"/>
      <c r="LWX245" s="21"/>
      <c r="LWY245" s="21"/>
      <c r="LXB245" s="21"/>
      <c r="LXC245" s="15"/>
      <c r="LXD245" s="15"/>
      <c r="LXE245" s="15"/>
      <c r="LXF245" s="15"/>
      <c r="LXG245" s="15"/>
      <c r="LXH245" s="15"/>
      <c r="LXI245" s="15"/>
      <c r="LXJ245" s="15"/>
      <c r="LXK245" s="15"/>
      <c r="LXL245" s="15"/>
      <c r="LXM245" s="10"/>
      <c r="LXN245" s="10"/>
      <c r="LXO245" s="21"/>
      <c r="LXP245" s="21"/>
      <c r="LXS245" s="21"/>
      <c r="LXT245" s="15"/>
      <c r="LXU245" s="15"/>
      <c r="LXV245" s="15"/>
      <c r="LXW245" s="15"/>
      <c r="LXX245" s="15"/>
      <c r="LXY245" s="15"/>
      <c r="LXZ245" s="15"/>
      <c r="LYA245" s="15"/>
      <c r="LYB245" s="15"/>
      <c r="LYC245" s="15"/>
      <c r="LYD245" s="10"/>
      <c r="LYE245" s="10"/>
      <c r="LYF245" s="21"/>
      <c r="LYG245" s="21"/>
      <c r="LYJ245" s="21"/>
      <c r="LYK245" s="15"/>
      <c r="LYL245" s="15"/>
      <c r="LYM245" s="15"/>
      <c r="LYN245" s="15"/>
      <c r="LYO245" s="15"/>
      <c r="LYP245" s="15"/>
      <c r="LYQ245" s="15"/>
      <c r="LYR245" s="15"/>
      <c r="LYS245" s="15"/>
      <c r="LYT245" s="15"/>
      <c r="LYU245" s="10"/>
      <c r="LYV245" s="10"/>
      <c r="LYW245" s="21"/>
      <c r="LYX245" s="21"/>
      <c r="LZA245" s="21"/>
      <c r="LZB245" s="15"/>
      <c r="LZC245" s="15"/>
      <c r="LZD245" s="15"/>
      <c r="LZE245" s="15"/>
      <c r="LZF245" s="15"/>
      <c r="LZG245" s="15"/>
      <c r="LZH245" s="15"/>
      <c r="LZI245" s="15"/>
      <c r="LZJ245" s="15"/>
      <c r="LZK245" s="15"/>
      <c r="LZL245" s="10"/>
      <c r="LZM245" s="10"/>
      <c r="LZN245" s="21"/>
      <c r="LZO245" s="21"/>
      <c r="LZR245" s="21"/>
      <c r="LZS245" s="15"/>
      <c r="LZT245" s="15"/>
      <c r="LZU245" s="15"/>
      <c r="LZV245" s="15"/>
      <c r="LZW245" s="15"/>
      <c r="LZX245" s="15"/>
      <c r="LZY245" s="15"/>
      <c r="LZZ245" s="15"/>
      <c r="MAA245" s="15"/>
      <c r="MAB245" s="15"/>
      <c r="MAC245" s="10"/>
      <c r="MAD245" s="10"/>
      <c r="MAE245" s="21"/>
      <c r="MAF245" s="21"/>
      <c r="MAI245" s="21"/>
      <c r="MAJ245" s="15"/>
      <c r="MAK245" s="15"/>
      <c r="MAL245" s="15"/>
      <c r="MAM245" s="15"/>
      <c r="MAN245" s="15"/>
      <c r="MAO245" s="15"/>
      <c r="MAP245" s="15"/>
      <c r="MAQ245" s="15"/>
      <c r="MAR245" s="15"/>
      <c r="MAS245" s="15"/>
      <c r="MAT245" s="10"/>
      <c r="MAU245" s="10"/>
      <c r="MAV245" s="21"/>
      <c r="MAW245" s="21"/>
      <c r="MAZ245" s="21"/>
      <c r="MBA245" s="15"/>
      <c r="MBB245" s="15"/>
      <c r="MBC245" s="15"/>
      <c r="MBD245" s="15"/>
      <c r="MBE245" s="15"/>
      <c r="MBF245" s="15"/>
      <c r="MBG245" s="15"/>
      <c r="MBH245" s="15"/>
      <c r="MBI245" s="15"/>
      <c r="MBJ245" s="15"/>
      <c r="MBK245" s="10"/>
      <c r="MBL245" s="10"/>
      <c r="MBM245" s="21"/>
      <c r="MBN245" s="21"/>
      <c r="MBQ245" s="21"/>
      <c r="MBR245" s="15"/>
      <c r="MBS245" s="15"/>
      <c r="MBT245" s="15"/>
      <c r="MBU245" s="15"/>
      <c r="MBV245" s="15"/>
      <c r="MBW245" s="15"/>
      <c r="MBX245" s="15"/>
      <c r="MBY245" s="15"/>
      <c r="MBZ245" s="15"/>
      <c r="MCA245" s="15"/>
      <c r="MCB245" s="10"/>
      <c r="MCC245" s="10"/>
      <c r="MCD245" s="21"/>
      <c r="MCE245" s="21"/>
      <c r="MCH245" s="21"/>
      <c r="MCI245" s="15"/>
      <c r="MCJ245" s="15"/>
      <c r="MCK245" s="15"/>
      <c r="MCL245" s="15"/>
      <c r="MCM245" s="15"/>
      <c r="MCN245" s="15"/>
      <c r="MCO245" s="15"/>
      <c r="MCP245" s="15"/>
      <c r="MCQ245" s="15"/>
      <c r="MCR245" s="15"/>
      <c r="MCS245" s="10"/>
      <c r="MCT245" s="10"/>
      <c r="MCU245" s="21"/>
      <c r="MCV245" s="21"/>
      <c r="MCY245" s="21"/>
      <c r="MCZ245" s="15"/>
      <c r="MDA245" s="15"/>
      <c r="MDB245" s="15"/>
      <c r="MDC245" s="15"/>
      <c r="MDD245" s="15"/>
      <c r="MDE245" s="15"/>
      <c r="MDF245" s="15"/>
      <c r="MDG245" s="15"/>
      <c r="MDH245" s="15"/>
      <c r="MDI245" s="15"/>
      <c r="MDJ245" s="10"/>
      <c r="MDK245" s="10"/>
      <c r="MDL245" s="21"/>
      <c r="MDM245" s="21"/>
      <c r="MDP245" s="21"/>
      <c r="MDQ245" s="15"/>
      <c r="MDR245" s="15"/>
      <c r="MDS245" s="15"/>
      <c r="MDT245" s="15"/>
      <c r="MDU245" s="15"/>
      <c r="MDV245" s="15"/>
      <c r="MDW245" s="15"/>
      <c r="MDX245" s="15"/>
      <c r="MDY245" s="15"/>
      <c r="MDZ245" s="15"/>
      <c r="MEA245" s="10"/>
      <c r="MEB245" s="10"/>
      <c r="MEC245" s="21"/>
      <c r="MED245" s="21"/>
      <c r="MEG245" s="21"/>
      <c r="MEH245" s="15"/>
      <c r="MEI245" s="15"/>
      <c r="MEJ245" s="15"/>
      <c r="MEK245" s="15"/>
      <c r="MEL245" s="15"/>
      <c r="MEM245" s="15"/>
      <c r="MEN245" s="15"/>
      <c r="MEO245" s="15"/>
      <c r="MEP245" s="15"/>
      <c r="MEQ245" s="15"/>
      <c r="MER245" s="10"/>
      <c r="MES245" s="10"/>
      <c r="MET245" s="21"/>
      <c r="MEU245" s="21"/>
      <c r="MEX245" s="21"/>
      <c r="MEY245" s="15"/>
      <c r="MEZ245" s="15"/>
      <c r="MFA245" s="15"/>
      <c r="MFB245" s="15"/>
      <c r="MFC245" s="15"/>
      <c r="MFD245" s="15"/>
      <c r="MFE245" s="15"/>
      <c r="MFF245" s="15"/>
      <c r="MFG245" s="15"/>
      <c r="MFH245" s="15"/>
      <c r="MFI245" s="10"/>
      <c r="MFJ245" s="10"/>
      <c r="MFK245" s="21"/>
      <c r="MFL245" s="21"/>
      <c r="MFO245" s="21"/>
      <c r="MFP245" s="15"/>
      <c r="MFQ245" s="15"/>
      <c r="MFR245" s="15"/>
      <c r="MFS245" s="15"/>
      <c r="MFT245" s="15"/>
      <c r="MFU245" s="15"/>
      <c r="MFV245" s="15"/>
      <c r="MFW245" s="15"/>
      <c r="MFX245" s="15"/>
      <c r="MFY245" s="15"/>
      <c r="MFZ245" s="10"/>
      <c r="MGA245" s="10"/>
      <c r="MGB245" s="21"/>
      <c r="MGC245" s="21"/>
      <c r="MGF245" s="21"/>
      <c r="MGG245" s="15"/>
      <c r="MGH245" s="15"/>
      <c r="MGI245" s="15"/>
      <c r="MGJ245" s="15"/>
      <c r="MGK245" s="15"/>
      <c r="MGL245" s="15"/>
      <c r="MGM245" s="15"/>
      <c r="MGN245" s="15"/>
      <c r="MGO245" s="15"/>
      <c r="MGP245" s="15"/>
      <c r="MGQ245" s="10"/>
      <c r="MGR245" s="10"/>
      <c r="MGS245" s="21"/>
      <c r="MGT245" s="21"/>
      <c r="MGW245" s="21"/>
      <c r="MGX245" s="15"/>
      <c r="MGY245" s="15"/>
      <c r="MGZ245" s="15"/>
      <c r="MHA245" s="15"/>
      <c r="MHB245" s="15"/>
      <c r="MHC245" s="15"/>
      <c r="MHD245" s="15"/>
      <c r="MHE245" s="15"/>
      <c r="MHF245" s="15"/>
      <c r="MHG245" s="15"/>
      <c r="MHH245" s="10"/>
      <c r="MHI245" s="10"/>
      <c r="MHJ245" s="21"/>
      <c r="MHK245" s="21"/>
      <c r="MHN245" s="21"/>
      <c r="MHO245" s="15"/>
      <c r="MHP245" s="15"/>
      <c r="MHQ245" s="15"/>
      <c r="MHR245" s="15"/>
      <c r="MHS245" s="15"/>
      <c r="MHT245" s="15"/>
      <c r="MHU245" s="15"/>
      <c r="MHV245" s="15"/>
      <c r="MHW245" s="15"/>
      <c r="MHX245" s="15"/>
      <c r="MHY245" s="10"/>
      <c r="MHZ245" s="10"/>
      <c r="MIA245" s="21"/>
      <c r="MIB245" s="21"/>
      <c r="MIE245" s="21"/>
      <c r="MIF245" s="15"/>
      <c r="MIG245" s="15"/>
      <c r="MIH245" s="15"/>
      <c r="MII245" s="15"/>
      <c r="MIJ245" s="15"/>
      <c r="MIK245" s="15"/>
      <c r="MIL245" s="15"/>
      <c r="MIM245" s="15"/>
      <c r="MIN245" s="15"/>
      <c r="MIO245" s="15"/>
      <c r="MIP245" s="10"/>
      <c r="MIQ245" s="10"/>
      <c r="MIR245" s="21"/>
      <c r="MIS245" s="21"/>
      <c r="MIV245" s="21"/>
      <c r="MIW245" s="15"/>
      <c r="MIX245" s="15"/>
      <c r="MIY245" s="15"/>
      <c r="MIZ245" s="15"/>
      <c r="MJA245" s="15"/>
      <c r="MJB245" s="15"/>
      <c r="MJC245" s="15"/>
      <c r="MJD245" s="15"/>
      <c r="MJE245" s="15"/>
      <c r="MJF245" s="15"/>
      <c r="MJG245" s="10"/>
      <c r="MJH245" s="10"/>
      <c r="MJI245" s="21"/>
      <c r="MJJ245" s="21"/>
      <c r="MJM245" s="21"/>
      <c r="MJN245" s="15"/>
      <c r="MJO245" s="15"/>
      <c r="MJP245" s="15"/>
      <c r="MJQ245" s="15"/>
      <c r="MJR245" s="15"/>
      <c r="MJS245" s="15"/>
      <c r="MJT245" s="15"/>
      <c r="MJU245" s="15"/>
      <c r="MJV245" s="15"/>
      <c r="MJW245" s="15"/>
      <c r="MJX245" s="10"/>
      <c r="MJY245" s="10"/>
      <c r="MJZ245" s="21"/>
      <c r="MKA245" s="21"/>
      <c r="MKD245" s="21"/>
      <c r="MKE245" s="15"/>
      <c r="MKF245" s="15"/>
      <c r="MKG245" s="15"/>
      <c r="MKH245" s="15"/>
      <c r="MKI245" s="15"/>
      <c r="MKJ245" s="15"/>
      <c r="MKK245" s="15"/>
      <c r="MKL245" s="15"/>
      <c r="MKM245" s="15"/>
      <c r="MKN245" s="15"/>
      <c r="MKO245" s="10"/>
      <c r="MKP245" s="10"/>
      <c r="MKQ245" s="21"/>
      <c r="MKR245" s="21"/>
      <c r="MKU245" s="21"/>
      <c r="MKV245" s="15"/>
      <c r="MKW245" s="15"/>
      <c r="MKX245" s="15"/>
      <c r="MKY245" s="15"/>
      <c r="MKZ245" s="15"/>
      <c r="MLA245" s="15"/>
      <c r="MLB245" s="15"/>
      <c r="MLC245" s="15"/>
      <c r="MLD245" s="15"/>
      <c r="MLE245" s="15"/>
      <c r="MLF245" s="10"/>
      <c r="MLG245" s="10"/>
      <c r="MLH245" s="21"/>
      <c r="MLI245" s="21"/>
      <c r="MLL245" s="21"/>
      <c r="MLM245" s="15"/>
      <c r="MLN245" s="15"/>
      <c r="MLO245" s="15"/>
      <c r="MLP245" s="15"/>
      <c r="MLQ245" s="15"/>
      <c r="MLR245" s="15"/>
      <c r="MLS245" s="15"/>
      <c r="MLT245" s="15"/>
      <c r="MLU245" s="15"/>
      <c r="MLV245" s="15"/>
      <c r="MLW245" s="10"/>
      <c r="MLX245" s="10"/>
      <c r="MLY245" s="21"/>
      <c r="MLZ245" s="21"/>
      <c r="MMC245" s="21"/>
      <c r="MMD245" s="15"/>
      <c r="MME245" s="15"/>
      <c r="MMF245" s="15"/>
      <c r="MMG245" s="15"/>
      <c r="MMH245" s="15"/>
      <c r="MMI245" s="15"/>
      <c r="MMJ245" s="15"/>
      <c r="MMK245" s="15"/>
      <c r="MML245" s="15"/>
      <c r="MMM245" s="15"/>
      <c r="MMN245" s="10"/>
      <c r="MMO245" s="10"/>
      <c r="MMP245" s="21"/>
      <c r="MMQ245" s="21"/>
      <c r="MMT245" s="21"/>
      <c r="MMU245" s="15"/>
      <c r="MMV245" s="15"/>
      <c r="MMW245" s="15"/>
      <c r="MMX245" s="15"/>
      <c r="MMY245" s="15"/>
      <c r="MMZ245" s="15"/>
      <c r="MNA245" s="15"/>
      <c r="MNB245" s="15"/>
      <c r="MNC245" s="15"/>
      <c r="MND245" s="15"/>
      <c r="MNE245" s="10"/>
      <c r="MNF245" s="10"/>
      <c r="MNG245" s="21"/>
      <c r="MNH245" s="21"/>
      <c r="MNK245" s="21"/>
      <c r="MNL245" s="15"/>
      <c r="MNM245" s="15"/>
      <c r="MNN245" s="15"/>
      <c r="MNO245" s="15"/>
      <c r="MNP245" s="15"/>
      <c r="MNQ245" s="15"/>
      <c r="MNR245" s="15"/>
      <c r="MNS245" s="15"/>
      <c r="MNT245" s="15"/>
      <c r="MNU245" s="15"/>
      <c r="MNV245" s="10"/>
      <c r="MNW245" s="10"/>
      <c r="MNX245" s="21"/>
      <c r="MNY245" s="21"/>
      <c r="MOB245" s="21"/>
      <c r="MOC245" s="15"/>
      <c r="MOD245" s="15"/>
      <c r="MOE245" s="15"/>
      <c r="MOF245" s="15"/>
      <c r="MOG245" s="15"/>
      <c r="MOH245" s="15"/>
      <c r="MOI245" s="15"/>
      <c r="MOJ245" s="15"/>
      <c r="MOK245" s="15"/>
      <c r="MOL245" s="15"/>
      <c r="MOM245" s="10"/>
      <c r="MON245" s="10"/>
      <c r="MOO245" s="21"/>
      <c r="MOP245" s="21"/>
      <c r="MOS245" s="21"/>
      <c r="MOT245" s="15"/>
      <c r="MOU245" s="15"/>
      <c r="MOV245" s="15"/>
      <c r="MOW245" s="15"/>
      <c r="MOX245" s="15"/>
      <c r="MOY245" s="15"/>
      <c r="MOZ245" s="15"/>
      <c r="MPA245" s="15"/>
      <c r="MPB245" s="15"/>
      <c r="MPC245" s="15"/>
      <c r="MPD245" s="10"/>
      <c r="MPE245" s="10"/>
      <c r="MPF245" s="21"/>
      <c r="MPG245" s="21"/>
      <c r="MPJ245" s="21"/>
      <c r="MPK245" s="15"/>
      <c r="MPL245" s="15"/>
      <c r="MPM245" s="15"/>
      <c r="MPN245" s="15"/>
      <c r="MPO245" s="15"/>
      <c r="MPP245" s="15"/>
      <c r="MPQ245" s="15"/>
      <c r="MPR245" s="15"/>
      <c r="MPS245" s="15"/>
      <c r="MPT245" s="15"/>
      <c r="MPU245" s="10"/>
      <c r="MPV245" s="10"/>
      <c r="MPW245" s="21"/>
      <c r="MPX245" s="21"/>
      <c r="MQA245" s="21"/>
      <c r="MQB245" s="15"/>
      <c r="MQC245" s="15"/>
      <c r="MQD245" s="15"/>
      <c r="MQE245" s="15"/>
      <c r="MQF245" s="15"/>
      <c r="MQG245" s="15"/>
      <c r="MQH245" s="15"/>
      <c r="MQI245" s="15"/>
      <c r="MQJ245" s="15"/>
      <c r="MQK245" s="15"/>
      <c r="MQL245" s="10"/>
      <c r="MQM245" s="10"/>
      <c r="MQN245" s="21"/>
      <c r="MQO245" s="21"/>
      <c r="MQR245" s="21"/>
      <c r="MQS245" s="15"/>
      <c r="MQT245" s="15"/>
      <c r="MQU245" s="15"/>
      <c r="MQV245" s="15"/>
      <c r="MQW245" s="15"/>
      <c r="MQX245" s="15"/>
      <c r="MQY245" s="15"/>
      <c r="MQZ245" s="15"/>
      <c r="MRA245" s="15"/>
      <c r="MRB245" s="15"/>
      <c r="MRC245" s="10"/>
      <c r="MRD245" s="10"/>
      <c r="MRE245" s="21"/>
      <c r="MRF245" s="21"/>
      <c r="MRI245" s="21"/>
      <c r="MRJ245" s="15"/>
      <c r="MRK245" s="15"/>
      <c r="MRL245" s="15"/>
      <c r="MRM245" s="15"/>
      <c r="MRN245" s="15"/>
      <c r="MRO245" s="15"/>
      <c r="MRP245" s="15"/>
      <c r="MRQ245" s="15"/>
      <c r="MRR245" s="15"/>
      <c r="MRS245" s="15"/>
      <c r="MRT245" s="10"/>
      <c r="MRU245" s="10"/>
      <c r="MRV245" s="21"/>
      <c r="MRW245" s="21"/>
      <c r="MRZ245" s="21"/>
      <c r="MSA245" s="15"/>
      <c r="MSB245" s="15"/>
      <c r="MSC245" s="15"/>
      <c r="MSD245" s="15"/>
      <c r="MSE245" s="15"/>
      <c r="MSF245" s="15"/>
      <c r="MSG245" s="15"/>
      <c r="MSH245" s="15"/>
      <c r="MSI245" s="15"/>
      <c r="MSJ245" s="15"/>
      <c r="MSK245" s="10"/>
      <c r="MSL245" s="10"/>
      <c r="MSM245" s="21"/>
      <c r="MSN245" s="21"/>
      <c r="MSQ245" s="21"/>
      <c r="MSR245" s="15"/>
      <c r="MSS245" s="15"/>
      <c r="MST245" s="15"/>
      <c r="MSU245" s="15"/>
      <c r="MSV245" s="15"/>
      <c r="MSW245" s="15"/>
      <c r="MSX245" s="15"/>
      <c r="MSY245" s="15"/>
      <c r="MSZ245" s="15"/>
      <c r="MTA245" s="15"/>
      <c r="MTB245" s="10"/>
      <c r="MTC245" s="10"/>
      <c r="MTD245" s="21"/>
      <c r="MTE245" s="21"/>
      <c r="MTH245" s="21"/>
      <c r="MTI245" s="15"/>
      <c r="MTJ245" s="15"/>
      <c r="MTK245" s="15"/>
      <c r="MTL245" s="15"/>
      <c r="MTM245" s="15"/>
      <c r="MTN245" s="15"/>
      <c r="MTO245" s="15"/>
      <c r="MTP245" s="15"/>
      <c r="MTQ245" s="15"/>
      <c r="MTR245" s="15"/>
      <c r="MTS245" s="10"/>
      <c r="MTT245" s="10"/>
      <c r="MTU245" s="21"/>
      <c r="MTV245" s="21"/>
      <c r="MTY245" s="21"/>
      <c r="MTZ245" s="15"/>
      <c r="MUA245" s="15"/>
      <c r="MUB245" s="15"/>
      <c r="MUC245" s="15"/>
      <c r="MUD245" s="15"/>
      <c r="MUE245" s="15"/>
      <c r="MUF245" s="15"/>
      <c r="MUG245" s="15"/>
      <c r="MUH245" s="15"/>
      <c r="MUI245" s="15"/>
      <c r="MUJ245" s="10"/>
      <c r="MUK245" s="10"/>
      <c r="MUL245" s="21"/>
      <c r="MUM245" s="21"/>
      <c r="MUP245" s="21"/>
      <c r="MUQ245" s="15"/>
      <c r="MUR245" s="15"/>
      <c r="MUS245" s="15"/>
      <c r="MUT245" s="15"/>
      <c r="MUU245" s="15"/>
      <c r="MUV245" s="15"/>
      <c r="MUW245" s="15"/>
      <c r="MUX245" s="15"/>
      <c r="MUY245" s="15"/>
      <c r="MUZ245" s="15"/>
      <c r="MVA245" s="10"/>
      <c r="MVB245" s="10"/>
      <c r="MVC245" s="21"/>
      <c r="MVD245" s="21"/>
      <c r="MVG245" s="21"/>
      <c r="MVH245" s="15"/>
      <c r="MVI245" s="15"/>
      <c r="MVJ245" s="15"/>
      <c r="MVK245" s="15"/>
      <c r="MVL245" s="15"/>
      <c r="MVM245" s="15"/>
      <c r="MVN245" s="15"/>
      <c r="MVO245" s="15"/>
      <c r="MVP245" s="15"/>
      <c r="MVQ245" s="15"/>
      <c r="MVR245" s="10"/>
      <c r="MVS245" s="10"/>
      <c r="MVT245" s="21"/>
      <c r="MVU245" s="21"/>
      <c r="MVX245" s="21"/>
      <c r="MVY245" s="15"/>
      <c r="MVZ245" s="15"/>
      <c r="MWA245" s="15"/>
      <c r="MWB245" s="15"/>
      <c r="MWC245" s="15"/>
      <c r="MWD245" s="15"/>
      <c r="MWE245" s="15"/>
      <c r="MWF245" s="15"/>
      <c r="MWG245" s="15"/>
      <c r="MWH245" s="15"/>
      <c r="MWI245" s="10"/>
      <c r="MWJ245" s="10"/>
      <c r="MWK245" s="21"/>
      <c r="MWL245" s="21"/>
      <c r="MWO245" s="21"/>
      <c r="MWP245" s="15"/>
      <c r="MWQ245" s="15"/>
      <c r="MWR245" s="15"/>
      <c r="MWS245" s="15"/>
      <c r="MWT245" s="15"/>
      <c r="MWU245" s="15"/>
      <c r="MWV245" s="15"/>
      <c r="MWW245" s="15"/>
      <c r="MWX245" s="15"/>
      <c r="MWY245" s="15"/>
      <c r="MWZ245" s="10"/>
      <c r="MXA245" s="10"/>
      <c r="MXB245" s="21"/>
      <c r="MXC245" s="21"/>
      <c r="MXF245" s="21"/>
      <c r="MXG245" s="15"/>
      <c r="MXH245" s="15"/>
      <c r="MXI245" s="15"/>
      <c r="MXJ245" s="15"/>
      <c r="MXK245" s="15"/>
      <c r="MXL245" s="15"/>
      <c r="MXM245" s="15"/>
      <c r="MXN245" s="15"/>
      <c r="MXO245" s="15"/>
      <c r="MXP245" s="15"/>
      <c r="MXQ245" s="10"/>
      <c r="MXR245" s="10"/>
      <c r="MXS245" s="21"/>
      <c r="MXT245" s="21"/>
      <c r="MXW245" s="21"/>
      <c r="MXX245" s="15"/>
      <c r="MXY245" s="15"/>
      <c r="MXZ245" s="15"/>
      <c r="MYA245" s="15"/>
      <c r="MYB245" s="15"/>
      <c r="MYC245" s="15"/>
      <c r="MYD245" s="15"/>
      <c r="MYE245" s="15"/>
      <c r="MYF245" s="15"/>
      <c r="MYG245" s="15"/>
      <c r="MYH245" s="10"/>
      <c r="MYI245" s="10"/>
      <c r="MYJ245" s="21"/>
      <c r="MYK245" s="21"/>
      <c r="MYN245" s="21"/>
      <c r="MYO245" s="15"/>
      <c r="MYP245" s="15"/>
      <c r="MYQ245" s="15"/>
      <c r="MYR245" s="15"/>
      <c r="MYS245" s="15"/>
      <c r="MYT245" s="15"/>
      <c r="MYU245" s="15"/>
      <c r="MYV245" s="15"/>
      <c r="MYW245" s="15"/>
      <c r="MYX245" s="15"/>
      <c r="MYY245" s="10"/>
      <c r="MYZ245" s="10"/>
      <c r="MZA245" s="21"/>
      <c r="MZB245" s="21"/>
      <c r="MZE245" s="21"/>
      <c r="MZF245" s="15"/>
      <c r="MZG245" s="15"/>
      <c r="MZH245" s="15"/>
      <c r="MZI245" s="15"/>
      <c r="MZJ245" s="15"/>
      <c r="MZK245" s="15"/>
      <c r="MZL245" s="15"/>
      <c r="MZM245" s="15"/>
      <c r="MZN245" s="15"/>
      <c r="MZO245" s="15"/>
      <c r="MZP245" s="10"/>
      <c r="MZQ245" s="10"/>
      <c r="MZR245" s="21"/>
      <c r="MZS245" s="21"/>
      <c r="MZV245" s="21"/>
      <c r="MZW245" s="15"/>
      <c r="MZX245" s="15"/>
      <c r="MZY245" s="15"/>
      <c r="MZZ245" s="15"/>
      <c r="NAA245" s="15"/>
      <c r="NAB245" s="15"/>
      <c r="NAC245" s="15"/>
      <c r="NAD245" s="15"/>
      <c r="NAE245" s="15"/>
      <c r="NAF245" s="15"/>
      <c r="NAG245" s="10"/>
      <c r="NAH245" s="10"/>
      <c r="NAI245" s="21"/>
      <c r="NAJ245" s="21"/>
      <c r="NAM245" s="21"/>
      <c r="NAN245" s="15"/>
      <c r="NAO245" s="15"/>
      <c r="NAP245" s="15"/>
      <c r="NAQ245" s="15"/>
      <c r="NAR245" s="15"/>
      <c r="NAS245" s="15"/>
      <c r="NAT245" s="15"/>
      <c r="NAU245" s="15"/>
      <c r="NAV245" s="15"/>
      <c r="NAW245" s="15"/>
      <c r="NAX245" s="10"/>
      <c r="NAY245" s="10"/>
      <c r="NAZ245" s="21"/>
      <c r="NBA245" s="21"/>
      <c r="NBD245" s="21"/>
      <c r="NBE245" s="15"/>
      <c r="NBF245" s="15"/>
      <c r="NBG245" s="15"/>
      <c r="NBH245" s="15"/>
      <c r="NBI245" s="15"/>
      <c r="NBJ245" s="15"/>
      <c r="NBK245" s="15"/>
      <c r="NBL245" s="15"/>
      <c r="NBM245" s="15"/>
      <c r="NBN245" s="15"/>
      <c r="NBO245" s="10"/>
      <c r="NBP245" s="10"/>
      <c r="NBQ245" s="21"/>
      <c r="NBR245" s="21"/>
      <c r="NBU245" s="21"/>
      <c r="NBV245" s="15"/>
      <c r="NBW245" s="15"/>
      <c r="NBX245" s="15"/>
      <c r="NBY245" s="15"/>
      <c r="NBZ245" s="15"/>
      <c r="NCA245" s="15"/>
      <c r="NCB245" s="15"/>
      <c r="NCC245" s="15"/>
      <c r="NCD245" s="15"/>
      <c r="NCE245" s="15"/>
      <c r="NCF245" s="10"/>
      <c r="NCG245" s="10"/>
      <c r="NCH245" s="21"/>
      <c r="NCI245" s="21"/>
      <c r="NCL245" s="21"/>
      <c r="NCM245" s="15"/>
      <c r="NCN245" s="15"/>
      <c r="NCO245" s="15"/>
      <c r="NCP245" s="15"/>
      <c r="NCQ245" s="15"/>
      <c r="NCR245" s="15"/>
      <c r="NCS245" s="15"/>
      <c r="NCT245" s="15"/>
      <c r="NCU245" s="15"/>
      <c r="NCV245" s="15"/>
      <c r="NCW245" s="10"/>
      <c r="NCX245" s="10"/>
      <c r="NCY245" s="21"/>
      <c r="NCZ245" s="21"/>
      <c r="NDC245" s="21"/>
      <c r="NDD245" s="15"/>
      <c r="NDE245" s="15"/>
      <c r="NDF245" s="15"/>
      <c r="NDG245" s="15"/>
      <c r="NDH245" s="15"/>
      <c r="NDI245" s="15"/>
      <c r="NDJ245" s="15"/>
      <c r="NDK245" s="15"/>
      <c r="NDL245" s="15"/>
      <c r="NDM245" s="15"/>
      <c r="NDN245" s="10"/>
      <c r="NDO245" s="10"/>
      <c r="NDP245" s="21"/>
      <c r="NDQ245" s="21"/>
      <c r="NDT245" s="21"/>
      <c r="NDU245" s="15"/>
      <c r="NDV245" s="15"/>
      <c r="NDW245" s="15"/>
      <c r="NDX245" s="15"/>
      <c r="NDY245" s="15"/>
      <c r="NDZ245" s="15"/>
      <c r="NEA245" s="15"/>
      <c r="NEB245" s="15"/>
      <c r="NEC245" s="15"/>
      <c r="NED245" s="15"/>
      <c r="NEE245" s="10"/>
      <c r="NEF245" s="10"/>
      <c r="NEG245" s="21"/>
      <c r="NEH245" s="21"/>
      <c r="NEK245" s="21"/>
      <c r="NEL245" s="15"/>
      <c r="NEM245" s="15"/>
      <c r="NEN245" s="15"/>
      <c r="NEO245" s="15"/>
      <c r="NEP245" s="15"/>
      <c r="NEQ245" s="15"/>
      <c r="NER245" s="15"/>
      <c r="NES245" s="15"/>
      <c r="NET245" s="15"/>
      <c r="NEU245" s="15"/>
      <c r="NEV245" s="10"/>
      <c r="NEW245" s="10"/>
      <c r="NEX245" s="21"/>
      <c r="NEY245" s="21"/>
      <c r="NFB245" s="21"/>
      <c r="NFC245" s="15"/>
      <c r="NFD245" s="15"/>
      <c r="NFE245" s="15"/>
      <c r="NFF245" s="15"/>
      <c r="NFG245" s="15"/>
      <c r="NFH245" s="15"/>
      <c r="NFI245" s="15"/>
      <c r="NFJ245" s="15"/>
      <c r="NFK245" s="15"/>
      <c r="NFL245" s="15"/>
      <c r="NFM245" s="10"/>
      <c r="NFN245" s="10"/>
      <c r="NFO245" s="21"/>
      <c r="NFP245" s="21"/>
      <c r="NFS245" s="21"/>
      <c r="NFT245" s="15"/>
      <c r="NFU245" s="15"/>
      <c r="NFV245" s="15"/>
      <c r="NFW245" s="15"/>
      <c r="NFX245" s="15"/>
      <c r="NFY245" s="15"/>
      <c r="NFZ245" s="15"/>
      <c r="NGA245" s="15"/>
      <c r="NGB245" s="15"/>
      <c r="NGC245" s="15"/>
      <c r="NGD245" s="10"/>
      <c r="NGE245" s="10"/>
      <c r="NGF245" s="21"/>
      <c r="NGG245" s="21"/>
      <c r="NGJ245" s="21"/>
      <c r="NGK245" s="15"/>
      <c r="NGL245" s="15"/>
      <c r="NGM245" s="15"/>
      <c r="NGN245" s="15"/>
      <c r="NGO245" s="15"/>
      <c r="NGP245" s="15"/>
      <c r="NGQ245" s="15"/>
      <c r="NGR245" s="15"/>
      <c r="NGS245" s="15"/>
      <c r="NGT245" s="15"/>
      <c r="NGU245" s="10"/>
      <c r="NGV245" s="10"/>
      <c r="NGW245" s="21"/>
      <c r="NGX245" s="21"/>
      <c r="NHA245" s="21"/>
      <c r="NHB245" s="15"/>
      <c r="NHC245" s="15"/>
      <c r="NHD245" s="15"/>
      <c r="NHE245" s="15"/>
      <c r="NHF245" s="15"/>
      <c r="NHG245" s="15"/>
      <c r="NHH245" s="15"/>
      <c r="NHI245" s="15"/>
      <c r="NHJ245" s="15"/>
      <c r="NHK245" s="15"/>
      <c r="NHL245" s="10"/>
      <c r="NHM245" s="10"/>
      <c r="NHN245" s="21"/>
      <c r="NHO245" s="21"/>
      <c r="NHR245" s="21"/>
      <c r="NHS245" s="15"/>
      <c r="NHT245" s="15"/>
      <c r="NHU245" s="15"/>
      <c r="NHV245" s="15"/>
      <c r="NHW245" s="15"/>
      <c r="NHX245" s="15"/>
      <c r="NHY245" s="15"/>
      <c r="NHZ245" s="15"/>
      <c r="NIA245" s="15"/>
      <c r="NIB245" s="15"/>
      <c r="NIC245" s="10"/>
      <c r="NID245" s="10"/>
      <c r="NIE245" s="21"/>
      <c r="NIF245" s="21"/>
      <c r="NII245" s="21"/>
      <c r="NIJ245" s="15"/>
      <c r="NIK245" s="15"/>
      <c r="NIL245" s="15"/>
      <c r="NIM245" s="15"/>
      <c r="NIN245" s="15"/>
      <c r="NIO245" s="15"/>
      <c r="NIP245" s="15"/>
      <c r="NIQ245" s="15"/>
      <c r="NIR245" s="15"/>
      <c r="NIS245" s="15"/>
      <c r="NIT245" s="10"/>
      <c r="NIU245" s="10"/>
      <c r="NIV245" s="21"/>
      <c r="NIW245" s="21"/>
      <c r="NIZ245" s="21"/>
      <c r="NJA245" s="15"/>
      <c r="NJB245" s="15"/>
      <c r="NJC245" s="15"/>
      <c r="NJD245" s="15"/>
      <c r="NJE245" s="15"/>
      <c r="NJF245" s="15"/>
      <c r="NJG245" s="15"/>
      <c r="NJH245" s="15"/>
      <c r="NJI245" s="15"/>
      <c r="NJJ245" s="15"/>
      <c r="NJK245" s="10"/>
      <c r="NJL245" s="10"/>
      <c r="NJM245" s="21"/>
      <c r="NJN245" s="21"/>
      <c r="NJQ245" s="21"/>
      <c r="NJR245" s="15"/>
      <c r="NJS245" s="15"/>
      <c r="NJT245" s="15"/>
      <c r="NJU245" s="15"/>
      <c r="NJV245" s="15"/>
      <c r="NJW245" s="15"/>
      <c r="NJX245" s="15"/>
      <c r="NJY245" s="15"/>
      <c r="NJZ245" s="15"/>
      <c r="NKA245" s="15"/>
      <c r="NKB245" s="10"/>
      <c r="NKC245" s="10"/>
      <c r="NKD245" s="21"/>
      <c r="NKE245" s="21"/>
      <c r="NKH245" s="21"/>
      <c r="NKI245" s="15"/>
      <c r="NKJ245" s="15"/>
      <c r="NKK245" s="15"/>
      <c r="NKL245" s="15"/>
      <c r="NKM245" s="15"/>
      <c r="NKN245" s="15"/>
      <c r="NKO245" s="15"/>
      <c r="NKP245" s="15"/>
      <c r="NKQ245" s="15"/>
      <c r="NKR245" s="15"/>
      <c r="NKS245" s="10"/>
      <c r="NKT245" s="10"/>
      <c r="NKU245" s="21"/>
      <c r="NKV245" s="21"/>
      <c r="NKY245" s="21"/>
      <c r="NKZ245" s="15"/>
      <c r="NLA245" s="15"/>
      <c r="NLB245" s="15"/>
      <c r="NLC245" s="15"/>
      <c r="NLD245" s="15"/>
      <c r="NLE245" s="15"/>
      <c r="NLF245" s="15"/>
      <c r="NLG245" s="15"/>
      <c r="NLH245" s="15"/>
      <c r="NLI245" s="15"/>
      <c r="NLJ245" s="10"/>
      <c r="NLK245" s="10"/>
      <c r="NLL245" s="21"/>
      <c r="NLM245" s="21"/>
      <c r="NLP245" s="21"/>
      <c r="NLQ245" s="15"/>
      <c r="NLR245" s="15"/>
      <c r="NLS245" s="15"/>
      <c r="NLT245" s="15"/>
      <c r="NLU245" s="15"/>
      <c r="NLV245" s="15"/>
      <c r="NLW245" s="15"/>
      <c r="NLX245" s="15"/>
      <c r="NLY245" s="15"/>
      <c r="NLZ245" s="15"/>
      <c r="NMA245" s="10"/>
      <c r="NMB245" s="10"/>
      <c r="NMC245" s="21"/>
      <c r="NMD245" s="21"/>
      <c r="NMG245" s="21"/>
      <c r="NMH245" s="15"/>
      <c r="NMI245" s="15"/>
      <c r="NMJ245" s="15"/>
      <c r="NMK245" s="15"/>
      <c r="NML245" s="15"/>
      <c r="NMM245" s="15"/>
      <c r="NMN245" s="15"/>
      <c r="NMO245" s="15"/>
      <c r="NMP245" s="15"/>
      <c r="NMQ245" s="15"/>
      <c r="NMR245" s="10"/>
      <c r="NMS245" s="10"/>
      <c r="NMT245" s="21"/>
      <c r="NMU245" s="21"/>
      <c r="NMX245" s="21"/>
      <c r="NMY245" s="15"/>
      <c r="NMZ245" s="15"/>
      <c r="NNA245" s="15"/>
      <c r="NNB245" s="15"/>
      <c r="NNC245" s="15"/>
      <c r="NND245" s="15"/>
      <c r="NNE245" s="15"/>
      <c r="NNF245" s="15"/>
      <c r="NNG245" s="15"/>
      <c r="NNH245" s="15"/>
      <c r="NNI245" s="10"/>
      <c r="NNJ245" s="10"/>
      <c r="NNK245" s="21"/>
      <c r="NNL245" s="21"/>
      <c r="NNO245" s="21"/>
      <c r="NNP245" s="15"/>
      <c r="NNQ245" s="15"/>
      <c r="NNR245" s="15"/>
      <c r="NNS245" s="15"/>
      <c r="NNT245" s="15"/>
      <c r="NNU245" s="15"/>
      <c r="NNV245" s="15"/>
      <c r="NNW245" s="15"/>
      <c r="NNX245" s="15"/>
      <c r="NNY245" s="15"/>
      <c r="NNZ245" s="10"/>
      <c r="NOA245" s="10"/>
      <c r="NOB245" s="21"/>
      <c r="NOC245" s="21"/>
      <c r="NOF245" s="21"/>
      <c r="NOG245" s="15"/>
      <c r="NOH245" s="15"/>
      <c r="NOI245" s="15"/>
      <c r="NOJ245" s="15"/>
      <c r="NOK245" s="15"/>
      <c r="NOL245" s="15"/>
      <c r="NOM245" s="15"/>
      <c r="NON245" s="15"/>
      <c r="NOO245" s="15"/>
      <c r="NOP245" s="15"/>
      <c r="NOQ245" s="10"/>
      <c r="NOR245" s="10"/>
      <c r="NOS245" s="21"/>
      <c r="NOT245" s="21"/>
      <c r="NOW245" s="21"/>
      <c r="NOX245" s="15"/>
      <c r="NOY245" s="15"/>
      <c r="NOZ245" s="15"/>
      <c r="NPA245" s="15"/>
      <c r="NPB245" s="15"/>
      <c r="NPC245" s="15"/>
      <c r="NPD245" s="15"/>
      <c r="NPE245" s="15"/>
      <c r="NPF245" s="15"/>
      <c r="NPG245" s="15"/>
      <c r="NPH245" s="10"/>
      <c r="NPI245" s="10"/>
      <c r="NPJ245" s="21"/>
      <c r="NPK245" s="21"/>
      <c r="NPN245" s="21"/>
      <c r="NPO245" s="15"/>
      <c r="NPP245" s="15"/>
      <c r="NPQ245" s="15"/>
      <c r="NPR245" s="15"/>
      <c r="NPS245" s="15"/>
      <c r="NPT245" s="15"/>
      <c r="NPU245" s="15"/>
      <c r="NPV245" s="15"/>
      <c r="NPW245" s="15"/>
      <c r="NPX245" s="15"/>
      <c r="NPY245" s="10"/>
      <c r="NPZ245" s="10"/>
      <c r="NQA245" s="21"/>
      <c r="NQB245" s="21"/>
      <c r="NQE245" s="21"/>
      <c r="NQF245" s="15"/>
      <c r="NQG245" s="15"/>
      <c r="NQH245" s="15"/>
      <c r="NQI245" s="15"/>
      <c r="NQJ245" s="15"/>
      <c r="NQK245" s="15"/>
      <c r="NQL245" s="15"/>
      <c r="NQM245" s="15"/>
      <c r="NQN245" s="15"/>
      <c r="NQO245" s="15"/>
      <c r="NQP245" s="10"/>
      <c r="NQQ245" s="10"/>
      <c r="NQR245" s="21"/>
      <c r="NQS245" s="21"/>
      <c r="NQV245" s="21"/>
      <c r="NQW245" s="15"/>
      <c r="NQX245" s="15"/>
      <c r="NQY245" s="15"/>
      <c r="NQZ245" s="15"/>
      <c r="NRA245" s="15"/>
      <c r="NRB245" s="15"/>
      <c r="NRC245" s="15"/>
      <c r="NRD245" s="15"/>
      <c r="NRE245" s="15"/>
      <c r="NRF245" s="15"/>
      <c r="NRG245" s="10"/>
      <c r="NRH245" s="10"/>
      <c r="NRI245" s="21"/>
      <c r="NRJ245" s="21"/>
      <c r="NRM245" s="21"/>
      <c r="NRN245" s="15"/>
      <c r="NRO245" s="15"/>
      <c r="NRP245" s="15"/>
      <c r="NRQ245" s="15"/>
      <c r="NRR245" s="15"/>
      <c r="NRS245" s="15"/>
      <c r="NRT245" s="15"/>
      <c r="NRU245" s="15"/>
      <c r="NRV245" s="15"/>
      <c r="NRW245" s="15"/>
      <c r="NRX245" s="10"/>
      <c r="NRY245" s="10"/>
      <c r="NRZ245" s="21"/>
      <c r="NSA245" s="21"/>
      <c r="NSD245" s="21"/>
      <c r="NSE245" s="15"/>
      <c r="NSF245" s="15"/>
      <c r="NSG245" s="15"/>
      <c r="NSH245" s="15"/>
      <c r="NSI245" s="15"/>
      <c r="NSJ245" s="15"/>
      <c r="NSK245" s="15"/>
      <c r="NSL245" s="15"/>
      <c r="NSM245" s="15"/>
      <c r="NSN245" s="15"/>
      <c r="NSO245" s="10"/>
      <c r="NSP245" s="10"/>
      <c r="NSQ245" s="21"/>
      <c r="NSR245" s="21"/>
      <c r="NSU245" s="21"/>
      <c r="NSV245" s="15"/>
      <c r="NSW245" s="15"/>
      <c r="NSX245" s="15"/>
      <c r="NSY245" s="15"/>
      <c r="NSZ245" s="15"/>
      <c r="NTA245" s="15"/>
      <c r="NTB245" s="15"/>
      <c r="NTC245" s="15"/>
      <c r="NTD245" s="15"/>
      <c r="NTE245" s="15"/>
      <c r="NTF245" s="10"/>
      <c r="NTG245" s="10"/>
      <c r="NTH245" s="21"/>
      <c r="NTI245" s="21"/>
      <c r="NTL245" s="21"/>
      <c r="NTM245" s="15"/>
      <c r="NTN245" s="15"/>
      <c r="NTO245" s="15"/>
      <c r="NTP245" s="15"/>
      <c r="NTQ245" s="15"/>
      <c r="NTR245" s="15"/>
      <c r="NTS245" s="15"/>
      <c r="NTT245" s="15"/>
      <c r="NTU245" s="15"/>
      <c r="NTV245" s="15"/>
      <c r="NTW245" s="10"/>
      <c r="NTX245" s="10"/>
      <c r="NTY245" s="21"/>
      <c r="NTZ245" s="21"/>
      <c r="NUC245" s="21"/>
      <c r="NUD245" s="15"/>
      <c r="NUE245" s="15"/>
      <c r="NUF245" s="15"/>
      <c r="NUG245" s="15"/>
      <c r="NUH245" s="15"/>
      <c r="NUI245" s="15"/>
      <c r="NUJ245" s="15"/>
      <c r="NUK245" s="15"/>
      <c r="NUL245" s="15"/>
      <c r="NUM245" s="15"/>
      <c r="NUN245" s="10"/>
      <c r="NUO245" s="10"/>
      <c r="NUP245" s="21"/>
      <c r="NUQ245" s="21"/>
      <c r="NUT245" s="21"/>
      <c r="NUU245" s="15"/>
      <c r="NUV245" s="15"/>
      <c r="NUW245" s="15"/>
      <c r="NUX245" s="15"/>
      <c r="NUY245" s="15"/>
      <c r="NUZ245" s="15"/>
      <c r="NVA245" s="15"/>
      <c r="NVB245" s="15"/>
      <c r="NVC245" s="15"/>
      <c r="NVD245" s="15"/>
      <c r="NVE245" s="10"/>
      <c r="NVF245" s="10"/>
      <c r="NVG245" s="21"/>
      <c r="NVH245" s="21"/>
      <c r="NVK245" s="21"/>
      <c r="NVL245" s="15"/>
      <c r="NVM245" s="15"/>
      <c r="NVN245" s="15"/>
      <c r="NVO245" s="15"/>
      <c r="NVP245" s="15"/>
      <c r="NVQ245" s="15"/>
      <c r="NVR245" s="15"/>
      <c r="NVS245" s="15"/>
      <c r="NVT245" s="15"/>
      <c r="NVU245" s="15"/>
      <c r="NVV245" s="10"/>
      <c r="NVW245" s="10"/>
      <c r="NVX245" s="21"/>
      <c r="NVY245" s="21"/>
      <c r="NWB245" s="21"/>
      <c r="NWC245" s="15"/>
      <c r="NWD245" s="15"/>
      <c r="NWE245" s="15"/>
      <c r="NWF245" s="15"/>
      <c r="NWG245" s="15"/>
      <c r="NWH245" s="15"/>
      <c r="NWI245" s="15"/>
      <c r="NWJ245" s="15"/>
      <c r="NWK245" s="15"/>
      <c r="NWL245" s="15"/>
      <c r="NWM245" s="10"/>
      <c r="NWN245" s="10"/>
      <c r="NWO245" s="21"/>
      <c r="NWP245" s="21"/>
      <c r="NWS245" s="21"/>
      <c r="NWT245" s="15"/>
      <c r="NWU245" s="15"/>
      <c r="NWV245" s="15"/>
      <c r="NWW245" s="15"/>
      <c r="NWX245" s="15"/>
      <c r="NWY245" s="15"/>
      <c r="NWZ245" s="15"/>
      <c r="NXA245" s="15"/>
      <c r="NXB245" s="15"/>
      <c r="NXC245" s="15"/>
      <c r="NXD245" s="10"/>
      <c r="NXE245" s="10"/>
      <c r="NXF245" s="21"/>
      <c r="NXG245" s="21"/>
      <c r="NXJ245" s="21"/>
      <c r="NXK245" s="15"/>
      <c r="NXL245" s="15"/>
      <c r="NXM245" s="15"/>
      <c r="NXN245" s="15"/>
      <c r="NXO245" s="15"/>
      <c r="NXP245" s="15"/>
      <c r="NXQ245" s="15"/>
      <c r="NXR245" s="15"/>
      <c r="NXS245" s="15"/>
      <c r="NXT245" s="15"/>
      <c r="NXU245" s="10"/>
      <c r="NXV245" s="10"/>
      <c r="NXW245" s="21"/>
      <c r="NXX245" s="21"/>
      <c r="NYA245" s="21"/>
      <c r="NYB245" s="15"/>
      <c r="NYC245" s="15"/>
      <c r="NYD245" s="15"/>
      <c r="NYE245" s="15"/>
      <c r="NYF245" s="15"/>
      <c r="NYG245" s="15"/>
      <c r="NYH245" s="15"/>
      <c r="NYI245" s="15"/>
      <c r="NYJ245" s="15"/>
      <c r="NYK245" s="15"/>
      <c r="NYL245" s="10"/>
      <c r="NYM245" s="10"/>
      <c r="NYN245" s="21"/>
      <c r="NYO245" s="21"/>
      <c r="NYR245" s="21"/>
      <c r="NYS245" s="15"/>
      <c r="NYT245" s="15"/>
      <c r="NYU245" s="15"/>
      <c r="NYV245" s="15"/>
      <c r="NYW245" s="15"/>
      <c r="NYX245" s="15"/>
      <c r="NYY245" s="15"/>
      <c r="NYZ245" s="15"/>
      <c r="NZA245" s="15"/>
      <c r="NZB245" s="15"/>
      <c r="NZC245" s="10"/>
      <c r="NZD245" s="10"/>
      <c r="NZE245" s="21"/>
      <c r="NZF245" s="21"/>
      <c r="NZI245" s="21"/>
      <c r="NZJ245" s="15"/>
      <c r="NZK245" s="15"/>
      <c r="NZL245" s="15"/>
      <c r="NZM245" s="15"/>
      <c r="NZN245" s="15"/>
      <c r="NZO245" s="15"/>
      <c r="NZP245" s="15"/>
      <c r="NZQ245" s="15"/>
      <c r="NZR245" s="15"/>
      <c r="NZS245" s="15"/>
      <c r="NZT245" s="10"/>
      <c r="NZU245" s="10"/>
      <c r="NZV245" s="21"/>
      <c r="NZW245" s="21"/>
      <c r="NZZ245" s="21"/>
      <c r="OAA245" s="15"/>
      <c r="OAB245" s="15"/>
      <c r="OAC245" s="15"/>
      <c r="OAD245" s="15"/>
      <c r="OAE245" s="15"/>
      <c r="OAF245" s="15"/>
      <c r="OAG245" s="15"/>
      <c r="OAH245" s="15"/>
      <c r="OAI245" s="15"/>
      <c r="OAJ245" s="15"/>
      <c r="OAK245" s="10"/>
      <c r="OAL245" s="10"/>
      <c r="OAM245" s="21"/>
      <c r="OAN245" s="21"/>
      <c r="OAQ245" s="21"/>
      <c r="OAR245" s="15"/>
      <c r="OAS245" s="15"/>
      <c r="OAT245" s="15"/>
      <c r="OAU245" s="15"/>
      <c r="OAV245" s="15"/>
      <c r="OAW245" s="15"/>
      <c r="OAX245" s="15"/>
      <c r="OAY245" s="15"/>
      <c r="OAZ245" s="15"/>
      <c r="OBA245" s="15"/>
      <c r="OBB245" s="10"/>
      <c r="OBC245" s="10"/>
      <c r="OBD245" s="21"/>
      <c r="OBE245" s="21"/>
      <c r="OBH245" s="21"/>
      <c r="OBI245" s="15"/>
      <c r="OBJ245" s="15"/>
      <c r="OBK245" s="15"/>
      <c r="OBL245" s="15"/>
      <c r="OBM245" s="15"/>
      <c r="OBN245" s="15"/>
      <c r="OBO245" s="15"/>
      <c r="OBP245" s="15"/>
      <c r="OBQ245" s="15"/>
      <c r="OBR245" s="15"/>
      <c r="OBS245" s="10"/>
      <c r="OBT245" s="10"/>
      <c r="OBU245" s="21"/>
      <c r="OBV245" s="21"/>
      <c r="OBY245" s="21"/>
      <c r="OBZ245" s="15"/>
      <c r="OCA245" s="15"/>
      <c r="OCB245" s="15"/>
      <c r="OCC245" s="15"/>
      <c r="OCD245" s="15"/>
      <c r="OCE245" s="15"/>
      <c r="OCF245" s="15"/>
      <c r="OCG245" s="15"/>
      <c r="OCH245" s="15"/>
      <c r="OCI245" s="15"/>
      <c r="OCJ245" s="10"/>
      <c r="OCK245" s="10"/>
      <c r="OCL245" s="21"/>
      <c r="OCM245" s="21"/>
      <c r="OCP245" s="21"/>
      <c r="OCQ245" s="15"/>
      <c r="OCR245" s="15"/>
      <c r="OCS245" s="15"/>
      <c r="OCT245" s="15"/>
      <c r="OCU245" s="15"/>
      <c r="OCV245" s="15"/>
      <c r="OCW245" s="15"/>
      <c r="OCX245" s="15"/>
      <c r="OCY245" s="15"/>
      <c r="OCZ245" s="15"/>
      <c r="ODA245" s="10"/>
      <c r="ODB245" s="10"/>
      <c r="ODC245" s="21"/>
      <c r="ODD245" s="21"/>
      <c r="ODG245" s="21"/>
      <c r="ODH245" s="15"/>
      <c r="ODI245" s="15"/>
      <c r="ODJ245" s="15"/>
      <c r="ODK245" s="15"/>
      <c r="ODL245" s="15"/>
      <c r="ODM245" s="15"/>
      <c r="ODN245" s="15"/>
      <c r="ODO245" s="15"/>
      <c r="ODP245" s="15"/>
      <c r="ODQ245" s="15"/>
      <c r="ODR245" s="10"/>
      <c r="ODS245" s="10"/>
      <c r="ODT245" s="21"/>
      <c r="ODU245" s="21"/>
      <c r="ODX245" s="21"/>
      <c r="ODY245" s="15"/>
      <c r="ODZ245" s="15"/>
      <c r="OEA245" s="15"/>
      <c r="OEB245" s="15"/>
      <c r="OEC245" s="15"/>
      <c r="OED245" s="15"/>
      <c r="OEE245" s="15"/>
      <c r="OEF245" s="15"/>
      <c r="OEG245" s="15"/>
      <c r="OEH245" s="15"/>
      <c r="OEI245" s="10"/>
      <c r="OEJ245" s="10"/>
      <c r="OEK245" s="21"/>
      <c r="OEL245" s="21"/>
      <c r="OEO245" s="21"/>
      <c r="OEP245" s="15"/>
      <c r="OEQ245" s="15"/>
      <c r="OER245" s="15"/>
      <c r="OES245" s="15"/>
      <c r="OET245" s="15"/>
      <c r="OEU245" s="15"/>
      <c r="OEV245" s="15"/>
      <c r="OEW245" s="15"/>
      <c r="OEX245" s="15"/>
      <c r="OEY245" s="15"/>
      <c r="OEZ245" s="10"/>
      <c r="OFA245" s="10"/>
      <c r="OFB245" s="21"/>
      <c r="OFC245" s="21"/>
      <c r="OFF245" s="21"/>
      <c r="OFG245" s="15"/>
      <c r="OFH245" s="15"/>
      <c r="OFI245" s="15"/>
      <c r="OFJ245" s="15"/>
      <c r="OFK245" s="15"/>
      <c r="OFL245" s="15"/>
      <c r="OFM245" s="15"/>
      <c r="OFN245" s="15"/>
      <c r="OFO245" s="15"/>
      <c r="OFP245" s="15"/>
      <c r="OFQ245" s="10"/>
      <c r="OFR245" s="10"/>
      <c r="OFS245" s="21"/>
      <c r="OFT245" s="21"/>
      <c r="OFW245" s="21"/>
      <c r="OFX245" s="15"/>
      <c r="OFY245" s="15"/>
      <c r="OFZ245" s="15"/>
      <c r="OGA245" s="15"/>
      <c r="OGB245" s="15"/>
      <c r="OGC245" s="15"/>
      <c r="OGD245" s="15"/>
      <c r="OGE245" s="15"/>
      <c r="OGF245" s="15"/>
      <c r="OGG245" s="15"/>
      <c r="OGH245" s="10"/>
      <c r="OGI245" s="10"/>
      <c r="OGJ245" s="21"/>
      <c r="OGK245" s="21"/>
      <c r="OGN245" s="21"/>
      <c r="OGO245" s="15"/>
      <c r="OGP245" s="15"/>
      <c r="OGQ245" s="15"/>
      <c r="OGR245" s="15"/>
      <c r="OGS245" s="15"/>
      <c r="OGT245" s="15"/>
      <c r="OGU245" s="15"/>
      <c r="OGV245" s="15"/>
      <c r="OGW245" s="15"/>
      <c r="OGX245" s="15"/>
      <c r="OGY245" s="10"/>
      <c r="OGZ245" s="10"/>
      <c r="OHA245" s="21"/>
      <c r="OHB245" s="21"/>
      <c r="OHE245" s="21"/>
      <c r="OHF245" s="15"/>
      <c r="OHG245" s="15"/>
      <c r="OHH245" s="15"/>
      <c r="OHI245" s="15"/>
      <c r="OHJ245" s="15"/>
      <c r="OHK245" s="15"/>
      <c r="OHL245" s="15"/>
      <c r="OHM245" s="15"/>
      <c r="OHN245" s="15"/>
      <c r="OHO245" s="15"/>
      <c r="OHP245" s="10"/>
      <c r="OHQ245" s="10"/>
      <c r="OHR245" s="21"/>
      <c r="OHS245" s="21"/>
      <c r="OHV245" s="21"/>
      <c r="OHW245" s="15"/>
      <c r="OHX245" s="15"/>
      <c r="OHY245" s="15"/>
      <c r="OHZ245" s="15"/>
      <c r="OIA245" s="15"/>
      <c r="OIB245" s="15"/>
      <c r="OIC245" s="15"/>
      <c r="OID245" s="15"/>
      <c r="OIE245" s="15"/>
      <c r="OIF245" s="15"/>
      <c r="OIG245" s="10"/>
      <c r="OIH245" s="10"/>
      <c r="OII245" s="21"/>
      <c r="OIJ245" s="21"/>
      <c r="OIM245" s="21"/>
      <c r="OIN245" s="15"/>
      <c r="OIO245" s="15"/>
      <c r="OIP245" s="15"/>
      <c r="OIQ245" s="15"/>
      <c r="OIR245" s="15"/>
      <c r="OIS245" s="15"/>
      <c r="OIT245" s="15"/>
      <c r="OIU245" s="15"/>
      <c r="OIV245" s="15"/>
      <c r="OIW245" s="15"/>
      <c r="OIX245" s="10"/>
      <c r="OIY245" s="10"/>
      <c r="OIZ245" s="21"/>
      <c r="OJA245" s="21"/>
      <c r="OJD245" s="21"/>
      <c r="OJE245" s="15"/>
      <c r="OJF245" s="15"/>
      <c r="OJG245" s="15"/>
      <c r="OJH245" s="15"/>
      <c r="OJI245" s="15"/>
      <c r="OJJ245" s="15"/>
      <c r="OJK245" s="15"/>
      <c r="OJL245" s="15"/>
      <c r="OJM245" s="15"/>
      <c r="OJN245" s="15"/>
      <c r="OJO245" s="10"/>
      <c r="OJP245" s="10"/>
      <c r="OJQ245" s="21"/>
      <c r="OJR245" s="21"/>
      <c r="OJU245" s="21"/>
      <c r="OJV245" s="15"/>
      <c r="OJW245" s="15"/>
      <c r="OJX245" s="15"/>
      <c r="OJY245" s="15"/>
      <c r="OJZ245" s="15"/>
      <c r="OKA245" s="15"/>
      <c r="OKB245" s="15"/>
      <c r="OKC245" s="15"/>
      <c r="OKD245" s="15"/>
      <c r="OKE245" s="15"/>
      <c r="OKF245" s="10"/>
      <c r="OKG245" s="10"/>
      <c r="OKH245" s="21"/>
      <c r="OKI245" s="21"/>
      <c r="OKL245" s="21"/>
      <c r="OKM245" s="15"/>
      <c r="OKN245" s="15"/>
      <c r="OKO245" s="15"/>
      <c r="OKP245" s="15"/>
      <c r="OKQ245" s="15"/>
      <c r="OKR245" s="15"/>
      <c r="OKS245" s="15"/>
      <c r="OKT245" s="15"/>
      <c r="OKU245" s="15"/>
      <c r="OKV245" s="15"/>
      <c r="OKW245" s="10"/>
      <c r="OKX245" s="10"/>
      <c r="OKY245" s="21"/>
      <c r="OKZ245" s="21"/>
      <c r="OLC245" s="21"/>
      <c r="OLD245" s="15"/>
      <c r="OLE245" s="15"/>
      <c r="OLF245" s="15"/>
      <c r="OLG245" s="15"/>
      <c r="OLH245" s="15"/>
      <c r="OLI245" s="15"/>
      <c r="OLJ245" s="15"/>
      <c r="OLK245" s="15"/>
      <c r="OLL245" s="15"/>
      <c r="OLM245" s="15"/>
      <c r="OLN245" s="10"/>
      <c r="OLO245" s="10"/>
      <c r="OLP245" s="21"/>
      <c r="OLQ245" s="21"/>
      <c r="OLT245" s="21"/>
      <c r="OLU245" s="15"/>
      <c r="OLV245" s="15"/>
      <c r="OLW245" s="15"/>
      <c r="OLX245" s="15"/>
      <c r="OLY245" s="15"/>
      <c r="OLZ245" s="15"/>
      <c r="OMA245" s="15"/>
      <c r="OMB245" s="15"/>
      <c r="OMC245" s="15"/>
      <c r="OMD245" s="15"/>
      <c r="OME245" s="10"/>
      <c r="OMF245" s="10"/>
      <c r="OMG245" s="21"/>
      <c r="OMH245" s="21"/>
      <c r="OMK245" s="21"/>
      <c r="OML245" s="15"/>
      <c r="OMM245" s="15"/>
      <c r="OMN245" s="15"/>
      <c r="OMO245" s="15"/>
      <c r="OMP245" s="15"/>
      <c r="OMQ245" s="15"/>
      <c r="OMR245" s="15"/>
      <c r="OMS245" s="15"/>
      <c r="OMT245" s="15"/>
      <c r="OMU245" s="15"/>
      <c r="OMV245" s="10"/>
      <c r="OMW245" s="10"/>
      <c r="OMX245" s="21"/>
      <c r="OMY245" s="21"/>
      <c r="ONB245" s="21"/>
      <c r="ONC245" s="15"/>
      <c r="OND245" s="15"/>
      <c r="ONE245" s="15"/>
      <c r="ONF245" s="15"/>
      <c r="ONG245" s="15"/>
      <c r="ONH245" s="15"/>
      <c r="ONI245" s="15"/>
      <c r="ONJ245" s="15"/>
      <c r="ONK245" s="15"/>
      <c r="ONL245" s="15"/>
      <c r="ONM245" s="10"/>
      <c r="ONN245" s="10"/>
      <c r="ONO245" s="21"/>
      <c r="ONP245" s="21"/>
      <c r="ONS245" s="21"/>
      <c r="ONT245" s="15"/>
      <c r="ONU245" s="15"/>
      <c r="ONV245" s="15"/>
      <c r="ONW245" s="15"/>
      <c r="ONX245" s="15"/>
      <c r="ONY245" s="15"/>
      <c r="ONZ245" s="15"/>
      <c r="OOA245" s="15"/>
      <c r="OOB245" s="15"/>
      <c r="OOC245" s="15"/>
      <c r="OOD245" s="10"/>
      <c r="OOE245" s="10"/>
      <c r="OOF245" s="21"/>
      <c r="OOG245" s="21"/>
      <c r="OOJ245" s="21"/>
      <c r="OOK245" s="15"/>
      <c r="OOL245" s="15"/>
      <c r="OOM245" s="15"/>
      <c r="OON245" s="15"/>
      <c r="OOO245" s="15"/>
      <c r="OOP245" s="15"/>
      <c r="OOQ245" s="15"/>
      <c r="OOR245" s="15"/>
      <c r="OOS245" s="15"/>
      <c r="OOT245" s="15"/>
      <c r="OOU245" s="10"/>
      <c r="OOV245" s="10"/>
      <c r="OOW245" s="21"/>
      <c r="OOX245" s="21"/>
      <c r="OPA245" s="21"/>
      <c r="OPB245" s="15"/>
      <c r="OPC245" s="15"/>
      <c r="OPD245" s="15"/>
      <c r="OPE245" s="15"/>
      <c r="OPF245" s="15"/>
      <c r="OPG245" s="15"/>
      <c r="OPH245" s="15"/>
      <c r="OPI245" s="15"/>
      <c r="OPJ245" s="15"/>
      <c r="OPK245" s="15"/>
      <c r="OPL245" s="10"/>
      <c r="OPM245" s="10"/>
      <c r="OPN245" s="21"/>
      <c r="OPO245" s="21"/>
      <c r="OPR245" s="21"/>
      <c r="OPS245" s="15"/>
      <c r="OPT245" s="15"/>
      <c r="OPU245" s="15"/>
      <c r="OPV245" s="15"/>
      <c r="OPW245" s="15"/>
      <c r="OPX245" s="15"/>
      <c r="OPY245" s="15"/>
      <c r="OPZ245" s="15"/>
      <c r="OQA245" s="15"/>
      <c r="OQB245" s="15"/>
      <c r="OQC245" s="10"/>
      <c r="OQD245" s="10"/>
      <c r="OQE245" s="21"/>
      <c r="OQF245" s="21"/>
      <c r="OQI245" s="21"/>
      <c r="OQJ245" s="15"/>
      <c r="OQK245" s="15"/>
      <c r="OQL245" s="15"/>
      <c r="OQM245" s="15"/>
      <c r="OQN245" s="15"/>
      <c r="OQO245" s="15"/>
      <c r="OQP245" s="15"/>
      <c r="OQQ245" s="15"/>
      <c r="OQR245" s="15"/>
      <c r="OQS245" s="15"/>
      <c r="OQT245" s="10"/>
      <c r="OQU245" s="10"/>
      <c r="OQV245" s="21"/>
      <c r="OQW245" s="21"/>
      <c r="OQZ245" s="21"/>
      <c r="ORA245" s="15"/>
      <c r="ORB245" s="15"/>
      <c r="ORC245" s="15"/>
      <c r="ORD245" s="15"/>
      <c r="ORE245" s="15"/>
      <c r="ORF245" s="15"/>
      <c r="ORG245" s="15"/>
      <c r="ORH245" s="15"/>
      <c r="ORI245" s="15"/>
      <c r="ORJ245" s="15"/>
      <c r="ORK245" s="10"/>
      <c r="ORL245" s="10"/>
      <c r="ORM245" s="21"/>
      <c r="ORN245" s="21"/>
      <c r="ORQ245" s="21"/>
      <c r="ORR245" s="15"/>
      <c r="ORS245" s="15"/>
      <c r="ORT245" s="15"/>
      <c r="ORU245" s="15"/>
      <c r="ORV245" s="15"/>
      <c r="ORW245" s="15"/>
      <c r="ORX245" s="15"/>
      <c r="ORY245" s="15"/>
      <c r="ORZ245" s="15"/>
      <c r="OSA245" s="15"/>
      <c r="OSB245" s="10"/>
      <c r="OSC245" s="10"/>
      <c r="OSD245" s="21"/>
      <c r="OSE245" s="21"/>
      <c r="OSH245" s="21"/>
      <c r="OSI245" s="15"/>
      <c r="OSJ245" s="15"/>
      <c r="OSK245" s="15"/>
      <c r="OSL245" s="15"/>
      <c r="OSM245" s="15"/>
      <c r="OSN245" s="15"/>
      <c r="OSO245" s="15"/>
      <c r="OSP245" s="15"/>
      <c r="OSQ245" s="15"/>
      <c r="OSR245" s="15"/>
      <c r="OSS245" s="10"/>
      <c r="OST245" s="10"/>
      <c r="OSU245" s="21"/>
      <c r="OSV245" s="21"/>
      <c r="OSY245" s="21"/>
      <c r="OSZ245" s="15"/>
      <c r="OTA245" s="15"/>
      <c r="OTB245" s="15"/>
      <c r="OTC245" s="15"/>
      <c r="OTD245" s="15"/>
      <c r="OTE245" s="15"/>
      <c r="OTF245" s="15"/>
      <c r="OTG245" s="15"/>
      <c r="OTH245" s="15"/>
      <c r="OTI245" s="15"/>
      <c r="OTJ245" s="10"/>
      <c r="OTK245" s="10"/>
      <c r="OTL245" s="21"/>
      <c r="OTM245" s="21"/>
      <c r="OTP245" s="21"/>
      <c r="OTQ245" s="15"/>
      <c r="OTR245" s="15"/>
      <c r="OTS245" s="15"/>
      <c r="OTT245" s="15"/>
      <c r="OTU245" s="15"/>
      <c r="OTV245" s="15"/>
      <c r="OTW245" s="15"/>
      <c r="OTX245" s="15"/>
      <c r="OTY245" s="15"/>
      <c r="OTZ245" s="15"/>
      <c r="OUA245" s="10"/>
      <c r="OUB245" s="10"/>
      <c r="OUC245" s="21"/>
      <c r="OUD245" s="21"/>
      <c r="OUG245" s="21"/>
      <c r="OUH245" s="15"/>
      <c r="OUI245" s="15"/>
      <c r="OUJ245" s="15"/>
      <c r="OUK245" s="15"/>
      <c r="OUL245" s="15"/>
      <c r="OUM245" s="15"/>
      <c r="OUN245" s="15"/>
      <c r="OUO245" s="15"/>
      <c r="OUP245" s="15"/>
      <c r="OUQ245" s="15"/>
      <c r="OUR245" s="10"/>
      <c r="OUS245" s="10"/>
      <c r="OUT245" s="21"/>
      <c r="OUU245" s="21"/>
      <c r="OUX245" s="21"/>
      <c r="OUY245" s="15"/>
      <c r="OUZ245" s="15"/>
      <c r="OVA245" s="15"/>
      <c r="OVB245" s="15"/>
      <c r="OVC245" s="15"/>
      <c r="OVD245" s="15"/>
      <c r="OVE245" s="15"/>
      <c r="OVF245" s="15"/>
      <c r="OVG245" s="15"/>
      <c r="OVH245" s="15"/>
      <c r="OVI245" s="10"/>
      <c r="OVJ245" s="10"/>
      <c r="OVK245" s="21"/>
      <c r="OVL245" s="21"/>
      <c r="OVO245" s="21"/>
      <c r="OVP245" s="15"/>
      <c r="OVQ245" s="15"/>
      <c r="OVR245" s="15"/>
      <c r="OVS245" s="15"/>
      <c r="OVT245" s="15"/>
      <c r="OVU245" s="15"/>
      <c r="OVV245" s="15"/>
      <c r="OVW245" s="15"/>
      <c r="OVX245" s="15"/>
      <c r="OVY245" s="15"/>
      <c r="OVZ245" s="10"/>
      <c r="OWA245" s="10"/>
      <c r="OWB245" s="21"/>
      <c r="OWC245" s="21"/>
      <c r="OWF245" s="21"/>
      <c r="OWG245" s="15"/>
      <c r="OWH245" s="15"/>
      <c r="OWI245" s="15"/>
      <c r="OWJ245" s="15"/>
      <c r="OWK245" s="15"/>
      <c r="OWL245" s="15"/>
      <c r="OWM245" s="15"/>
      <c r="OWN245" s="15"/>
      <c r="OWO245" s="15"/>
      <c r="OWP245" s="15"/>
      <c r="OWQ245" s="10"/>
      <c r="OWR245" s="10"/>
      <c r="OWS245" s="21"/>
      <c r="OWT245" s="21"/>
      <c r="OWW245" s="21"/>
      <c r="OWX245" s="15"/>
      <c r="OWY245" s="15"/>
      <c r="OWZ245" s="15"/>
      <c r="OXA245" s="15"/>
      <c r="OXB245" s="15"/>
      <c r="OXC245" s="15"/>
      <c r="OXD245" s="15"/>
      <c r="OXE245" s="15"/>
      <c r="OXF245" s="15"/>
      <c r="OXG245" s="15"/>
      <c r="OXH245" s="10"/>
      <c r="OXI245" s="10"/>
      <c r="OXJ245" s="21"/>
      <c r="OXK245" s="21"/>
      <c r="OXN245" s="21"/>
      <c r="OXO245" s="15"/>
      <c r="OXP245" s="15"/>
      <c r="OXQ245" s="15"/>
      <c r="OXR245" s="15"/>
      <c r="OXS245" s="15"/>
      <c r="OXT245" s="15"/>
      <c r="OXU245" s="15"/>
      <c r="OXV245" s="15"/>
      <c r="OXW245" s="15"/>
      <c r="OXX245" s="15"/>
      <c r="OXY245" s="10"/>
      <c r="OXZ245" s="10"/>
      <c r="OYA245" s="21"/>
      <c r="OYB245" s="21"/>
      <c r="OYE245" s="21"/>
      <c r="OYF245" s="15"/>
      <c r="OYG245" s="15"/>
      <c r="OYH245" s="15"/>
      <c r="OYI245" s="15"/>
      <c r="OYJ245" s="15"/>
      <c r="OYK245" s="15"/>
      <c r="OYL245" s="15"/>
      <c r="OYM245" s="15"/>
      <c r="OYN245" s="15"/>
      <c r="OYO245" s="15"/>
      <c r="OYP245" s="10"/>
      <c r="OYQ245" s="10"/>
      <c r="OYR245" s="21"/>
      <c r="OYS245" s="21"/>
      <c r="OYV245" s="21"/>
      <c r="OYW245" s="15"/>
      <c r="OYX245" s="15"/>
      <c r="OYY245" s="15"/>
      <c r="OYZ245" s="15"/>
      <c r="OZA245" s="15"/>
      <c r="OZB245" s="15"/>
      <c r="OZC245" s="15"/>
      <c r="OZD245" s="15"/>
      <c r="OZE245" s="15"/>
      <c r="OZF245" s="15"/>
      <c r="OZG245" s="10"/>
      <c r="OZH245" s="10"/>
      <c r="OZI245" s="21"/>
      <c r="OZJ245" s="21"/>
      <c r="OZM245" s="21"/>
      <c r="OZN245" s="15"/>
      <c r="OZO245" s="15"/>
      <c r="OZP245" s="15"/>
      <c r="OZQ245" s="15"/>
      <c r="OZR245" s="15"/>
      <c r="OZS245" s="15"/>
      <c r="OZT245" s="15"/>
      <c r="OZU245" s="15"/>
      <c r="OZV245" s="15"/>
      <c r="OZW245" s="15"/>
      <c r="OZX245" s="10"/>
      <c r="OZY245" s="10"/>
      <c r="OZZ245" s="21"/>
      <c r="PAA245" s="21"/>
      <c r="PAD245" s="21"/>
      <c r="PAE245" s="15"/>
      <c r="PAF245" s="15"/>
      <c r="PAG245" s="15"/>
      <c r="PAH245" s="15"/>
      <c r="PAI245" s="15"/>
      <c r="PAJ245" s="15"/>
      <c r="PAK245" s="15"/>
      <c r="PAL245" s="15"/>
      <c r="PAM245" s="15"/>
      <c r="PAN245" s="15"/>
      <c r="PAO245" s="10"/>
      <c r="PAP245" s="10"/>
      <c r="PAQ245" s="21"/>
      <c r="PAR245" s="21"/>
      <c r="PAU245" s="21"/>
      <c r="PAV245" s="15"/>
      <c r="PAW245" s="15"/>
      <c r="PAX245" s="15"/>
      <c r="PAY245" s="15"/>
      <c r="PAZ245" s="15"/>
      <c r="PBA245" s="15"/>
      <c r="PBB245" s="15"/>
      <c r="PBC245" s="15"/>
      <c r="PBD245" s="15"/>
      <c r="PBE245" s="15"/>
      <c r="PBF245" s="10"/>
      <c r="PBG245" s="10"/>
      <c r="PBH245" s="21"/>
      <c r="PBI245" s="21"/>
      <c r="PBL245" s="21"/>
      <c r="PBM245" s="15"/>
      <c r="PBN245" s="15"/>
      <c r="PBO245" s="15"/>
      <c r="PBP245" s="15"/>
      <c r="PBQ245" s="15"/>
      <c r="PBR245" s="15"/>
      <c r="PBS245" s="15"/>
      <c r="PBT245" s="15"/>
      <c r="PBU245" s="15"/>
      <c r="PBV245" s="15"/>
      <c r="PBW245" s="10"/>
      <c r="PBX245" s="10"/>
      <c r="PBY245" s="21"/>
      <c r="PBZ245" s="21"/>
      <c r="PCC245" s="21"/>
      <c r="PCD245" s="15"/>
      <c r="PCE245" s="15"/>
      <c r="PCF245" s="15"/>
      <c r="PCG245" s="15"/>
      <c r="PCH245" s="15"/>
      <c r="PCI245" s="15"/>
      <c r="PCJ245" s="15"/>
      <c r="PCK245" s="15"/>
      <c r="PCL245" s="15"/>
      <c r="PCM245" s="15"/>
      <c r="PCN245" s="10"/>
      <c r="PCO245" s="10"/>
      <c r="PCP245" s="21"/>
      <c r="PCQ245" s="21"/>
      <c r="PCT245" s="21"/>
      <c r="PCU245" s="15"/>
      <c r="PCV245" s="15"/>
      <c r="PCW245" s="15"/>
      <c r="PCX245" s="15"/>
      <c r="PCY245" s="15"/>
      <c r="PCZ245" s="15"/>
      <c r="PDA245" s="15"/>
      <c r="PDB245" s="15"/>
      <c r="PDC245" s="15"/>
      <c r="PDD245" s="15"/>
      <c r="PDE245" s="10"/>
      <c r="PDF245" s="10"/>
      <c r="PDG245" s="21"/>
      <c r="PDH245" s="21"/>
      <c r="PDK245" s="21"/>
      <c r="PDL245" s="15"/>
      <c r="PDM245" s="15"/>
      <c r="PDN245" s="15"/>
      <c r="PDO245" s="15"/>
      <c r="PDP245" s="15"/>
      <c r="PDQ245" s="15"/>
      <c r="PDR245" s="15"/>
      <c r="PDS245" s="15"/>
      <c r="PDT245" s="15"/>
      <c r="PDU245" s="15"/>
      <c r="PDV245" s="10"/>
      <c r="PDW245" s="10"/>
      <c r="PDX245" s="21"/>
      <c r="PDY245" s="21"/>
      <c r="PEB245" s="21"/>
      <c r="PEC245" s="15"/>
      <c r="PED245" s="15"/>
      <c r="PEE245" s="15"/>
      <c r="PEF245" s="15"/>
      <c r="PEG245" s="15"/>
      <c r="PEH245" s="15"/>
      <c r="PEI245" s="15"/>
      <c r="PEJ245" s="15"/>
      <c r="PEK245" s="15"/>
      <c r="PEL245" s="15"/>
      <c r="PEM245" s="10"/>
      <c r="PEN245" s="10"/>
      <c r="PEO245" s="21"/>
      <c r="PEP245" s="21"/>
      <c r="PES245" s="21"/>
      <c r="PET245" s="15"/>
      <c r="PEU245" s="15"/>
      <c r="PEV245" s="15"/>
      <c r="PEW245" s="15"/>
      <c r="PEX245" s="15"/>
      <c r="PEY245" s="15"/>
      <c r="PEZ245" s="15"/>
      <c r="PFA245" s="15"/>
      <c r="PFB245" s="15"/>
      <c r="PFC245" s="15"/>
      <c r="PFD245" s="10"/>
      <c r="PFE245" s="10"/>
      <c r="PFF245" s="21"/>
      <c r="PFG245" s="21"/>
      <c r="PFJ245" s="21"/>
      <c r="PFK245" s="15"/>
      <c r="PFL245" s="15"/>
      <c r="PFM245" s="15"/>
      <c r="PFN245" s="15"/>
      <c r="PFO245" s="15"/>
      <c r="PFP245" s="15"/>
      <c r="PFQ245" s="15"/>
      <c r="PFR245" s="15"/>
      <c r="PFS245" s="15"/>
      <c r="PFT245" s="15"/>
      <c r="PFU245" s="10"/>
      <c r="PFV245" s="10"/>
      <c r="PFW245" s="21"/>
      <c r="PFX245" s="21"/>
      <c r="PGA245" s="21"/>
      <c r="PGB245" s="15"/>
      <c r="PGC245" s="15"/>
      <c r="PGD245" s="15"/>
      <c r="PGE245" s="15"/>
      <c r="PGF245" s="15"/>
      <c r="PGG245" s="15"/>
      <c r="PGH245" s="15"/>
      <c r="PGI245" s="15"/>
      <c r="PGJ245" s="15"/>
      <c r="PGK245" s="15"/>
      <c r="PGL245" s="10"/>
      <c r="PGM245" s="10"/>
      <c r="PGN245" s="21"/>
      <c r="PGO245" s="21"/>
      <c r="PGR245" s="21"/>
      <c r="PGS245" s="15"/>
      <c r="PGT245" s="15"/>
      <c r="PGU245" s="15"/>
      <c r="PGV245" s="15"/>
      <c r="PGW245" s="15"/>
      <c r="PGX245" s="15"/>
      <c r="PGY245" s="15"/>
      <c r="PGZ245" s="15"/>
      <c r="PHA245" s="15"/>
      <c r="PHB245" s="15"/>
      <c r="PHC245" s="10"/>
      <c r="PHD245" s="10"/>
      <c r="PHE245" s="21"/>
      <c r="PHF245" s="21"/>
      <c r="PHI245" s="21"/>
      <c r="PHJ245" s="15"/>
      <c r="PHK245" s="15"/>
      <c r="PHL245" s="15"/>
      <c r="PHM245" s="15"/>
      <c r="PHN245" s="15"/>
      <c r="PHO245" s="15"/>
      <c r="PHP245" s="15"/>
      <c r="PHQ245" s="15"/>
      <c r="PHR245" s="15"/>
      <c r="PHS245" s="15"/>
      <c r="PHT245" s="10"/>
      <c r="PHU245" s="10"/>
      <c r="PHV245" s="21"/>
      <c r="PHW245" s="21"/>
      <c r="PHZ245" s="21"/>
      <c r="PIA245" s="15"/>
      <c r="PIB245" s="15"/>
      <c r="PIC245" s="15"/>
      <c r="PID245" s="15"/>
      <c r="PIE245" s="15"/>
      <c r="PIF245" s="15"/>
      <c r="PIG245" s="15"/>
      <c r="PIH245" s="15"/>
      <c r="PII245" s="15"/>
      <c r="PIJ245" s="15"/>
      <c r="PIK245" s="10"/>
      <c r="PIL245" s="10"/>
      <c r="PIM245" s="21"/>
      <c r="PIN245" s="21"/>
      <c r="PIQ245" s="21"/>
      <c r="PIR245" s="15"/>
      <c r="PIS245" s="15"/>
      <c r="PIT245" s="15"/>
      <c r="PIU245" s="15"/>
      <c r="PIV245" s="15"/>
      <c r="PIW245" s="15"/>
      <c r="PIX245" s="15"/>
      <c r="PIY245" s="15"/>
      <c r="PIZ245" s="15"/>
      <c r="PJA245" s="15"/>
      <c r="PJB245" s="10"/>
      <c r="PJC245" s="10"/>
      <c r="PJD245" s="21"/>
      <c r="PJE245" s="21"/>
      <c r="PJH245" s="21"/>
      <c r="PJI245" s="15"/>
      <c r="PJJ245" s="15"/>
      <c r="PJK245" s="15"/>
      <c r="PJL245" s="15"/>
      <c r="PJM245" s="15"/>
      <c r="PJN245" s="15"/>
      <c r="PJO245" s="15"/>
      <c r="PJP245" s="15"/>
      <c r="PJQ245" s="15"/>
      <c r="PJR245" s="15"/>
      <c r="PJS245" s="10"/>
      <c r="PJT245" s="10"/>
      <c r="PJU245" s="21"/>
      <c r="PJV245" s="21"/>
      <c r="PJY245" s="21"/>
      <c r="PJZ245" s="15"/>
      <c r="PKA245" s="15"/>
      <c r="PKB245" s="15"/>
      <c r="PKC245" s="15"/>
      <c r="PKD245" s="15"/>
      <c r="PKE245" s="15"/>
      <c r="PKF245" s="15"/>
      <c r="PKG245" s="15"/>
      <c r="PKH245" s="15"/>
      <c r="PKI245" s="15"/>
      <c r="PKJ245" s="10"/>
      <c r="PKK245" s="10"/>
      <c r="PKL245" s="21"/>
      <c r="PKM245" s="21"/>
      <c r="PKP245" s="21"/>
      <c r="PKQ245" s="15"/>
      <c r="PKR245" s="15"/>
      <c r="PKS245" s="15"/>
      <c r="PKT245" s="15"/>
      <c r="PKU245" s="15"/>
      <c r="PKV245" s="15"/>
      <c r="PKW245" s="15"/>
      <c r="PKX245" s="15"/>
      <c r="PKY245" s="15"/>
      <c r="PKZ245" s="15"/>
      <c r="PLA245" s="10"/>
      <c r="PLB245" s="10"/>
      <c r="PLC245" s="21"/>
      <c r="PLD245" s="21"/>
      <c r="PLG245" s="21"/>
      <c r="PLH245" s="15"/>
      <c r="PLI245" s="15"/>
      <c r="PLJ245" s="15"/>
      <c r="PLK245" s="15"/>
      <c r="PLL245" s="15"/>
      <c r="PLM245" s="15"/>
      <c r="PLN245" s="15"/>
      <c r="PLO245" s="15"/>
      <c r="PLP245" s="15"/>
      <c r="PLQ245" s="15"/>
      <c r="PLR245" s="10"/>
      <c r="PLS245" s="10"/>
      <c r="PLT245" s="21"/>
      <c r="PLU245" s="21"/>
      <c r="PLX245" s="21"/>
      <c r="PLY245" s="15"/>
      <c r="PLZ245" s="15"/>
      <c r="PMA245" s="15"/>
      <c r="PMB245" s="15"/>
      <c r="PMC245" s="15"/>
      <c r="PMD245" s="15"/>
      <c r="PME245" s="15"/>
      <c r="PMF245" s="15"/>
      <c r="PMG245" s="15"/>
      <c r="PMH245" s="15"/>
      <c r="PMI245" s="10"/>
      <c r="PMJ245" s="10"/>
      <c r="PMK245" s="21"/>
      <c r="PML245" s="21"/>
      <c r="PMO245" s="21"/>
      <c r="PMP245" s="15"/>
      <c r="PMQ245" s="15"/>
      <c r="PMR245" s="15"/>
      <c r="PMS245" s="15"/>
      <c r="PMT245" s="15"/>
      <c r="PMU245" s="15"/>
      <c r="PMV245" s="15"/>
      <c r="PMW245" s="15"/>
      <c r="PMX245" s="15"/>
      <c r="PMY245" s="15"/>
      <c r="PMZ245" s="10"/>
      <c r="PNA245" s="10"/>
      <c r="PNB245" s="21"/>
      <c r="PNC245" s="21"/>
      <c r="PNF245" s="21"/>
      <c r="PNG245" s="15"/>
      <c r="PNH245" s="15"/>
      <c r="PNI245" s="15"/>
      <c r="PNJ245" s="15"/>
      <c r="PNK245" s="15"/>
      <c r="PNL245" s="15"/>
      <c r="PNM245" s="15"/>
      <c r="PNN245" s="15"/>
      <c r="PNO245" s="15"/>
      <c r="PNP245" s="15"/>
      <c r="PNQ245" s="10"/>
      <c r="PNR245" s="10"/>
      <c r="PNS245" s="21"/>
      <c r="PNT245" s="21"/>
      <c r="PNW245" s="21"/>
      <c r="PNX245" s="15"/>
      <c r="PNY245" s="15"/>
      <c r="PNZ245" s="15"/>
      <c r="POA245" s="15"/>
      <c r="POB245" s="15"/>
      <c r="POC245" s="15"/>
      <c r="POD245" s="15"/>
      <c r="POE245" s="15"/>
      <c r="POF245" s="15"/>
      <c r="POG245" s="15"/>
      <c r="POH245" s="10"/>
      <c r="POI245" s="10"/>
      <c r="POJ245" s="21"/>
      <c r="POK245" s="21"/>
      <c r="PON245" s="21"/>
      <c r="POO245" s="15"/>
      <c r="POP245" s="15"/>
      <c r="POQ245" s="15"/>
      <c r="POR245" s="15"/>
      <c r="POS245" s="15"/>
      <c r="POT245" s="15"/>
      <c r="POU245" s="15"/>
      <c r="POV245" s="15"/>
      <c r="POW245" s="15"/>
      <c r="POX245" s="15"/>
      <c r="POY245" s="10"/>
      <c r="POZ245" s="10"/>
      <c r="PPA245" s="21"/>
      <c r="PPB245" s="21"/>
      <c r="PPE245" s="21"/>
      <c r="PPF245" s="15"/>
      <c r="PPG245" s="15"/>
      <c r="PPH245" s="15"/>
      <c r="PPI245" s="15"/>
      <c r="PPJ245" s="15"/>
      <c r="PPK245" s="15"/>
      <c r="PPL245" s="15"/>
      <c r="PPM245" s="15"/>
      <c r="PPN245" s="15"/>
      <c r="PPO245" s="15"/>
      <c r="PPP245" s="10"/>
      <c r="PPQ245" s="10"/>
      <c r="PPR245" s="21"/>
      <c r="PPS245" s="21"/>
      <c r="PPV245" s="21"/>
      <c r="PPW245" s="15"/>
      <c r="PPX245" s="15"/>
      <c r="PPY245" s="15"/>
      <c r="PPZ245" s="15"/>
      <c r="PQA245" s="15"/>
      <c r="PQB245" s="15"/>
      <c r="PQC245" s="15"/>
      <c r="PQD245" s="15"/>
      <c r="PQE245" s="15"/>
      <c r="PQF245" s="15"/>
      <c r="PQG245" s="10"/>
      <c r="PQH245" s="10"/>
      <c r="PQI245" s="21"/>
      <c r="PQJ245" s="21"/>
      <c r="PQM245" s="21"/>
      <c r="PQN245" s="15"/>
      <c r="PQO245" s="15"/>
      <c r="PQP245" s="15"/>
      <c r="PQQ245" s="15"/>
      <c r="PQR245" s="15"/>
      <c r="PQS245" s="15"/>
      <c r="PQT245" s="15"/>
      <c r="PQU245" s="15"/>
      <c r="PQV245" s="15"/>
      <c r="PQW245" s="15"/>
      <c r="PQX245" s="10"/>
      <c r="PQY245" s="10"/>
      <c r="PQZ245" s="21"/>
      <c r="PRA245" s="21"/>
      <c r="PRD245" s="21"/>
      <c r="PRE245" s="15"/>
      <c r="PRF245" s="15"/>
      <c r="PRG245" s="15"/>
      <c r="PRH245" s="15"/>
      <c r="PRI245" s="15"/>
      <c r="PRJ245" s="15"/>
      <c r="PRK245" s="15"/>
      <c r="PRL245" s="15"/>
      <c r="PRM245" s="15"/>
      <c r="PRN245" s="15"/>
      <c r="PRO245" s="10"/>
      <c r="PRP245" s="10"/>
      <c r="PRQ245" s="21"/>
      <c r="PRR245" s="21"/>
      <c r="PRU245" s="21"/>
      <c r="PRV245" s="15"/>
      <c r="PRW245" s="15"/>
      <c r="PRX245" s="15"/>
      <c r="PRY245" s="15"/>
      <c r="PRZ245" s="15"/>
      <c r="PSA245" s="15"/>
      <c r="PSB245" s="15"/>
      <c r="PSC245" s="15"/>
      <c r="PSD245" s="15"/>
      <c r="PSE245" s="15"/>
      <c r="PSF245" s="10"/>
      <c r="PSG245" s="10"/>
      <c r="PSH245" s="21"/>
      <c r="PSI245" s="21"/>
      <c r="PSL245" s="21"/>
      <c r="PSM245" s="15"/>
      <c r="PSN245" s="15"/>
      <c r="PSO245" s="15"/>
      <c r="PSP245" s="15"/>
      <c r="PSQ245" s="15"/>
      <c r="PSR245" s="15"/>
      <c r="PSS245" s="15"/>
      <c r="PST245" s="15"/>
      <c r="PSU245" s="15"/>
      <c r="PSV245" s="15"/>
      <c r="PSW245" s="10"/>
      <c r="PSX245" s="10"/>
      <c r="PSY245" s="21"/>
      <c r="PSZ245" s="21"/>
      <c r="PTC245" s="21"/>
      <c r="PTD245" s="15"/>
      <c r="PTE245" s="15"/>
      <c r="PTF245" s="15"/>
      <c r="PTG245" s="15"/>
      <c r="PTH245" s="15"/>
      <c r="PTI245" s="15"/>
      <c r="PTJ245" s="15"/>
      <c r="PTK245" s="15"/>
      <c r="PTL245" s="15"/>
      <c r="PTM245" s="15"/>
      <c r="PTN245" s="10"/>
      <c r="PTO245" s="10"/>
      <c r="PTP245" s="21"/>
      <c r="PTQ245" s="21"/>
      <c r="PTT245" s="21"/>
      <c r="PTU245" s="15"/>
      <c r="PTV245" s="15"/>
      <c r="PTW245" s="15"/>
      <c r="PTX245" s="15"/>
      <c r="PTY245" s="15"/>
      <c r="PTZ245" s="15"/>
      <c r="PUA245" s="15"/>
      <c r="PUB245" s="15"/>
      <c r="PUC245" s="15"/>
      <c r="PUD245" s="15"/>
      <c r="PUE245" s="10"/>
      <c r="PUF245" s="10"/>
      <c r="PUG245" s="21"/>
      <c r="PUH245" s="21"/>
      <c r="PUK245" s="21"/>
      <c r="PUL245" s="15"/>
      <c r="PUM245" s="15"/>
      <c r="PUN245" s="15"/>
      <c r="PUO245" s="15"/>
      <c r="PUP245" s="15"/>
      <c r="PUQ245" s="15"/>
      <c r="PUR245" s="15"/>
      <c r="PUS245" s="15"/>
      <c r="PUT245" s="15"/>
      <c r="PUU245" s="15"/>
      <c r="PUV245" s="10"/>
      <c r="PUW245" s="10"/>
      <c r="PUX245" s="21"/>
      <c r="PUY245" s="21"/>
      <c r="PVB245" s="21"/>
      <c r="PVC245" s="15"/>
      <c r="PVD245" s="15"/>
      <c r="PVE245" s="15"/>
      <c r="PVF245" s="15"/>
      <c r="PVG245" s="15"/>
      <c r="PVH245" s="15"/>
      <c r="PVI245" s="15"/>
      <c r="PVJ245" s="15"/>
      <c r="PVK245" s="15"/>
      <c r="PVL245" s="15"/>
      <c r="PVM245" s="10"/>
      <c r="PVN245" s="10"/>
      <c r="PVO245" s="21"/>
      <c r="PVP245" s="21"/>
      <c r="PVS245" s="21"/>
      <c r="PVT245" s="15"/>
      <c r="PVU245" s="15"/>
      <c r="PVV245" s="15"/>
      <c r="PVW245" s="15"/>
      <c r="PVX245" s="15"/>
      <c r="PVY245" s="15"/>
      <c r="PVZ245" s="15"/>
      <c r="PWA245" s="15"/>
      <c r="PWB245" s="15"/>
      <c r="PWC245" s="15"/>
      <c r="PWD245" s="10"/>
      <c r="PWE245" s="10"/>
      <c r="PWF245" s="21"/>
      <c r="PWG245" s="21"/>
      <c r="PWJ245" s="21"/>
      <c r="PWK245" s="15"/>
      <c r="PWL245" s="15"/>
      <c r="PWM245" s="15"/>
      <c r="PWN245" s="15"/>
      <c r="PWO245" s="15"/>
      <c r="PWP245" s="15"/>
      <c r="PWQ245" s="15"/>
      <c r="PWR245" s="15"/>
      <c r="PWS245" s="15"/>
      <c r="PWT245" s="15"/>
      <c r="PWU245" s="10"/>
      <c r="PWV245" s="10"/>
      <c r="PWW245" s="21"/>
      <c r="PWX245" s="21"/>
      <c r="PXA245" s="21"/>
      <c r="PXB245" s="15"/>
      <c r="PXC245" s="15"/>
      <c r="PXD245" s="15"/>
      <c r="PXE245" s="15"/>
      <c r="PXF245" s="15"/>
      <c r="PXG245" s="15"/>
      <c r="PXH245" s="15"/>
      <c r="PXI245" s="15"/>
      <c r="PXJ245" s="15"/>
      <c r="PXK245" s="15"/>
      <c r="PXL245" s="10"/>
      <c r="PXM245" s="10"/>
      <c r="PXN245" s="21"/>
      <c r="PXO245" s="21"/>
      <c r="PXR245" s="21"/>
      <c r="PXS245" s="15"/>
      <c r="PXT245" s="15"/>
      <c r="PXU245" s="15"/>
      <c r="PXV245" s="15"/>
      <c r="PXW245" s="15"/>
      <c r="PXX245" s="15"/>
      <c r="PXY245" s="15"/>
      <c r="PXZ245" s="15"/>
      <c r="PYA245" s="15"/>
      <c r="PYB245" s="15"/>
      <c r="PYC245" s="10"/>
      <c r="PYD245" s="10"/>
      <c r="PYE245" s="21"/>
      <c r="PYF245" s="21"/>
      <c r="PYI245" s="21"/>
      <c r="PYJ245" s="15"/>
      <c r="PYK245" s="15"/>
      <c r="PYL245" s="15"/>
      <c r="PYM245" s="15"/>
      <c r="PYN245" s="15"/>
      <c r="PYO245" s="15"/>
      <c r="PYP245" s="15"/>
      <c r="PYQ245" s="15"/>
      <c r="PYR245" s="15"/>
      <c r="PYS245" s="15"/>
      <c r="PYT245" s="10"/>
      <c r="PYU245" s="10"/>
      <c r="PYV245" s="21"/>
      <c r="PYW245" s="21"/>
      <c r="PYZ245" s="21"/>
      <c r="PZA245" s="15"/>
      <c r="PZB245" s="15"/>
      <c r="PZC245" s="15"/>
      <c r="PZD245" s="15"/>
      <c r="PZE245" s="15"/>
      <c r="PZF245" s="15"/>
      <c r="PZG245" s="15"/>
      <c r="PZH245" s="15"/>
      <c r="PZI245" s="15"/>
      <c r="PZJ245" s="15"/>
      <c r="PZK245" s="10"/>
      <c r="PZL245" s="10"/>
      <c r="PZM245" s="21"/>
      <c r="PZN245" s="21"/>
      <c r="PZQ245" s="21"/>
      <c r="PZR245" s="15"/>
      <c r="PZS245" s="15"/>
      <c r="PZT245" s="15"/>
      <c r="PZU245" s="15"/>
      <c r="PZV245" s="15"/>
      <c r="PZW245" s="15"/>
      <c r="PZX245" s="15"/>
      <c r="PZY245" s="15"/>
      <c r="PZZ245" s="15"/>
      <c r="QAA245" s="15"/>
      <c r="QAB245" s="10"/>
      <c r="QAC245" s="10"/>
      <c r="QAD245" s="21"/>
      <c r="QAE245" s="21"/>
      <c r="QAH245" s="21"/>
      <c r="QAI245" s="15"/>
      <c r="QAJ245" s="15"/>
      <c r="QAK245" s="15"/>
      <c r="QAL245" s="15"/>
      <c r="QAM245" s="15"/>
      <c r="QAN245" s="15"/>
      <c r="QAO245" s="15"/>
      <c r="QAP245" s="15"/>
      <c r="QAQ245" s="15"/>
      <c r="QAR245" s="15"/>
      <c r="QAS245" s="10"/>
      <c r="QAT245" s="10"/>
      <c r="QAU245" s="21"/>
      <c r="QAV245" s="21"/>
      <c r="QAY245" s="21"/>
      <c r="QAZ245" s="15"/>
      <c r="QBA245" s="15"/>
      <c r="QBB245" s="15"/>
      <c r="QBC245" s="15"/>
      <c r="QBD245" s="15"/>
      <c r="QBE245" s="15"/>
      <c r="QBF245" s="15"/>
      <c r="QBG245" s="15"/>
      <c r="QBH245" s="15"/>
      <c r="QBI245" s="15"/>
      <c r="QBJ245" s="10"/>
      <c r="QBK245" s="10"/>
      <c r="QBL245" s="21"/>
      <c r="QBM245" s="21"/>
      <c r="QBP245" s="21"/>
      <c r="QBQ245" s="15"/>
      <c r="QBR245" s="15"/>
      <c r="QBS245" s="15"/>
      <c r="QBT245" s="15"/>
      <c r="QBU245" s="15"/>
      <c r="QBV245" s="15"/>
      <c r="QBW245" s="15"/>
      <c r="QBX245" s="15"/>
      <c r="QBY245" s="15"/>
      <c r="QBZ245" s="15"/>
      <c r="QCA245" s="10"/>
      <c r="QCB245" s="10"/>
      <c r="QCC245" s="21"/>
      <c r="QCD245" s="21"/>
      <c r="QCG245" s="21"/>
      <c r="QCH245" s="15"/>
      <c r="QCI245" s="15"/>
      <c r="QCJ245" s="15"/>
      <c r="QCK245" s="15"/>
      <c r="QCL245" s="15"/>
      <c r="QCM245" s="15"/>
      <c r="QCN245" s="15"/>
      <c r="QCO245" s="15"/>
      <c r="QCP245" s="15"/>
      <c r="QCQ245" s="15"/>
      <c r="QCR245" s="10"/>
      <c r="QCS245" s="10"/>
      <c r="QCT245" s="21"/>
      <c r="QCU245" s="21"/>
      <c r="QCX245" s="21"/>
      <c r="QCY245" s="15"/>
      <c r="QCZ245" s="15"/>
      <c r="QDA245" s="15"/>
      <c r="QDB245" s="15"/>
      <c r="QDC245" s="15"/>
      <c r="QDD245" s="15"/>
      <c r="QDE245" s="15"/>
      <c r="QDF245" s="15"/>
      <c r="QDG245" s="15"/>
      <c r="QDH245" s="15"/>
      <c r="QDI245" s="10"/>
      <c r="QDJ245" s="10"/>
      <c r="QDK245" s="21"/>
      <c r="QDL245" s="21"/>
      <c r="QDO245" s="21"/>
      <c r="QDP245" s="15"/>
      <c r="QDQ245" s="15"/>
      <c r="QDR245" s="15"/>
      <c r="QDS245" s="15"/>
      <c r="QDT245" s="15"/>
      <c r="QDU245" s="15"/>
      <c r="QDV245" s="15"/>
      <c r="QDW245" s="15"/>
      <c r="QDX245" s="15"/>
      <c r="QDY245" s="15"/>
      <c r="QDZ245" s="10"/>
      <c r="QEA245" s="10"/>
      <c r="QEB245" s="21"/>
      <c r="QEC245" s="21"/>
      <c r="QEF245" s="21"/>
      <c r="QEG245" s="15"/>
      <c r="QEH245" s="15"/>
      <c r="QEI245" s="15"/>
      <c r="QEJ245" s="15"/>
      <c r="QEK245" s="15"/>
      <c r="QEL245" s="15"/>
      <c r="QEM245" s="15"/>
      <c r="QEN245" s="15"/>
      <c r="QEO245" s="15"/>
      <c r="QEP245" s="15"/>
      <c r="QEQ245" s="10"/>
      <c r="QER245" s="10"/>
      <c r="QES245" s="21"/>
      <c r="QET245" s="21"/>
      <c r="QEW245" s="21"/>
      <c r="QEX245" s="15"/>
      <c r="QEY245" s="15"/>
      <c r="QEZ245" s="15"/>
      <c r="QFA245" s="15"/>
      <c r="QFB245" s="15"/>
      <c r="QFC245" s="15"/>
      <c r="QFD245" s="15"/>
      <c r="QFE245" s="15"/>
      <c r="QFF245" s="15"/>
      <c r="QFG245" s="15"/>
      <c r="QFH245" s="10"/>
      <c r="QFI245" s="10"/>
      <c r="QFJ245" s="21"/>
      <c r="QFK245" s="21"/>
      <c r="QFN245" s="21"/>
      <c r="QFO245" s="15"/>
      <c r="QFP245" s="15"/>
      <c r="QFQ245" s="15"/>
      <c r="QFR245" s="15"/>
      <c r="QFS245" s="15"/>
      <c r="QFT245" s="15"/>
      <c r="QFU245" s="15"/>
      <c r="QFV245" s="15"/>
      <c r="QFW245" s="15"/>
      <c r="QFX245" s="15"/>
      <c r="QFY245" s="10"/>
      <c r="QFZ245" s="10"/>
      <c r="QGA245" s="21"/>
      <c r="QGB245" s="21"/>
      <c r="QGE245" s="21"/>
      <c r="QGF245" s="15"/>
      <c r="QGG245" s="15"/>
      <c r="QGH245" s="15"/>
      <c r="QGI245" s="15"/>
      <c r="QGJ245" s="15"/>
      <c r="QGK245" s="15"/>
      <c r="QGL245" s="15"/>
      <c r="QGM245" s="15"/>
      <c r="QGN245" s="15"/>
      <c r="QGO245" s="15"/>
      <c r="QGP245" s="10"/>
      <c r="QGQ245" s="10"/>
      <c r="QGR245" s="21"/>
      <c r="QGS245" s="21"/>
      <c r="QGV245" s="21"/>
      <c r="QGW245" s="15"/>
      <c r="QGX245" s="15"/>
      <c r="QGY245" s="15"/>
      <c r="QGZ245" s="15"/>
      <c r="QHA245" s="15"/>
      <c r="QHB245" s="15"/>
      <c r="QHC245" s="15"/>
      <c r="QHD245" s="15"/>
      <c r="QHE245" s="15"/>
      <c r="QHF245" s="15"/>
      <c r="QHG245" s="10"/>
      <c r="QHH245" s="10"/>
      <c r="QHI245" s="21"/>
      <c r="QHJ245" s="21"/>
      <c r="QHM245" s="21"/>
      <c r="QHN245" s="15"/>
      <c r="QHO245" s="15"/>
      <c r="QHP245" s="15"/>
      <c r="QHQ245" s="15"/>
      <c r="QHR245" s="15"/>
      <c r="QHS245" s="15"/>
      <c r="QHT245" s="15"/>
      <c r="QHU245" s="15"/>
      <c r="QHV245" s="15"/>
      <c r="QHW245" s="15"/>
      <c r="QHX245" s="10"/>
      <c r="QHY245" s="10"/>
      <c r="QHZ245" s="21"/>
      <c r="QIA245" s="21"/>
      <c r="QID245" s="21"/>
      <c r="QIE245" s="15"/>
      <c r="QIF245" s="15"/>
      <c r="QIG245" s="15"/>
      <c r="QIH245" s="15"/>
      <c r="QII245" s="15"/>
      <c r="QIJ245" s="15"/>
      <c r="QIK245" s="15"/>
      <c r="QIL245" s="15"/>
      <c r="QIM245" s="15"/>
      <c r="QIN245" s="15"/>
      <c r="QIO245" s="10"/>
      <c r="QIP245" s="10"/>
      <c r="QIQ245" s="21"/>
      <c r="QIR245" s="21"/>
      <c r="QIU245" s="21"/>
      <c r="QIV245" s="15"/>
      <c r="QIW245" s="15"/>
      <c r="QIX245" s="15"/>
      <c r="QIY245" s="15"/>
      <c r="QIZ245" s="15"/>
      <c r="QJA245" s="15"/>
      <c r="QJB245" s="15"/>
      <c r="QJC245" s="15"/>
      <c r="QJD245" s="15"/>
      <c r="QJE245" s="15"/>
      <c r="QJF245" s="10"/>
      <c r="QJG245" s="10"/>
      <c r="QJH245" s="21"/>
      <c r="QJI245" s="21"/>
      <c r="QJL245" s="21"/>
      <c r="QJM245" s="15"/>
      <c r="QJN245" s="15"/>
      <c r="QJO245" s="15"/>
      <c r="QJP245" s="15"/>
      <c r="QJQ245" s="15"/>
      <c r="QJR245" s="15"/>
      <c r="QJS245" s="15"/>
      <c r="QJT245" s="15"/>
      <c r="QJU245" s="15"/>
      <c r="QJV245" s="15"/>
      <c r="QJW245" s="10"/>
      <c r="QJX245" s="10"/>
      <c r="QJY245" s="21"/>
      <c r="QJZ245" s="21"/>
      <c r="QKC245" s="21"/>
      <c r="QKD245" s="15"/>
      <c r="QKE245" s="15"/>
      <c r="QKF245" s="15"/>
      <c r="QKG245" s="15"/>
      <c r="QKH245" s="15"/>
      <c r="QKI245" s="15"/>
      <c r="QKJ245" s="15"/>
      <c r="QKK245" s="15"/>
      <c r="QKL245" s="15"/>
      <c r="QKM245" s="15"/>
      <c r="QKN245" s="10"/>
      <c r="QKO245" s="10"/>
      <c r="QKP245" s="21"/>
      <c r="QKQ245" s="21"/>
      <c r="QKT245" s="21"/>
      <c r="QKU245" s="15"/>
      <c r="QKV245" s="15"/>
      <c r="QKW245" s="15"/>
      <c r="QKX245" s="15"/>
      <c r="QKY245" s="15"/>
      <c r="QKZ245" s="15"/>
      <c r="QLA245" s="15"/>
      <c r="QLB245" s="15"/>
      <c r="QLC245" s="15"/>
      <c r="QLD245" s="15"/>
      <c r="QLE245" s="10"/>
      <c r="QLF245" s="10"/>
      <c r="QLG245" s="21"/>
      <c r="QLH245" s="21"/>
      <c r="QLK245" s="21"/>
      <c r="QLL245" s="15"/>
      <c r="QLM245" s="15"/>
      <c r="QLN245" s="15"/>
      <c r="QLO245" s="15"/>
      <c r="QLP245" s="15"/>
      <c r="QLQ245" s="15"/>
      <c r="QLR245" s="15"/>
      <c r="QLS245" s="15"/>
      <c r="QLT245" s="15"/>
      <c r="QLU245" s="15"/>
      <c r="QLV245" s="10"/>
      <c r="QLW245" s="10"/>
      <c r="QLX245" s="21"/>
      <c r="QLY245" s="21"/>
      <c r="QMB245" s="21"/>
      <c r="QMC245" s="15"/>
      <c r="QMD245" s="15"/>
      <c r="QME245" s="15"/>
      <c r="QMF245" s="15"/>
      <c r="QMG245" s="15"/>
      <c r="QMH245" s="15"/>
      <c r="QMI245" s="15"/>
      <c r="QMJ245" s="15"/>
      <c r="QMK245" s="15"/>
      <c r="QML245" s="15"/>
      <c r="QMM245" s="10"/>
      <c r="QMN245" s="10"/>
      <c r="QMO245" s="21"/>
      <c r="QMP245" s="21"/>
      <c r="QMS245" s="21"/>
      <c r="QMT245" s="15"/>
      <c r="QMU245" s="15"/>
      <c r="QMV245" s="15"/>
      <c r="QMW245" s="15"/>
      <c r="QMX245" s="15"/>
      <c r="QMY245" s="15"/>
      <c r="QMZ245" s="15"/>
      <c r="QNA245" s="15"/>
      <c r="QNB245" s="15"/>
      <c r="QNC245" s="15"/>
      <c r="QND245" s="10"/>
      <c r="QNE245" s="10"/>
      <c r="QNF245" s="21"/>
      <c r="QNG245" s="21"/>
      <c r="QNJ245" s="21"/>
      <c r="QNK245" s="15"/>
      <c r="QNL245" s="15"/>
      <c r="QNM245" s="15"/>
      <c r="QNN245" s="15"/>
      <c r="QNO245" s="15"/>
      <c r="QNP245" s="15"/>
      <c r="QNQ245" s="15"/>
      <c r="QNR245" s="15"/>
      <c r="QNS245" s="15"/>
      <c r="QNT245" s="15"/>
      <c r="QNU245" s="10"/>
      <c r="QNV245" s="10"/>
      <c r="QNW245" s="21"/>
      <c r="QNX245" s="21"/>
      <c r="QOA245" s="21"/>
      <c r="QOB245" s="15"/>
      <c r="QOC245" s="15"/>
      <c r="QOD245" s="15"/>
      <c r="QOE245" s="15"/>
      <c r="QOF245" s="15"/>
      <c r="QOG245" s="15"/>
      <c r="QOH245" s="15"/>
      <c r="QOI245" s="15"/>
      <c r="QOJ245" s="15"/>
      <c r="QOK245" s="15"/>
      <c r="QOL245" s="10"/>
      <c r="QOM245" s="10"/>
      <c r="QON245" s="21"/>
      <c r="QOO245" s="21"/>
      <c r="QOR245" s="21"/>
      <c r="QOS245" s="15"/>
      <c r="QOT245" s="15"/>
      <c r="QOU245" s="15"/>
      <c r="QOV245" s="15"/>
      <c r="QOW245" s="15"/>
      <c r="QOX245" s="15"/>
      <c r="QOY245" s="15"/>
      <c r="QOZ245" s="15"/>
      <c r="QPA245" s="15"/>
      <c r="QPB245" s="15"/>
      <c r="QPC245" s="10"/>
      <c r="QPD245" s="10"/>
      <c r="QPE245" s="21"/>
      <c r="QPF245" s="21"/>
      <c r="QPI245" s="21"/>
      <c r="QPJ245" s="15"/>
      <c r="QPK245" s="15"/>
      <c r="QPL245" s="15"/>
      <c r="QPM245" s="15"/>
      <c r="QPN245" s="15"/>
      <c r="QPO245" s="15"/>
      <c r="QPP245" s="15"/>
      <c r="QPQ245" s="15"/>
      <c r="QPR245" s="15"/>
      <c r="QPS245" s="15"/>
      <c r="QPT245" s="10"/>
      <c r="QPU245" s="10"/>
      <c r="QPV245" s="21"/>
      <c r="QPW245" s="21"/>
      <c r="QPZ245" s="21"/>
      <c r="QQA245" s="15"/>
      <c r="QQB245" s="15"/>
      <c r="QQC245" s="15"/>
      <c r="QQD245" s="15"/>
      <c r="QQE245" s="15"/>
      <c r="QQF245" s="15"/>
      <c r="QQG245" s="15"/>
      <c r="QQH245" s="15"/>
      <c r="QQI245" s="15"/>
      <c r="QQJ245" s="15"/>
      <c r="QQK245" s="10"/>
      <c r="QQL245" s="10"/>
      <c r="QQM245" s="21"/>
      <c r="QQN245" s="21"/>
      <c r="QQQ245" s="21"/>
      <c r="QQR245" s="15"/>
      <c r="QQS245" s="15"/>
      <c r="QQT245" s="15"/>
      <c r="QQU245" s="15"/>
      <c r="QQV245" s="15"/>
      <c r="QQW245" s="15"/>
      <c r="QQX245" s="15"/>
      <c r="QQY245" s="15"/>
      <c r="QQZ245" s="15"/>
      <c r="QRA245" s="15"/>
      <c r="QRB245" s="10"/>
      <c r="QRC245" s="10"/>
      <c r="QRD245" s="21"/>
      <c r="QRE245" s="21"/>
      <c r="QRH245" s="21"/>
      <c r="QRI245" s="15"/>
      <c r="QRJ245" s="15"/>
      <c r="QRK245" s="15"/>
      <c r="QRL245" s="15"/>
      <c r="QRM245" s="15"/>
      <c r="QRN245" s="15"/>
      <c r="QRO245" s="15"/>
      <c r="QRP245" s="15"/>
      <c r="QRQ245" s="15"/>
      <c r="QRR245" s="15"/>
      <c r="QRS245" s="10"/>
      <c r="QRT245" s="10"/>
      <c r="QRU245" s="21"/>
      <c r="QRV245" s="21"/>
      <c r="QRY245" s="21"/>
      <c r="QRZ245" s="15"/>
      <c r="QSA245" s="15"/>
      <c r="QSB245" s="15"/>
      <c r="QSC245" s="15"/>
      <c r="QSD245" s="15"/>
      <c r="QSE245" s="15"/>
      <c r="QSF245" s="15"/>
      <c r="QSG245" s="15"/>
      <c r="QSH245" s="15"/>
      <c r="QSI245" s="15"/>
      <c r="QSJ245" s="10"/>
      <c r="QSK245" s="10"/>
      <c r="QSL245" s="21"/>
      <c r="QSM245" s="21"/>
      <c r="QSP245" s="21"/>
      <c r="QSQ245" s="15"/>
      <c r="QSR245" s="15"/>
      <c r="QSS245" s="15"/>
      <c r="QST245" s="15"/>
      <c r="QSU245" s="15"/>
      <c r="QSV245" s="15"/>
      <c r="QSW245" s="15"/>
      <c r="QSX245" s="15"/>
      <c r="QSY245" s="15"/>
      <c r="QSZ245" s="15"/>
      <c r="QTA245" s="10"/>
      <c r="QTB245" s="10"/>
      <c r="QTC245" s="21"/>
      <c r="QTD245" s="21"/>
      <c r="QTG245" s="21"/>
      <c r="QTH245" s="15"/>
      <c r="QTI245" s="15"/>
      <c r="QTJ245" s="15"/>
      <c r="QTK245" s="15"/>
      <c r="QTL245" s="15"/>
      <c r="QTM245" s="15"/>
      <c r="QTN245" s="15"/>
      <c r="QTO245" s="15"/>
      <c r="QTP245" s="15"/>
      <c r="QTQ245" s="15"/>
      <c r="QTR245" s="10"/>
      <c r="QTS245" s="10"/>
      <c r="QTT245" s="21"/>
      <c r="QTU245" s="21"/>
      <c r="QTX245" s="21"/>
      <c r="QTY245" s="15"/>
      <c r="QTZ245" s="15"/>
      <c r="QUA245" s="15"/>
      <c r="QUB245" s="15"/>
      <c r="QUC245" s="15"/>
      <c r="QUD245" s="15"/>
      <c r="QUE245" s="15"/>
      <c r="QUF245" s="15"/>
      <c r="QUG245" s="15"/>
      <c r="QUH245" s="15"/>
      <c r="QUI245" s="10"/>
      <c r="QUJ245" s="10"/>
      <c r="QUK245" s="21"/>
      <c r="QUL245" s="21"/>
      <c r="QUO245" s="21"/>
      <c r="QUP245" s="15"/>
      <c r="QUQ245" s="15"/>
      <c r="QUR245" s="15"/>
      <c r="QUS245" s="15"/>
      <c r="QUT245" s="15"/>
      <c r="QUU245" s="15"/>
      <c r="QUV245" s="15"/>
      <c r="QUW245" s="15"/>
      <c r="QUX245" s="15"/>
      <c r="QUY245" s="15"/>
      <c r="QUZ245" s="10"/>
      <c r="QVA245" s="10"/>
      <c r="QVB245" s="21"/>
      <c r="QVC245" s="21"/>
      <c r="QVF245" s="21"/>
      <c r="QVG245" s="15"/>
      <c r="QVH245" s="15"/>
      <c r="QVI245" s="15"/>
      <c r="QVJ245" s="15"/>
      <c r="QVK245" s="15"/>
      <c r="QVL245" s="15"/>
      <c r="QVM245" s="15"/>
      <c r="QVN245" s="15"/>
      <c r="QVO245" s="15"/>
      <c r="QVP245" s="15"/>
      <c r="QVQ245" s="10"/>
      <c r="QVR245" s="10"/>
      <c r="QVS245" s="21"/>
      <c r="QVT245" s="21"/>
      <c r="QVW245" s="21"/>
      <c r="QVX245" s="15"/>
      <c r="QVY245" s="15"/>
      <c r="QVZ245" s="15"/>
      <c r="QWA245" s="15"/>
      <c r="QWB245" s="15"/>
      <c r="QWC245" s="15"/>
      <c r="QWD245" s="15"/>
      <c r="QWE245" s="15"/>
      <c r="QWF245" s="15"/>
      <c r="QWG245" s="15"/>
      <c r="QWH245" s="10"/>
      <c r="QWI245" s="10"/>
      <c r="QWJ245" s="21"/>
      <c r="QWK245" s="21"/>
      <c r="QWN245" s="21"/>
      <c r="QWO245" s="15"/>
      <c r="QWP245" s="15"/>
      <c r="QWQ245" s="15"/>
      <c r="QWR245" s="15"/>
      <c r="QWS245" s="15"/>
      <c r="QWT245" s="15"/>
      <c r="QWU245" s="15"/>
      <c r="QWV245" s="15"/>
      <c r="QWW245" s="15"/>
      <c r="QWX245" s="15"/>
      <c r="QWY245" s="10"/>
      <c r="QWZ245" s="10"/>
      <c r="QXA245" s="21"/>
      <c r="QXB245" s="21"/>
      <c r="QXE245" s="21"/>
      <c r="QXF245" s="15"/>
      <c r="QXG245" s="15"/>
      <c r="QXH245" s="15"/>
      <c r="QXI245" s="15"/>
      <c r="QXJ245" s="15"/>
      <c r="QXK245" s="15"/>
      <c r="QXL245" s="15"/>
      <c r="QXM245" s="15"/>
      <c r="QXN245" s="15"/>
      <c r="QXO245" s="15"/>
      <c r="QXP245" s="10"/>
      <c r="QXQ245" s="10"/>
      <c r="QXR245" s="21"/>
      <c r="QXS245" s="21"/>
      <c r="QXV245" s="21"/>
      <c r="QXW245" s="15"/>
      <c r="QXX245" s="15"/>
      <c r="QXY245" s="15"/>
      <c r="QXZ245" s="15"/>
      <c r="QYA245" s="15"/>
      <c r="QYB245" s="15"/>
      <c r="QYC245" s="15"/>
      <c r="QYD245" s="15"/>
      <c r="QYE245" s="15"/>
      <c r="QYF245" s="15"/>
      <c r="QYG245" s="10"/>
      <c r="QYH245" s="10"/>
      <c r="QYI245" s="21"/>
      <c r="QYJ245" s="21"/>
      <c r="QYM245" s="21"/>
      <c r="QYN245" s="15"/>
      <c r="QYO245" s="15"/>
      <c r="QYP245" s="15"/>
      <c r="QYQ245" s="15"/>
      <c r="QYR245" s="15"/>
      <c r="QYS245" s="15"/>
      <c r="QYT245" s="15"/>
      <c r="QYU245" s="15"/>
      <c r="QYV245" s="15"/>
      <c r="QYW245" s="15"/>
      <c r="QYX245" s="10"/>
      <c r="QYY245" s="10"/>
      <c r="QYZ245" s="21"/>
      <c r="QZA245" s="21"/>
      <c r="QZD245" s="21"/>
      <c r="QZE245" s="15"/>
      <c r="QZF245" s="15"/>
      <c r="QZG245" s="15"/>
      <c r="QZH245" s="15"/>
      <c r="QZI245" s="15"/>
      <c r="QZJ245" s="15"/>
      <c r="QZK245" s="15"/>
      <c r="QZL245" s="15"/>
      <c r="QZM245" s="15"/>
      <c r="QZN245" s="15"/>
      <c r="QZO245" s="10"/>
      <c r="QZP245" s="10"/>
      <c r="QZQ245" s="21"/>
      <c r="QZR245" s="21"/>
      <c r="QZU245" s="21"/>
      <c r="QZV245" s="15"/>
      <c r="QZW245" s="15"/>
      <c r="QZX245" s="15"/>
      <c r="QZY245" s="15"/>
      <c r="QZZ245" s="15"/>
      <c r="RAA245" s="15"/>
      <c r="RAB245" s="15"/>
      <c r="RAC245" s="15"/>
      <c r="RAD245" s="15"/>
      <c r="RAE245" s="15"/>
      <c r="RAF245" s="10"/>
      <c r="RAG245" s="10"/>
      <c r="RAH245" s="21"/>
      <c r="RAI245" s="21"/>
      <c r="RAL245" s="21"/>
      <c r="RAM245" s="15"/>
      <c r="RAN245" s="15"/>
      <c r="RAO245" s="15"/>
      <c r="RAP245" s="15"/>
      <c r="RAQ245" s="15"/>
      <c r="RAR245" s="15"/>
      <c r="RAS245" s="15"/>
      <c r="RAT245" s="15"/>
      <c r="RAU245" s="15"/>
      <c r="RAV245" s="15"/>
      <c r="RAW245" s="10"/>
      <c r="RAX245" s="10"/>
      <c r="RAY245" s="21"/>
      <c r="RAZ245" s="21"/>
      <c r="RBC245" s="21"/>
      <c r="RBD245" s="15"/>
      <c r="RBE245" s="15"/>
      <c r="RBF245" s="15"/>
      <c r="RBG245" s="15"/>
      <c r="RBH245" s="15"/>
      <c r="RBI245" s="15"/>
      <c r="RBJ245" s="15"/>
      <c r="RBK245" s="15"/>
      <c r="RBL245" s="15"/>
      <c r="RBM245" s="15"/>
      <c r="RBN245" s="10"/>
      <c r="RBO245" s="10"/>
      <c r="RBP245" s="21"/>
      <c r="RBQ245" s="21"/>
      <c r="RBT245" s="21"/>
      <c r="RBU245" s="15"/>
      <c r="RBV245" s="15"/>
      <c r="RBW245" s="15"/>
      <c r="RBX245" s="15"/>
      <c r="RBY245" s="15"/>
      <c r="RBZ245" s="15"/>
      <c r="RCA245" s="15"/>
      <c r="RCB245" s="15"/>
      <c r="RCC245" s="15"/>
      <c r="RCD245" s="15"/>
      <c r="RCE245" s="10"/>
      <c r="RCF245" s="10"/>
      <c r="RCG245" s="21"/>
      <c r="RCH245" s="21"/>
      <c r="RCK245" s="21"/>
      <c r="RCL245" s="15"/>
      <c r="RCM245" s="15"/>
      <c r="RCN245" s="15"/>
      <c r="RCO245" s="15"/>
      <c r="RCP245" s="15"/>
      <c r="RCQ245" s="15"/>
      <c r="RCR245" s="15"/>
      <c r="RCS245" s="15"/>
      <c r="RCT245" s="15"/>
      <c r="RCU245" s="15"/>
      <c r="RCV245" s="10"/>
      <c r="RCW245" s="10"/>
      <c r="RCX245" s="21"/>
      <c r="RCY245" s="21"/>
      <c r="RDB245" s="21"/>
      <c r="RDC245" s="15"/>
      <c r="RDD245" s="15"/>
      <c r="RDE245" s="15"/>
      <c r="RDF245" s="15"/>
      <c r="RDG245" s="15"/>
      <c r="RDH245" s="15"/>
      <c r="RDI245" s="15"/>
      <c r="RDJ245" s="15"/>
      <c r="RDK245" s="15"/>
      <c r="RDL245" s="15"/>
      <c r="RDM245" s="10"/>
      <c r="RDN245" s="10"/>
      <c r="RDO245" s="21"/>
      <c r="RDP245" s="21"/>
      <c r="RDS245" s="21"/>
      <c r="RDT245" s="15"/>
      <c r="RDU245" s="15"/>
      <c r="RDV245" s="15"/>
      <c r="RDW245" s="15"/>
      <c r="RDX245" s="15"/>
      <c r="RDY245" s="15"/>
      <c r="RDZ245" s="15"/>
      <c r="REA245" s="15"/>
      <c r="REB245" s="15"/>
      <c r="REC245" s="15"/>
      <c r="RED245" s="10"/>
      <c r="REE245" s="10"/>
      <c r="REF245" s="21"/>
      <c r="REG245" s="21"/>
      <c r="REJ245" s="21"/>
      <c r="REK245" s="15"/>
      <c r="REL245" s="15"/>
      <c r="REM245" s="15"/>
      <c r="REN245" s="15"/>
      <c r="REO245" s="15"/>
      <c r="REP245" s="15"/>
      <c r="REQ245" s="15"/>
      <c r="RER245" s="15"/>
      <c r="RES245" s="15"/>
      <c r="RET245" s="15"/>
      <c r="REU245" s="10"/>
      <c r="REV245" s="10"/>
      <c r="REW245" s="21"/>
      <c r="REX245" s="21"/>
      <c r="RFA245" s="21"/>
      <c r="RFB245" s="15"/>
      <c r="RFC245" s="15"/>
      <c r="RFD245" s="15"/>
      <c r="RFE245" s="15"/>
      <c r="RFF245" s="15"/>
      <c r="RFG245" s="15"/>
      <c r="RFH245" s="15"/>
      <c r="RFI245" s="15"/>
      <c r="RFJ245" s="15"/>
      <c r="RFK245" s="15"/>
      <c r="RFL245" s="10"/>
      <c r="RFM245" s="10"/>
      <c r="RFN245" s="21"/>
      <c r="RFO245" s="21"/>
      <c r="RFR245" s="21"/>
      <c r="RFS245" s="15"/>
      <c r="RFT245" s="15"/>
      <c r="RFU245" s="15"/>
      <c r="RFV245" s="15"/>
      <c r="RFW245" s="15"/>
      <c r="RFX245" s="15"/>
      <c r="RFY245" s="15"/>
      <c r="RFZ245" s="15"/>
      <c r="RGA245" s="15"/>
      <c r="RGB245" s="15"/>
      <c r="RGC245" s="10"/>
      <c r="RGD245" s="10"/>
      <c r="RGE245" s="21"/>
      <c r="RGF245" s="21"/>
      <c r="RGI245" s="21"/>
      <c r="RGJ245" s="15"/>
      <c r="RGK245" s="15"/>
      <c r="RGL245" s="15"/>
      <c r="RGM245" s="15"/>
      <c r="RGN245" s="15"/>
      <c r="RGO245" s="15"/>
      <c r="RGP245" s="15"/>
      <c r="RGQ245" s="15"/>
      <c r="RGR245" s="15"/>
      <c r="RGS245" s="15"/>
      <c r="RGT245" s="10"/>
      <c r="RGU245" s="10"/>
      <c r="RGV245" s="21"/>
      <c r="RGW245" s="21"/>
      <c r="RGZ245" s="21"/>
      <c r="RHA245" s="15"/>
      <c r="RHB245" s="15"/>
      <c r="RHC245" s="15"/>
      <c r="RHD245" s="15"/>
      <c r="RHE245" s="15"/>
      <c r="RHF245" s="15"/>
      <c r="RHG245" s="15"/>
      <c r="RHH245" s="15"/>
      <c r="RHI245" s="15"/>
      <c r="RHJ245" s="15"/>
      <c r="RHK245" s="10"/>
      <c r="RHL245" s="10"/>
      <c r="RHM245" s="21"/>
      <c r="RHN245" s="21"/>
      <c r="RHQ245" s="21"/>
      <c r="RHR245" s="15"/>
      <c r="RHS245" s="15"/>
      <c r="RHT245" s="15"/>
      <c r="RHU245" s="15"/>
      <c r="RHV245" s="15"/>
      <c r="RHW245" s="15"/>
      <c r="RHX245" s="15"/>
      <c r="RHY245" s="15"/>
      <c r="RHZ245" s="15"/>
      <c r="RIA245" s="15"/>
      <c r="RIB245" s="10"/>
      <c r="RIC245" s="10"/>
      <c r="RID245" s="21"/>
      <c r="RIE245" s="21"/>
      <c r="RIH245" s="21"/>
      <c r="RII245" s="15"/>
      <c r="RIJ245" s="15"/>
      <c r="RIK245" s="15"/>
      <c r="RIL245" s="15"/>
      <c r="RIM245" s="15"/>
      <c r="RIN245" s="15"/>
      <c r="RIO245" s="15"/>
      <c r="RIP245" s="15"/>
      <c r="RIQ245" s="15"/>
      <c r="RIR245" s="15"/>
      <c r="RIS245" s="10"/>
      <c r="RIT245" s="10"/>
      <c r="RIU245" s="21"/>
      <c r="RIV245" s="21"/>
      <c r="RIY245" s="21"/>
      <c r="RIZ245" s="15"/>
      <c r="RJA245" s="15"/>
      <c r="RJB245" s="15"/>
      <c r="RJC245" s="15"/>
      <c r="RJD245" s="15"/>
      <c r="RJE245" s="15"/>
      <c r="RJF245" s="15"/>
      <c r="RJG245" s="15"/>
      <c r="RJH245" s="15"/>
      <c r="RJI245" s="15"/>
      <c r="RJJ245" s="10"/>
      <c r="RJK245" s="10"/>
      <c r="RJL245" s="21"/>
      <c r="RJM245" s="21"/>
      <c r="RJP245" s="21"/>
      <c r="RJQ245" s="15"/>
      <c r="RJR245" s="15"/>
      <c r="RJS245" s="15"/>
      <c r="RJT245" s="15"/>
      <c r="RJU245" s="15"/>
      <c r="RJV245" s="15"/>
      <c r="RJW245" s="15"/>
      <c r="RJX245" s="15"/>
      <c r="RJY245" s="15"/>
      <c r="RJZ245" s="15"/>
      <c r="RKA245" s="10"/>
      <c r="RKB245" s="10"/>
      <c r="RKC245" s="21"/>
      <c r="RKD245" s="21"/>
      <c r="RKG245" s="21"/>
      <c r="RKH245" s="15"/>
      <c r="RKI245" s="15"/>
      <c r="RKJ245" s="15"/>
      <c r="RKK245" s="15"/>
      <c r="RKL245" s="15"/>
      <c r="RKM245" s="15"/>
      <c r="RKN245" s="15"/>
      <c r="RKO245" s="15"/>
      <c r="RKP245" s="15"/>
      <c r="RKQ245" s="15"/>
      <c r="RKR245" s="10"/>
      <c r="RKS245" s="10"/>
      <c r="RKT245" s="21"/>
      <c r="RKU245" s="21"/>
      <c r="RKX245" s="21"/>
      <c r="RKY245" s="15"/>
      <c r="RKZ245" s="15"/>
      <c r="RLA245" s="15"/>
      <c r="RLB245" s="15"/>
      <c r="RLC245" s="15"/>
      <c r="RLD245" s="15"/>
      <c r="RLE245" s="15"/>
      <c r="RLF245" s="15"/>
      <c r="RLG245" s="15"/>
      <c r="RLH245" s="15"/>
      <c r="RLI245" s="10"/>
      <c r="RLJ245" s="10"/>
      <c r="RLK245" s="21"/>
      <c r="RLL245" s="21"/>
      <c r="RLO245" s="21"/>
      <c r="RLP245" s="15"/>
      <c r="RLQ245" s="15"/>
      <c r="RLR245" s="15"/>
      <c r="RLS245" s="15"/>
      <c r="RLT245" s="15"/>
      <c r="RLU245" s="15"/>
      <c r="RLV245" s="15"/>
      <c r="RLW245" s="15"/>
      <c r="RLX245" s="15"/>
      <c r="RLY245" s="15"/>
      <c r="RLZ245" s="10"/>
      <c r="RMA245" s="10"/>
      <c r="RMB245" s="21"/>
      <c r="RMC245" s="21"/>
      <c r="RMF245" s="21"/>
      <c r="RMG245" s="15"/>
      <c r="RMH245" s="15"/>
      <c r="RMI245" s="15"/>
      <c r="RMJ245" s="15"/>
      <c r="RMK245" s="15"/>
      <c r="RML245" s="15"/>
      <c r="RMM245" s="15"/>
      <c r="RMN245" s="15"/>
      <c r="RMO245" s="15"/>
      <c r="RMP245" s="15"/>
      <c r="RMQ245" s="10"/>
      <c r="RMR245" s="10"/>
      <c r="RMS245" s="21"/>
      <c r="RMT245" s="21"/>
      <c r="RMW245" s="21"/>
      <c r="RMX245" s="15"/>
      <c r="RMY245" s="15"/>
      <c r="RMZ245" s="15"/>
      <c r="RNA245" s="15"/>
      <c r="RNB245" s="15"/>
      <c r="RNC245" s="15"/>
      <c r="RND245" s="15"/>
      <c r="RNE245" s="15"/>
      <c r="RNF245" s="15"/>
      <c r="RNG245" s="15"/>
      <c r="RNH245" s="10"/>
      <c r="RNI245" s="10"/>
      <c r="RNJ245" s="21"/>
      <c r="RNK245" s="21"/>
      <c r="RNN245" s="21"/>
      <c r="RNO245" s="15"/>
      <c r="RNP245" s="15"/>
      <c r="RNQ245" s="15"/>
      <c r="RNR245" s="15"/>
      <c r="RNS245" s="15"/>
      <c r="RNT245" s="15"/>
      <c r="RNU245" s="15"/>
      <c r="RNV245" s="15"/>
      <c r="RNW245" s="15"/>
      <c r="RNX245" s="15"/>
      <c r="RNY245" s="10"/>
      <c r="RNZ245" s="10"/>
      <c r="ROA245" s="21"/>
      <c r="ROB245" s="21"/>
      <c r="ROE245" s="21"/>
      <c r="ROF245" s="15"/>
      <c r="ROG245" s="15"/>
      <c r="ROH245" s="15"/>
      <c r="ROI245" s="15"/>
      <c r="ROJ245" s="15"/>
      <c r="ROK245" s="15"/>
      <c r="ROL245" s="15"/>
      <c r="ROM245" s="15"/>
      <c r="RON245" s="15"/>
      <c r="ROO245" s="15"/>
      <c r="ROP245" s="10"/>
      <c r="ROQ245" s="10"/>
      <c r="ROR245" s="21"/>
      <c r="ROS245" s="21"/>
      <c r="ROV245" s="21"/>
      <c r="ROW245" s="15"/>
      <c r="ROX245" s="15"/>
      <c r="ROY245" s="15"/>
      <c r="ROZ245" s="15"/>
      <c r="RPA245" s="15"/>
      <c r="RPB245" s="15"/>
      <c r="RPC245" s="15"/>
      <c r="RPD245" s="15"/>
      <c r="RPE245" s="15"/>
      <c r="RPF245" s="15"/>
      <c r="RPG245" s="10"/>
      <c r="RPH245" s="10"/>
      <c r="RPI245" s="21"/>
      <c r="RPJ245" s="21"/>
      <c r="RPM245" s="21"/>
      <c r="RPN245" s="15"/>
      <c r="RPO245" s="15"/>
      <c r="RPP245" s="15"/>
      <c r="RPQ245" s="15"/>
      <c r="RPR245" s="15"/>
      <c r="RPS245" s="15"/>
      <c r="RPT245" s="15"/>
      <c r="RPU245" s="15"/>
      <c r="RPV245" s="15"/>
      <c r="RPW245" s="15"/>
      <c r="RPX245" s="10"/>
      <c r="RPY245" s="10"/>
      <c r="RPZ245" s="21"/>
      <c r="RQA245" s="21"/>
      <c r="RQD245" s="21"/>
      <c r="RQE245" s="15"/>
      <c r="RQF245" s="15"/>
      <c r="RQG245" s="15"/>
      <c r="RQH245" s="15"/>
      <c r="RQI245" s="15"/>
      <c r="RQJ245" s="15"/>
      <c r="RQK245" s="15"/>
      <c r="RQL245" s="15"/>
      <c r="RQM245" s="15"/>
      <c r="RQN245" s="15"/>
      <c r="RQO245" s="10"/>
      <c r="RQP245" s="10"/>
      <c r="RQQ245" s="21"/>
      <c r="RQR245" s="21"/>
      <c r="RQU245" s="21"/>
      <c r="RQV245" s="15"/>
      <c r="RQW245" s="15"/>
      <c r="RQX245" s="15"/>
      <c r="RQY245" s="15"/>
      <c r="RQZ245" s="15"/>
      <c r="RRA245" s="15"/>
      <c r="RRB245" s="15"/>
      <c r="RRC245" s="15"/>
      <c r="RRD245" s="15"/>
      <c r="RRE245" s="15"/>
      <c r="RRF245" s="10"/>
      <c r="RRG245" s="10"/>
      <c r="RRH245" s="21"/>
      <c r="RRI245" s="21"/>
      <c r="RRL245" s="21"/>
      <c r="RRM245" s="15"/>
      <c r="RRN245" s="15"/>
      <c r="RRO245" s="15"/>
      <c r="RRP245" s="15"/>
      <c r="RRQ245" s="15"/>
      <c r="RRR245" s="15"/>
      <c r="RRS245" s="15"/>
      <c r="RRT245" s="15"/>
      <c r="RRU245" s="15"/>
      <c r="RRV245" s="15"/>
      <c r="RRW245" s="10"/>
      <c r="RRX245" s="10"/>
      <c r="RRY245" s="21"/>
      <c r="RRZ245" s="21"/>
      <c r="RSC245" s="21"/>
      <c r="RSD245" s="15"/>
      <c r="RSE245" s="15"/>
      <c r="RSF245" s="15"/>
      <c r="RSG245" s="15"/>
      <c r="RSH245" s="15"/>
      <c r="RSI245" s="15"/>
      <c r="RSJ245" s="15"/>
      <c r="RSK245" s="15"/>
      <c r="RSL245" s="15"/>
      <c r="RSM245" s="15"/>
      <c r="RSN245" s="10"/>
      <c r="RSO245" s="10"/>
      <c r="RSP245" s="21"/>
      <c r="RSQ245" s="21"/>
      <c r="RST245" s="21"/>
      <c r="RSU245" s="15"/>
      <c r="RSV245" s="15"/>
      <c r="RSW245" s="15"/>
      <c r="RSX245" s="15"/>
      <c r="RSY245" s="15"/>
      <c r="RSZ245" s="15"/>
      <c r="RTA245" s="15"/>
      <c r="RTB245" s="15"/>
      <c r="RTC245" s="15"/>
      <c r="RTD245" s="15"/>
      <c r="RTE245" s="10"/>
      <c r="RTF245" s="10"/>
      <c r="RTG245" s="21"/>
      <c r="RTH245" s="21"/>
      <c r="RTK245" s="21"/>
      <c r="RTL245" s="15"/>
      <c r="RTM245" s="15"/>
      <c r="RTN245" s="15"/>
      <c r="RTO245" s="15"/>
      <c r="RTP245" s="15"/>
      <c r="RTQ245" s="15"/>
      <c r="RTR245" s="15"/>
      <c r="RTS245" s="15"/>
      <c r="RTT245" s="15"/>
      <c r="RTU245" s="15"/>
      <c r="RTV245" s="10"/>
      <c r="RTW245" s="10"/>
      <c r="RTX245" s="21"/>
      <c r="RTY245" s="21"/>
      <c r="RUB245" s="21"/>
      <c r="RUC245" s="15"/>
      <c r="RUD245" s="15"/>
      <c r="RUE245" s="15"/>
      <c r="RUF245" s="15"/>
      <c r="RUG245" s="15"/>
      <c r="RUH245" s="15"/>
      <c r="RUI245" s="15"/>
      <c r="RUJ245" s="15"/>
      <c r="RUK245" s="15"/>
      <c r="RUL245" s="15"/>
      <c r="RUM245" s="10"/>
      <c r="RUN245" s="10"/>
      <c r="RUO245" s="21"/>
      <c r="RUP245" s="21"/>
      <c r="RUS245" s="21"/>
      <c r="RUT245" s="15"/>
      <c r="RUU245" s="15"/>
      <c r="RUV245" s="15"/>
      <c r="RUW245" s="15"/>
      <c r="RUX245" s="15"/>
      <c r="RUY245" s="15"/>
      <c r="RUZ245" s="15"/>
      <c r="RVA245" s="15"/>
      <c r="RVB245" s="15"/>
      <c r="RVC245" s="15"/>
      <c r="RVD245" s="10"/>
      <c r="RVE245" s="10"/>
      <c r="RVF245" s="21"/>
      <c r="RVG245" s="21"/>
      <c r="RVJ245" s="21"/>
      <c r="RVK245" s="15"/>
      <c r="RVL245" s="15"/>
      <c r="RVM245" s="15"/>
      <c r="RVN245" s="15"/>
      <c r="RVO245" s="15"/>
      <c r="RVP245" s="15"/>
      <c r="RVQ245" s="15"/>
      <c r="RVR245" s="15"/>
      <c r="RVS245" s="15"/>
      <c r="RVT245" s="15"/>
      <c r="RVU245" s="10"/>
      <c r="RVV245" s="10"/>
      <c r="RVW245" s="21"/>
      <c r="RVX245" s="21"/>
      <c r="RWA245" s="21"/>
      <c r="RWB245" s="15"/>
      <c r="RWC245" s="15"/>
      <c r="RWD245" s="15"/>
      <c r="RWE245" s="15"/>
      <c r="RWF245" s="15"/>
      <c r="RWG245" s="15"/>
      <c r="RWH245" s="15"/>
      <c r="RWI245" s="15"/>
      <c r="RWJ245" s="15"/>
      <c r="RWK245" s="15"/>
      <c r="RWL245" s="10"/>
      <c r="RWM245" s="10"/>
      <c r="RWN245" s="21"/>
      <c r="RWO245" s="21"/>
      <c r="RWR245" s="21"/>
      <c r="RWS245" s="15"/>
      <c r="RWT245" s="15"/>
      <c r="RWU245" s="15"/>
      <c r="RWV245" s="15"/>
      <c r="RWW245" s="15"/>
      <c r="RWX245" s="15"/>
      <c r="RWY245" s="15"/>
      <c r="RWZ245" s="15"/>
      <c r="RXA245" s="15"/>
      <c r="RXB245" s="15"/>
      <c r="RXC245" s="10"/>
      <c r="RXD245" s="10"/>
      <c r="RXE245" s="21"/>
      <c r="RXF245" s="21"/>
      <c r="RXI245" s="21"/>
      <c r="RXJ245" s="15"/>
      <c r="RXK245" s="15"/>
      <c r="RXL245" s="15"/>
      <c r="RXM245" s="15"/>
      <c r="RXN245" s="15"/>
      <c r="RXO245" s="15"/>
      <c r="RXP245" s="15"/>
      <c r="RXQ245" s="15"/>
      <c r="RXR245" s="15"/>
      <c r="RXS245" s="15"/>
      <c r="RXT245" s="10"/>
      <c r="RXU245" s="10"/>
      <c r="RXV245" s="21"/>
      <c r="RXW245" s="21"/>
      <c r="RXZ245" s="21"/>
      <c r="RYA245" s="15"/>
      <c r="RYB245" s="15"/>
      <c r="RYC245" s="15"/>
      <c r="RYD245" s="15"/>
      <c r="RYE245" s="15"/>
      <c r="RYF245" s="15"/>
      <c r="RYG245" s="15"/>
      <c r="RYH245" s="15"/>
      <c r="RYI245" s="15"/>
      <c r="RYJ245" s="15"/>
      <c r="RYK245" s="10"/>
      <c r="RYL245" s="10"/>
      <c r="RYM245" s="21"/>
      <c r="RYN245" s="21"/>
      <c r="RYQ245" s="21"/>
      <c r="RYR245" s="15"/>
      <c r="RYS245" s="15"/>
      <c r="RYT245" s="15"/>
      <c r="RYU245" s="15"/>
      <c r="RYV245" s="15"/>
      <c r="RYW245" s="15"/>
      <c r="RYX245" s="15"/>
      <c r="RYY245" s="15"/>
      <c r="RYZ245" s="15"/>
      <c r="RZA245" s="15"/>
      <c r="RZB245" s="10"/>
      <c r="RZC245" s="10"/>
      <c r="RZD245" s="21"/>
      <c r="RZE245" s="21"/>
      <c r="RZH245" s="21"/>
      <c r="RZI245" s="15"/>
      <c r="RZJ245" s="15"/>
      <c r="RZK245" s="15"/>
      <c r="RZL245" s="15"/>
      <c r="RZM245" s="15"/>
      <c r="RZN245" s="15"/>
      <c r="RZO245" s="15"/>
      <c r="RZP245" s="15"/>
      <c r="RZQ245" s="15"/>
      <c r="RZR245" s="15"/>
      <c r="RZS245" s="10"/>
      <c r="RZT245" s="10"/>
      <c r="RZU245" s="21"/>
      <c r="RZV245" s="21"/>
      <c r="RZY245" s="21"/>
      <c r="RZZ245" s="15"/>
      <c r="SAA245" s="15"/>
      <c r="SAB245" s="15"/>
      <c r="SAC245" s="15"/>
      <c r="SAD245" s="15"/>
      <c r="SAE245" s="15"/>
      <c r="SAF245" s="15"/>
      <c r="SAG245" s="15"/>
      <c r="SAH245" s="15"/>
      <c r="SAI245" s="15"/>
      <c r="SAJ245" s="10"/>
      <c r="SAK245" s="10"/>
      <c r="SAL245" s="21"/>
      <c r="SAM245" s="21"/>
      <c r="SAP245" s="21"/>
      <c r="SAQ245" s="15"/>
      <c r="SAR245" s="15"/>
      <c r="SAS245" s="15"/>
      <c r="SAT245" s="15"/>
      <c r="SAU245" s="15"/>
      <c r="SAV245" s="15"/>
      <c r="SAW245" s="15"/>
      <c r="SAX245" s="15"/>
      <c r="SAY245" s="15"/>
      <c r="SAZ245" s="15"/>
      <c r="SBA245" s="10"/>
      <c r="SBB245" s="10"/>
      <c r="SBC245" s="21"/>
      <c r="SBD245" s="21"/>
      <c r="SBG245" s="21"/>
      <c r="SBH245" s="15"/>
      <c r="SBI245" s="15"/>
      <c r="SBJ245" s="15"/>
      <c r="SBK245" s="15"/>
      <c r="SBL245" s="15"/>
      <c r="SBM245" s="15"/>
      <c r="SBN245" s="15"/>
      <c r="SBO245" s="15"/>
      <c r="SBP245" s="15"/>
      <c r="SBQ245" s="15"/>
      <c r="SBR245" s="10"/>
      <c r="SBS245" s="10"/>
      <c r="SBT245" s="21"/>
      <c r="SBU245" s="21"/>
      <c r="SBX245" s="21"/>
      <c r="SBY245" s="15"/>
      <c r="SBZ245" s="15"/>
      <c r="SCA245" s="15"/>
      <c r="SCB245" s="15"/>
      <c r="SCC245" s="15"/>
      <c r="SCD245" s="15"/>
      <c r="SCE245" s="15"/>
      <c r="SCF245" s="15"/>
      <c r="SCG245" s="15"/>
      <c r="SCH245" s="15"/>
      <c r="SCI245" s="10"/>
      <c r="SCJ245" s="10"/>
      <c r="SCK245" s="21"/>
      <c r="SCL245" s="21"/>
      <c r="SCO245" s="21"/>
      <c r="SCP245" s="15"/>
      <c r="SCQ245" s="15"/>
      <c r="SCR245" s="15"/>
      <c r="SCS245" s="15"/>
      <c r="SCT245" s="15"/>
      <c r="SCU245" s="15"/>
      <c r="SCV245" s="15"/>
      <c r="SCW245" s="15"/>
      <c r="SCX245" s="15"/>
      <c r="SCY245" s="15"/>
      <c r="SCZ245" s="10"/>
      <c r="SDA245" s="10"/>
      <c r="SDB245" s="21"/>
      <c r="SDC245" s="21"/>
      <c r="SDF245" s="21"/>
      <c r="SDG245" s="15"/>
      <c r="SDH245" s="15"/>
      <c r="SDI245" s="15"/>
      <c r="SDJ245" s="15"/>
      <c r="SDK245" s="15"/>
      <c r="SDL245" s="15"/>
      <c r="SDM245" s="15"/>
      <c r="SDN245" s="15"/>
      <c r="SDO245" s="15"/>
      <c r="SDP245" s="15"/>
      <c r="SDQ245" s="10"/>
      <c r="SDR245" s="10"/>
      <c r="SDS245" s="21"/>
      <c r="SDT245" s="21"/>
      <c r="SDW245" s="21"/>
      <c r="SDX245" s="15"/>
      <c r="SDY245" s="15"/>
      <c r="SDZ245" s="15"/>
      <c r="SEA245" s="15"/>
      <c r="SEB245" s="15"/>
      <c r="SEC245" s="15"/>
      <c r="SED245" s="15"/>
      <c r="SEE245" s="15"/>
      <c r="SEF245" s="15"/>
      <c r="SEG245" s="15"/>
      <c r="SEH245" s="10"/>
      <c r="SEI245" s="10"/>
      <c r="SEJ245" s="21"/>
      <c r="SEK245" s="21"/>
      <c r="SEN245" s="21"/>
      <c r="SEO245" s="15"/>
      <c r="SEP245" s="15"/>
      <c r="SEQ245" s="15"/>
      <c r="SER245" s="15"/>
      <c r="SES245" s="15"/>
      <c r="SET245" s="15"/>
      <c r="SEU245" s="15"/>
      <c r="SEV245" s="15"/>
      <c r="SEW245" s="15"/>
      <c r="SEX245" s="15"/>
      <c r="SEY245" s="10"/>
      <c r="SEZ245" s="10"/>
      <c r="SFA245" s="21"/>
      <c r="SFB245" s="21"/>
      <c r="SFE245" s="21"/>
      <c r="SFF245" s="15"/>
      <c r="SFG245" s="15"/>
      <c r="SFH245" s="15"/>
      <c r="SFI245" s="15"/>
      <c r="SFJ245" s="15"/>
      <c r="SFK245" s="15"/>
      <c r="SFL245" s="15"/>
      <c r="SFM245" s="15"/>
      <c r="SFN245" s="15"/>
      <c r="SFO245" s="15"/>
      <c r="SFP245" s="10"/>
      <c r="SFQ245" s="10"/>
      <c r="SFR245" s="21"/>
      <c r="SFS245" s="21"/>
      <c r="SFV245" s="21"/>
      <c r="SFW245" s="15"/>
      <c r="SFX245" s="15"/>
      <c r="SFY245" s="15"/>
      <c r="SFZ245" s="15"/>
      <c r="SGA245" s="15"/>
      <c r="SGB245" s="15"/>
      <c r="SGC245" s="15"/>
      <c r="SGD245" s="15"/>
      <c r="SGE245" s="15"/>
      <c r="SGF245" s="15"/>
      <c r="SGG245" s="10"/>
      <c r="SGH245" s="10"/>
      <c r="SGI245" s="21"/>
      <c r="SGJ245" s="21"/>
      <c r="SGM245" s="21"/>
      <c r="SGN245" s="15"/>
      <c r="SGO245" s="15"/>
      <c r="SGP245" s="15"/>
      <c r="SGQ245" s="15"/>
      <c r="SGR245" s="15"/>
      <c r="SGS245" s="15"/>
      <c r="SGT245" s="15"/>
      <c r="SGU245" s="15"/>
      <c r="SGV245" s="15"/>
      <c r="SGW245" s="15"/>
      <c r="SGX245" s="10"/>
      <c r="SGY245" s="10"/>
      <c r="SGZ245" s="21"/>
      <c r="SHA245" s="21"/>
      <c r="SHD245" s="21"/>
      <c r="SHE245" s="15"/>
      <c r="SHF245" s="15"/>
      <c r="SHG245" s="15"/>
      <c r="SHH245" s="15"/>
      <c r="SHI245" s="15"/>
      <c r="SHJ245" s="15"/>
      <c r="SHK245" s="15"/>
      <c r="SHL245" s="15"/>
      <c r="SHM245" s="15"/>
      <c r="SHN245" s="15"/>
      <c r="SHO245" s="10"/>
      <c r="SHP245" s="10"/>
      <c r="SHQ245" s="21"/>
      <c r="SHR245" s="21"/>
      <c r="SHU245" s="21"/>
      <c r="SHV245" s="15"/>
      <c r="SHW245" s="15"/>
      <c r="SHX245" s="15"/>
      <c r="SHY245" s="15"/>
      <c r="SHZ245" s="15"/>
      <c r="SIA245" s="15"/>
      <c r="SIB245" s="15"/>
      <c r="SIC245" s="15"/>
      <c r="SID245" s="15"/>
      <c r="SIE245" s="15"/>
      <c r="SIF245" s="10"/>
      <c r="SIG245" s="10"/>
      <c r="SIH245" s="21"/>
      <c r="SII245" s="21"/>
      <c r="SIL245" s="21"/>
      <c r="SIM245" s="15"/>
      <c r="SIN245" s="15"/>
      <c r="SIO245" s="15"/>
      <c r="SIP245" s="15"/>
      <c r="SIQ245" s="15"/>
      <c r="SIR245" s="15"/>
      <c r="SIS245" s="15"/>
      <c r="SIT245" s="15"/>
      <c r="SIU245" s="15"/>
      <c r="SIV245" s="15"/>
      <c r="SIW245" s="10"/>
      <c r="SIX245" s="10"/>
      <c r="SIY245" s="21"/>
      <c r="SIZ245" s="21"/>
      <c r="SJC245" s="21"/>
      <c r="SJD245" s="15"/>
      <c r="SJE245" s="15"/>
      <c r="SJF245" s="15"/>
      <c r="SJG245" s="15"/>
      <c r="SJH245" s="15"/>
      <c r="SJI245" s="15"/>
      <c r="SJJ245" s="15"/>
      <c r="SJK245" s="15"/>
      <c r="SJL245" s="15"/>
      <c r="SJM245" s="15"/>
      <c r="SJN245" s="10"/>
      <c r="SJO245" s="10"/>
      <c r="SJP245" s="21"/>
      <c r="SJQ245" s="21"/>
      <c r="SJT245" s="21"/>
      <c r="SJU245" s="15"/>
      <c r="SJV245" s="15"/>
      <c r="SJW245" s="15"/>
      <c r="SJX245" s="15"/>
      <c r="SJY245" s="15"/>
      <c r="SJZ245" s="15"/>
      <c r="SKA245" s="15"/>
      <c r="SKB245" s="15"/>
      <c r="SKC245" s="15"/>
      <c r="SKD245" s="15"/>
      <c r="SKE245" s="10"/>
      <c r="SKF245" s="10"/>
      <c r="SKG245" s="21"/>
      <c r="SKH245" s="21"/>
      <c r="SKK245" s="21"/>
      <c r="SKL245" s="15"/>
      <c r="SKM245" s="15"/>
      <c r="SKN245" s="15"/>
      <c r="SKO245" s="15"/>
      <c r="SKP245" s="15"/>
      <c r="SKQ245" s="15"/>
      <c r="SKR245" s="15"/>
      <c r="SKS245" s="15"/>
      <c r="SKT245" s="15"/>
      <c r="SKU245" s="15"/>
      <c r="SKV245" s="10"/>
      <c r="SKW245" s="10"/>
      <c r="SKX245" s="21"/>
      <c r="SKY245" s="21"/>
      <c r="SLB245" s="21"/>
      <c r="SLC245" s="15"/>
      <c r="SLD245" s="15"/>
      <c r="SLE245" s="15"/>
      <c r="SLF245" s="15"/>
      <c r="SLG245" s="15"/>
      <c r="SLH245" s="15"/>
      <c r="SLI245" s="15"/>
      <c r="SLJ245" s="15"/>
      <c r="SLK245" s="15"/>
      <c r="SLL245" s="15"/>
      <c r="SLM245" s="10"/>
      <c r="SLN245" s="10"/>
      <c r="SLO245" s="21"/>
      <c r="SLP245" s="21"/>
      <c r="SLS245" s="21"/>
      <c r="SLT245" s="15"/>
      <c r="SLU245" s="15"/>
      <c r="SLV245" s="15"/>
      <c r="SLW245" s="15"/>
      <c r="SLX245" s="15"/>
      <c r="SLY245" s="15"/>
      <c r="SLZ245" s="15"/>
      <c r="SMA245" s="15"/>
      <c r="SMB245" s="15"/>
      <c r="SMC245" s="15"/>
      <c r="SMD245" s="10"/>
      <c r="SME245" s="10"/>
      <c r="SMF245" s="21"/>
      <c r="SMG245" s="21"/>
      <c r="SMJ245" s="21"/>
      <c r="SMK245" s="15"/>
      <c r="SML245" s="15"/>
      <c r="SMM245" s="15"/>
      <c r="SMN245" s="15"/>
      <c r="SMO245" s="15"/>
      <c r="SMP245" s="15"/>
      <c r="SMQ245" s="15"/>
      <c r="SMR245" s="15"/>
      <c r="SMS245" s="15"/>
      <c r="SMT245" s="15"/>
      <c r="SMU245" s="10"/>
      <c r="SMV245" s="10"/>
      <c r="SMW245" s="21"/>
      <c r="SMX245" s="21"/>
      <c r="SNA245" s="21"/>
      <c r="SNB245" s="15"/>
      <c r="SNC245" s="15"/>
      <c r="SND245" s="15"/>
      <c r="SNE245" s="15"/>
      <c r="SNF245" s="15"/>
      <c r="SNG245" s="15"/>
      <c r="SNH245" s="15"/>
      <c r="SNI245" s="15"/>
      <c r="SNJ245" s="15"/>
      <c r="SNK245" s="15"/>
      <c r="SNL245" s="10"/>
      <c r="SNM245" s="10"/>
      <c r="SNN245" s="21"/>
      <c r="SNO245" s="21"/>
      <c r="SNR245" s="21"/>
      <c r="SNS245" s="15"/>
      <c r="SNT245" s="15"/>
      <c r="SNU245" s="15"/>
      <c r="SNV245" s="15"/>
      <c r="SNW245" s="15"/>
      <c r="SNX245" s="15"/>
      <c r="SNY245" s="15"/>
      <c r="SNZ245" s="15"/>
      <c r="SOA245" s="15"/>
      <c r="SOB245" s="15"/>
      <c r="SOC245" s="10"/>
      <c r="SOD245" s="10"/>
      <c r="SOE245" s="21"/>
      <c r="SOF245" s="21"/>
      <c r="SOI245" s="21"/>
      <c r="SOJ245" s="15"/>
      <c r="SOK245" s="15"/>
      <c r="SOL245" s="15"/>
      <c r="SOM245" s="15"/>
      <c r="SON245" s="15"/>
      <c r="SOO245" s="15"/>
      <c r="SOP245" s="15"/>
      <c r="SOQ245" s="15"/>
      <c r="SOR245" s="15"/>
      <c r="SOS245" s="15"/>
      <c r="SOT245" s="10"/>
      <c r="SOU245" s="10"/>
      <c r="SOV245" s="21"/>
      <c r="SOW245" s="21"/>
      <c r="SOZ245" s="21"/>
      <c r="SPA245" s="15"/>
      <c r="SPB245" s="15"/>
      <c r="SPC245" s="15"/>
      <c r="SPD245" s="15"/>
      <c r="SPE245" s="15"/>
      <c r="SPF245" s="15"/>
      <c r="SPG245" s="15"/>
      <c r="SPH245" s="15"/>
      <c r="SPI245" s="15"/>
      <c r="SPJ245" s="15"/>
      <c r="SPK245" s="10"/>
      <c r="SPL245" s="10"/>
      <c r="SPM245" s="21"/>
      <c r="SPN245" s="21"/>
      <c r="SPQ245" s="21"/>
      <c r="SPR245" s="15"/>
      <c r="SPS245" s="15"/>
      <c r="SPT245" s="15"/>
      <c r="SPU245" s="15"/>
      <c r="SPV245" s="15"/>
      <c r="SPW245" s="15"/>
      <c r="SPX245" s="15"/>
      <c r="SPY245" s="15"/>
      <c r="SPZ245" s="15"/>
      <c r="SQA245" s="15"/>
      <c r="SQB245" s="10"/>
      <c r="SQC245" s="10"/>
      <c r="SQD245" s="21"/>
      <c r="SQE245" s="21"/>
      <c r="SQH245" s="21"/>
      <c r="SQI245" s="15"/>
      <c r="SQJ245" s="15"/>
      <c r="SQK245" s="15"/>
      <c r="SQL245" s="15"/>
      <c r="SQM245" s="15"/>
      <c r="SQN245" s="15"/>
      <c r="SQO245" s="15"/>
      <c r="SQP245" s="15"/>
      <c r="SQQ245" s="15"/>
      <c r="SQR245" s="15"/>
      <c r="SQS245" s="10"/>
      <c r="SQT245" s="10"/>
      <c r="SQU245" s="21"/>
      <c r="SQV245" s="21"/>
      <c r="SQY245" s="21"/>
      <c r="SQZ245" s="15"/>
      <c r="SRA245" s="15"/>
      <c r="SRB245" s="15"/>
      <c r="SRC245" s="15"/>
      <c r="SRD245" s="15"/>
      <c r="SRE245" s="15"/>
      <c r="SRF245" s="15"/>
      <c r="SRG245" s="15"/>
      <c r="SRH245" s="15"/>
      <c r="SRI245" s="15"/>
      <c r="SRJ245" s="10"/>
      <c r="SRK245" s="10"/>
      <c r="SRL245" s="21"/>
      <c r="SRM245" s="21"/>
      <c r="SRP245" s="21"/>
      <c r="SRQ245" s="15"/>
      <c r="SRR245" s="15"/>
      <c r="SRS245" s="15"/>
      <c r="SRT245" s="15"/>
      <c r="SRU245" s="15"/>
      <c r="SRV245" s="15"/>
      <c r="SRW245" s="15"/>
      <c r="SRX245" s="15"/>
      <c r="SRY245" s="15"/>
      <c r="SRZ245" s="15"/>
      <c r="SSA245" s="10"/>
      <c r="SSB245" s="10"/>
      <c r="SSC245" s="21"/>
      <c r="SSD245" s="21"/>
      <c r="SSG245" s="21"/>
      <c r="SSH245" s="15"/>
      <c r="SSI245" s="15"/>
      <c r="SSJ245" s="15"/>
      <c r="SSK245" s="15"/>
      <c r="SSL245" s="15"/>
      <c r="SSM245" s="15"/>
      <c r="SSN245" s="15"/>
      <c r="SSO245" s="15"/>
      <c r="SSP245" s="15"/>
      <c r="SSQ245" s="15"/>
      <c r="SSR245" s="10"/>
      <c r="SSS245" s="10"/>
      <c r="SST245" s="21"/>
      <c r="SSU245" s="21"/>
      <c r="SSX245" s="21"/>
      <c r="SSY245" s="15"/>
      <c r="SSZ245" s="15"/>
      <c r="STA245" s="15"/>
      <c r="STB245" s="15"/>
      <c r="STC245" s="15"/>
      <c r="STD245" s="15"/>
      <c r="STE245" s="15"/>
      <c r="STF245" s="15"/>
      <c r="STG245" s="15"/>
      <c r="STH245" s="15"/>
      <c r="STI245" s="10"/>
      <c r="STJ245" s="10"/>
      <c r="STK245" s="21"/>
      <c r="STL245" s="21"/>
      <c r="STO245" s="21"/>
      <c r="STP245" s="15"/>
      <c r="STQ245" s="15"/>
      <c r="STR245" s="15"/>
      <c r="STS245" s="15"/>
      <c r="STT245" s="15"/>
      <c r="STU245" s="15"/>
      <c r="STV245" s="15"/>
      <c r="STW245" s="15"/>
      <c r="STX245" s="15"/>
      <c r="STY245" s="15"/>
      <c r="STZ245" s="10"/>
      <c r="SUA245" s="10"/>
      <c r="SUB245" s="21"/>
      <c r="SUC245" s="21"/>
      <c r="SUF245" s="21"/>
      <c r="SUG245" s="15"/>
      <c r="SUH245" s="15"/>
      <c r="SUI245" s="15"/>
      <c r="SUJ245" s="15"/>
      <c r="SUK245" s="15"/>
      <c r="SUL245" s="15"/>
      <c r="SUM245" s="15"/>
      <c r="SUN245" s="15"/>
      <c r="SUO245" s="15"/>
      <c r="SUP245" s="15"/>
      <c r="SUQ245" s="10"/>
      <c r="SUR245" s="10"/>
      <c r="SUS245" s="21"/>
      <c r="SUT245" s="21"/>
      <c r="SUW245" s="21"/>
      <c r="SUX245" s="15"/>
      <c r="SUY245" s="15"/>
      <c r="SUZ245" s="15"/>
      <c r="SVA245" s="15"/>
      <c r="SVB245" s="15"/>
      <c r="SVC245" s="15"/>
      <c r="SVD245" s="15"/>
      <c r="SVE245" s="15"/>
      <c r="SVF245" s="15"/>
      <c r="SVG245" s="15"/>
      <c r="SVH245" s="10"/>
      <c r="SVI245" s="10"/>
      <c r="SVJ245" s="21"/>
      <c r="SVK245" s="21"/>
      <c r="SVN245" s="21"/>
      <c r="SVO245" s="15"/>
      <c r="SVP245" s="15"/>
      <c r="SVQ245" s="15"/>
      <c r="SVR245" s="15"/>
      <c r="SVS245" s="15"/>
      <c r="SVT245" s="15"/>
      <c r="SVU245" s="15"/>
      <c r="SVV245" s="15"/>
      <c r="SVW245" s="15"/>
      <c r="SVX245" s="15"/>
      <c r="SVY245" s="10"/>
      <c r="SVZ245" s="10"/>
      <c r="SWA245" s="21"/>
      <c r="SWB245" s="21"/>
      <c r="SWE245" s="21"/>
      <c r="SWF245" s="15"/>
      <c r="SWG245" s="15"/>
      <c r="SWH245" s="15"/>
      <c r="SWI245" s="15"/>
      <c r="SWJ245" s="15"/>
      <c r="SWK245" s="15"/>
      <c r="SWL245" s="15"/>
      <c r="SWM245" s="15"/>
      <c r="SWN245" s="15"/>
      <c r="SWO245" s="15"/>
      <c r="SWP245" s="10"/>
      <c r="SWQ245" s="10"/>
      <c r="SWR245" s="21"/>
      <c r="SWS245" s="21"/>
      <c r="SWV245" s="21"/>
      <c r="SWW245" s="15"/>
      <c r="SWX245" s="15"/>
      <c r="SWY245" s="15"/>
      <c r="SWZ245" s="15"/>
      <c r="SXA245" s="15"/>
      <c r="SXB245" s="15"/>
      <c r="SXC245" s="15"/>
      <c r="SXD245" s="15"/>
      <c r="SXE245" s="15"/>
      <c r="SXF245" s="15"/>
      <c r="SXG245" s="10"/>
      <c r="SXH245" s="10"/>
      <c r="SXI245" s="21"/>
      <c r="SXJ245" s="21"/>
      <c r="SXM245" s="21"/>
      <c r="SXN245" s="15"/>
      <c r="SXO245" s="15"/>
      <c r="SXP245" s="15"/>
      <c r="SXQ245" s="15"/>
      <c r="SXR245" s="15"/>
      <c r="SXS245" s="15"/>
      <c r="SXT245" s="15"/>
      <c r="SXU245" s="15"/>
      <c r="SXV245" s="15"/>
      <c r="SXW245" s="15"/>
      <c r="SXX245" s="10"/>
      <c r="SXY245" s="10"/>
      <c r="SXZ245" s="21"/>
      <c r="SYA245" s="21"/>
      <c r="SYD245" s="21"/>
      <c r="SYE245" s="15"/>
      <c r="SYF245" s="15"/>
      <c r="SYG245" s="15"/>
      <c r="SYH245" s="15"/>
      <c r="SYI245" s="15"/>
      <c r="SYJ245" s="15"/>
      <c r="SYK245" s="15"/>
      <c r="SYL245" s="15"/>
      <c r="SYM245" s="15"/>
      <c r="SYN245" s="15"/>
      <c r="SYO245" s="10"/>
      <c r="SYP245" s="10"/>
      <c r="SYQ245" s="21"/>
      <c r="SYR245" s="21"/>
      <c r="SYU245" s="21"/>
      <c r="SYV245" s="15"/>
      <c r="SYW245" s="15"/>
      <c r="SYX245" s="15"/>
      <c r="SYY245" s="15"/>
      <c r="SYZ245" s="15"/>
      <c r="SZA245" s="15"/>
      <c r="SZB245" s="15"/>
      <c r="SZC245" s="15"/>
      <c r="SZD245" s="15"/>
      <c r="SZE245" s="15"/>
      <c r="SZF245" s="10"/>
      <c r="SZG245" s="10"/>
      <c r="SZH245" s="21"/>
      <c r="SZI245" s="21"/>
      <c r="SZL245" s="21"/>
      <c r="SZM245" s="15"/>
      <c r="SZN245" s="15"/>
      <c r="SZO245" s="15"/>
      <c r="SZP245" s="15"/>
      <c r="SZQ245" s="15"/>
      <c r="SZR245" s="15"/>
      <c r="SZS245" s="15"/>
      <c r="SZT245" s="15"/>
      <c r="SZU245" s="15"/>
      <c r="SZV245" s="15"/>
      <c r="SZW245" s="10"/>
      <c r="SZX245" s="10"/>
      <c r="SZY245" s="21"/>
      <c r="SZZ245" s="21"/>
      <c r="TAC245" s="21"/>
      <c r="TAD245" s="15"/>
      <c r="TAE245" s="15"/>
      <c r="TAF245" s="15"/>
      <c r="TAG245" s="15"/>
      <c r="TAH245" s="15"/>
      <c r="TAI245" s="15"/>
      <c r="TAJ245" s="15"/>
      <c r="TAK245" s="15"/>
      <c r="TAL245" s="15"/>
      <c r="TAM245" s="15"/>
      <c r="TAN245" s="10"/>
      <c r="TAO245" s="10"/>
      <c r="TAP245" s="21"/>
      <c r="TAQ245" s="21"/>
      <c r="TAT245" s="21"/>
      <c r="TAU245" s="15"/>
      <c r="TAV245" s="15"/>
      <c r="TAW245" s="15"/>
      <c r="TAX245" s="15"/>
      <c r="TAY245" s="15"/>
      <c r="TAZ245" s="15"/>
      <c r="TBA245" s="15"/>
      <c r="TBB245" s="15"/>
      <c r="TBC245" s="15"/>
      <c r="TBD245" s="15"/>
      <c r="TBE245" s="10"/>
      <c r="TBF245" s="10"/>
      <c r="TBG245" s="21"/>
      <c r="TBH245" s="21"/>
      <c r="TBK245" s="21"/>
      <c r="TBL245" s="15"/>
      <c r="TBM245" s="15"/>
      <c r="TBN245" s="15"/>
      <c r="TBO245" s="15"/>
      <c r="TBP245" s="15"/>
      <c r="TBQ245" s="15"/>
      <c r="TBR245" s="15"/>
      <c r="TBS245" s="15"/>
      <c r="TBT245" s="15"/>
      <c r="TBU245" s="15"/>
      <c r="TBV245" s="10"/>
      <c r="TBW245" s="10"/>
      <c r="TBX245" s="21"/>
      <c r="TBY245" s="21"/>
      <c r="TCB245" s="21"/>
      <c r="TCC245" s="15"/>
      <c r="TCD245" s="15"/>
      <c r="TCE245" s="15"/>
      <c r="TCF245" s="15"/>
      <c r="TCG245" s="15"/>
      <c r="TCH245" s="15"/>
      <c r="TCI245" s="15"/>
      <c r="TCJ245" s="15"/>
      <c r="TCK245" s="15"/>
      <c r="TCL245" s="15"/>
      <c r="TCM245" s="10"/>
      <c r="TCN245" s="10"/>
      <c r="TCO245" s="21"/>
      <c r="TCP245" s="21"/>
      <c r="TCS245" s="21"/>
      <c r="TCT245" s="15"/>
      <c r="TCU245" s="15"/>
      <c r="TCV245" s="15"/>
      <c r="TCW245" s="15"/>
      <c r="TCX245" s="15"/>
      <c r="TCY245" s="15"/>
      <c r="TCZ245" s="15"/>
      <c r="TDA245" s="15"/>
      <c r="TDB245" s="15"/>
      <c r="TDC245" s="15"/>
      <c r="TDD245" s="10"/>
      <c r="TDE245" s="10"/>
      <c r="TDF245" s="21"/>
      <c r="TDG245" s="21"/>
      <c r="TDJ245" s="21"/>
      <c r="TDK245" s="15"/>
      <c r="TDL245" s="15"/>
      <c r="TDM245" s="15"/>
      <c r="TDN245" s="15"/>
      <c r="TDO245" s="15"/>
      <c r="TDP245" s="15"/>
      <c r="TDQ245" s="15"/>
      <c r="TDR245" s="15"/>
      <c r="TDS245" s="15"/>
      <c r="TDT245" s="15"/>
      <c r="TDU245" s="10"/>
      <c r="TDV245" s="10"/>
      <c r="TDW245" s="21"/>
      <c r="TDX245" s="21"/>
      <c r="TEA245" s="21"/>
      <c r="TEB245" s="15"/>
      <c r="TEC245" s="15"/>
      <c r="TED245" s="15"/>
      <c r="TEE245" s="15"/>
      <c r="TEF245" s="15"/>
      <c r="TEG245" s="15"/>
      <c r="TEH245" s="15"/>
      <c r="TEI245" s="15"/>
      <c r="TEJ245" s="15"/>
      <c r="TEK245" s="15"/>
      <c r="TEL245" s="10"/>
      <c r="TEM245" s="10"/>
      <c r="TEN245" s="21"/>
      <c r="TEO245" s="21"/>
      <c r="TER245" s="21"/>
      <c r="TES245" s="15"/>
      <c r="TET245" s="15"/>
      <c r="TEU245" s="15"/>
      <c r="TEV245" s="15"/>
      <c r="TEW245" s="15"/>
      <c r="TEX245" s="15"/>
      <c r="TEY245" s="15"/>
      <c r="TEZ245" s="15"/>
      <c r="TFA245" s="15"/>
      <c r="TFB245" s="15"/>
      <c r="TFC245" s="10"/>
      <c r="TFD245" s="10"/>
      <c r="TFE245" s="21"/>
      <c r="TFF245" s="21"/>
      <c r="TFI245" s="21"/>
      <c r="TFJ245" s="15"/>
      <c r="TFK245" s="15"/>
      <c r="TFL245" s="15"/>
      <c r="TFM245" s="15"/>
      <c r="TFN245" s="15"/>
      <c r="TFO245" s="15"/>
      <c r="TFP245" s="15"/>
      <c r="TFQ245" s="15"/>
      <c r="TFR245" s="15"/>
      <c r="TFS245" s="15"/>
      <c r="TFT245" s="10"/>
      <c r="TFU245" s="10"/>
      <c r="TFV245" s="21"/>
      <c r="TFW245" s="21"/>
      <c r="TFZ245" s="21"/>
      <c r="TGA245" s="15"/>
      <c r="TGB245" s="15"/>
      <c r="TGC245" s="15"/>
      <c r="TGD245" s="15"/>
      <c r="TGE245" s="15"/>
      <c r="TGF245" s="15"/>
      <c r="TGG245" s="15"/>
      <c r="TGH245" s="15"/>
      <c r="TGI245" s="15"/>
      <c r="TGJ245" s="15"/>
      <c r="TGK245" s="10"/>
      <c r="TGL245" s="10"/>
      <c r="TGM245" s="21"/>
      <c r="TGN245" s="21"/>
      <c r="TGQ245" s="21"/>
      <c r="TGR245" s="15"/>
      <c r="TGS245" s="15"/>
      <c r="TGT245" s="15"/>
      <c r="TGU245" s="15"/>
      <c r="TGV245" s="15"/>
      <c r="TGW245" s="15"/>
      <c r="TGX245" s="15"/>
      <c r="TGY245" s="15"/>
      <c r="TGZ245" s="15"/>
      <c r="THA245" s="15"/>
      <c r="THB245" s="10"/>
      <c r="THC245" s="10"/>
      <c r="THD245" s="21"/>
      <c r="THE245" s="21"/>
      <c r="THH245" s="21"/>
      <c r="THI245" s="15"/>
      <c r="THJ245" s="15"/>
      <c r="THK245" s="15"/>
      <c r="THL245" s="15"/>
      <c r="THM245" s="15"/>
      <c r="THN245" s="15"/>
      <c r="THO245" s="15"/>
      <c r="THP245" s="15"/>
      <c r="THQ245" s="15"/>
      <c r="THR245" s="15"/>
      <c r="THS245" s="10"/>
      <c r="THT245" s="10"/>
      <c r="THU245" s="21"/>
      <c r="THV245" s="21"/>
      <c r="THY245" s="21"/>
      <c r="THZ245" s="15"/>
      <c r="TIA245" s="15"/>
      <c r="TIB245" s="15"/>
      <c r="TIC245" s="15"/>
      <c r="TID245" s="15"/>
      <c r="TIE245" s="15"/>
      <c r="TIF245" s="15"/>
      <c r="TIG245" s="15"/>
      <c r="TIH245" s="15"/>
      <c r="TII245" s="15"/>
      <c r="TIJ245" s="10"/>
      <c r="TIK245" s="10"/>
      <c r="TIL245" s="21"/>
      <c r="TIM245" s="21"/>
      <c r="TIP245" s="21"/>
      <c r="TIQ245" s="15"/>
      <c r="TIR245" s="15"/>
      <c r="TIS245" s="15"/>
      <c r="TIT245" s="15"/>
      <c r="TIU245" s="15"/>
      <c r="TIV245" s="15"/>
      <c r="TIW245" s="15"/>
      <c r="TIX245" s="15"/>
      <c r="TIY245" s="15"/>
      <c r="TIZ245" s="15"/>
      <c r="TJA245" s="10"/>
      <c r="TJB245" s="10"/>
      <c r="TJC245" s="21"/>
      <c r="TJD245" s="21"/>
      <c r="TJG245" s="21"/>
      <c r="TJH245" s="15"/>
      <c r="TJI245" s="15"/>
      <c r="TJJ245" s="15"/>
      <c r="TJK245" s="15"/>
      <c r="TJL245" s="15"/>
      <c r="TJM245" s="15"/>
      <c r="TJN245" s="15"/>
      <c r="TJO245" s="15"/>
      <c r="TJP245" s="15"/>
      <c r="TJQ245" s="15"/>
      <c r="TJR245" s="10"/>
      <c r="TJS245" s="10"/>
      <c r="TJT245" s="21"/>
      <c r="TJU245" s="21"/>
      <c r="TJX245" s="21"/>
      <c r="TJY245" s="15"/>
      <c r="TJZ245" s="15"/>
      <c r="TKA245" s="15"/>
      <c r="TKB245" s="15"/>
      <c r="TKC245" s="15"/>
      <c r="TKD245" s="15"/>
      <c r="TKE245" s="15"/>
      <c r="TKF245" s="15"/>
      <c r="TKG245" s="15"/>
      <c r="TKH245" s="15"/>
      <c r="TKI245" s="10"/>
      <c r="TKJ245" s="10"/>
      <c r="TKK245" s="21"/>
      <c r="TKL245" s="21"/>
      <c r="TKO245" s="21"/>
      <c r="TKP245" s="15"/>
      <c r="TKQ245" s="15"/>
      <c r="TKR245" s="15"/>
      <c r="TKS245" s="15"/>
      <c r="TKT245" s="15"/>
      <c r="TKU245" s="15"/>
      <c r="TKV245" s="15"/>
      <c r="TKW245" s="15"/>
      <c r="TKX245" s="15"/>
      <c r="TKY245" s="15"/>
      <c r="TKZ245" s="10"/>
      <c r="TLA245" s="10"/>
      <c r="TLB245" s="21"/>
      <c r="TLC245" s="21"/>
      <c r="TLF245" s="21"/>
      <c r="TLG245" s="15"/>
      <c r="TLH245" s="15"/>
      <c r="TLI245" s="15"/>
      <c r="TLJ245" s="15"/>
      <c r="TLK245" s="15"/>
      <c r="TLL245" s="15"/>
      <c r="TLM245" s="15"/>
      <c r="TLN245" s="15"/>
      <c r="TLO245" s="15"/>
      <c r="TLP245" s="15"/>
      <c r="TLQ245" s="10"/>
      <c r="TLR245" s="10"/>
      <c r="TLS245" s="21"/>
      <c r="TLT245" s="21"/>
      <c r="TLW245" s="21"/>
      <c r="TLX245" s="15"/>
      <c r="TLY245" s="15"/>
      <c r="TLZ245" s="15"/>
      <c r="TMA245" s="15"/>
      <c r="TMB245" s="15"/>
      <c r="TMC245" s="15"/>
      <c r="TMD245" s="15"/>
      <c r="TME245" s="15"/>
      <c r="TMF245" s="15"/>
      <c r="TMG245" s="15"/>
      <c r="TMH245" s="10"/>
      <c r="TMI245" s="10"/>
      <c r="TMJ245" s="21"/>
      <c r="TMK245" s="21"/>
      <c r="TMN245" s="21"/>
      <c r="TMO245" s="15"/>
      <c r="TMP245" s="15"/>
      <c r="TMQ245" s="15"/>
      <c r="TMR245" s="15"/>
      <c r="TMS245" s="15"/>
      <c r="TMT245" s="15"/>
      <c r="TMU245" s="15"/>
      <c r="TMV245" s="15"/>
      <c r="TMW245" s="15"/>
      <c r="TMX245" s="15"/>
      <c r="TMY245" s="10"/>
      <c r="TMZ245" s="10"/>
      <c r="TNA245" s="21"/>
      <c r="TNB245" s="21"/>
      <c r="TNE245" s="21"/>
      <c r="TNF245" s="15"/>
      <c r="TNG245" s="15"/>
      <c r="TNH245" s="15"/>
      <c r="TNI245" s="15"/>
      <c r="TNJ245" s="15"/>
      <c r="TNK245" s="15"/>
      <c r="TNL245" s="15"/>
      <c r="TNM245" s="15"/>
      <c r="TNN245" s="15"/>
      <c r="TNO245" s="15"/>
      <c r="TNP245" s="10"/>
      <c r="TNQ245" s="10"/>
      <c r="TNR245" s="21"/>
      <c r="TNS245" s="21"/>
      <c r="TNV245" s="21"/>
      <c r="TNW245" s="15"/>
      <c r="TNX245" s="15"/>
      <c r="TNY245" s="15"/>
      <c r="TNZ245" s="15"/>
      <c r="TOA245" s="15"/>
      <c r="TOB245" s="15"/>
      <c r="TOC245" s="15"/>
      <c r="TOD245" s="15"/>
      <c r="TOE245" s="15"/>
      <c r="TOF245" s="15"/>
      <c r="TOG245" s="10"/>
      <c r="TOH245" s="10"/>
      <c r="TOI245" s="21"/>
      <c r="TOJ245" s="21"/>
      <c r="TOM245" s="21"/>
      <c r="TON245" s="15"/>
      <c r="TOO245" s="15"/>
      <c r="TOP245" s="15"/>
      <c r="TOQ245" s="15"/>
      <c r="TOR245" s="15"/>
      <c r="TOS245" s="15"/>
      <c r="TOT245" s="15"/>
      <c r="TOU245" s="15"/>
      <c r="TOV245" s="15"/>
      <c r="TOW245" s="15"/>
      <c r="TOX245" s="10"/>
      <c r="TOY245" s="10"/>
      <c r="TOZ245" s="21"/>
      <c r="TPA245" s="21"/>
      <c r="TPD245" s="21"/>
      <c r="TPE245" s="15"/>
      <c r="TPF245" s="15"/>
      <c r="TPG245" s="15"/>
      <c r="TPH245" s="15"/>
      <c r="TPI245" s="15"/>
      <c r="TPJ245" s="15"/>
      <c r="TPK245" s="15"/>
      <c r="TPL245" s="15"/>
      <c r="TPM245" s="15"/>
      <c r="TPN245" s="15"/>
      <c r="TPO245" s="10"/>
      <c r="TPP245" s="10"/>
      <c r="TPQ245" s="21"/>
      <c r="TPR245" s="21"/>
      <c r="TPU245" s="21"/>
      <c r="TPV245" s="15"/>
      <c r="TPW245" s="15"/>
      <c r="TPX245" s="15"/>
      <c r="TPY245" s="15"/>
      <c r="TPZ245" s="15"/>
      <c r="TQA245" s="15"/>
      <c r="TQB245" s="15"/>
      <c r="TQC245" s="15"/>
      <c r="TQD245" s="15"/>
      <c r="TQE245" s="15"/>
      <c r="TQF245" s="10"/>
      <c r="TQG245" s="10"/>
      <c r="TQH245" s="21"/>
      <c r="TQI245" s="21"/>
      <c r="TQL245" s="21"/>
      <c r="TQM245" s="15"/>
      <c r="TQN245" s="15"/>
      <c r="TQO245" s="15"/>
      <c r="TQP245" s="15"/>
      <c r="TQQ245" s="15"/>
      <c r="TQR245" s="15"/>
      <c r="TQS245" s="15"/>
      <c r="TQT245" s="15"/>
      <c r="TQU245" s="15"/>
      <c r="TQV245" s="15"/>
      <c r="TQW245" s="10"/>
      <c r="TQX245" s="10"/>
      <c r="TQY245" s="21"/>
      <c r="TQZ245" s="21"/>
      <c r="TRC245" s="21"/>
      <c r="TRD245" s="15"/>
      <c r="TRE245" s="15"/>
      <c r="TRF245" s="15"/>
      <c r="TRG245" s="15"/>
      <c r="TRH245" s="15"/>
      <c r="TRI245" s="15"/>
      <c r="TRJ245" s="15"/>
      <c r="TRK245" s="15"/>
      <c r="TRL245" s="15"/>
      <c r="TRM245" s="15"/>
      <c r="TRN245" s="10"/>
      <c r="TRO245" s="10"/>
      <c r="TRP245" s="21"/>
      <c r="TRQ245" s="21"/>
      <c r="TRT245" s="21"/>
      <c r="TRU245" s="15"/>
      <c r="TRV245" s="15"/>
      <c r="TRW245" s="15"/>
      <c r="TRX245" s="15"/>
      <c r="TRY245" s="15"/>
      <c r="TRZ245" s="15"/>
      <c r="TSA245" s="15"/>
      <c r="TSB245" s="15"/>
      <c r="TSC245" s="15"/>
      <c r="TSD245" s="15"/>
      <c r="TSE245" s="10"/>
      <c r="TSF245" s="10"/>
      <c r="TSG245" s="21"/>
      <c r="TSH245" s="21"/>
      <c r="TSK245" s="21"/>
      <c r="TSL245" s="15"/>
      <c r="TSM245" s="15"/>
      <c r="TSN245" s="15"/>
      <c r="TSO245" s="15"/>
      <c r="TSP245" s="15"/>
      <c r="TSQ245" s="15"/>
      <c r="TSR245" s="15"/>
      <c r="TSS245" s="15"/>
      <c r="TST245" s="15"/>
      <c r="TSU245" s="15"/>
      <c r="TSV245" s="10"/>
      <c r="TSW245" s="10"/>
      <c r="TSX245" s="21"/>
      <c r="TSY245" s="21"/>
      <c r="TTB245" s="21"/>
      <c r="TTC245" s="15"/>
      <c r="TTD245" s="15"/>
      <c r="TTE245" s="15"/>
      <c r="TTF245" s="15"/>
      <c r="TTG245" s="15"/>
      <c r="TTH245" s="15"/>
      <c r="TTI245" s="15"/>
      <c r="TTJ245" s="15"/>
      <c r="TTK245" s="15"/>
      <c r="TTL245" s="15"/>
      <c r="TTM245" s="10"/>
      <c r="TTN245" s="10"/>
      <c r="TTO245" s="21"/>
      <c r="TTP245" s="21"/>
      <c r="TTS245" s="21"/>
      <c r="TTT245" s="15"/>
      <c r="TTU245" s="15"/>
      <c r="TTV245" s="15"/>
      <c r="TTW245" s="15"/>
      <c r="TTX245" s="15"/>
      <c r="TTY245" s="15"/>
      <c r="TTZ245" s="15"/>
      <c r="TUA245" s="15"/>
      <c r="TUB245" s="15"/>
      <c r="TUC245" s="15"/>
      <c r="TUD245" s="10"/>
      <c r="TUE245" s="10"/>
      <c r="TUF245" s="21"/>
      <c r="TUG245" s="21"/>
      <c r="TUJ245" s="21"/>
      <c r="TUK245" s="15"/>
      <c r="TUL245" s="15"/>
      <c r="TUM245" s="15"/>
      <c r="TUN245" s="15"/>
      <c r="TUO245" s="15"/>
      <c r="TUP245" s="15"/>
      <c r="TUQ245" s="15"/>
      <c r="TUR245" s="15"/>
      <c r="TUS245" s="15"/>
      <c r="TUT245" s="15"/>
      <c r="TUU245" s="10"/>
      <c r="TUV245" s="10"/>
      <c r="TUW245" s="21"/>
      <c r="TUX245" s="21"/>
      <c r="TVA245" s="21"/>
      <c r="TVB245" s="15"/>
      <c r="TVC245" s="15"/>
      <c r="TVD245" s="15"/>
      <c r="TVE245" s="15"/>
      <c r="TVF245" s="15"/>
      <c r="TVG245" s="15"/>
      <c r="TVH245" s="15"/>
      <c r="TVI245" s="15"/>
      <c r="TVJ245" s="15"/>
      <c r="TVK245" s="15"/>
      <c r="TVL245" s="10"/>
      <c r="TVM245" s="10"/>
      <c r="TVN245" s="21"/>
      <c r="TVO245" s="21"/>
      <c r="TVR245" s="21"/>
      <c r="TVS245" s="15"/>
      <c r="TVT245" s="15"/>
      <c r="TVU245" s="15"/>
      <c r="TVV245" s="15"/>
      <c r="TVW245" s="15"/>
      <c r="TVX245" s="15"/>
      <c r="TVY245" s="15"/>
      <c r="TVZ245" s="15"/>
      <c r="TWA245" s="15"/>
      <c r="TWB245" s="15"/>
      <c r="TWC245" s="10"/>
      <c r="TWD245" s="10"/>
      <c r="TWE245" s="21"/>
      <c r="TWF245" s="21"/>
      <c r="TWI245" s="21"/>
      <c r="TWJ245" s="15"/>
      <c r="TWK245" s="15"/>
      <c r="TWL245" s="15"/>
      <c r="TWM245" s="15"/>
      <c r="TWN245" s="15"/>
      <c r="TWO245" s="15"/>
      <c r="TWP245" s="15"/>
      <c r="TWQ245" s="15"/>
      <c r="TWR245" s="15"/>
      <c r="TWS245" s="15"/>
      <c r="TWT245" s="10"/>
      <c r="TWU245" s="10"/>
      <c r="TWV245" s="21"/>
      <c r="TWW245" s="21"/>
      <c r="TWZ245" s="21"/>
      <c r="TXA245" s="15"/>
      <c r="TXB245" s="15"/>
      <c r="TXC245" s="15"/>
      <c r="TXD245" s="15"/>
      <c r="TXE245" s="15"/>
      <c r="TXF245" s="15"/>
      <c r="TXG245" s="15"/>
      <c r="TXH245" s="15"/>
      <c r="TXI245" s="15"/>
      <c r="TXJ245" s="15"/>
      <c r="TXK245" s="10"/>
      <c r="TXL245" s="10"/>
      <c r="TXM245" s="21"/>
      <c r="TXN245" s="21"/>
      <c r="TXQ245" s="21"/>
      <c r="TXR245" s="15"/>
      <c r="TXS245" s="15"/>
      <c r="TXT245" s="15"/>
      <c r="TXU245" s="15"/>
      <c r="TXV245" s="15"/>
      <c r="TXW245" s="15"/>
      <c r="TXX245" s="15"/>
      <c r="TXY245" s="15"/>
      <c r="TXZ245" s="15"/>
      <c r="TYA245" s="15"/>
      <c r="TYB245" s="10"/>
      <c r="TYC245" s="10"/>
      <c r="TYD245" s="21"/>
      <c r="TYE245" s="21"/>
      <c r="TYH245" s="21"/>
      <c r="TYI245" s="15"/>
      <c r="TYJ245" s="15"/>
      <c r="TYK245" s="15"/>
      <c r="TYL245" s="15"/>
      <c r="TYM245" s="15"/>
      <c r="TYN245" s="15"/>
      <c r="TYO245" s="15"/>
      <c r="TYP245" s="15"/>
      <c r="TYQ245" s="15"/>
      <c r="TYR245" s="15"/>
      <c r="TYS245" s="10"/>
      <c r="TYT245" s="10"/>
      <c r="TYU245" s="21"/>
      <c r="TYV245" s="21"/>
      <c r="TYY245" s="21"/>
      <c r="TYZ245" s="15"/>
      <c r="TZA245" s="15"/>
      <c r="TZB245" s="15"/>
      <c r="TZC245" s="15"/>
      <c r="TZD245" s="15"/>
      <c r="TZE245" s="15"/>
      <c r="TZF245" s="15"/>
      <c r="TZG245" s="15"/>
      <c r="TZH245" s="15"/>
      <c r="TZI245" s="15"/>
      <c r="TZJ245" s="10"/>
      <c r="TZK245" s="10"/>
      <c r="TZL245" s="21"/>
      <c r="TZM245" s="21"/>
      <c r="TZP245" s="21"/>
      <c r="TZQ245" s="15"/>
      <c r="TZR245" s="15"/>
      <c r="TZS245" s="15"/>
      <c r="TZT245" s="15"/>
      <c r="TZU245" s="15"/>
      <c r="TZV245" s="15"/>
      <c r="TZW245" s="15"/>
      <c r="TZX245" s="15"/>
      <c r="TZY245" s="15"/>
      <c r="TZZ245" s="15"/>
      <c r="UAA245" s="10"/>
      <c r="UAB245" s="10"/>
      <c r="UAC245" s="21"/>
      <c r="UAD245" s="21"/>
      <c r="UAG245" s="21"/>
      <c r="UAH245" s="15"/>
      <c r="UAI245" s="15"/>
      <c r="UAJ245" s="15"/>
      <c r="UAK245" s="15"/>
      <c r="UAL245" s="15"/>
      <c r="UAM245" s="15"/>
      <c r="UAN245" s="15"/>
      <c r="UAO245" s="15"/>
      <c r="UAP245" s="15"/>
      <c r="UAQ245" s="15"/>
      <c r="UAR245" s="10"/>
      <c r="UAS245" s="10"/>
      <c r="UAT245" s="21"/>
      <c r="UAU245" s="21"/>
      <c r="UAX245" s="21"/>
      <c r="UAY245" s="15"/>
      <c r="UAZ245" s="15"/>
      <c r="UBA245" s="15"/>
      <c r="UBB245" s="15"/>
      <c r="UBC245" s="15"/>
      <c r="UBD245" s="15"/>
      <c r="UBE245" s="15"/>
      <c r="UBF245" s="15"/>
      <c r="UBG245" s="15"/>
      <c r="UBH245" s="15"/>
      <c r="UBI245" s="10"/>
      <c r="UBJ245" s="10"/>
      <c r="UBK245" s="21"/>
      <c r="UBL245" s="21"/>
      <c r="UBO245" s="21"/>
      <c r="UBP245" s="15"/>
      <c r="UBQ245" s="15"/>
      <c r="UBR245" s="15"/>
      <c r="UBS245" s="15"/>
      <c r="UBT245" s="15"/>
      <c r="UBU245" s="15"/>
      <c r="UBV245" s="15"/>
      <c r="UBW245" s="15"/>
      <c r="UBX245" s="15"/>
      <c r="UBY245" s="15"/>
      <c r="UBZ245" s="10"/>
      <c r="UCA245" s="10"/>
      <c r="UCB245" s="21"/>
      <c r="UCC245" s="21"/>
      <c r="UCF245" s="21"/>
      <c r="UCG245" s="15"/>
      <c r="UCH245" s="15"/>
      <c r="UCI245" s="15"/>
      <c r="UCJ245" s="15"/>
      <c r="UCK245" s="15"/>
      <c r="UCL245" s="15"/>
      <c r="UCM245" s="15"/>
      <c r="UCN245" s="15"/>
      <c r="UCO245" s="15"/>
      <c r="UCP245" s="15"/>
      <c r="UCQ245" s="10"/>
      <c r="UCR245" s="10"/>
      <c r="UCS245" s="21"/>
      <c r="UCT245" s="21"/>
      <c r="UCW245" s="21"/>
      <c r="UCX245" s="15"/>
      <c r="UCY245" s="15"/>
      <c r="UCZ245" s="15"/>
      <c r="UDA245" s="15"/>
      <c r="UDB245" s="15"/>
      <c r="UDC245" s="15"/>
      <c r="UDD245" s="15"/>
      <c r="UDE245" s="15"/>
      <c r="UDF245" s="15"/>
      <c r="UDG245" s="15"/>
      <c r="UDH245" s="10"/>
      <c r="UDI245" s="10"/>
      <c r="UDJ245" s="21"/>
      <c r="UDK245" s="21"/>
      <c r="UDN245" s="21"/>
      <c r="UDO245" s="15"/>
      <c r="UDP245" s="15"/>
      <c r="UDQ245" s="15"/>
      <c r="UDR245" s="15"/>
      <c r="UDS245" s="15"/>
      <c r="UDT245" s="15"/>
      <c r="UDU245" s="15"/>
      <c r="UDV245" s="15"/>
      <c r="UDW245" s="15"/>
      <c r="UDX245" s="15"/>
      <c r="UDY245" s="10"/>
      <c r="UDZ245" s="10"/>
      <c r="UEA245" s="21"/>
      <c r="UEB245" s="21"/>
      <c r="UEE245" s="21"/>
      <c r="UEF245" s="15"/>
      <c r="UEG245" s="15"/>
      <c r="UEH245" s="15"/>
      <c r="UEI245" s="15"/>
      <c r="UEJ245" s="15"/>
      <c r="UEK245" s="15"/>
      <c r="UEL245" s="15"/>
      <c r="UEM245" s="15"/>
      <c r="UEN245" s="15"/>
      <c r="UEO245" s="15"/>
      <c r="UEP245" s="10"/>
      <c r="UEQ245" s="10"/>
      <c r="UER245" s="21"/>
      <c r="UES245" s="21"/>
      <c r="UEV245" s="21"/>
      <c r="UEW245" s="15"/>
      <c r="UEX245" s="15"/>
      <c r="UEY245" s="15"/>
      <c r="UEZ245" s="15"/>
      <c r="UFA245" s="15"/>
      <c r="UFB245" s="15"/>
      <c r="UFC245" s="15"/>
      <c r="UFD245" s="15"/>
      <c r="UFE245" s="15"/>
      <c r="UFF245" s="15"/>
      <c r="UFG245" s="10"/>
      <c r="UFH245" s="10"/>
      <c r="UFI245" s="21"/>
      <c r="UFJ245" s="21"/>
      <c r="UFM245" s="21"/>
      <c r="UFN245" s="15"/>
      <c r="UFO245" s="15"/>
      <c r="UFP245" s="15"/>
      <c r="UFQ245" s="15"/>
      <c r="UFR245" s="15"/>
      <c r="UFS245" s="15"/>
      <c r="UFT245" s="15"/>
      <c r="UFU245" s="15"/>
      <c r="UFV245" s="15"/>
      <c r="UFW245" s="15"/>
      <c r="UFX245" s="10"/>
      <c r="UFY245" s="10"/>
      <c r="UFZ245" s="21"/>
      <c r="UGA245" s="21"/>
      <c r="UGD245" s="21"/>
      <c r="UGE245" s="15"/>
      <c r="UGF245" s="15"/>
      <c r="UGG245" s="15"/>
      <c r="UGH245" s="15"/>
      <c r="UGI245" s="15"/>
      <c r="UGJ245" s="15"/>
      <c r="UGK245" s="15"/>
      <c r="UGL245" s="15"/>
      <c r="UGM245" s="15"/>
      <c r="UGN245" s="15"/>
      <c r="UGO245" s="10"/>
      <c r="UGP245" s="10"/>
      <c r="UGQ245" s="21"/>
      <c r="UGR245" s="21"/>
      <c r="UGU245" s="21"/>
      <c r="UGV245" s="15"/>
      <c r="UGW245" s="15"/>
      <c r="UGX245" s="15"/>
      <c r="UGY245" s="15"/>
      <c r="UGZ245" s="15"/>
      <c r="UHA245" s="15"/>
      <c r="UHB245" s="15"/>
      <c r="UHC245" s="15"/>
      <c r="UHD245" s="15"/>
      <c r="UHE245" s="15"/>
      <c r="UHF245" s="10"/>
      <c r="UHG245" s="10"/>
      <c r="UHH245" s="21"/>
      <c r="UHI245" s="21"/>
      <c r="UHL245" s="21"/>
      <c r="UHM245" s="15"/>
      <c r="UHN245" s="15"/>
      <c r="UHO245" s="15"/>
      <c r="UHP245" s="15"/>
      <c r="UHQ245" s="15"/>
      <c r="UHR245" s="15"/>
      <c r="UHS245" s="15"/>
      <c r="UHT245" s="15"/>
      <c r="UHU245" s="15"/>
      <c r="UHV245" s="15"/>
      <c r="UHW245" s="10"/>
      <c r="UHX245" s="10"/>
      <c r="UHY245" s="21"/>
      <c r="UHZ245" s="21"/>
      <c r="UIC245" s="21"/>
      <c r="UID245" s="15"/>
      <c r="UIE245" s="15"/>
      <c r="UIF245" s="15"/>
      <c r="UIG245" s="15"/>
      <c r="UIH245" s="15"/>
      <c r="UII245" s="15"/>
      <c r="UIJ245" s="15"/>
      <c r="UIK245" s="15"/>
      <c r="UIL245" s="15"/>
      <c r="UIM245" s="15"/>
      <c r="UIN245" s="10"/>
      <c r="UIO245" s="10"/>
      <c r="UIP245" s="21"/>
      <c r="UIQ245" s="21"/>
      <c r="UIT245" s="21"/>
      <c r="UIU245" s="15"/>
      <c r="UIV245" s="15"/>
      <c r="UIW245" s="15"/>
      <c r="UIX245" s="15"/>
      <c r="UIY245" s="15"/>
      <c r="UIZ245" s="15"/>
      <c r="UJA245" s="15"/>
      <c r="UJB245" s="15"/>
      <c r="UJC245" s="15"/>
      <c r="UJD245" s="15"/>
      <c r="UJE245" s="10"/>
      <c r="UJF245" s="10"/>
      <c r="UJG245" s="21"/>
      <c r="UJH245" s="21"/>
      <c r="UJK245" s="21"/>
      <c r="UJL245" s="15"/>
      <c r="UJM245" s="15"/>
      <c r="UJN245" s="15"/>
      <c r="UJO245" s="15"/>
      <c r="UJP245" s="15"/>
      <c r="UJQ245" s="15"/>
      <c r="UJR245" s="15"/>
      <c r="UJS245" s="15"/>
      <c r="UJT245" s="15"/>
      <c r="UJU245" s="15"/>
      <c r="UJV245" s="10"/>
      <c r="UJW245" s="10"/>
      <c r="UJX245" s="21"/>
      <c r="UJY245" s="21"/>
      <c r="UKB245" s="21"/>
      <c r="UKC245" s="15"/>
      <c r="UKD245" s="15"/>
      <c r="UKE245" s="15"/>
      <c r="UKF245" s="15"/>
      <c r="UKG245" s="15"/>
      <c r="UKH245" s="15"/>
      <c r="UKI245" s="15"/>
      <c r="UKJ245" s="15"/>
      <c r="UKK245" s="15"/>
      <c r="UKL245" s="15"/>
      <c r="UKM245" s="10"/>
      <c r="UKN245" s="10"/>
      <c r="UKO245" s="21"/>
      <c r="UKP245" s="21"/>
      <c r="UKS245" s="21"/>
      <c r="UKT245" s="15"/>
      <c r="UKU245" s="15"/>
      <c r="UKV245" s="15"/>
      <c r="UKW245" s="15"/>
      <c r="UKX245" s="15"/>
      <c r="UKY245" s="15"/>
      <c r="UKZ245" s="15"/>
      <c r="ULA245" s="15"/>
      <c r="ULB245" s="15"/>
      <c r="ULC245" s="15"/>
      <c r="ULD245" s="10"/>
      <c r="ULE245" s="10"/>
      <c r="ULF245" s="21"/>
      <c r="ULG245" s="21"/>
      <c r="ULJ245" s="21"/>
      <c r="ULK245" s="15"/>
      <c r="ULL245" s="15"/>
      <c r="ULM245" s="15"/>
      <c r="ULN245" s="15"/>
      <c r="ULO245" s="15"/>
      <c r="ULP245" s="15"/>
      <c r="ULQ245" s="15"/>
      <c r="ULR245" s="15"/>
      <c r="ULS245" s="15"/>
      <c r="ULT245" s="15"/>
      <c r="ULU245" s="10"/>
      <c r="ULV245" s="10"/>
      <c r="ULW245" s="21"/>
      <c r="ULX245" s="21"/>
      <c r="UMA245" s="21"/>
      <c r="UMB245" s="15"/>
      <c r="UMC245" s="15"/>
      <c r="UMD245" s="15"/>
      <c r="UME245" s="15"/>
      <c r="UMF245" s="15"/>
      <c r="UMG245" s="15"/>
      <c r="UMH245" s="15"/>
      <c r="UMI245" s="15"/>
      <c r="UMJ245" s="15"/>
      <c r="UMK245" s="15"/>
      <c r="UML245" s="10"/>
      <c r="UMM245" s="10"/>
      <c r="UMN245" s="21"/>
      <c r="UMO245" s="21"/>
      <c r="UMR245" s="21"/>
      <c r="UMS245" s="15"/>
      <c r="UMT245" s="15"/>
      <c r="UMU245" s="15"/>
      <c r="UMV245" s="15"/>
      <c r="UMW245" s="15"/>
      <c r="UMX245" s="15"/>
      <c r="UMY245" s="15"/>
      <c r="UMZ245" s="15"/>
      <c r="UNA245" s="15"/>
      <c r="UNB245" s="15"/>
      <c r="UNC245" s="10"/>
      <c r="UND245" s="10"/>
      <c r="UNE245" s="21"/>
      <c r="UNF245" s="21"/>
      <c r="UNI245" s="21"/>
      <c r="UNJ245" s="15"/>
      <c r="UNK245" s="15"/>
      <c r="UNL245" s="15"/>
      <c r="UNM245" s="15"/>
      <c r="UNN245" s="15"/>
      <c r="UNO245" s="15"/>
      <c r="UNP245" s="15"/>
      <c r="UNQ245" s="15"/>
      <c r="UNR245" s="15"/>
      <c r="UNS245" s="15"/>
      <c r="UNT245" s="10"/>
      <c r="UNU245" s="10"/>
      <c r="UNV245" s="21"/>
      <c r="UNW245" s="21"/>
      <c r="UNZ245" s="21"/>
      <c r="UOA245" s="15"/>
      <c r="UOB245" s="15"/>
      <c r="UOC245" s="15"/>
      <c r="UOD245" s="15"/>
      <c r="UOE245" s="15"/>
      <c r="UOF245" s="15"/>
      <c r="UOG245" s="15"/>
      <c r="UOH245" s="15"/>
      <c r="UOI245" s="15"/>
      <c r="UOJ245" s="15"/>
      <c r="UOK245" s="10"/>
      <c r="UOL245" s="10"/>
      <c r="UOM245" s="21"/>
      <c r="UON245" s="21"/>
      <c r="UOQ245" s="21"/>
      <c r="UOR245" s="15"/>
      <c r="UOS245" s="15"/>
      <c r="UOT245" s="15"/>
      <c r="UOU245" s="15"/>
      <c r="UOV245" s="15"/>
      <c r="UOW245" s="15"/>
      <c r="UOX245" s="15"/>
      <c r="UOY245" s="15"/>
      <c r="UOZ245" s="15"/>
      <c r="UPA245" s="15"/>
      <c r="UPB245" s="10"/>
      <c r="UPC245" s="10"/>
      <c r="UPD245" s="21"/>
      <c r="UPE245" s="21"/>
      <c r="UPH245" s="21"/>
      <c r="UPI245" s="15"/>
      <c r="UPJ245" s="15"/>
      <c r="UPK245" s="15"/>
      <c r="UPL245" s="15"/>
      <c r="UPM245" s="15"/>
      <c r="UPN245" s="15"/>
      <c r="UPO245" s="15"/>
      <c r="UPP245" s="15"/>
      <c r="UPQ245" s="15"/>
      <c r="UPR245" s="15"/>
      <c r="UPS245" s="10"/>
      <c r="UPT245" s="10"/>
      <c r="UPU245" s="21"/>
      <c r="UPV245" s="21"/>
      <c r="UPY245" s="21"/>
      <c r="UPZ245" s="15"/>
      <c r="UQA245" s="15"/>
      <c r="UQB245" s="15"/>
      <c r="UQC245" s="15"/>
      <c r="UQD245" s="15"/>
      <c r="UQE245" s="15"/>
      <c r="UQF245" s="15"/>
      <c r="UQG245" s="15"/>
      <c r="UQH245" s="15"/>
      <c r="UQI245" s="15"/>
      <c r="UQJ245" s="10"/>
      <c r="UQK245" s="10"/>
      <c r="UQL245" s="21"/>
      <c r="UQM245" s="21"/>
      <c r="UQP245" s="21"/>
      <c r="UQQ245" s="15"/>
      <c r="UQR245" s="15"/>
      <c r="UQS245" s="15"/>
      <c r="UQT245" s="15"/>
      <c r="UQU245" s="15"/>
      <c r="UQV245" s="15"/>
      <c r="UQW245" s="15"/>
      <c r="UQX245" s="15"/>
      <c r="UQY245" s="15"/>
      <c r="UQZ245" s="15"/>
      <c r="URA245" s="10"/>
      <c r="URB245" s="10"/>
      <c r="URC245" s="21"/>
      <c r="URD245" s="21"/>
      <c r="URG245" s="21"/>
      <c r="URH245" s="15"/>
      <c r="URI245" s="15"/>
      <c r="URJ245" s="15"/>
      <c r="URK245" s="15"/>
      <c r="URL245" s="15"/>
      <c r="URM245" s="15"/>
      <c r="URN245" s="15"/>
      <c r="URO245" s="15"/>
      <c r="URP245" s="15"/>
      <c r="URQ245" s="15"/>
      <c r="URR245" s="10"/>
      <c r="URS245" s="10"/>
      <c r="URT245" s="21"/>
      <c r="URU245" s="21"/>
      <c r="URX245" s="21"/>
      <c r="URY245" s="15"/>
      <c r="URZ245" s="15"/>
      <c r="USA245" s="15"/>
      <c r="USB245" s="15"/>
      <c r="USC245" s="15"/>
      <c r="USD245" s="15"/>
      <c r="USE245" s="15"/>
      <c r="USF245" s="15"/>
      <c r="USG245" s="15"/>
      <c r="USH245" s="15"/>
      <c r="USI245" s="10"/>
      <c r="USJ245" s="10"/>
      <c r="USK245" s="21"/>
      <c r="USL245" s="21"/>
      <c r="USO245" s="21"/>
      <c r="USP245" s="15"/>
      <c r="USQ245" s="15"/>
      <c r="USR245" s="15"/>
      <c r="USS245" s="15"/>
      <c r="UST245" s="15"/>
      <c r="USU245" s="15"/>
      <c r="USV245" s="15"/>
      <c r="USW245" s="15"/>
      <c r="USX245" s="15"/>
      <c r="USY245" s="15"/>
      <c r="USZ245" s="10"/>
      <c r="UTA245" s="10"/>
      <c r="UTB245" s="21"/>
      <c r="UTC245" s="21"/>
      <c r="UTF245" s="21"/>
      <c r="UTG245" s="15"/>
      <c r="UTH245" s="15"/>
      <c r="UTI245" s="15"/>
      <c r="UTJ245" s="15"/>
      <c r="UTK245" s="15"/>
      <c r="UTL245" s="15"/>
      <c r="UTM245" s="15"/>
      <c r="UTN245" s="15"/>
      <c r="UTO245" s="15"/>
      <c r="UTP245" s="15"/>
      <c r="UTQ245" s="10"/>
      <c r="UTR245" s="10"/>
      <c r="UTS245" s="21"/>
      <c r="UTT245" s="21"/>
      <c r="UTW245" s="21"/>
      <c r="UTX245" s="15"/>
      <c r="UTY245" s="15"/>
      <c r="UTZ245" s="15"/>
      <c r="UUA245" s="15"/>
      <c r="UUB245" s="15"/>
      <c r="UUC245" s="15"/>
      <c r="UUD245" s="15"/>
      <c r="UUE245" s="15"/>
      <c r="UUF245" s="15"/>
      <c r="UUG245" s="15"/>
      <c r="UUH245" s="10"/>
      <c r="UUI245" s="10"/>
      <c r="UUJ245" s="21"/>
      <c r="UUK245" s="21"/>
      <c r="UUN245" s="21"/>
      <c r="UUO245" s="15"/>
      <c r="UUP245" s="15"/>
      <c r="UUQ245" s="15"/>
      <c r="UUR245" s="15"/>
      <c r="UUS245" s="15"/>
      <c r="UUT245" s="15"/>
      <c r="UUU245" s="15"/>
      <c r="UUV245" s="15"/>
      <c r="UUW245" s="15"/>
      <c r="UUX245" s="15"/>
      <c r="UUY245" s="10"/>
      <c r="UUZ245" s="10"/>
      <c r="UVA245" s="21"/>
      <c r="UVB245" s="21"/>
      <c r="UVE245" s="21"/>
      <c r="UVF245" s="15"/>
      <c r="UVG245" s="15"/>
      <c r="UVH245" s="15"/>
      <c r="UVI245" s="15"/>
      <c r="UVJ245" s="15"/>
      <c r="UVK245" s="15"/>
      <c r="UVL245" s="15"/>
      <c r="UVM245" s="15"/>
      <c r="UVN245" s="15"/>
      <c r="UVO245" s="15"/>
      <c r="UVP245" s="10"/>
      <c r="UVQ245" s="10"/>
      <c r="UVR245" s="21"/>
      <c r="UVS245" s="21"/>
      <c r="UVV245" s="21"/>
      <c r="UVW245" s="15"/>
      <c r="UVX245" s="15"/>
      <c r="UVY245" s="15"/>
      <c r="UVZ245" s="15"/>
      <c r="UWA245" s="15"/>
      <c r="UWB245" s="15"/>
      <c r="UWC245" s="15"/>
      <c r="UWD245" s="15"/>
      <c r="UWE245" s="15"/>
      <c r="UWF245" s="15"/>
      <c r="UWG245" s="10"/>
      <c r="UWH245" s="10"/>
      <c r="UWI245" s="21"/>
      <c r="UWJ245" s="21"/>
      <c r="UWM245" s="21"/>
      <c r="UWN245" s="15"/>
      <c r="UWO245" s="15"/>
      <c r="UWP245" s="15"/>
      <c r="UWQ245" s="15"/>
      <c r="UWR245" s="15"/>
      <c r="UWS245" s="15"/>
      <c r="UWT245" s="15"/>
      <c r="UWU245" s="15"/>
      <c r="UWV245" s="15"/>
      <c r="UWW245" s="15"/>
      <c r="UWX245" s="10"/>
      <c r="UWY245" s="10"/>
      <c r="UWZ245" s="21"/>
      <c r="UXA245" s="21"/>
      <c r="UXD245" s="21"/>
      <c r="UXE245" s="15"/>
      <c r="UXF245" s="15"/>
      <c r="UXG245" s="15"/>
      <c r="UXH245" s="15"/>
      <c r="UXI245" s="15"/>
      <c r="UXJ245" s="15"/>
      <c r="UXK245" s="15"/>
      <c r="UXL245" s="15"/>
      <c r="UXM245" s="15"/>
      <c r="UXN245" s="15"/>
      <c r="UXO245" s="10"/>
      <c r="UXP245" s="10"/>
      <c r="UXQ245" s="21"/>
      <c r="UXR245" s="21"/>
      <c r="UXU245" s="21"/>
      <c r="UXV245" s="15"/>
      <c r="UXW245" s="15"/>
      <c r="UXX245" s="15"/>
      <c r="UXY245" s="15"/>
      <c r="UXZ245" s="15"/>
      <c r="UYA245" s="15"/>
      <c r="UYB245" s="15"/>
      <c r="UYC245" s="15"/>
      <c r="UYD245" s="15"/>
      <c r="UYE245" s="15"/>
      <c r="UYF245" s="10"/>
      <c r="UYG245" s="10"/>
      <c r="UYH245" s="21"/>
      <c r="UYI245" s="21"/>
      <c r="UYL245" s="21"/>
      <c r="UYM245" s="15"/>
      <c r="UYN245" s="15"/>
      <c r="UYO245" s="15"/>
      <c r="UYP245" s="15"/>
      <c r="UYQ245" s="15"/>
      <c r="UYR245" s="15"/>
      <c r="UYS245" s="15"/>
      <c r="UYT245" s="15"/>
      <c r="UYU245" s="15"/>
      <c r="UYV245" s="15"/>
      <c r="UYW245" s="10"/>
      <c r="UYX245" s="10"/>
      <c r="UYY245" s="21"/>
      <c r="UYZ245" s="21"/>
      <c r="UZC245" s="21"/>
      <c r="UZD245" s="15"/>
      <c r="UZE245" s="15"/>
      <c r="UZF245" s="15"/>
      <c r="UZG245" s="15"/>
      <c r="UZH245" s="15"/>
      <c r="UZI245" s="15"/>
      <c r="UZJ245" s="15"/>
      <c r="UZK245" s="15"/>
      <c r="UZL245" s="15"/>
      <c r="UZM245" s="15"/>
      <c r="UZN245" s="10"/>
      <c r="UZO245" s="10"/>
      <c r="UZP245" s="21"/>
      <c r="UZQ245" s="21"/>
      <c r="UZT245" s="21"/>
      <c r="UZU245" s="15"/>
      <c r="UZV245" s="15"/>
      <c r="UZW245" s="15"/>
      <c r="UZX245" s="15"/>
      <c r="UZY245" s="15"/>
      <c r="UZZ245" s="15"/>
      <c r="VAA245" s="15"/>
      <c r="VAB245" s="15"/>
      <c r="VAC245" s="15"/>
      <c r="VAD245" s="15"/>
      <c r="VAE245" s="10"/>
      <c r="VAF245" s="10"/>
      <c r="VAG245" s="21"/>
      <c r="VAH245" s="21"/>
      <c r="VAK245" s="21"/>
      <c r="VAL245" s="15"/>
      <c r="VAM245" s="15"/>
      <c r="VAN245" s="15"/>
      <c r="VAO245" s="15"/>
      <c r="VAP245" s="15"/>
      <c r="VAQ245" s="15"/>
      <c r="VAR245" s="15"/>
      <c r="VAS245" s="15"/>
      <c r="VAT245" s="15"/>
      <c r="VAU245" s="15"/>
      <c r="VAV245" s="10"/>
      <c r="VAW245" s="10"/>
      <c r="VAX245" s="21"/>
      <c r="VAY245" s="21"/>
      <c r="VBB245" s="21"/>
      <c r="VBC245" s="15"/>
      <c r="VBD245" s="15"/>
      <c r="VBE245" s="15"/>
      <c r="VBF245" s="15"/>
      <c r="VBG245" s="15"/>
      <c r="VBH245" s="15"/>
      <c r="VBI245" s="15"/>
      <c r="VBJ245" s="15"/>
      <c r="VBK245" s="15"/>
      <c r="VBL245" s="15"/>
      <c r="VBM245" s="10"/>
      <c r="VBN245" s="10"/>
      <c r="VBO245" s="21"/>
      <c r="VBP245" s="21"/>
      <c r="VBS245" s="21"/>
      <c r="VBT245" s="15"/>
      <c r="VBU245" s="15"/>
      <c r="VBV245" s="15"/>
      <c r="VBW245" s="15"/>
      <c r="VBX245" s="15"/>
      <c r="VBY245" s="15"/>
      <c r="VBZ245" s="15"/>
      <c r="VCA245" s="15"/>
      <c r="VCB245" s="15"/>
      <c r="VCC245" s="15"/>
      <c r="VCD245" s="10"/>
      <c r="VCE245" s="10"/>
      <c r="VCF245" s="21"/>
      <c r="VCG245" s="21"/>
      <c r="VCJ245" s="21"/>
      <c r="VCK245" s="15"/>
      <c r="VCL245" s="15"/>
      <c r="VCM245" s="15"/>
      <c r="VCN245" s="15"/>
      <c r="VCO245" s="15"/>
      <c r="VCP245" s="15"/>
      <c r="VCQ245" s="15"/>
      <c r="VCR245" s="15"/>
      <c r="VCS245" s="15"/>
      <c r="VCT245" s="15"/>
      <c r="VCU245" s="10"/>
      <c r="VCV245" s="10"/>
      <c r="VCW245" s="21"/>
      <c r="VCX245" s="21"/>
      <c r="VDA245" s="21"/>
      <c r="VDB245" s="15"/>
      <c r="VDC245" s="15"/>
      <c r="VDD245" s="15"/>
      <c r="VDE245" s="15"/>
      <c r="VDF245" s="15"/>
      <c r="VDG245" s="15"/>
      <c r="VDH245" s="15"/>
      <c r="VDI245" s="15"/>
      <c r="VDJ245" s="15"/>
      <c r="VDK245" s="15"/>
      <c r="VDL245" s="10"/>
      <c r="VDM245" s="10"/>
      <c r="VDN245" s="21"/>
      <c r="VDO245" s="21"/>
      <c r="VDR245" s="21"/>
      <c r="VDS245" s="15"/>
      <c r="VDT245" s="15"/>
      <c r="VDU245" s="15"/>
      <c r="VDV245" s="15"/>
      <c r="VDW245" s="15"/>
      <c r="VDX245" s="15"/>
      <c r="VDY245" s="15"/>
      <c r="VDZ245" s="15"/>
      <c r="VEA245" s="15"/>
      <c r="VEB245" s="15"/>
      <c r="VEC245" s="10"/>
      <c r="VED245" s="10"/>
      <c r="VEE245" s="21"/>
      <c r="VEF245" s="21"/>
      <c r="VEI245" s="21"/>
      <c r="VEJ245" s="15"/>
      <c r="VEK245" s="15"/>
      <c r="VEL245" s="15"/>
      <c r="VEM245" s="15"/>
      <c r="VEN245" s="15"/>
      <c r="VEO245" s="15"/>
      <c r="VEP245" s="15"/>
      <c r="VEQ245" s="15"/>
      <c r="VER245" s="15"/>
      <c r="VES245" s="15"/>
      <c r="VET245" s="10"/>
      <c r="VEU245" s="10"/>
      <c r="VEV245" s="21"/>
      <c r="VEW245" s="21"/>
      <c r="VEZ245" s="21"/>
      <c r="VFA245" s="15"/>
      <c r="VFB245" s="15"/>
      <c r="VFC245" s="15"/>
      <c r="VFD245" s="15"/>
      <c r="VFE245" s="15"/>
      <c r="VFF245" s="15"/>
      <c r="VFG245" s="15"/>
      <c r="VFH245" s="15"/>
      <c r="VFI245" s="15"/>
      <c r="VFJ245" s="15"/>
      <c r="VFK245" s="10"/>
      <c r="VFL245" s="10"/>
      <c r="VFM245" s="21"/>
      <c r="VFN245" s="21"/>
      <c r="VFQ245" s="21"/>
      <c r="VFR245" s="15"/>
      <c r="VFS245" s="15"/>
      <c r="VFT245" s="15"/>
      <c r="VFU245" s="15"/>
      <c r="VFV245" s="15"/>
      <c r="VFW245" s="15"/>
      <c r="VFX245" s="15"/>
      <c r="VFY245" s="15"/>
      <c r="VFZ245" s="15"/>
      <c r="VGA245" s="15"/>
      <c r="VGB245" s="10"/>
      <c r="VGC245" s="10"/>
      <c r="VGD245" s="21"/>
      <c r="VGE245" s="21"/>
      <c r="VGH245" s="21"/>
      <c r="VGI245" s="15"/>
      <c r="VGJ245" s="15"/>
      <c r="VGK245" s="15"/>
      <c r="VGL245" s="15"/>
      <c r="VGM245" s="15"/>
      <c r="VGN245" s="15"/>
      <c r="VGO245" s="15"/>
      <c r="VGP245" s="15"/>
      <c r="VGQ245" s="15"/>
      <c r="VGR245" s="15"/>
      <c r="VGS245" s="10"/>
      <c r="VGT245" s="10"/>
      <c r="VGU245" s="21"/>
      <c r="VGV245" s="21"/>
      <c r="VGY245" s="21"/>
      <c r="VGZ245" s="15"/>
      <c r="VHA245" s="15"/>
      <c r="VHB245" s="15"/>
      <c r="VHC245" s="15"/>
      <c r="VHD245" s="15"/>
      <c r="VHE245" s="15"/>
      <c r="VHF245" s="15"/>
      <c r="VHG245" s="15"/>
      <c r="VHH245" s="15"/>
      <c r="VHI245" s="15"/>
      <c r="VHJ245" s="10"/>
      <c r="VHK245" s="10"/>
      <c r="VHL245" s="21"/>
      <c r="VHM245" s="21"/>
      <c r="VHP245" s="21"/>
      <c r="VHQ245" s="15"/>
      <c r="VHR245" s="15"/>
      <c r="VHS245" s="15"/>
      <c r="VHT245" s="15"/>
      <c r="VHU245" s="15"/>
      <c r="VHV245" s="15"/>
      <c r="VHW245" s="15"/>
      <c r="VHX245" s="15"/>
      <c r="VHY245" s="15"/>
      <c r="VHZ245" s="15"/>
      <c r="VIA245" s="10"/>
      <c r="VIB245" s="10"/>
      <c r="VIC245" s="21"/>
      <c r="VID245" s="21"/>
      <c r="VIG245" s="21"/>
      <c r="VIH245" s="15"/>
      <c r="VII245" s="15"/>
      <c r="VIJ245" s="15"/>
      <c r="VIK245" s="15"/>
      <c r="VIL245" s="15"/>
      <c r="VIM245" s="15"/>
      <c r="VIN245" s="15"/>
      <c r="VIO245" s="15"/>
      <c r="VIP245" s="15"/>
      <c r="VIQ245" s="15"/>
      <c r="VIR245" s="10"/>
      <c r="VIS245" s="10"/>
      <c r="VIT245" s="21"/>
      <c r="VIU245" s="21"/>
      <c r="VIX245" s="21"/>
      <c r="VIY245" s="15"/>
      <c r="VIZ245" s="15"/>
      <c r="VJA245" s="15"/>
      <c r="VJB245" s="15"/>
      <c r="VJC245" s="15"/>
      <c r="VJD245" s="15"/>
      <c r="VJE245" s="15"/>
      <c r="VJF245" s="15"/>
      <c r="VJG245" s="15"/>
      <c r="VJH245" s="15"/>
      <c r="VJI245" s="10"/>
      <c r="VJJ245" s="10"/>
      <c r="VJK245" s="21"/>
      <c r="VJL245" s="21"/>
      <c r="VJO245" s="21"/>
      <c r="VJP245" s="15"/>
      <c r="VJQ245" s="15"/>
      <c r="VJR245" s="15"/>
      <c r="VJS245" s="15"/>
      <c r="VJT245" s="15"/>
      <c r="VJU245" s="15"/>
      <c r="VJV245" s="15"/>
      <c r="VJW245" s="15"/>
      <c r="VJX245" s="15"/>
      <c r="VJY245" s="15"/>
      <c r="VJZ245" s="10"/>
      <c r="VKA245" s="10"/>
      <c r="VKB245" s="21"/>
      <c r="VKC245" s="21"/>
      <c r="VKF245" s="21"/>
      <c r="VKG245" s="15"/>
      <c r="VKH245" s="15"/>
      <c r="VKI245" s="15"/>
      <c r="VKJ245" s="15"/>
      <c r="VKK245" s="15"/>
      <c r="VKL245" s="15"/>
      <c r="VKM245" s="15"/>
      <c r="VKN245" s="15"/>
      <c r="VKO245" s="15"/>
      <c r="VKP245" s="15"/>
      <c r="VKQ245" s="10"/>
      <c r="VKR245" s="10"/>
      <c r="VKS245" s="21"/>
      <c r="VKT245" s="21"/>
      <c r="VKW245" s="21"/>
      <c r="VKX245" s="15"/>
      <c r="VKY245" s="15"/>
      <c r="VKZ245" s="15"/>
      <c r="VLA245" s="15"/>
      <c r="VLB245" s="15"/>
      <c r="VLC245" s="15"/>
      <c r="VLD245" s="15"/>
      <c r="VLE245" s="15"/>
      <c r="VLF245" s="15"/>
      <c r="VLG245" s="15"/>
      <c r="VLH245" s="10"/>
      <c r="VLI245" s="10"/>
      <c r="VLJ245" s="21"/>
      <c r="VLK245" s="21"/>
      <c r="VLN245" s="21"/>
      <c r="VLO245" s="15"/>
      <c r="VLP245" s="15"/>
      <c r="VLQ245" s="15"/>
      <c r="VLR245" s="15"/>
      <c r="VLS245" s="15"/>
      <c r="VLT245" s="15"/>
      <c r="VLU245" s="15"/>
      <c r="VLV245" s="15"/>
      <c r="VLW245" s="15"/>
      <c r="VLX245" s="15"/>
      <c r="VLY245" s="10"/>
      <c r="VLZ245" s="10"/>
      <c r="VMA245" s="21"/>
      <c r="VMB245" s="21"/>
      <c r="VME245" s="21"/>
      <c r="VMF245" s="15"/>
      <c r="VMG245" s="15"/>
      <c r="VMH245" s="15"/>
      <c r="VMI245" s="15"/>
      <c r="VMJ245" s="15"/>
      <c r="VMK245" s="15"/>
      <c r="VML245" s="15"/>
      <c r="VMM245" s="15"/>
      <c r="VMN245" s="15"/>
      <c r="VMO245" s="15"/>
      <c r="VMP245" s="10"/>
      <c r="VMQ245" s="10"/>
      <c r="VMR245" s="21"/>
      <c r="VMS245" s="21"/>
      <c r="VMV245" s="21"/>
      <c r="VMW245" s="15"/>
      <c r="VMX245" s="15"/>
      <c r="VMY245" s="15"/>
      <c r="VMZ245" s="15"/>
      <c r="VNA245" s="15"/>
      <c r="VNB245" s="15"/>
      <c r="VNC245" s="15"/>
      <c r="VND245" s="15"/>
      <c r="VNE245" s="15"/>
      <c r="VNF245" s="15"/>
      <c r="VNG245" s="10"/>
      <c r="VNH245" s="10"/>
      <c r="VNI245" s="21"/>
      <c r="VNJ245" s="21"/>
      <c r="VNM245" s="21"/>
      <c r="VNN245" s="15"/>
      <c r="VNO245" s="15"/>
      <c r="VNP245" s="15"/>
      <c r="VNQ245" s="15"/>
      <c r="VNR245" s="15"/>
      <c r="VNS245" s="15"/>
      <c r="VNT245" s="15"/>
      <c r="VNU245" s="15"/>
      <c r="VNV245" s="15"/>
      <c r="VNW245" s="15"/>
      <c r="VNX245" s="10"/>
      <c r="VNY245" s="10"/>
      <c r="VNZ245" s="21"/>
      <c r="VOA245" s="21"/>
      <c r="VOD245" s="21"/>
      <c r="VOE245" s="15"/>
      <c r="VOF245" s="15"/>
      <c r="VOG245" s="15"/>
      <c r="VOH245" s="15"/>
      <c r="VOI245" s="15"/>
      <c r="VOJ245" s="15"/>
      <c r="VOK245" s="15"/>
      <c r="VOL245" s="15"/>
      <c r="VOM245" s="15"/>
      <c r="VON245" s="15"/>
      <c r="VOO245" s="10"/>
      <c r="VOP245" s="10"/>
      <c r="VOQ245" s="21"/>
      <c r="VOR245" s="21"/>
      <c r="VOU245" s="21"/>
      <c r="VOV245" s="15"/>
      <c r="VOW245" s="15"/>
      <c r="VOX245" s="15"/>
      <c r="VOY245" s="15"/>
      <c r="VOZ245" s="15"/>
      <c r="VPA245" s="15"/>
      <c r="VPB245" s="15"/>
      <c r="VPC245" s="15"/>
      <c r="VPD245" s="15"/>
      <c r="VPE245" s="15"/>
      <c r="VPF245" s="10"/>
      <c r="VPG245" s="10"/>
      <c r="VPH245" s="21"/>
      <c r="VPI245" s="21"/>
      <c r="VPL245" s="21"/>
      <c r="VPM245" s="15"/>
      <c r="VPN245" s="15"/>
      <c r="VPO245" s="15"/>
      <c r="VPP245" s="15"/>
      <c r="VPQ245" s="15"/>
      <c r="VPR245" s="15"/>
      <c r="VPS245" s="15"/>
      <c r="VPT245" s="15"/>
      <c r="VPU245" s="15"/>
      <c r="VPV245" s="15"/>
      <c r="VPW245" s="10"/>
      <c r="VPX245" s="10"/>
      <c r="VPY245" s="21"/>
      <c r="VPZ245" s="21"/>
      <c r="VQC245" s="21"/>
      <c r="VQD245" s="15"/>
      <c r="VQE245" s="15"/>
      <c r="VQF245" s="15"/>
      <c r="VQG245" s="15"/>
      <c r="VQH245" s="15"/>
      <c r="VQI245" s="15"/>
      <c r="VQJ245" s="15"/>
      <c r="VQK245" s="15"/>
      <c r="VQL245" s="15"/>
      <c r="VQM245" s="15"/>
      <c r="VQN245" s="10"/>
      <c r="VQO245" s="10"/>
      <c r="VQP245" s="21"/>
      <c r="VQQ245" s="21"/>
      <c r="VQT245" s="21"/>
      <c r="VQU245" s="15"/>
      <c r="VQV245" s="15"/>
      <c r="VQW245" s="15"/>
      <c r="VQX245" s="15"/>
      <c r="VQY245" s="15"/>
      <c r="VQZ245" s="15"/>
      <c r="VRA245" s="15"/>
      <c r="VRB245" s="15"/>
      <c r="VRC245" s="15"/>
      <c r="VRD245" s="15"/>
      <c r="VRE245" s="10"/>
      <c r="VRF245" s="10"/>
      <c r="VRG245" s="21"/>
      <c r="VRH245" s="21"/>
      <c r="VRK245" s="21"/>
      <c r="VRL245" s="15"/>
      <c r="VRM245" s="15"/>
      <c r="VRN245" s="15"/>
      <c r="VRO245" s="15"/>
      <c r="VRP245" s="15"/>
      <c r="VRQ245" s="15"/>
      <c r="VRR245" s="15"/>
      <c r="VRS245" s="15"/>
      <c r="VRT245" s="15"/>
      <c r="VRU245" s="15"/>
      <c r="VRV245" s="10"/>
      <c r="VRW245" s="10"/>
      <c r="VRX245" s="21"/>
      <c r="VRY245" s="21"/>
      <c r="VSB245" s="21"/>
      <c r="VSC245" s="15"/>
      <c r="VSD245" s="15"/>
      <c r="VSE245" s="15"/>
      <c r="VSF245" s="15"/>
      <c r="VSG245" s="15"/>
      <c r="VSH245" s="15"/>
      <c r="VSI245" s="15"/>
      <c r="VSJ245" s="15"/>
      <c r="VSK245" s="15"/>
      <c r="VSL245" s="15"/>
      <c r="VSM245" s="10"/>
      <c r="VSN245" s="10"/>
      <c r="VSO245" s="21"/>
      <c r="VSP245" s="21"/>
      <c r="VSS245" s="21"/>
      <c r="VST245" s="15"/>
      <c r="VSU245" s="15"/>
      <c r="VSV245" s="15"/>
      <c r="VSW245" s="15"/>
      <c r="VSX245" s="15"/>
      <c r="VSY245" s="15"/>
      <c r="VSZ245" s="15"/>
      <c r="VTA245" s="15"/>
      <c r="VTB245" s="15"/>
      <c r="VTC245" s="15"/>
      <c r="VTD245" s="10"/>
      <c r="VTE245" s="10"/>
      <c r="VTF245" s="21"/>
      <c r="VTG245" s="21"/>
      <c r="VTJ245" s="21"/>
      <c r="VTK245" s="15"/>
      <c r="VTL245" s="15"/>
      <c r="VTM245" s="15"/>
      <c r="VTN245" s="15"/>
      <c r="VTO245" s="15"/>
      <c r="VTP245" s="15"/>
      <c r="VTQ245" s="15"/>
      <c r="VTR245" s="15"/>
      <c r="VTS245" s="15"/>
      <c r="VTT245" s="15"/>
      <c r="VTU245" s="10"/>
      <c r="VTV245" s="10"/>
      <c r="VTW245" s="21"/>
      <c r="VTX245" s="21"/>
      <c r="VUA245" s="21"/>
      <c r="VUB245" s="15"/>
      <c r="VUC245" s="15"/>
      <c r="VUD245" s="15"/>
      <c r="VUE245" s="15"/>
      <c r="VUF245" s="15"/>
      <c r="VUG245" s="15"/>
      <c r="VUH245" s="15"/>
      <c r="VUI245" s="15"/>
      <c r="VUJ245" s="15"/>
      <c r="VUK245" s="15"/>
      <c r="VUL245" s="10"/>
      <c r="VUM245" s="10"/>
      <c r="VUN245" s="21"/>
      <c r="VUO245" s="21"/>
      <c r="VUR245" s="21"/>
      <c r="VUS245" s="15"/>
      <c r="VUT245" s="15"/>
      <c r="VUU245" s="15"/>
      <c r="VUV245" s="15"/>
      <c r="VUW245" s="15"/>
      <c r="VUX245" s="15"/>
      <c r="VUY245" s="15"/>
      <c r="VUZ245" s="15"/>
      <c r="VVA245" s="15"/>
      <c r="VVB245" s="15"/>
      <c r="VVC245" s="10"/>
      <c r="VVD245" s="10"/>
      <c r="VVE245" s="21"/>
      <c r="VVF245" s="21"/>
      <c r="VVI245" s="21"/>
      <c r="VVJ245" s="15"/>
      <c r="VVK245" s="15"/>
      <c r="VVL245" s="15"/>
      <c r="VVM245" s="15"/>
      <c r="VVN245" s="15"/>
      <c r="VVO245" s="15"/>
      <c r="VVP245" s="15"/>
      <c r="VVQ245" s="15"/>
      <c r="VVR245" s="15"/>
      <c r="VVS245" s="15"/>
      <c r="VVT245" s="10"/>
      <c r="VVU245" s="10"/>
      <c r="VVV245" s="21"/>
      <c r="VVW245" s="21"/>
      <c r="VVZ245" s="21"/>
      <c r="VWA245" s="15"/>
      <c r="VWB245" s="15"/>
      <c r="VWC245" s="15"/>
      <c r="VWD245" s="15"/>
      <c r="VWE245" s="15"/>
      <c r="VWF245" s="15"/>
      <c r="VWG245" s="15"/>
      <c r="VWH245" s="15"/>
      <c r="VWI245" s="15"/>
      <c r="VWJ245" s="15"/>
      <c r="VWK245" s="10"/>
      <c r="VWL245" s="10"/>
      <c r="VWM245" s="21"/>
      <c r="VWN245" s="21"/>
      <c r="VWQ245" s="21"/>
      <c r="VWR245" s="15"/>
      <c r="VWS245" s="15"/>
      <c r="VWT245" s="15"/>
      <c r="VWU245" s="15"/>
      <c r="VWV245" s="15"/>
      <c r="VWW245" s="15"/>
      <c r="VWX245" s="15"/>
      <c r="VWY245" s="15"/>
      <c r="VWZ245" s="15"/>
      <c r="VXA245" s="15"/>
      <c r="VXB245" s="10"/>
      <c r="VXC245" s="10"/>
      <c r="VXD245" s="21"/>
      <c r="VXE245" s="21"/>
      <c r="VXH245" s="21"/>
      <c r="VXI245" s="15"/>
      <c r="VXJ245" s="15"/>
      <c r="VXK245" s="15"/>
      <c r="VXL245" s="15"/>
      <c r="VXM245" s="15"/>
      <c r="VXN245" s="15"/>
      <c r="VXO245" s="15"/>
      <c r="VXP245" s="15"/>
      <c r="VXQ245" s="15"/>
      <c r="VXR245" s="15"/>
      <c r="VXS245" s="10"/>
      <c r="VXT245" s="10"/>
      <c r="VXU245" s="21"/>
      <c r="VXV245" s="21"/>
      <c r="VXY245" s="21"/>
      <c r="VXZ245" s="15"/>
      <c r="VYA245" s="15"/>
      <c r="VYB245" s="15"/>
      <c r="VYC245" s="15"/>
      <c r="VYD245" s="15"/>
      <c r="VYE245" s="15"/>
      <c r="VYF245" s="15"/>
      <c r="VYG245" s="15"/>
      <c r="VYH245" s="15"/>
      <c r="VYI245" s="15"/>
      <c r="VYJ245" s="10"/>
      <c r="VYK245" s="10"/>
      <c r="VYL245" s="21"/>
      <c r="VYM245" s="21"/>
      <c r="VYP245" s="21"/>
      <c r="VYQ245" s="15"/>
      <c r="VYR245" s="15"/>
      <c r="VYS245" s="15"/>
      <c r="VYT245" s="15"/>
      <c r="VYU245" s="15"/>
      <c r="VYV245" s="15"/>
      <c r="VYW245" s="15"/>
      <c r="VYX245" s="15"/>
      <c r="VYY245" s="15"/>
      <c r="VYZ245" s="15"/>
      <c r="VZA245" s="10"/>
      <c r="VZB245" s="10"/>
      <c r="VZC245" s="21"/>
      <c r="VZD245" s="21"/>
      <c r="VZG245" s="21"/>
      <c r="VZH245" s="15"/>
      <c r="VZI245" s="15"/>
      <c r="VZJ245" s="15"/>
      <c r="VZK245" s="15"/>
      <c r="VZL245" s="15"/>
      <c r="VZM245" s="15"/>
      <c r="VZN245" s="15"/>
      <c r="VZO245" s="15"/>
      <c r="VZP245" s="15"/>
      <c r="VZQ245" s="15"/>
      <c r="VZR245" s="10"/>
      <c r="VZS245" s="10"/>
      <c r="VZT245" s="21"/>
      <c r="VZU245" s="21"/>
      <c r="VZX245" s="21"/>
      <c r="VZY245" s="15"/>
      <c r="VZZ245" s="15"/>
      <c r="WAA245" s="15"/>
      <c r="WAB245" s="15"/>
      <c r="WAC245" s="15"/>
      <c r="WAD245" s="15"/>
      <c r="WAE245" s="15"/>
      <c r="WAF245" s="15"/>
      <c r="WAG245" s="15"/>
      <c r="WAH245" s="15"/>
      <c r="WAI245" s="10"/>
      <c r="WAJ245" s="10"/>
      <c r="WAK245" s="21"/>
      <c r="WAL245" s="21"/>
      <c r="WAO245" s="21"/>
      <c r="WAP245" s="15"/>
      <c r="WAQ245" s="15"/>
      <c r="WAR245" s="15"/>
      <c r="WAS245" s="15"/>
      <c r="WAT245" s="15"/>
      <c r="WAU245" s="15"/>
      <c r="WAV245" s="15"/>
      <c r="WAW245" s="15"/>
      <c r="WAX245" s="15"/>
      <c r="WAY245" s="15"/>
      <c r="WAZ245" s="10"/>
      <c r="WBA245" s="10"/>
      <c r="WBB245" s="21"/>
      <c r="WBC245" s="21"/>
      <c r="WBF245" s="21"/>
      <c r="WBG245" s="15"/>
      <c r="WBH245" s="15"/>
      <c r="WBI245" s="15"/>
      <c r="WBJ245" s="15"/>
      <c r="WBK245" s="15"/>
      <c r="WBL245" s="15"/>
      <c r="WBM245" s="15"/>
      <c r="WBN245" s="15"/>
      <c r="WBO245" s="15"/>
      <c r="WBP245" s="15"/>
      <c r="WBQ245" s="10"/>
      <c r="WBR245" s="10"/>
      <c r="WBS245" s="21"/>
      <c r="WBT245" s="21"/>
      <c r="WBW245" s="21"/>
      <c r="WBX245" s="15"/>
      <c r="WBY245" s="15"/>
      <c r="WBZ245" s="15"/>
      <c r="WCA245" s="15"/>
      <c r="WCB245" s="15"/>
      <c r="WCC245" s="15"/>
      <c r="WCD245" s="15"/>
      <c r="WCE245" s="15"/>
      <c r="WCF245" s="15"/>
      <c r="WCG245" s="15"/>
      <c r="WCH245" s="10"/>
      <c r="WCI245" s="10"/>
      <c r="WCJ245" s="21"/>
      <c r="WCK245" s="21"/>
      <c r="WCN245" s="21"/>
      <c r="WCO245" s="15"/>
      <c r="WCP245" s="15"/>
      <c r="WCQ245" s="15"/>
      <c r="WCR245" s="15"/>
      <c r="WCS245" s="15"/>
      <c r="WCT245" s="15"/>
      <c r="WCU245" s="15"/>
      <c r="WCV245" s="15"/>
      <c r="WCW245" s="15"/>
      <c r="WCX245" s="15"/>
      <c r="WCY245" s="10"/>
      <c r="WCZ245" s="10"/>
      <c r="WDA245" s="21"/>
      <c r="WDB245" s="21"/>
      <c r="WDE245" s="21"/>
      <c r="WDF245" s="15"/>
      <c r="WDG245" s="15"/>
      <c r="WDH245" s="15"/>
      <c r="WDI245" s="15"/>
      <c r="WDJ245" s="15"/>
      <c r="WDK245" s="15"/>
      <c r="WDL245" s="15"/>
      <c r="WDM245" s="15"/>
      <c r="WDN245" s="15"/>
      <c r="WDO245" s="15"/>
      <c r="WDP245" s="10"/>
      <c r="WDQ245" s="10"/>
      <c r="WDR245" s="21"/>
      <c r="WDS245" s="21"/>
      <c r="WDV245" s="21"/>
      <c r="WDW245" s="15"/>
      <c r="WDX245" s="15"/>
      <c r="WDY245" s="15"/>
      <c r="WDZ245" s="15"/>
      <c r="WEA245" s="15"/>
      <c r="WEB245" s="15"/>
      <c r="WEC245" s="15"/>
      <c r="WED245" s="15"/>
      <c r="WEE245" s="15"/>
      <c r="WEF245" s="15"/>
      <c r="WEG245" s="10"/>
      <c r="WEH245" s="10"/>
      <c r="WEI245" s="21"/>
      <c r="WEJ245" s="21"/>
      <c r="WEM245" s="21"/>
      <c r="WEN245" s="15"/>
      <c r="WEO245" s="15"/>
      <c r="WEP245" s="15"/>
      <c r="WEQ245" s="15"/>
      <c r="WER245" s="15"/>
      <c r="WES245" s="15"/>
      <c r="WET245" s="15"/>
      <c r="WEU245" s="15"/>
      <c r="WEV245" s="15"/>
      <c r="WEW245" s="15"/>
      <c r="WEX245" s="10"/>
      <c r="WEY245" s="10"/>
      <c r="WEZ245" s="21"/>
      <c r="WFA245" s="21"/>
      <c r="WFD245" s="21"/>
      <c r="WFE245" s="15"/>
      <c r="WFF245" s="15"/>
      <c r="WFG245" s="15"/>
      <c r="WFH245" s="15"/>
      <c r="WFI245" s="15"/>
      <c r="WFJ245" s="15"/>
      <c r="WFK245" s="15"/>
      <c r="WFL245" s="15"/>
      <c r="WFM245" s="15"/>
      <c r="WFN245" s="15"/>
      <c r="WFO245" s="10"/>
      <c r="WFP245" s="10"/>
      <c r="WFQ245" s="21"/>
      <c r="WFR245" s="21"/>
      <c r="WFU245" s="21"/>
      <c r="WFV245" s="15"/>
      <c r="WFW245" s="15"/>
      <c r="WFX245" s="15"/>
      <c r="WFY245" s="15"/>
      <c r="WFZ245" s="15"/>
      <c r="WGA245" s="15"/>
      <c r="WGB245" s="15"/>
      <c r="WGC245" s="15"/>
      <c r="WGD245" s="15"/>
      <c r="WGE245" s="15"/>
      <c r="WGF245" s="10"/>
      <c r="WGG245" s="10"/>
      <c r="WGH245" s="21"/>
      <c r="WGI245" s="21"/>
      <c r="WGL245" s="21"/>
      <c r="WGM245" s="15"/>
      <c r="WGN245" s="15"/>
      <c r="WGO245" s="15"/>
      <c r="WGP245" s="15"/>
      <c r="WGQ245" s="15"/>
      <c r="WGR245" s="15"/>
      <c r="WGS245" s="15"/>
      <c r="WGT245" s="15"/>
      <c r="WGU245" s="15"/>
      <c r="WGV245" s="15"/>
      <c r="WGW245" s="10"/>
      <c r="WGX245" s="10"/>
      <c r="WGY245" s="21"/>
      <c r="WGZ245" s="21"/>
      <c r="WHC245" s="21"/>
      <c r="WHD245" s="15"/>
      <c r="WHE245" s="15"/>
      <c r="WHF245" s="15"/>
      <c r="WHG245" s="15"/>
      <c r="WHH245" s="15"/>
      <c r="WHI245" s="15"/>
      <c r="WHJ245" s="15"/>
      <c r="WHK245" s="15"/>
      <c r="WHL245" s="15"/>
      <c r="WHM245" s="15"/>
      <c r="WHN245" s="10"/>
      <c r="WHO245" s="10"/>
      <c r="WHP245" s="21"/>
      <c r="WHQ245" s="21"/>
      <c r="WHT245" s="21"/>
      <c r="WHU245" s="15"/>
      <c r="WHV245" s="15"/>
      <c r="WHW245" s="15"/>
      <c r="WHX245" s="15"/>
      <c r="WHY245" s="15"/>
      <c r="WHZ245" s="15"/>
      <c r="WIA245" s="15"/>
      <c r="WIB245" s="15"/>
      <c r="WIC245" s="15"/>
      <c r="WID245" s="15"/>
      <c r="WIE245" s="10"/>
      <c r="WIF245" s="10"/>
      <c r="WIG245" s="21"/>
      <c r="WIH245" s="21"/>
      <c r="WIK245" s="21"/>
      <c r="WIL245" s="15"/>
      <c r="WIM245" s="15"/>
      <c r="WIN245" s="15"/>
      <c r="WIO245" s="15"/>
      <c r="WIP245" s="15"/>
      <c r="WIQ245" s="15"/>
      <c r="WIR245" s="15"/>
      <c r="WIS245" s="15"/>
      <c r="WIT245" s="15"/>
      <c r="WIU245" s="15"/>
      <c r="WIV245" s="10"/>
      <c r="WIW245" s="10"/>
      <c r="WIX245" s="21"/>
      <c r="WIY245" s="21"/>
      <c r="WJB245" s="21"/>
      <c r="WJC245" s="15"/>
      <c r="WJD245" s="15"/>
      <c r="WJE245" s="15"/>
      <c r="WJF245" s="15"/>
      <c r="WJG245" s="15"/>
      <c r="WJH245" s="15"/>
      <c r="WJI245" s="15"/>
      <c r="WJJ245" s="15"/>
      <c r="WJK245" s="15"/>
      <c r="WJL245" s="15"/>
      <c r="WJM245" s="10"/>
      <c r="WJN245" s="10"/>
      <c r="WJO245" s="21"/>
      <c r="WJP245" s="21"/>
      <c r="WJS245" s="21"/>
      <c r="WJT245" s="15"/>
      <c r="WJU245" s="15"/>
      <c r="WJV245" s="15"/>
      <c r="WJW245" s="15"/>
      <c r="WJX245" s="15"/>
      <c r="WJY245" s="15"/>
      <c r="WJZ245" s="15"/>
      <c r="WKA245" s="15"/>
      <c r="WKB245" s="15"/>
      <c r="WKC245" s="15"/>
      <c r="WKD245" s="10"/>
      <c r="WKE245" s="10"/>
      <c r="WKF245" s="21"/>
      <c r="WKG245" s="21"/>
      <c r="WKJ245" s="21"/>
      <c r="WKK245" s="15"/>
      <c r="WKL245" s="15"/>
      <c r="WKM245" s="15"/>
      <c r="WKN245" s="15"/>
      <c r="WKO245" s="15"/>
      <c r="WKP245" s="15"/>
      <c r="WKQ245" s="15"/>
      <c r="WKR245" s="15"/>
      <c r="WKS245" s="15"/>
      <c r="WKT245" s="15"/>
      <c r="WKU245" s="10"/>
      <c r="WKV245" s="10"/>
      <c r="WKW245" s="21"/>
      <c r="WKX245" s="21"/>
      <c r="WLA245" s="21"/>
      <c r="WLB245" s="15"/>
      <c r="WLC245" s="15"/>
      <c r="WLD245" s="15"/>
      <c r="WLE245" s="15"/>
      <c r="WLF245" s="15"/>
      <c r="WLG245" s="15"/>
      <c r="WLH245" s="15"/>
      <c r="WLI245" s="15"/>
      <c r="WLJ245" s="15"/>
      <c r="WLK245" s="15"/>
      <c r="WLL245" s="10"/>
      <c r="WLM245" s="10"/>
      <c r="WLN245" s="21"/>
      <c r="WLO245" s="21"/>
      <c r="WLR245" s="21"/>
      <c r="WLS245" s="15"/>
      <c r="WLT245" s="15"/>
      <c r="WLU245" s="15"/>
      <c r="WLV245" s="15"/>
      <c r="WLW245" s="15"/>
      <c r="WLX245" s="15"/>
      <c r="WLY245" s="15"/>
      <c r="WLZ245" s="15"/>
      <c r="WMA245" s="15"/>
      <c r="WMB245" s="15"/>
      <c r="WMC245" s="10"/>
      <c r="WMD245" s="10"/>
      <c r="WME245" s="21"/>
      <c r="WMF245" s="21"/>
      <c r="WMI245" s="21"/>
      <c r="WMJ245" s="15"/>
      <c r="WMK245" s="15"/>
      <c r="WML245" s="15"/>
      <c r="WMM245" s="15"/>
      <c r="WMN245" s="15"/>
      <c r="WMO245" s="15"/>
      <c r="WMP245" s="15"/>
      <c r="WMQ245" s="15"/>
      <c r="WMR245" s="15"/>
      <c r="WMS245" s="15"/>
      <c r="WMT245" s="10"/>
      <c r="WMU245" s="10"/>
      <c r="WMV245" s="21"/>
      <c r="WMW245" s="21"/>
      <c r="WMZ245" s="21"/>
      <c r="WNA245" s="15"/>
      <c r="WNB245" s="15"/>
      <c r="WNC245" s="15"/>
      <c r="WND245" s="15"/>
      <c r="WNE245" s="15"/>
      <c r="WNF245" s="15"/>
      <c r="WNG245" s="15"/>
      <c r="WNH245" s="15"/>
      <c r="WNI245" s="15"/>
      <c r="WNJ245" s="15"/>
      <c r="WNK245" s="10"/>
      <c r="WNL245" s="10"/>
      <c r="WNM245" s="21"/>
      <c r="WNN245" s="21"/>
      <c r="WNQ245" s="21"/>
      <c r="WNR245" s="15"/>
      <c r="WNS245" s="15"/>
      <c r="WNT245" s="15"/>
      <c r="WNU245" s="15"/>
      <c r="WNV245" s="15"/>
      <c r="WNW245" s="15"/>
      <c r="WNX245" s="15"/>
      <c r="WNY245" s="15"/>
      <c r="WNZ245" s="15"/>
      <c r="WOA245" s="15"/>
      <c r="WOB245" s="10"/>
      <c r="WOC245" s="10"/>
      <c r="WOD245" s="21"/>
      <c r="WOE245" s="21"/>
      <c r="WOH245" s="21"/>
      <c r="WOI245" s="15"/>
      <c r="WOJ245" s="15"/>
      <c r="WOK245" s="15"/>
      <c r="WOL245" s="15"/>
      <c r="WOM245" s="15"/>
      <c r="WON245" s="15"/>
      <c r="WOO245" s="15"/>
      <c r="WOP245" s="15"/>
      <c r="WOQ245" s="15"/>
      <c r="WOR245" s="15"/>
      <c r="WOS245" s="10"/>
      <c r="WOT245" s="10"/>
      <c r="WOU245" s="21"/>
      <c r="WOV245" s="21"/>
      <c r="WOY245" s="21"/>
      <c r="WOZ245" s="15"/>
      <c r="WPA245" s="15"/>
      <c r="WPB245" s="15"/>
      <c r="WPC245" s="15"/>
      <c r="WPD245" s="15"/>
      <c r="WPE245" s="15"/>
      <c r="WPF245" s="15"/>
      <c r="WPG245" s="15"/>
      <c r="WPH245" s="15"/>
      <c r="WPI245" s="15"/>
      <c r="WPJ245" s="10"/>
      <c r="WPK245" s="10"/>
      <c r="WPL245" s="21"/>
      <c r="WPM245" s="21"/>
      <c r="WPP245" s="21"/>
      <c r="WPQ245" s="15"/>
      <c r="WPR245" s="15"/>
      <c r="WPS245" s="15"/>
      <c r="WPT245" s="15"/>
      <c r="WPU245" s="15"/>
      <c r="WPV245" s="15"/>
      <c r="WPW245" s="15"/>
      <c r="WPX245" s="15"/>
      <c r="WPY245" s="15"/>
      <c r="WPZ245" s="15"/>
      <c r="WQA245" s="10"/>
      <c r="WQB245" s="10"/>
      <c r="WQC245" s="21"/>
      <c r="WQD245" s="21"/>
      <c r="WQG245" s="21"/>
      <c r="WQH245" s="15"/>
      <c r="WQI245" s="15"/>
      <c r="WQJ245" s="15"/>
      <c r="WQK245" s="15"/>
      <c r="WQL245" s="15"/>
      <c r="WQM245" s="15"/>
      <c r="WQN245" s="15"/>
      <c r="WQO245" s="15"/>
      <c r="WQP245" s="15"/>
      <c r="WQQ245" s="15"/>
      <c r="WQR245" s="10"/>
      <c r="WQS245" s="10"/>
      <c r="WQT245" s="21"/>
      <c r="WQU245" s="21"/>
      <c r="WQX245" s="21"/>
      <c r="WQY245" s="15"/>
      <c r="WQZ245" s="15"/>
      <c r="WRA245" s="15"/>
      <c r="WRB245" s="15"/>
      <c r="WRC245" s="15"/>
      <c r="WRD245" s="15"/>
      <c r="WRE245" s="15"/>
      <c r="WRF245" s="15"/>
      <c r="WRG245" s="15"/>
      <c r="WRH245" s="15"/>
      <c r="WRI245" s="10"/>
      <c r="WRJ245" s="10"/>
      <c r="WRK245" s="21"/>
      <c r="WRL245" s="21"/>
      <c r="WRO245" s="21"/>
      <c r="WRP245" s="15"/>
      <c r="WRQ245" s="15"/>
      <c r="WRR245" s="15"/>
      <c r="WRS245" s="15"/>
      <c r="WRT245" s="15"/>
      <c r="WRU245" s="15"/>
      <c r="WRV245" s="15"/>
      <c r="WRW245" s="15"/>
      <c r="WRX245" s="15"/>
      <c r="WRY245" s="15"/>
      <c r="WRZ245" s="10"/>
      <c r="WSA245" s="10"/>
      <c r="WSB245" s="21"/>
      <c r="WSC245" s="21"/>
      <c r="WSF245" s="21"/>
      <c r="WSG245" s="15"/>
      <c r="WSH245" s="15"/>
      <c r="WSI245" s="15"/>
      <c r="WSJ245" s="15"/>
      <c r="WSK245" s="15"/>
      <c r="WSL245" s="15"/>
      <c r="WSM245" s="15"/>
      <c r="WSN245" s="15"/>
      <c r="WSO245" s="15"/>
      <c r="WSP245" s="15"/>
      <c r="WSQ245" s="10"/>
      <c r="WSR245" s="10"/>
      <c r="WSS245" s="21"/>
      <c r="WST245" s="21"/>
      <c r="WSW245" s="21"/>
      <c r="WSX245" s="15"/>
      <c r="WSY245" s="15"/>
      <c r="WSZ245" s="15"/>
      <c r="WTA245" s="15"/>
      <c r="WTB245" s="15"/>
      <c r="WTC245" s="15"/>
      <c r="WTD245" s="15"/>
      <c r="WTE245" s="15"/>
      <c r="WTF245" s="15"/>
      <c r="WTG245" s="15"/>
      <c r="WTH245" s="10"/>
      <c r="WTI245" s="10"/>
      <c r="WTJ245" s="21"/>
      <c r="WTK245" s="21"/>
      <c r="WTN245" s="21"/>
      <c r="WTO245" s="15"/>
      <c r="WTP245" s="15"/>
      <c r="WTQ245" s="15"/>
      <c r="WTR245" s="15"/>
      <c r="WTS245" s="15"/>
      <c r="WTT245" s="15"/>
      <c r="WTU245" s="15"/>
      <c r="WTV245" s="15"/>
      <c r="WTW245" s="15"/>
      <c r="WTX245" s="15"/>
      <c r="WTY245" s="10"/>
      <c r="WTZ245" s="10"/>
      <c r="WUA245" s="21"/>
      <c r="WUB245" s="21"/>
      <c r="WUE245" s="21"/>
      <c r="WUF245" s="15"/>
      <c r="WUG245" s="15"/>
      <c r="WUH245" s="15"/>
      <c r="WUI245" s="15"/>
      <c r="WUJ245" s="15"/>
      <c r="WUK245" s="15"/>
      <c r="WUL245" s="15"/>
      <c r="WUM245" s="15"/>
      <c r="WUN245" s="15"/>
      <c r="WUO245" s="15"/>
      <c r="WUP245" s="10"/>
      <c r="WUQ245" s="10"/>
      <c r="WUR245" s="21"/>
      <c r="WUS245" s="21"/>
      <c r="WUV245" s="21"/>
      <c r="WUW245" s="15"/>
      <c r="WUX245" s="15"/>
      <c r="WUY245" s="15"/>
      <c r="WUZ245" s="15"/>
      <c r="WVA245" s="15"/>
      <c r="WVB245" s="15"/>
      <c r="WVC245" s="15"/>
      <c r="WVD245" s="15"/>
      <c r="WVE245" s="15"/>
      <c r="WVF245" s="15"/>
      <c r="WVG245" s="10"/>
      <c r="WVH245" s="10"/>
      <c r="WVI245" s="21"/>
      <c r="WVJ245" s="21"/>
      <c r="WVM245" s="21"/>
      <c r="WVN245" s="15"/>
      <c r="WVO245" s="15"/>
      <c r="WVP245" s="15"/>
      <c r="WVQ245" s="15"/>
      <c r="WVR245" s="15"/>
      <c r="WVS245" s="15"/>
      <c r="WVT245" s="15"/>
      <c r="WVU245" s="15"/>
      <c r="WVV245" s="15"/>
      <c r="WVW245" s="15"/>
      <c r="WVX245" s="10"/>
      <c r="WVY245" s="10"/>
      <c r="WVZ245" s="21"/>
      <c r="WWA245" s="21"/>
      <c r="WWD245" s="21"/>
      <c r="WWE245" s="15"/>
      <c r="WWF245" s="15"/>
      <c r="WWG245" s="15"/>
      <c r="WWH245" s="15"/>
      <c r="WWI245" s="15"/>
      <c r="WWJ245" s="15"/>
      <c r="WWK245" s="15"/>
      <c r="WWL245" s="15"/>
      <c r="WWM245" s="15"/>
      <c r="WWN245" s="15"/>
      <c r="WWO245" s="10"/>
      <c r="WWP245" s="10"/>
      <c r="WWQ245" s="21"/>
      <c r="WWR245" s="21"/>
      <c r="WWU245" s="21"/>
      <c r="WWV245" s="15"/>
      <c r="WWW245" s="15"/>
      <c r="WWX245" s="15"/>
      <c r="WWY245" s="15"/>
      <c r="WWZ245" s="15"/>
      <c r="WXA245" s="15"/>
      <c r="WXB245" s="15"/>
      <c r="WXC245" s="15"/>
      <c r="WXD245" s="15"/>
      <c r="WXE245" s="15"/>
      <c r="WXF245" s="10"/>
      <c r="WXG245" s="10"/>
      <c r="WXH245" s="21"/>
      <c r="WXI245" s="21"/>
      <c r="WXL245" s="21"/>
      <c r="WXM245" s="15"/>
      <c r="WXN245" s="15"/>
      <c r="WXO245" s="15"/>
      <c r="WXP245" s="15"/>
      <c r="WXQ245" s="15"/>
      <c r="WXR245" s="15"/>
      <c r="WXS245" s="15"/>
      <c r="WXT245" s="15"/>
      <c r="WXU245" s="15"/>
      <c r="WXV245" s="15"/>
      <c r="WXW245" s="10"/>
      <c r="WXX245" s="10"/>
      <c r="WXY245" s="21"/>
      <c r="WXZ245" s="21"/>
      <c r="WYC245" s="21"/>
      <c r="WYD245" s="15"/>
      <c r="WYE245" s="15"/>
      <c r="WYF245" s="15"/>
      <c r="WYG245" s="15"/>
      <c r="WYH245" s="15"/>
      <c r="WYI245" s="15"/>
      <c r="WYJ245" s="15"/>
      <c r="WYK245" s="15"/>
      <c r="WYL245" s="15"/>
      <c r="WYM245" s="15"/>
      <c r="WYN245" s="10"/>
      <c r="WYO245" s="10"/>
      <c r="WYP245" s="21"/>
      <c r="WYQ245" s="21"/>
      <c r="WYT245" s="21"/>
      <c r="WYU245" s="15"/>
      <c r="WYV245" s="15"/>
      <c r="WYW245" s="15"/>
      <c r="WYX245" s="15"/>
      <c r="WYY245" s="15"/>
      <c r="WYZ245" s="15"/>
      <c r="WZA245" s="15"/>
      <c r="WZB245" s="15"/>
      <c r="WZC245" s="15"/>
      <c r="WZD245" s="15"/>
      <c r="WZE245" s="10"/>
      <c r="WZF245" s="10"/>
      <c r="WZG245" s="21"/>
      <c r="WZH245" s="21"/>
      <c r="WZK245" s="21"/>
      <c r="WZL245" s="15"/>
      <c r="WZM245" s="15"/>
      <c r="WZN245" s="15"/>
      <c r="WZO245" s="15"/>
      <c r="WZP245" s="15"/>
      <c r="WZQ245" s="15"/>
      <c r="WZR245" s="15"/>
      <c r="WZS245" s="15"/>
      <c r="WZT245" s="15"/>
      <c r="WZU245" s="15"/>
      <c r="WZV245" s="10"/>
      <c r="WZW245" s="10"/>
      <c r="WZX245" s="21"/>
      <c r="WZY245" s="21"/>
      <c r="XAB245" s="21"/>
      <c r="XAC245" s="15"/>
      <c r="XAD245" s="15"/>
      <c r="XAE245" s="15"/>
      <c r="XAF245" s="15"/>
      <c r="XAG245" s="15"/>
      <c r="XAH245" s="15"/>
      <c r="XAI245" s="15"/>
      <c r="XAJ245" s="15"/>
      <c r="XAK245" s="15"/>
      <c r="XAL245" s="15"/>
      <c r="XAM245" s="10"/>
      <c r="XAN245" s="10"/>
      <c r="XAO245" s="21"/>
      <c r="XAP245" s="21"/>
      <c r="XAS245" s="21"/>
      <c r="XAT245" s="15"/>
      <c r="XAU245" s="15"/>
      <c r="XAV245" s="15"/>
      <c r="XAW245" s="15"/>
      <c r="XAX245" s="15"/>
      <c r="XAY245" s="15"/>
      <c r="XAZ245" s="15"/>
      <c r="XBA245" s="15"/>
      <c r="XBB245" s="15"/>
      <c r="XBC245" s="15"/>
      <c r="XBD245" s="10"/>
      <c r="XBE245" s="10"/>
      <c r="XBF245" s="21"/>
      <c r="XBG245" s="21"/>
      <c r="XBJ245" s="21"/>
      <c r="XBK245" s="15"/>
      <c r="XBL245" s="15"/>
      <c r="XBM245" s="15"/>
      <c r="XBN245" s="15"/>
      <c r="XBO245" s="15"/>
      <c r="XBP245" s="15"/>
      <c r="XBQ245" s="15"/>
      <c r="XBR245" s="15"/>
      <c r="XBS245" s="15"/>
      <c r="XBT245" s="15"/>
      <c r="XBU245" s="10"/>
      <c r="XBV245" s="10"/>
      <c r="XBW245" s="21"/>
      <c r="XBX245" s="21"/>
      <c r="XCA245" s="21"/>
      <c r="XCB245" s="15"/>
      <c r="XCC245" s="15"/>
      <c r="XCD245" s="15"/>
      <c r="XCE245" s="15"/>
      <c r="XCF245" s="15"/>
      <c r="XCG245" s="15"/>
      <c r="XCH245" s="15"/>
      <c r="XCI245" s="15"/>
      <c r="XCJ245" s="15"/>
      <c r="XCK245" s="15"/>
      <c r="XCL245" s="10"/>
      <c r="XCM245" s="10"/>
      <c r="XCN245" s="21"/>
      <c r="XCO245" s="21"/>
      <c r="XCR245" s="21"/>
      <c r="XCS245" s="15"/>
      <c r="XCT245" s="15"/>
      <c r="XCU245" s="15"/>
      <c r="XCV245" s="15"/>
      <c r="XCW245" s="15"/>
      <c r="XCX245" s="15"/>
      <c r="XCY245" s="15"/>
      <c r="XCZ245" s="15"/>
      <c r="XDA245" s="15"/>
      <c r="XDB245" s="15"/>
      <c r="XDC245" s="10"/>
      <c r="XDD245" s="10"/>
      <c r="XDE245" s="21"/>
      <c r="XDF245" s="21"/>
      <c r="XDI245" s="21"/>
      <c r="XDJ245" s="15"/>
      <c r="XDK245" s="15"/>
      <c r="XDL245" s="15"/>
      <c r="XDM245" s="15"/>
      <c r="XDN245" s="15"/>
      <c r="XDO245" s="15"/>
      <c r="XDP245" s="15"/>
      <c r="XDQ245" s="15"/>
      <c r="XDR245" s="15"/>
      <c r="XDS245" s="15"/>
      <c r="XDT245" s="10"/>
      <c r="XDU245" s="10"/>
      <c r="XDV245" s="21"/>
      <c r="XDW245" s="21"/>
      <c r="XDZ245" s="21"/>
      <c r="XEA245" s="15"/>
      <c r="XEB245" s="15"/>
      <c r="XEC245" s="15"/>
      <c r="XED245" s="15"/>
      <c r="XEE245" s="15"/>
      <c r="XEF245" s="15"/>
      <c r="XEG245" s="15"/>
      <c r="XEH245" s="15"/>
      <c r="XEI245" s="15"/>
      <c r="XEJ245" s="15"/>
      <c r="XEK245" s="10"/>
      <c r="XEL245" s="10"/>
      <c r="XEM245" s="21"/>
      <c r="XEN245" s="21"/>
      <c r="XEQ245" s="21"/>
      <c r="XER245" s="15"/>
      <c r="XES245" s="15"/>
      <c r="XET245" s="15"/>
      <c r="XEU245" s="15"/>
      <c r="XEV245" s="15"/>
      <c r="XEW245" s="15"/>
      <c r="XEX245" s="15"/>
      <c r="XEY245" s="15"/>
      <c r="XEZ245" s="15"/>
      <c r="XFA245" s="15"/>
      <c r="XFB245" s="10"/>
      <c r="XFC245" s="10"/>
      <c r="XFD245" s="21"/>
    </row>
    <row r="246" spans="1:4094 4097:8191 8194:12288 12291:16384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517</v>
      </c>
      <c r="E246" s="32" t="s">
        <v>166</v>
      </c>
      <c r="F246" s="32" t="s">
        <v>518</v>
      </c>
      <c r="G246" s="32" t="s">
        <v>519</v>
      </c>
      <c r="H246" s="32" t="s">
        <v>352</v>
      </c>
      <c r="I246" s="31" t="s">
        <v>520</v>
      </c>
      <c r="J246" s="31">
        <v>99</v>
      </c>
      <c r="K246" s="33" t="s">
        <v>693</v>
      </c>
      <c r="L246" s="33">
        <v>40</v>
      </c>
      <c r="M246" s="34" t="s">
        <v>949</v>
      </c>
      <c r="N246" s="34" t="s">
        <v>1800</v>
      </c>
      <c r="O246" s="35">
        <v>1</v>
      </c>
      <c r="P246" s="35"/>
      <c r="Q246" s="32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91"/>
        <v>0</v>
      </c>
      <c r="AG246" s="1">
        <f t="shared" si="92"/>
        <v>1</v>
      </c>
      <c r="AH246" s="1">
        <f t="shared" si="93"/>
        <v>0</v>
      </c>
      <c r="AI246" s="1">
        <f t="shared" si="94"/>
        <v>1</v>
      </c>
    </row>
    <row r="247" spans="1:4094 4097:8191 8194:12288 12291:16384" s="1" customFormat="1" ht="13.9" customHeight="1" x14ac:dyDescent="0.25">
      <c r="A247" s="38">
        <v>0</v>
      </c>
      <c r="B247" s="38">
        <v>1</v>
      </c>
      <c r="C247" s="38">
        <v>6</v>
      </c>
      <c r="D247" s="39" t="s">
        <v>1788</v>
      </c>
      <c r="E247" s="39" t="s">
        <v>1789</v>
      </c>
      <c r="F247" s="39" t="s">
        <v>1790</v>
      </c>
      <c r="G247" s="39"/>
      <c r="H247" s="39" t="s">
        <v>352</v>
      </c>
      <c r="I247" s="38" t="s">
        <v>1791</v>
      </c>
      <c r="J247" s="38"/>
      <c r="K247" s="40" t="s">
        <v>694</v>
      </c>
      <c r="L247" s="40"/>
      <c r="M247" s="41"/>
      <c r="N247" s="42"/>
      <c r="O247" s="43"/>
      <c r="P247" s="43">
        <v>1</v>
      </c>
      <c r="Q247" s="39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0</v>
      </c>
      <c r="AF247" s="1">
        <f t="shared" si="91"/>
        <v>0</v>
      </c>
      <c r="AG247" s="1">
        <f t="shared" si="92"/>
        <v>0</v>
      </c>
      <c r="AH247" s="1">
        <f t="shared" si="93"/>
        <v>1</v>
      </c>
      <c r="AI247" s="1">
        <f t="shared" si="94"/>
        <v>0</v>
      </c>
    </row>
    <row r="248" spans="1:4094 4097:8191 8194:12288 12291:16384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2036</v>
      </c>
      <c r="E248" s="32" t="s">
        <v>166</v>
      </c>
      <c r="F248" s="32" t="s">
        <v>2037</v>
      </c>
      <c r="G248" s="32"/>
      <c r="H248" s="32" t="s">
        <v>352</v>
      </c>
      <c r="I248" s="31" t="s">
        <v>2038</v>
      </c>
      <c r="J248" s="31"/>
      <c r="K248" s="33" t="s">
        <v>694</v>
      </c>
      <c r="L248" s="33"/>
      <c r="M248" s="34"/>
      <c r="N248" s="34" t="s">
        <v>1700</v>
      </c>
      <c r="O248" s="35">
        <v>1</v>
      </c>
      <c r="P248" s="35"/>
      <c r="Q248" s="32" t="s">
        <v>2039</v>
      </c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91"/>
        <v>0</v>
      </c>
      <c r="AG248" s="1">
        <f t="shared" si="92"/>
        <v>1</v>
      </c>
      <c r="AH248" s="1">
        <f t="shared" si="93"/>
        <v>0</v>
      </c>
      <c r="AI248" s="1">
        <f t="shared" si="94"/>
        <v>1</v>
      </c>
    </row>
    <row r="249" spans="1:4094 4097:8191 8194:12288 12291:16384" s="1" customFormat="1" ht="13.9" customHeight="1" x14ac:dyDescent="0.25">
      <c r="A249" s="31">
        <v>0</v>
      </c>
      <c r="B249" s="31">
        <v>1</v>
      </c>
      <c r="C249" s="31">
        <v>6</v>
      </c>
      <c r="D249" s="32" t="s">
        <v>1443</v>
      </c>
      <c r="E249" s="32" t="s">
        <v>166</v>
      </c>
      <c r="F249" s="32" t="s">
        <v>1445</v>
      </c>
      <c r="G249" s="32" t="s">
        <v>1446</v>
      </c>
      <c r="H249" s="32" t="s">
        <v>352</v>
      </c>
      <c r="I249" s="31" t="s">
        <v>1444</v>
      </c>
      <c r="J249" s="31">
        <v>99</v>
      </c>
      <c r="K249" s="33" t="s">
        <v>694</v>
      </c>
      <c r="L249" s="33">
        <v>62</v>
      </c>
      <c r="M249" s="34"/>
      <c r="N249" s="34" t="s">
        <v>1701</v>
      </c>
      <c r="O249" s="35">
        <v>1</v>
      </c>
      <c r="P249" s="35"/>
      <c r="Q249" s="32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91"/>
        <v>0</v>
      </c>
      <c r="AG249" s="1">
        <f t="shared" si="92"/>
        <v>1</v>
      </c>
      <c r="AH249" s="1">
        <f t="shared" si="93"/>
        <v>0</v>
      </c>
      <c r="AI249" s="1">
        <f t="shared" si="94"/>
        <v>1</v>
      </c>
    </row>
    <row r="250" spans="1:4094 4097:8191 8194:12288 12291:16384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1165</v>
      </c>
      <c r="E250" s="32" t="s">
        <v>164</v>
      </c>
      <c r="F250" s="32" t="s">
        <v>1631</v>
      </c>
      <c r="G250" s="32" t="s">
        <v>212</v>
      </c>
      <c r="H250" s="32" t="s">
        <v>352</v>
      </c>
      <c r="I250" s="31" t="s">
        <v>1166</v>
      </c>
      <c r="J250" s="31">
        <v>1</v>
      </c>
      <c r="K250" s="33" t="s">
        <v>939</v>
      </c>
      <c r="L250" s="33" t="s">
        <v>678</v>
      </c>
      <c r="M250" s="34" t="s">
        <v>1533</v>
      </c>
      <c r="N250" s="34" t="s">
        <v>1707</v>
      </c>
      <c r="O250" s="35">
        <v>1</v>
      </c>
      <c r="P250" s="35"/>
      <c r="Q250" s="32"/>
      <c r="S250" s="1">
        <f t="shared" si="79"/>
        <v>1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0</v>
      </c>
      <c r="AB250" s="1">
        <f t="shared" si="88"/>
        <v>0</v>
      </c>
      <c r="AD250" s="1">
        <f t="shared" si="89"/>
        <v>0</v>
      </c>
      <c r="AE250" s="1">
        <f t="shared" si="90"/>
        <v>1</v>
      </c>
      <c r="AF250" s="1">
        <f t="shared" si="91"/>
        <v>0</v>
      </c>
      <c r="AG250" s="1">
        <f t="shared" si="92"/>
        <v>1</v>
      </c>
      <c r="AH250" s="1">
        <f t="shared" si="93"/>
        <v>0</v>
      </c>
      <c r="AI250" s="1">
        <f t="shared" si="94"/>
        <v>1</v>
      </c>
    </row>
    <row r="251" spans="1:4094 4097:8191 8194:12288 12291:16384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2017</v>
      </c>
      <c r="E251" s="32" t="s">
        <v>2018</v>
      </c>
      <c r="F251" s="32" t="s">
        <v>2019</v>
      </c>
      <c r="G251" s="32" t="s">
        <v>207</v>
      </c>
      <c r="H251" s="32" t="s">
        <v>352</v>
      </c>
      <c r="I251" s="31" t="s">
        <v>2020</v>
      </c>
      <c r="J251" s="31">
        <v>3</v>
      </c>
      <c r="K251" s="33" t="s">
        <v>694</v>
      </c>
      <c r="L251" s="33">
        <v>30</v>
      </c>
      <c r="M251" s="34" t="s">
        <v>2021</v>
      </c>
      <c r="N251" s="34" t="s">
        <v>1800</v>
      </c>
      <c r="O251" s="35">
        <v>1</v>
      </c>
      <c r="P251" s="35"/>
      <c r="Q251" s="32"/>
      <c r="S251" s="1">
        <f t="shared" si="79"/>
        <v>0</v>
      </c>
      <c r="T251" s="1">
        <f t="shared" si="80"/>
        <v>0</v>
      </c>
      <c r="U251" s="1">
        <f t="shared" si="81"/>
        <v>1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1</v>
      </c>
      <c r="AF251" s="1">
        <f t="shared" si="91"/>
        <v>0</v>
      </c>
      <c r="AG251" s="1">
        <f t="shared" si="92"/>
        <v>1</v>
      </c>
      <c r="AH251" s="1">
        <f t="shared" si="93"/>
        <v>0</v>
      </c>
      <c r="AI251" s="1">
        <f t="shared" si="94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97</v>
      </c>
      <c r="E252" s="32" t="s">
        <v>166</v>
      </c>
      <c r="F252" s="32" t="s">
        <v>294</v>
      </c>
      <c r="G252" s="32" t="s">
        <v>283</v>
      </c>
      <c r="H252" s="32" t="s">
        <v>352</v>
      </c>
      <c r="I252" s="31" t="s">
        <v>1095</v>
      </c>
      <c r="J252" s="31">
        <v>10</v>
      </c>
      <c r="K252" s="33" t="s">
        <v>933</v>
      </c>
      <c r="L252" s="33" t="s">
        <v>685</v>
      </c>
      <c r="M252" s="34" t="s">
        <v>696</v>
      </c>
      <c r="N252" s="34" t="s">
        <v>1701</v>
      </c>
      <c r="O252" s="35">
        <v>1</v>
      </c>
      <c r="P252" s="35"/>
      <c r="Q252" s="32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1</v>
      </c>
      <c r="AD252" s="1">
        <f t="shared" si="89"/>
        <v>0</v>
      </c>
      <c r="AE252" s="1">
        <f t="shared" si="90"/>
        <v>1</v>
      </c>
      <c r="AF252" s="1">
        <f t="shared" si="91"/>
        <v>0</v>
      </c>
      <c r="AG252" s="1">
        <f t="shared" si="92"/>
        <v>1</v>
      </c>
      <c r="AH252" s="1">
        <f t="shared" si="93"/>
        <v>0</v>
      </c>
      <c r="AI252" s="1">
        <f t="shared" si="94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595</v>
      </c>
      <c r="E253" s="32" t="s">
        <v>164</v>
      </c>
      <c r="F253" s="32" t="s">
        <v>597</v>
      </c>
      <c r="G253" s="32" t="s">
        <v>39</v>
      </c>
      <c r="H253" s="32" t="s">
        <v>352</v>
      </c>
      <c r="I253" s="31" t="s">
        <v>596</v>
      </c>
      <c r="J253" s="31">
        <v>99</v>
      </c>
      <c r="K253" s="33" t="s">
        <v>933</v>
      </c>
      <c r="L253" s="33" t="s">
        <v>684</v>
      </c>
      <c r="M253" s="34" t="s">
        <v>947</v>
      </c>
      <c r="N253" s="34" t="s">
        <v>1701</v>
      </c>
      <c r="O253" s="35">
        <v>1</v>
      </c>
      <c r="P253" s="35"/>
      <c r="Q253" s="32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1</v>
      </c>
      <c r="AF253" s="1">
        <f t="shared" si="91"/>
        <v>0</v>
      </c>
      <c r="AG253" s="1">
        <f t="shared" si="92"/>
        <v>1</v>
      </c>
      <c r="AH253" s="1">
        <f t="shared" si="93"/>
        <v>0</v>
      </c>
      <c r="AI253" s="1">
        <f t="shared" si="94"/>
        <v>1</v>
      </c>
    </row>
    <row r="254" spans="1:4094 4097:8191 8194:12288 12291:16384" s="1" customFormat="1" ht="14.25" customHeight="1" x14ac:dyDescent="0.25">
      <c r="A254" s="31">
        <v>0</v>
      </c>
      <c r="B254" s="31">
        <v>1</v>
      </c>
      <c r="C254" s="31">
        <v>6</v>
      </c>
      <c r="D254" s="32" t="s">
        <v>1134</v>
      </c>
      <c r="E254" s="32" t="s">
        <v>164</v>
      </c>
      <c r="F254" s="32" t="s">
        <v>1136</v>
      </c>
      <c r="G254" s="32" t="s">
        <v>219</v>
      </c>
      <c r="H254" s="32" t="s">
        <v>352</v>
      </c>
      <c r="I254" s="31" t="s">
        <v>1135</v>
      </c>
      <c r="J254" s="31">
        <v>8</v>
      </c>
      <c r="K254" s="33" t="s">
        <v>693</v>
      </c>
      <c r="L254" s="33" t="s">
        <v>1673</v>
      </c>
      <c r="M254" s="34" t="s">
        <v>1368</v>
      </c>
      <c r="N254" s="34" t="s">
        <v>1700</v>
      </c>
      <c r="O254" s="35">
        <v>1</v>
      </c>
      <c r="P254" s="35"/>
      <c r="Q254" s="32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1</v>
      </c>
      <c r="AA254" s="1">
        <f t="shared" si="87"/>
        <v>0</v>
      </c>
      <c r="AB254" s="1">
        <f t="shared" si="88"/>
        <v>0</v>
      </c>
      <c r="AD254" s="1">
        <f t="shared" si="89"/>
        <v>0</v>
      </c>
      <c r="AE254" s="1">
        <f t="shared" si="90"/>
        <v>1</v>
      </c>
      <c r="AF254" s="1">
        <f t="shared" si="91"/>
        <v>0</v>
      </c>
      <c r="AG254" s="1">
        <f t="shared" si="92"/>
        <v>1</v>
      </c>
      <c r="AH254" s="1">
        <f t="shared" si="93"/>
        <v>0</v>
      </c>
      <c r="AI254" s="1">
        <f t="shared" si="94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6</v>
      </c>
      <c r="D255" s="32" t="s">
        <v>558</v>
      </c>
      <c r="E255" s="32" t="s">
        <v>166</v>
      </c>
      <c r="F255" s="32" t="s">
        <v>653</v>
      </c>
      <c r="G255" s="32" t="s">
        <v>201</v>
      </c>
      <c r="H255" s="32" t="s">
        <v>352</v>
      </c>
      <c r="I255" s="31" t="s">
        <v>575</v>
      </c>
      <c r="J255" s="31">
        <v>10</v>
      </c>
      <c r="K255" s="33" t="s">
        <v>939</v>
      </c>
      <c r="L255" s="33" t="s">
        <v>684</v>
      </c>
      <c r="M255" s="34" t="s">
        <v>696</v>
      </c>
      <c r="N255" s="34" t="s">
        <v>1700</v>
      </c>
      <c r="O255" s="35">
        <v>1</v>
      </c>
      <c r="P255" s="35"/>
      <c r="Q255" s="36"/>
      <c r="S255" s="1">
        <f t="shared" si="79"/>
        <v>0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1</v>
      </c>
      <c r="AD255" s="1">
        <f t="shared" si="89"/>
        <v>0</v>
      </c>
      <c r="AE255" s="1">
        <f t="shared" si="90"/>
        <v>1</v>
      </c>
      <c r="AF255" s="1">
        <f t="shared" si="91"/>
        <v>0</v>
      </c>
      <c r="AG255" s="1">
        <f t="shared" si="92"/>
        <v>1</v>
      </c>
      <c r="AH255" s="1">
        <f t="shared" si="93"/>
        <v>0</v>
      </c>
      <c r="AI255" s="1">
        <f t="shared" si="94"/>
        <v>1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6</v>
      </c>
      <c r="D256" s="32" t="s">
        <v>876</v>
      </c>
      <c r="E256" s="32" t="s">
        <v>166</v>
      </c>
      <c r="F256" s="32" t="s">
        <v>916</v>
      </c>
      <c r="G256" s="32" t="s">
        <v>917</v>
      </c>
      <c r="H256" s="32" t="s">
        <v>352</v>
      </c>
      <c r="I256" s="31" t="s">
        <v>930</v>
      </c>
      <c r="J256" s="31">
        <v>99</v>
      </c>
      <c r="K256" s="33" t="s">
        <v>693</v>
      </c>
      <c r="L256" s="33" t="s">
        <v>680</v>
      </c>
      <c r="M256" s="34" t="s">
        <v>1369</v>
      </c>
      <c r="N256" s="34" t="s">
        <v>1713</v>
      </c>
      <c r="O256" s="35">
        <v>1</v>
      </c>
      <c r="P256" s="35"/>
      <c r="Q256" s="32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1</v>
      </c>
      <c r="AF256" s="1">
        <f t="shared" si="91"/>
        <v>0</v>
      </c>
      <c r="AG256" s="1">
        <f t="shared" si="92"/>
        <v>1</v>
      </c>
      <c r="AH256" s="1">
        <f t="shared" si="93"/>
        <v>0</v>
      </c>
      <c r="AI256" s="1">
        <f t="shared" si="94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6</v>
      </c>
      <c r="D257" s="32" t="s">
        <v>99</v>
      </c>
      <c r="E257" s="32" t="s">
        <v>166</v>
      </c>
      <c r="F257" s="32" t="s">
        <v>654</v>
      </c>
      <c r="G257" s="32" t="s">
        <v>656</v>
      </c>
      <c r="H257" s="32" t="s">
        <v>352</v>
      </c>
      <c r="I257" s="31" t="s">
        <v>444</v>
      </c>
      <c r="J257" s="31">
        <v>99</v>
      </c>
      <c r="K257" s="33" t="s">
        <v>713</v>
      </c>
      <c r="L257" s="33" t="s">
        <v>687</v>
      </c>
      <c r="M257" s="34" t="s">
        <v>698</v>
      </c>
      <c r="N257" s="34" t="s">
        <v>1701</v>
      </c>
      <c r="O257" s="35">
        <v>1</v>
      </c>
      <c r="P257" s="35"/>
      <c r="Q257" s="32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1</v>
      </c>
      <c r="AF257" s="1">
        <f t="shared" si="91"/>
        <v>0</v>
      </c>
      <c r="AG257" s="1">
        <f t="shared" si="92"/>
        <v>1</v>
      </c>
      <c r="AH257" s="1">
        <f t="shared" si="93"/>
        <v>0</v>
      </c>
      <c r="AI257" s="1">
        <f t="shared" si="94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86</v>
      </c>
      <c r="E258" s="32" t="s">
        <v>29</v>
      </c>
      <c r="F258" s="32" t="s">
        <v>655</v>
      </c>
      <c r="G258" s="32" t="s">
        <v>656</v>
      </c>
      <c r="H258" s="32" t="s">
        <v>352</v>
      </c>
      <c r="I258" s="31" t="s">
        <v>623</v>
      </c>
      <c r="J258" s="31">
        <v>99</v>
      </c>
      <c r="K258" s="33" t="s">
        <v>931</v>
      </c>
      <c r="L258" s="33" t="s">
        <v>684</v>
      </c>
      <c r="M258" s="34" t="s">
        <v>1370</v>
      </c>
      <c r="N258" s="34" t="s">
        <v>1687</v>
      </c>
      <c r="O258" s="35">
        <v>1</v>
      </c>
      <c r="P258" s="35">
        <v>1</v>
      </c>
      <c r="Q258" s="32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91"/>
        <v>1</v>
      </c>
      <c r="AG258" s="1">
        <f t="shared" si="92"/>
        <v>0</v>
      </c>
      <c r="AH258" s="1">
        <f t="shared" si="93"/>
        <v>1</v>
      </c>
      <c r="AI258" s="1">
        <f t="shared" si="94"/>
        <v>0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642</v>
      </c>
      <c r="E259" s="32" t="s">
        <v>29</v>
      </c>
      <c r="F259" s="32" t="s">
        <v>618</v>
      </c>
      <c r="G259" s="32" t="s">
        <v>231</v>
      </c>
      <c r="H259" s="32" t="s">
        <v>352</v>
      </c>
      <c r="I259" s="31" t="s">
        <v>619</v>
      </c>
      <c r="J259" s="31">
        <v>99</v>
      </c>
      <c r="K259" s="33" t="s">
        <v>704</v>
      </c>
      <c r="L259" s="33" t="s">
        <v>687</v>
      </c>
      <c r="M259" s="34" t="s">
        <v>950</v>
      </c>
      <c r="N259" s="34" t="s">
        <v>1800</v>
      </c>
      <c r="O259" s="35">
        <v>1</v>
      </c>
      <c r="P259" s="35"/>
      <c r="Q259" s="32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1</v>
      </c>
      <c r="AF259" s="1">
        <f t="shared" si="91"/>
        <v>0</v>
      </c>
      <c r="AG259" s="1">
        <f t="shared" si="92"/>
        <v>1</v>
      </c>
      <c r="AH259" s="1">
        <f t="shared" si="93"/>
        <v>0</v>
      </c>
      <c r="AI259" s="1">
        <f t="shared" si="94"/>
        <v>1</v>
      </c>
    </row>
    <row r="260" spans="1:35" s="1" customFormat="1" ht="14.25" customHeight="1" x14ac:dyDescent="0.25">
      <c r="A260" s="15">
        <v>0</v>
      </c>
      <c r="B260" s="15">
        <v>1</v>
      </c>
      <c r="C260" s="15">
        <v>7</v>
      </c>
      <c r="D260" s="16" t="s">
        <v>960</v>
      </c>
      <c r="E260" s="16" t="s">
        <v>29</v>
      </c>
      <c r="F260" s="16" t="s">
        <v>961</v>
      </c>
      <c r="G260" s="16" t="s">
        <v>962</v>
      </c>
      <c r="H260" s="16" t="s">
        <v>352</v>
      </c>
      <c r="I260" s="15" t="s">
        <v>959</v>
      </c>
      <c r="J260" s="15">
        <v>99</v>
      </c>
      <c r="K260" s="10" t="s">
        <v>694</v>
      </c>
      <c r="L260" s="10">
        <v>20</v>
      </c>
      <c r="M260" s="19" t="s">
        <v>950</v>
      </c>
      <c r="N260" s="19"/>
      <c r="Q260" s="16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0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91"/>
        <v>0</v>
      </c>
      <c r="AG260" s="1">
        <f t="shared" si="92"/>
        <v>0</v>
      </c>
      <c r="AH260" s="1">
        <f t="shared" si="93"/>
        <v>0</v>
      </c>
      <c r="AI260" s="1">
        <f t="shared" si="94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583</v>
      </c>
      <c r="E261" s="32" t="s">
        <v>29</v>
      </c>
      <c r="F261" s="32" t="s">
        <v>584</v>
      </c>
      <c r="G261" s="32" t="s">
        <v>1050</v>
      </c>
      <c r="H261" s="32" t="s">
        <v>352</v>
      </c>
      <c r="I261" s="31" t="s">
        <v>585</v>
      </c>
      <c r="J261" s="31">
        <v>99</v>
      </c>
      <c r="K261" s="33" t="s">
        <v>694</v>
      </c>
      <c r="L261" s="33">
        <v>35</v>
      </c>
      <c r="M261" s="34" t="s">
        <v>1370</v>
      </c>
      <c r="N261" s="34" t="s">
        <v>1687</v>
      </c>
      <c r="O261" s="35">
        <v>1</v>
      </c>
      <c r="P261" s="35">
        <v>1</v>
      </c>
      <c r="Q261" s="32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1</v>
      </c>
      <c r="AE261" s="1">
        <f t="shared" si="90"/>
        <v>0</v>
      </c>
      <c r="AF261" s="1">
        <f t="shared" si="91"/>
        <v>1</v>
      </c>
      <c r="AG261" s="1">
        <f t="shared" si="92"/>
        <v>0</v>
      </c>
      <c r="AH261" s="1">
        <f t="shared" si="93"/>
        <v>1</v>
      </c>
      <c r="AI261" s="1">
        <f t="shared" si="94"/>
        <v>0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2" t="s">
        <v>1588</v>
      </c>
      <c r="E262" s="32" t="s">
        <v>29</v>
      </c>
      <c r="F262" s="32" t="s">
        <v>1642</v>
      </c>
      <c r="G262" s="32" t="s">
        <v>310</v>
      </c>
      <c r="H262" s="32" t="s">
        <v>352</v>
      </c>
      <c r="I262" s="31" t="s">
        <v>1589</v>
      </c>
      <c r="J262" s="31"/>
      <c r="K262" s="33" t="s">
        <v>704</v>
      </c>
      <c r="L262" s="33">
        <v>45</v>
      </c>
      <c r="M262" s="34" t="s">
        <v>1751</v>
      </c>
      <c r="N262" s="34" t="s">
        <v>1693</v>
      </c>
      <c r="O262" s="35">
        <v>1</v>
      </c>
      <c r="P262" s="35">
        <v>1</v>
      </c>
      <c r="Q262" s="32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1</v>
      </c>
      <c r="AE262" s="1">
        <f t="shared" si="90"/>
        <v>0</v>
      </c>
      <c r="AF262" s="1">
        <f t="shared" si="91"/>
        <v>1</v>
      </c>
      <c r="AG262" s="1">
        <f t="shared" si="92"/>
        <v>0</v>
      </c>
      <c r="AH262" s="1">
        <f t="shared" si="93"/>
        <v>1</v>
      </c>
      <c r="AI262" s="1">
        <f t="shared" si="94"/>
        <v>0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840</v>
      </c>
      <c r="E263" s="32" t="s">
        <v>29</v>
      </c>
      <c r="F263" s="32" t="s">
        <v>841</v>
      </c>
      <c r="G263" s="32" t="s">
        <v>201</v>
      </c>
      <c r="H263" s="32" t="s">
        <v>352</v>
      </c>
      <c r="I263" s="31" t="s">
        <v>842</v>
      </c>
      <c r="J263" s="31">
        <v>10</v>
      </c>
      <c r="K263" s="33" t="s">
        <v>704</v>
      </c>
      <c r="L263" s="33" t="s">
        <v>684</v>
      </c>
      <c r="M263" s="34" t="s">
        <v>1370</v>
      </c>
      <c r="N263" s="34" t="s">
        <v>1707</v>
      </c>
      <c r="O263" s="35">
        <v>1</v>
      </c>
      <c r="P263" s="35"/>
      <c r="Q263" s="32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1</v>
      </c>
      <c r="AD263" s="1">
        <f t="shared" si="89"/>
        <v>0</v>
      </c>
      <c r="AE263" s="1">
        <f t="shared" si="90"/>
        <v>1</v>
      </c>
      <c r="AF263" s="1">
        <f t="shared" si="91"/>
        <v>0</v>
      </c>
      <c r="AG263" s="1">
        <f t="shared" si="92"/>
        <v>1</v>
      </c>
      <c r="AH263" s="1">
        <f t="shared" si="93"/>
        <v>0</v>
      </c>
      <c r="AI263" s="1">
        <f t="shared" si="94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279</v>
      </c>
      <c r="G264" s="32" t="s">
        <v>229</v>
      </c>
      <c r="H264" s="32" t="s">
        <v>352</v>
      </c>
      <c r="I264" s="31" t="s">
        <v>433</v>
      </c>
      <c r="J264" s="31">
        <v>7</v>
      </c>
      <c r="K264" s="33" t="s">
        <v>704</v>
      </c>
      <c r="L264" s="33" t="s">
        <v>687</v>
      </c>
      <c r="M264" s="34" t="s">
        <v>950</v>
      </c>
      <c r="N264" s="34" t="s">
        <v>1687</v>
      </c>
      <c r="O264" s="35">
        <v>1</v>
      </c>
      <c r="P264" s="35">
        <v>1</v>
      </c>
      <c r="Q264" s="32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1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si="91"/>
        <v>1</v>
      </c>
      <c r="AG264" s="1">
        <f t="shared" si="92"/>
        <v>0</v>
      </c>
      <c r="AH264" s="1">
        <f t="shared" si="93"/>
        <v>1</v>
      </c>
      <c r="AI264" s="1">
        <f t="shared" si="94"/>
        <v>0</v>
      </c>
    </row>
    <row r="265" spans="1:35" s="1" customFormat="1" ht="14.25" customHeight="1" x14ac:dyDescent="0.25">
      <c r="A265" s="31">
        <v>1</v>
      </c>
      <c r="B265" s="31">
        <v>1</v>
      </c>
      <c r="C265" s="31">
        <v>7</v>
      </c>
      <c r="D265" s="32" t="s">
        <v>40</v>
      </c>
      <c r="E265" s="32" t="s">
        <v>29</v>
      </c>
      <c r="F265" s="32" t="s">
        <v>1562</v>
      </c>
      <c r="G265" s="32" t="s">
        <v>39</v>
      </c>
      <c r="H265" s="32" t="s">
        <v>352</v>
      </c>
      <c r="I265" s="31" t="s">
        <v>1563</v>
      </c>
      <c r="J265" s="31">
        <v>99</v>
      </c>
      <c r="K265" s="33" t="s">
        <v>704</v>
      </c>
      <c r="L265" s="33" t="s">
        <v>687</v>
      </c>
      <c r="M265" s="34" t="s">
        <v>950</v>
      </c>
      <c r="N265" s="34" t="s">
        <v>1687</v>
      </c>
      <c r="O265" s="35">
        <v>1</v>
      </c>
      <c r="P265" s="35">
        <v>1</v>
      </c>
      <c r="Q265" s="32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0</v>
      </c>
      <c r="AA265" s="1">
        <f t="shared" si="87"/>
        <v>0</v>
      </c>
      <c r="AB265" s="1">
        <f t="shared" si="88"/>
        <v>0</v>
      </c>
      <c r="AD265" s="1">
        <f t="shared" si="89"/>
        <v>1</v>
      </c>
      <c r="AE265" s="1">
        <f t="shared" si="90"/>
        <v>0</v>
      </c>
      <c r="AF265" s="1">
        <f t="shared" si="91"/>
        <v>0</v>
      </c>
      <c r="AG265" s="1">
        <f t="shared" si="92"/>
        <v>0</v>
      </c>
      <c r="AH265" s="1">
        <f t="shared" si="93"/>
        <v>0</v>
      </c>
      <c r="AI265" s="1">
        <f t="shared" si="94"/>
        <v>0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2" t="s">
        <v>1447</v>
      </c>
      <c r="E266" s="32" t="s">
        <v>29</v>
      </c>
      <c r="F266" s="32" t="s">
        <v>981</v>
      </c>
      <c r="G266" s="32" t="s">
        <v>1079</v>
      </c>
      <c r="H266" s="32" t="s">
        <v>352</v>
      </c>
      <c r="I266" s="31" t="s">
        <v>1087</v>
      </c>
      <c r="J266" s="31">
        <v>10</v>
      </c>
      <c r="K266" s="33" t="s">
        <v>704</v>
      </c>
      <c r="L266" s="33" t="s">
        <v>685</v>
      </c>
      <c r="M266" s="34" t="s">
        <v>950</v>
      </c>
      <c r="N266" s="34" t="s">
        <v>1696</v>
      </c>
      <c r="O266" s="35">
        <v>1</v>
      </c>
      <c r="P266" s="35"/>
      <c r="Q266" s="32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0</v>
      </c>
      <c r="Z266" s="1">
        <f t="shared" si="86"/>
        <v>0</v>
      </c>
      <c r="AA266" s="1">
        <f t="shared" si="87"/>
        <v>0</v>
      </c>
      <c r="AB266" s="1">
        <f t="shared" si="88"/>
        <v>1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1448</v>
      </c>
      <c r="E267" s="32" t="s">
        <v>29</v>
      </c>
      <c r="F267" s="36" t="s">
        <v>979</v>
      </c>
      <c r="G267" s="36" t="s">
        <v>239</v>
      </c>
      <c r="H267" s="36" t="s">
        <v>352</v>
      </c>
      <c r="I267" s="37" t="s">
        <v>980</v>
      </c>
      <c r="J267" s="31">
        <v>1</v>
      </c>
      <c r="K267" s="33" t="s">
        <v>938</v>
      </c>
      <c r="L267" s="33" t="s">
        <v>685</v>
      </c>
      <c r="M267" s="34" t="s">
        <v>950</v>
      </c>
      <c r="N267" s="34" t="s">
        <v>1752</v>
      </c>
      <c r="O267" s="35">
        <v>1</v>
      </c>
      <c r="P267" s="35"/>
      <c r="Q267" s="36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1</v>
      </c>
      <c r="AF267" s="1">
        <f t="shared" si="91"/>
        <v>0</v>
      </c>
      <c r="AG267" s="1">
        <f t="shared" si="92"/>
        <v>1</v>
      </c>
      <c r="AH267" s="1">
        <f t="shared" si="93"/>
        <v>0</v>
      </c>
      <c r="AI267" s="1">
        <f t="shared" si="94"/>
        <v>1</v>
      </c>
    </row>
    <row r="268" spans="1:35" s="1" customFormat="1" ht="14.25" customHeight="1" x14ac:dyDescent="0.25">
      <c r="A268" s="31">
        <v>1</v>
      </c>
      <c r="B268" s="31">
        <v>1</v>
      </c>
      <c r="C268" s="31">
        <v>7</v>
      </c>
      <c r="D268" s="36" t="s">
        <v>1448</v>
      </c>
      <c r="E268" s="32" t="s">
        <v>29</v>
      </c>
      <c r="F268" s="36" t="s">
        <v>2121</v>
      </c>
      <c r="G268" s="36" t="s">
        <v>219</v>
      </c>
      <c r="H268" s="36" t="s">
        <v>352</v>
      </c>
      <c r="I268" s="37" t="s">
        <v>2122</v>
      </c>
      <c r="J268" s="31">
        <v>8</v>
      </c>
      <c r="K268" s="33" t="s">
        <v>938</v>
      </c>
      <c r="L268" s="33" t="s">
        <v>685</v>
      </c>
      <c r="M268" s="34" t="s">
        <v>950</v>
      </c>
      <c r="N268" s="34" t="s">
        <v>1752</v>
      </c>
      <c r="O268" s="35">
        <v>1</v>
      </c>
      <c r="P268" s="35"/>
      <c r="Q268" s="36"/>
      <c r="S268" s="1">
        <f t="shared" si="79"/>
        <v>0</v>
      </c>
      <c r="T268" s="1">
        <f t="shared" si="80"/>
        <v>0</v>
      </c>
      <c r="U268" s="1">
        <f t="shared" si="81"/>
        <v>0</v>
      </c>
      <c r="V268" s="1">
        <f t="shared" si="82"/>
        <v>0</v>
      </c>
      <c r="W268" s="1">
        <f t="shared" si="83"/>
        <v>0</v>
      </c>
      <c r="X268" s="1">
        <f t="shared" si="84"/>
        <v>0</v>
      </c>
      <c r="Y268" s="1">
        <f t="shared" si="85"/>
        <v>0</v>
      </c>
      <c r="Z268" s="1">
        <f t="shared" si="86"/>
        <v>1</v>
      </c>
      <c r="AA268" s="1">
        <f t="shared" si="87"/>
        <v>0</v>
      </c>
      <c r="AB268" s="1">
        <f t="shared" si="88"/>
        <v>0</v>
      </c>
      <c r="AD268" s="1">
        <f t="shared" si="89"/>
        <v>0</v>
      </c>
      <c r="AE268" s="1">
        <f t="shared" si="90"/>
        <v>1</v>
      </c>
      <c r="AF268" s="1">
        <f t="shared" si="91"/>
        <v>0</v>
      </c>
      <c r="AG268" s="1">
        <f t="shared" si="92"/>
        <v>0</v>
      </c>
      <c r="AH268" s="1">
        <f t="shared" si="93"/>
        <v>0</v>
      </c>
      <c r="AI268" s="1">
        <f t="shared" si="94"/>
        <v>0</v>
      </c>
    </row>
    <row r="269" spans="1:35" s="1" customFormat="1" ht="14.25" customHeight="1" x14ac:dyDescent="0.25">
      <c r="A269" s="44">
        <v>0</v>
      </c>
      <c r="B269" s="44">
        <v>1</v>
      </c>
      <c r="C269" s="44">
        <v>7</v>
      </c>
      <c r="D269" s="45" t="s">
        <v>877</v>
      </c>
      <c r="E269" s="45" t="s">
        <v>29</v>
      </c>
      <c r="F269" s="45" t="s">
        <v>878</v>
      </c>
      <c r="G269" s="45" t="s">
        <v>39</v>
      </c>
      <c r="H269" s="45" t="s">
        <v>353</v>
      </c>
      <c r="I269" s="44" t="s">
        <v>879</v>
      </c>
      <c r="J269" s="44">
        <v>11</v>
      </c>
      <c r="K269" s="46" t="s">
        <v>694</v>
      </c>
      <c r="L269" s="46">
        <v>35</v>
      </c>
      <c r="M269" s="47" t="s">
        <v>1370</v>
      </c>
      <c r="N269" s="47" t="s">
        <v>1760</v>
      </c>
      <c r="O269" s="48"/>
      <c r="P269" s="48"/>
      <c r="Q269" s="45" t="s">
        <v>1853</v>
      </c>
      <c r="S269" s="1">
        <f t="shared" si="79"/>
        <v>0</v>
      </c>
      <c r="T269" s="1">
        <f t="shared" si="80"/>
        <v>0</v>
      </c>
      <c r="U269" s="1">
        <f t="shared" si="81"/>
        <v>0</v>
      </c>
      <c r="V269" s="1">
        <f t="shared" si="82"/>
        <v>0</v>
      </c>
      <c r="W269" s="1">
        <f t="shared" si="83"/>
        <v>0</v>
      </c>
      <c r="X269" s="1">
        <f t="shared" si="84"/>
        <v>0</v>
      </c>
      <c r="Y269" s="1">
        <f t="shared" si="85"/>
        <v>0</v>
      </c>
      <c r="Z269" s="1">
        <f t="shared" si="86"/>
        <v>0</v>
      </c>
      <c r="AA269" s="1">
        <f t="shared" si="87"/>
        <v>0</v>
      </c>
      <c r="AB269" s="1">
        <f t="shared" si="88"/>
        <v>0</v>
      </c>
      <c r="AD269" s="1">
        <f t="shared" si="89"/>
        <v>0</v>
      </c>
      <c r="AE269" s="1">
        <f t="shared" si="90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1061</v>
      </c>
      <c r="E270" s="32" t="s">
        <v>29</v>
      </c>
      <c r="F270" s="36" t="s">
        <v>963</v>
      </c>
      <c r="G270" s="36" t="s">
        <v>202</v>
      </c>
      <c r="H270" s="36" t="s">
        <v>352</v>
      </c>
      <c r="I270" s="37" t="s">
        <v>964</v>
      </c>
      <c r="J270" s="31">
        <v>99</v>
      </c>
      <c r="K270" s="33" t="s">
        <v>704</v>
      </c>
      <c r="L270" s="33" t="s">
        <v>685</v>
      </c>
      <c r="M270" s="34" t="s">
        <v>1405</v>
      </c>
      <c r="N270" s="34" t="s">
        <v>1687</v>
      </c>
      <c r="O270" s="35">
        <v>1</v>
      </c>
      <c r="P270" s="35">
        <v>1</v>
      </c>
      <c r="Q270" s="36"/>
      <c r="S270" s="1">
        <f t="shared" si="79"/>
        <v>0</v>
      </c>
      <c r="T270" s="1">
        <f t="shared" si="80"/>
        <v>0</v>
      </c>
      <c r="U270" s="1">
        <f t="shared" si="81"/>
        <v>0</v>
      </c>
      <c r="V270" s="1">
        <f t="shared" si="82"/>
        <v>0</v>
      </c>
      <c r="W270" s="1">
        <f t="shared" si="83"/>
        <v>0</v>
      </c>
      <c r="X270" s="1">
        <f t="shared" si="84"/>
        <v>0</v>
      </c>
      <c r="Y270" s="1">
        <f t="shared" si="85"/>
        <v>0</v>
      </c>
      <c r="Z270" s="1">
        <f t="shared" si="86"/>
        <v>0</v>
      </c>
      <c r="AA270" s="1">
        <f t="shared" si="87"/>
        <v>0</v>
      </c>
      <c r="AB270" s="1">
        <f t="shared" si="88"/>
        <v>0</v>
      </c>
      <c r="AD270" s="1">
        <f t="shared" si="89"/>
        <v>1</v>
      </c>
      <c r="AE270" s="1">
        <f t="shared" si="90"/>
        <v>0</v>
      </c>
      <c r="AF270" s="1">
        <f t="shared" si="91"/>
        <v>1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809</v>
      </c>
      <c r="E271" s="32" t="s">
        <v>29</v>
      </c>
      <c r="F271" s="36" t="s">
        <v>810</v>
      </c>
      <c r="G271" s="36" t="s">
        <v>907</v>
      </c>
      <c r="H271" s="36" t="s">
        <v>352</v>
      </c>
      <c r="I271" s="37" t="s">
        <v>811</v>
      </c>
      <c r="J271" s="31">
        <v>99</v>
      </c>
      <c r="K271" s="33" t="s">
        <v>932</v>
      </c>
      <c r="L271" s="33" t="s">
        <v>685</v>
      </c>
      <c r="M271" s="34" t="s">
        <v>950</v>
      </c>
      <c r="N271" s="34" t="s">
        <v>1776</v>
      </c>
      <c r="O271" s="35">
        <v>1</v>
      </c>
      <c r="P271" s="35"/>
      <c r="Q271" s="36"/>
      <c r="S271" s="1">
        <f t="shared" si="79"/>
        <v>0</v>
      </c>
      <c r="T271" s="1">
        <f t="shared" si="80"/>
        <v>0</v>
      </c>
      <c r="U271" s="1">
        <f t="shared" si="81"/>
        <v>0</v>
      </c>
      <c r="V271" s="1">
        <f t="shared" si="82"/>
        <v>0</v>
      </c>
      <c r="W271" s="1">
        <f t="shared" si="83"/>
        <v>0</v>
      </c>
      <c r="X271" s="1">
        <f t="shared" si="84"/>
        <v>0</v>
      </c>
      <c r="Y271" s="1">
        <f t="shared" si="85"/>
        <v>0</v>
      </c>
      <c r="Z271" s="1">
        <f t="shared" si="86"/>
        <v>0</v>
      </c>
      <c r="AA271" s="1">
        <f t="shared" si="87"/>
        <v>0</v>
      </c>
      <c r="AB271" s="1">
        <f t="shared" si="88"/>
        <v>0</v>
      </c>
      <c r="AD271" s="1">
        <f t="shared" si="89"/>
        <v>0</v>
      </c>
      <c r="AE271" s="1">
        <f t="shared" si="90"/>
        <v>1</v>
      </c>
      <c r="AF271" s="1">
        <f t="shared" si="91"/>
        <v>0</v>
      </c>
      <c r="AG271" s="1">
        <f t="shared" si="92"/>
        <v>1</v>
      </c>
      <c r="AH271" s="1">
        <f t="shared" si="93"/>
        <v>0</v>
      </c>
      <c r="AI271" s="1">
        <f t="shared" si="94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1680</v>
      </c>
      <c r="E272" s="32" t="s">
        <v>29</v>
      </c>
      <c r="F272" s="36" t="s">
        <v>1681</v>
      </c>
      <c r="G272" s="36" t="s">
        <v>248</v>
      </c>
      <c r="H272" s="36" t="s">
        <v>352</v>
      </c>
      <c r="I272" s="37" t="s">
        <v>1682</v>
      </c>
      <c r="J272" s="31"/>
      <c r="K272" s="33" t="s">
        <v>694</v>
      </c>
      <c r="L272" s="33"/>
      <c r="M272" s="34"/>
      <c r="N272" s="34" t="s">
        <v>1687</v>
      </c>
      <c r="O272" s="35">
        <v>1</v>
      </c>
      <c r="P272" s="35">
        <v>1</v>
      </c>
      <c r="Q272" s="36"/>
      <c r="S272" s="1">
        <f t="shared" si="79"/>
        <v>0</v>
      </c>
      <c r="T272" s="1">
        <f t="shared" si="80"/>
        <v>0</v>
      </c>
      <c r="U272" s="1">
        <f t="shared" si="81"/>
        <v>0</v>
      </c>
      <c r="V272" s="1">
        <f t="shared" si="82"/>
        <v>0</v>
      </c>
      <c r="W272" s="1">
        <f t="shared" si="83"/>
        <v>0</v>
      </c>
      <c r="X272" s="1">
        <f t="shared" si="84"/>
        <v>0</v>
      </c>
      <c r="Y272" s="1">
        <f t="shared" si="85"/>
        <v>0</v>
      </c>
      <c r="Z272" s="1">
        <f t="shared" si="86"/>
        <v>0</v>
      </c>
      <c r="AA272" s="1">
        <f t="shared" si="87"/>
        <v>0</v>
      </c>
      <c r="AB272" s="1">
        <f t="shared" si="88"/>
        <v>0</v>
      </c>
      <c r="AD272" s="1">
        <f t="shared" si="89"/>
        <v>1</v>
      </c>
      <c r="AE272" s="1">
        <f t="shared" si="90"/>
        <v>0</v>
      </c>
      <c r="AF272" s="1">
        <f t="shared" si="91"/>
        <v>1</v>
      </c>
      <c r="AG272" s="1">
        <f t="shared" si="92"/>
        <v>0</v>
      </c>
      <c r="AH272" s="1">
        <f t="shared" si="93"/>
        <v>1</v>
      </c>
      <c r="AI272" s="1">
        <f t="shared" si="94"/>
        <v>0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2" t="s">
        <v>880</v>
      </c>
      <c r="E273" s="32" t="s">
        <v>29</v>
      </c>
      <c r="F273" s="32" t="s">
        <v>881</v>
      </c>
      <c r="G273" s="32" t="s">
        <v>227</v>
      </c>
      <c r="H273" s="32" t="s">
        <v>352</v>
      </c>
      <c r="I273" s="31" t="s">
        <v>882</v>
      </c>
      <c r="J273" s="31">
        <v>99</v>
      </c>
      <c r="K273" s="33" t="s">
        <v>704</v>
      </c>
      <c r="L273" s="33" t="s">
        <v>685</v>
      </c>
      <c r="M273" s="34" t="s">
        <v>1371</v>
      </c>
      <c r="N273" s="34" t="s">
        <v>1700</v>
      </c>
      <c r="O273" s="35">
        <v>1</v>
      </c>
      <c r="P273" s="35"/>
      <c r="Q273" s="32"/>
      <c r="S273" s="1">
        <f t="shared" si="79"/>
        <v>0</v>
      </c>
      <c r="T273" s="1">
        <f t="shared" si="80"/>
        <v>0</v>
      </c>
      <c r="U273" s="1">
        <f t="shared" si="81"/>
        <v>0</v>
      </c>
      <c r="V273" s="1">
        <f t="shared" si="82"/>
        <v>0</v>
      </c>
      <c r="W273" s="1">
        <f t="shared" si="83"/>
        <v>0</v>
      </c>
      <c r="X273" s="1">
        <f t="shared" si="84"/>
        <v>0</v>
      </c>
      <c r="Y273" s="1">
        <f t="shared" si="85"/>
        <v>0</v>
      </c>
      <c r="Z273" s="1">
        <f t="shared" si="86"/>
        <v>0</v>
      </c>
      <c r="AA273" s="1">
        <f t="shared" si="87"/>
        <v>0</v>
      </c>
      <c r="AB273" s="1">
        <f t="shared" si="88"/>
        <v>0</v>
      </c>
      <c r="AD273" s="1">
        <f t="shared" si="89"/>
        <v>0</v>
      </c>
      <c r="AE273" s="1">
        <f t="shared" si="90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2" t="s">
        <v>88</v>
      </c>
      <c r="E274" s="32" t="s">
        <v>29</v>
      </c>
      <c r="F274" s="32" t="s">
        <v>280</v>
      </c>
      <c r="G274" s="32" t="s">
        <v>281</v>
      </c>
      <c r="H274" s="32" t="s">
        <v>352</v>
      </c>
      <c r="I274" s="31" t="s">
        <v>921</v>
      </c>
      <c r="J274" s="31">
        <v>99</v>
      </c>
      <c r="K274" s="33" t="s">
        <v>932</v>
      </c>
      <c r="L274" s="33" t="s">
        <v>685</v>
      </c>
      <c r="M274" s="34" t="s">
        <v>950</v>
      </c>
      <c r="N274" s="34" t="s">
        <v>1800</v>
      </c>
      <c r="O274" s="35">
        <v>1</v>
      </c>
      <c r="P274" s="35"/>
      <c r="Q274" s="32"/>
      <c r="S274" s="1">
        <f t="shared" si="79"/>
        <v>0</v>
      </c>
      <c r="T274" s="1">
        <f t="shared" si="80"/>
        <v>0</v>
      </c>
      <c r="U274" s="1">
        <f t="shared" si="81"/>
        <v>0</v>
      </c>
      <c r="V274" s="1">
        <f t="shared" si="82"/>
        <v>0</v>
      </c>
      <c r="W274" s="1">
        <f t="shared" si="83"/>
        <v>0</v>
      </c>
      <c r="X274" s="1">
        <f t="shared" si="84"/>
        <v>0</v>
      </c>
      <c r="Y274" s="1">
        <f t="shared" si="85"/>
        <v>0</v>
      </c>
      <c r="Z274" s="1">
        <f t="shared" si="86"/>
        <v>0</v>
      </c>
      <c r="AA274" s="1">
        <f t="shared" si="87"/>
        <v>0</v>
      </c>
      <c r="AB274" s="1">
        <f t="shared" si="88"/>
        <v>0</v>
      </c>
      <c r="AD274" s="1">
        <f t="shared" si="89"/>
        <v>0</v>
      </c>
      <c r="AE274" s="1">
        <f t="shared" si="90"/>
        <v>1</v>
      </c>
      <c r="AF274" s="1">
        <f t="shared" si="91"/>
        <v>0</v>
      </c>
      <c r="AG274" s="1">
        <f t="shared" si="92"/>
        <v>1</v>
      </c>
      <c r="AH274" s="1">
        <f t="shared" si="93"/>
        <v>0</v>
      </c>
      <c r="AI274" s="1">
        <f t="shared" si="94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1597</v>
      </c>
      <c r="E275" s="32" t="s">
        <v>29</v>
      </c>
      <c r="F275" s="36" t="s">
        <v>1496</v>
      </c>
      <c r="G275" s="36" t="s">
        <v>39</v>
      </c>
      <c r="H275" s="36" t="s">
        <v>865</v>
      </c>
      <c r="I275" s="37" t="s">
        <v>1497</v>
      </c>
      <c r="J275" s="31">
        <v>17</v>
      </c>
      <c r="K275" s="33" t="s">
        <v>704</v>
      </c>
      <c r="L275" s="33" t="s">
        <v>688</v>
      </c>
      <c r="M275" s="34" t="s">
        <v>1420</v>
      </c>
      <c r="N275" s="34" t="s">
        <v>1687</v>
      </c>
      <c r="O275" s="35">
        <v>1</v>
      </c>
      <c r="P275" s="35">
        <v>1</v>
      </c>
      <c r="Q275" s="36"/>
      <c r="S275" s="1">
        <f t="shared" si="79"/>
        <v>0</v>
      </c>
      <c r="T275" s="1">
        <f t="shared" si="80"/>
        <v>0</v>
      </c>
      <c r="U275" s="1">
        <f t="shared" si="81"/>
        <v>0</v>
      </c>
      <c r="V275" s="1">
        <f t="shared" si="82"/>
        <v>0</v>
      </c>
      <c r="W275" s="1">
        <f t="shared" si="83"/>
        <v>0</v>
      </c>
      <c r="X275" s="1">
        <f t="shared" si="84"/>
        <v>0</v>
      </c>
      <c r="Y275" s="1">
        <f t="shared" si="85"/>
        <v>0</v>
      </c>
      <c r="Z275" s="1">
        <f t="shared" si="86"/>
        <v>0</v>
      </c>
      <c r="AA275" s="1">
        <f t="shared" si="87"/>
        <v>0</v>
      </c>
      <c r="AB275" s="1">
        <f t="shared" si="88"/>
        <v>0</v>
      </c>
      <c r="AD275" s="1">
        <f t="shared" si="89"/>
        <v>1</v>
      </c>
      <c r="AE275" s="1">
        <f t="shared" si="90"/>
        <v>0</v>
      </c>
      <c r="AF275" s="1">
        <f t="shared" si="91"/>
        <v>1</v>
      </c>
      <c r="AG275" s="1">
        <f t="shared" si="92"/>
        <v>0</v>
      </c>
      <c r="AH275" s="1">
        <f t="shared" si="93"/>
        <v>1</v>
      </c>
      <c r="AI275" s="1">
        <f t="shared" si="94"/>
        <v>0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2" t="s">
        <v>1417</v>
      </c>
      <c r="E276" s="32" t="s">
        <v>29</v>
      </c>
      <c r="F276" s="32" t="s">
        <v>1418</v>
      </c>
      <c r="G276" s="32" t="s">
        <v>319</v>
      </c>
      <c r="H276" s="32" t="s">
        <v>352</v>
      </c>
      <c r="I276" s="31" t="s">
        <v>1419</v>
      </c>
      <c r="J276" s="31">
        <v>99</v>
      </c>
      <c r="K276" s="33" t="s">
        <v>694</v>
      </c>
      <c r="L276" s="33">
        <v>30</v>
      </c>
      <c r="M276" s="34" t="s">
        <v>1420</v>
      </c>
      <c r="N276" s="34" t="s">
        <v>1776</v>
      </c>
      <c r="O276" s="35">
        <v>1</v>
      </c>
      <c r="P276" s="35"/>
      <c r="Q276" s="32"/>
      <c r="S276" s="1">
        <f t="shared" ref="S276:S340" si="105">IF(J276=$S$7,1,0)</f>
        <v>0</v>
      </c>
      <c r="T276" s="1">
        <f t="shared" ref="T276:T340" si="106">IF(J276=$T$7,1,0)</f>
        <v>0</v>
      </c>
      <c r="U276" s="1">
        <f t="shared" ref="U276:U340" si="107">IF(J276=$U$7,1,0)</f>
        <v>0</v>
      </c>
      <c r="V276" s="1">
        <f t="shared" ref="V276:V340" si="108">IF(J276=$V$7,1,0)</f>
        <v>0</v>
      </c>
      <c r="W276" s="1">
        <f t="shared" ref="W276:W340" si="109">IF(J276=$W$7,1,0)</f>
        <v>0</v>
      </c>
      <c r="X276" s="1">
        <f t="shared" ref="X276:X340" si="110">IF(J276=$X$7,1,0)</f>
        <v>0</v>
      </c>
      <c r="Y276" s="1">
        <f t="shared" ref="Y276:Y340" si="111">IF(J276=$Y$7,1,0)</f>
        <v>0</v>
      </c>
      <c r="Z276" s="1">
        <f t="shared" ref="Z276:Z340" si="112">IF(J276=$Z$7,1,0)</f>
        <v>0</v>
      </c>
      <c r="AA276" s="1">
        <f t="shared" ref="AA276:AA340" si="113">IF(J276=$AA$7,1,0)</f>
        <v>0</v>
      </c>
      <c r="AB276" s="1">
        <f t="shared" ref="AB276:AB340" si="114">IF(J276=$AB$7,1,0)</f>
        <v>0</v>
      </c>
      <c r="AD276" s="1">
        <f t="shared" ref="AD276:AD340" si="115">+O276*P276</f>
        <v>0</v>
      </c>
      <c r="AE276" s="1">
        <f t="shared" ref="AE276:AE340" si="116">O276*(1-P276)</f>
        <v>1</v>
      </c>
      <c r="AF276" s="1">
        <f t="shared" si="91"/>
        <v>0</v>
      </c>
      <c r="AG276" s="1">
        <f t="shared" si="92"/>
        <v>1</v>
      </c>
      <c r="AH276" s="1">
        <f t="shared" si="93"/>
        <v>0</v>
      </c>
      <c r="AI276" s="1">
        <f t="shared" si="94"/>
        <v>1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6" t="s">
        <v>827</v>
      </c>
      <c r="E277" s="32" t="s">
        <v>29</v>
      </c>
      <c r="F277" s="36" t="s">
        <v>828</v>
      </c>
      <c r="G277" s="36" t="s">
        <v>221</v>
      </c>
      <c r="H277" s="36" t="s">
        <v>352</v>
      </c>
      <c r="I277" s="37" t="s">
        <v>829</v>
      </c>
      <c r="J277" s="31">
        <v>99</v>
      </c>
      <c r="K277" s="33" t="s">
        <v>932</v>
      </c>
      <c r="L277" s="33" t="s">
        <v>685</v>
      </c>
      <c r="M277" s="34" t="s">
        <v>950</v>
      </c>
      <c r="N277" s="34" t="s">
        <v>1800</v>
      </c>
      <c r="O277" s="35">
        <v>1</v>
      </c>
      <c r="P277" s="35"/>
      <c r="Q277" s="36"/>
      <c r="S277" s="1">
        <f t="shared" si="105"/>
        <v>0</v>
      </c>
      <c r="T277" s="1">
        <f t="shared" si="106"/>
        <v>0</v>
      </c>
      <c r="U277" s="1">
        <f t="shared" si="107"/>
        <v>0</v>
      </c>
      <c r="V277" s="1">
        <f t="shared" si="108"/>
        <v>0</v>
      </c>
      <c r="W277" s="1">
        <f t="shared" si="109"/>
        <v>0</v>
      </c>
      <c r="X277" s="1">
        <f t="shared" si="110"/>
        <v>0</v>
      </c>
      <c r="Y277" s="1">
        <f t="shared" si="111"/>
        <v>0</v>
      </c>
      <c r="Z277" s="1">
        <f t="shared" si="112"/>
        <v>0</v>
      </c>
      <c r="AA277" s="1">
        <f t="shared" si="113"/>
        <v>0</v>
      </c>
      <c r="AB277" s="1">
        <f t="shared" si="114"/>
        <v>0</v>
      </c>
      <c r="AD277" s="1">
        <f t="shared" si="115"/>
        <v>0</v>
      </c>
      <c r="AE277" s="1">
        <f t="shared" si="116"/>
        <v>1</v>
      </c>
      <c r="AF277" s="1">
        <f t="shared" ref="AF277:AF341" si="117">+O277*P277*(1-A277)</f>
        <v>0</v>
      </c>
      <c r="AG277" s="1">
        <f t="shared" ref="AG277:AG341" si="118">O277*(1-P277)*(1-A277)</f>
        <v>1</v>
      </c>
      <c r="AH277" s="1">
        <f t="shared" ref="AH277:AH341" si="119">+P277*(1-A277)</f>
        <v>0</v>
      </c>
      <c r="AI277" s="1">
        <f t="shared" ref="AI277:AI341" si="120">+(1-A277)*(1-P277)</f>
        <v>1</v>
      </c>
    </row>
    <row r="278" spans="1:35" s="1" customFormat="1" ht="14.25" customHeight="1" x14ac:dyDescent="0.25">
      <c r="A278" s="31">
        <v>1</v>
      </c>
      <c r="B278" s="31">
        <v>1</v>
      </c>
      <c r="C278" s="31">
        <v>7</v>
      </c>
      <c r="D278" s="36" t="s">
        <v>827</v>
      </c>
      <c r="E278" s="32" t="s">
        <v>29</v>
      </c>
      <c r="F278" s="36" t="s">
        <v>909</v>
      </c>
      <c r="G278" s="36" t="s">
        <v>278</v>
      </c>
      <c r="H278" s="36" t="s">
        <v>352</v>
      </c>
      <c r="I278" s="37" t="s">
        <v>830</v>
      </c>
      <c r="J278" s="31">
        <v>99</v>
      </c>
      <c r="K278" s="33" t="s">
        <v>932</v>
      </c>
      <c r="L278" s="33" t="s">
        <v>685</v>
      </c>
      <c r="M278" s="34" t="s">
        <v>950</v>
      </c>
      <c r="N278" s="34" t="s">
        <v>1800</v>
      </c>
      <c r="O278" s="35">
        <v>1</v>
      </c>
      <c r="P278" s="35"/>
      <c r="Q278" s="36"/>
      <c r="S278" s="1">
        <f t="shared" si="105"/>
        <v>0</v>
      </c>
      <c r="T278" s="1">
        <f t="shared" si="106"/>
        <v>0</v>
      </c>
      <c r="U278" s="1">
        <f t="shared" si="107"/>
        <v>0</v>
      </c>
      <c r="V278" s="1">
        <f t="shared" si="108"/>
        <v>0</v>
      </c>
      <c r="W278" s="1">
        <f t="shared" si="109"/>
        <v>0</v>
      </c>
      <c r="X278" s="1">
        <f t="shared" si="110"/>
        <v>0</v>
      </c>
      <c r="Y278" s="1">
        <f t="shared" si="111"/>
        <v>0</v>
      </c>
      <c r="Z278" s="1">
        <f t="shared" si="112"/>
        <v>0</v>
      </c>
      <c r="AA278" s="1">
        <f t="shared" si="113"/>
        <v>0</v>
      </c>
      <c r="AB278" s="1">
        <f t="shared" si="114"/>
        <v>0</v>
      </c>
      <c r="AD278" s="1">
        <f t="shared" si="115"/>
        <v>0</v>
      </c>
      <c r="AE278" s="1">
        <f t="shared" si="116"/>
        <v>1</v>
      </c>
      <c r="AF278" s="1">
        <f t="shared" si="117"/>
        <v>0</v>
      </c>
      <c r="AG278" s="1">
        <f t="shared" si="118"/>
        <v>0</v>
      </c>
      <c r="AH278" s="1">
        <f t="shared" si="119"/>
        <v>0</v>
      </c>
      <c r="AI278" s="1">
        <f t="shared" si="120"/>
        <v>0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2" t="s">
        <v>1185</v>
      </c>
      <c r="E279" s="32" t="s">
        <v>29</v>
      </c>
      <c r="F279" s="32" t="s">
        <v>1186</v>
      </c>
      <c r="G279" s="32" t="s">
        <v>237</v>
      </c>
      <c r="H279" s="32" t="s">
        <v>352</v>
      </c>
      <c r="I279" s="31" t="s">
        <v>1327</v>
      </c>
      <c r="J279" s="31">
        <v>99</v>
      </c>
      <c r="K279" s="33" t="s">
        <v>704</v>
      </c>
      <c r="L279" s="33" t="s">
        <v>685</v>
      </c>
      <c r="M279" s="34" t="s">
        <v>1372</v>
      </c>
      <c r="N279" s="34" t="s">
        <v>1707</v>
      </c>
      <c r="O279" s="35">
        <v>1</v>
      </c>
      <c r="P279" s="35"/>
      <c r="Q279" s="32"/>
      <c r="S279" s="1">
        <f t="shared" si="105"/>
        <v>0</v>
      </c>
      <c r="T279" s="1">
        <f t="shared" si="106"/>
        <v>0</v>
      </c>
      <c r="U279" s="1">
        <f t="shared" si="107"/>
        <v>0</v>
      </c>
      <c r="V279" s="1">
        <f t="shared" si="108"/>
        <v>0</v>
      </c>
      <c r="W279" s="1">
        <f t="shared" si="109"/>
        <v>0</v>
      </c>
      <c r="X279" s="1">
        <f t="shared" si="110"/>
        <v>0</v>
      </c>
      <c r="Y279" s="1">
        <f t="shared" si="111"/>
        <v>0</v>
      </c>
      <c r="Z279" s="1">
        <f t="shared" si="112"/>
        <v>0</v>
      </c>
      <c r="AA279" s="1">
        <f t="shared" si="113"/>
        <v>0</v>
      </c>
      <c r="AB279" s="1">
        <f t="shared" si="114"/>
        <v>0</v>
      </c>
      <c r="AD279" s="1">
        <f t="shared" si="115"/>
        <v>0</v>
      </c>
      <c r="AE279" s="1">
        <f t="shared" si="116"/>
        <v>1</v>
      </c>
      <c r="AF279" s="1">
        <f t="shared" si="117"/>
        <v>0</v>
      </c>
      <c r="AG279" s="1">
        <f t="shared" si="118"/>
        <v>1</v>
      </c>
      <c r="AH279" s="1">
        <f t="shared" si="119"/>
        <v>0</v>
      </c>
      <c r="AI279" s="1">
        <f t="shared" si="120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1202</v>
      </c>
      <c r="E280" s="32" t="s">
        <v>29</v>
      </c>
      <c r="F280" s="36" t="s">
        <v>1203</v>
      </c>
      <c r="G280" s="36" t="s">
        <v>237</v>
      </c>
      <c r="H280" s="36" t="s">
        <v>352</v>
      </c>
      <c r="I280" s="37" t="s">
        <v>1204</v>
      </c>
      <c r="J280" s="31">
        <v>99</v>
      </c>
      <c r="K280" s="33" t="s">
        <v>704</v>
      </c>
      <c r="L280" s="33" t="s">
        <v>684</v>
      </c>
      <c r="M280" s="34" t="s">
        <v>1372</v>
      </c>
      <c r="N280" s="34" t="s">
        <v>1776</v>
      </c>
      <c r="O280" s="35">
        <v>1</v>
      </c>
      <c r="P280" s="35"/>
      <c r="Q280" s="36"/>
      <c r="S280" s="1">
        <f t="shared" si="105"/>
        <v>0</v>
      </c>
      <c r="T280" s="1">
        <f t="shared" si="106"/>
        <v>0</v>
      </c>
      <c r="U280" s="1">
        <f t="shared" si="107"/>
        <v>0</v>
      </c>
      <c r="V280" s="1">
        <f t="shared" si="108"/>
        <v>0</v>
      </c>
      <c r="W280" s="1">
        <f t="shared" si="109"/>
        <v>0</v>
      </c>
      <c r="X280" s="1">
        <f t="shared" si="110"/>
        <v>0</v>
      </c>
      <c r="Y280" s="1">
        <f t="shared" si="111"/>
        <v>0</v>
      </c>
      <c r="Z280" s="1">
        <f t="shared" si="112"/>
        <v>0</v>
      </c>
      <c r="AA280" s="1">
        <f t="shared" si="113"/>
        <v>0</v>
      </c>
      <c r="AB280" s="1">
        <f t="shared" si="114"/>
        <v>0</v>
      </c>
      <c r="AD280" s="1">
        <f t="shared" si="115"/>
        <v>0</v>
      </c>
      <c r="AE280" s="1">
        <f t="shared" si="116"/>
        <v>1</v>
      </c>
      <c r="AF280" s="1">
        <f t="shared" si="117"/>
        <v>0</v>
      </c>
      <c r="AG280" s="1">
        <f t="shared" si="118"/>
        <v>1</v>
      </c>
      <c r="AH280" s="1">
        <f t="shared" si="119"/>
        <v>0</v>
      </c>
      <c r="AI280" s="1">
        <f t="shared" si="120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92</v>
      </c>
      <c r="E281" s="32" t="s">
        <v>29</v>
      </c>
      <c r="F281" s="36" t="s">
        <v>286</v>
      </c>
      <c r="G281" s="36" t="s">
        <v>189</v>
      </c>
      <c r="H281" s="36" t="s">
        <v>352</v>
      </c>
      <c r="I281" s="37" t="s">
        <v>438</v>
      </c>
      <c r="J281" s="31">
        <v>99</v>
      </c>
      <c r="K281" s="33" t="s">
        <v>704</v>
      </c>
      <c r="L281" s="33" t="s">
        <v>685</v>
      </c>
      <c r="M281" s="34" t="s">
        <v>1373</v>
      </c>
      <c r="N281" s="34" t="s">
        <v>1702</v>
      </c>
      <c r="O281" s="35">
        <v>1</v>
      </c>
      <c r="P281" s="35"/>
      <c r="Q281" s="36"/>
      <c r="S281" s="1">
        <f t="shared" si="105"/>
        <v>0</v>
      </c>
      <c r="T281" s="1">
        <f t="shared" si="106"/>
        <v>0</v>
      </c>
      <c r="U281" s="1">
        <f t="shared" si="107"/>
        <v>0</v>
      </c>
      <c r="V281" s="1">
        <f t="shared" si="108"/>
        <v>0</v>
      </c>
      <c r="W281" s="1">
        <f t="shared" si="109"/>
        <v>0</v>
      </c>
      <c r="X281" s="1">
        <f t="shared" si="110"/>
        <v>0</v>
      </c>
      <c r="Y281" s="1">
        <f t="shared" si="111"/>
        <v>0</v>
      </c>
      <c r="Z281" s="1">
        <f t="shared" si="112"/>
        <v>0</v>
      </c>
      <c r="AA281" s="1">
        <f t="shared" si="113"/>
        <v>0</v>
      </c>
      <c r="AB281" s="1">
        <f t="shared" si="114"/>
        <v>0</v>
      </c>
      <c r="AD281" s="1">
        <f t="shared" si="115"/>
        <v>0</v>
      </c>
      <c r="AE281" s="1">
        <f t="shared" si="116"/>
        <v>1</v>
      </c>
      <c r="AF281" s="1">
        <f t="shared" si="117"/>
        <v>0</v>
      </c>
      <c r="AG281" s="1">
        <f t="shared" si="118"/>
        <v>1</v>
      </c>
      <c r="AH281" s="1">
        <f t="shared" si="119"/>
        <v>0</v>
      </c>
      <c r="AI281" s="1">
        <f t="shared" si="120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2" t="s">
        <v>851</v>
      </c>
      <c r="E282" s="32" t="s">
        <v>29</v>
      </c>
      <c r="F282" s="32" t="s">
        <v>852</v>
      </c>
      <c r="G282" s="32" t="s">
        <v>193</v>
      </c>
      <c r="H282" s="32" t="s">
        <v>352</v>
      </c>
      <c r="I282" s="31" t="s">
        <v>853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1696</v>
      </c>
      <c r="O282" s="35">
        <v>1</v>
      </c>
      <c r="P282" s="35"/>
      <c r="Q282" s="32"/>
      <c r="S282" s="1">
        <f t="shared" si="105"/>
        <v>0</v>
      </c>
      <c r="T282" s="1">
        <f t="shared" si="106"/>
        <v>0</v>
      </c>
      <c r="U282" s="1">
        <f t="shared" si="107"/>
        <v>0</v>
      </c>
      <c r="V282" s="1">
        <f t="shared" si="108"/>
        <v>0</v>
      </c>
      <c r="W282" s="1">
        <f t="shared" si="109"/>
        <v>0</v>
      </c>
      <c r="X282" s="1">
        <f t="shared" si="110"/>
        <v>0</v>
      </c>
      <c r="Y282" s="1">
        <f t="shared" si="111"/>
        <v>0</v>
      </c>
      <c r="Z282" s="1">
        <f t="shared" si="112"/>
        <v>0</v>
      </c>
      <c r="AA282" s="1">
        <f t="shared" si="113"/>
        <v>1</v>
      </c>
      <c r="AB282" s="1">
        <f t="shared" si="114"/>
        <v>0</v>
      </c>
      <c r="AD282" s="1">
        <f t="shared" si="115"/>
        <v>0</v>
      </c>
      <c r="AE282" s="1">
        <f t="shared" si="116"/>
        <v>1</v>
      </c>
      <c r="AF282" s="1">
        <f t="shared" si="117"/>
        <v>0</v>
      </c>
      <c r="AG282" s="1">
        <f t="shared" si="118"/>
        <v>1</v>
      </c>
      <c r="AH282" s="1">
        <f t="shared" si="119"/>
        <v>0</v>
      </c>
      <c r="AI282" s="1">
        <f t="shared" si="120"/>
        <v>1</v>
      </c>
    </row>
    <row r="283" spans="1:35" s="1" customFormat="1" ht="14.25" customHeight="1" x14ac:dyDescent="0.25">
      <c r="A283" s="31">
        <v>1</v>
      </c>
      <c r="B283" s="31">
        <v>1</v>
      </c>
      <c r="C283" s="31">
        <v>7</v>
      </c>
      <c r="D283" s="32" t="s">
        <v>851</v>
      </c>
      <c r="E283" s="32" t="s">
        <v>29</v>
      </c>
      <c r="F283" s="32" t="s">
        <v>1045</v>
      </c>
      <c r="G283" s="32" t="s">
        <v>319</v>
      </c>
      <c r="H283" s="32" t="s">
        <v>352</v>
      </c>
      <c r="I283" s="31" t="s">
        <v>1046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1696</v>
      </c>
      <c r="O283" s="35">
        <v>1</v>
      </c>
      <c r="P283" s="35"/>
      <c r="Q283" s="32"/>
      <c r="S283" s="1">
        <f t="shared" si="105"/>
        <v>0</v>
      </c>
      <c r="T283" s="1">
        <f t="shared" si="106"/>
        <v>0</v>
      </c>
      <c r="U283" s="1">
        <f t="shared" si="107"/>
        <v>0</v>
      </c>
      <c r="V283" s="1">
        <f t="shared" si="108"/>
        <v>0</v>
      </c>
      <c r="W283" s="1">
        <f t="shared" si="109"/>
        <v>0</v>
      </c>
      <c r="X283" s="1">
        <f t="shared" si="110"/>
        <v>0</v>
      </c>
      <c r="Y283" s="1">
        <f t="shared" si="111"/>
        <v>0</v>
      </c>
      <c r="Z283" s="1">
        <f t="shared" si="112"/>
        <v>0</v>
      </c>
      <c r="AA283" s="1">
        <f t="shared" si="113"/>
        <v>0</v>
      </c>
      <c r="AB283" s="1">
        <f t="shared" si="114"/>
        <v>0</v>
      </c>
      <c r="AD283" s="1">
        <f t="shared" si="115"/>
        <v>0</v>
      </c>
      <c r="AE283" s="1">
        <f t="shared" si="116"/>
        <v>1</v>
      </c>
      <c r="AF283" s="1">
        <f t="shared" si="117"/>
        <v>0</v>
      </c>
      <c r="AG283" s="1">
        <f t="shared" si="118"/>
        <v>0</v>
      </c>
      <c r="AH283" s="1">
        <f t="shared" si="119"/>
        <v>0</v>
      </c>
      <c r="AI283" s="1">
        <f t="shared" si="120"/>
        <v>0</v>
      </c>
    </row>
    <row r="284" spans="1:35" s="1" customFormat="1" ht="14.25" customHeight="1" x14ac:dyDescent="0.25">
      <c r="A284" s="31">
        <v>1</v>
      </c>
      <c r="B284" s="31">
        <v>1</v>
      </c>
      <c r="C284" s="31">
        <v>7</v>
      </c>
      <c r="D284" s="32" t="s">
        <v>851</v>
      </c>
      <c r="E284" s="32" t="s">
        <v>29</v>
      </c>
      <c r="F284" s="32" t="s">
        <v>1969</v>
      </c>
      <c r="G284" s="32" t="s">
        <v>193</v>
      </c>
      <c r="H284" s="32" t="s">
        <v>352</v>
      </c>
      <c r="I284" s="31" t="s">
        <v>853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1696</v>
      </c>
      <c r="O284" s="35">
        <v>1</v>
      </c>
      <c r="P284" s="35"/>
      <c r="Q284" s="32"/>
      <c r="S284" s="1">
        <f t="shared" si="105"/>
        <v>0</v>
      </c>
      <c r="T284" s="1">
        <f t="shared" si="106"/>
        <v>0</v>
      </c>
      <c r="U284" s="1">
        <f t="shared" si="107"/>
        <v>0</v>
      </c>
      <c r="V284" s="1">
        <f t="shared" si="108"/>
        <v>0</v>
      </c>
      <c r="W284" s="1">
        <f t="shared" si="109"/>
        <v>0</v>
      </c>
      <c r="X284" s="1">
        <f t="shared" si="110"/>
        <v>0</v>
      </c>
      <c r="Y284" s="1">
        <f t="shared" si="111"/>
        <v>0</v>
      </c>
      <c r="Z284" s="1">
        <f t="shared" si="112"/>
        <v>0</v>
      </c>
      <c r="AA284" s="1">
        <f t="shared" si="113"/>
        <v>1</v>
      </c>
      <c r="AB284" s="1">
        <f t="shared" si="114"/>
        <v>0</v>
      </c>
      <c r="AD284" s="1">
        <f t="shared" si="115"/>
        <v>0</v>
      </c>
      <c r="AE284" s="1">
        <f t="shared" si="116"/>
        <v>1</v>
      </c>
      <c r="AF284" s="1">
        <f t="shared" si="117"/>
        <v>0</v>
      </c>
      <c r="AG284" s="1">
        <f t="shared" si="118"/>
        <v>0</v>
      </c>
      <c r="AH284" s="1">
        <f t="shared" si="119"/>
        <v>0</v>
      </c>
      <c r="AI284" s="1">
        <f t="shared" si="120"/>
        <v>0</v>
      </c>
    </row>
    <row r="285" spans="1:35" s="1" customFormat="1" ht="14.25" customHeight="1" x14ac:dyDescent="0.25">
      <c r="A285" s="31">
        <v>1</v>
      </c>
      <c r="B285" s="31">
        <v>1</v>
      </c>
      <c r="C285" s="31">
        <v>7</v>
      </c>
      <c r="D285" s="32" t="s">
        <v>851</v>
      </c>
      <c r="E285" s="32" t="s">
        <v>29</v>
      </c>
      <c r="F285" s="32" t="s">
        <v>1971</v>
      </c>
      <c r="G285" s="32" t="s">
        <v>208</v>
      </c>
      <c r="H285" s="32" t="s">
        <v>352</v>
      </c>
      <c r="I285" s="31" t="s">
        <v>1970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1696</v>
      </c>
      <c r="O285" s="35">
        <v>1</v>
      </c>
      <c r="P285" s="35"/>
      <c r="Q285" s="32"/>
      <c r="S285" s="1">
        <f t="shared" si="105"/>
        <v>0</v>
      </c>
      <c r="T285" s="1">
        <f t="shared" si="106"/>
        <v>0</v>
      </c>
      <c r="U285" s="1">
        <f t="shared" si="107"/>
        <v>0</v>
      </c>
      <c r="V285" s="1">
        <f t="shared" si="108"/>
        <v>0</v>
      </c>
      <c r="W285" s="1">
        <f t="shared" si="109"/>
        <v>0</v>
      </c>
      <c r="X285" s="1">
        <f t="shared" si="110"/>
        <v>0</v>
      </c>
      <c r="Y285" s="1">
        <f t="shared" si="111"/>
        <v>0</v>
      </c>
      <c r="Z285" s="1">
        <f t="shared" si="112"/>
        <v>0</v>
      </c>
      <c r="AA285" s="1">
        <f t="shared" si="113"/>
        <v>0</v>
      </c>
      <c r="AB285" s="1">
        <f t="shared" si="114"/>
        <v>0</v>
      </c>
      <c r="AD285" s="1">
        <f t="shared" si="115"/>
        <v>0</v>
      </c>
      <c r="AE285" s="1">
        <f t="shared" si="116"/>
        <v>1</v>
      </c>
      <c r="AF285" s="1">
        <f t="shared" si="117"/>
        <v>0</v>
      </c>
      <c r="AG285" s="1">
        <f t="shared" si="118"/>
        <v>0</v>
      </c>
      <c r="AH285" s="1">
        <f t="shared" si="119"/>
        <v>0</v>
      </c>
      <c r="AI285" s="1">
        <f t="shared" si="120"/>
        <v>0</v>
      </c>
    </row>
    <row r="286" spans="1:35" s="1" customFormat="1" ht="14.25" customHeight="1" x14ac:dyDescent="0.25">
      <c r="A286" s="31">
        <v>1</v>
      </c>
      <c r="B286" s="31">
        <v>1</v>
      </c>
      <c r="C286" s="31">
        <v>7</v>
      </c>
      <c r="D286" s="32" t="s">
        <v>851</v>
      </c>
      <c r="E286" s="32" t="s">
        <v>29</v>
      </c>
      <c r="F286" s="36" t="s">
        <v>1639</v>
      </c>
      <c r="G286" s="36" t="s">
        <v>2123</v>
      </c>
      <c r="H286" s="32" t="s">
        <v>352</v>
      </c>
      <c r="I286" s="37" t="s">
        <v>2124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1696</v>
      </c>
      <c r="O286" s="35">
        <v>1</v>
      </c>
      <c r="P286" s="35"/>
      <c r="Q286" s="32"/>
      <c r="S286" s="1">
        <f t="shared" si="105"/>
        <v>0</v>
      </c>
      <c r="T286" s="1">
        <f t="shared" si="106"/>
        <v>0</v>
      </c>
      <c r="U286" s="1">
        <f t="shared" si="107"/>
        <v>0</v>
      </c>
      <c r="V286" s="1">
        <f t="shared" si="108"/>
        <v>0</v>
      </c>
      <c r="W286" s="1">
        <f t="shared" si="109"/>
        <v>0</v>
      </c>
      <c r="X286" s="1">
        <f t="shared" si="110"/>
        <v>0</v>
      </c>
      <c r="Y286" s="1">
        <f t="shared" si="111"/>
        <v>0</v>
      </c>
      <c r="Z286" s="1">
        <f t="shared" si="112"/>
        <v>0</v>
      </c>
      <c r="AA286" s="1">
        <f t="shared" si="113"/>
        <v>0</v>
      </c>
      <c r="AB286" s="1">
        <f t="shared" si="114"/>
        <v>0</v>
      </c>
      <c r="AD286" s="1">
        <f t="shared" si="115"/>
        <v>0</v>
      </c>
      <c r="AE286" s="1">
        <f t="shared" si="116"/>
        <v>1</v>
      </c>
      <c r="AF286" s="1">
        <f t="shared" si="117"/>
        <v>0</v>
      </c>
      <c r="AG286" s="1">
        <f t="shared" si="118"/>
        <v>0</v>
      </c>
      <c r="AH286" s="1">
        <f t="shared" si="119"/>
        <v>0</v>
      </c>
      <c r="AI286" s="1">
        <f t="shared" si="120"/>
        <v>0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6" t="s">
        <v>95</v>
      </c>
      <c r="E287" s="32" t="s">
        <v>29</v>
      </c>
      <c r="F287" s="36" t="s">
        <v>290</v>
      </c>
      <c r="G287" s="36" t="s">
        <v>291</v>
      </c>
      <c r="H287" s="36" t="s">
        <v>352</v>
      </c>
      <c r="I287" s="37" t="s">
        <v>1094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1700</v>
      </c>
      <c r="O287" s="35">
        <v>1</v>
      </c>
      <c r="P287" s="35"/>
      <c r="Q287" s="36"/>
      <c r="S287" s="1">
        <f t="shared" si="105"/>
        <v>0</v>
      </c>
      <c r="T287" s="1">
        <f t="shared" si="106"/>
        <v>0</v>
      </c>
      <c r="U287" s="1">
        <f t="shared" si="107"/>
        <v>0</v>
      </c>
      <c r="V287" s="1">
        <f t="shared" si="108"/>
        <v>0</v>
      </c>
      <c r="W287" s="1">
        <f t="shared" si="109"/>
        <v>0</v>
      </c>
      <c r="X287" s="1">
        <f t="shared" si="110"/>
        <v>0</v>
      </c>
      <c r="Y287" s="1">
        <f t="shared" si="111"/>
        <v>0</v>
      </c>
      <c r="Z287" s="1">
        <f t="shared" si="112"/>
        <v>0</v>
      </c>
      <c r="AA287" s="1">
        <f t="shared" si="113"/>
        <v>0</v>
      </c>
      <c r="AB287" s="1">
        <f t="shared" si="114"/>
        <v>0</v>
      </c>
      <c r="AD287" s="1">
        <f t="shared" si="115"/>
        <v>0</v>
      </c>
      <c r="AE287" s="1">
        <f t="shared" si="116"/>
        <v>1</v>
      </c>
      <c r="AF287" s="1">
        <f t="shared" si="117"/>
        <v>0</v>
      </c>
      <c r="AG287" s="1">
        <f t="shared" si="118"/>
        <v>1</v>
      </c>
      <c r="AH287" s="1">
        <f t="shared" si="119"/>
        <v>0</v>
      </c>
      <c r="AI287" s="1">
        <f t="shared" si="120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6" t="s">
        <v>528</v>
      </c>
      <c r="E288" s="32" t="s">
        <v>29</v>
      </c>
      <c r="F288" s="36" t="s">
        <v>657</v>
      </c>
      <c r="G288" s="36" t="s">
        <v>39</v>
      </c>
      <c r="H288" s="36" t="s">
        <v>529</v>
      </c>
      <c r="I288" s="37" t="s">
        <v>1650</v>
      </c>
      <c r="J288" s="31">
        <v>14</v>
      </c>
      <c r="K288" s="33" t="s">
        <v>931</v>
      </c>
      <c r="L288" s="33">
        <v>40</v>
      </c>
      <c r="M288" s="34" t="s">
        <v>699</v>
      </c>
      <c r="N288" s="34" t="s">
        <v>1696</v>
      </c>
      <c r="O288" s="35">
        <v>1</v>
      </c>
      <c r="P288" s="35"/>
      <c r="Q288" s="36"/>
      <c r="S288" s="1">
        <f t="shared" si="105"/>
        <v>0</v>
      </c>
      <c r="T288" s="1">
        <f t="shared" si="106"/>
        <v>0</v>
      </c>
      <c r="U288" s="1">
        <f t="shared" si="107"/>
        <v>0</v>
      </c>
      <c r="V288" s="1">
        <f t="shared" si="108"/>
        <v>0</v>
      </c>
      <c r="W288" s="1">
        <f t="shared" si="109"/>
        <v>0</v>
      </c>
      <c r="X288" s="1">
        <f t="shared" si="110"/>
        <v>0</v>
      </c>
      <c r="Y288" s="1">
        <f t="shared" si="111"/>
        <v>0</v>
      </c>
      <c r="Z288" s="1">
        <f t="shared" si="112"/>
        <v>0</v>
      </c>
      <c r="AA288" s="1">
        <f t="shared" si="113"/>
        <v>0</v>
      </c>
      <c r="AB288" s="1">
        <f t="shared" si="114"/>
        <v>0</v>
      </c>
      <c r="AD288" s="1">
        <f t="shared" si="115"/>
        <v>0</v>
      </c>
      <c r="AE288" s="1">
        <f t="shared" si="116"/>
        <v>1</v>
      </c>
      <c r="AF288" s="1">
        <f t="shared" si="117"/>
        <v>0</v>
      </c>
      <c r="AG288" s="1">
        <f t="shared" si="118"/>
        <v>1</v>
      </c>
      <c r="AH288" s="1">
        <f t="shared" si="119"/>
        <v>0</v>
      </c>
      <c r="AI288" s="1">
        <f t="shared" si="120"/>
        <v>1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6" t="s">
        <v>1289</v>
      </c>
      <c r="E289" s="32" t="s">
        <v>29</v>
      </c>
      <c r="F289" s="36" t="s">
        <v>1313</v>
      </c>
      <c r="G289" s="36" t="s">
        <v>39</v>
      </c>
      <c r="H289" s="36" t="s">
        <v>352</v>
      </c>
      <c r="I289" s="37" t="s">
        <v>1122</v>
      </c>
      <c r="J289" s="31">
        <v>99</v>
      </c>
      <c r="K289" s="33" t="s">
        <v>704</v>
      </c>
      <c r="L289" s="33" t="s">
        <v>684</v>
      </c>
      <c r="M289" s="34" t="s">
        <v>1374</v>
      </c>
      <c r="N289" s="34" t="s">
        <v>1693</v>
      </c>
      <c r="O289" s="35">
        <v>1</v>
      </c>
      <c r="P289" s="35">
        <v>1</v>
      </c>
      <c r="Q289" s="36"/>
      <c r="S289" s="1">
        <f t="shared" si="105"/>
        <v>0</v>
      </c>
      <c r="T289" s="1">
        <f t="shared" si="106"/>
        <v>0</v>
      </c>
      <c r="U289" s="1">
        <f t="shared" si="107"/>
        <v>0</v>
      </c>
      <c r="V289" s="1">
        <f t="shared" si="108"/>
        <v>0</v>
      </c>
      <c r="W289" s="1">
        <f t="shared" si="109"/>
        <v>0</v>
      </c>
      <c r="X289" s="1">
        <f t="shared" si="110"/>
        <v>0</v>
      </c>
      <c r="Y289" s="1">
        <f t="shared" si="111"/>
        <v>0</v>
      </c>
      <c r="Z289" s="1">
        <f t="shared" si="112"/>
        <v>0</v>
      </c>
      <c r="AA289" s="1">
        <f t="shared" si="113"/>
        <v>0</v>
      </c>
      <c r="AB289" s="1">
        <f t="shared" si="114"/>
        <v>0</v>
      </c>
      <c r="AD289" s="1">
        <f t="shared" si="115"/>
        <v>1</v>
      </c>
      <c r="AE289" s="1">
        <f t="shared" si="116"/>
        <v>0</v>
      </c>
      <c r="AF289" s="1">
        <f t="shared" si="117"/>
        <v>1</v>
      </c>
      <c r="AG289" s="1">
        <f t="shared" si="118"/>
        <v>0</v>
      </c>
      <c r="AH289" s="1">
        <f t="shared" si="119"/>
        <v>1</v>
      </c>
      <c r="AI289" s="1">
        <f t="shared" si="120"/>
        <v>0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2" t="s">
        <v>96</v>
      </c>
      <c r="E290" s="32" t="s">
        <v>29</v>
      </c>
      <c r="F290" s="32" t="s">
        <v>293</v>
      </c>
      <c r="G290" s="32" t="s">
        <v>262</v>
      </c>
      <c r="H290" s="32" t="s">
        <v>352</v>
      </c>
      <c r="I290" s="31" t="s">
        <v>442</v>
      </c>
      <c r="J290" s="31">
        <v>1</v>
      </c>
      <c r="K290" s="33" t="s">
        <v>704</v>
      </c>
      <c r="L290" s="33" t="s">
        <v>685</v>
      </c>
      <c r="M290" s="34" t="s">
        <v>699</v>
      </c>
      <c r="N290" s="34" t="s">
        <v>1696</v>
      </c>
      <c r="O290" s="35">
        <v>1</v>
      </c>
      <c r="P290" s="35"/>
      <c r="Q290" s="32"/>
      <c r="S290" s="1">
        <f t="shared" si="105"/>
        <v>1</v>
      </c>
      <c r="T290" s="1">
        <f t="shared" si="106"/>
        <v>0</v>
      </c>
      <c r="U290" s="1">
        <f t="shared" si="107"/>
        <v>0</v>
      </c>
      <c r="V290" s="1">
        <f t="shared" si="108"/>
        <v>0</v>
      </c>
      <c r="W290" s="1">
        <f t="shared" si="109"/>
        <v>0</v>
      </c>
      <c r="X290" s="1">
        <f t="shared" si="110"/>
        <v>0</v>
      </c>
      <c r="Y290" s="1">
        <f t="shared" si="111"/>
        <v>0</v>
      </c>
      <c r="Z290" s="1">
        <f t="shared" si="112"/>
        <v>0</v>
      </c>
      <c r="AA290" s="1">
        <f t="shared" si="113"/>
        <v>0</v>
      </c>
      <c r="AB290" s="1">
        <f t="shared" si="114"/>
        <v>0</v>
      </c>
      <c r="AD290" s="1">
        <f t="shared" si="115"/>
        <v>0</v>
      </c>
      <c r="AE290" s="1">
        <f t="shared" si="116"/>
        <v>1</v>
      </c>
      <c r="AF290" s="1">
        <f t="shared" si="117"/>
        <v>0</v>
      </c>
      <c r="AG290" s="1">
        <f t="shared" si="118"/>
        <v>1</v>
      </c>
      <c r="AH290" s="1">
        <f t="shared" si="119"/>
        <v>0</v>
      </c>
      <c r="AI290" s="1">
        <f t="shared" si="120"/>
        <v>1</v>
      </c>
    </row>
    <row r="291" spans="1:35" s="1" customFormat="1" ht="14.25" customHeight="1" x14ac:dyDescent="0.25">
      <c r="A291" s="15">
        <v>0</v>
      </c>
      <c r="B291" s="15">
        <v>1</v>
      </c>
      <c r="C291" s="15">
        <v>7</v>
      </c>
      <c r="D291" s="16" t="s">
        <v>741</v>
      </c>
      <c r="E291" s="16" t="s">
        <v>29</v>
      </c>
      <c r="F291" s="20" t="s">
        <v>2045</v>
      </c>
      <c r="G291" s="16" t="s">
        <v>39</v>
      </c>
      <c r="H291" s="20" t="s">
        <v>365</v>
      </c>
      <c r="I291" s="21" t="s">
        <v>2046</v>
      </c>
      <c r="J291" s="15">
        <v>18</v>
      </c>
      <c r="K291" s="10" t="s">
        <v>694</v>
      </c>
      <c r="L291" s="10" t="s">
        <v>688</v>
      </c>
      <c r="M291" s="19" t="s">
        <v>699</v>
      </c>
      <c r="N291" s="17"/>
      <c r="Q291" s="16"/>
      <c r="S291" s="1">
        <f t="shared" si="105"/>
        <v>0</v>
      </c>
      <c r="T291" s="1">
        <f t="shared" si="106"/>
        <v>0</v>
      </c>
      <c r="U291" s="1">
        <f t="shared" si="107"/>
        <v>0</v>
      </c>
      <c r="V291" s="1">
        <f t="shared" si="108"/>
        <v>0</v>
      </c>
      <c r="W291" s="1">
        <f t="shared" si="109"/>
        <v>0</v>
      </c>
      <c r="X291" s="1">
        <f t="shared" si="110"/>
        <v>0</v>
      </c>
      <c r="Y291" s="1">
        <f t="shared" si="111"/>
        <v>0</v>
      </c>
      <c r="Z291" s="1">
        <f t="shared" si="112"/>
        <v>0</v>
      </c>
      <c r="AA291" s="1">
        <f t="shared" si="113"/>
        <v>0</v>
      </c>
      <c r="AB291" s="1">
        <f t="shared" si="114"/>
        <v>0</v>
      </c>
      <c r="AD291" s="1">
        <f t="shared" si="115"/>
        <v>0</v>
      </c>
      <c r="AE291" s="1">
        <f t="shared" si="116"/>
        <v>0</v>
      </c>
      <c r="AF291" s="1">
        <f t="shared" si="117"/>
        <v>0</v>
      </c>
      <c r="AG291" s="1">
        <f t="shared" si="118"/>
        <v>0</v>
      </c>
      <c r="AH291" s="1">
        <f t="shared" si="119"/>
        <v>0</v>
      </c>
      <c r="AI291" s="1">
        <f t="shared" si="120"/>
        <v>1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6" t="s">
        <v>1480</v>
      </c>
      <c r="E292" s="32" t="s">
        <v>29</v>
      </c>
      <c r="F292" s="36" t="s">
        <v>1632</v>
      </c>
      <c r="G292" s="36" t="s">
        <v>1633</v>
      </c>
      <c r="H292" s="36" t="s">
        <v>352</v>
      </c>
      <c r="I292" s="37" t="s">
        <v>1481</v>
      </c>
      <c r="J292" s="31">
        <v>99</v>
      </c>
      <c r="K292" s="33" t="s">
        <v>704</v>
      </c>
      <c r="L292" s="33" t="s">
        <v>39</v>
      </c>
      <c r="M292" s="34" t="s">
        <v>39</v>
      </c>
      <c r="N292" s="34" t="s">
        <v>1687</v>
      </c>
      <c r="O292" s="35">
        <v>1</v>
      </c>
      <c r="P292" s="35">
        <v>1</v>
      </c>
      <c r="Q292" s="36"/>
      <c r="S292" s="1">
        <f t="shared" si="105"/>
        <v>0</v>
      </c>
      <c r="T292" s="1">
        <f t="shared" si="106"/>
        <v>0</v>
      </c>
      <c r="U292" s="1">
        <f t="shared" si="107"/>
        <v>0</v>
      </c>
      <c r="V292" s="1">
        <f t="shared" si="108"/>
        <v>0</v>
      </c>
      <c r="W292" s="1">
        <f t="shared" si="109"/>
        <v>0</v>
      </c>
      <c r="X292" s="1">
        <f t="shared" si="110"/>
        <v>0</v>
      </c>
      <c r="Y292" s="1">
        <f t="shared" si="111"/>
        <v>0</v>
      </c>
      <c r="Z292" s="1">
        <f t="shared" si="112"/>
        <v>0</v>
      </c>
      <c r="AA292" s="1">
        <f t="shared" si="113"/>
        <v>0</v>
      </c>
      <c r="AB292" s="1">
        <f t="shared" si="114"/>
        <v>0</v>
      </c>
      <c r="AD292" s="1">
        <f t="shared" si="115"/>
        <v>1</v>
      </c>
      <c r="AE292" s="1">
        <f t="shared" si="116"/>
        <v>0</v>
      </c>
      <c r="AF292" s="1">
        <f t="shared" si="117"/>
        <v>1</v>
      </c>
      <c r="AG292" s="1">
        <f t="shared" si="118"/>
        <v>0</v>
      </c>
      <c r="AH292" s="1">
        <f t="shared" si="119"/>
        <v>1</v>
      </c>
      <c r="AI292" s="1">
        <f t="shared" si="120"/>
        <v>0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2" t="s">
        <v>1116</v>
      </c>
      <c r="E293" s="32" t="s">
        <v>29</v>
      </c>
      <c r="F293" s="32" t="s">
        <v>1117</v>
      </c>
      <c r="G293" s="32" t="s">
        <v>1119</v>
      </c>
      <c r="H293" s="32" t="s">
        <v>352</v>
      </c>
      <c r="I293" s="31" t="s">
        <v>1118</v>
      </c>
      <c r="J293" s="31">
        <v>99</v>
      </c>
      <c r="K293" s="33" t="s">
        <v>694</v>
      </c>
      <c r="L293" s="33">
        <v>30</v>
      </c>
      <c r="M293" s="34" t="s">
        <v>1375</v>
      </c>
      <c r="N293" s="34" t="s">
        <v>1800</v>
      </c>
      <c r="O293" s="35">
        <v>1</v>
      </c>
      <c r="P293" s="35"/>
      <c r="Q293" s="32"/>
      <c r="S293" s="1">
        <f t="shared" si="105"/>
        <v>0</v>
      </c>
      <c r="T293" s="1">
        <f t="shared" si="106"/>
        <v>0</v>
      </c>
      <c r="U293" s="1">
        <f t="shared" si="107"/>
        <v>0</v>
      </c>
      <c r="V293" s="1">
        <f t="shared" si="108"/>
        <v>0</v>
      </c>
      <c r="W293" s="1">
        <f t="shared" si="109"/>
        <v>0</v>
      </c>
      <c r="X293" s="1">
        <f t="shared" si="110"/>
        <v>0</v>
      </c>
      <c r="Y293" s="1">
        <f t="shared" si="111"/>
        <v>0</v>
      </c>
      <c r="Z293" s="1">
        <f t="shared" si="112"/>
        <v>0</v>
      </c>
      <c r="AA293" s="1">
        <f t="shared" si="113"/>
        <v>0</v>
      </c>
      <c r="AB293" s="1">
        <f t="shared" si="114"/>
        <v>0</v>
      </c>
      <c r="AD293" s="1">
        <f t="shared" si="115"/>
        <v>0</v>
      </c>
      <c r="AE293" s="1">
        <f t="shared" si="116"/>
        <v>1</v>
      </c>
      <c r="AF293" s="1">
        <f t="shared" si="117"/>
        <v>0</v>
      </c>
      <c r="AG293" s="1">
        <f t="shared" si="118"/>
        <v>1</v>
      </c>
      <c r="AH293" s="1">
        <f t="shared" si="119"/>
        <v>0</v>
      </c>
      <c r="AI293" s="1">
        <f t="shared" si="120"/>
        <v>1</v>
      </c>
    </row>
    <row r="294" spans="1:35" s="1" customFormat="1" ht="14.25" customHeight="1" x14ac:dyDescent="0.25">
      <c r="A294" s="31">
        <v>0</v>
      </c>
      <c r="B294" s="31">
        <v>1</v>
      </c>
      <c r="C294" s="31">
        <v>7</v>
      </c>
      <c r="D294" s="32" t="s">
        <v>98</v>
      </c>
      <c r="E294" s="32" t="s">
        <v>29</v>
      </c>
      <c r="F294" s="32" t="s">
        <v>295</v>
      </c>
      <c r="G294" s="32" t="s">
        <v>196</v>
      </c>
      <c r="H294" s="32" t="s">
        <v>352</v>
      </c>
      <c r="I294" s="31" t="s">
        <v>443</v>
      </c>
      <c r="J294" s="31">
        <v>9</v>
      </c>
      <c r="K294" s="33" t="s">
        <v>694</v>
      </c>
      <c r="L294" s="33">
        <v>30</v>
      </c>
      <c r="M294" s="34" t="s">
        <v>699</v>
      </c>
      <c r="N294" s="34" t="s">
        <v>1696</v>
      </c>
      <c r="O294" s="35">
        <v>1</v>
      </c>
      <c r="P294" s="35"/>
      <c r="Q294" s="32"/>
      <c r="S294" s="1">
        <f t="shared" si="105"/>
        <v>0</v>
      </c>
      <c r="T294" s="1">
        <f t="shared" si="106"/>
        <v>0</v>
      </c>
      <c r="U294" s="1">
        <f t="shared" si="107"/>
        <v>0</v>
      </c>
      <c r="V294" s="1">
        <f t="shared" si="108"/>
        <v>0</v>
      </c>
      <c r="W294" s="1">
        <f t="shared" si="109"/>
        <v>0</v>
      </c>
      <c r="X294" s="1">
        <f t="shared" si="110"/>
        <v>0</v>
      </c>
      <c r="Y294" s="1">
        <f t="shared" si="111"/>
        <v>0</v>
      </c>
      <c r="Z294" s="1">
        <f t="shared" si="112"/>
        <v>0</v>
      </c>
      <c r="AA294" s="1">
        <f t="shared" si="113"/>
        <v>1</v>
      </c>
      <c r="AB294" s="1">
        <f t="shared" si="114"/>
        <v>0</v>
      </c>
      <c r="AD294" s="1">
        <f t="shared" si="115"/>
        <v>0</v>
      </c>
      <c r="AE294" s="1">
        <f t="shared" si="116"/>
        <v>1</v>
      </c>
      <c r="AF294" s="1">
        <f t="shared" si="117"/>
        <v>0</v>
      </c>
      <c r="AG294" s="1">
        <f t="shared" si="118"/>
        <v>1</v>
      </c>
      <c r="AH294" s="1">
        <f t="shared" si="119"/>
        <v>0</v>
      </c>
      <c r="AI294" s="1">
        <f t="shared" si="120"/>
        <v>1</v>
      </c>
    </row>
    <row r="295" spans="1:35" s="1" customFormat="1" ht="14.25" customHeight="1" x14ac:dyDescent="0.25">
      <c r="A295" s="31">
        <v>0</v>
      </c>
      <c r="B295" s="31">
        <v>1</v>
      </c>
      <c r="C295" s="31">
        <v>7</v>
      </c>
      <c r="D295" s="32" t="s">
        <v>784</v>
      </c>
      <c r="E295" s="32" t="s">
        <v>29</v>
      </c>
      <c r="F295" s="32" t="s">
        <v>763</v>
      </c>
      <c r="G295" s="32" t="s">
        <v>785</v>
      </c>
      <c r="H295" s="32" t="s">
        <v>352</v>
      </c>
      <c r="I295" s="31" t="s">
        <v>929</v>
      </c>
      <c r="J295" s="31">
        <v>99</v>
      </c>
      <c r="K295" s="33" t="s">
        <v>704</v>
      </c>
      <c r="L295" s="33" t="s">
        <v>685</v>
      </c>
      <c r="M295" s="34" t="s">
        <v>699</v>
      </c>
      <c r="N295" s="34" t="s">
        <v>1776</v>
      </c>
      <c r="O295" s="35">
        <v>1</v>
      </c>
      <c r="P295" s="35"/>
      <c r="Q295" s="32"/>
      <c r="S295" s="1">
        <f t="shared" si="105"/>
        <v>0</v>
      </c>
      <c r="T295" s="1">
        <f t="shared" si="106"/>
        <v>0</v>
      </c>
      <c r="U295" s="1">
        <f t="shared" si="107"/>
        <v>0</v>
      </c>
      <c r="V295" s="1">
        <f t="shared" si="108"/>
        <v>0</v>
      </c>
      <c r="W295" s="1">
        <f t="shared" si="109"/>
        <v>0</v>
      </c>
      <c r="X295" s="1">
        <f t="shared" si="110"/>
        <v>0</v>
      </c>
      <c r="Y295" s="1">
        <f t="shared" si="111"/>
        <v>0</v>
      </c>
      <c r="Z295" s="1">
        <f t="shared" si="112"/>
        <v>0</v>
      </c>
      <c r="AA295" s="1">
        <f t="shared" si="113"/>
        <v>0</v>
      </c>
      <c r="AB295" s="1">
        <f t="shared" si="114"/>
        <v>0</v>
      </c>
      <c r="AD295" s="1">
        <f t="shared" si="115"/>
        <v>0</v>
      </c>
      <c r="AE295" s="1">
        <f t="shared" si="116"/>
        <v>1</v>
      </c>
      <c r="AF295" s="1">
        <f t="shared" si="117"/>
        <v>0</v>
      </c>
      <c r="AG295" s="1">
        <f t="shared" si="118"/>
        <v>1</v>
      </c>
      <c r="AH295" s="1">
        <f t="shared" si="119"/>
        <v>0</v>
      </c>
      <c r="AI295" s="1">
        <f t="shared" si="120"/>
        <v>1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2" t="s">
        <v>1292</v>
      </c>
      <c r="E296" s="32" t="s">
        <v>29</v>
      </c>
      <c r="F296" s="32" t="s">
        <v>1315</v>
      </c>
      <c r="G296" s="32" t="s">
        <v>1153</v>
      </c>
      <c r="H296" s="32" t="s">
        <v>352</v>
      </c>
      <c r="I296" s="31" t="s">
        <v>1652</v>
      </c>
      <c r="J296" s="31">
        <v>99</v>
      </c>
      <c r="K296" s="33" t="s">
        <v>704</v>
      </c>
      <c r="L296" s="33" t="s">
        <v>685</v>
      </c>
      <c r="M296" s="34" t="s">
        <v>1376</v>
      </c>
      <c r="N296" s="34" t="s">
        <v>1713</v>
      </c>
      <c r="O296" s="35">
        <v>1</v>
      </c>
      <c r="P296" s="35"/>
      <c r="Q296" s="32"/>
      <c r="S296" s="1">
        <f t="shared" si="105"/>
        <v>0</v>
      </c>
      <c r="T296" s="1">
        <f t="shared" si="106"/>
        <v>0</v>
      </c>
      <c r="U296" s="1">
        <f t="shared" si="107"/>
        <v>0</v>
      </c>
      <c r="V296" s="1">
        <f t="shared" si="108"/>
        <v>0</v>
      </c>
      <c r="W296" s="1">
        <f t="shared" si="109"/>
        <v>0</v>
      </c>
      <c r="X296" s="1">
        <f t="shared" si="110"/>
        <v>0</v>
      </c>
      <c r="Y296" s="1">
        <f t="shared" si="111"/>
        <v>0</v>
      </c>
      <c r="Z296" s="1">
        <f t="shared" si="112"/>
        <v>0</v>
      </c>
      <c r="AA296" s="1">
        <f t="shared" si="113"/>
        <v>0</v>
      </c>
      <c r="AB296" s="1">
        <f t="shared" si="114"/>
        <v>0</v>
      </c>
      <c r="AD296" s="1">
        <f t="shared" si="115"/>
        <v>0</v>
      </c>
      <c r="AE296" s="1">
        <f t="shared" si="116"/>
        <v>1</v>
      </c>
      <c r="AF296" s="1">
        <f t="shared" si="117"/>
        <v>0</v>
      </c>
      <c r="AG296" s="1">
        <f t="shared" si="118"/>
        <v>1</v>
      </c>
      <c r="AH296" s="1">
        <f t="shared" si="119"/>
        <v>0</v>
      </c>
      <c r="AI296" s="1">
        <f t="shared" si="120"/>
        <v>1</v>
      </c>
    </row>
    <row r="297" spans="1:35" s="1" customFormat="1" ht="14.25" customHeight="1" x14ac:dyDescent="0.25">
      <c r="A297" s="31">
        <v>0</v>
      </c>
      <c r="B297" s="31">
        <v>1</v>
      </c>
      <c r="C297" s="31">
        <v>7</v>
      </c>
      <c r="D297" s="32" t="s">
        <v>1247</v>
      </c>
      <c r="E297" s="32" t="s">
        <v>29</v>
      </c>
      <c r="F297" s="32" t="s">
        <v>1248</v>
      </c>
      <c r="G297" s="32" t="s">
        <v>1249</v>
      </c>
      <c r="H297" s="32" t="s">
        <v>352</v>
      </c>
      <c r="I297" s="31" t="s">
        <v>1250</v>
      </c>
      <c r="J297" s="31">
        <v>99</v>
      </c>
      <c r="K297" s="33" t="s">
        <v>704</v>
      </c>
      <c r="L297" s="33" t="s">
        <v>685</v>
      </c>
      <c r="M297" s="34" t="s">
        <v>699</v>
      </c>
      <c r="N297" s="34" t="s">
        <v>1708</v>
      </c>
      <c r="O297" s="35">
        <v>1</v>
      </c>
      <c r="P297" s="35"/>
      <c r="Q297" s="32"/>
      <c r="S297" s="1">
        <f t="shared" si="105"/>
        <v>0</v>
      </c>
      <c r="T297" s="1">
        <f t="shared" si="106"/>
        <v>0</v>
      </c>
      <c r="U297" s="1">
        <f t="shared" si="107"/>
        <v>0</v>
      </c>
      <c r="V297" s="1">
        <f t="shared" si="108"/>
        <v>0</v>
      </c>
      <c r="W297" s="1">
        <f t="shared" si="109"/>
        <v>0</v>
      </c>
      <c r="X297" s="1">
        <f t="shared" si="110"/>
        <v>0</v>
      </c>
      <c r="Y297" s="1">
        <f t="shared" si="111"/>
        <v>0</v>
      </c>
      <c r="Z297" s="1">
        <f t="shared" si="112"/>
        <v>0</v>
      </c>
      <c r="AA297" s="1">
        <f t="shared" si="113"/>
        <v>0</v>
      </c>
      <c r="AB297" s="1">
        <f t="shared" si="114"/>
        <v>0</v>
      </c>
      <c r="AD297" s="1">
        <f t="shared" si="115"/>
        <v>0</v>
      </c>
      <c r="AE297" s="1">
        <f t="shared" si="116"/>
        <v>1</v>
      </c>
      <c r="AF297" s="1">
        <f t="shared" si="117"/>
        <v>0</v>
      </c>
      <c r="AG297" s="1">
        <f t="shared" si="118"/>
        <v>1</v>
      </c>
      <c r="AH297" s="1">
        <f t="shared" si="119"/>
        <v>0</v>
      </c>
      <c r="AI297" s="1">
        <f t="shared" si="120"/>
        <v>1</v>
      </c>
    </row>
    <row r="298" spans="1:35" s="1" customFormat="1" ht="14.25" customHeight="1" x14ac:dyDescent="0.25">
      <c r="A298" s="31">
        <v>0</v>
      </c>
      <c r="B298" s="31">
        <v>1</v>
      </c>
      <c r="C298" s="31">
        <v>7</v>
      </c>
      <c r="D298" s="32" t="s">
        <v>700</v>
      </c>
      <c r="E298" s="32" t="s">
        <v>29</v>
      </c>
      <c r="F298" s="32" t="s">
        <v>701</v>
      </c>
      <c r="G298" s="32" t="s">
        <v>183</v>
      </c>
      <c r="H298" s="32" t="s">
        <v>352</v>
      </c>
      <c r="I298" s="31" t="s">
        <v>702</v>
      </c>
      <c r="J298" s="31">
        <v>99</v>
      </c>
      <c r="K298" s="33" t="s">
        <v>932</v>
      </c>
      <c r="L298" s="33" t="s">
        <v>39</v>
      </c>
      <c r="M298" s="34" t="s">
        <v>39</v>
      </c>
      <c r="N298" s="34" t="s">
        <v>1693</v>
      </c>
      <c r="O298" s="35">
        <v>1</v>
      </c>
      <c r="P298" s="35">
        <v>1</v>
      </c>
      <c r="Q298" s="32"/>
      <c r="S298" s="1">
        <f t="shared" si="105"/>
        <v>0</v>
      </c>
      <c r="T298" s="1">
        <f t="shared" si="106"/>
        <v>0</v>
      </c>
      <c r="U298" s="1">
        <f t="shared" si="107"/>
        <v>0</v>
      </c>
      <c r="V298" s="1">
        <f t="shared" si="108"/>
        <v>0</v>
      </c>
      <c r="W298" s="1">
        <f t="shared" si="109"/>
        <v>0</v>
      </c>
      <c r="X298" s="1">
        <f t="shared" si="110"/>
        <v>0</v>
      </c>
      <c r="Y298" s="1">
        <f t="shared" si="111"/>
        <v>0</v>
      </c>
      <c r="Z298" s="1">
        <f t="shared" si="112"/>
        <v>0</v>
      </c>
      <c r="AA298" s="1">
        <f t="shared" si="113"/>
        <v>0</v>
      </c>
      <c r="AB298" s="1">
        <f t="shared" si="114"/>
        <v>0</v>
      </c>
      <c r="AD298" s="1">
        <f t="shared" si="115"/>
        <v>1</v>
      </c>
      <c r="AE298" s="1">
        <f t="shared" si="116"/>
        <v>0</v>
      </c>
      <c r="AF298" s="1">
        <f t="shared" si="117"/>
        <v>1</v>
      </c>
      <c r="AG298" s="1">
        <f t="shared" si="118"/>
        <v>0</v>
      </c>
      <c r="AH298" s="1">
        <f t="shared" si="119"/>
        <v>1</v>
      </c>
      <c r="AI298" s="1">
        <f t="shared" si="120"/>
        <v>0</v>
      </c>
    </row>
    <row r="299" spans="1:35" s="1" customFormat="1" ht="14.25" customHeight="1" x14ac:dyDescent="0.25">
      <c r="A299" s="31">
        <v>0</v>
      </c>
      <c r="B299" s="31">
        <v>1</v>
      </c>
      <c r="C299" s="31">
        <v>7</v>
      </c>
      <c r="D299" s="36" t="s">
        <v>2076</v>
      </c>
      <c r="E299" s="36" t="s">
        <v>29</v>
      </c>
      <c r="F299" s="36" t="s">
        <v>2077</v>
      </c>
      <c r="G299" s="36" t="s">
        <v>239</v>
      </c>
      <c r="H299" s="36" t="s">
        <v>352</v>
      </c>
      <c r="I299" s="37" t="s">
        <v>2078</v>
      </c>
      <c r="J299" s="31">
        <v>1</v>
      </c>
      <c r="K299" s="33" t="s">
        <v>694</v>
      </c>
      <c r="L299" s="33"/>
      <c r="M299" s="34"/>
      <c r="N299" s="34" t="s">
        <v>1700</v>
      </c>
      <c r="O299" s="35">
        <v>1</v>
      </c>
      <c r="P299" s="35"/>
      <c r="Q299" s="32" t="s">
        <v>2079</v>
      </c>
      <c r="S299" s="1">
        <f t="shared" si="105"/>
        <v>1</v>
      </c>
      <c r="T299" s="1">
        <f t="shared" si="106"/>
        <v>0</v>
      </c>
      <c r="U299" s="1">
        <f t="shared" si="107"/>
        <v>0</v>
      </c>
      <c r="V299" s="1">
        <f t="shared" si="108"/>
        <v>0</v>
      </c>
      <c r="W299" s="1">
        <f t="shared" si="109"/>
        <v>0</v>
      </c>
      <c r="X299" s="1">
        <f t="shared" si="110"/>
        <v>0</v>
      </c>
      <c r="Y299" s="1">
        <f t="shared" si="111"/>
        <v>0</v>
      </c>
      <c r="Z299" s="1">
        <f t="shared" si="112"/>
        <v>0</v>
      </c>
      <c r="AA299" s="1">
        <f t="shared" si="113"/>
        <v>0</v>
      </c>
      <c r="AB299" s="1">
        <f t="shared" si="114"/>
        <v>0</v>
      </c>
      <c r="AD299" s="1">
        <f t="shared" si="115"/>
        <v>0</v>
      </c>
      <c r="AE299" s="1">
        <f t="shared" si="116"/>
        <v>1</v>
      </c>
      <c r="AF299" s="1">
        <f t="shared" si="117"/>
        <v>0</v>
      </c>
      <c r="AG299" s="1">
        <f t="shared" si="118"/>
        <v>1</v>
      </c>
      <c r="AH299" s="1">
        <f t="shared" si="119"/>
        <v>0</v>
      </c>
      <c r="AI299" s="1">
        <f t="shared" si="120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532</v>
      </c>
      <c r="E300" s="32" t="s">
        <v>34</v>
      </c>
      <c r="F300" s="32" t="s">
        <v>533</v>
      </c>
      <c r="G300" s="32" t="s">
        <v>219</v>
      </c>
      <c r="H300" s="32" t="s">
        <v>352</v>
      </c>
      <c r="I300" s="31" t="s">
        <v>534</v>
      </c>
      <c r="J300" s="31">
        <v>8</v>
      </c>
      <c r="K300" s="33" t="s">
        <v>704</v>
      </c>
      <c r="L300" s="33" t="s">
        <v>704</v>
      </c>
      <c r="M300" s="34" t="s">
        <v>705</v>
      </c>
      <c r="N300" s="34" t="s">
        <v>1700</v>
      </c>
      <c r="O300" s="35">
        <v>1</v>
      </c>
      <c r="P300" s="35"/>
      <c r="Q300" s="32"/>
      <c r="S300" s="1">
        <f t="shared" si="105"/>
        <v>0</v>
      </c>
      <c r="T300" s="1">
        <f t="shared" si="106"/>
        <v>0</v>
      </c>
      <c r="U300" s="1">
        <f t="shared" si="107"/>
        <v>0</v>
      </c>
      <c r="V300" s="1">
        <f t="shared" si="108"/>
        <v>0</v>
      </c>
      <c r="W300" s="1">
        <f t="shared" si="109"/>
        <v>0</v>
      </c>
      <c r="X300" s="1">
        <f t="shared" si="110"/>
        <v>0</v>
      </c>
      <c r="Y300" s="1">
        <f t="shared" si="111"/>
        <v>0</v>
      </c>
      <c r="Z300" s="1">
        <f t="shared" si="112"/>
        <v>1</v>
      </c>
      <c r="AA300" s="1">
        <f t="shared" si="113"/>
        <v>0</v>
      </c>
      <c r="AB300" s="1">
        <f t="shared" si="114"/>
        <v>0</v>
      </c>
      <c r="AD300" s="1">
        <f t="shared" si="115"/>
        <v>0</v>
      </c>
      <c r="AE300" s="1">
        <f t="shared" si="116"/>
        <v>1</v>
      </c>
      <c r="AF300" s="1">
        <f t="shared" si="117"/>
        <v>0</v>
      </c>
      <c r="AG300" s="1">
        <f t="shared" si="118"/>
        <v>1</v>
      </c>
      <c r="AH300" s="1">
        <f t="shared" si="119"/>
        <v>0</v>
      </c>
      <c r="AI300" s="1">
        <f t="shared" si="120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1258</v>
      </c>
      <c r="E301" s="32" t="s">
        <v>555</v>
      </c>
      <c r="F301" s="32" t="s">
        <v>1259</v>
      </c>
      <c r="G301" s="32" t="s">
        <v>229</v>
      </c>
      <c r="H301" s="32" t="s">
        <v>352</v>
      </c>
      <c r="I301" s="31" t="s">
        <v>1260</v>
      </c>
      <c r="J301" s="31">
        <v>7</v>
      </c>
      <c r="K301" s="33" t="s">
        <v>704</v>
      </c>
      <c r="L301" s="33" t="s">
        <v>704</v>
      </c>
      <c r="M301" s="34" t="s">
        <v>705</v>
      </c>
      <c r="N301" s="34" t="s">
        <v>1708</v>
      </c>
      <c r="O301" s="35">
        <v>1</v>
      </c>
      <c r="P301" s="35"/>
      <c r="Q301" s="32"/>
      <c r="S301" s="1">
        <f t="shared" si="105"/>
        <v>0</v>
      </c>
      <c r="T301" s="1">
        <f t="shared" si="106"/>
        <v>0</v>
      </c>
      <c r="U301" s="1">
        <f t="shared" si="107"/>
        <v>0</v>
      </c>
      <c r="V301" s="1">
        <f t="shared" si="108"/>
        <v>0</v>
      </c>
      <c r="W301" s="1">
        <f t="shared" si="109"/>
        <v>0</v>
      </c>
      <c r="X301" s="1">
        <f t="shared" si="110"/>
        <v>0</v>
      </c>
      <c r="Y301" s="1">
        <f t="shared" si="111"/>
        <v>1</v>
      </c>
      <c r="Z301" s="1">
        <f t="shared" si="112"/>
        <v>0</v>
      </c>
      <c r="AA301" s="1">
        <f t="shared" si="113"/>
        <v>0</v>
      </c>
      <c r="AB301" s="1">
        <f t="shared" si="114"/>
        <v>0</v>
      </c>
      <c r="AD301" s="1">
        <f t="shared" si="115"/>
        <v>0</v>
      </c>
      <c r="AE301" s="1">
        <f t="shared" si="116"/>
        <v>1</v>
      </c>
      <c r="AF301" s="1">
        <f t="shared" si="117"/>
        <v>0</v>
      </c>
      <c r="AG301" s="1">
        <f t="shared" si="118"/>
        <v>1</v>
      </c>
      <c r="AH301" s="1">
        <f t="shared" si="119"/>
        <v>0</v>
      </c>
      <c r="AI301" s="1">
        <f t="shared" si="120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1294</v>
      </c>
      <c r="E302" s="32" t="s">
        <v>555</v>
      </c>
      <c r="F302" s="32" t="s">
        <v>1933</v>
      </c>
      <c r="G302" s="32" t="s">
        <v>212</v>
      </c>
      <c r="H302" s="32" t="s">
        <v>352</v>
      </c>
      <c r="I302" s="31" t="s">
        <v>1128</v>
      </c>
      <c r="J302" s="31">
        <v>1</v>
      </c>
      <c r="K302" s="33" t="s">
        <v>931</v>
      </c>
      <c r="L302" s="33" t="s">
        <v>704</v>
      </c>
      <c r="M302" s="34" t="s">
        <v>705</v>
      </c>
      <c r="N302" s="34" t="s">
        <v>1713</v>
      </c>
      <c r="O302" s="35">
        <v>1</v>
      </c>
      <c r="P302" s="35"/>
      <c r="Q302" s="32"/>
      <c r="S302" s="1">
        <f t="shared" si="105"/>
        <v>1</v>
      </c>
      <c r="T302" s="1">
        <f t="shared" si="106"/>
        <v>0</v>
      </c>
      <c r="U302" s="1">
        <f t="shared" si="107"/>
        <v>0</v>
      </c>
      <c r="V302" s="1">
        <f t="shared" si="108"/>
        <v>0</v>
      </c>
      <c r="W302" s="1">
        <f t="shared" si="109"/>
        <v>0</v>
      </c>
      <c r="X302" s="1">
        <f t="shared" si="110"/>
        <v>0</v>
      </c>
      <c r="Y302" s="1">
        <f t="shared" si="111"/>
        <v>0</v>
      </c>
      <c r="Z302" s="1">
        <f t="shared" si="112"/>
        <v>0</v>
      </c>
      <c r="AA302" s="1">
        <f t="shared" si="113"/>
        <v>0</v>
      </c>
      <c r="AB302" s="1">
        <f t="shared" si="114"/>
        <v>0</v>
      </c>
      <c r="AD302" s="1">
        <f t="shared" si="115"/>
        <v>0</v>
      </c>
      <c r="AE302" s="1">
        <f t="shared" si="116"/>
        <v>1</v>
      </c>
      <c r="AF302" s="1">
        <f t="shared" si="117"/>
        <v>0</v>
      </c>
      <c r="AG302" s="1">
        <f t="shared" si="118"/>
        <v>1</v>
      </c>
      <c r="AH302" s="1">
        <f t="shared" si="119"/>
        <v>0</v>
      </c>
      <c r="AI302" s="1">
        <f t="shared" si="120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1295</v>
      </c>
      <c r="E303" s="32" t="s">
        <v>555</v>
      </c>
      <c r="F303" s="32" t="s">
        <v>1123</v>
      </c>
      <c r="G303" s="32" t="s">
        <v>283</v>
      </c>
      <c r="H303" s="32" t="s">
        <v>352</v>
      </c>
      <c r="I303" s="31" t="s">
        <v>1124</v>
      </c>
      <c r="J303" s="31">
        <v>10</v>
      </c>
      <c r="K303" s="33" t="s">
        <v>931</v>
      </c>
      <c r="L303" s="33" t="s">
        <v>704</v>
      </c>
      <c r="M303" s="34" t="s">
        <v>705</v>
      </c>
      <c r="N303" s="34" t="s">
        <v>1713</v>
      </c>
      <c r="O303" s="35">
        <v>1</v>
      </c>
      <c r="P303" s="35"/>
      <c r="Q303" s="32"/>
      <c r="S303" s="1">
        <f t="shared" si="105"/>
        <v>0</v>
      </c>
      <c r="T303" s="1">
        <f t="shared" si="106"/>
        <v>0</v>
      </c>
      <c r="U303" s="1">
        <f t="shared" si="107"/>
        <v>0</v>
      </c>
      <c r="V303" s="1">
        <f t="shared" si="108"/>
        <v>0</v>
      </c>
      <c r="W303" s="1">
        <f t="shared" si="109"/>
        <v>0</v>
      </c>
      <c r="X303" s="1">
        <f t="shared" si="110"/>
        <v>0</v>
      </c>
      <c r="Y303" s="1">
        <f t="shared" si="111"/>
        <v>0</v>
      </c>
      <c r="Z303" s="1">
        <f t="shared" si="112"/>
        <v>0</v>
      </c>
      <c r="AA303" s="1">
        <f t="shared" si="113"/>
        <v>0</v>
      </c>
      <c r="AB303" s="1">
        <f t="shared" si="114"/>
        <v>1</v>
      </c>
      <c r="AD303" s="1">
        <f t="shared" si="115"/>
        <v>0</v>
      </c>
      <c r="AE303" s="1">
        <f t="shared" si="116"/>
        <v>1</v>
      </c>
      <c r="AF303" s="1">
        <f t="shared" si="117"/>
        <v>0</v>
      </c>
      <c r="AG303" s="1">
        <f t="shared" si="118"/>
        <v>1</v>
      </c>
      <c r="AH303" s="1">
        <f t="shared" si="119"/>
        <v>0</v>
      </c>
      <c r="AI303" s="1">
        <f t="shared" si="120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2012</v>
      </c>
      <c r="E304" s="32" t="s">
        <v>36</v>
      </c>
      <c r="F304" s="32" t="s">
        <v>2013</v>
      </c>
      <c r="G304" s="32" t="s">
        <v>1446</v>
      </c>
      <c r="H304" s="32" t="s">
        <v>352</v>
      </c>
      <c r="I304" s="31" t="s">
        <v>2015</v>
      </c>
      <c r="J304" s="31">
        <v>99</v>
      </c>
      <c r="K304" s="33" t="s">
        <v>694</v>
      </c>
      <c r="L304" s="33">
        <v>7</v>
      </c>
      <c r="M304" s="34" t="s">
        <v>2014</v>
      </c>
      <c r="N304" s="34" t="s">
        <v>1693</v>
      </c>
      <c r="O304" s="35">
        <v>1</v>
      </c>
      <c r="P304" s="35">
        <v>1</v>
      </c>
      <c r="Q304" s="32" t="s">
        <v>2016</v>
      </c>
      <c r="S304" s="1">
        <f t="shared" si="105"/>
        <v>0</v>
      </c>
      <c r="T304" s="1">
        <f t="shared" si="106"/>
        <v>0</v>
      </c>
      <c r="U304" s="1">
        <f t="shared" si="107"/>
        <v>0</v>
      </c>
      <c r="V304" s="1">
        <f t="shared" si="108"/>
        <v>0</v>
      </c>
      <c r="W304" s="1">
        <f t="shared" si="109"/>
        <v>0</v>
      </c>
      <c r="X304" s="1">
        <f t="shared" si="110"/>
        <v>0</v>
      </c>
      <c r="Y304" s="1">
        <f t="shared" si="111"/>
        <v>0</v>
      </c>
      <c r="Z304" s="1">
        <f t="shared" si="112"/>
        <v>0</v>
      </c>
      <c r="AA304" s="1">
        <f t="shared" si="113"/>
        <v>0</v>
      </c>
      <c r="AB304" s="1">
        <f t="shared" si="114"/>
        <v>0</v>
      </c>
      <c r="AD304" s="1">
        <f t="shared" si="115"/>
        <v>1</v>
      </c>
      <c r="AE304" s="1">
        <f t="shared" si="116"/>
        <v>0</v>
      </c>
      <c r="AF304" s="1">
        <f t="shared" si="117"/>
        <v>1</v>
      </c>
      <c r="AG304" s="1">
        <f t="shared" si="118"/>
        <v>0</v>
      </c>
      <c r="AH304" s="1">
        <f t="shared" si="119"/>
        <v>1</v>
      </c>
      <c r="AI304" s="1">
        <f t="shared" si="120"/>
        <v>0</v>
      </c>
    </row>
    <row r="305" spans="1:35" s="1" customFormat="1" ht="14.25" customHeight="1" x14ac:dyDescent="0.25">
      <c r="A305" s="15">
        <v>0</v>
      </c>
      <c r="B305" s="15">
        <v>2</v>
      </c>
      <c r="C305" s="15">
        <v>1</v>
      </c>
      <c r="D305" s="16" t="s">
        <v>508</v>
      </c>
      <c r="E305" s="16" t="s">
        <v>34</v>
      </c>
      <c r="F305" s="16" t="s">
        <v>507</v>
      </c>
      <c r="G305" s="16" t="s">
        <v>542</v>
      </c>
      <c r="H305" s="16" t="s">
        <v>352</v>
      </c>
      <c r="I305" s="15" t="s">
        <v>1330</v>
      </c>
      <c r="J305" s="15">
        <v>99</v>
      </c>
      <c r="K305" s="10" t="s">
        <v>932</v>
      </c>
      <c r="L305" s="10" t="s">
        <v>704</v>
      </c>
      <c r="M305" s="19" t="s">
        <v>705</v>
      </c>
      <c r="N305" s="19"/>
      <c r="Q305" s="20" t="s">
        <v>1956</v>
      </c>
      <c r="S305" s="1">
        <f t="shared" si="105"/>
        <v>0</v>
      </c>
      <c r="T305" s="1">
        <f t="shared" si="106"/>
        <v>0</v>
      </c>
      <c r="U305" s="1">
        <f t="shared" si="107"/>
        <v>0</v>
      </c>
      <c r="V305" s="1">
        <f t="shared" si="108"/>
        <v>0</v>
      </c>
      <c r="W305" s="1">
        <f t="shared" si="109"/>
        <v>0</v>
      </c>
      <c r="X305" s="1">
        <f t="shared" si="110"/>
        <v>0</v>
      </c>
      <c r="Y305" s="1">
        <f t="shared" si="111"/>
        <v>0</v>
      </c>
      <c r="Z305" s="1">
        <f t="shared" si="112"/>
        <v>0</v>
      </c>
      <c r="AA305" s="1">
        <f t="shared" si="113"/>
        <v>0</v>
      </c>
      <c r="AB305" s="1">
        <f t="shared" si="114"/>
        <v>0</v>
      </c>
      <c r="AD305" s="1">
        <f t="shared" si="115"/>
        <v>0</v>
      </c>
      <c r="AE305" s="1">
        <f t="shared" si="116"/>
        <v>0</v>
      </c>
      <c r="AF305" s="1">
        <f t="shared" si="117"/>
        <v>0</v>
      </c>
      <c r="AG305" s="1">
        <f t="shared" si="118"/>
        <v>0</v>
      </c>
      <c r="AH305" s="1">
        <f t="shared" si="119"/>
        <v>0</v>
      </c>
      <c r="AI305" s="1">
        <f t="shared" si="120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1019</v>
      </c>
      <c r="E306" s="32" t="s">
        <v>36</v>
      </c>
      <c r="F306" s="32" t="s">
        <v>1620</v>
      </c>
      <c r="G306" s="32" t="s">
        <v>620</v>
      </c>
      <c r="H306" s="32" t="s">
        <v>352</v>
      </c>
      <c r="I306" s="31" t="s">
        <v>1020</v>
      </c>
      <c r="J306" s="31">
        <v>99</v>
      </c>
      <c r="K306" s="33" t="s">
        <v>936</v>
      </c>
      <c r="L306" s="33" t="s">
        <v>704</v>
      </c>
      <c r="M306" s="34" t="s">
        <v>705</v>
      </c>
      <c r="N306" s="34" t="s">
        <v>1693</v>
      </c>
      <c r="O306" s="35">
        <v>1</v>
      </c>
      <c r="P306" s="35">
        <v>1</v>
      </c>
      <c r="Q306" s="32" t="s">
        <v>1849</v>
      </c>
      <c r="S306" s="1">
        <f t="shared" si="105"/>
        <v>0</v>
      </c>
      <c r="T306" s="1">
        <f t="shared" si="106"/>
        <v>0</v>
      </c>
      <c r="U306" s="1">
        <f t="shared" si="107"/>
        <v>0</v>
      </c>
      <c r="V306" s="1">
        <f t="shared" si="108"/>
        <v>0</v>
      </c>
      <c r="W306" s="1">
        <f t="shared" si="109"/>
        <v>0</v>
      </c>
      <c r="X306" s="1">
        <f t="shared" si="110"/>
        <v>0</v>
      </c>
      <c r="Y306" s="1">
        <f t="shared" si="111"/>
        <v>0</v>
      </c>
      <c r="Z306" s="1">
        <f t="shared" si="112"/>
        <v>0</v>
      </c>
      <c r="AA306" s="1">
        <f t="shared" si="113"/>
        <v>0</v>
      </c>
      <c r="AB306" s="1">
        <f t="shared" si="114"/>
        <v>0</v>
      </c>
      <c r="AD306" s="1">
        <f t="shared" si="115"/>
        <v>1</v>
      </c>
      <c r="AE306" s="1">
        <f t="shared" si="116"/>
        <v>0</v>
      </c>
      <c r="AF306" s="1">
        <f t="shared" si="117"/>
        <v>1</v>
      </c>
      <c r="AG306" s="1">
        <f t="shared" si="118"/>
        <v>0</v>
      </c>
      <c r="AH306" s="1">
        <f t="shared" si="119"/>
        <v>1</v>
      </c>
      <c r="AI306" s="1">
        <f t="shared" si="120"/>
        <v>0</v>
      </c>
    </row>
    <row r="307" spans="1:35" s="1" customFormat="1" ht="14.25" customHeight="1" x14ac:dyDescent="0.25">
      <c r="A307" s="31">
        <v>1</v>
      </c>
      <c r="B307" s="31">
        <v>2</v>
      </c>
      <c r="C307" s="31">
        <v>1</v>
      </c>
      <c r="D307" s="32" t="s">
        <v>49</v>
      </c>
      <c r="E307" s="32" t="s">
        <v>1282</v>
      </c>
      <c r="F307" s="32" t="s">
        <v>190</v>
      </c>
      <c r="G307" s="32" t="s">
        <v>191</v>
      </c>
      <c r="H307" s="32" t="s">
        <v>352</v>
      </c>
      <c r="I307" s="31" t="s">
        <v>384</v>
      </c>
      <c r="J307" s="31">
        <v>99</v>
      </c>
      <c r="K307" s="33" t="s">
        <v>703</v>
      </c>
      <c r="L307" s="33" t="s">
        <v>704</v>
      </c>
      <c r="M307" s="34" t="s">
        <v>705</v>
      </c>
      <c r="N307" s="34" t="s">
        <v>1708</v>
      </c>
      <c r="O307" s="35">
        <v>1</v>
      </c>
      <c r="P307" s="35"/>
      <c r="Q307" s="32"/>
      <c r="S307" s="1">
        <f t="shared" si="105"/>
        <v>0</v>
      </c>
      <c r="T307" s="1">
        <f t="shared" si="106"/>
        <v>0</v>
      </c>
      <c r="U307" s="1">
        <f t="shared" si="107"/>
        <v>0</v>
      </c>
      <c r="V307" s="1">
        <f t="shared" si="108"/>
        <v>0</v>
      </c>
      <c r="W307" s="1">
        <f t="shared" si="109"/>
        <v>0</v>
      </c>
      <c r="X307" s="1">
        <f t="shared" si="110"/>
        <v>0</v>
      </c>
      <c r="Y307" s="1">
        <f t="shared" si="111"/>
        <v>0</v>
      </c>
      <c r="Z307" s="1">
        <f t="shared" si="112"/>
        <v>0</v>
      </c>
      <c r="AA307" s="1">
        <f t="shared" si="113"/>
        <v>0</v>
      </c>
      <c r="AB307" s="1">
        <f t="shared" si="114"/>
        <v>0</v>
      </c>
      <c r="AD307" s="1">
        <f t="shared" si="115"/>
        <v>0</v>
      </c>
      <c r="AE307" s="1">
        <f t="shared" si="116"/>
        <v>1</v>
      </c>
      <c r="AF307" s="1">
        <f t="shared" si="117"/>
        <v>0</v>
      </c>
      <c r="AG307" s="1">
        <f t="shared" si="118"/>
        <v>0</v>
      </c>
      <c r="AH307" s="1">
        <f t="shared" si="119"/>
        <v>0</v>
      </c>
      <c r="AI307" s="1">
        <f t="shared" si="120"/>
        <v>0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1051</v>
      </c>
      <c r="E308" s="32" t="s">
        <v>1282</v>
      </c>
      <c r="F308" s="32" t="s">
        <v>1066</v>
      </c>
      <c r="G308" s="32" t="s">
        <v>201</v>
      </c>
      <c r="H308" s="32" t="s">
        <v>352</v>
      </c>
      <c r="I308" s="31" t="s">
        <v>384</v>
      </c>
      <c r="J308" s="31">
        <v>10</v>
      </c>
      <c r="K308" s="33" t="s">
        <v>703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105"/>
        <v>0</v>
      </c>
      <c r="T308" s="1">
        <f t="shared" si="106"/>
        <v>0</v>
      </c>
      <c r="U308" s="1">
        <f t="shared" si="107"/>
        <v>0</v>
      </c>
      <c r="V308" s="1">
        <f t="shared" si="108"/>
        <v>0</v>
      </c>
      <c r="W308" s="1">
        <f t="shared" si="109"/>
        <v>0</v>
      </c>
      <c r="X308" s="1">
        <f t="shared" si="110"/>
        <v>0</v>
      </c>
      <c r="Y308" s="1">
        <f t="shared" si="111"/>
        <v>0</v>
      </c>
      <c r="Z308" s="1">
        <f t="shared" si="112"/>
        <v>0</v>
      </c>
      <c r="AA308" s="1">
        <f t="shared" si="113"/>
        <v>0</v>
      </c>
      <c r="AB308" s="1">
        <f t="shared" si="114"/>
        <v>1</v>
      </c>
      <c r="AD308" s="1">
        <f t="shared" si="115"/>
        <v>0</v>
      </c>
      <c r="AE308" s="1">
        <f t="shared" si="116"/>
        <v>1</v>
      </c>
      <c r="AF308" s="1">
        <f t="shared" si="117"/>
        <v>0</v>
      </c>
      <c r="AG308" s="1">
        <f t="shared" si="118"/>
        <v>1</v>
      </c>
      <c r="AH308" s="1">
        <f t="shared" si="119"/>
        <v>0</v>
      </c>
      <c r="AI308" s="1">
        <f t="shared" si="120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1241</v>
      </c>
      <c r="E309" s="32" t="s">
        <v>555</v>
      </c>
      <c r="F309" s="32" t="s">
        <v>1242</v>
      </c>
      <c r="G309" s="32" t="s">
        <v>257</v>
      </c>
      <c r="H309" s="32" t="s">
        <v>352</v>
      </c>
      <c r="I309" s="31" t="s">
        <v>1243</v>
      </c>
      <c r="J309" s="31">
        <v>8</v>
      </c>
      <c r="K309" s="33" t="s">
        <v>931</v>
      </c>
      <c r="L309" s="33" t="s">
        <v>704</v>
      </c>
      <c r="M309" s="34" t="s">
        <v>705</v>
      </c>
      <c r="N309" s="34" t="s">
        <v>1700</v>
      </c>
      <c r="O309" s="35">
        <v>1</v>
      </c>
      <c r="P309" s="35"/>
      <c r="Q309" s="32"/>
      <c r="S309" s="1">
        <f t="shared" si="105"/>
        <v>0</v>
      </c>
      <c r="T309" s="1">
        <f t="shared" si="106"/>
        <v>0</v>
      </c>
      <c r="U309" s="1">
        <f t="shared" si="107"/>
        <v>0</v>
      </c>
      <c r="V309" s="1">
        <f t="shared" si="108"/>
        <v>0</v>
      </c>
      <c r="W309" s="1">
        <f t="shared" si="109"/>
        <v>0</v>
      </c>
      <c r="X309" s="1">
        <f t="shared" si="110"/>
        <v>0</v>
      </c>
      <c r="Y309" s="1">
        <f t="shared" si="111"/>
        <v>0</v>
      </c>
      <c r="Z309" s="1">
        <f t="shared" si="112"/>
        <v>1</v>
      </c>
      <c r="AA309" s="1">
        <f t="shared" si="113"/>
        <v>0</v>
      </c>
      <c r="AB309" s="1">
        <f t="shared" si="114"/>
        <v>0</v>
      </c>
      <c r="AD309" s="1">
        <f t="shared" si="115"/>
        <v>0</v>
      </c>
      <c r="AE309" s="1">
        <f t="shared" si="116"/>
        <v>1</v>
      </c>
      <c r="AF309" s="1">
        <f t="shared" si="117"/>
        <v>0</v>
      </c>
      <c r="AG309" s="1">
        <f t="shared" si="118"/>
        <v>1</v>
      </c>
      <c r="AH309" s="1">
        <f t="shared" si="119"/>
        <v>0</v>
      </c>
      <c r="AI309" s="1">
        <f t="shared" si="120"/>
        <v>1</v>
      </c>
    </row>
    <row r="310" spans="1:35" s="1" customFormat="1" ht="14.25" customHeight="1" x14ac:dyDescent="0.25">
      <c r="A310" s="15">
        <v>0</v>
      </c>
      <c r="B310" s="15">
        <v>2</v>
      </c>
      <c r="C310" s="15">
        <v>1</v>
      </c>
      <c r="D310" s="16" t="s">
        <v>48</v>
      </c>
      <c r="E310" s="16" t="s">
        <v>571</v>
      </c>
      <c r="F310" s="16" t="s">
        <v>188</v>
      </c>
      <c r="G310" s="16" t="s">
        <v>298</v>
      </c>
      <c r="H310" s="16" t="s">
        <v>352</v>
      </c>
      <c r="I310" s="15" t="s">
        <v>383</v>
      </c>
      <c r="J310" s="15">
        <v>99</v>
      </c>
      <c r="K310" s="10" t="s">
        <v>704</v>
      </c>
      <c r="L310" s="10" t="s">
        <v>704</v>
      </c>
      <c r="M310" s="19" t="s">
        <v>705</v>
      </c>
      <c r="N310" s="19"/>
      <c r="Q310" s="16"/>
      <c r="S310" s="1">
        <f t="shared" si="105"/>
        <v>0</v>
      </c>
      <c r="T310" s="1">
        <f t="shared" si="106"/>
        <v>0</v>
      </c>
      <c r="U310" s="1">
        <f t="shared" si="107"/>
        <v>0</v>
      </c>
      <c r="V310" s="1">
        <f t="shared" si="108"/>
        <v>0</v>
      </c>
      <c r="W310" s="1">
        <f t="shared" si="109"/>
        <v>0</v>
      </c>
      <c r="X310" s="1">
        <f t="shared" si="110"/>
        <v>0</v>
      </c>
      <c r="Y310" s="1">
        <f t="shared" si="111"/>
        <v>0</v>
      </c>
      <c r="Z310" s="1">
        <f t="shared" si="112"/>
        <v>0</v>
      </c>
      <c r="AA310" s="1">
        <f t="shared" si="113"/>
        <v>0</v>
      </c>
      <c r="AB310" s="1">
        <f t="shared" si="114"/>
        <v>0</v>
      </c>
      <c r="AD310" s="1">
        <f t="shared" si="115"/>
        <v>0</v>
      </c>
      <c r="AE310" s="1">
        <f t="shared" si="116"/>
        <v>0</v>
      </c>
      <c r="AF310" s="1">
        <f t="shared" si="117"/>
        <v>0</v>
      </c>
      <c r="AG310" s="1">
        <f t="shared" si="118"/>
        <v>0</v>
      </c>
      <c r="AH310" s="1">
        <f t="shared" si="119"/>
        <v>0</v>
      </c>
      <c r="AI310" s="1">
        <f t="shared" si="120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57</v>
      </c>
      <c r="E311" s="32" t="s">
        <v>161</v>
      </c>
      <c r="F311" s="32" t="s">
        <v>658</v>
      </c>
      <c r="G311" s="32" t="s">
        <v>220</v>
      </c>
      <c r="H311" s="32" t="s">
        <v>352</v>
      </c>
      <c r="I311" s="31" t="s">
        <v>394</v>
      </c>
      <c r="J311" s="31">
        <v>99</v>
      </c>
      <c r="K311" s="33" t="s">
        <v>938</v>
      </c>
      <c r="L311" s="33" t="s">
        <v>704</v>
      </c>
      <c r="M311" s="34" t="s">
        <v>705</v>
      </c>
      <c r="N311" s="34" t="s">
        <v>1696</v>
      </c>
      <c r="O311" s="35">
        <v>1</v>
      </c>
      <c r="P311" s="35"/>
      <c r="Q311" s="32"/>
      <c r="S311" s="1">
        <f t="shared" si="105"/>
        <v>0</v>
      </c>
      <c r="T311" s="1">
        <f t="shared" si="106"/>
        <v>0</v>
      </c>
      <c r="U311" s="1">
        <f t="shared" si="107"/>
        <v>0</v>
      </c>
      <c r="V311" s="1">
        <f t="shared" si="108"/>
        <v>0</v>
      </c>
      <c r="W311" s="1">
        <f t="shared" si="109"/>
        <v>0</v>
      </c>
      <c r="X311" s="1">
        <f t="shared" si="110"/>
        <v>0</v>
      </c>
      <c r="Y311" s="1">
        <f t="shared" si="111"/>
        <v>0</v>
      </c>
      <c r="Z311" s="1">
        <f t="shared" si="112"/>
        <v>0</v>
      </c>
      <c r="AA311" s="1">
        <f t="shared" si="113"/>
        <v>0</v>
      </c>
      <c r="AB311" s="1">
        <f t="shared" si="114"/>
        <v>0</v>
      </c>
      <c r="AD311" s="1">
        <f t="shared" si="115"/>
        <v>0</v>
      </c>
      <c r="AE311" s="1">
        <f t="shared" si="116"/>
        <v>1</v>
      </c>
      <c r="AF311" s="1">
        <f t="shared" si="117"/>
        <v>0</v>
      </c>
      <c r="AG311" s="1">
        <f t="shared" si="118"/>
        <v>1</v>
      </c>
      <c r="AH311" s="1">
        <f t="shared" si="119"/>
        <v>0</v>
      </c>
      <c r="AI311" s="1">
        <f t="shared" si="120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511</v>
      </c>
      <c r="E312" s="32" t="s">
        <v>555</v>
      </c>
      <c r="F312" s="32" t="s">
        <v>228</v>
      </c>
      <c r="G312" s="32" t="s">
        <v>229</v>
      </c>
      <c r="H312" s="32" t="s">
        <v>352</v>
      </c>
      <c r="I312" s="31" t="s">
        <v>398</v>
      </c>
      <c r="J312" s="31">
        <v>7</v>
      </c>
      <c r="K312" s="33" t="s">
        <v>931</v>
      </c>
      <c r="L312" s="33" t="s">
        <v>704</v>
      </c>
      <c r="M312" s="34" t="s">
        <v>705</v>
      </c>
      <c r="N312" s="34" t="s">
        <v>1701</v>
      </c>
      <c r="O312" s="35">
        <v>1</v>
      </c>
      <c r="P312" s="35"/>
      <c r="Q312" s="32"/>
      <c r="S312" s="1">
        <f t="shared" si="105"/>
        <v>0</v>
      </c>
      <c r="T312" s="1">
        <f t="shared" si="106"/>
        <v>0</v>
      </c>
      <c r="U312" s="1">
        <f t="shared" si="107"/>
        <v>0</v>
      </c>
      <c r="V312" s="1">
        <f t="shared" si="108"/>
        <v>0</v>
      </c>
      <c r="W312" s="1">
        <f t="shared" si="109"/>
        <v>0</v>
      </c>
      <c r="X312" s="1">
        <f t="shared" si="110"/>
        <v>0</v>
      </c>
      <c r="Y312" s="1">
        <f t="shared" si="111"/>
        <v>1</v>
      </c>
      <c r="Z312" s="1">
        <f t="shared" si="112"/>
        <v>0</v>
      </c>
      <c r="AA312" s="1">
        <f t="shared" si="113"/>
        <v>0</v>
      </c>
      <c r="AB312" s="1">
        <f t="shared" si="114"/>
        <v>0</v>
      </c>
      <c r="AD312" s="1">
        <f t="shared" si="115"/>
        <v>0</v>
      </c>
      <c r="AE312" s="1">
        <f t="shared" si="116"/>
        <v>1</v>
      </c>
      <c r="AF312" s="1">
        <f t="shared" si="117"/>
        <v>0</v>
      </c>
      <c r="AG312" s="1">
        <f t="shared" si="118"/>
        <v>1</v>
      </c>
      <c r="AH312" s="1">
        <f t="shared" si="119"/>
        <v>0</v>
      </c>
      <c r="AI312" s="1">
        <f t="shared" si="120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554</v>
      </c>
      <c r="E313" s="32" t="s">
        <v>555</v>
      </c>
      <c r="F313" s="32" t="s">
        <v>556</v>
      </c>
      <c r="G313" s="32" t="s">
        <v>207</v>
      </c>
      <c r="H313" s="32" t="s">
        <v>352</v>
      </c>
      <c r="I313" s="31" t="s">
        <v>557</v>
      </c>
      <c r="J313" s="31">
        <v>3</v>
      </c>
      <c r="K313" s="33" t="s">
        <v>703</v>
      </c>
      <c r="L313" s="33" t="s">
        <v>704</v>
      </c>
      <c r="M313" s="34" t="s">
        <v>705</v>
      </c>
      <c r="N313" s="34" t="s">
        <v>1693</v>
      </c>
      <c r="O313" s="35">
        <v>1</v>
      </c>
      <c r="P313" s="35">
        <v>1</v>
      </c>
      <c r="Q313" s="32"/>
      <c r="S313" s="1">
        <f t="shared" si="105"/>
        <v>0</v>
      </c>
      <c r="T313" s="1">
        <f t="shared" si="106"/>
        <v>0</v>
      </c>
      <c r="U313" s="1">
        <f t="shared" si="107"/>
        <v>1</v>
      </c>
      <c r="V313" s="1">
        <f t="shared" si="108"/>
        <v>0</v>
      </c>
      <c r="W313" s="1">
        <f t="shared" si="109"/>
        <v>0</v>
      </c>
      <c r="X313" s="1">
        <f t="shared" si="110"/>
        <v>0</v>
      </c>
      <c r="Y313" s="1">
        <f t="shared" si="111"/>
        <v>0</v>
      </c>
      <c r="Z313" s="1">
        <f t="shared" si="112"/>
        <v>0</v>
      </c>
      <c r="AA313" s="1">
        <f t="shared" si="113"/>
        <v>0</v>
      </c>
      <c r="AB313" s="1">
        <f t="shared" si="114"/>
        <v>0</v>
      </c>
      <c r="AD313" s="1">
        <f t="shared" si="115"/>
        <v>1</v>
      </c>
      <c r="AE313" s="1">
        <f t="shared" si="116"/>
        <v>0</v>
      </c>
      <c r="AF313" s="1">
        <f t="shared" si="117"/>
        <v>1</v>
      </c>
      <c r="AG313" s="1">
        <f t="shared" si="118"/>
        <v>0</v>
      </c>
      <c r="AH313" s="1">
        <f t="shared" si="119"/>
        <v>1</v>
      </c>
      <c r="AI313" s="1">
        <f t="shared" si="120"/>
        <v>0</v>
      </c>
    </row>
    <row r="314" spans="1:35" s="1" customFormat="1" ht="14.25" customHeight="1" x14ac:dyDescent="0.25">
      <c r="A314" s="37">
        <v>0</v>
      </c>
      <c r="B314" s="37">
        <v>2</v>
      </c>
      <c r="C314" s="37">
        <v>1</v>
      </c>
      <c r="D314" s="36" t="s">
        <v>1030</v>
      </c>
      <c r="E314" s="36" t="s">
        <v>32</v>
      </c>
      <c r="F314" s="36" t="s">
        <v>1245</v>
      </c>
      <c r="G314" s="36" t="s">
        <v>531</v>
      </c>
      <c r="H314" s="36" t="s">
        <v>352</v>
      </c>
      <c r="I314" s="37" t="s">
        <v>1246</v>
      </c>
      <c r="J314" s="37">
        <v>6</v>
      </c>
      <c r="K314" s="50" t="s">
        <v>704</v>
      </c>
      <c r="L314" s="33" t="s">
        <v>704</v>
      </c>
      <c r="M314" s="34" t="s">
        <v>705</v>
      </c>
      <c r="N314" s="34" t="s">
        <v>1700</v>
      </c>
      <c r="O314" s="35">
        <v>1</v>
      </c>
      <c r="P314" s="35"/>
      <c r="Q314" s="36"/>
      <c r="S314" s="1">
        <f t="shared" si="105"/>
        <v>0</v>
      </c>
      <c r="T314" s="1">
        <f t="shared" si="106"/>
        <v>0</v>
      </c>
      <c r="U314" s="1">
        <f t="shared" si="107"/>
        <v>0</v>
      </c>
      <c r="V314" s="1">
        <f t="shared" si="108"/>
        <v>0</v>
      </c>
      <c r="W314" s="1">
        <f t="shared" si="109"/>
        <v>0</v>
      </c>
      <c r="X314" s="1">
        <f t="shared" si="110"/>
        <v>1</v>
      </c>
      <c r="Y314" s="1">
        <f t="shared" si="111"/>
        <v>0</v>
      </c>
      <c r="Z314" s="1">
        <f t="shared" si="112"/>
        <v>0</v>
      </c>
      <c r="AA314" s="1">
        <f t="shared" si="113"/>
        <v>0</v>
      </c>
      <c r="AB314" s="1">
        <f t="shared" si="114"/>
        <v>0</v>
      </c>
      <c r="AD314" s="1">
        <f t="shared" si="115"/>
        <v>0</v>
      </c>
      <c r="AE314" s="1">
        <f t="shared" si="116"/>
        <v>1</v>
      </c>
      <c r="AF314" s="1">
        <f t="shared" si="117"/>
        <v>0</v>
      </c>
      <c r="AG314" s="1">
        <f t="shared" si="118"/>
        <v>1</v>
      </c>
      <c r="AH314" s="1">
        <f t="shared" si="119"/>
        <v>0</v>
      </c>
      <c r="AI314" s="1">
        <f t="shared" si="120"/>
        <v>1</v>
      </c>
    </row>
    <row r="315" spans="1:35" s="1" customFormat="1" ht="14.25" customHeight="1" x14ac:dyDescent="0.25">
      <c r="A315" s="37">
        <v>0</v>
      </c>
      <c r="B315" s="37">
        <v>2</v>
      </c>
      <c r="C315" s="37">
        <v>1</v>
      </c>
      <c r="D315" s="36" t="s">
        <v>896</v>
      </c>
      <c r="E315" s="36" t="s">
        <v>1301</v>
      </c>
      <c r="F315" s="36" t="s">
        <v>770</v>
      </c>
      <c r="G315" s="36" t="s">
        <v>256</v>
      </c>
      <c r="H315" s="36" t="s">
        <v>352</v>
      </c>
      <c r="I315" s="37" t="s">
        <v>922</v>
      </c>
      <c r="J315" s="37">
        <v>99</v>
      </c>
      <c r="K315" s="50" t="s">
        <v>703</v>
      </c>
      <c r="L315" s="33" t="s">
        <v>704</v>
      </c>
      <c r="M315" s="34" t="s">
        <v>705</v>
      </c>
      <c r="N315" s="34" t="s">
        <v>1701</v>
      </c>
      <c r="O315" s="35">
        <v>1</v>
      </c>
      <c r="P315" s="35"/>
      <c r="Q315" s="36"/>
      <c r="S315" s="1">
        <f t="shared" si="105"/>
        <v>0</v>
      </c>
      <c r="T315" s="1">
        <f t="shared" si="106"/>
        <v>0</v>
      </c>
      <c r="U315" s="1">
        <f t="shared" si="107"/>
        <v>0</v>
      </c>
      <c r="V315" s="1">
        <f t="shared" si="108"/>
        <v>0</v>
      </c>
      <c r="W315" s="1">
        <f t="shared" si="109"/>
        <v>0</v>
      </c>
      <c r="X315" s="1">
        <f t="shared" si="110"/>
        <v>0</v>
      </c>
      <c r="Y315" s="1">
        <f t="shared" si="111"/>
        <v>0</v>
      </c>
      <c r="Z315" s="1">
        <f t="shared" si="112"/>
        <v>0</v>
      </c>
      <c r="AA315" s="1">
        <f t="shared" si="113"/>
        <v>0</v>
      </c>
      <c r="AB315" s="1">
        <f t="shared" si="114"/>
        <v>0</v>
      </c>
      <c r="AD315" s="1">
        <f t="shared" si="115"/>
        <v>0</v>
      </c>
      <c r="AE315" s="1">
        <f t="shared" si="116"/>
        <v>1</v>
      </c>
      <c r="AF315" s="1">
        <f t="shared" si="117"/>
        <v>0</v>
      </c>
      <c r="AG315" s="1">
        <f t="shared" si="118"/>
        <v>1</v>
      </c>
      <c r="AH315" s="1">
        <f t="shared" si="119"/>
        <v>0</v>
      </c>
      <c r="AI315" s="1">
        <f t="shared" si="120"/>
        <v>1</v>
      </c>
    </row>
    <row r="316" spans="1:35" s="1" customFormat="1" ht="14.25" customHeight="1" x14ac:dyDescent="0.25">
      <c r="A316" s="37">
        <v>0</v>
      </c>
      <c r="B316" s="37">
        <v>2</v>
      </c>
      <c r="C316" s="37">
        <v>1</v>
      </c>
      <c r="D316" s="36" t="s">
        <v>1723</v>
      </c>
      <c r="E316" s="36" t="s">
        <v>1724</v>
      </c>
      <c r="F316" s="36" t="s">
        <v>1725</v>
      </c>
      <c r="G316" s="36" t="s">
        <v>179</v>
      </c>
      <c r="H316" s="36" t="s">
        <v>352</v>
      </c>
      <c r="I316" s="37" t="s">
        <v>1726</v>
      </c>
      <c r="J316" s="37"/>
      <c r="K316" s="50" t="s">
        <v>694</v>
      </c>
      <c r="L316" s="33">
        <v>4</v>
      </c>
      <c r="M316" s="34" t="s">
        <v>705</v>
      </c>
      <c r="N316" s="34" t="s">
        <v>1696</v>
      </c>
      <c r="O316" s="35">
        <v>1</v>
      </c>
      <c r="P316" s="35"/>
      <c r="Q316" s="36"/>
      <c r="S316" s="1">
        <f t="shared" si="105"/>
        <v>0</v>
      </c>
      <c r="T316" s="1">
        <f t="shared" si="106"/>
        <v>0</v>
      </c>
      <c r="U316" s="1">
        <f t="shared" si="107"/>
        <v>0</v>
      </c>
      <c r="V316" s="1">
        <f t="shared" si="108"/>
        <v>0</v>
      </c>
      <c r="W316" s="1">
        <f t="shared" si="109"/>
        <v>0</v>
      </c>
      <c r="X316" s="1">
        <f t="shared" si="110"/>
        <v>0</v>
      </c>
      <c r="Y316" s="1">
        <f t="shared" si="111"/>
        <v>0</v>
      </c>
      <c r="Z316" s="1">
        <f t="shared" si="112"/>
        <v>0</v>
      </c>
      <c r="AA316" s="1">
        <f t="shared" si="113"/>
        <v>0</v>
      </c>
      <c r="AB316" s="1">
        <f t="shared" si="114"/>
        <v>0</v>
      </c>
      <c r="AD316" s="1">
        <f t="shared" si="115"/>
        <v>0</v>
      </c>
      <c r="AE316" s="1">
        <f t="shared" si="116"/>
        <v>1</v>
      </c>
      <c r="AF316" s="1">
        <f t="shared" si="117"/>
        <v>0</v>
      </c>
      <c r="AG316" s="1">
        <f t="shared" si="118"/>
        <v>1</v>
      </c>
      <c r="AH316" s="1">
        <f t="shared" si="119"/>
        <v>0</v>
      </c>
      <c r="AI316" s="1">
        <f t="shared" si="120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611</v>
      </c>
      <c r="E317" s="32" t="s">
        <v>612</v>
      </c>
      <c r="F317" s="32" t="s">
        <v>613</v>
      </c>
      <c r="G317" s="32" t="s">
        <v>614</v>
      </c>
      <c r="H317" s="32" t="s">
        <v>352</v>
      </c>
      <c r="I317" s="31" t="s">
        <v>615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1708</v>
      </c>
      <c r="O317" s="35">
        <v>1</v>
      </c>
      <c r="P317" s="35"/>
      <c r="Q317" s="32"/>
      <c r="S317" s="1">
        <f t="shared" si="105"/>
        <v>0</v>
      </c>
      <c r="T317" s="1">
        <f t="shared" si="106"/>
        <v>0</v>
      </c>
      <c r="U317" s="1">
        <f t="shared" si="107"/>
        <v>0</v>
      </c>
      <c r="V317" s="1">
        <f t="shared" si="108"/>
        <v>0</v>
      </c>
      <c r="W317" s="1">
        <f t="shared" si="109"/>
        <v>0</v>
      </c>
      <c r="X317" s="1">
        <f t="shared" si="110"/>
        <v>0</v>
      </c>
      <c r="Y317" s="1">
        <f t="shared" si="111"/>
        <v>0</v>
      </c>
      <c r="Z317" s="1">
        <f t="shared" si="112"/>
        <v>0</v>
      </c>
      <c r="AA317" s="1">
        <f t="shared" si="113"/>
        <v>0</v>
      </c>
      <c r="AB317" s="1">
        <f t="shared" si="114"/>
        <v>0</v>
      </c>
      <c r="AD317" s="1">
        <f t="shared" si="115"/>
        <v>0</v>
      </c>
      <c r="AE317" s="1">
        <f t="shared" si="116"/>
        <v>1</v>
      </c>
      <c r="AF317" s="1">
        <f t="shared" si="117"/>
        <v>0</v>
      </c>
      <c r="AG317" s="1">
        <f t="shared" si="118"/>
        <v>1</v>
      </c>
      <c r="AH317" s="1">
        <f t="shared" si="119"/>
        <v>0</v>
      </c>
      <c r="AI317" s="1">
        <f t="shared" si="120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1057</v>
      </c>
      <c r="E318" s="32" t="s">
        <v>1302</v>
      </c>
      <c r="F318" s="32" t="s">
        <v>1624</v>
      </c>
      <c r="G318" s="32" t="s">
        <v>189</v>
      </c>
      <c r="H318" s="32" t="s">
        <v>352</v>
      </c>
      <c r="I318" s="31" t="s">
        <v>1812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1696</v>
      </c>
      <c r="O318" s="35">
        <v>1</v>
      </c>
      <c r="P318" s="35"/>
      <c r="Q318" s="32"/>
      <c r="S318" s="1">
        <f t="shared" si="105"/>
        <v>0</v>
      </c>
      <c r="T318" s="1">
        <f t="shared" si="106"/>
        <v>0</v>
      </c>
      <c r="U318" s="1">
        <f t="shared" si="107"/>
        <v>0</v>
      </c>
      <c r="V318" s="1">
        <f t="shared" si="108"/>
        <v>0</v>
      </c>
      <c r="W318" s="1">
        <f t="shared" si="109"/>
        <v>0</v>
      </c>
      <c r="X318" s="1">
        <f t="shared" si="110"/>
        <v>0</v>
      </c>
      <c r="Y318" s="1">
        <f t="shared" si="111"/>
        <v>0</v>
      </c>
      <c r="Z318" s="1">
        <f t="shared" si="112"/>
        <v>0</v>
      </c>
      <c r="AA318" s="1">
        <f t="shared" si="113"/>
        <v>0</v>
      </c>
      <c r="AB318" s="1">
        <f t="shared" si="114"/>
        <v>0</v>
      </c>
      <c r="AD318" s="1">
        <f t="shared" si="115"/>
        <v>0</v>
      </c>
      <c r="AE318" s="1">
        <f t="shared" si="116"/>
        <v>1</v>
      </c>
      <c r="AF318" s="1">
        <f t="shared" si="117"/>
        <v>0</v>
      </c>
      <c r="AG318" s="1">
        <f t="shared" si="118"/>
        <v>1</v>
      </c>
      <c r="AH318" s="1">
        <f t="shared" si="119"/>
        <v>0</v>
      </c>
      <c r="AI318" s="1">
        <f t="shared" si="120"/>
        <v>1</v>
      </c>
    </row>
    <row r="319" spans="1:35" s="1" customFormat="1" ht="14.25" customHeight="1" x14ac:dyDescent="0.25">
      <c r="A319" s="15">
        <v>0</v>
      </c>
      <c r="B319" s="15">
        <v>2</v>
      </c>
      <c r="C319" s="15">
        <v>1</v>
      </c>
      <c r="D319" s="16" t="s">
        <v>643</v>
      </c>
      <c r="E319" s="16" t="s">
        <v>36</v>
      </c>
      <c r="F319" s="16" t="s">
        <v>659</v>
      </c>
      <c r="G319" s="16" t="s">
        <v>200</v>
      </c>
      <c r="H319" s="16" t="s">
        <v>352</v>
      </c>
      <c r="I319" s="15" t="s">
        <v>982</v>
      </c>
      <c r="J319" s="15">
        <v>99</v>
      </c>
      <c r="K319" s="10" t="s">
        <v>694</v>
      </c>
      <c r="L319" s="10">
        <v>4</v>
      </c>
      <c r="M319" s="19" t="s">
        <v>705</v>
      </c>
      <c r="N319" s="17"/>
      <c r="Q319" s="16"/>
      <c r="S319" s="1">
        <f t="shared" si="105"/>
        <v>0</v>
      </c>
      <c r="T319" s="1">
        <f t="shared" si="106"/>
        <v>0</v>
      </c>
      <c r="U319" s="1">
        <f t="shared" si="107"/>
        <v>0</v>
      </c>
      <c r="V319" s="1">
        <f t="shared" si="108"/>
        <v>0</v>
      </c>
      <c r="W319" s="1">
        <f t="shared" si="109"/>
        <v>0</v>
      </c>
      <c r="X319" s="1">
        <f t="shared" si="110"/>
        <v>0</v>
      </c>
      <c r="Y319" s="1">
        <f t="shared" si="111"/>
        <v>0</v>
      </c>
      <c r="Z319" s="1">
        <f t="shared" si="112"/>
        <v>0</v>
      </c>
      <c r="AA319" s="1">
        <f t="shared" si="113"/>
        <v>0</v>
      </c>
      <c r="AB319" s="1">
        <f t="shared" si="114"/>
        <v>0</v>
      </c>
      <c r="AD319" s="1">
        <f t="shared" si="115"/>
        <v>0</v>
      </c>
      <c r="AE319" s="1">
        <f t="shared" si="116"/>
        <v>0</v>
      </c>
      <c r="AF319" s="1">
        <f t="shared" si="117"/>
        <v>0</v>
      </c>
      <c r="AG319" s="1">
        <f t="shared" si="118"/>
        <v>0</v>
      </c>
      <c r="AH319" s="1">
        <f t="shared" si="119"/>
        <v>0</v>
      </c>
      <c r="AI319" s="1">
        <f t="shared" si="120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1232</v>
      </c>
      <c r="E320" s="32" t="s">
        <v>1233</v>
      </c>
      <c r="F320" s="32" t="s">
        <v>1234</v>
      </c>
      <c r="G320" s="32" t="s">
        <v>1137</v>
      </c>
      <c r="H320" s="32" t="s">
        <v>352</v>
      </c>
      <c r="I320" s="31" t="s">
        <v>1235</v>
      </c>
      <c r="J320" s="31">
        <v>11</v>
      </c>
      <c r="K320" s="33" t="s">
        <v>694</v>
      </c>
      <c r="L320" s="33">
        <v>6</v>
      </c>
      <c r="M320" s="34" t="s">
        <v>1688</v>
      </c>
      <c r="N320" s="34" t="s">
        <v>1800</v>
      </c>
      <c r="O320" s="35">
        <v>1</v>
      </c>
      <c r="P320" s="35"/>
      <c r="Q320" s="32"/>
      <c r="S320" s="1">
        <f t="shared" si="105"/>
        <v>0</v>
      </c>
      <c r="T320" s="1">
        <f t="shared" si="106"/>
        <v>0</v>
      </c>
      <c r="U320" s="1">
        <f t="shared" si="107"/>
        <v>0</v>
      </c>
      <c r="V320" s="1">
        <f t="shared" si="108"/>
        <v>0</v>
      </c>
      <c r="W320" s="1">
        <f t="shared" si="109"/>
        <v>0</v>
      </c>
      <c r="X320" s="1">
        <f t="shared" si="110"/>
        <v>0</v>
      </c>
      <c r="Y320" s="1">
        <f t="shared" si="111"/>
        <v>0</v>
      </c>
      <c r="Z320" s="1">
        <f t="shared" si="112"/>
        <v>0</v>
      </c>
      <c r="AA320" s="1">
        <f t="shared" si="113"/>
        <v>0</v>
      </c>
      <c r="AB320" s="1">
        <f t="shared" si="114"/>
        <v>0</v>
      </c>
      <c r="AD320" s="1">
        <f t="shared" si="115"/>
        <v>0</v>
      </c>
      <c r="AE320" s="1">
        <f t="shared" si="116"/>
        <v>1</v>
      </c>
      <c r="AF320" s="1">
        <f t="shared" si="117"/>
        <v>0</v>
      </c>
      <c r="AG320" s="1">
        <f t="shared" si="118"/>
        <v>1</v>
      </c>
      <c r="AH320" s="1">
        <f t="shared" si="119"/>
        <v>0</v>
      </c>
      <c r="AI320" s="1">
        <f t="shared" si="120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1099</v>
      </c>
      <c r="E321" s="32" t="s">
        <v>1282</v>
      </c>
      <c r="F321" s="32" t="s">
        <v>1097</v>
      </c>
      <c r="G321" s="32" t="s">
        <v>229</v>
      </c>
      <c r="H321" s="32" t="s">
        <v>352</v>
      </c>
      <c r="I321" s="31" t="s">
        <v>1098</v>
      </c>
      <c r="J321" s="31">
        <v>7</v>
      </c>
      <c r="K321" s="33" t="s">
        <v>704</v>
      </c>
      <c r="L321" s="33" t="s">
        <v>1669</v>
      </c>
      <c r="M321" s="34" t="s">
        <v>705</v>
      </c>
      <c r="N321" s="34" t="s">
        <v>1708</v>
      </c>
      <c r="O321" s="35">
        <v>1</v>
      </c>
      <c r="P321" s="35"/>
      <c r="Q321" s="32"/>
      <c r="S321" s="1">
        <f t="shared" si="105"/>
        <v>0</v>
      </c>
      <c r="T321" s="1">
        <f t="shared" si="106"/>
        <v>0</v>
      </c>
      <c r="U321" s="1">
        <f t="shared" si="107"/>
        <v>0</v>
      </c>
      <c r="V321" s="1">
        <f t="shared" si="108"/>
        <v>0</v>
      </c>
      <c r="W321" s="1">
        <f t="shared" si="109"/>
        <v>0</v>
      </c>
      <c r="X321" s="1">
        <f t="shared" si="110"/>
        <v>0</v>
      </c>
      <c r="Y321" s="1">
        <f t="shared" si="111"/>
        <v>1</v>
      </c>
      <c r="Z321" s="1">
        <f t="shared" si="112"/>
        <v>0</v>
      </c>
      <c r="AA321" s="1">
        <f t="shared" si="113"/>
        <v>0</v>
      </c>
      <c r="AB321" s="1">
        <f t="shared" si="114"/>
        <v>0</v>
      </c>
      <c r="AD321" s="1">
        <f t="shared" si="115"/>
        <v>0</v>
      </c>
      <c r="AE321" s="1">
        <f t="shared" si="116"/>
        <v>1</v>
      </c>
      <c r="AF321" s="1">
        <f t="shared" si="117"/>
        <v>0</v>
      </c>
      <c r="AG321" s="1">
        <f t="shared" si="118"/>
        <v>1</v>
      </c>
      <c r="AH321" s="1">
        <f t="shared" si="119"/>
        <v>0</v>
      </c>
      <c r="AI321" s="1">
        <f t="shared" si="120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985</v>
      </c>
      <c r="E322" s="32" t="s">
        <v>1304</v>
      </c>
      <c r="F322" s="32" t="s">
        <v>986</v>
      </c>
      <c r="G322" s="32" t="s">
        <v>1077</v>
      </c>
      <c r="H322" s="32" t="s">
        <v>352</v>
      </c>
      <c r="I322" s="31" t="s">
        <v>406</v>
      </c>
      <c r="J322" s="31">
        <v>99</v>
      </c>
      <c r="K322" s="33" t="s">
        <v>704</v>
      </c>
      <c r="L322" s="33" t="s">
        <v>704</v>
      </c>
      <c r="M322" s="34" t="s">
        <v>705</v>
      </c>
      <c r="N322" s="34" t="s">
        <v>1696</v>
      </c>
      <c r="O322" s="35">
        <v>1</v>
      </c>
      <c r="P322" s="35"/>
      <c r="Q322" s="32"/>
      <c r="S322" s="1">
        <f t="shared" si="105"/>
        <v>0</v>
      </c>
      <c r="T322" s="1">
        <f t="shared" si="106"/>
        <v>0</v>
      </c>
      <c r="U322" s="1">
        <f t="shared" si="107"/>
        <v>0</v>
      </c>
      <c r="V322" s="1">
        <f t="shared" si="108"/>
        <v>0</v>
      </c>
      <c r="W322" s="1">
        <f t="shared" si="109"/>
        <v>0</v>
      </c>
      <c r="X322" s="1">
        <f t="shared" si="110"/>
        <v>0</v>
      </c>
      <c r="Y322" s="1">
        <f t="shared" si="111"/>
        <v>0</v>
      </c>
      <c r="Z322" s="1">
        <f t="shared" si="112"/>
        <v>0</v>
      </c>
      <c r="AA322" s="1">
        <f t="shared" si="113"/>
        <v>0</v>
      </c>
      <c r="AB322" s="1">
        <f t="shared" si="114"/>
        <v>0</v>
      </c>
      <c r="AD322" s="1">
        <f t="shared" si="115"/>
        <v>0</v>
      </c>
      <c r="AE322" s="1">
        <f t="shared" si="116"/>
        <v>1</v>
      </c>
      <c r="AF322" s="1">
        <f t="shared" si="117"/>
        <v>0</v>
      </c>
      <c r="AG322" s="1">
        <f t="shared" si="118"/>
        <v>1</v>
      </c>
      <c r="AH322" s="1">
        <f t="shared" si="119"/>
        <v>0</v>
      </c>
      <c r="AI322" s="1">
        <f t="shared" si="120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1106</v>
      </c>
      <c r="E323" s="32" t="s">
        <v>555</v>
      </c>
      <c r="F323" s="32" t="s">
        <v>1321</v>
      </c>
      <c r="G323" s="32" t="s">
        <v>264</v>
      </c>
      <c r="H323" s="32" t="s">
        <v>352</v>
      </c>
      <c r="I323" s="31" t="s">
        <v>1107</v>
      </c>
      <c r="J323" s="31">
        <v>8</v>
      </c>
      <c r="K323" s="33" t="s">
        <v>703</v>
      </c>
      <c r="L323" s="33" t="s">
        <v>1669</v>
      </c>
      <c r="M323" s="34" t="s">
        <v>705</v>
      </c>
      <c r="N323" s="34" t="s">
        <v>1700</v>
      </c>
      <c r="O323" s="35">
        <v>1</v>
      </c>
      <c r="P323" s="35"/>
      <c r="Q323" s="32"/>
      <c r="S323" s="1">
        <f t="shared" si="105"/>
        <v>0</v>
      </c>
      <c r="T323" s="1">
        <f t="shared" si="106"/>
        <v>0</v>
      </c>
      <c r="U323" s="1">
        <f t="shared" si="107"/>
        <v>0</v>
      </c>
      <c r="V323" s="1">
        <f t="shared" si="108"/>
        <v>0</v>
      </c>
      <c r="W323" s="1">
        <f t="shared" si="109"/>
        <v>0</v>
      </c>
      <c r="X323" s="1">
        <f t="shared" si="110"/>
        <v>0</v>
      </c>
      <c r="Y323" s="1">
        <f t="shared" si="111"/>
        <v>0</v>
      </c>
      <c r="Z323" s="1">
        <f t="shared" si="112"/>
        <v>1</v>
      </c>
      <c r="AA323" s="1">
        <f t="shared" si="113"/>
        <v>0</v>
      </c>
      <c r="AB323" s="1">
        <f t="shared" si="114"/>
        <v>0</v>
      </c>
      <c r="AD323" s="1">
        <f t="shared" si="115"/>
        <v>0</v>
      </c>
      <c r="AE323" s="1">
        <f t="shared" si="116"/>
        <v>1</v>
      </c>
      <c r="AF323" s="1">
        <f t="shared" si="117"/>
        <v>0</v>
      </c>
      <c r="AG323" s="1">
        <f t="shared" si="118"/>
        <v>1</v>
      </c>
      <c r="AH323" s="1">
        <f t="shared" si="119"/>
        <v>0</v>
      </c>
      <c r="AI323" s="1">
        <f t="shared" si="120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1254</v>
      </c>
      <c r="E324" s="32" t="s">
        <v>1302</v>
      </c>
      <c r="F324" s="32" t="s">
        <v>1251</v>
      </c>
      <c r="G324" s="32" t="s">
        <v>1252</v>
      </c>
      <c r="H324" s="32" t="s">
        <v>352</v>
      </c>
      <c r="I324" s="31" t="s">
        <v>1253</v>
      </c>
      <c r="J324" s="31">
        <v>1</v>
      </c>
      <c r="K324" s="33" t="s">
        <v>703</v>
      </c>
      <c r="L324" s="33" t="s">
        <v>704</v>
      </c>
      <c r="M324" s="34" t="s">
        <v>705</v>
      </c>
      <c r="N324" s="34" t="s">
        <v>1713</v>
      </c>
      <c r="O324" s="35">
        <v>1</v>
      </c>
      <c r="P324" s="35"/>
      <c r="Q324" s="32" t="s">
        <v>1852</v>
      </c>
      <c r="S324" s="1">
        <f t="shared" si="105"/>
        <v>1</v>
      </c>
      <c r="T324" s="1">
        <f t="shared" si="106"/>
        <v>0</v>
      </c>
      <c r="U324" s="1">
        <f t="shared" si="107"/>
        <v>0</v>
      </c>
      <c r="V324" s="1">
        <f t="shared" si="108"/>
        <v>0</v>
      </c>
      <c r="W324" s="1">
        <f t="shared" si="109"/>
        <v>0</v>
      </c>
      <c r="X324" s="1">
        <f t="shared" si="110"/>
        <v>0</v>
      </c>
      <c r="Y324" s="1">
        <f t="shared" si="111"/>
        <v>0</v>
      </c>
      <c r="Z324" s="1">
        <f t="shared" si="112"/>
        <v>0</v>
      </c>
      <c r="AA324" s="1">
        <f t="shared" si="113"/>
        <v>0</v>
      </c>
      <c r="AB324" s="1">
        <f t="shared" si="114"/>
        <v>0</v>
      </c>
      <c r="AD324" s="1">
        <f t="shared" ref="AD324:AD329" si="121">+O324*P324</f>
        <v>0</v>
      </c>
      <c r="AE324" s="1">
        <f t="shared" ref="AE324:AE329" si="122">O324*(1-P324)</f>
        <v>1</v>
      </c>
      <c r="AF324" s="1">
        <f t="shared" ref="AF324:AF329" si="123">+O324*P324*(1-A324)</f>
        <v>0</v>
      </c>
      <c r="AG324" s="1">
        <f t="shared" ref="AG324:AG329" si="124">O324*(1-P324)*(1-A324)</f>
        <v>1</v>
      </c>
      <c r="AH324" s="1">
        <f t="shared" ref="AH324:AH329" si="125">+P324*(1-A324)</f>
        <v>0</v>
      </c>
      <c r="AI324" s="1">
        <f t="shared" ref="AI324:AI329" si="126">+(1-A324)*(1-P324)</f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52</v>
      </c>
      <c r="E325" s="32" t="s">
        <v>32</v>
      </c>
      <c r="F325" s="32" t="s">
        <v>205</v>
      </c>
      <c r="G325" s="32" t="s">
        <v>206</v>
      </c>
      <c r="H325" s="32" t="s">
        <v>352</v>
      </c>
      <c r="I325" s="31" t="s">
        <v>389</v>
      </c>
      <c r="J325" s="31">
        <v>99</v>
      </c>
      <c r="K325" s="33" t="s">
        <v>703</v>
      </c>
      <c r="L325" s="33" t="s">
        <v>704</v>
      </c>
      <c r="M325" s="34" t="s">
        <v>705</v>
      </c>
      <c r="N325" s="34" t="s">
        <v>1693</v>
      </c>
      <c r="O325" s="35">
        <v>1</v>
      </c>
      <c r="P325" s="35">
        <v>1</v>
      </c>
      <c r="Q325" s="32"/>
      <c r="S325" s="1">
        <f t="shared" si="105"/>
        <v>0</v>
      </c>
      <c r="T325" s="1">
        <f t="shared" si="106"/>
        <v>0</v>
      </c>
      <c r="U325" s="1">
        <f t="shared" si="107"/>
        <v>0</v>
      </c>
      <c r="V325" s="1">
        <f t="shared" si="108"/>
        <v>0</v>
      </c>
      <c r="W325" s="1">
        <f t="shared" si="109"/>
        <v>0</v>
      </c>
      <c r="X325" s="1">
        <f t="shared" si="110"/>
        <v>0</v>
      </c>
      <c r="Y325" s="1">
        <f t="shared" si="111"/>
        <v>0</v>
      </c>
      <c r="Z325" s="1">
        <f t="shared" si="112"/>
        <v>0</v>
      </c>
      <c r="AA325" s="1">
        <f t="shared" si="113"/>
        <v>0</v>
      </c>
      <c r="AB325" s="1">
        <f t="shared" si="114"/>
        <v>0</v>
      </c>
      <c r="AD325" s="1">
        <f t="shared" si="121"/>
        <v>1</v>
      </c>
      <c r="AE325" s="1">
        <f t="shared" si="122"/>
        <v>0</v>
      </c>
      <c r="AF325" s="1">
        <f t="shared" si="123"/>
        <v>1</v>
      </c>
      <c r="AG325" s="1">
        <f t="shared" si="124"/>
        <v>0</v>
      </c>
      <c r="AH325" s="1">
        <f t="shared" si="125"/>
        <v>1</v>
      </c>
      <c r="AI325" s="1">
        <f t="shared" si="126"/>
        <v>0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6" t="s">
        <v>2152</v>
      </c>
      <c r="E326" s="36" t="s">
        <v>555</v>
      </c>
      <c r="F326" s="36" t="s">
        <v>2148</v>
      </c>
      <c r="G326" s="36" t="s">
        <v>531</v>
      </c>
      <c r="H326" s="36" t="s">
        <v>352</v>
      </c>
      <c r="I326" s="37" t="s">
        <v>2149</v>
      </c>
      <c r="J326" s="31">
        <v>6</v>
      </c>
      <c r="K326" s="33" t="s">
        <v>694</v>
      </c>
      <c r="L326" s="33"/>
      <c r="M326" s="34"/>
      <c r="N326" s="34" t="s">
        <v>1693</v>
      </c>
      <c r="O326" s="35">
        <v>1</v>
      </c>
      <c r="P326" s="35">
        <v>1</v>
      </c>
      <c r="Q326" s="32" t="s">
        <v>2150</v>
      </c>
      <c r="S326" s="1">
        <f t="shared" si="105"/>
        <v>0</v>
      </c>
      <c r="T326" s="1">
        <f t="shared" si="106"/>
        <v>0</v>
      </c>
      <c r="U326" s="1">
        <f t="shared" si="107"/>
        <v>0</v>
      </c>
      <c r="V326" s="1">
        <f t="shared" si="108"/>
        <v>0</v>
      </c>
      <c r="W326" s="1">
        <f t="shared" si="109"/>
        <v>0</v>
      </c>
      <c r="X326" s="1">
        <f t="shared" si="110"/>
        <v>1</v>
      </c>
      <c r="Y326" s="1">
        <f t="shared" si="111"/>
        <v>0</v>
      </c>
      <c r="Z326" s="1">
        <f t="shared" si="112"/>
        <v>0</v>
      </c>
      <c r="AA326" s="1">
        <f t="shared" si="113"/>
        <v>0</v>
      </c>
      <c r="AB326" s="1">
        <f t="shared" si="114"/>
        <v>0</v>
      </c>
      <c r="AD326" s="1">
        <f t="shared" si="121"/>
        <v>1</v>
      </c>
      <c r="AE326" s="1">
        <f t="shared" si="122"/>
        <v>0</v>
      </c>
      <c r="AF326" s="1">
        <f t="shared" si="123"/>
        <v>1</v>
      </c>
      <c r="AG326" s="1">
        <f t="shared" si="124"/>
        <v>0</v>
      </c>
      <c r="AH326" s="1">
        <f t="shared" si="125"/>
        <v>1</v>
      </c>
      <c r="AI326" s="1">
        <f t="shared" si="126"/>
        <v>0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73</v>
      </c>
      <c r="E327" s="32" t="s">
        <v>555</v>
      </c>
      <c r="F327" s="32" t="s">
        <v>1027</v>
      </c>
      <c r="G327" s="32" t="s">
        <v>189</v>
      </c>
      <c r="H327" s="32" t="s">
        <v>352</v>
      </c>
      <c r="I327" s="31" t="s">
        <v>419</v>
      </c>
      <c r="J327" s="31">
        <v>99</v>
      </c>
      <c r="K327" s="33" t="s">
        <v>931</v>
      </c>
      <c r="L327" s="33" t="s">
        <v>704</v>
      </c>
      <c r="M327" s="34" t="s">
        <v>705</v>
      </c>
      <c r="N327" s="34" t="s">
        <v>1696</v>
      </c>
      <c r="O327" s="35">
        <v>1</v>
      </c>
      <c r="P327" s="35"/>
      <c r="Q327" s="32"/>
      <c r="S327" s="1">
        <f t="shared" si="105"/>
        <v>0</v>
      </c>
      <c r="T327" s="1">
        <f t="shared" si="106"/>
        <v>0</v>
      </c>
      <c r="U327" s="1">
        <f t="shared" si="107"/>
        <v>0</v>
      </c>
      <c r="V327" s="1">
        <f t="shared" si="108"/>
        <v>0</v>
      </c>
      <c r="W327" s="1">
        <f t="shared" si="109"/>
        <v>0</v>
      </c>
      <c r="X327" s="1">
        <f t="shared" si="110"/>
        <v>0</v>
      </c>
      <c r="Y327" s="1">
        <f t="shared" si="111"/>
        <v>0</v>
      </c>
      <c r="Z327" s="1">
        <f t="shared" si="112"/>
        <v>0</v>
      </c>
      <c r="AA327" s="1">
        <f t="shared" si="113"/>
        <v>0</v>
      </c>
      <c r="AB327" s="1">
        <f t="shared" si="114"/>
        <v>0</v>
      </c>
      <c r="AD327" s="1">
        <f t="shared" si="121"/>
        <v>0</v>
      </c>
      <c r="AE327" s="1">
        <f t="shared" si="122"/>
        <v>1</v>
      </c>
      <c r="AF327" s="1">
        <f t="shared" si="123"/>
        <v>0</v>
      </c>
      <c r="AG327" s="1">
        <f t="shared" si="124"/>
        <v>1</v>
      </c>
      <c r="AH327" s="1">
        <f t="shared" si="125"/>
        <v>0</v>
      </c>
      <c r="AI327" s="1">
        <f t="shared" si="126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47</v>
      </c>
      <c r="E328" s="32" t="s">
        <v>32</v>
      </c>
      <c r="F328" s="32" t="s">
        <v>186</v>
      </c>
      <c r="G328" s="32" t="s">
        <v>179</v>
      </c>
      <c r="H328" s="32" t="s">
        <v>352</v>
      </c>
      <c r="I328" s="31" t="s">
        <v>381</v>
      </c>
      <c r="J328" s="31">
        <v>10</v>
      </c>
      <c r="K328" s="33" t="s">
        <v>932</v>
      </c>
      <c r="L328" s="33" t="s">
        <v>704</v>
      </c>
      <c r="M328" s="34" t="s">
        <v>705</v>
      </c>
      <c r="N328" s="34" t="s">
        <v>1696</v>
      </c>
      <c r="O328" s="35">
        <v>1</v>
      </c>
      <c r="P328" s="35"/>
      <c r="Q328" s="32"/>
      <c r="S328" s="1">
        <f t="shared" si="105"/>
        <v>0</v>
      </c>
      <c r="T328" s="1">
        <f t="shared" si="106"/>
        <v>0</v>
      </c>
      <c r="U328" s="1">
        <f t="shared" si="107"/>
        <v>0</v>
      </c>
      <c r="V328" s="1">
        <f t="shared" si="108"/>
        <v>0</v>
      </c>
      <c r="W328" s="1">
        <f t="shared" si="109"/>
        <v>0</v>
      </c>
      <c r="X328" s="1">
        <f t="shared" si="110"/>
        <v>0</v>
      </c>
      <c r="Y328" s="1">
        <f t="shared" si="111"/>
        <v>0</v>
      </c>
      <c r="Z328" s="1">
        <f t="shared" si="112"/>
        <v>0</v>
      </c>
      <c r="AA328" s="1">
        <f t="shared" si="113"/>
        <v>0</v>
      </c>
      <c r="AB328" s="1">
        <f t="shared" si="114"/>
        <v>1</v>
      </c>
      <c r="AD328" s="1">
        <f t="shared" si="121"/>
        <v>0</v>
      </c>
      <c r="AE328" s="1">
        <f t="shared" si="122"/>
        <v>1</v>
      </c>
      <c r="AF328" s="1">
        <f t="shared" si="123"/>
        <v>0</v>
      </c>
      <c r="AG328" s="1">
        <f t="shared" si="124"/>
        <v>1</v>
      </c>
      <c r="AH328" s="1">
        <f t="shared" si="125"/>
        <v>0</v>
      </c>
      <c r="AI328" s="1">
        <f t="shared" si="126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644</v>
      </c>
      <c r="E329" s="32" t="s">
        <v>159</v>
      </c>
      <c r="F329" s="32" t="s">
        <v>187</v>
      </c>
      <c r="G329" s="32" t="s">
        <v>660</v>
      </c>
      <c r="H329" s="32" t="s">
        <v>352</v>
      </c>
      <c r="I329" s="31" t="s">
        <v>382</v>
      </c>
      <c r="J329" s="31">
        <v>99</v>
      </c>
      <c r="K329" s="33" t="s">
        <v>703</v>
      </c>
      <c r="L329" s="33" t="s">
        <v>704</v>
      </c>
      <c r="M329" s="34" t="s">
        <v>705</v>
      </c>
      <c r="N329" s="34" t="s">
        <v>1708</v>
      </c>
      <c r="O329" s="35">
        <v>1</v>
      </c>
      <c r="P329" s="35"/>
      <c r="Q329" s="32"/>
      <c r="S329" s="1">
        <f t="shared" si="105"/>
        <v>0</v>
      </c>
      <c r="T329" s="1">
        <f t="shared" si="106"/>
        <v>0</v>
      </c>
      <c r="U329" s="1">
        <f t="shared" si="107"/>
        <v>0</v>
      </c>
      <c r="V329" s="1">
        <f t="shared" si="108"/>
        <v>0</v>
      </c>
      <c r="W329" s="1">
        <f t="shared" si="109"/>
        <v>0</v>
      </c>
      <c r="X329" s="1">
        <f t="shared" si="110"/>
        <v>0</v>
      </c>
      <c r="Y329" s="1">
        <f t="shared" si="111"/>
        <v>0</v>
      </c>
      <c r="Z329" s="1">
        <f t="shared" si="112"/>
        <v>0</v>
      </c>
      <c r="AA329" s="1">
        <f t="shared" si="113"/>
        <v>0</v>
      </c>
      <c r="AB329" s="1">
        <f t="shared" si="114"/>
        <v>0</v>
      </c>
      <c r="AD329" s="1">
        <f t="shared" si="121"/>
        <v>0</v>
      </c>
      <c r="AE329" s="1">
        <f t="shared" si="122"/>
        <v>1</v>
      </c>
      <c r="AF329" s="1">
        <f t="shared" si="123"/>
        <v>0</v>
      </c>
      <c r="AG329" s="1">
        <f t="shared" si="124"/>
        <v>1</v>
      </c>
      <c r="AH329" s="1">
        <f t="shared" si="125"/>
        <v>0</v>
      </c>
      <c r="AI329" s="1">
        <f t="shared" si="126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1272</v>
      </c>
      <c r="E330" s="32" t="s">
        <v>36</v>
      </c>
      <c r="F330" s="32" t="s">
        <v>1273</v>
      </c>
      <c r="G330" s="32" t="s">
        <v>257</v>
      </c>
      <c r="H330" s="32" t="s">
        <v>352</v>
      </c>
      <c r="I330" s="31" t="s">
        <v>1274</v>
      </c>
      <c r="J330" s="31">
        <v>8</v>
      </c>
      <c r="K330" s="33" t="s">
        <v>936</v>
      </c>
      <c r="L330" s="33" t="s">
        <v>704</v>
      </c>
      <c r="M330" s="34" t="s">
        <v>705</v>
      </c>
      <c r="N330" s="34" t="s">
        <v>1693</v>
      </c>
      <c r="O330" s="35">
        <v>1</v>
      </c>
      <c r="P330" s="35">
        <v>1</v>
      </c>
      <c r="Q330" s="32"/>
      <c r="S330" s="1">
        <f t="shared" si="105"/>
        <v>0</v>
      </c>
      <c r="T330" s="1">
        <f t="shared" si="106"/>
        <v>0</v>
      </c>
      <c r="U330" s="1">
        <f t="shared" si="107"/>
        <v>0</v>
      </c>
      <c r="V330" s="1">
        <f t="shared" si="108"/>
        <v>0</v>
      </c>
      <c r="W330" s="1">
        <f t="shared" si="109"/>
        <v>0</v>
      </c>
      <c r="X330" s="1">
        <f t="shared" si="110"/>
        <v>0</v>
      </c>
      <c r="Y330" s="1">
        <f t="shared" si="111"/>
        <v>0</v>
      </c>
      <c r="Z330" s="1">
        <f t="shared" si="112"/>
        <v>1</v>
      </c>
      <c r="AA330" s="1">
        <f t="shared" si="113"/>
        <v>0</v>
      </c>
      <c r="AB330" s="1">
        <f t="shared" si="114"/>
        <v>0</v>
      </c>
      <c r="AD330" s="1">
        <f t="shared" si="115"/>
        <v>1</v>
      </c>
      <c r="AE330" s="1">
        <f t="shared" si="116"/>
        <v>0</v>
      </c>
      <c r="AF330" s="1">
        <f t="shared" si="117"/>
        <v>1</v>
      </c>
      <c r="AG330" s="1">
        <f t="shared" si="118"/>
        <v>0</v>
      </c>
      <c r="AH330" s="1">
        <f t="shared" si="119"/>
        <v>1</v>
      </c>
      <c r="AI330" s="1">
        <f t="shared" si="120"/>
        <v>0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54</v>
      </c>
      <c r="E331" s="32" t="s">
        <v>555</v>
      </c>
      <c r="F331" s="32" t="s">
        <v>211</v>
      </c>
      <c r="G331" s="32" t="s">
        <v>212</v>
      </c>
      <c r="H331" s="32" t="s">
        <v>352</v>
      </c>
      <c r="I331" s="31" t="s">
        <v>391</v>
      </c>
      <c r="J331" s="31">
        <v>1</v>
      </c>
      <c r="K331" s="33" t="s">
        <v>932</v>
      </c>
      <c r="L331" s="33" t="s">
        <v>704</v>
      </c>
      <c r="M331" s="34" t="s">
        <v>39</v>
      </c>
      <c r="N331" s="34" t="s">
        <v>1696</v>
      </c>
      <c r="O331" s="35">
        <v>1</v>
      </c>
      <c r="P331" s="35"/>
      <c r="Q331" s="32"/>
      <c r="S331" s="1">
        <f t="shared" si="105"/>
        <v>1</v>
      </c>
      <c r="T331" s="1">
        <f t="shared" si="106"/>
        <v>0</v>
      </c>
      <c r="U331" s="1">
        <f t="shared" si="107"/>
        <v>0</v>
      </c>
      <c r="V331" s="1">
        <f t="shared" si="108"/>
        <v>0</v>
      </c>
      <c r="W331" s="1">
        <f t="shared" si="109"/>
        <v>0</v>
      </c>
      <c r="X331" s="1">
        <f t="shared" si="110"/>
        <v>0</v>
      </c>
      <c r="Y331" s="1">
        <f t="shared" si="111"/>
        <v>0</v>
      </c>
      <c r="Z331" s="1">
        <f t="shared" si="112"/>
        <v>0</v>
      </c>
      <c r="AA331" s="1">
        <f t="shared" si="113"/>
        <v>0</v>
      </c>
      <c r="AB331" s="1">
        <f t="shared" si="114"/>
        <v>0</v>
      </c>
      <c r="AD331" s="1">
        <f t="shared" si="115"/>
        <v>0</v>
      </c>
      <c r="AE331" s="1">
        <f t="shared" si="116"/>
        <v>1</v>
      </c>
      <c r="AF331" s="1">
        <f t="shared" si="117"/>
        <v>0</v>
      </c>
      <c r="AG331" s="1">
        <f t="shared" si="118"/>
        <v>1</v>
      </c>
      <c r="AH331" s="1">
        <f t="shared" si="119"/>
        <v>0</v>
      </c>
      <c r="AI331" s="1">
        <f t="shared" si="120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1</v>
      </c>
      <c r="D332" s="32" t="s">
        <v>61</v>
      </c>
      <c r="E332" s="32" t="s">
        <v>539</v>
      </c>
      <c r="F332" s="32" t="s">
        <v>232</v>
      </c>
      <c r="G332" s="32" t="s">
        <v>203</v>
      </c>
      <c r="H332" s="32" t="s">
        <v>352</v>
      </c>
      <c r="I332" s="31" t="s">
        <v>399</v>
      </c>
      <c r="J332" s="31">
        <v>7</v>
      </c>
      <c r="K332" s="33" t="s">
        <v>703</v>
      </c>
      <c r="L332" s="33" t="s">
        <v>704</v>
      </c>
      <c r="M332" s="34" t="s">
        <v>705</v>
      </c>
      <c r="N332" s="34" t="s">
        <v>1713</v>
      </c>
      <c r="O332" s="35">
        <v>1</v>
      </c>
      <c r="P332" s="35"/>
      <c r="Q332" s="32"/>
      <c r="S332" s="1">
        <f t="shared" si="105"/>
        <v>0</v>
      </c>
      <c r="T332" s="1">
        <f t="shared" si="106"/>
        <v>0</v>
      </c>
      <c r="U332" s="1">
        <f t="shared" si="107"/>
        <v>0</v>
      </c>
      <c r="V332" s="1">
        <f t="shared" si="108"/>
        <v>0</v>
      </c>
      <c r="W332" s="1">
        <f t="shared" si="109"/>
        <v>0</v>
      </c>
      <c r="X332" s="1">
        <f t="shared" si="110"/>
        <v>0</v>
      </c>
      <c r="Y332" s="1">
        <f t="shared" si="111"/>
        <v>1</v>
      </c>
      <c r="Z332" s="1">
        <f t="shared" si="112"/>
        <v>0</v>
      </c>
      <c r="AA332" s="1">
        <f t="shared" si="113"/>
        <v>0</v>
      </c>
      <c r="AB332" s="1">
        <f t="shared" si="114"/>
        <v>0</v>
      </c>
      <c r="AD332" s="1">
        <f t="shared" si="115"/>
        <v>0</v>
      </c>
      <c r="AE332" s="1">
        <f t="shared" si="116"/>
        <v>1</v>
      </c>
      <c r="AF332" s="1">
        <f t="shared" si="117"/>
        <v>0</v>
      </c>
      <c r="AG332" s="1">
        <f t="shared" si="118"/>
        <v>1</v>
      </c>
      <c r="AH332" s="1">
        <f t="shared" si="119"/>
        <v>0</v>
      </c>
      <c r="AI332" s="1">
        <f t="shared" si="120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1</v>
      </c>
      <c r="D333" s="32" t="s">
        <v>1608</v>
      </c>
      <c r="E333" s="32" t="s">
        <v>555</v>
      </c>
      <c r="F333" s="32" t="s">
        <v>1324</v>
      </c>
      <c r="G333" s="32" t="s">
        <v>1252</v>
      </c>
      <c r="H333" s="32" t="s">
        <v>352</v>
      </c>
      <c r="I333" s="31" t="s">
        <v>1139</v>
      </c>
      <c r="J333" s="31">
        <v>99</v>
      </c>
      <c r="K333" s="33" t="s">
        <v>703</v>
      </c>
      <c r="L333" s="33" t="s">
        <v>704</v>
      </c>
      <c r="M333" s="34" t="s">
        <v>705</v>
      </c>
      <c r="N333" s="34" t="s">
        <v>1700</v>
      </c>
      <c r="O333" s="35">
        <v>1</v>
      </c>
      <c r="P333" s="35"/>
      <c r="Q333" s="32" t="s">
        <v>1851</v>
      </c>
      <c r="S333" s="1">
        <f t="shared" si="105"/>
        <v>0</v>
      </c>
      <c r="T333" s="1">
        <f t="shared" si="106"/>
        <v>0</v>
      </c>
      <c r="U333" s="1">
        <f t="shared" si="107"/>
        <v>0</v>
      </c>
      <c r="V333" s="1">
        <f t="shared" si="108"/>
        <v>0</v>
      </c>
      <c r="W333" s="1">
        <f t="shared" si="109"/>
        <v>0</v>
      </c>
      <c r="X333" s="1">
        <f t="shared" si="110"/>
        <v>0</v>
      </c>
      <c r="Y333" s="1">
        <f t="shared" si="111"/>
        <v>0</v>
      </c>
      <c r="Z333" s="1">
        <f t="shared" si="112"/>
        <v>0</v>
      </c>
      <c r="AA333" s="1">
        <f t="shared" si="113"/>
        <v>0</v>
      </c>
      <c r="AB333" s="1">
        <f t="shared" si="114"/>
        <v>0</v>
      </c>
      <c r="AD333" s="1">
        <f t="shared" si="115"/>
        <v>0</v>
      </c>
      <c r="AE333" s="1">
        <f t="shared" si="116"/>
        <v>1</v>
      </c>
      <c r="AF333" s="1">
        <f t="shared" si="117"/>
        <v>0</v>
      </c>
      <c r="AG333" s="1">
        <f t="shared" si="118"/>
        <v>1</v>
      </c>
      <c r="AH333" s="1">
        <f t="shared" si="119"/>
        <v>0</v>
      </c>
      <c r="AI333" s="1">
        <f t="shared" si="120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1</v>
      </c>
      <c r="D334" s="32" t="s">
        <v>1734</v>
      </c>
      <c r="E334" s="32" t="s">
        <v>1735</v>
      </c>
      <c r="F334" s="32" t="s">
        <v>1736</v>
      </c>
      <c r="G334" s="32" t="s">
        <v>1737</v>
      </c>
      <c r="H334" s="32" t="s">
        <v>352</v>
      </c>
      <c r="I334" s="31"/>
      <c r="J334" s="31">
        <v>1</v>
      </c>
      <c r="K334" s="33" t="s">
        <v>694</v>
      </c>
      <c r="L334" s="33"/>
      <c r="M334" s="34"/>
      <c r="N334" s="34" t="s">
        <v>1696</v>
      </c>
      <c r="O334" s="35">
        <v>1</v>
      </c>
      <c r="P334" s="35"/>
      <c r="Q334" s="32" t="s">
        <v>1859</v>
      </c>
      <c r="S334" s="1">
        <f t="shared" si="105"/>
        <v>1</v>
      </c>
      <c r="T334" s="1">
        <f t="shared" si="106"/>
        <v>0</v>
      </c>
      <c r="U334" s="1">
        <f t="shared" si="107"/>
        <v>0</v>
      </c>
      <c r="V334" s="1">
        <f t="shared" si="108"/>
        <v>0</v>
      </c>
      <c r="W334" s="1">
        <f t="shared" si="109"/>
        <v>0</v>
      </c>
      <c r="X334" s="1">
        <f t="shared" si="110"/>
        <v>0</v>
      </c>
      <c r="Y334" s="1">
        <f t="shared" si="111"/>
        <v>0</v>
      </c>
      <c r="Z334" s="1">
        <f t="shared" si="112"/>
        <v>0</v>
      </c>
      <c r="AA334" s="1">
        <f t="shared" si="113"/>
        <v>0</v>
      </c>
      <c r="AB334" s="1">
        <f t="shared" si="114"/>
        <v>0</v>
      </c>
      <c r="AD334" s="1">
        <f t="shared" si="115"/>
        <v>0</v>
      </c>
      <c r="AE334" s="1">
        <f t="shared" si="116"/>
        <v>1</v>
      </c>
      <c r="AF334" s="1">
        <f t="shared" si="117"/>
        <v>0</v>
      </c>
      <c r="AG334" s="1">
        <f t="shared" si="118"/>
        <v>1</v>
      </c>
      <c r="AH334" s="1">
        <f t="shared" si="119"/>
        <v>0</v>
      </c>
      <c r="AI334" s="1">
        <f t="shared" si="120"/>
        <v>1</v>
      </c>
    </row>
    <row r="335" spans="1:35" s="1" customFormat="1" ht="14.25" customHeight="1" x14ac:dyDescent="0.25">
      <c r="A335" s="62">
        <v>0</v>
      </c>
      <c r="B335" s="62">
        <v>2</v>
      </c>
      <c r="C335" s="62">
        <v>1</v>
      </c>
      <c r="D335" s="63" t="s">
        <v>1286</v>
      </c>
      <c r="E335" s="63" t="s">
        <v>1306</v>
      </c>
      <c r="F335" s="63" t="s">
        <v>1269</v>
      </c>
      <c r="G335" s="63" t="s">
        <v>1270</v>
      </c>
      <c r="H335" s="63" t="s">
        <v>352</v>
      </c>
      <c r="I335" s="62" t="s">
        <v>1271</v>
      </c>
      <c r="J335" s="62">
        <v>99</v>
      </c>
      <c r="K335" s="64" t="s">
        <v>932</v>
      </c>
      <c r="L335" s="64" t="s">
        <v>704</v>
      </c>
      <c r="M335" s="65" t="s">
        <v>705</v>
      </c>
      <c r="N335" s="65" t="s">
        <v>1869</v>
      </c>
      <c r="O335" s="66">
        <v>1</v>
      </c>
      <c r="P335" s="66"/>
      <c r="Q335" s="63"/>
      <c r="S335" s="1">
        <f t="shared" si="105"/>
        <v>0</v>
      </c>
      <c r="T335" s="1">
        <f t="shared" si="106"/>
        <v>0</v>
      </c>
      <c r="U335" s="1">
        <f t="shared" si="107"/>
        <v>0</v>
      </c>
      <c r="V335" s="1">
        <f t="shared" si="108"/>
        <v>0</v>
      </c>
      <c r="W335" s="1">
        <f t="shared" si="109"/>
        <v>0</v>
      </c>
      <c r="X335" s="1">
        <f t="shared" si="110"/>
        <v>0</v>
      </c>
      <c r="Y335" s="1">
        <f t="shared" si="111"/>
        <v>0</v>
      </c>
      <c r="Z335" s="1">
        <f t="shared" si="112"/>
        <v>0</v>
      </c>
      <c r="AA335" s="1">
        <f t="shared" si="113"/>
        <v>0</v>
      </c>
      <c r="AB335" s="1">
        <f t="shared" si="114"/>
        <v>0</v>
      </c>
      <c r="AD335" s="1">
        <f t="shared" si="115"/>
        <v>0</v>
      </c>
      <c r="AE335" s="1">
        <f t="shared" si="116"/>
        <v>1</v>
      </c>
      <c r="AF335" s="1">
        <f t="shared" si="117"/>
        <v>0</v>
      </c>
      <c r="AG335" s="1">
        <f t="shared" si="118"/>
        <v>1</v>
      </c>
      <c r="AH335" s="1">
        <f t="shared" si="119"/>
        <v>0</v>
      </c>
      <c r="AI335" s="1">
        <f t="shared" si="120"/>
        <v>1</v>
      </c>
    </row>
    <row r="336" spans="1:35" s="1" customFormat="1" ht="14.25" customHeight="1" x14ac:dyDescent="0.25">
      <c r="A336" s="15">
        <v>0</v>
      </c>
      <c r="B336" s="15">
        <v>2</v>
      </c>
      <c r="C336" s="15">
        <v>1</v>
      </c>
      <c r="D336" s="16" t="s">
        <v>1281</v>
      </c>
      <c r="E336" s="16" t="s">
        <v>159</v>
      </c>
      <c r="F336" s="16" t="s">
        <v>1283</v>
      </c>
      <c r="G336" s="16" t="s">
        <v>1284</v>
      </c>
      <c r="H336" s="16" t="s">
        <v>352</v>
      </c>
      <c r="I336" s="15" t="s">
        <v>1285</v>
      </c>
      <c r="J336" s="15">
        <v>8</v>
      </c>
      <c r="K336" s="10" t="s">
        <v>704</v>
      </c>
      <c r="L336" s="10" t="s">
        <v>704</v>
      </c>
      <c r="M336" s="19" t="s">
        <v>705</v>
      </c>
      <c r="N336" s="19"/>
      <c r="Q336" s="16"/>
      <c r="S336" s="1">
        <f t="shared" si="105"/>
        <v>0</v>
      </c>
      <c r="T336" s="1">
        <f t="shared" si="106"/>
        <v>0</v>
      </c>
      <c r="U336" s="1">
        <f t="shared" si="107"/>
        <v>0</v>
      </c>
      <c r="V336" s="1">
        <f t="shared" si="108"/>
        <v>0</v>
      </c>
      <c r="W336" s="1">
        <f t="shared" si="109"/>
        <v>0</v>
      </c>
      <c r="X336" s="1">
        <f t="shared" si="110"/>
        <v>0</v>
      </c>
      <c r="Y336" s="1">
        <f t="shared" si="111"/>
        <v>0</v>
      </c>
      <c r="Z336" s="1">
        <f t="shared" si="112"/>
        <v>1</v>
      </c>
      <c r="AA336" s="1">
        <f t="shared" si="113"/>
        <v>0</v>
      </c>
      <c r="AB336" s="1">
        <f t="shared" si="114"/>
        <v>0</v>
      </c>
      <c r="AD336" s="1">
        <f t="shared" si="115"/>
        <v>0</v>
      </c>
      <c r="AE336" s="1">
        <f t="shared" si="116"/>
        <v>0</v>
      </c>
      <c r="AF336" s="1">
        <f t="shared" si="117"/>
        <v>0</v>
      </c>
      <c r="AG336" s="1">
        <f t="shared" si="118"/>
        <v>0</v>
      </c>
      <c r="AH336" s="1">
        <f t="shared" si="119"/>
        <v>0</v>
      </c>
      <c r="AI336" s="1">
        <f t="shared" si="120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1607</v>
      </c>
      <c r="E337" s="32" t="s">
        <v>1140</v>
      </c>
      <c r="F337" s="32" t="s">
        <v>1640</v>
      </c>
      <c r="G337" s="32" t="s">
        <v>189</v>
      </c>
      <c r="H337" s="32" t="s">
        <v>352</v>
      </c>
      <c r="I337" s="31" t="s">
        <v>1568</v>
      </c>
      <c r="J337" s="31">
        <v>99</v>
      </c>
      <c r="K337" s="33" t="s">
        <v>704</v>
      </c>
      <c r="L337" s="33" t="s">
        <v>687</v>
      </c>
      <c r="M337" s="34" t="s">
        <v>1569</v>
      </c>
      <c r="N337" s="34" t="s">
        <v>1713</v>
      </c>
      <c r="O337" s="35">
        <v>1</v>
      </c>
      <c r="P337" s="35"/>
      <c r="Q337" s="32"/>
      <c r="S337" s="1">
        <f t="shared" si="105"/>
        <v>0</v>
      </c>
      <c r="T337" s="1">
        <f t="shared" si="106"/>
        <v>0</v>
      </c>
      <c r="U337" s="1">
        <f t="shared" si="107"/>
        <v>0</v>
      </c>
      <c r="V337" s="1">
        <f t="shared" si="108"/>
        <v>0</v>
      </c>
      <c r="W337" s="1">
        <f t="shared" si="109"/>
        <v>0</v>
      </c>
      <c r="X337" s="1">
        <f t="shared" si="110"/>
        <v>0</v>
      </c>
      <c r="Y337" s="1">
        <f t="shared" si="111"/>
        <v>0</v>
      </c>
      <c r="Z337" s="1">
        <f t="shared" si="112"/>
        <v>0</v>
      </c>
      <c r="AA337" s="1">
        <f t="shared" si="113"/>
        <v>0</v>
      </c>
      <c r="AB337" s="1">
        <f t="shared" si="114"/>
        <v>0</v>
      </c>
      <c r="AD337" s="1">
        <f t="shared" si="115"/>
        <v>0</v>
      </c>
      <c r="AE337" s="1">
        <f t="shared" si="116"/>
        <v>1</v>
      </c>
      <c r="AF337" s="1">
        <f t="shared" si="117"/>
        <v>0</v>
      </c>
      <c r="AG337" s="1">
        <f t="shared" si="118"/>
        <v>1</v>
      </c>
      <c r="AH337" s="1">
        <f t="shared" si="119"/>
        <v>0</v>
      </c>
      <c r="AI337" s="1">
        <f t="shared" si="120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65</v>
      </c>
      <c r="E338" s="32" t="s">
        <v>163</v>
      </c>
      <c r="F338" s="32" t="s">
        <v>242</v>
      </c>
      <c r="G338" s="32" t="s">
        <v>199</v>
      </c>
      <c r="H338" s="32" t="s">
        <v>352</v>
      </c>
      <c r="I338" s="31" t="s">
        <v>405</v>
      </c>
      <c r="J338" s="31">
        <v>2</v>
      </c>
      <c r="K338" s="33" t="s">
        <v>932</v>
      </c>
      <c r="L338" s="33" t="s">
        <v>687</v>
      </c>
      <c r="M338" s="34" t="s">
        <v>706</v>
      </c>
      <c r="N338" s="34" t="s">
        <v>1696</v>
      </c>
      <c r="O338" s="35">
        <v>1</v>
      </c>
      <c r="P338" s="35"/>
      <c r="Q338" s="32"/>
      <c r="S338" s="1">
        <f t="shared" si="105"/>
        <v>0</v>
      </c>
      <c r="T338" s="1">
        <f t="shared" si="106"/>
        <v>1</v>
      </c>
      <c r="U338" s="1">
        <f t="shared" si="107"/>
        <v>0</v>
      </c>
      <c r="V338" s="1">
        <f t="shared" si="108"/>
        <v>0</v>
      </c>
      <c r="W338" s="1">
        <f t="shared" si="109"/>
        <v>0</v>
      </c>
      <c r="X338" s="1">
        <f t="shared" si="110"/>
        <v>0</v>
      </c>
      <c r="Y338" s="1">
        <f t="shared" si="111"/>
        <v>0</v>
      </c>
      <c r="Z338" s="1">
        <f t="shared" si="112"/>
        <v>0</v>
      </c>
      <c r="AA338" s="1">
        <f t="shared" si="113"/>
        <v>0</v>
      </c>
      <c r="AB338" s="1">
        <f t="shared" si="114"/>
        <v>0</v>
      </c>
      <c r="AD338" s="1">
        <f t="shared" si="115"/>
        <v>0</v>
      </c>
      <c r="AE338" s="1">
        <f t="shared" si="116"/>
        <v>1</v>
      </c>
      <c r="AF338" s="1">
        <f t="shared" si="117"/>
        <v>0</v>
      </c>
      <c r="AG338" s="1">
        <f t="shared" si="118"/>
        <v>1</v>
      </c>
      <c r="AH338" s="1">
        <f t="shared" si="119"/>
        <v>0</v>
      </c>
      <c r="AI338" s="1">
        <f t="shared" si="120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1779</v>
      </c>
      <c r="E339" s="32" t="s">
        <v>1780</v>
      </c>
      <c r="F339" s="32" t="s">
        <v>1781</v>
      </c>
      <c r="G339" s="32" t="s">
        <v>195</v>
      </c>
      <c r="H339" s="32" t="s">
        <v>352</v>
      </c>
      <c r="I339" s="31" t="s">
        <v>1782</v>
      </c>
      <c r="J339" s="31"/>
      <c r="K339" s="33" t="s">
        <v>694</v>
      </c>
      <c r="L339" s="33">
        <v>20</v>
      </c>
      <c r="M339" s="34" t="s">
        <v>1783</v>
      </c>
      <c r="N339" s="34" t="s">
        <v>1700</v>
      </c>
      <c r="O339" s="35">
        <v>1</v>
      </c>
      <c r="P339" s="35"/>
      <c r="Q339" s="32"/>
      <c r="S339" s="1">
        <f t="shared" si="105"/>
        <v>0</v>
      </c>
      <c r="T339" s="1">
        <f t="shared" si="106"/>
        <v>0</v>
      </c>
      <c r="U339" s="1">
        <f t="shared" si="107"/>
        <v>0</v>
      </c>
      <c r="V339" s="1">
        <f t="shared" si="108"/>
        <v>0</v>
      </c>
      <c r="W339" s="1">
        <f t="shared" si="109"/>
        <v>0</v>
      </c>
      <c r="X339" s="1">
        <f t="shared" si="110"/>
        <v>0</v>
      </c>
      <c r="Y339" s="1">
        <f t="shared" si="111"/>
        <v>0</v>
      </c>
      <c r="Z339" s="1">
        <f t="shared" si="112"/>
        <v>0</v>
      </c>
      <c r="AA339" s="1">
        <f t="shared" si="113"/>
        <v>0</v>
      </c>
      <c r="AB339" s="1">
        <f t="shared" si="114"/>
        <v>0</v>
      </c>
      <c r="AD339" s="1">
        <f t="shared" si="115"/>
        <v>0</v>
      </c>
      <c r="AE339" s="1">
        <f t="shared" si="116"/>
        <v>1</v>
      </c>
      <c r="AF339" s="1">
        <f t="shared" si="117"/>
        <v>0</v>
      </c>
      <c r="AG339" s="1">
        <f t="shared" si="118"/>
        <v>1</v>
      </c>
      <c r="AH339" s="1">
        <f t="shared" si="119"/>
        <v>0</v>
      </c>
      <c r="AI339" s="1">
        <f t="shared" si="120"/>
        <v>1</v>
      </c>
    </row>
    <row r="340" spans="1:35" s="1" customFormat="1" ht="14.25" customHeight="1" x14ac:dyDescent="0.25">
      <c r="A340" s="37">
        <v>0</v>
      </c>
      <c r="B340" s="37">
        <v>2</v>
      </c>
      <c r="C340" s="37">
        <v>2</v>
      </c>
      <c r="D340" s="36" t="s">
        <v>2086</v>
      </c>
      <c r="E340" s="36" t="s">
        <v>2084</v>
      </c>
      <c r="F340" s="36" t="s">
        <v>2085</v>
      </c>
      <c r="G340" s="36" t="s">
        <v>256</v>
      </c>
      <c r="H340" s="36" t="s">
        <v>352</v>
      </c>
      <c r="I340" s="37" t="s">
        <v>30</v>
      </c>
      <c r="J340" s="37">
        <v>2</v>
      </c>
      <c r="K340" s="33" t="s">
        <v>694</v>
      </c>
      <c r="L340" s="33"/>
      <c r="M340" s="34"/>
      <c r="N340" s="34" t="s">
        <v>1687</v>
      </c>
      <c r="O340" s="35">
        <v>1</v>
      </c>
      <c r="P340" s="35">
        <v>1</v>
      </c>
      <c r="Q340" s="36"/>
      <c r="S340" s="1">
        <f t="shared" si="105"/>
        <v>0</v>
      </c>
      <c r="T340" s="1">
        <f t="shared" si="106"/>
        <v>1</v>
      </c>
      <c r="U340" s="1">
        <f t="shared" si="107"/>
        <v>0</v>
      </c>
      <c r="V340" s="1">
        <f t="shared" si="108"/>
        <v>0</v>
      </c>
      <c r="W340" s="1">
        <f t="shared" si="109"/>
        <v>0</v>
      </c>
      <c r="X340" s="1">
        <f t="shared" si="110"/>
        <v>0</v>
      </c>
      <c r="Y340" s="1">
        <f t="shared" si="111"/>
        <v>0</v>
      </c>
      <c r="Z340" s="1">
        <f t="shared" si="112"/>
        <v>0</v>
      </c>
      <c r="AA340" s="1">
        <f t="shared" si="113"/>
        <v>0</v>
      </c>
      <c r="AB340" s="1">
        <f t="shared" si="114"/>
        <v>0</v>
      </c>
      <c r="AD340" s="1">
        <f t="shared" si="115"/>
        <v>1</v>
      </c>
      <c r="AE340" s="1">
        <f t="shared" si="116"/>
        <v>0</v>
      </c>
      <c r="AF340" s="1">
        <f t="shared" si="117"/>
        <v>1</v>
      </c>
      <c r="AG340" s="1">
        <f t="shared" si="118"/>
        <v>0</v>
      </c>
      <c r="AH340" s="1">
        <f t="shared" si="119"/>
        <v>1</v>
      </c>
      <c r="AI340" s="1">
        <f t="shared" si="120"/>
        <v>0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1537</v>
      </c>
      <c r="E341" s="32" t="s">
        <v>1538</v>
      </c>
      <c r="F341" s="32" t="s">
        <v>1540</v>
      </c>
      <c r="G341" s="32" t="s">
        <v>1541</v>
      </c>
      <c r="H341" s="32" t="s">
        <v>352</v>
      </c>
      <c r="I341" s="31" t="s">
        <v>1539</v>
      </c>
      <c r="J341" s="31">
        <v>99</v>
      </c>
      <c r="K341" s="33" t="s">
        <v>694</v>
      </c>
      <c r="L341" s="33">
        <v>18</v>
      </c>
      <c r="M341" s="34" t="s">
        <v>1542</v>
      </c>
      <c r="N341" s="34" t="s">
        <v>1700</v>
      </c>
      <c r="O341" s="35">
        <v>1</v>
      </c>
      <c r="P341" s="35"/>
      <c r="Q341" s="32"/>
      <c r="S341" s="1">
        <f t="shared" ref="S341:S405" si="127">IF(J341=$S$7,1,0)</f>
        <v>0</v>
      </c>
      <c r="T341" s="1">
        <f t="shared" ref="T341:T405" si="128">IF(J341=$T$7,1,0)</f>
        <v>0</v>
      </c>
      <c r="U341" s="1">
        <f t="shared" ref="U341:U405" si="129">IF(J341=$U$7,1,0)</f>
        <v>0</v>
      </c>
      <c r="V341" s="1">
        <f t="shared" ref="V341:V405" si="130">IF(J341=$V$7,1,0)</f>
        <v>0</v>
      </c>
      <c r="W341" s="1">
        <f t="shared" ref="W341:W405" si="131">IF(J341=$W$7,1,0)</f>
        <v>0</v>
      </c>
      <c r="X341" s="1">
        <f t="shared" ref="X341:X405" si="132">IF(J341=$X$7,1,0)</f>
        <v>0</v>
      </c>
      <c r="Y341" s="1">
        <f t="shared" ref="Y341:Y405" si="133">IF(J341=$Y$7,1,0)</f>
        <v>0</v>
      </c>
      <c r="Z341" s="1">
        <f t="shared" ref="Z341:Z405" si="134">IF(J341=$Z$7,1,0)</f>
        <v>0</v>
      </c>
      <c r="AA341" s="1">
        <f t="shared" ref="AA341:AA405" si="135">IF(J341=$AA$7,1,0)</f>
        <v>0</v>
      </c>
      <c r="AB341" s="1">
        <f t="shared" ref="AB341:AB405" si="136">IF(J341=$AB$7,1,0)</f>
        <v>0</v>
      </c>
      <c r="AD341" s="1">
        <f t="shared" ref="AD341:AD405" si="137">+O341*P341</f>
        <v>0</v>
      </c>
      <c r="AE341" s="1">
        <f t="shared" ref="AE341:AE405" si="138">O341*(1-P341)</f>
        <v>1</v>
      </c>
      <c r="AF341" s="1">
        <f t="shared" si="117"/>
        <v>0</v>
      </c>
      <c r="AG341" s="1">
        <f t="shared" si="118"/>
        <v>1</v>
      </c>
      <c r="AH341" s="1">
        <f t="shared" si="119"/>
        <v>0</v>
      </c>
      <c r="AI341" s="1">
        <f t="shared" si="120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64</v>
      </c>
      <c r="E342" s="32" t="s">
        <v>33</v>
      </c>
      <c r="F342" s="32" t="s">
        <v>240</v>
      </c>
      <c r="G342" s="32" t="s">
        <v>241</v>
      </c>
      <c r="H342" s="32" t="s">
        <v>352</v>
      </c>
      <c r="I342" s="31" t="s">
        <v>404</v>
      </c>
      <c r="J342" s="31">
        <v>1</v>
      </c>
      <c r="K342" s="33" t="s">
        <v>938</v>
      </c>
      <c r="L342" s="33" t="s">
        <v>707</v>
      </c>
      <c r="M342" s="34" t="s">
        <v>708</v>
      </c>
      <c r="N342" s="34" t="s">
        <v>1696</v>
      </c>
      <c r="O342" s="35">
        <v>1</v>
      </c>
      <c r="P342" s="35"/>
      <c r="Q342" s="32"/>
      <c r="S342" s="1">
        <f t="shared" si="127"/>
        <v>1</v>
      </c>
      <c r="T342" s="1">
        <f t="shared" si="128"/>
        <v>0</v>
      </c>
      <c r="U342" s="1">
        <f t="shared" si="129"/>
        <v>0</v>
      </c>
      <c r="V342" s="1">
        <f t="shared" si="130"/>
        <v>0</v>
      </c>
      <c r="W342" s="1">
        <f t="shared" si="131"/>
        <v>0</v>
      </c>
      <c r="X342" s="1">
        <f t="shared" si="132"/>
        <v>0</v>
      </c>
      <c r="Y342" s="1">
        <f t="shared" si="133"/>
        <v>0</v>
      </c>
      <c r="Z342" s="1">
        <f t="shared" si="134"/>
        <v>0</v>
      </c>
      <c r="AA342" s="1">
        <f t="shared" si="135"/>
        <v>0</v>
      </c>
      <c r="AB342" s="1">
        <f t="shared" si="136"/>
        <v>0</v>
      </c>
      <c r="AD342" s="1">
        <f t="shared" si="137"/>
        <v>0</v>
      </c>
      <c r="AE342" s="1">
        <f t="shared" si="138"/>
        <v>1</v>
      </c>
      <c r="AF342" s="1">
        <f t="shared" ref="AF342:AF406" si="139">+O342*P342*(1-A342)</f>
        <v>0</v>
      </c>
      <c r="AG342" s="1">
        <f t="shared" ref="AG342:AG406" si="140">O342*(1-P342)*(1-A342)</f>
        <v>1</v>
      </c>
      <c r="AH342" s="1">
        <f t="shared" ref="AH342:AH406" si="141">+P342*(1-A342)</f>
        <v>0</v>
      </c>
      <c r="AI342" s="1">
        <f t="shared" ref="AI342:AI406" si="142">+(1-A342)*(1-P342)</f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62</v>
      </c>
      <c r="E343" s="32" t="s">
        <v>1063</v>
      </c>
      <c r="F343" s="32" t="s">
        <v>233</v>
      </c>
      <c r="G343" s="32" t="s">
        <v>234</v>
      </c>
      <c r="H343" s="32" t="s">
        <v>352</v>
      </c>
      <c r="I343" s="31" t="s">
        <v>1331</v>
      </c>
      <c r="J343" s="31">
        <v>99</v>
      </c>
      <c r="K343" s="33" t="s">
        <v>932</v>
      </c>
      <c r="L343" s="33" t="s">
        <v>707</v>
      </c>
      <c r="M343" s="34" t="s">
        <v>709</v>
      </c>
      <c r="N343" s="34" t="s">
        <v>1696</v>
      </c>
      <c r="O343" s="35">
        <v>1</v>
      </c>
      <c r="P343" s="35"/>
      <c r="Q343" s="32"/>
      <c r="S343" s="1">
        <f t="shared" si="127"/>
        <v>0</v>
      </c>
      <c r="T343" s="1">
        <f t="shared" si="128"/>
        <v>0</v>
      </c>
      <c r="U343" s="1">
        <f t="shared" si="129"/>
        <v>0</v>
      </c>
      <c r="V343" s="1">
        <f t="shared" si="130"/>
        <v>0</v>
      </c>
      <c r="W343" s="1">
        <f t="shared" si="131"/>
        <v>0</v>
      </c>
      <c r="X343" s="1">
        <f t="shared" si="132"/>
        <v>0</v>
      </c>
      <c r="Y343" s="1">
        <f t="shared" si="133"/>
        <v>0</v>
      </c>
      <c r="Z343" s="1">
        <f t="shared" si="134"/>
        <v>0</v>
      </c>
      <c r="AA343" s="1">
        <f t="shared" si="135"/>
        <v>0</v>
      </c>
      <c r="AB343" s="1">
        <f t="shared" si="136"/>
        <v>0</v>
      </c>
      <c r="AD343" s="1">
        <f t="shared" si="137"/>
        <v>0</v>
      </c>
      <c r="AE343" s="1">
        <f t="shared" si="138"/>
        <v>1</v>
      </c>
      <c r="AF343" s="1">
        <f t="shared" si="139"/>
        <v>0</v>
      </c>
      <c r="AG343" s="1">
        <f t="shared" si="140"/>
        <v>1</v>
      </c>
      <c r="AH343" s="1">
        <f t="shared" si="141"/>
        <v>0</v>
      </c>
      <c r="AI343" s="1">
        <f t="shared" si="142"/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1676</v>
      </c>
      <c r="E344" s="32" t="s">
        <v>1678</v>
      </c>
      <c r="F344" s="32" t="s">
        <v>1677</v>
      </c>
      <c r="G344" s="32"/>
      <c r="H344" s="32" t="s">
        <v>352</v>
      </c>
      <c r="I344" s="31" t="s">
        <v>1679</v>
      </c>
      <c r="J344" s="31"/>
      <c r="K344" s="33" t="s">
        <v>694</v>
      </c>
      <c r="L344" s="33"/>
      <c r="M344" s="34"/>
      <c r="N344" s="34" t="s">
        <v>1687</v>
      </c>
      <c r="O344" s="35">
        <v>1</v>
      </c>
      <c r="P344" s="35">
        <v>1</v>
      </c>
      <c r="Q344" s="32"/>
      <c r="S344" s="1">
        <f t="shared" si="127"/>
        <v>0</v>
      </c>
      <c r="T344" s="1">
        <f t="shared" si="128"/>
        <v>0</v>
      </c>
      <c r="U344" s="1">
        <f t="shared" si="129"/>
        <v>0</v>
      </c>
      <c r="V344" s="1">
        <f t="shared" si="130"/>
        <v>0</v>
      </c>
      <c r="W344" s="1">
        <f t="shared" si="131"/>
        <v>0</v>
      </c>
      <c r="X344" s="1">
        <f t="shared" si="132"/>
        <v>0</v>
      </c>
      <c r="Y344" s="1">
        <f t="shared" si="133"/>
        <v>0</v>
      </c>
      <c r="Z344" s="1">
        <f t="shared" si="134"/>
        <v>0</v>
      </c>
      <c r="AA344" s="1">
        <f t="shared" si="135"/>
        <v>0</v>
      </c>
      <c r="AB344" s="1">
        <f t="shared" si="136"/>
        <v>0</v>
      </c>
      <c r="AD344" s="1">
        <f t="shared" si="137"/>
        <v>1</v>
      </c>
      <c r="AE344" s="1">
        <f t="shared" si="138"/>
        <v>0</v>
      </c>
      <c r="AF344" s="1">
        <f t="shared" si="139"/>
        <v>1</v>
      </c>
      <c r="AG344" s="1">
        <f t="shared" si="140"/>
        <v>0</v>
      </c>
      <c r="AH344" s="1">
        <f t="shared" si="141"/>
        <v>1</v>
      </c>
      <c r="AI344" s="1">
        <f t="shared" si="142"/>
        <v>0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768</v>
      </c>
      <c r="E345" s="32" t="s">
        <v>888</v>
      </c>
      <c r="F345" s="32" t="s">
        <v>1532</v>
      </c>
      <c r="G345" s="32" t="s">
        <v>229</v>
      </c>
      <c r="H345" s="32" t="s">
        <v>352</v>
      </c>
      <c r="I345" s="31" t="s">
        <v>1654</v>
      </c>
      <c r="J345" s="31">
        <v>7</v>
      </c>
      <c r="K345" s="33" t="s">
        <v>704</v>
      </c>
      <c r="L345" s="33">
        <v>20</v>
      </c>
      <c r="M345" s="34" t="s">
        <v>39</v>
      </c>
      <c r="N345" s="34" t="s">
        <v>1701</v>
      </c>
      <c r="O345" s="35">
        <v>1</v>
      </c>
      <c r="P345" s="35"/>
      <c r="Q345" s="32"/>
      <c r="S345" s="1">
        <f t="shared" si="127"/>
        <v>0</v>
      </c>
      <c r="T345" s="1">
        <f t="shared" si="128"/>
        <v>0</v>
      </c>
      <c r="U345" s="1">
        <f t="shared" si="129"/>
        <v>0</v>
      </c>
      <c r="V345" s="1">
        <f t="shared" si="130"/>
        <v>0</v>
      </c>
      <c r="W345" s="1">
        <f t="shared" si="131"/>
        <v>0</v>
      </c>
      <c r="X345" s="1">
        <f t="shared" si="132"/>
        <v>0</v>
      </c>
      <c r="Y345" s="1">
        <f t="shared" si="133"/>
        <v>1</v>
      </c>
      <c r="Z345" s="1">
        <f t="shared" si="134"/>
        <v>0</v>
      </c>
      <c r="AA345" s="1">
        <f t="shared" si="135"/>
        <v>0</v>
      </c>
      <c r="AB345" s="1">
        <f t="shared" si="136"/>
        <v>0</v>
      </c>
      <c r="AD345" s="1">
        <f t="shared" si="137"/>
        <v>0</v>
      </c>
      <c r="AE345" s="1">
        <f t="shared" si="138"/>
        <v>1</v>
      </c>
      <c r="AF345" s="1">
        <f t="shared" si="139"/>
        <v>0</v>
      </c>
      <c r="AG345" s="1">
        <f t="shared" si="140"/>
        <v>1</v>
      </c>
      <c r="AH345" s="1">
        <f t="shared" si="141"/>
        <v>0</v>
      </c>
      <c r="AI345" s="1">
        <f t="shared" si="142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833</v>
      </c>
      <c r="E346" s="32" t="s">
        <v>537</v>
      </c>
      <c r="F346" s="32" t="s">
        <v>835</v>
      </c>
      <c r="G346" s="32" t="s">
        <v>219</v>
      </c>
      <c r="H346" s="32" t="s">
        <v>352</v>
      </c>
      <c r="I346" s="31" t="s">
        <v>836</v>
      </c>
      <c r="J346" s="31">
        <v>8</v>
      </c>
      <c r="K346" s="33" t="s">
        <v>704</v>
      </c>
      <c r="L346" s="33" t="s">
        <v>707</v>
      </c>
      <c r="M346" s="34" t="s">
        <v>1377</v>
      </c>
      <c r="N346" s="34" t="s">
        <v>1696</v>
      </c>
      <c r="O346" s="35">
        <v>1</v>
      </c>
      <c r="P346" s="35"/>
      <c r="Q346" s="32"/>
      <c r="S346" s="1">
        <f t="shared" si="127"/>
        <v>0</v>
      </c>
      <c r="T346" s="1">
        <f t="shared" si="128"/>
        <v>0</v>
      </c>
      <c r="U346" s="1">
        <f t="shared" si="129"/>
        <v>0</v>
      </c>
      <c r="V346" s="1">
        <f t="shared" si="130"/>
        <v>0</v>
      </c>
      <c r="W346" s="1">
        <f t="shared" si="131"/>
        <v>0</v>
      </c>
      <c r="X346" s="1">
        <f t="shared" si="132"/>
        <v>0</v>
      </c>
      <c r="Y346" s="1">
        <f t="shared" si="133"/>
        <v>0</v>
      </c>
      <c r="Z346" s="1">
        <f t="shared" si="134"/>
        <v>1</v>
      </c>
      <c r="AA346" s="1">
        <f t="shared" si="135"/>
        <v>0</v>
      </c>
      <c r="AB346" s="1">
        <f t="shared" si="136"/>
        <v>0</v>
      </c>
      <c r="AD346" s="1">
        <f t="shared" si="137"/>
        <v>0</v>
      </c>
      <c r="AE346" s="1">
        <f t="shared" si="138"/>
        <v>1</v>
      </c>
      <c r="AF346" s="1">
        <f t="shared" si="139"/>
        <v>0</v>
      </c>
      <c r="AG346" s="1">
        <f t="shared" si="140"/>
        <v>1</v>
      </c>
      <c r="AH346" s="1">
        <f t="shared" si="141"/>
        <v>0</v>
      </c>
      <c r="AI346" s="1">
        <f t="shared" si="142"/>
        <v>1</v>
      </c>
    </row>
    <row r="347" spans="1:35" s="1" customFormat="1" ht="14.25" customHeight="1" x14ac:dyDescent="0.25">
      <c r="A347" s="31">
        <v>1</v>
      </c>
      <c r="B347" s="31">
        <v>2</v>
      </c>
      <c r="C347" s="31">
        <v>2</v>
      </c>
      <c r="D347" s="32" t="s">
        <v>833</v>
      </c>
      <c r="E347" s="32" t="s">
        <v>537</v>
      </c>
      <c r="F347" s="32" t="s">
        <v>1320</v>
      </c>
      <c r="G347" s="32" t="s">
        <v>193</v>
      </c>
      <c r="H347" s="32" t="s">
        <v>352</v>
      </c>
      <c r="I347" s="31" t="s">
        <v>834</v>
      </c>
      <c r="J347" s="31">
        <v>9</v>
      </c>
      <c r="K347" s="33" t="s">
        <v>704</v>
      </c>
      <c r="L347" s="33" t="s">
        <v>707</v>
      </c>
      <c r="M347" s="34" t="s">
        <v>1377</v>
      </c>
      <c r="N347" s="34" t="s">
        <v>1696</v>
      </c>
      <c r="O347" s="35">
        <v>1</v>
      </c>
      <c r="P347" s="35"/>
      <c r="Q347" s="32"/>
      <c r="S347" s="1">
        <f t="shared" si="127"/>
        <v>0</v>
      </c>
      <c r="T347" s="1">
        <f t="shared" si="128"/>
        <v>0</v>
      </c>
      <c r="U347" s="1">
        <f t="shared" si="129"/>
        <v>0</v>
      </c>
      <c r="V347" s="1">
        <f t="shared" si="130"/>
        <v>0</v>
      </c>
      <c r="W347" s="1">
        <f t="shared" si="131"/>
        <v>0</v>
      </c>
      <c r="X347" s="1">
        <f t="shared" si="132"/>
        <v>0</v>
      </c>
      <c r="Y347" s="1">
        <f t="shared" si="133"/>
        <v>0</v>
      </c>
      <c r="Z347" s="1">
        <f t="shared" si="134"/>
        <v>0</v>
      </c>
      <c r="AA347" s="1">
        <f t="shared" si="135"/>
        <v>1</v>
      </c>
      <c r="AB347" s="1">
        <f t="shared" si="136"/>
        <v>0</v>
      </c>
      <c r="AD347" s="1">
        <f t="shared" si="137"/>
        <v>0</v>
      </c>
      <c r="AE347" s="1">
        <f t="shared" si="138"/>
        <v>1</v>
      </c>
      <c r="AF347" s="1">
        <f t="shared" si="139"/>
        <v>0</v>
      </c>
      <c r="AG347" s="1">
        <f t="shared" si="140"/>
        <v>0</v>
      </c>
      <c r="AH347" s="1">
        <f t="shared" si="141"/>
        <v>0</v>
      </c>
      <c r="AI347" s="1">
        <f t="shared" si="142"/>
        <v>0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897</v>
      </c>
      <c r="E348" s="32" t="s">
        <v>766</v>
      </c>
      <c r="F348" s="32" t="s">
        <v>767</v>
      </c>
      <c r="G348" s="32" t="s">
        <v>229</v>
      </c>
      <c r="H348" s="32" t="s">
        <v>352</v>
      </c>
      <c r="I348" s="31" t="s">
        <v>769</v>
      </c>
      <c r="J348" s="31">
        <v>7</v>
      </c>
      <c r="K348" s="33" t="s">
        <v>703</v>
      </c>
      <c r="L348" s="33">
        <v>15</v>
      </c>
      <c r="M348" s="34" t="s">
        <v>39</v>
      </c>
      <c r="N348" s="34" t="s">
        <v>1696</v>
      </c>
      <c r="O348" s="35">
        <v>1</v>
      </c>
      <c r="P348" s="35"/>
      <c r="Q348" s="32"/>
      <c r="S348" s="1">
        <f t="shared" si="127"/>
        <v>0</v>
      </c>
      <c r="T348" s="1">
        <f t="shared" si="128"/>
        <v>0</v>
      </c>
      <c r="U348" s="1">
        <f t="shared" si="129"/>
        <v>0</v>
      </c>
      <c r="V348" s="1">
        <f t="shared" si="130"/>
        <v>0</v>
      </c>
      <c r="W348" s="1">
        <f t="shared" si="131"/>
        <v>0</v>
      </c>
      <c r="X348" s="1">
        <f t="shared" si="132"/>
        <v>0</v>
      </c>
      <c r="Y348" s="1">
        <f t="shared" si="133"/>
        <v>1</v>
      </c>
      <c r="Z348" s="1">
        <f t="shared" si="134"/>
        <v>0</v>
      </c>
      <c r="AA348" s="1">
        <f t="shared" si="135"/>
        <v>0</v>
      </c>
      <c r="AB348" s="1">
        <f t="shared" si="136"/>
        <v>0</v>
      </c>
      <c r="AD348" s="1">
        <f t="shared" si="137"/>
        <v>0</v>
      </c>
      <c r="AE348" s="1">
        <f t="shared" si="138"/>
        <v>1</v>
      </c>
      <c r="AF348" s="1">
        <f t="shared" si="139"/>
        <v>0</v>
      </c>
      <c r="AG348" s="1">
        <f t="shared" si="140"/>
        <v>1</v>
      </c>
      <c r="AH348" s="1">
        <f t="shared" si="141"/>
        <v>0</v>
      </c>
      <c r="AI348" s="1">
        <f t="shared" si="142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83</v>
      </c>
      <c r="E349" s="32" t="s">
        <v>156</v>
      </c>
      <c r="F349" s="32" t="s">
        <v>1823</v>
      </c>
      <c r="G349" s="32" t="s">
        <v>208</v>
      </c>
      <c r="H349" s="32" t="s">
        <v>352</v>
      </c>
      <c r="I349" s="31" t="s">
        <v>430</v>
      </c>
      <c r="J349" s="31">
        <v>99</v>
      </c>
      <c r="K349" s="33" t="s">
        <v>931</v>
      </c>
      <c r="L349" s="33" t="s">
        <v>695</v>
      </c>
      <c r="M349" s="34" t="s">
        <v>710</v>
      </c>
      <c r="N349" s="34" t="s">
        <v>1696</v>
      </c>
      <c r="O349" s="35">
        <v>1</v>
      </c>
      <c r="P349" s="35"/>
      <c r="Q349" s="32"/>
      <c r="S349" s="1">
        <f t="shared" si="127"/>
        <v>0</v>
      </c>
      <c r="T349" s="1">
        <f t="shared" si="128"/>
        <v>0</v>
      </c>
      <c r="U349" s="1">
        <f t="shared" si="129"/>
        <v>0</v>
      </c>
      <c r="V349" s="1">
        <f t="shared" si="130"/>
        <v>0</v>
      </c>
      <c r="W349" s="1">
        <f t="shared" si="131"/>
        <v>0</v>
      </c>
      <c r="X349" s="1">
        <f t="shared" si="132"/>
        <v>0</v>
      </c>
      <c r="Y349" s="1">
        <f t="shared" si="133"/>
        <v>0</v>
      </c>
      <c r="Z349" s="1">
        <f t="shared" si="134"/>
        <v>0</v>
      </c>
      <c r="AA349" s="1">
        <f t="shared" si="135"/>
        <v>0</v>
      </c>
      <c r="AB349" s="1">
        <f t="shared" si="136"/>
        <v>0</v>
      </c>
      <c r="AD349" s="1">
        <f t="shared" si="137"/>
        <v>0</v>
      </c>
      <c r="AE349" s="1">
        <f t="shared" si="138"/>
        <v>1</v>
      </c>
      <c r="AF349" s="1">
        <f t="shared" si="139"/>
        <v>0</v>
      </c>
      <c r="AG349" s="1">
        <f t="shared" si="140"/>
        <v>1</v>
      </c>
      <c r="AH349" s="1">
        <f t="shared" si="141"/>
        <v>0</v>
      </c>
      <c r="AI349" s="1">
        <f t="shared" si="142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1525</v>
      </c>
      <c r="E350" s="32" t="s">
        <v>1302</v>
      </c>
      <c r="F350" s="32" t="s">
        <v>1526</v>
      </c>
      <c r="G350" s="32" t="s">
        <v>1138</v>
      </c>
      <c r="H350" s="32" t="s">
        <v>352</v>
      </c>
      <c r="I350" s="31" t="s">
        <v>1527</v>
      </c>
      <c r="J350" s="31">
        <v>1</v>
      </c>
      <c r="K350" s="33" t="s">
        <v>704</v>
      </c>
      <c r="L350" s="33" t="s">
        <v>39</v>
      </c>
      <c r="M350" s="34" t="s">
        <v>39</v>
      </c>
      <c r="N350" s="34" t="s">
        <v>1687</v>
      </c>
      <c r="O350" s="35">
        <v>1</v>
      </c>
      <c r="P350" s="35">
        <v>1</v>
      </c>
      <c r="Q350" s="32"/>
      <c r="S350" s="1">
        <f t="shared" si="127"/>
        <v>1</v>
      </c>
      <c r="T350" s="1">
        <f t="shared" si="128"/>
        <v>0</v>
      </c>
      <c r="U350" s="1">
        <f t="shared" si="129"/>
        <v>0</v>
      </c>
      <c r="V350" s="1">
        <f t="shared" si="130"/>
        <v>0</v>
      </c>
      <c r="W350" s="1">
        <f t="shared" si="131"/>
        <v>0</v>
      </c>
      <c r="X350" s="1">
        <f t="shared" si="132"/>
        <v>0</v>
      </c>
      <c r="Y350" s="1">
        <f t="shared" si="133"/>
        <v>0</v>
      </c>
      <c r="Z350" s="1">
        <f t="shared" si="134"/>
        <v>0</v>
      </c>
      <c r="AA350" s="1">
        <f t="shared" si="135"/>
        <v>0</v>
      </c>
      <c r="AB350" s="1">
        <f t="shared" si="136"/>
        <v>0</v>
      </c>
      <c r="AD350" s="1">
        <f t="shared" si="137"/>
        <v>1</v>
      </c>
      <c r="AE350" s="1">
        <f t="shared" si="138"/>
        <v>0</v>
      </c>
      <c r="AF350" s="1">
        <f t="shared" si="139"/>
        <v>1</v>
      </c>
      <c r="AG350" s="1">
        <f t="shared" si="140"/>
        <v>0</v>
      </c>
      <c r="AH350" s="1">
        <f t="shared" si="141"/>
        <v>1</v>
      </c>
      <c r="AI350" s="1">
        <f t="shared" si="142"/>
        <v>0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1697</v>
      </c>
      <c r="E351" s="32" t="s">
        <v>27</v>
      </c>
      <c r="F351" s="32" t="s">
        <v>1021</v>
      </c>
      <c r="G351" s="32" t="s">
        <v>219</v>
      </c>
      <c r="H351" s="32" t="s">
        <v>352</v>
      </c>
      <c r="I351" s="31" t="s">
        <v>1022</v>
      </c>
      <c r="J351" s="31">
        <v>8</v>
      </c>
      <c r="K351" s="33" t="s">
        <v>704</v>
      </c>
      <c r="L351" s="33">
        <v>25</v>
      </c>
      <c r="M351" s="34" t="s">
        <v>1698</v>
      </c>
      <c r="N351" s="34" t="s">
        <v>1687</v>
      </c>
      <c r="O351" s="35">
        <v>1</v>
      </c>
      <c r="P351" s="35">
        <v>1</v>
      </c>
      <c r="Q351" s="32"/>
      <c r="S351" s="1">
        <f t="shared" si="127"/>
        <v>0</v>
      </c>
      <c r="T351" s="1">
        <f t="shared" si="128"/>
        <v>0</v>
      </c>
      <c r="U351" s="1">
        <f t="shared" si="129"/>
        <v>0</v>
      </c>
      <c r="V351" s="1">
        <f t="shared" si="130"/>
        <v>0</v>
      </c>
      <c r="W351" s="1">
        <f t="shared" si="131"/>
        <v>0</v>
      </c>
      <c r="X351" s="1">
        <f t="shared" si="132"/>
        <v>0</v>
      </c>
      <c r="Y351" s="1">
        <f t="shared" si="133"/>
        <v>0</v>
      </c>
      <c r="Z351" s="1">
        <f t="shared" si="134"/>
        <v>1</v>
      </c>
      <c r="AA351" s="1">
        <f t="shared" si="135"/>
        <v>0</v>
      </c>
      <c r="AB351" s="1">
        <f t="shared" si="136"/>
        <v>0</v>
      </c>
      <c r="AD351" s="1">
        <f t="shared" si="137"/>
        <v>1</v>
      </c>
      <c r="AE351" s="1">
        <f t="shared" si="138"/>
        <v>0</v>
      </c>
      <c r="AF351" s="1">
        <f t="shared" si="139"/>
        <v>1</v>
      </c>
      <c r="AG351" s="1">
        <f t="shared" si="140"/>
        <v>0</v>
      </c>
      <c r="AH351" s="1">
        <f t="shared" si="141"/>
        <v>1</v>
      </c>
      <c r="AI351" s="1">
        <f t="shared" si="142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2</v>
      </c>
      <c r="D352" s="32" t="s">
        <v>45</v>
      </c>
      <c r="E352" s="32" t="s">
        <v>44</v>
      </c>
      <c r="F352" s="32" t="s">
        <v>661</v>
      </c>
      <c r="G352" s="32" t="s">
        <v>179</v>
      </c>
      <c r="H352" s="32" t="s">
        <v>352</v>
      </c>
      <c r="I352" s="31" t="s">
        <v>927</v>
      </c>
      <c r="J352" s="31">
        <v>10</v>
      </c>
      <c r="K352" s="33" t="s">
        <v>704</v>
      </c>
      <c r="L352" s="33" t="s">
        <v>711</v>
      </c>
      <c r="M352" s="34" t="s">
        <v>712</v>
      </c>
      <c r="N352" s="34" t="s">
        <v>1687</v>
      </c>
      <c r="O352" s="35">
        <v>1</v>
      </c>
      <c r="P352" s="35">
        <v>1</v>
      </c>
      <c r="Q352" s="32"/>
      <c r="S352" s="1">
        <f t="shared" si="127"/>
        <v>0</v>
      </c>
      <c r="T352" s="1">
        <f t="shared" si="128"/>
        <v>0</v>
      </c>
      <c r="U352" s="1">
        <f t="shared" si="129"/>
        <v>0</v>
      </c>
      <c r="V352" s="1">
        <f t="shared" si="130"/>
        <v>0</v>
      </c>
      <c r="W352" s="1">
        <f t="shared" si="131"/>
        <v>0</v>
      </c>
      <c r="X352" s="1">
        <f t="shared" si="132"/>
        <v>0</v>
      </c>
      <c r="Y352" s="1">
        <f t="shared" si="133"/>
        <v>0</v>
      </c>
      <c r="Z352" s="1">
        <f t="shared" si="134"/>
        <v>0</v>
      </c>
      <c r="AA352" s="1">
        <f t="shared" si="135"/>
        <v>0</v>
      </c>
      <c r="AB352" s="1">
        <f t="shared" si="136"/>
        <v>1</v>
      </c>
      <c r="AD352" s="1">
        <f t="shared" si="137"/>
        <v>1</v>
      </c>
      <c r="AE352" s="1">
        <f t="shared" si="138"/>
        <v>0</v>
      </c>
      <c r="AF352" s="1">
        <f t="shared" si="139"/>
        <v>1</v>
      </c>
      <c r="AG352" s="1">
        <f t="shared" si="140"/>
        <v>0</v>
      </c>
      <c r="AH352" s="1">
        <f t="shared" si="141"/>
        <v>1</v>
      </c>
      <c r="AI352" s="1">
        <f t="shared" si="142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2</v>
      </c>
      <c r="D353" s="32" t="s">
        <v>1411</v>
      </c>
      <c r="E353" s="32" t="s">
        <v>1614</v>
      </c>
      <c r="F353" s="32" t="s">
        <v>1629</v>
      </c>
      <c r="G353" s="32" t="s">
        <v>229</v>
      </c>
      <c r="H353" s="32" t="s">
        <v>352</v>
      </c>
      <c r="I353" s="31" t="s">
        <v>1412</v>
      </c>
      <c r="J353" s="31">
        <v>99</v>
      </c>
      <c r="K353" s="33" t="s">
        <v>932</v>
      </c>
      <c r="L353" s="33">
        <v>20</v>
      </c>
      <c r="M353" s="34" t="s">
        <v>39</v>
      </c>
      <c r="N353" s="34" t="s">
        <v>1687</v>
      </c>
      <c r="O353" s="35">
        <v>1</v>
      </c>
      <c r="P353" s="35">
        <v>1</v>
      </c>
      <c r="Q353" s="32"/>
      <c r="S353" s="1">
        <f t="shared" si="127"/>
        <v>0</v>
      </c>
      <c r="T353" s="1">
        <f t="shared" si="128"/>
        <v>0</v>
      </c>
      <c r="U353" s="1">
        <f t="shared" si="129"/>
        <v>0</v>
      </c>
      <c r="V353" s="1">
        <f t="shared" si="130"/>
        <v>0</v>
      </c>
      <c r="W353" s="1">
        <f t="shared" si="131"/>
        <v>0</v>
      </c>
      <c r="X353" s="1">
        <f t="shared" si="132"/>
        <v>0</v>
      </c>
      <c r="Y353" s="1">
        <f t="shared" si="133"/>
        <v>0</v>
      </c>
      <c r="Z353" s="1">
        <f t="shared" si="134"/>
        <v>0</v>
      </c>
      <c r="AA353" s="1">
        <f t="shared" si="135"/>
        <v>0</v>
      </c>
      <c r="AB353" s="1">
        <f t="shared" si="136"/>
        <v>0</v>
      </c>
      <c r="AD353" s="1">
        <f t="shared" si="137"/>
        <v>1</v>
      </c>
      <c r="AE353" s="1">
        <f t="shared" si="138"/>
        <v>0</v>
      </c>
      <c r="AF353" s="1">
        <f t="shared" si="139"/>
        <v>1</v>
      </c>
      <c r="AG353" s="1">
        <f t="shared" si="140"/>
        <v>0</v>
      </c>
      <c r="AH353" s="1">
        <f t="shared" si="141"/>
        <v>1</v>
      </c>
      <c r="AI353" s="1">
        <f t="shared" si="142"/>
        <v>0</v>
      </c>
    </row>
    <row r="354" spans="1:35" s="1" customFormat="1" ht="14.25" customHeight="1" x14ac:dyDescent="0.25">
      <c r="A354" s="59">
        <v>0</v>
      </c>
      <c r="B354" s="59">
        <v>2</v>
      </c>
      <c r="C354" s="59">
        <v>2</v>
      </c>
      <c r="D354" s="49" t="s">
        <v>1938</v>
      </c>
      <c r="E354" s="49" t="s">
        <v>2151</v>
      </c>
      <c r="F354" s="49" t="s">
        <v>1939</v>
      </c>
      <c r="G354" s="49" t="s">
        <v>178</v>
      </c>
      <c r="H354" s="49" t="s">
        <v>352</v>
      </c>
      <c r="I354" s="59" t="s">
        <v>1940</v>
      </c>
      <c r="J354" s="59"/>
      <c r="K354" s="59" t="s">
        <v>694</v>
      </c>
      <c r="L354" s="59"/>
      <c r="M354" s="49"/>
      <c r="N354" s="49"/>
      <c r="O354" s="60"/>
      <c r="P354" s="60">
        <v>1</v>
      </c>
      <c r="Q354" s="49"/>
      <c r="S354" s="1">
        <f t="shared" si="127"/>
        <v>0</v>
      </c>
      <c r="T354" s="1">
        <f t="shared" si="128"/>
        <v>0</v>
      </c>
      <c r="U354" s="1">
        <f t="shared" si="129"/>
        <v>0</v>
      </c>
      <c r="V354" s="1">
        <f t="shared" si="130"/>
        <v>0</v>
      </c>
      <c r="W354" s="1">
        <f t="shared" si="131"/>
        <v>0</v>
      </c>
      <c r="X354" s="1">
        <f t="shared" si="132"/>
        <v>0</v>
      </c>
      <c r="Y354" s="1">
        <f t="shared" si="133"/>
        <v>0</v>
      </c>
      <c r="Z354" s="1">
        <f t="shared" si="134"/>
        <v>0</v>
      </c>
      <c r="AA354" s="1">
        <f t="shared" si="135"/>
        <v>0</v>
      </c>
      <c r="AB354" s="1">
        <f t="shared" si="136"/>
        <v>0</v>
      </c>
      <c r="AD354" s="1">
        <f t="shared" si="137"/>
        <v>0</v>
      </c>
      <c r="AE354" s="1">
        <f t="shared" si="138"/>
        <v>0</v>
      </c>
      <c r="AF354" s="1">
        <f t="shared" si="139"/>
        <v>0</v>
      </c>
      <c r="AG354" s="1">
        <f t="shared" si="140"/>
        <v>0</v>
      </c>
      <c r="AH354" s="1">
        <f t="shared" si="141"/>
        <v>1</v>
      </c>
      <c r="AI354" s="1">
        <f t="shared" si="142"/>
        <v>0</v>
      </c>
    </row>
    <row r="355" spans="1:35" s="1" customFormat="1" ht="14.25" customHeight="1" x14ac:dyDescent="0.25">
      <c r="A355" s="31">
        <v>0</v>
      </c>
      <c r="B355" s="31">
        <v>2</v>
      </c>
      <c r="C355" s="31">
        <v>2</v>
      </c>
      <c r="D355" s="32" t="s">
        <v>598</v>
      </c>
      <c r="E355" s="32" t="s">
        <v>599</v>
      </c>
      <c r="F355" s="32" t="s">
        <v>600</v>
      </c>
      <c r="G355" s="32" t="s">
        <v>256</v>
      </c>
      <c r="H355" s="32" t="s">
        <v>352</v>
      </c>
      <c r="I355" s="31" t="s">
        <v>601</v>
      </c>
      <c r="J355" s="31">
        <v>99</v>
      </c>
      <c r="K355" s="33" t="s">
        <v>932</v>
      </c>
      <c r="L355" s="33" t="s">
        <v>695</v>
      </c>
      <c r="M355" s="34" t="s">
        <v>1378</v>
      </c>
      <c r="N355" s="34" t="s">
        <v>1696</v>
      </c>
      <c r="O355" s="35">
        <v>1</v>
      </c>
      <c r="P355" s="35"/>
      <c r="Q355" s="32"/>
      <c r="S355" s="1">
        <f t="shared" si="127"/>
        <v>0</v>
      </c>
      <c r="T355" s="1">
        <f t="shared" si="128"/>
        <v>0</v>
      </c>
      <c r="U355" s="1">
        <f t="shared" si="129"/>
        <v>0</v>
      </c>
      <c r="V355" s="1">
        <f t="shared" si="130"/>
        <v>0</v>
      </c>
      <c r="W355" s="1">
        <f t="shared" si="131"/>
        <v>0</v>
      </c>
      <c r="X355" s="1">
        <f t="shared" si="132"/>
        <v>0</v>
      </c>
      <c r="Y355" s="1">
        <f t="shared" si="133"/>
        <v>0</v>
      </c>
      <c r="Z355" s="1">
        <f t="shared" si="134"/>
        <v>0</v>
      </c>
      <c r="AA355" s="1">
        <f t="shared" si="135"/>
        <v>0</v>
      </c>
      <c r="AB355" s="1">
        <f t="shared" si="136"/>
        <v>0</v>
      </c>
      <c r="AD355" s="1">
        <f t="shared" si="137"/>
        <v>0</v>
      </c>
      <c r="AE355" s="1">
        <f t="shared" si="138"/>
        <v>1</v>
      </c>
      <c r="AF355" s="1">
        <f t="shared" si="139"/>
        <v>0</v>
      </c>
      <c r="AG355" s="1">
        <f t="shared" si="140"/>
        <v>1</v>
      </c>
      <c r="AH355" s="1">
        <f t="shared" si="141"/>
        <v>0</v>
      </c>
      <c r="AI355" s="1">
        <f t="shared" si="142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2</v>
      </c>
      <c r="D356" s="32" t="s">
        <v>1875</v>
      </c>
      <c r="E356" s="32" t="s">
        <v>1876</v>
      </c>
      <c r="F356" s="32" t="s">
        <v>1877</v>
      </c>
      <c r="G356" s="32" t="s">
        <v>183</v>
      </c>
      <c r="H356" s="32" t="s">
        <v>352</v>
      </c>
      <c r="I356" s="31" t="s">
        <v>1879</v>
      </c>
      <c r="J356" s="31">
        <v>99</v>
      </c>
      <c r="K356" s="33" t="s">
        <v>694</v>
      </c>
      <c r="L356" s="33"/>
      <c r="M356" s="34"/>
      <c r="N356" s="34" t="s">
        <v>1687</v>
      </c>
      <c r="O356" s="35">
        <v>1</v>
      </c>
      <c r="P356" s="35">
        <v>1</v>
      </c>
      <c r="Q356" s="32" t="s">
        <v>1878</v>
      </c>
      <c r="S356" s="1">
        <f t="shared" si="127"/>
        <v>0</v>
      </c>
      <c r="T356" s="1">
        <f t="shared" si="128"/>
        <v>0</v>
      </c>
      <c r="U356" s="1">
        <f t="shared" si="129"/>
        <v>0</v>
      </c>
      <c r="V356" s="1">
        <f t="shared" si="130"/>
        <v>0</v>
      </c>
      <c r="W356" s="1">
        <f t="shared" si="131"/>
        <v>0</v>
      </c>
      <c r="X356" s="1">
        <f t="shared" si="132"/>
        <v>0</v>
      </c>
      <c r="Y356" s="1">
        <f t="shared" si="133"/>
        <v>0</v>
      </c>
      <c r="Z356" s="1">
        <f t="shared" si="134"/>
        <v>0</v>
      </c>
      <c r="AA356" s="1">
        <f t="shared" si="135"/>
        <v>0</v>
      </c>
      <c r="AB356" s="1">
        <f t="shared" si="136"/>
        <v>0</v>
      </c>
      <c r="AD356" s="1">
        <f t="shared" si="137"/>
        <v>1</v>
      </c>
      <c r="AE356" s="1">
        <f t="shared" si="138"/>
        <v>0</v>
      </c>
      <c r="AF356" s="1">
        <f t="shared" si="139"/>
        <v>1</v>
      </c>
      <c r="AG356" s="1">
        <f t="shared" si="140"/>
        <v>0</v>
      </c>
      <c r="AH356" s="1">
        <f t="shared" si="141"/>
        <v>1</v>
      </c>
      <c r="AI356" s="1">
        <f t="shared" si="142"/>
        <v>0</v>
      </c>
    </row>
    <row r="357" spans="1:35" s="1" customFormat="1" ht="14.25" customHeight="1" x14ac:dyDescent="0.25">
      <c r="A357" s="31">
        <v>0</v>
      </c>
      <c r="B357" s="31">
        <v>2</v>
      </c>
      <c r="C357" s="31">
        <v>2</v>
      </c>
      <c r="D357" s="32" t="s">
        <v>1604</v>
      </c>
      <c r="E357" s="32" t="s">
        <v>1140</v>
      </c>
      <c r="F357" s="32" t="s">
        <v>1635</v>
      </c>
      <c r="G357" s="32" t="s">
        <v>179</v>
      </c>
      <c r="H357" s="32" t="s">
        <v>352</v>
      </c>
      <c r="I357" s="31" t="s">
        <v>1457</v>
      </c>
      <c r="J357" s="31">
        <v>10</v>
      </c>
      <c r="K357" s="33" t="s">
        <v>703</v>
      </c>
      <c r="L357" s="33">
        <v>15</v>
      </c>
      <c r="M357" s="34" t="s">
        <v>39</v>
      </c>
      <c r="N357" s="34" t="s">
        <v>1741</v>
      </c>
      <c r="O357" s="35">
        <v>1</v>
      </c>
      <c r="P357" s="35"/>
      <c r="Q357" s="32"/>
      <c r="S357" s="1">
        <f t="shared" si="127"/>
        <v>0</v>
      </c>
      <c r="T357" s="1">
        <f t="shared" si="128"/>
        <v>0</v>
      </c>
      <c r="U357" s="1">
        <f t="shared" si="129"/>
        <v>0</v>
      </c>
      <c r="V357" s="1">
        <f t="shared" si="130"/>
        <v>0</v>
      </c>
      <c r="W357" s="1">
        <f t="shared" si="131"/>
        <v>0</v>
      </c>
      <c r="X357" s="1">
        <f t="shared" si="132"/>
        <v>0</v>
      </c>
      <c r="Y357" s="1">
        <f t="shared" si="133"/>
        <v>0</v>
      </c>
      <c r="Z357" s="1">
        <f t="shared" si="134"/>
        <v>0</v>
      </c>
      <c r="AA357" s="1">
        <f t="shared" si="135"/>
        <v>0</v>
      </c>
      <c r="AB357" s="1">
        <f t="shared" si="136"/>
        <v>1</v>
      </c>
      <c r="AD357" s="1">
        <f t="shared" si="137"/>
        <v>0</v>
      </c>
      <c r="AE357" s="1">
        <f t="shared" si="138"/>
        <v>1</v>
      </c>
      <c r="AF357" s="1">
        <f t="shared" si="139"/>
        <v>0</v>
      </c>
      <c r="AG357" s="1">
        <f t="shared" si="140"/>
        <v>1</v>
      </c>
      <c r="AH357" s="1">
        <f t="shared" si="141"/>
        <v>0</v>
      </c>
      <c r="AI357" s="1">
        <f t="shared" si="142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2</v>
      </c>
      <c r="D358" s="32" t="s">
        <v>843</v>
      </c>
      <c r="E358" s="32" t="s">
        <v>540</v>
      </c>
      <c r="F358" s="32" t="s">
        <v>844</v>
      </c>
      <c r="G358" s="32" t="s">
        <v>312</v>
      </c>
      <c r="H358" s="32" t="s">
        <v>352</v>
      </c>
      <c r="I358" s="31" t="s">
        <v>845</v>
      </c>
      <c r="J358" s="31">
        <v>1</v>
      </c>
      <c r="K358" s="33" t="s">
        <v>703</v>
      </c>
      <c r="L358" s="33">
        <v>25</v>
      </c>
      <c r="M358" s="34" t="s">
        <v>39</v>
      </c>
      <c r="N358" s="34" t="s">
        <v>1696</v>
      </c>
      <c r="O358" s="35">
        <v>1</v>
      </c>
      <c r="P358" s="35"/>
      <c r="Q358" s="32"/>
      <c r="S358" s="1">
        <f t="shared" si="127"/>
        <v>1</v>
      </c>
      <c r="T358" s="1">
        <f t="shared" si="128"/>
        <v>0</v>
      </c>
      <c r="U358" s="1">
        <f t="shared" si="129"/>
        <v>0</v>
      </c>
      <c r="V358" s="1">
        <f t="shared" si="130"/>
        <v>0</v>
      </c>
      <c r="W358" s="1">
        <f t="shared" si="131"/>
        <v>0</v>
      </c>
      <c r="X358" s="1">
        <f t="shared" si="132"/>
        <v>0</v>
      </c>
      <c r="Y358" s="1">
        <f t="shared" si="133"/>
        <v>0</v>
      </c>
      <c r="Z358" s="1">
        <f t="shared" si="134"/>
        <v>0</v>
      </c>
      <c r="AA358" s="1">
        <f t="shared" si="135"/>
        <v>0</v>
      </c>
      <c r="AB358" s="1">
        <f t="shared" si="136"/>
        <v>0</v>
      </c>
      <c r="AD358" s="1">
        <f t="shared" si="137"/>
        <v>0</v>
      </c>
      <c r="AE358" s="1">
        <f t="shared" si="138"/>
        <v>1</v>
      </c>
      <c r="AF358" s="1">
        <f t="shared" si="139"/>
        <v>0</v>
      </c>
      <c r="AG358" s="1">
        <f t="shared" si="140"/>
        <v>1</v>
      </c>
      <c r="AH358" s="1">
        <f t="shared" si="141"/>
        <v>0</v>
      </c>
      <c r="AI358" s="1">
        <f t="shared" si="142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562</v>
      </c>
      <c r="E359" s="32" t="s">
        <v>38</v>
      </c>
      <c r="F359" s="32" t="s">
        <v>236</v>
      </c>
      <c r="G359" s="32" t="s">
        <v>535</v>
      </c>
      <c r="H359" s="32" t="s">
        <v>352</v>
      </c>
      <c r="I359" s="31" t="s">
        <v>401</v>
      </c>
      <c r="J359" s="31">
        <v>1</v>
      </c>
      <c r="K359" s="33" t="s">
        <v>703</v>
      </c>
      <c r="L359" s="33" t="s">
        <v>715</v>
      </c>
      <c r="M359" s="34" t="s">
        <v>716</v>
      </c>
      <c r="N359" s="34" t="s">
        <v>1687</v>
      </c>
      <c r="O359" s="35">
        <v>1</v>
      </c>
      <c r="P359" s="35">
        <v>1</v>
      </c>
      <c r="Q359" s="32"/>
      <c r="S359" s="1">
        <f t="shared" si="127"/>
        <v>1</v>
      </c>
      <c r="T359" s="1">
        <f t="shared" si="128"/>
        <v>0</v>
      </c>
      <c r="U359" s="1">
        <f t="shared" si="129"/>
        <v>0</v>
      </c>
      <c r="V359" s="1">
        <f t="shared" si="130"/>
        <v>0</v>
      </c>
      <c r="W359" s="1">
        <f t="shared" si="131"/>
        <v>0</v>
      </c>
      <c r="X359" s="1">
        <f t="shared" si="132"/>
        <v>0</v>
      </c>
      <c r="Y359" s="1">
        <f t="shared" si="133"/>
        <v>0</v>
      </c>
      <c r="Z359" s="1">
        <f t="shared" si="134"/>
        <v>0</v>
      </c>
      <c r="AA359" s="1">
        <f t="shared" si="135"/>
        <v>0</v>
      </c>
      <c r="AB359" s="1">
        <f t="shared" si="136"/>
        <v>0</v>
      </c>
      <c r="AD359" s="1">
        <f t="shared" si="137"/>
        <v>1</v>
      </c>
      <c r="AE359" s="1">
        <f t="shared" si="138"/>
        <v>0</v>
      </c>
      <c r="AF359" s="1">
        <f t="shared" si="139"/>
        <v>1</v>
      </c>
      <c r="AG359" s="1">
        <f t="shared" si="140"/>
        <v>0</v>
      </c>
      <c r="AH359" s="1">
        <f t="shared" si="141"/>
        <v>1</v>
      </c>
      <c r="AI359" s="1">
        <f t="shared" si="142"/>
        <v>0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831</v>
      </c>
      <c r="E360" s="32" t="s">
        <v>34</v>
      </c>
      <c r="F360" s="32" t="s">
        <v>905</v>
      </c>
      <c r="G360" s="32" t="s">
        <v>630</v>
      </c>
      <c r="H360" s="32" t="s">
        <v>352</v>
      </c>
      <c r="I360" s="31" t="s">
        <v>832</v>
      </c>
      <c r="J360" s="31">
        <v>1</v>
      </c>
      <c r="K360" s="33" t="s">
        <v>931</v>
      </c>
      <c r="L360" s="33" t="s">
        <v>720</v>
      </c>
      <c r="M360" s="34" t="s">
        <v>714</v>
      </c>
      <c r="N360" s="34" t="s">
        <v>1696</v>
      </c>
      <c r="O360" s="35">
        <v>1</v>
      </c>
      <c r="P360" s="35"/>
      <c r="Q360" s="32"/>
      <c r="S360" s="1">
        <f t="shared" si="127"/>
        <v>1</v>
      </c>
      <c r="T360" s="1">
        <f t="shared" si="128"/>
        <v>0</v>
      </c>
      <c r="U360" s="1">
        <f t="shared" si="129"/>
        <v>0</v>
      </c>
      <c r="V360" s="1">
        <f t="shared" si="130"/>
        <v>0</v>
      </c>
      <c r="W360" s="1">
        <f t="shared" si="131"/>
        <v>0</v>
      </c>
      <c r="X360" s="1">
        <f t="shared" si="132"/>
        <v>0</v>
      </c>
      <c r="Y360" s="1">
        <f t="shared" si="133"/>
        <v>0</v>
      </c>
      <c r="Z360" s="1">
        <f t="shared" si="134"/>
        <v>0</v>
      </c>
      <c r="AA360" s="1">
        <f t="shared" si="135"/>
        <v>0</v>
      </c>
      <c r="AB360" s="1">
        <f t="shared" si="136"/>
        <v>0</v>
      </c>
      <c r="AD360" s="1">
        <f t="shared" si="137"/>
        <v>0</v>
      </c>
      <c r="AE360" s="1">
        <f t="shared" si="138"/>
        <v>1</v>
      </c>
      <c r="AF360" s="1">
        <f t="shared" si="139"/>
        <v>0</v>
      </c>
      <c r="AG360" s="1">
        <f t="shared" si="140"/>
        <v>1</v>
      </c>
      <c r="AH360" s="1">
        <f t="shared" si="141"/>
        <v>0</v>
      </c>
      <c r="AI360" s="1">
        <f t="shared" si="142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774</v>
      </c>
      <c r="E361" s="32" t="s">
        <v>32</v>
      </c>
      <c r="F361" s="32" t="s">
        <v>775</v>
      </c>
      <c r="G361" s="32" t="s">
        <v>250</v>
      </c>
      <c r="H361" s="32" t="s">
        <v>352</v>
      </c>
      <c r="I361" s="31" t="s">
        <v>776</v>
      </c>
      <c r="J361" s="31">
        <v>99</v>
      </c>
      <c r="K361" s="33" t="s">
        <v>704</v>
      </c>
      <c r="L361" s="33" t="s">
        <v>713</v>
      </c>
      <c r="M361" s="34" t="s">
        <v>714</v>
      </c>
      <c r="N361" s="34" t="s">
        <v>1800</v>
      </c>
      <c r="O361" s="35">
        <v>1</v>
      </c>
      <c r="P361" s="35"/>
      <c r="Q361" s="32"/>
      <c r="S361" s="1">
        <f t="shared" si="127"/>
        <v>0</v>
      </c>
      <c r="T361" s="1">
        <f t="shared" si="128"/>
        <v>0</v>
      </c>
      <c r="U361" s="1">
        <f t="shared" si="129"/>
        <v>0</v>
      </c>
      <c r="V361" s="1">
        <f t="shared" si="130"/>
        <v>0</v>
      </c>
      <c r="W361" s="1">
        <f t="shared" si="131"/>
        <v>0</v>
      </c>
      <c r="X361" s="1">
        <f t="shared" si="132"/>
        <v>0</v>
      </c>
      <c r="Y361" s="1">
        <f t="shared" si="133"/>
        <v>0</v>
      </c>
      <c r="Z361" s="1">
        <f t="shared" si="134"/>
        <v>0</v>
      </c>
      <c r="AA361" s="1">
        <f t="shared" si="135"/>
        <v>0</v>
      </c>
      <c r="AB361" s="1">
        <f t="shared" si="136"/>
        <v>0</v>
      </c>
      <c r="AD361" s="1">
        <f t="shared" si="137"/>
        <v>0</v>
      </c>
      <c r="AE361" s="1">
        <f t="shared" si="138"/>
        <v>1</v>
      </c>
      <c r="AF361" s="1">
        <f t="shared" si="139"/>
        <v>0</v>
      </c>
      <c r="AG361" s="1">
        <f t="shared" si="140"/>
        <v>1</v>
      </c>
      <c r="AH361" s="1">
        <f t="shared" si="141"/>
        <v>0</v>
      </c>
      <c r="AI361" s="1">
        <f t="shared" si="142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56</v>
      </c>
      <c r="E362" s="32" t="s">
        <v>160</v>
      </c>
      <c r="F362" s="32" t="s">
        <v>218</v>
      </c>
      <c r="G362" s="32" t="s">
        <v>195</v>
      </c>
      <c r="H362" s="32" t="s">
        <v>352</v>
      </c>
      <c r="I362" s="31" t="s">
        <v>547</v>
      </c>
      <c r="J362" s="31">
        <v>99</v>
      </c>
      <c r="K362" s="33" t="s">
        <v>704</v>
      </c>
      <c r="L362" s="33" t="s">
        <v>713</v>
      </c>
      <c r="M362" s="34" t="s">
        <v>714</v>
      </c>
      <c r="N362" s="34" t="s">
        <v>1776</v>
      </c>
      <c r="O362" s="35">
        <v>1</v>
      </c>
      <c r="P362" s="35"/>
      <c r="Q362" s="32"/>
      <c r="S362" s="1">
        <f t="shared" si="127"/>
        <v>0</v>
      </c>
      <c r="T362" s="1">
        <f t="shared" si="128"/>
        <v>0</v>
      </c>
      <c r="U362" s="1">
        <f t="shared" si="129"/>
        <v>0</v>
      </c>
      <c r="V362" s="1">
        <f t="shared" si="130"/>
        <v>0</v>
      </c>
      <c r="W362" s="1">
        <f t="shared" si="131"/>
        <v>0</v>
      </c>
      <c r="X362" s="1">
        <f t="shared" si="132"/>
        <v>0</v>
      </c>
      <c r="Y362" s="1">
        <f t="shared" si="133"/>
        <v>0</v>
      </c>
      <c r="Z362" s="1">
        <f t="shared" si="134"/>
        <v>0</v>
      </c>
      <c r="AA362" s="1">
        <f t="shared" si="135"/>
        <v>0</v>
      </c>
      <c r="AB362" s="1">
        <f t="shared" si="136"/>
        <v>0</v>
      </c>
      <c r="AD362" s="1">
        <f t="shared" si="137"/>
        <v>0</v>
      </c>
      <c r="AE362" s="1">
        <f t="shared" si="138"/>
        <v>1</v>
      </c>
      <c r="AF362" s="1">
        <f t="shared" si="139"/>
        <v>0</v>
      </c>
      <c r="AG362" s="1">
        <f t="shared" si="140"/>
        <v>1</v>
      </c>
      <c r="AH362" s="1">
        <f t="shared" si="141"/>
        <v>0</v>
      </c>
      <c r="AI362" s="1">
        <f t="shared" si="142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1147</v>
      </c>
      <c r="E363" s="32" t="s">
        <v>1303</v>
      </c>
      <c r="F363" s="32" t="s">
        <v>1148</v>
      </c>
      <c r="G363" s="32" t="s">
        <v>300</v>
      </c>
      <c r="H363" s="32" t="s">
        <v>352</v>
      </c>
      <c r="I363" s="31" t="s">
        <v>1149</v>
      </c>
      <c r="J363" s="31">
        <v>1</v>
      </c>
      <c r="K363" s="33" t="s">
        <v>932</v>
      </c>
      <c r="L363" s="33" t="s">
        <v>684</v>
      </c>
      <c r="M363" s="34" t="s">
        <v>1379</v>
      </c>
      <c r="N363" s="34" t="s">
        <v>1696</v>
      </c>
      <c r="O363" s="35">
        <v>1</v>
      </c>
      <c r="P363" s="35"/>
      <c r="Q363" s="32"/>
      <c r="S363" s="1">
        <f t="shared" si="127"/>
        <v>1</v>
      </c>
      <c r="T363" s="1">
        <f t="shared" si="128"/>
        <v>0</v>
      </c>
      <c r="U363" s="1">
        <f t="shared" si="129"/>
        <v>0</v>
      </c>
      <c r="V363" s="1">
        <f t="shared" si="130"/>
        <v>0</v>
      </c>
      <c r="W363" s="1">
        <f t="shared" si="131"/>
        <v>0</v>
      </c>
      <c r="X363" s="1">
        <f t="shared" si="132"/>
        <v>0</v>
      </c>
      <c r="Y363" s="1">
        <f t="shared" si="133"/>
        <v>0</v>
      </c>
      <c r="Z363" s="1">
        <f t="shared" si="134"/>
        <v>0</v>
      </c>
      <c r="AA363" s="1">
        <f t="shared" si="135"/>
        <v>0</v>
      </c>
      <c r="AB363" s="1">
        <f t="shared" si="136"/>
        <v>0</v>
      </c>
      <c r="AD363" s="1">
        <f t="shared" si="137"/>
        <v>0</v>
      </c>
      <c r="AE363" s="1">
        <f t="shared" si="138"/>
        <v>1</v>
      </c>
      <c r="AF363" s="1">
        <f t="shared" si="139"/>
        <v>0</v>
      </c>
      <c r="AG363" s="1">
        <f t="shared" si="140"/>
        <v>1</v>
      </c>
      <c r="AH363" s="1">
        <f t="shared" si="141"/>
        <v>0</v>
      </c>
      <c r="AI363" s="1">
        <f t="shared" si="142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1144</v>
      </c>
      <c r="E364" s="32" t="s">
        <v>1303</v>
      </c>
      <c r="F364" s="32" t="s">
        <v>1145</v>
      </c>
      <c r="G364" s="32" t="s">
        <v>1033</v>
      </c>
      <c r="H364" s="32" t="s">
        <v>352</v>
      </c>
      <c r="I364" s="31" t="s">
        <v>1146</v>
      </c>
      <c r="J364" s="31">
        <v>1</v>
      </c>
      <c r="K364" s="33" t="s">
        <v>704</v>
      </c>
      <c r="L364" s="33" t="s">
        <v>684</v>
      </c>
      <c r="M364" s="34" t="s">
        <v>1379</v>
      </c>
      <c r="N364" s="34" t="s">
        <v>1696</v>
      </c>
      <c r="O364" s="35">
        <v>1</v>
      </c>
      <c r="P364" s="35"/>
      <c r="Q364" s="32"/>
      <c r="S364" s="1">
        <f t="shared" si="127"/>
        <v>1</v>
      </c>
      <c r="T364" s="1">
        <f t="shared" si="128"/>
        <v>0</v>
      </c>
      <c r="U364" s="1">
        <f t="shared" si="129"/>
        <v>0</v>
      </c>
      <c r="V364" s="1">
        <f t="shared" si="130"/>
        <v>0</v>
      </c>
      <c r="W364" s="1">
        <f t="shared" si="131"/>
        <v>0</v>
      </c>
      <c r="X364" s="1">
        <f t="shared" si="132"/>
        <v>0</v>
      </c>
      <c r="Y364" s="1">
        <f t="shared" si="133"/>
        <v>0</v>
      </c>
      <c r="Z364" s="1">
        <f t="shared" si="134"/>
        <v>0</v>
      </c>
      <c r="AA364" s="1">
        <f t="shared" si="135"/>
        <v>0</v>
      </c>
      <c r="AB364" s="1">
        <f t="shared" si="136"/>
        <v>0</v>
      </c>
      <c r="AD364" s="1">
        <f t="shared" si="137"/>
        <v>0</v>
      </c>
      <c r="AE364" s="1">
        <f t="shared" si="138"/>
        <v>1</v>
      </c>
      <c r="AF364" s="1">
        <f t="shared" si="139"/>
        <v>0</v>
      </c>
      <c r="AG364" s="1">
        <f t="shared" si="140"/>
        <v>1</v>
      </c>
      <c r="AH364" s="1">
        <f t="shared" si="141"/>
        <v>0</v>
      </c>
      <c r="AI364" s="1">
        <f t="shared" si="142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1262</v>
      </c>
      <c r="E365" s="32" t="s">
        <v>32</v>
      </c>
      <c r="F365" s="32" t="s">
        <v>1263</v>
      </c>
      <c r="G365" s="32" t="s">
        <v>221</v>
      </c>
      <c r="H365" s="32" t="s">
        <v>352</v>
      </c>
      <c r="I365" s="31" t="s">
        <v>1649</v>
      </c>
      <c r="J365" s="31">
        <v>99</v>
      </c>
      <c r="K365" s="33" t="s">
        <v>704</v>
      </c>
      <c r="L365" s="33" t="s">
        <v>707</v>
      </c>
      <c r="M365" s="34" t="s">
        <v>1264</v>
      </c>
      <c r="N365" s="34" t="s">
        <v>1687</v>
      </c>
      <c r="O365" s="35">
        <v>1</v>
      </c>
      <c r="P365" s="35">
        <v>1</v>
      </c>
      <c r="Q365" s="32"/>
      <c r="S365" s="1">
        <f t="shared" si="127"/>
        <v>0</v>
      </c>
      <c r="T365" s="1">
        <f t="shared" si="128"/>
        <v>0</v>
      </c>
      <c r="U365" s="1">
        <f t="shared" si="129"/>
        <v>0</v>
      </c>
      <c r="V365" s="1">
        <f t="shared" si="130"/>
        <v>0</v>
      </c>
      <c r="W365" s="1">
        <f t="shared" si="131"/>
        <v>0</v>
      </c>
      <c r="X365" s="1">
        <f t="shared" si="132"/>
        <v>0</v>
      </c>
      <c r="Y365" s="1">
        <f t="shared" si="133"/>
        <v>0</v>
      </c>
      <c r="Z365" s="1">
        <f t="shared" si="134"/>
        <v>0</v>
      </c>
      <c r="AA365" s="1">
        <f t="shared" si="135"/>
        <v>0</v>
      </c>
      <c r="AB365" s="1">
        <f t="shared" si="136"/>
        <v>0</v>
      </c>
      <c r="AD365" s="1">
        <f t="shared" si="137"/>
        <v>1</v>
      </c>
      <c r="AE365" s="1">
        <f t="shared" si="138"/>
        <v>0</v>
      </c>
      <c r="AF365" s="1">
        <f t="shared" si="139"/>
        <v>1</v>
      </c>
      <c r="AG365" s="1">
        <f t="shared" si="140"/>
        <v>0</v>
      </c>
      <c r="AH365" s="1">
        <f t="shared" si="141"/>
        <v>1</v>
      </c>
      <c r="AI365" s="1">
        <f t="shared" si="142"/>
        <v>0</v>
      </c>
    </row>
    <row r="366" spans="1:35" s="1" customFormat="1" ht="14.25" customHeight="1" x14ac:dyDescent="0.25">
      <c r="A366" s="31">
        <v>0</v>
      </c>
      <c r="B366" s="31">
        <v>2</v>
      </c>
      <c r="C366" s="31">
        <v>3</v>
      </c>
      <c r="D366" s="32" t="s">
        <v>742</v>
      </c>
      <c r="E366" s="32" t="s">
        <v>892</v>
      </c>
      <c r="F366" s="32" t="s">
        <v>743</v>
      </c>
      <c r="G366" s="32" t="s">
        <v>219</v>
      </c>
      <c r="H366" s="32" t="s">
        <v>352</v>
      </c>
      <c r="I366" s="31" t="s">
        <v>744</v>
      </c>
      <c r="J366" s="31">
        <v>8</v>
      </c>
      <c r="K366" s="33" t="s">
        <v>932</v>
      </c>
      <c r="L366" s="33" t="s">
        <v>720</v>
      </c>
      <c r="M366" s="34" t="s">
        <v>714</v>
      </c>
      <c r="N366" s="34" t="s">
        <v>1700</v>
      </c>
      <c r="O366" s="35">
        <v>1</v>
      </c>
      <c r="P366" s="35"/>
      <c r="Q366" s="32"/>
      <c r="S366" s="1">
        <f t="shared" si="127"/>
        <v>0</v>
      </c>
      <c r="T366" s="1">
        <f t="shared" si="128"/>
        <v>0</v>
      </c>
      <c r="U366" s="1">
        <f t="shared" si="129"/>
        <v>0</v>
      </c>
      <c r="V366" s="1">
        <f t="shared" si="130"/>
        <v>0</v>
      </c>
      <c r="W366" s="1">
        <f t="shared" si="131"/>
        <v>0</v>
      </c>
      <c r="X366" s="1">
        <f t="shared" si="132"/>
        <v>0</v>
      </c>
      <c r="Y366" s="1">
        <f t="shared" si="133"/>
        <v>0</v>
      </c>
      <c r="Z366" s="1">
        <f t="shared" si="134"/>
        <v>1</v>
      </c>
      <c r="AA366" s="1">
        <f t="shared" si="135"/>
        <v>0</v>
      </c>
      <c r="AB366" s="1">
        <f t="shared" si="136"/>
        <v>0</v>
      </c>
      <c r="AD366" s="1">
        <f t="shared" si="137"/>
        <v>0</v>
      </c>
      <c r="AE366" s="1">
        <f t="shared" si="138"/>
        <v>1</v>
      </c>
      <c r="AF366" s="1">
        <f t="shared" si="139"/>
        <v>0</v>
      </c>
      <c r="AG366" s="1">
        <f t="shared" si="140"/>
        <v>1</v>
      </c>
      <c r="AH366" s="1">
        <f t="shared" si="141"/>
        <v>0</v>
      </c>
      <c r="AI366" s="1">
        <f t="shared" si="142"/>
        <v>1</v>
      </c>
    </row>
    <row r="367" spans="1:35" s="1" customFormat="1" ht="14.25" customHeight="1" x14ac:dyDescent="0.25">
      <c r="A367" s="44">
        <v>0</v>
      </c>
      <c r="B367" s="44">
        <v>2</v>
      </c>
      <c r="C367" s="44">
        <v>3</v>
      </c>
      <c r="D367" s="45" t="s">
        <v>1458</v>
      </c>
      <c r="E367" s="45" t="s">
        <v>1459</v>
      </c>
      <c r="F367" s="45" t="s">
        <v>1460</v>
      </c>
      <c r="G367" s="45" t="s">
        <v>237</v>
      </c>
      <c r="H367" s="45" t="s">
        <v>352</v>
      </c>
      <c r="I367" s="44" t="s">
        <v>1461</v>
      </c>
      <c r="J367" s="44">
        <v>4</v>
      </c>
      <c r="K367" s="46" t="s">
        <v>703</v>
      </c>
      <c r="L367" s="46">
        <v>15</v>
      </c>
      <c r="M367" s="47" t="s">
        <v>39</v>
      </c>
      <c r="N367" s="47" t="s">
        <v>1753</v>
      </c>
      <c r="O367" s="48"/>
      <c r="P367" s="48"/>
      <c r="Q367" s="45"/>
      <c r="S367" s="1">
        <f t="shared" si="127"/>
        <v>0</v>
      </c>
      <c r="T367" s="1">
        <f t="shared" si="128"/>
        <v>0</v>
      </c>
      <c r="U367" s="1">
        <f t="shared" si="129"/>
        <v>0</v>
      </c>
      <c r="V367" s="1">
        <f t="shared" si="130"/>
        <v>1</v>
      </c>
      <c r="W367" s="1">
        <f t="shared" si="131"/>
        <v>0</v>
      </c>
      <c r="X367" s="1">
        <f t="shared" si="132"/>
        <v>0</v>
      </c>
      <c r="Y367" s="1">
        <f t="shared" si="133"/>
        <v>0</v>
      </c>
      <c r="Z367" s="1">
        <f t="shared" si="134"/>
        <v>0</v>
      </c>
      <c r="AA367" s="1">
        <f t="shared" si="135"/>
        <v>0</v>
      </c>
      <c r="AB367" s="1">
        <f t="shared" si="136"/>
        <v>0</v>
      </c>
      <c r="AD367" s="1">
        <f t="shared" si="137"/>
        <v>0</v>
      </c>
      <c r="AE367" s="1">
        <f t="shared" si="138"/>
        <v>0</v>
      </c>
      <c r="AF367" s="1">
        <f t="shared" si="139"/>
        <v>0</v>
      </c>
      <c r="AG367" s="1">
        <f t="shared" si="140"/>
        <v>0</v>
      </c>
      <c r="AH367" s="1">
        <f t="shared" si="141"/>
        <v>0</v>
      </c>
      <c r="AI367" s="1">
        <f t="shared" si="142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3</v>
      </c>
      <c r="D368" s="32" t="s">
        <v>1514</v>
      </c>
      <c r="E368" s="32" t="s">
        <v>1515</v>
      </c>
      <c r="F368" s="32" t="s">
        <v>1516</v>
      </c>
      <c r="G368" s="32" t="s">
        <v>1517</v>
      </c>
      <c r="H368" s="32" t="s">
        <v>352</v>
      </c>
      <c r="I368" s="31" t="s">
        <v>1518</v>
      </c>
      <c r="J368" s="31">
        <v>7</v>
      </c>
      <c r="K368" s="33" t="s">
        <v>932</v>
      </c>
      <c r="L368" s="33">
        <v>10</v>
      </c>
      <c r="M368" s="34" t="s">
        <v>39</v>
      </c>
      <c r="N368" s="34" t="s">
        <v>1696</v>
      </c>
      <c r="O368" s="35">
        <v>1</v>
      </c>
      <c r="P368" s="35"/>
      <c r="Q368" s="32"/>
      <c r="S368" s="1">
        <f t="shared" si="127"/>
        <v>0</v>
      </c>
      <c r="T368" s="1">
        <f t="shared" si="128"/>
        <v>0</v>
      </c>
      <c r="U368" s="1">
        <f t="shared" si="129"/>
        <v>0</v>
      </c>
      <c r="V368" s="1">
        <f t="shared" si="130"/>
        <v>0</v>
      </c>
      <c r="W368" s="1">
        <f t="shared" si="131"/>
        <v>0</v>
      </c>
      <c r="X368" s="1">
        <f t="shared" si="132"/>
        <v>0</v>
      </c>
      <c r="Y368" s="1">
        <f t="shared" si="133"/>
        <v>1</v>
      </c>
      <c r="Z368" s="1">
        <f t="shared" si="134"/>
        <v>0</v>
      </c>
      <c r="AA368" s="1">
        <f t="shared" si="135"/>
        <v>0</v>
      </c>
      <c r="AB368" s="1">
        <f t="shared" si="136"/>
        <v>0</v>
      </c>
      <c r="AD368" s="1">
        <f t="shared" si="137"/>
        <v>0</v>
      </c>
      <c r="AE368" s="1">
        <f t="shared" si="138"/>
        <v>1</v>
      </c>
      <c r="AF368" s="1">
        <f t="shared" si="139"/>
        <v>0</v>
      </c>
      <c r="AG368" s="1">
        <f t="shared" si="140"/>
        <v>1</v>
      </c>
      <c r="AH368" s="1">
        <f t="shared" si="141"/>
        <v>0</v>
      </c>
      <c r="AI368" s="1">
        <f t="shared" si="142"/>
        <v>1</v>
      </c>
    </row>
    <row r="369" spans="1:35" s="1" customFormat="1" ht="14.25" customHeight="1" x14ac:dyDescent="0.25">
      <c r="A369" s="31">
        <v>0</v>
      </c>
      <c r="B369" s="31">
        <v>2</v>
      </c>
      <c r="C369" s="31">
        <v>3</v>
      </c>
      <c r="D369" s="32" t="s">
        <v>822</v>
      </c>
      <c r="E369" s="32" t="s">
        <v>32</v>
      </c>
      <c r="F369" s="32" t="s">
        <v>824</v>
      </c>
      <c r="G369" s="32" t="s">
        <v>39</v>
      </c>
      <c r="H369" s="32" t="s">
        <v>352</v>
      </c>
      <c r="I369" s="31" t="s">
        <v>823</v>
      </c>
      <c r="J369" s="31">
        <v>1</v>
      </c>
      <c r="K369" s="33" t="s">
        <v>704</v>
      </c>
      <c r="L369" s="33" t="s">
        <v>685</v>
      </c>
      <c r="M369" s="34" t="s">
        <v>1379</v>
      </c>
      <c r="N369" s="34" t="s">
        <v>1696</v>
      </c>
      <c r="O369" s="35">
        <v>1</v>
      </c>
      <c r="P369" s="35"/>
      <c r="Q369" s="32"/>
      <c r="S369" s="1">
        <f t="shared" si="127"/>
        <v>1</v>
      </c>
      <c r="T369" s="1">
        <f t="shared" si="128"/>
        <v>0</v>
      </c>
      <c r="U369" s="1">
        <f t="shared" si="129"/>
        <v>0</v>
      </c>
      <c r="V369" s="1">
        <f t="shared" si="130"/>
        <v>0</v>
      </c>
      <c r="W369" s="1">
        <f t="shared" si="131"/>
        <v>0</v>
      </c>
      <c r="X369" s="1">
        <f t="shared" si="132"/>
        <v>0</v>
      </c>
      <c r="Y369" s="1">
        <f t="shared" si="133"/>
        <v>0</v>
      </c>
      <c r="Z369" s="1">
        <f t="shared" si="134"/>
        <v>0</v>
      </c>
      <c r="AA369" s="1">
        <f t="shared" si="135"/>
        <v>0</v>
      </c>
      <c r="AB369" s="1">
        <f t="shared" si="136"/>
        <v>0</v>
      </c>
      <c r="AD369" s="1">
        <f t="shared" si="137"/>
        <v>0</v>
      </c>
      <c r="AE369" s="1">
        <f t="shared" si="138"/>
        <v>1</v>
      </c>
      <c r="AF369" s="1">
        <f t="shared" si="139"/>
        <v>0</v>
      </c>
      <c r="AG369" s="1">
        <f t="shared" si="140"/>
        <v>1</v>
      </c>
      <c r="AH369" s="1">
        <f t="shared" si="141"/>
        <v>0</v>
      </c>
      <c r="AI369" s="1">
        <f t="shared" si="142"/>
        <v>1</v>
      </c>
    </row>
    <row r="370" spans="1:35" s="1" customFormat="1" ht="14.25" customHeight="1" x14ac:dyDescent="0.25">
      <c r="A370" s="15">
        <v>0</v>
      </c>
      <c r="B370" s="15">
        <v>2</v>
      </c>
      <c r="C370" s="15">
        <v>4</v>
      </c>
      <c r="D370" s="16" t="s">
        <v>745</v>
      </c>
      <c r="E370" s="16" t="s">
        <v>746</v>
      </c>
      <c r="F370" s="16" t="s">
        <v>747</v>
      </c>
      <c r="G370" s="16" t="s">
        <v>748</v>
      </c>
      <c r="H370" s="16" t="s">
        <v>352</v>
      </c>
      <c r="I370" s="15" t="s">
        <v>749</v>
      </c>
      <c r="J370" s="15">
        <v>99</v>
      </c>
      <c r="K370" s="10" t="s">
        <v>694</v>
      </c>
      <c r="L370" s="10">
        <v>15</v>
      </c>
      <c r="M370" s="19" t="s">
        <v>750</v>
      </c>
      <c r="N370" s="19"/>
      <c r="Q370" s="16"/>
      <c r="S370" s="1">
        <f t="shared" si="127"/>
        <v>0</v>
      </c>
      <c r="T370" s="1">
        <f t="shared" si="128"/>
        <v>0</v>
      </c>
      <c r="U370" s="1">
        <f t="shared" si="129"/>
        <v>0</v>
      </c>
      <c r="V370" s="1">
        <f t="shared" si="130"/>
        <v>0</v>
      </c>
      <c r="W370" s="1">
        <f t="shared" si="131"/>
        <v>0</v>
      </c>
      <c r="X370" s="1">
        <f t="shared" si="132"/>
        <v>0</v>
      </c>
      <c r="Y370" s="1">
        <f t="shared" si="133"/>
        <v>0</v>
      </c>
      <c r="Z370" s="1">
        <f t="shared" si="134"/>
        <v>0</v>
      </c>
      <c r="AA370" s="1">
        <f t="shared" si="135"/>
        <v>0</v>
      </c>
      <c r="AB370" s="1">
        <f t="shared" si="136"/>
        <v>0</v>
      </c>
      <c r="AD370" s="1">
        <f t="shared" si="137"/>
        <v>0</v>
      </c>
      <c r="AE370" s="1">
        <f t="shared" si="138"/>
        <v>0</v>
      </c>
      <c r="AF370" s="1">
        <f t="shared" si="139"/>
        <v>0</v>
      </c>
      <c r="AG370" s="1">
        <f t="shared" si="140"/>
        <v>0</v>
      </c>
      <c r="AH370" s="1">
        <f t="shared" si="141"/>
        <v>0</v>
      </c>
      <c r="AI370" s="1">
        <f t="shared" si="142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779</v>
      </c>
      <c r="E371" s="32" t="s">
        <v>887</v>
      </c>
      <c r="F371" s="32" t="s">
        <v>904</v>
      </c>
      <c r="G371" s="32" t="s">
        <v>207</v>
      </c>
      <c r="H371" s="32" t="s">
        <v>352</v>
      </c>
      <c r="I371" s="31" t="s">
        <v>1329</v>
      </c>
      <c r="J371" s="31">
        <v>3</v>
      </c>
      <c r="K371" s="33" t="s">
        <v>694</v>
      </c>
      <c r="L371" s="33">
        <v>20</v>
      </c>
      <c r="M371" s="34" t="s">
        <v>1381</v>
      </c>
      <c r="N371" s="34" t="s">
        <v>1776</v>
      </c>
      <c r="O371" s="35">
        <v>1</v>
      </c>
      <c r="P371" s="35"/>
      <c r="Q371" s="32"/>
      <c r="S371" s="1">
        <f t="shared" si="127"/>
        <v>0</v>
      </c>
      <c r="T371" s="1">
        <f t="shared" si="128"/>
        <v>0</v>
      </c>
      <c r="U371" s="1">
        <f t="shared" si="129"/>
        <v>1</v>
      </c>
      <c r="V371" s="1">
        <f t="shared" si="130"/>
        <v>0</v>
      </c>
      <c r="W371" s="1">
        <f t="shared" si="131"/>
        <v>0</v>
      </c>
      <c r="X371" s="1">
        <f t="shared" si="132"/>
        <v>0</v>
      </c>
      <c r="Y371" s="1">
        <f t="shared" si="133"/>
        <v>0</v>
      </c>
      <c r="Z371" s="1">
        <f t="shared" si="134"/>
        <v>0</v>
      </c>
      <c r="AA371" s="1">
        <f t="shared" si="135"/>
        <v>0</v>
      </c>
      <c r="AB371" s="1">
        <f t="shared" si="136"/>
        <v>0</v>
      </c>
      <c r="AD371" s="1">
        <f t="shared" si="137"/>
        <v>0</v>
      </c>
      <c r="AE371" s="1">
        <f t="shared" si="138"/>
        <v>1</v>
      </c>
      <c r="AF371" s="1">
        <f t="shared" si="139"/>
        <v>0</v>
      </c>
      <c r="AG371" s="1">
        <f t="shared" si="140"/>
        <v>1</v>
      </c>
      <c r="AH371" s="1">
        <f t="shared" si="141"/>
        <v>0</v>
      </c>
      <c r="AI371" s="1">
        <f t="shared" si="142"/>
        <v>1</v>
      </c>
    </row>
    <row r="372" spans="1:35" s="1" customFormat="1" ht="14.25" customHeight="1" x14ac:dyDescent="0.25">
      <c r="A372" s="51">
        <v>0</v>
      </c>
      <c r="B372" s="51">
        <v>2</v>
      </c>
      <c r="C372" s="51">
        <v>4</v>
      </c>
      <c r="D372" s="52" t="s">
        <v>561</v>
      </c>
      <c r="E372" s="52" t="s">
        <v>37</v>
      </c>
      <c r="F372" s="52" t="s">
        <v>204</v>
      </c>
      <c r="G372" s="52" t="s">
        <v>39</v>
      </c>
      <c r="H372" s="52" t="s">
        <v>352</v>
      </c>
      <c r="I372" s="51" t="s">
        <v>387</v>
      </c>
      <c r="J372" s="51">
        <v>6</v>
      </c>
      <c r="K372" s="53" t="s">
        <v>694</v>
      </c>
      <c r="L372" s="53" t="s">
        <v>39</v>
      </c>
      <c r="M372" s="54" t="s">
        <v>39</v>
      </c>
      <c r="N372" s="55"/>
      <c r="O372" s="56"/>
      <c r="P372" s="56"/>
      <c r="Q372" s="52"/>
      <c r="S372" s="1">
        <f t="shared" si="127"/>
        <v>0</v>
      </c>
      <c r="T372" s="1">
        <f t="shared" si="128"/>
        <v>0</v>
      </c>
      <c r="U372" s="1">
        <f t="shared" si="129"/>
        <v>0</v>
      </c>
      <c r="V372" s="1">
        <f t="shared" si="130"/>
        <v>0</v>
      </c>
      <c r="W372" s="1">
        <f t="shared" si="131"/>
        <v>0</v>
      </c>
      <c r="X372" s="1">
        <f t="shared" si="132"/>
        <v>1</v>
      </c>
      <c r="Y372" s="1">
        <f t="shared" si="133"/>
        <v>0</v>
      </c>
      <c r="Z372" s="1">
        <f t="shared" si="134"/>
        <v>0</v>
      </c>
      <c r="AA372" s="1">
        <f t="shared" si="135"/>
        <v>0</v>
      </c>
      <c r="AB372" s="1">
        <f t="shared" si="136"/>
        <v>0</v>
      </c>
      <c r="AD372" s="1">
        <f t="shared" si="137"/>
        <v>0</v>
      </c>
      <c r="AE372" s="1">
        <f t="shared" si="138"/>
        <v>0</v>
      </c>
      <c r="AF372" s="1">
        <f t="shared" si="139"/>
        <v>0</v>
      </c>
      <c r="AG372" s="1">
        <f t="shared" si="140"/>
        <v>0</v>
      </c>
      <c r="AH372" s="1">
        <f t="shared" si="141"/>
        <v>0</v>
      </c>
      <c r="AI372" s="1">
        <f t="shared" si="142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645</v>
      </c>
      <c r="E373" s="32" t="s">
        <v>889</v>
      </c>
      <c r="F373" s="32" t="s">
        <v>616</v>
      </c>
      <c r="G373" s="32" t="s">
        <v>339</v>
      </c>
      <c r="H373" s="32" t="s">
        <v>352</v>
      </c>
      <c r="I373" s="31" t="s">
        <v>617</v>
      </c>
      <c r="J373" s="31">
        <v>10</v>
      </c>
      <c r="K373" s="33" t="s">
        <v>931</v>
      </c>
      <c r="L373" s="33" t="s">
        <v>695</v>
      </c>
      <c r="M373" s="34" t="s">
        <v>1382</v>
      </c>
      <c r="N373" s="34" t="s">
        <v>1701</v>
      </c>
      <c r="O373" s="35">
        <v>1</v>
      </c>
      <c r="P373" s="35"/>
      <c r="Q373" s="32"/>
      <c r="S373" s="1">
        <f t="shared" si="127"/>
        <v>0</v>
      </c>
      <c r="T373" s="1">
        <f t="shared" si="128"/>
        <v>0</v>
      </c>
      <c r="U373" s="1">
        <f t="shared" si="129"/>
        <v>0</v>
      </c>
      <c r="V373" s="1">
        <f t="shared" si="130"/>
        <v>0</v>
      </c>
      <c r="W373" s="1">
        <f t="shared" si="131"/>
        <v>0</v>
      </c>
      <c r="X373" s="1">
        <f t="shared" si="132"/>
        <v>0</v>
      </c>
      <c r="Y373" s="1">
        <f t="shared" si="133"/>
        <v>0</v>
      </c>
      <c r="Z373" s="1">
        <f t="shared" si="134"/>
        <v>0</v>
      </c>
      <c r="AA373" s="1">
        <f t="shared" si="135"/>
        <v>0</v>
      </c>
      <c r="AB373" s="1">
        <f t="shared" si="136"/>
        <v>1</v>
      </c>
      <c r="AD373" s="1">
        <f t="shared" si="137"/>
        <v>0</v>
      </c>
      <c r="AE373" s="1">
        <f t="shared" si="138"/>
        <v>1</v>
      </c>
      <c r="AF373" s="1">
        <f t="shared" si="139"/>
        <v>0</v>
      </c>
      <c r="AG373" s="1">
        <f t="shared" si="140"/>
        <v>1</v>
      </c>
      <c r="AH373" s="1">
        <f t="shared" si="141"/>
        <v>0</v>
      </c>
      <c r="AI373" s="1">
        <f t="shared" si="142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75</v>
      </c>
      <c r="E374" s="32" t="s">
        <v>35</v>
      </c>
      <c r="F374" s="32" t="s">
        <v>265</v>
      </c>
      <c r="G374" s="32" t="s">
        <v>212</v>
      </c>
      <c r="H374" s="32" t="s">
        <v>352</v>
      </c>
      <c r="I374" s="31" t="s">
        <v>923</v>
      </c>
      <c r="J374" s="31">
        <v>1</v>
      </c>
      <c r="K374" s="33" t="s">
        <v>704</v>
      </c>
      <c r="L374" s="33" t="s">
        <v>695</v>
      </c>
      <c r="M374" s="34" t="s">
        <v>1383</v>
      </c>
      <c r="N374" s="34" t="s">
        <v>1696</v>
      </c>
      <c r="O374" s="35">
        <v>1</v>
      </c>
      <c r="P374" s="35"/>
      <c r="Q374" s="32"/>
      <c r="S374" s="1">
        <f t="shared" si="127"/>
        <v>1</v>
      </c>
      <c r="T374" s="1">
        <f t="shared" si="128"/>
        <v>0</v>
      </c>
      <c r="U374" s="1">
        <f t="shared" si="129"/>
        <v>0</v>
      </c>
      <c r="V374" s="1">
        <f t="shared" si="130"/>
        <v>0</v>
      </c>
      <c r="W374" s="1">
        <f t="shared" si="131"/>
        <v>0</v>
      </c>
      <c r="X374" s="1">
        <f t="shared" si="132"/>
        <v>0</v>
      </c>
      <c r="Y374" s="1">
        <f t="shared" si="133"/>
        <v>0</v>
      </c>
      <c r="Z374" s="1">
        <f t="shared" si="134"/>
        <v>0</v>
      </c>
      <c r="AA374" s="1">
        <f t="shared" si="135"/>
        <v>0</v>
      </c>
      <c r="AB374" s="1">
        <f t="shared" si="136"/>
        <v>0</v>
      </c>
      <c r="AD374" s="1">
        <f t="shared" si="137"/>
        <v>0</v>
      </c>
      <c r="AE374" s="1">
        <f t="shared" si="138"/>
        <v>1</v>
      </c>
      <c r="AF374" s="1">
        <f t="shared" si="139"/>
        <v>0</v>
      </c>
      <c r="AG374" s="1">
        <f t="shared" si="140"/>
        <v>1</v>
      </c>
      <c r="AH374" s="1">
        <f t="shared" si="141"/>
        <v>0</v>
      </c>
      <c r="AI374" s="1">
        <f t="shared" si="142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898</v>
      </c>
      <c r="E375" s="32" t="s">
        <v>891</v>
      </c>
      <c r="F375" s="32" t="s">
        <v>763</v>
      </c>
      <c r="G375" s="32" t="s">
        <v>283</v>
      </c>
      <c r="H375" s="32" t="s">
        <v>352</v>
      </c>
      <c r="I375" s="31" t="s">
        <v>924</v>
      </c>
      <c r="J375" s="31">
        <v>4</v>
      </c>
      <c r="K375" s="33" t="s">
        <v>704</v>
      </c>
      <c r="L375" s="33" t="s">
        <v>687</v>
      </c>
      <c r="M375" s="34" t="s">
        <v>1384</v>
      </c>
      <c r="N375" s="34" t="s">
        <v>1701</v>
      </c>
      <c r="O375" s="35">
        <v>1</v>
      </c>
      <c r="P375" s="35"/>
      <c r="Q375" s="32"/>
      <c r="S375" s="1">
        <f t="shared" si="127"/>
        <v>0</v>
      </c>
      <c r="T375" s="1">
        <f t="shared" si="128"/>
        <v>0</v>
      </c>
      <c r="U375" s="1">
        <f t="shared" si="129"/>
        <v>0</v>
      </c>
      <c r="V375" s="1">
        <f t="shared" si="130"/>
        <v>1</v>
      </c>
      <c r="W375" s="1">
        <f t="shared" si="131"/>
        <v>0</v>
      </c>
      <c r="X375" s="1">
        <f t="shared" si="132"/>
        <v>0</v>
      </c>
      <c r="Y375" s="1">
        <f t="shared" si="133"/>
        <v>0</v>
      </c>
      <c r="Z375" s="1">
        <f t="shared" si="134"/>
        <v>0</v>
      </c>
      <c r="AA375" s="1">
        <f t="shared" si="135"/>
        <v>0</v>
      </c>
      <c r="AB375" s="1">
        <f t="shared" si="136"/>
        <v>0</v>
      </c>
      <c r="AD375" s="1">
        <f t="shared" si="137"/>
        <v>0</v>
      </c>
      <c r="AE375" s="1">
        <f t="shared" si="138"/>
        <v>1</v>
      </c>
      <c r="AF375" s="1">
        <f t="shared" si="139"/>
        <v>0</v>
      </c>
      <c r="AG375" s="1">
        <f t="shared" si="140"/>
        <v>1</v>
      </c>
      <c r="AH375" s="1">
        <f t="shared" si="141"/>
        <v>0</v>
      </c>
      <c r="AI375" s="1">
        <f t="shared" si="142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621</v>
      </c>
      <c r="E376" s="32" t="s">
        <v>676</v>
      </c>
      <c r="F376" s="32" t="s">
        <v>662</v>
      </c>
      <c r="G376" s="32" t="s">
        <v>620</v>
      </c>
      <c r="H376" s="32" t="s">
        <v>352</v>
      </c>
      <c r="I376" s="31" t="s">
        <v>622</v>
      </c>
      <c r="J376" s="31">
        <v>99</v>
      </c>
      <c r="K376" s="33" t="s">
        <v>932</v>
      </c>
      <c r="L376" s="33" t="s">
        <v>39</v>
      </c>
      <c r="M376" s="34" t="s">
        <v>39</v>
      </c>
      <c r="N376" s="34" t="s">
        <v>1693</v>
      </c>
      <c r="O376" s="35">
        <v>1</v>
      </c>
      <c r="P376" s="35">
        <v>1</v>
      </c>
      <c r="Q376" s="32" t="s">
        <v>1847</v>
      </c>
      <c r="S376" s="1">
        <f t="shared" si="127"/>
        <v>0</v>
      </c>
      <c r="T376" s="1">
        <f t="shared" si="128"/>
        <v>0</v>
      </c>
      <c r="U376" s="1">
        <f t="shared" si="129"/>
        <v>0</v>
      </c>
      <c r="V376" s="1">
        <f t="shared" si="130"/>
        <v>0</v>
      </c>
      <c r="W376" s="1">
        <f t="shared" si="131"/>
        <v>0</v>
      </c>
      <c r="X376" s="1">
        <f t="shared" si="132"/>
        <v>0</v>
      </c>
      <c r="Y376" s="1">
        <f t="shared" si="133"/>
        <v>0</v>
      </c>
      <c r="Z376" s="1">
        <f t="shared" si="134"/>
        <v>0</v>
      </c>
      <c r="AA376" s="1">
        <f t="shared" si="135"/>
        <v>0</v>
      </c>
      <c r="AB376" s="1">
        <f t="shared" si="136"/>
        <v>0</v>
      </c>
      <c r="AD376" s="1">
        <f t="shared" si="137"/>
        <v>1</v>
      </c>
      <c r="AE376" s="1">
        <f t="shared" si="138"/>
        <v>0</v>
      </c>
      <c r="AF376" s="1">
        <f t="shared" si="139"/>
        <v>1</v>
      </c>
      <c r="AG376" s="1">
        <f t="shared" si="140"/>
        <v>0</v>
      </c>
      <c r="AH376" s="1">
        <f t="shared" si="141"/>
        <v>1</v>
      </c>
      <c r="AI376" s="1">
        <f t="shared" si="142"/>
        <v>0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84</v>
      </c>
      <c r="E377" s="32" t="s">
        <v>35</v>
      </c>
      <c r="F377" s="32" t="s">
        <v>276</v>
      </c>
      <c r="G377" s="32" t="s">
        <v>223</v>
      </c>
      <c r="H377" s="32" t="s">
        <v>352</v>
      </c>
      <c r="I377" s="31" t="s">
        <v>431</v>
      </c>
      <c r="J377" s="31">
        <v>99</v>
      </c>
      <c r="K377" s="33" t="s">
        <v>931</v>
      </c>
      <c r="L377" s="33" t="s">
        <v>695</v>
      </c>
      <c r="M377" s="34" t="s">
        <v>717</v>
      </c>
      <c r="N377" s="34" t="s">
        <v>1713</v>
      </c>
      <c r="O377" s="35">
        <v>1</v>
      </c>
      <c r="P377" s="35"/>
      <c r="Q377" s="32"/>
      <c r="S377" s="1">
        <f t="shared" si="127"/>
        <v>0</v>
      </c>
      <c r="T377" s="1">
        <f t="shared" si="128"/>
        <v>0</v>
      </c>
      <c r="U377" s="1">
        <f t="shared" si="129"/>
        <v>0</v>
      </c>
      <c r="V377" s="1">
        <f t="shared" si="130"/>
        <v>0</v>
      </c>
      <c r="W377" s="1">
        <f t="shared" si="131"/>
        <v>0</v>
      </c>
      <c r="X377" s="1">
        <f t="shared" si="132"/>
        <v>0</v>
      </c>
      <c r="Y377" s="1">
        <f t="shared" si="133"/>
        <v>0</v>
      </c>
      <c r="Z377" s="1">
        <f t="shared" si="134"/>
        <v>0</v>
      </c>
      <c r="AA377" s="1">
        <f t="shared" si="135"/>
        <v>0</v>
      </c>
      <c r="AB377" s="1">
        <f t="shared" si="136"/>
        <v>0</v>
      </c>
      <c r="AD377" s="1">
        <f t="shared" si="137"/>
        <v>0</v>
      </c>
      <c r="AE377" s="1">
        <f t="shared" si="138"/>
        <v>1</v>
      </c>
      <c r="AF377" s="1">
        <f t="shared" si="139"/>
        <v>0</v>
      </c>
      <c r="AG377" s="1">
        <f t="shared" si="140"/>
        <v>1</v>
      </c>
      <c r="AH377" s="1">
        <f t="shared" si="141"/>
        <v>0</v>
      </c>
      <c r="AI377" s="1">
        <f t="shared" si="142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860</v>
      </c>
      <c r="E378" s="32" t="s">
        <v>753</v>
      </c>
      <c r="F378" s="32" t="s">
        <v>858</v>
      </c>
      <c r="G378" s="32" t="s">
        <v>278</v>
      </c>
      <c r="H378" s="32" t="s">
        <v>352</v>
      </c>
      <c r="I378" s="31" t="s">
        <v>859</v>
      </c>
      <c r="J378" s="31">
        <v>99</v>
      </c>
      <c r="K378" s="33" t="s">
        <v>694</v>
      </c>
      <c r="L378" s="33">
        <v>25</v>
      </c>
      <c r="M378" s="34" t="s">
        <v>1385</v>
      </c>
      <c r="N378" s="34" t="s">
        <v>1800</v>
      </c>
      <c r="O378" s="35">
        <v>1</v>
      </c>
      <c r="P378" s="35"/>
      <c r="Q378" s="32"/>
      <c r="S378" s="1">
        <f t="shared" si="127"/>
        <v>0</v>
      </c>
      <c r="T378" s="1">
        <f t="shared" si="128"/>
        <v>0</v>
      </c>
      <c r="U378" s="1">
        <f t="shared" si="129"/>
        <v>0</v>
      </c>
      <c r="V378" s="1">
        <f t="shared" si="130"/>
        <v>0</v>
      </c>
      <c r="W378" s="1">
        <f t="shared" si="131"/>
        <v>0</v>
      </c>
      <c r="X378" s="1">
        <f t="shared" si="132"/>
        <v>0</v>
      </c>
      <c r="Y378" s="1">
        <f t="shared" si="133"/>
        <v>0</v>
      </c>
      <c r="Z378" s="1">
        <f t="shared" si="134"/>
        <v>0</v>
      </c>
      <c r="AA378" s="1">
        <f t="shared" si="135"/>
        <v>0</v>
      </c>
      <c r="AB378" s="1">
        <f t="shared" si="136"/>
        <v>0</v>
      </c>
      <c r="AD378" s="1">
        <f t="shared" si="137"/>
        <v>0</v>
      </c>
      <c r="AE378" s="1">
        <f t="shared" si="138"/>
        <v>1</v>
      </c>
      <c r="AF378" s="1">
        <f t="shared" si="139"/>
        <v>0</v>
      </c>
      <c r="AG378" s="1">
        <f t="shared" si="140"/>
        <v>1</v>
      </c>
      <c r="AH378" s="1">
        <f t="shared" si="141"/>
        <v>0</v>
      </c>
      <c r="AI378" s="1">
        <f t="shared" si="142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901</v>
      </c>
      <c r="E379" s="32" t="s">
        <v>753</v>
      </c>
      <c r="F379" s="32" t="s">
        <v>825</v>
      </c>
      <c r="G379" s="32" t="s">
        <v>208</v>
      </c>
      <c r="H379" s="32" t="s">
        <v>352</v>
      </c>
      <c r="I379" s="31" t="s">
        <v>826</v>
      </c>
      <c r="J379" s="31">
        <v>99</v>
      </c>
      <c r="K379" s="33" t="s">
        <v>703</v>
      </c>
      <c r="L379" s="33" t="s">
        <v>695</v>
      </c>
      <c r="M379" s="34" t="s">
        <v>717</v>
      </c>
      <c r="N379" s="34" t="s">
        <v>1708</v>
      </c>
      <c r="O379" s="35">
        <v>1</v>
      </c>
      <c r="P379" s="35"/>
      <c r="Q379" s="32"/>
      <c r="S379" s="1">
        <f t="shared" si="127"/>
        <v>0</v>
      </c>
      <c r="T379" s="1">
        <f t="shared" si="128"/>
        <v>0</v>
      </c>
      <c r="U379" s="1">
        <f t="shared" si="129"/>
        <v>0</v>
      </c>
      <c r="V379" s="1">
        <f t="shared" si="130"/>
        <v>0</v>
      </c>
      <c r="W379" s="1">
        <f t="shared" si="131"/>
        <v>0</v>
      </c>
      <c r="X379" s="1">
        <f t="shared" si="132"/>
        <v>0</v>
      </c>
      <c r="Y379" s="1">
        <f t="shared" si="133"/>
        <v>0</v>
      </c>
      <c r="Z379" s="1">
        <f t="shared" si="134"/>
        <v>0</v>
      </c>
      <c r="AA379" s="1">
        <f t="shared" si="135"/>
        <v>0</v>
      </c>
      <c r="AB379" s="1">
        <f t="shared" si="136"/>
        <v>0</v>
      </c>
      <c r="AD379" s="1">
        <f t="shared" si="137"/>
        <v>0</v>
      </c>
      <c r="AE379" s="1">
        <f t="shared" si="138"/>
        <v>1</v>
      </c>
      <c r="AF379" s="1">
        <f t="shared" si="139"/>
        <v>0</v>
      </c>
      <c r="AG379" s="1">
        <f t="shared" si="140"/>
        <v>1</v>
      </c>
      <c r="AH379" s="1">
        <f t="shared" si="141"/>
        <v>0</v>
      </c>
      <c r="AI379" s="1">
        <f t="shared" si="142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4</v>
      </c>
      <c r="D380" s="32" t="s">
        <v>1972</v>
      </c>
      <c r="E380" s="32" t="s">
        <v>35</v>
      </c>
      <c r="F380" s="32" t="s">
        <v>1973</v>
      </c>
      <c r="G380" s="32" t="s">
        <v>208</v>
      </c>
      <c r="H380" s="32" t="s">
        <v>352</v>
      </c>
      <c r="I380" s="31" t="s">
        <v>1974</v>
      </c>
      <c r="J380" s="31">
        <v>99</v>
      </c>
      <c r="K380" s="33" t="s">
        <v>694</v>
      </c>
      <c r="L380" s="33">
        <v>25</v>
      </c>
      <c r="M380" s="34" t="s">
        <v>1976</v>
      </c>
      <c r="N380" s="34" t="s">
        <v>1800</v>
      </c>
      <c r="O380" s="35">
        <v>1</v>
      </c>
      <c r="P380" s="35"/>
      <c r="Q380" s="32" t="s">
        <v>1975</v>
      </c>
      <c r="S380" s="1">
        <f t="shared" si="127"/>
        <v>0</v>
      </c>
      <c r="T380" s="1">
        <f t="shared" si="128"/>
        <v>0</v>
      </c>
      <c r="U380" s="1">
        <f t="shared" si="129"/>
        <v>0</v>
      </c>
      <c r="V380" s="1">
        <f t="shared" si="130"/>
        <v>0</v>
      </c>
      <c r="W380" s="1">
        <f t="shared" si="131"/>
        <v>0</v>
      </c>
      <c r="X380" s="1">
        <f t="shared" si="132"/>
        <v>0</v>
      </c>
      <c r="Y380" s="1">
        <f t="shared" si="133"/>
        <v>0</v>
      </c>
      <c r="Z380" s="1">
        <f t="shared" si="134"/>
        <v>0</v>
      </c>
      <c r="AA380" s="1">
        <f t="shared" si="135"/>
        <v>0</v>
      </c>
      <c r="AB380" s="1">
        <f t="shared" si="136"/>
        <v>0</v>
      </c>
      <c r="AD380" s="1">
        <f t="shared" si="137"/>
        <v>0</v>
      </c>
      <c r="AE380" s="1">
        <f t="shared" si="138"/>
        <v>1</v>
      </c>
      <c r="AF380" s="1">
        <f t="shared" si="139"/>
        <v>0</v>
      </c>
      <c r="AG380" s="1">
        <f t="shared" si="140"/>
        <v>1</v>
      </c>
      <c r="AH380" s="1">
        <f t="shared" si="141"/>
        <v>0</v>
      </c>
      <c r="AI380" s="1">
        <f t="shared" si="142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4</v>
      </c>
      <c r="D381" s="32" t="s">
        <v>1192</v>
      </c>
      <c r="E381" s="32" t="s">
        <v>1191</v>
      </c>
      <c r="F381" s="32" t="s">
        <v>1193</v>
      </c>
      <c r="G381" s="32" t="s">
        <v>531</v>
      </c>
      <c r="H381" s="32" t="s">
        <v>352</v>
      </c>
      <c r="I381" s="31" t="s">
        <v>1194</v>
      </c>
      <c r="J381" s="31">
        <v>99</v>
      </c>
      <c r="K381" s="33" t="s">
        <v>704</v>
      </c>
      <c r="L381" s="33" t="s">
        <v>685</v>
      </c>
      <c r="M381" s="34" t="s">
        <v>1386</v>
      </c>
      <c r="N381" s="34" t="s">
        <v>1687</v>
      </c>
      <c r="O381" s="35">
        <v>1</v>
      </c>
      <c r="P381" s="35">
        <v>1</v>
      </c>
      <c r="Q381" s="32"/>
      <c r="S381" s="1">
        <f t="shared" si="127"/>
        <v>0</v>
      </c>
      <c r="T381" s="1">
        <f t="shared" si="128"/>
        <v>0</v>
      </c>
      <c r="U381" s="1">
        <f t="shared" si="129"/>
        <v>0</v>
      </c>
      <c r="V381" s="1">
        <f t="shared" si="130"/>
        <v>0</v>
      </c>
      <c r="W381" s="1">
        <f t="shared" si="131"/>
        <v>0</v>
      </c>
      <c r="X381" s="1">
        <f t="shared" si="132"/>
        <v>0</v>
      </c>
      <c r="Y381" s="1">
        <f t="shared" si="133"/>
        <v>0</v>
      </c>
      <c r="Z381" s="1">
        <f t="shared" si="134"/>
        <v>0</v>
      </c>
      <c r="AA381" s="1">
        <f t="shared" si="135"/>
        <v>0</v>
      </c>
      <c r="AB381" s="1">
        <f t="shared" si="136"/>
        <v>0</v>
      </c>
      <c r="AD381" s="1">
        <f t="shared" si="137"/>
        <v>1</v>
      </c>
      <c r="AE381" s="1">
        <f t="shared" si="138"/>
        <v>0</v>
      </c>
      <c r="AF381" s="1">
        <f t="shared" si="139"/>
        <v>1</v>
      </c>
      <c r="AG381" s="1">
        <f t="shared" si="140"/>
        <v>0</v>
      </c>
      <c r="AH381" s="1">
        <f t="shared" si="141"/>
        <v>1</v>
      </c>
      <c r="AI381" s="1">
        <f t="shared" si="142"/>
        <v>0</v>
      </c>
    </row>
    <row r="382" spans="1:35" s="1" customFormat="1" ht="14.25" customHeight="1" x14ac:dyDescent="0.25">
      <c r="A382" s="31">
        <v>0</v>
      </c>
      <c r="B382" s="31">
        <v>2</v>
      </c>
      <c r="C382" s="31">
        <v>4</v>
      </c>
      <c r="D382" s="32" t="s">
        <v>804</v>
      </c>
      <c r="E382" s="32" t="s">
        <v>582</v>
      </c>
      <c r="F382" s="32" t="s">
        <v>805</v>
      </c>
      <c r="G382" s="32" t="s">
        <v>915</v>
      </c>
      <c r="H382" s="32" t="s">
        <v>352</v>
      </c>
      <c r="I382" s="31" t="s">
        <v>928</v>
      </c>
      <c r="J382" s="31">
        <v>7</v>
      </c>
      <c r="K382" s="33" t="s">
        <v>703</v>
      </c>
      <c r="L382" s="33" t="s">
        <v>39</v>
      </c>
      <c r="M382" s="34" t="s">
        <v>39</v>
      </c>
      <c r="N382" s="34" t="s">
        <v>1687</v>
      </c>
      <c r="O382" s="35">
        <v>1</v>
      </c>
      <c r="P382" s="35">
        <v>1</v>
      </c>
      <c r="Q382" s="32"/>
      <c r="S382" s="1">
        <f t="shared" si="127"/>
        <v>0</v>
      </c>
      <c r="T382" s="1">
        <f t="shared" si="128"/>
        <v>0</v>
      </c>
      <c r="U382" s="1">
        <f t="shared" si="129"/>
        <v>0</v>
      </c>
      <c r="V382" s="1">
        <f t="shared" si="130"/>
        <v>0</v>
      </c>
      <c r="W382" s="1">
        <f t="shared" si="131"/>
        <v>0</v>
      </c>
      <c r="X382" s="1">
        <f t="shared" si="132"/>
        <v>0</v>
      </c>
      <c r="Y382" s="1">
        <f t="shared" si="133"/>
        <v>1</v>
      </c>
      <c r="Z382" s="1">
        <f t="shared" si="134"/>
        <v>0</v>
      </c>
      <c r="AA382" s="1">
        <f t="shared" si="135"/>
        <v>0</v>
      </c>
      <c r="AB382" s="1">
        <f t="shared" si="136"/>
        <v>0</v>
      </c>
      <c r="AD382" s="1">
        <f t="shared" si="137"/>
        <v>1</v>
      </c>
      <c r="AE382" s="1">
        <f t="shared" si="138"/>
        <v>0</v>
      </c>
      <c r="AF382" s="1">
        <f t="shared" si="139"/>
        <v>1</v>
      </c>
      <c r="AG382" s="1">
        <f t="shared" si="140"/>
        <v>0</v>
      </c>
      <c r="AH382" s="1">
        <f t="shared" si="141"/>
        <v>1</v>
      </c>
      <c r="AI382" s="1">
        <f t="shared" si="142"/>
        <v>0</v>
      </c>
    </row>
    <row r="383" spans="1:35" s="1" customFormat="1" ht="14.25" customHeight="1" x14ac:dyDescent="0.25">
      <c r="A383" s="31">
        <v>0</v>
      </c>
      <c r="B383" s="31">
        <v>2</v>
      </c>
      <c r="C383" s="31">
        <v>4</v>
      </c>
      <c r="D383" s="32" t="s">
        <v>1566</v>
      </c>
      <c r="E383" s="32" t="s">
        <v>1616</v>
      </c>
      <c r="F383" s="32" t="s">
        <v>1567</v>
      </c>
      <c r="G383" s="32" t="s">
        <v>331</v>
      </c>
      <c r="H383" s="32" t="s">
        <v>352</v>
      </c>
      <c r="I383" s="31" t="s">
        <v>30</v>
      </c>
      <c r="J383" s="31">
        <v>99</v>
      </c>
      <c r="K383" s="33" t="s">
        <v>704</v>
      </c>
      <c r="L383" s="33">
        <v>20</v>
      </c>
      <c r="M383" s="34" t="s">
        <v>39</v>
      </c>
      <c r="N383" s="34" t="s">
        <v>1707</v>
      </c>
      <c r="O383" s="35">
        <v>1</v>
      </c>
      <c r="P383" s="35"/>
      <c r="Q383" s="32"/>
      <c r="S383" s="1">
        <f t="shared" si="127"/>
        <v>0</v>
      </c>
      <c r="T383" s="1">
        <f t="shared" si="128"/>
        <v>0</v>
      </c>
      <c r="U383" s="1">
        <f t="shared" si="129"/>
        <v>0</v>
      </c>
      <c r="V383" s="1">
        <f t="shared" si="130"/>
        <v>0</v>
      </c>
      <c r="W383" s="1">
        <f t="shared" si="131"/>
        <v>0</v>
      </c>
      <c r="X383" s="1">
        <f t="shared" si="132"/>
        <v>0</v>
      </c>
      <c r="Y383" s="1">
        <f t="shared" si="133"/>
        <v>0</v>
      </c>
      <c r="Z383" s="1">
        <f t="shared" si="134"/>
        <v>0</v>
      </c>
      <c r="AA383" s="1">
        <f t="shared" si="135"/>
        <v>0</v>
      </c>
      <c r="AB383" s="1">
        <f t="shared" si="136"/>
        <v>0</v>
      </c>
      <c r="AD383" s="1">
        <f t="shared" si="137"/>
        <v>0</v>
      </c>
      <c r="AE383" s="1">
        <f t="shared" si="138"/>
        <v>1</v>
      </c>
      <c r="AF383" s="1">
        <f t="shared" si="139"/>
        <v>0</v>
      </c>
      <c r="AG383" s="1">
        <f t="shared" si="140"/>
        <v>1</v>
      </c>
      <c r="AH383" s="1">
        <f t="shared" si="141"/>
        <v>0</v>
      </c>
      <c r="AI383" s="1">
        <f t="shared" si="142"/>
        <v>1</v>
      </c>
    </row>
    <row r="384" spans="1:35" s="1" customFormat="1" ht="14.25" customHeight="1" x14ac:dyDescent="0.25">
      <c r="A384" s="15">
        <v>0</v>
      </c>
      <c r="B384" s="15">
        <v>2</v>
      </c>
      <c r="C384" s="15">
        <v>4</v>
      </c>
      <c r="D384" s="16" t="s">
        <v>2136</v>
      </c>
      <c r="E384" s="16" t="s">
        <v>2137</v>
      </c>
      <c r="F384" s="16" t="s">
        <v>2138</v>
      </c>
      <c r="G384" s="16" t="s">
        <v>278</v>
      </c>
      <c r="H384" s="16" t="s">
        <v>352</v>
      </c>
      <c r="I384" s="21" t="s">
        <v>2139</v>
      </c>
      <c r="J384" s="15">
        <v>99</v>
      </c>
      <c r="K384" s="10" t="s">
        <v>694</v>
      </c>
      <c r="L384" s="10">
        <v>30</v>
      </c>
      <c r="M384" s="19" t="s">
        <v>2140</v>
      </c>
      <c r="N384" s="19"/>
      <c r="Q384" s="16" t="s">
        <v>2141</v>
      </c>
      <c r="S384" s="1">
        <f t="shared" si="127"/>
        <v>0</v>
      </c>
      <c r="T384" s="1">
        <f t="shared" si="128"/>
        <v>0</v>
      </c>
      <c r="U384" s="1">
        <f t="shared" si="129"/>
        <v>0</v>
      </c>
      <c r="V384" s="1">
        <f t="shared" si="130"/>
        <v>0</v>
      </c>
      <c r="W384" s="1">
        <f t="shared" si="131"/>
        <v>0</v>
      </c>
      <c r="X384" s="1">
        <f t="shared" si="132"/>
        <v>0</v>
      </c>
      <c r="Y384" s="1">
        <f t="shared" si="133"/>
        <v>0</v>
      </c>
      <c r="Z384" s="1">
        <f t="shared" si="134"/>
        <v>0</v>
      </c>
      <c r="AA384" s="1">
        <f t="shared" si="135"/>
        <v>0</v>
      </c>
      <c r="AB384" s="1">
        <f t="shared" si="136"/>
        <v>0</v>
      </c>
      <c r="AD384" s="1">
        <f t="shared" ref="AD384:AD387" si="143">+O384*P384</f>
        <v>0</v>
      </c>
      <c r="AE384" s="1">
        <f t="shared" ref="AE384:AE387" si="144">O384*(1-P384)</f>
        <v>0</v>
      </c>
      <c r="AF384" s="1">
        <f t="shared" ref="AF384:AF387" si="145">+O384*P384*(1-A384)</f>
        <v>0</v>
      </c>
      <c r="AG384" s="1">
        <f t="shared" ref="AG384:AG387" si="146">O384*(1-P384)*(1-A384)</f>
        <v>0</v>
      </c>
      <c r="AH384" s="1">
        <f t="shared" ref="AH384:AH387" si="147">+P384*(1-A384)</f>
        <v>0</v>
      </c>
      <c r="AI384" s="1">
        <f t="shared" ref="AI384:AI387" si="148">+(1-A384)*(1-P384)</f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58</v>
      </c>
      <c r="E385" s="32" t="s">
        <v>44</v>
      </c>
      <c r="F385" s="32" t="s">
        <v>663</v>
      </c>
      <c r="G385" s="32" t="s">
        <v>222</v>
      </c>
      <c r="H385" s="32" t="s">
        <v>352</v>
      </c>
      <c r="I385" s="31" t="s">
        <v>395</v>
      </c>
      <c r="J385" s="31">
        <v>8</v>
      </c>
      <c r="K385" s="33" t="s">
        <v>704</v>
      </c>
      <c r="L385" s="33" t="s">
        <v>707</v>
      </c>
      <c r="M385" s="34" t="s">
        <v>1387</v>
      </c>
      <c r="N385" s="34" t="s">
        <v>1700</v>
      </c>
      <c r="O385" s="35">
        <v>1</v>
      </c>
      <c r="P385" s="35"/>
      <c r="Q385" s="32"/>
      <c r="S385" s="1">
        <f t="shared" si="127"/>
        <v>0</v>
      </c>
      <c r="T385" s="1">
        <f t="shared" si="128"/>
        <v>0</v>
      </c>
      <c r="U385" s="1">
        <f t="shared" si="129"/>
        <v>0</v>
      </c>
      <c r="V385" s="1">
        <f t="shared" si="130"/>
        <v>0</v>
      </c>
      <c r="W385" s="1">
        <f t="shared" si="131"/>
        <v>0</v>
      </c>
      <c r="X385" s="1">
        <f t="shared" si="132"/>
        <v>0</v>
      </c>
      <c r="Y385" s="1">
        <f t="shared" si="133"/>
        <v>0</v>
      </c>
      <c r="Z385" s="1">
        <f t="shared" si="134"/>
        <v>1</v>
      </c>
      <c r="AA385" s="1">
        <f t="shared" si="135"/>
        <v>0</v>
      </c>
      <c r="AB385" s="1">
        <f t="shared" si="136"/>
        <v>0</v>
      </c>
      <c r="AD385" s="1">
        <f t="shared" si="143"/>
        <v>0</v>
      </c>
      <c r="AE385" s="1">
        <f t="shared" si="144"/>
        <v>1</v>
      </c>
      <c r="AF385" s="1">
        <f t="shared" si="145"/>
        <v>0</v>
      </c>
      <c r="AG385" s="1">
        <f t="shared" si="146"/>
        <v>1</v>
      </c>
      <c r="AH385" s="1">
        <f t="shared" si="147"/>
        <v>0</v>
      </c>
      <c r="AI385" s="1">
        <f t="shared" si="148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813</v>
      </c>
      <c r="E386" s="32" t="s">
        <v>812</v>
      </c>
      <c r="F386" s="32" t="s">
        <v>903</v>
      </c>
      <c r="G386" s="32" t="s">
        <v>212</v>
      </c>
      <c r="H386" s="32" t="s">
        <v>352</v>
      </c>
      <c r="I386" s="31" t="s">
        <v>814</v>
      </c>
      <c r="J386" s="31">
        <v>1</v>
      </c>
      <c r="K386" s="33" t="s">
        <v>703</v>
      </c>
      <c r="L386" s="33" t="s">
        <v>684</v>
      </c>
      <c r="M386" s="34" t="s">
        <v>1388</v>
      </c>
      <c r="N386" s="34" t="s">
        <v>1696</v>
      </c>
      <c r="O386" s="35">
        <v>1</v>
      </c>
      <c r="P386" s="35"/>
      <c r="Q386" s="32"/>
      <c r="S386" s="1">
        <f t="shared" si="127"/>
        <v>1</v>
      </c>
      <c r="T386" s="1">
        <f t="shared" si="128"/>
        <v>0</v>
      </c>
      <c r="U386" s="1">
        <f t="shared" si="129"/>
        <v>0</v>
      </c>
      <c r="V386" s="1">
        <f t="shared" si="130"/>
        <v>0</v>
      </c>
      <c r="W386" s="1">
        <f t="shared" si="131"/>
        <v>0</v>
      </c>
      <c r="X386" s="1">
        <f t="shared" si="132"/>
        <v>0</v>
      </c>
      <c r="Y386" s="1">
        <f t="shared" si="133"/>
        <v>0</v>
      </c>
      <c r="Z386" s="1">
        <f t="shared" si="134"/>
        <v>0</v>
      </c>
      <c r="AA386" s="1">
        <f t="shared" si="135"/>
        <v>0</v>
      </c>
      <c r="AB386" s="1">
        <f t="shared" si="136"/>
        <v>0</v>
      </c>
      <c r="AD386" s="1">
        <f t="shared" si="143"/>
        <v>0</v>
      </c>
      <c r="AE386" s="1">
        <f t="shared" si="144"/>
        <v>1</v>
      </c>
      <c r="AF386" s="1">
        <f t="shared" si="145"/>
        <v>0</v>
      </c>
      <c r="AG386" s="1">
        <f t="shared" si="146"/>
        <v>1</v>
      </c>
      <c r="AH386" s="1">
        <f t="shared" si="147"/>
        <v>0</v>
      </c>
      <c r="AI386" s="1">
        <f t="shared" si="148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6" t="s">
        <v>2005</v>
      </c>
      <c r="E387" s="36" t="s">
        <v>169</v>
      </c>
      <c r="F387" s="36" t="s">
        <v>2006</v>
      </c>
      <c r="G387" s="36" t="s">
        <v>1495</v>
      </c>
      <c r="H387" s="36" t="s">
        <v>352</v>
      </c>
      <c r="I387" s="37" t="s">
        <v>2007</v>
      </c>
      <c r="J387" s="31">
        <v>5</v>
      </c>
      <c r="K387" s="33" t="s">
        <v>694</v>
      </c>
      <c r="L387" s="33"/>
      <c r="M387" s="34"/>
      <c r="N387" s="34" t="s">
        <v>1687</v>
      </c>
      <c r="O387" s="35">
        <v>1</v>
      </c>
      <c r="P387" s="35">
        <v>1</v>
      </c>
      <c r="Q387" s="36" t="s">
        <v>2008</v>
      </c>
      <c r="S387" s="1">
        <f t="shared" si="127"/>
        <v>0</v>
      </c>
      <c r="T387" s="1">
        <f t="shared" si="128"/>
        <v>0</v>
      </c>
      <c r="U387" s="1">
        <f t="shared" si="129"/>
        <v>0</v>
      </c>
      <c r="V387" s="1">
        <f t="shared" si="130"/>
        <v>0</v>
      </c>
      <c r="W387" s="1">
        <f t="shared" si="131"/>
        <v>1</v>
      </c>
      <c r="X387" s="1">
        <f t="shared" si="132"/>
        <v>0</v>
      </c>
      <c r="Y387" s="1">
        <f t="shared" si="133"/>
        <v>0</v>
      </c>
      <c r="Z387" s="1">
        <f t="shared" si="134"/>
        <v>0</v>
      </c>
      <c r="AA387" s="1">
        <f t="shared" si="135"/>
        <v>0</v>
      </c>
      <c r="AB387" s="1">
        <f t="shared" si="136"/>
        <v>0</v>
      </c>
      <c r="AD387" s="1">
        <f t="shared" si="143"/>
        <v>1</v>
      </c>
      <c r="AE387" s="1">
        <f t="shared" si="144"/>
        <v>0</v>
      </c>
      <c r="AF387" s="1">
        <f t="shared" si="145"/>
        <v>1</v>
      </c>
      <c r="AG387" s="1">
        <f t="shared" si="146"/>
        <v>0</v>
      </c>
      <c r="AH387" s="1">
        <f t="shared" si="147"/>
        <v>1</v>
      </c>
      <c r="AI387" s="1">
        <f t="shared" si="148"/>
        <v>0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65</v>
      </c>
      <c r="E388" s="32" t="s">
        <v>163</v>
      </c>
      <c r="F388" s="32" t="s">
        <v>543</v>
      </c>
      <c r="G388" s="32" t="s">
        <v>193</v>
      </c>
      <c r="H388" s="32" t="s">
        <v>352</v>
      </c>
      <c r="I388" s="31" t="s">
        <v>548</v>
      </c>
      <c r="J388" s="31">
        <v>9</v>
      </c>
      <c r="K388" s="33" t="s">
        <v>704</v>
      </c>
      <c r="L388" s="33" t="s">
        <v>678</v>
      </c>
      <c r="M388" s="34" t="s">
        <v>1406</v>
      </c>
      <c r="N388" s="34" t="s">
        <v>1713</v>
      </c>
      <c r="O388" s="35">
        <v>1</v>
      </c>
      <c r="P388" s="35"/>
      <c r="Q388" s="32"/>
      <c r="S388" s="1">
        <f t="shared" si="127"/>
        <v>0</v>
      </c>
      <c r="T388" s="1">
        <f t="shared" si="128"/>
        <v>0</v>
      </c>
      <c r="U388" s="1">
        <f t="shared" si="129"/>
        <v>0</v>
      </c>
      <c r="V388" s="1">
        <f t="shared" si="130"/>
        <v>0</v>
      </c>
      <c r="W388" s="1">
        <f t="shared" si="131"/>
        <v>0</v>
      </c>
      <c r="X388" s="1">
        <f t="shared" si="132"/>
        <v>0</v>
      </c>
      <c r="Y388" s="1">
        <f t="shared" si="133"/>
        <v>0</v>
      </c>
      <c r="Z388" s="1">
        <f t="shared" si="134"/>
        <v>0</v>
      </c>
      <c r="AA388" s="1">
        <f t="shared" si="135"/>
        <v>1</v>
      </c>
      <c r="AB388" s="1">
        <f t="shared" si="136"/>
        <v>0</v>
      </c>
      <c r="AD388" s="1">
        <f t="shared" si="137"/>
        <v>0</v>
      </c>
      <c r="AE388" s="1">
        <f t="shared" si="138"/>
        <v>1</v>
      </c>
      <c r="AF388" s="1">
        <f t="shared" si="139"/>
        <v>0</v>
      </c>
      <c r="AG388" s="1">
        <f t="shared" si="140"/>
        <v>1</v>
      </c>
      <c r="AH388" s="1">
        <f t="shared" si="141"/>
        <v>0</v>
      </c>
      <c r="AI388" s="1">
        <f t="shared" si="142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1449</v>
      </c>
      <c r="E389" s="32" t="s">
        <v>35</v>
      </c>
      <c r="F389" s="32" t="s">
        <v>1824</v>
      </c>
      <c r="G389" s="32" t="s">
        <v>221</v>
      </c>
      <c r="H389" s="32" t="s">
        <v>352</v>
      </c>
      <c r="I389" s="31" t="s">
        <v>1646</v>
      </c>
      <c r="J389" s="31">
        <v>99</v>
      </c>
      <c r="K389" s="33" t="s">
        <v>704</v>
      </c>
      <c r="L389" s="33">
        <v>25</v>
      </c>
      <c r="M389" s="34" t="s">
        <v>39</v>
      </c>
      <c r="N389" s="34" t="s">
        <v>1708</v>
      </c>
      <c r="O389" s="35">
        <v>1</v>
      </c>
      <c r="P389" s="35"/>
      <c r="Q389" s="32"/>
      <c r="S389" s="1">
        <f t="shared" si="127"/>
        <v>0</v>
      </c>
      <c r="T389" s="1">
        <f t="shared" si="128"/>
        <v>0</v>
      </c>
      <c r="U389" s="1">
        <f t="shared" si="129"/>
        <v>0</v>
      </c>
      <c r="V389" s="1">
        <f t="shared" si="130"/>
        <v>0</v>
      </c>
      <c r="W389" s="1">
        <f t="shared" si="131"/>
        <v>0</v>
      </c>
      <c r="X389" s="1">
        <f t="shared" si="132"/>
        <v>0</v>
      </c>
      <c r="Y389" s="1">
        <f t="shared" si="133"/>
        <v>0</v>
      </c>
      <c r="Z389" s="1">
        <f t="shared" si="134"/>
        <v>0</v>
      </c>
      <c r="AA389" s="1">
        <f t="shared" si="135"/>
        <v>0</v>
      </c>
      <c r="AB389" s="1">
        <f t="shared" si="136"/>
        <v>0</v>
      </c>
      <c r="AD389" s="1">
        <f t="shared" si="137"/>
        <v>0</v>
      </c>
      <c r="AE389" s="1">
        <f t="shared" si="138"/>
        <v>1</v>
      </c>
      <c r="AF389" s="1">
        <f t="shared" si="139"/>
        <v>0</v>
      </c>
      <c r="AG389" s="1">
        <f t="shared" si="140"/>
        <v>1</v>
      </c>
      <c r="AH389" s="1">
        <f t="shared" si="141"/>
        <v>0</v>
      </c>
      <c r="AI389" s="1">
        <f t="shared" si="142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1770</v>
      </c>
      <c r="E390" s="32" t="s">
        <v>753</v>
      </c>
      <c r="F390" s="32" t="s">
        <v>1771</v>
      </c>
      <c r="G390" s="32" t="s">
        <v>223</v>
      </c>
      <c r="H390" s="32" t="s">
        <v>352</v>
      </c>
      <c r="I390" s="31" t="s">
        <v>1772</v>
      </c>
      <c r="J390" s="31">
        <v>99</v>
      </c>
      <c r="K390" s="33" t="s">
        <v>1773</v>
      </c>
      <c r="L390" s="33">
        <v>40</v>
      </c>
      <c r="M390" s="34" t="s">
        <v>1774</v>
      </c>
      <c r="N390" s="34" t="s">
        <v>1800</v>
      </c>
      <c r="O390" s="35">
        <v>1</v>
      </c>
      <c r="P390" s="35"/>
      <c r="Q390" s="32"/>
      <c r="S390" s="1">
        <f t="shared" si="127"/>
        <v>0</v>
      </c>
      <c r="T390" s="1">
        <f t="shared" si="128"/>
        <v>0</v>
      </c>
      <c r="U390" s="1">
        <f t="shared" si="129"/>
        <v>0</v>
      </c>
      <c r="V390" s="1">
        <f t="shared" si="130"/>
        <v>0</v>
      </c>
      <c r="W390" s="1">
        <f t="shared" si="131"/>
        <v>0</v>
      </c>
      <c r="X390" s="1">
        <f t="shared" si="132"/>
        <v>0</v>
      </c>
      <c r="Y390" s="1">
        <f t="shared" si="133"/>
        <v>0</v>
      </c>
      <c r="Z390" s="1">
        <f t="shared" si="134"/>
        <v>0</v>
      </c>
      <c r="AA390" s="1">
        <f t="shared" si="135"/>
        <v>0</v>
      </c>
      <c r="AB390" s="1">
        <f t="shared" si="136"/>
        <v>0</v>
      </c>
      <c r="AD390" s="1">
        <f t="shared" si="137"/>
        <v>0</v>
      </c>
      <c r="AE390" s="1">
        <f t="shared" si="138"/>
        <v>1</v>
      </c>
      <c r="AF390" s="1">
        <f t="shared" si="139"/>
        <v>0</v>
      </c>
      <c r="AG390" s="1">
        <f t="shared" si="140"/>
        <v>1</v>
      </c>
      <c r="AH390" s="1">
        <f t="shared" si="141"/>
        <v>0</v>
      </c>
      <c r="AI390" s="1">
        <f t="shared" si="142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608</v>
      </c>
      <c r="E391" s="32" t="s">
        <v>677</v>
      </c>
      <c r="F391" s="32" t="s">
        <v>609</v>
      </c>
      <c r="G391" s="32" t="s">
        <v>285</v>
      </c>
      <c r="H391" s="32" t="s">
        <v>352</v>
      </c>
      <c r="I391" s="31" t="s">
        <v>610</v>
      </c>
      <c r="J391" s="31">
        <v>99</v>
      </c>
      <c r="K391" s="33" t="s">
        <v>703</v>
      </c>
      <c r="L391" s="33" t="s">
        <v>695</v>
      </c>
      <c r="M391" s="34" t="s">
        <v>1389</v>
      </c>
      <c r="N391" s="34" t="s">
        <v>1696</v>
      </c>
      <c r="O391" s="35">
        <v>1</v>
      </c>
      <c r="P391" s="35"/>
      <c r="Q391" s="32"/>
      <c r="S391" s="1">
        <f t="shared" si="127"/>
        <v>0</v>
      </c>
      <c r="T391" s="1">
        <f t="shared" si="128"/>
        <v>0</v>
      </c>
      <c r="U391" s="1">
        <f t="shared" si="129"/>
        <v>0</v>
      </c>
      <c r="V391" s="1">
        <f t="shared" si="130"/>
        <v>0</v>
      </c>
      <c r="W391" s="1">
        <f t="shared" si="131"/>
        <v>0</v>
      </c>
      <c r="X391" s="1">
        <f t="shared" si="132"/>
        <v>0</v>
      </c>
      <c r="Y391" s="1">
        <f t="shared" si="133"/>
        <v>0</v>
      </c>
      <c r="Z391" s="1">
        <f t="shared" si="134"/>
        <v>0</v>
      </c>
      <c r="AA391" s="1">
        <f t="shared" si="135"/>
        <v>0</v>
      </c>
      <c r="AB391" s="1">
        <f t="shared" si="136"/>
        <v>0</v>
      </c>
      <c r="AD391" s="1">
        <f t="shared" si="137"/>
        <v>0</v>
      </c>
      <c r="AE391" s="1">
        <f t="shared" si="138"/>
        <v>1</v>
      </c>
      <c r="AF391" s="1">
        <f t="shared" si="139"/>
        <v>0</v>
      </c>
      <c r="AG391" s="1">
        <f t="shared" si="140"/>
        <v>1</v>
      </c>
      <c r="AH391" s="1">
        <f t="shared" si="141"/>
        <v>0</v>
      </c>
      <c r="AI391" s="1">
        <f t="shared" si="142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1451</v>
      </c>
      <c r="E392" s="32" t="s">
        <v>753</v>
      </c>
      <c r="F392" s="32" t="s">
        <v>1452</v>
      </c>
      <c r="G392" s="32" t="s">
        <v>195</v>
      </c>
      <c r="H392" s="32" t="s">
        <v>352</v>
      </c>
      <c r="I392" s="31" t="s">
        <v>1453</v>
      </c>
      <c r="J392" s="31">
        <v>99</v>
      </c>
      <c r="K392" s="33" t="s">
        <v>931</v>
      </c>
      <c r="L392" s="33" t="s">
        <v>684</v>
      </c>
      <c r="M392" s="34" t="s">
        <v>1380</v>
      </c>
      <c r="N392" s="34" t="s">
        <v>1696</v>
      </c>
      <c r="O392" s="35">
        <v>1</v>
      </c>
      <c r="P392" s="35"/>
      <c r="Q392" s="32"/>
      <c r="S392" s="1">
        <f t="shared" si="127"/>
        <v>0</v>
      </c>
      <c r="T392" s="1">
        <f t="shared" si="128"/>
        <v>0</v>
      </c>
      <c r="U392" s="1">
        <f t="shared" si="129"/>
        <v>0</v>
      </c>
      <c r="V392" s="1">
        <f t="shared" si="130"/>
        <v>0</v>
      </c>
      <c r="W392" s="1">
        <f t="shared" si="131"/>
        <v>0</v>
      </c>
      <c r="X392" s="1">
        <f t="shared" si="132"/>
        <v>0</v>
      </c>
      <c r="Y392" s="1">
        <f t="shared" si="133"/>
        <v>0</v>
      </c>
      <c r="Z392" s="1">
        <f t="shared" si="134"/>
        <v>0</v>
      </c>
      <c r="AA392" s="1">
        <f t="shared" si="135"/>
        <v>0</v>
      </c>
      <c r="AB392" s="1">
        <f t="shared" si="136"/>
        <v>0</v>
      </c>
      <c r="AD392" s="1">
        <f t="shared" si="137"/>
        <v>0</v>
      </c>
      <c r="AE392" s="1">
        <f t="shared" si="138"/>
        <v>1</v>
      </c>
      <c r="AF392" s="1">
        <f t="shared" si="139"/>
        <v>0</v>
      </c>
      <c r="AG392" s="1">
        <f t="shared" si="140"/>
        <v>1</v>
      </c>
      <c r="AH392" s="1">
        <f t="shared" si="141"/>
        <v>0</v>
      </c>
      <c r="AI392" s="1">
        <f t="shared" si="142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756</v>
      </c>
      <c r="E393" s="32" t="s">
        <v>753</v>
      </c>
      <c r="F393" s="32" t="s">
        <v>758</v>
      </c>
      <c r="G393" s="32" t="s">
        <v>206</v>
      </c>
      <c r="H393" s="32" t="s">
        <v>352</v>
      </c>
      <c r="I393" s="31" t="s">
        <v>757</v>
      </c>
      <c r="J393" s="31">
        <v>99</v>
      </c>
      <c r="K393" s="33" t="s">
        <v>703</v>
      </c>
      <c r="L393" s="33" t="s">
        <v>685</v>
      </c>
      <c r="M393" s="34" t="s">
        <v>1390</v>
      </c>
      <c r="N393" s="34" t="s">
        <v>1696</v>
      </c>
      <c r="O393" s="35">
        <v>1</v>
      </c>
      <c r="P393" s="35"/>
      <c r="Q393" s="32"/>
      <c r="S393" s="1">
        <f t="shared" si="127"/>
        <v>0</v>
      </c>
      <c r="T393" s="1">
        <f t="shared" si="128"/>
        <v>0</v>
      </c>
      <c r="U393" s="1">
        <f t="shared" si="129"/>
        <v>0</v>
      </c>
      <c r="V393" s="1">
        <f t="shared" si="130"/>
        <v>0</v>
      </c>
      <c r="W393" s="1">
        <f t="shared" si="131"/>
        <v>0</v>
      </c>
      <c r="X393" s="1">
        <f t="shared" si="132"/>
        <v>0</v>
      </c>
      <c r="Y393" s="1">
        <f t="shared" si="133"/>
        <v>0</v>
      </c>
      <c r="Z393" s="1">
        <f t="shared" si="134"/>
        <v>0</v>
      </c>
      <c r="AA393" s="1">
        <f t="shared" si="135"/>
        <v>0</v>
      </c>
      <c r="AB393" s="1">
        <f t="shared" si="136"/>
        <v>0</v>
      </c>
      <c r="AD393" s="1">
        <f t="shared" si="137"/>
        <v>0</v>
      </c>
      <c r="AE393" s="1">
        <f t="shared" si="138"/>
        <v>1</v>
      </c>
      <c r="AF393" s="1">
        <f t="shared" si="139"/>
        <v>0</v>
      </c>
      <c r="AG393" s="1">
        <f t="shared" si="140"/>
        <v>1</v>
      </c>
      <c r="AH393" s="1">
        <f t="shared" si="141"/>
        <v>0</v>
      </c>
      <c r="AI393" s="1">
        <f t="shared" si="142"/>
        <v>1</v>
      </c>
    </row>
    <row r="394" spans="1:35" s="1" customFormat="1" ht="14.25" customHeight="1" x14ac:dyDescent="0.25">
      <c r="A394" s="31">
        <v>1</v>
      </c>
      <c r="B394" s="31">
        <v>2</v>
      </c>
      <c r="C394" s="31">
        <v>5</v>
      </c>
      <c r="D394" s="32" t="s">
        <v>756</v>
      </c>
      <c r="E394" s="32" t="s">
        <v>753</v>
      </c>
      <c r="F394" s="32" t="s">
        <v>983</v>
      </c>
      <c r="G394" s="32" t="s">
        <v>189</v>
      </c>
      <c r="H394" s="32" t="s">
        <v>352</v>
      </c>
      <c r="I394" s="31" t="s">
        <v>984</v>
      </c>
      <c r="J394" s="31">
        <v>99</v>
      </c>
      <c r="K394" s="33" t="s">
        <v>703</v>
      </c>
      <c r="L394" s="33" t="s">
        <v>685</v>
      </c>
      <c r="M394" s="34" t="s">
        <v>1390</v>
      </c>
      <c r="N394" s="34" t="s">
        <v>1696</v>
      </c>
      <c r="O394" s="35">
        <v>1</v>
      </c>
      <c r="P394" s="35"/>
      <c r="Q394" s="32"/>
      <c r="S394" s="1">
        <f t="shared" si="127"/>
        <v>0</v>
      </c>
      <c r="T394" s="1">
        <f t="shared" si="128"/>
        <v>0</v>
      </c>
      <c r="U394" s="1">
        <f t="shared" si="129"/>
        <v>0</v>
      </c>
      <c r="V394" s="1">
        <f t="shared" si="130"/>
        <v>0</v>
      </c>
      <c r="W394" s="1">
        <f t="shared" si="131"/>
        <v>0</v>
      </c>
      <c r="X394" s="1">
        <f t="shared" si="132"/>
        <v>0</v>
      </c>
      <c r="Y394" s="1">
        <f t="shared" si="133"/>
        <v>0</v>
      </c>
      <c r="Z394" s="1">
        <f t="shared" si="134"/>
        <v>0</v>
      </c>
      <c r="AA394" s="1">
        <f t="shared" si="135"/>
        <v>0</v>
      </c>
      <c r="AB394" s="1">
        <f t="shared" si="136"/>
        <v>0</v>
      </c>
      <c r="AD394" s="1">
        <f t="shared" si="137"/>
        <v>0</v>
      </c>
      <c r="AE394" s="1">
        <f t="shared" si="138"/>
        <v>1</v>
      </c>
      <c r="AF394" s="1">
        <f t="shared" si="139"/>
        <v>0</v>
      </c>
      <c r="AG394" s="1">
        <f t="shared" si="140"/>
        <v>0</v>
      </c>
      <c r="AH394" s="1">
        <f t="shared" si="141"/>
        <v>0</v>
      </c>
      <c r="AI394" s="1">
        <f t="shared" si="142"/>
        <v>0</v>
      </c>
    </row>
    <row r="395" spans="1:35" s="1" customFormat="1" ht="14.25" customHeight="1" x14ac:dyDescent="0.25">
      <c r="A395" s="15">
        <v>0</v>
      </c>
      <c r="B395" s="15">
        <v>2</v>
      </c>
      <c r="C395" s="15">
        <v>5</v>
      </c>
      <c r="D395" s="16" t="s">
        <v>895</v>
      </c>
      <c r="E395" s="16" t="s">
        <v>890</v>
      </c>
      <c r="F395" s="16" t="s">
        <v>908</v>
      </c>
      <c r="G395" s="16" t="s">
        <v>1317</v>
      </c>
      <c r="H395" s="16" t="s">
        <v>352</v>
      </c>
      <c r="I395" s="15" t="s">
        <v>751</v>
      </c>
      <c r="J395" s="15">
        <v>99</v>
      </c>
      <c r="K395" s="10" t="s">
        <v>694</v>
      </c>
      <c r="L395" s="10">
        <v>20</v>
      </c>
      <c r="M395" s="19" t="s">
        <v>1391</v>
      </c>
      <c r="N395" s="19"/>
      <c r="Q395" s="16"/>
      <c r="S395" s="1">
        <f t="shared" si="127"/>
        <v>0</v>
      </c>
      <c r="T395" s="1">
        <f t="shared" si="128"/>
        <v>0</v>
      </c>
      <c r="U395" s="1">
        <f t="shared" si="129"/>
        <v>0</v>
      </c>
      <c r="V395" s="1">
        <f t="shared" si="130"/>
        <v>0</v>
      </c>
      <c r="W395" s="1">
        <f t="shared" si="131"/>
        <v>0</v>
      </c>
      <c r="X395" s="1">
        <f t="shared" si="132"/>
        <v>0</v>
      </c>
      <c r="Y395" s="1">
        <f t="shared" si="133"/>
        <v>0</v>
      </c>
      <c r="Z395" s="1">
        <f t="shared" si="134"/>
        <v>0</v>
      </c>
      <c r="AA395" s="1">
        <f t="shared" si="135"/>
        <v>0</v>
      </c>
      <c r="AB395" s="1">
        <f t="shared" si="136"/>
        <v>0</v>
      </c>
      <c r="AD395" s="1">
        <f t="shared" si="137"/>
        <v>0</v>
      </c>
      <c r="AE395" s="1">
        <f t="shared" si="138"/>
        <v>0</v>
      </c>
      <c r="AF395" s="1">
        <f t="shared" si="139"/>
        <v>0</v>
      </c>
      <c r="AG395" s="1">
        <f t="shared" si="140"/>
        <v>0</v>
      </c>
      <c r="AH395" s="1">
        <f t="shared" si="141"/>
        <v>0</v>
      </c>
      <c r="AI395" s="1">
        <f t="shared" si="142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1871</v>
      </c>
      <c r="E396" s="32"/>
      <c r="F396" s="32" t="s">
        <v>1872</v>
      </c>
      <c r="G396" s="32" t="s">
        <v>207</v>
      </c>
      <c r="H396" s="32" t="s">
        <v>352</v>
      </c>
      <c r="I396" s="31" t="s">
        <v>1873</v>
      </c>
      <c r="J396" s="31">
        <v>3</v>
      </c>
      <c r="K396" s="33" t="s">
        <v>694</v>
      </c>
      <c r="L396" s="33"/>
      <c r="M396" s="34"/>
      <c r="N396" s="34" t="s">
        <v>1687</v>
      </c>
      <c r="O396" s="35">
        <v>1</v>
      </c>
      <c r="P396" s="35">
        <v>1</v>
      </c>
      <c r="Q396" s="32" t="s">
        <v>1874</v>
      </c>
      <c r="S396" s="1">
        <f t="shared" si="127"/>
        <v>0</v>
      </c>
      <c r="T396" s="1">
        <f t="shared" si="128"/>
        <v>0</v>
      </c>
      <c r="U396" s="1">
        <f t="shared" si="129"/>
        <v>1</v>
      </c>
      <c r="V396" s="1">
        <f t="shared" si="130"/>
        <v>0</v>
      </c>
      <c r="W396" s="1">
        <f t="shared" si="131"/>
        <v>0</v>
      </c>
      <c r="X396" s="1">
        <f t="shared" si="132"/>
        <v>0</v>
      </c>
      <c r="Y396" s="1">
        <f t="shared" si="133"/>
        <v>0</v>
      </c>
      <c r="Z396" s="1">
        <f t="shared" si="134"/>
        <v>0</v>
      </c>
      <c r="AA396" s="1">
        <f t="shared" si="135"/>
        <v>0</v>
      </c>
      <c r="AB396" s="1">
        <f t="shared" si="136"/>
        <v>0</v>
      </c>
      <c r="AD396" s="1">
        <f t="shared" si="137"/>
        <v>1</v>
      </c>
      <c r="AE396" s="1">
        <f t="shared" si="138"/>
        <v>0</v>
      </c>
      <c r="AF396" s="1">
        <f t="shared" si="139"/>
        <v>1</v>
      </c>
      <c r="AG396" s="1">
        <f t="shared" si="140"/>
        <v>0</v>
      </c>
      <c r="AH396" s="1">
        <f t="shared" si="141"/>
        <v>1</v>
      </c>
      <c r="AI396" s="1">
        <f t="shared" si="142"/>
        <v>0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1238</v>
      </c>
      <c r="E397" s="32" t="s">
        <v>1239</v>
      </c>
      <c r="F397" s="32" t="s">
        <v>1240</v>
      </c>
      <c r="G397" s="32" t="s">
        <v>219</v>
      </c>
      <c r="H397" s="32" t="s">
        <v>352</v>
      </c>
      <c r="I397" s="31" t="s">
        <v>1683</v>
      </c>
      <c r="J397" s="31">
        <v>8</v>
      </c>
      <c r="K397" s="33" t="s">
        <v>704</v>
      </c>
      <c r="L397" s="33" t="s">
        <v>39</v>
      </c>
      <c r="M397" s="34" t="s">
        <v>39</v>
      </c>
      <c r="N397" s="34" t="s">
        <v>1687</v>
      </c>
      <c r="O397" s="35">
        <v>1</v>
      </c>
      <c r="P397" s="35">
        <v>1</v>
      </c>
      <c r="Q397" s="32"/>
      <c r="S397" s="1">
        <f t="shared" si="127"/>
        <v>0</v>
      </c>
      <c r="T397" s="1">
        <f t="shared" si="128"/>
        <v>0</v>
      </c>
      <c r="U397" s="1">
        <f t="shared" si="129"/>
        <v>0</v>
      </c>
      <c r="V397" s="1">
        <f t="shared" si="130"/>
        <v>0</v>
      </c>
      <c r="W397" s="1">
        <f t="shared" si="131"/>
        <v>0</v>
      </c>
      <c r="X397" s="1">
        <f t="shared" si="132"/>
        <v>0</v>
      </c>
      <c r="Y397" s="1">
        <f t="shared" si="133"/>
        <v>0</v>
      </c>
      <c r="Z397" s="1">
        <f t="shared" si="134"/>
        <v>1</v>
      </c>
      <c r="AA397" s="1">
        <f t="shared" si="135"/>
        <v>0</v>
      </c>
      <c r="AB397" s="1">
        <f t="shared" si="136"/>
        <v>0</v>
      </c>
      <c r="AD397" s="1">
        <f t="shared" si="137"/>
        <v>1</v>
      </c>
      <c r="AE397" s="1">
        <f t="shared" si="138"/>
        <v>0</v>
      </c>
      <c r="AF397" s="1">
        <f t="shared" si="139"/>
        <v>1</v>
      </c>
      <c r="AG397" s="1">
        <f t="shared" si="140"/>
        <v>0</v>
      </c>
      <c r="AH397" s="1">
        <f t="shared" si="141"/>
        <v>1</v>
      </c>
      <c r="AI397" s="1">
        <f t="shared" si="142"/>
        <v>0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1059</v>
      </c>
      <c r="E398" s="32" t="s">
        <v>154</v>
      </c>
      <c r="F398" s="32" t="s">
        <v>1043</v>
      </c>
      <c r="G398" s="32" t="s">
        <v>319</v>
      </c>
      <c r="H398" s="32" t="s">
        <v>352</v>
      </c>
      <c r="I398" s="31" t="s">
        <v>1044</v>
      </c>
      <c r="J398" s="31">
        <v>99</v>
      </c>
      <c r="K398" s="33" t="s">
        <v>704</v>
      </c>
      <c r="L398" s="33" t="s">
        <v>685</v>
      </c>
      <c r="M398" s="34" t="s">
        <v>1392</v>
      </c>
      <c r="N398" s="34" t="s">
        <v>1708</v>
      </c>
      <c r="O398" s="35">
        <v>1</v>
      </c>
      <c r="P398" s="35"/>
      <c r="Q398" s="32"/>
      <c r="S398" s="1">
        <f t="shared" si="127"/>
        <v>0</v>
      </c>
      <c r="T398" s="1">
        <f t="shared" si="128"/>
        <v>0</v>
      </c>
      <c r="U398" s="1">
        <f t="shared" si="129"/>
        <v>0</v>
      </c>
      <c r="V398" s="1">
        <f t="shared" si="130"/>
        <v>0</v>
      </c>
      <c r="W398" s="1">
        <f t="shared" si="131"/>
        <v>0</v>
      </c>
      <c r="X398" s="1">
        <f t="shared" si="132"/>
        <v>0</v>
      </c>
      <c r="Y398" s="1">
        <f t="shared" si="133"/>
        <v>0</v>
      </c>
      <c r="Z398" s="1">
        <f t="shared" si="134"/>
        <v>0</v>
      </c>
      <c r="AA398" s="1">
        <f t="shared" si="135"/>
        <v>0</v>
      </c>
      <c r="AB398" s="1">
        <f t="shared" si="136"/>
        <v>0</v>
      </c>
      <c r="AD398" s="1">
        <f t="shared" si="137"/>
        <v>0</v>
      </c>
      <c r="AE398" s="1">
        <f t="shared" si="138"/>
        <v>1</v>
      </c>
      <c r="AF398" s="1">
        <f t="shared" si="139"/>
        <v>0</v>
      </c>
      <c r="AG398" s="1">
        <f t="shared" si="140"/>
        <v>1</v>
      </c>
      <c r="AH398" s="1">
        <f t="shared" si="141"/>
        <v>0</v>
      </c>
      <c r="AI398" s="1">
        <f t="shared" si="142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777</v>
      </c>
      <c r="E399" s="32" t="s">
        <v>753</v>
      </c>
      <c r="F399" s="32" t="s">
        <v>911</v>
      </c>
      <c r="G399" s="32" t="s">
        <v>219</v>
      </c>
      <c r="H399" s="32" t="s">
        <v>352</v>
      </c>
      <c r="I399" s="31" t="s">
        <v>778</v>
      </c>
      <c r="J399" s="31">
        <v>8</v>
      </c>
      <c r="K399" s="33" t="s">
        <v>694</v>
      </c>
      <c r="L399" s="33">
        <v>20</v>
      </c>
      <c r="M399" s="34" t="s">
        <v>1383</v>
      </c>
      <c r="N399" s="34" t="s">
        <v>1776</v>
      </c>
      <c r="O399" s="35">
        <v>1</v>
      </c>
      <c r="P399" s="35"/>
      <c r="Q399" s="32"/>
      <c r="S399" s="1">
        <f t="shared" si="127"/>
        <v>0</v>
      </c>
      <c r="T399" s="1">
        <f t="shared" si="128"/>
        <v>0</v>
      </c>
      <c r="U399" s="1">
        <f t="shared" si="129"/>
        <v>0</v>
      </c>
      <c r="V399" s="1">
        <f t="shared" si="130"/>
        <v>0</v>
      </c>
      <c r="W399" s="1">
        <f t="shared" si="131"/>
        <v>0</v>
      </c>
      <c r="X399" s="1">
        <f t="shared" si="132"/>
        <v>0</v>
      </c>
      <c r="Y399" s="1">
        <f t="shared" si="133"/>
        <v>0</v>
      </c>
      <c r="Z399" s="1">
        <f t="shared" si="134"/>
        <v>1</v>
      </c>
      <c r="AA399" s="1">
        <f t="shared" si="135"/>
        <v>0</v>
      </c>
      <c r="AB399" s="1">
        <f t="shared" si="136"/>
        <v>0</v>
      </c>
      <c r="AD399" s="1">
        <f t="shared" si="137"/>
        <v>0</v>
      </c>
      <c r="AE399" s="1">
        <f t="shared" si="138"/>
        <v>1</v>
      </c>
      <c r="AF399" s="1">
        <f t="shared" si="139"/>
        <v>0</v>
      </c>
      <c r="AG399" s="1">
        <f t="shared" si="140"/>
        <v>1</v>
      </c>
      <c r="AH399" s="1">
        <f t="shared" si="141"/>
        <v>0</v>
      </c>
      <c r="AI399" s="1">
        <f t="shared" si="142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2" t="s">
        <v>79</v>
      </c>
      <c r="E400" s="32" t="s">
        <v>158</v>
      </c>
      <c r="F400" s="32" t="s">
        <v>267</v>
      </c>
      <c r="G400" s="32" t="s">
        <v>212</v>
      </c>
      <c r="H400" s="32" t="s">
        <v>352</v>
      </c>
      <c r="I400" s="31" t="s">
        <v>423</v>
      </c>
      <c r="J400" s="31">
        <v>1</v>
      </c>
      <c r="K400" s="33" t="s">
        <v>932</v>
      </c>
      <c r="L400" s="33" t="s">
        <v>695</v>
      </c>
      <c r="M400" s="34" t="s">
        <v>718</v>
      </c>
      <c r="N400" s="34" t="s">
        <v>1696</v>
      </c>
      <c r="O400" s="35">
        <v>1</v>
      </c>
      <c r="P400" s="35"/>
      <c r="Q400" s="32"/>
      <c r="S400" s="1">
        <f t="shared" si="127"/>
        <v>1</v>
      </c>
      <c r="T400" s="1">
        <f t="shared" si="128"/>
        <v>0</v>
      </c>
      <c r="U400" s="1">
        <f t="shared" si="129"/>
        <v>0</v>
      </c>
      <c r="V400" s="1">
        <f t="shared" si="130"/>
        <v>0</v>
      </c>
      <c r="W400" s="1">
        <f t="shared" si="131"/>
        <v>0</v>
      </c>
      <c r="X400" s="1">
        <f t="shared" si="132"/>
        <v>0</v>
      </c>
      <c r="Y400" s="1">
        <f t="shared" si="133"/>
        <v>0</v>
      </c>
      <c r="Z400" s="1">
        <f t="shared" si="134"/>
        <v>0</v>
      </c>
      <c r="AA400" s="1">
        <f t="shared" si="135"/>
        <v>0</v>
      </c>
      <c r="AB400" s="1">
        <f t="shared" si="136"/>
        <v>0</v>
      </c>
      <c r="AD400" s="1">
        <f t="shared" si="137"/>
        <v>0</v>
      </c>
      <c r="AE400" s="1">
        <f t="shared" si="138"/>
        <v>1</v>
      </c>
      <c r="AF400" s="1">
        <f t="shared" si="139"/>
        <v>0</v>
      </c>
      <c r="AG400" s="1">
        <f t="shared" si="140"/>
        <v>1</v>
      </c>
      <c r="AH400" s="1">
        <f t="shared" si="141"/>
        <v>0</v>
      </c>
      <c r="AI400" s="1">
        <f t="shared" si="142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6" t="s">
        <v>2093</v>
      </c>
      <c r="E401" s="36" t="s">
        <v>812</v>
      </c>
      <c r="F401" s="36" t="s">
        <v>2094</v>
      </c>
      <c r="G401" s="36" t="s">
        <v>202</v>
      </c>
      <c r="H401" s="36" t="s">
        <v>352</v>
      </c>
      <c r="I401" s="37" t="s">
        <v>2095</v>
      </c>
      <c r="J401" s="31">
        <v>99</v>
      </c>
      <c r="K401" s="33" t="s">
        <v>694</v>
      </c>
      <c r="L401" s="33"/>
      <c r="M401" s="34"/>
      <c r="N401" s="34" t="s">
        <v>1687</v>
      </c>
      <c r="O401" s="35">
        <v>1</v>
      </c>
      <c r="P401" s="35">
        <v>1</v>
      </c>
      <c r="Q401" s="32"/>
      <c r="S401" s="1">
        <f t="shared" si="127"/>
        <v>0</v>
      </c>
      <c r="T401" s="1">
        <f t="shared" si="128"/>
        <v>0</v>
      </c>
      <c r="U401" s="1">
        <f t="shared" si="129"/>
        <v>0</v>
      </c>
      <c r="V401" s="1">
        <f t="shared" si="130"/>
        <v>0</v>
      </c>
      <c r="W401" s="1">
        <f t="shared" si="131"/>
        <v>0</v>
      </c>
      <c r="X401" s="1">
        <f t="shared" si="132"/>
        <v>0</v>
      </c>
      <c r="Y401" s="1">
        <f t="shared" si="133"/>
        <v>0</v>
      </c>
      <c r="Z401" s="1">
        <f t="shared" si="134"/>
        <v>0</v>
      </c>
      <c r="AA401" s="1">
        <f t="shared" si="135"/>
        <v>0</v>
      </c>
      <c r="AB401" s="1">
        <f t="shared" si="136"/>
        <v>0</v>
      </c>
      <c r="AD401" s="1">
        <f t="shared" si="137"/>
        <v>1</v>
      </c>
      <c r="AE401" s="1">
        <f t="shared" si="138"/>
        <v>0</v>
      </c>
      <c r="AF401" s="1">
        <f t="shared" si="139"/>
        <v>1</v>
      </c>
      <c r="AG401" s="1">
        <f t="shared" si="140"/>
        <v>0</v>
      </c>
      <c r="AH401" s="1">
        <f t="shared" si="141"/>
        <v>1</v>
      </c>
      <c r="AI401" s="1">
        <f t="shared" si="142"/>
        <v>0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2" t="s">
        <v>2029</v>
      </c>
      <c r="E402" s="32" t="s">
        <v>171</v>
      </c>
      <c r="F402" s="32" t="s">
        <v>2030</v>
      </c>
      <c r="G402" s="32" t="s">
        <v>206</v>
      </c>
      <c r="H402" s="32" t="s">
        <v>352</v>
      </c>
      <c r="I402" s="31" t="s">
        <v>2031</v>
      </c>
      <c r="J402" s="31">
        <v>99</v>
      </c>
      <c r="K402" s="33" t="s">
        <v>694</v>
      </c>
      <c r="L402" s="33">
        <v>30</v>
      </c>
      <c r="M402" s="34" t="s">
        <v>947</v>
      </c>
      <c r="N402" s="34" t="s">
        <v>1696</v>
      </c>
      <c r="O402" s="35">
        <v>1</v>
      </c>
      <c r="P402" s="35"/>
      <c r="Q402" s="32" t="s">
        <v>2032</v>
      </c>
      <c r="S402" s="1">
        <f t="shared" si="127"/>
        <v>0</v>
      </c>
      <c r="T402" s="1">
        <f t="shared" si="128"/>
        <v>0</v>
      </c>
      <c r="U402" s="1">
        <f t="shared" si="129"/>
        <v>0</v>
      </c>
      <c r="V402" s="1">
        <f t="shared" si="130"/>
        <v>0</v>
      </c>
      <c r="W402" s="1">
        <f t="shared" si="131"/>
        <v>0</v>
      </c>
      <c r="X402" s="1">
        <f t="shared" si="132"/>
        <v>0</v>
      </c>
      <c r="Y402" s="1">
        <f t="shared" si="133"/>
        <v>0</v>
      </c>
      <c r="Z402" s="1">
        <f t="shared" si="134"/>
        <v>0</v>
      </c>
      <c r="AA402" s="1">
        <f t="shared" si="135"/>
        <v>0</v>
      </c>
      <c r="AB402" s="1">
        <f t="shared" si="136"/>
        <v>0</v>
      </c>
      <c r="AD402" s="1">
        <f t="shared" si="137"/>
        <v>0</v>
      </c>
      <c r="AE402" s="1">
        <f t="shared" si="138"/>
        <v>1</v>
      </c>
      <c r="AF402" s="1">
        <f t="shared" si="139"/>
        <v>0</v>
      </c>
      <c r="AG402" s="1">
        <f t="shared" si="140"/>
        <v>1</v>
      </c>
      <c r="AH402" s="1">
        <f t="shared" si="141"/>
        <v>0</v>
      </c>
      <c r="AI402" s="1">
        <f t="shared" si="142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2" t="s">
        <v>1603</v>
      </c>
      <c r="E403" s="32" t="s">
        <v>1615</v>
      </c>
      <c r="F403" s="32" t="s">
        <v>1512</v>
      </c>
      <c r="G403" s="32" t="s">
        <v>261</v>
      </c>
      <c r="H403" s="32" t="s">
        <v>352</v>
      </c>
      <c r="I403" s="31" t="s">
        <v>1513</v>
      </c>
      <c r="J403" s="31">
        <v>99</v>
      </c>
      <c r="K403" s="33" t="s">
        <v>932</v>
      </c>
      <c r="L403" s="33">
        <v>40</v>
      </c>
      <c r="M403" s="34" t="s">
        <v>39</v>
      </c>
      <c r="N403" s="34" t="s">
        <v>1776</v>
      </c>
      <c r="O403" s="35">
        <v>1</v>
      </c>
      <c r="P403" s="35"/>
      <c r="Q403" s="32"/>
      <c r="S403" s="1">
        <f t="shared" si="127"/>
        <v>0</v>
      </c>
      <c r="T403" s="1">
        <f t="shared" si="128"/>
        <v>0</v>
      </c>
      <c r="U403" s="1">
        <f t="shared" si="129"/>
        <v>0</v>
      </c>
      <c r="V403" s="1">
        <f t="shared" si="130"/>
        <v>0</v>
      </c>
      <c r="W403" s="1">
        <f t="shared" si="131"/>
        <v>0</v>
      </c>
      <c r="X403" s="1">
        <f t="shared" si="132"/>
        <v>0</v>
      </c>
      <c r="Y403" s="1">
        <f t="shared" si="133"/>
        <v>0</v>
      </c>
      <c r="Z403" s="1">
        <f t="shared" si="134"/>
        <v>0</v>
      </c>
      <c r="AA403" s="1">
        <f t="shared" si="135"/>
        <v>0</v>
      </c>
      <c r="AB403" s="1">
        <f t="shared" si="136"/>
        <v>0</v>
      </c>
      <c r="AD403" s="1">
        <f t="shared" si="137"/>
        <v>0</v>
      </c>
      <c r="AE403" s="1">
        <f t="shared" si="138"/>
        <v>1</v>
      </c>
      <c r="AF403" s="1">
        <f t="shared" si="139"/>
        <v>0</v>
      </c>
      <c r="AG403" s="1">
        <f t="shared" si="140"/>
        <v>1</v>
      </c>
      <c r="AH403" s="1">
        <f t="shared" si="141"/>
        <v>0</v>
      </c>
      <c r="AI403" s="1">
        <f t="shared" si="142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5</v>
      </c>
      <c r="D404" s="32" t="s">
        <v>1265</v>
      </c>
      <c r="E404" s="32" t="s">
        <v>27</v>
      </c>
      <c r="F404" s="32" t="s">
        <v>1266</v>
      </c>
      <c r="G404" s="32" t="s">
        <v>1267</v>
      </c>
      <c r="H404" s="32" t="s">
        <v>352</v>
      </c>
      <c r="I404" s="31" t="s">
        <v>1268</v>
      </c>
      <c r="J404" s="31">
        <v>99</v>
      </c>
      <c r="K404" s="33" t="s">
        <v>932</v>
      </c>
      <c r="L404" s="33" t="s">
        <v>39</v>
      </c>
      <c r="M404" s="34" t="s">
        <v>39</v>
      </c>
      <c r="N404" s="34" t="s">
        <v>1687</v>
      </c>
      <c r="O404" s="35">
        <v>1</v>
      </c>
      <c r="P404" s="35">
        <v>1</v>
      </c>
      <c r="Q404" s="36"/>
      <c r="S404" s="1">
        <f t="shared" si="127"/>
        <v>0</v>
      </c>
      <c r="T404" s="1">
        <f t="shared" si="128"/>
        <v>0</v>
      </c>
      <c r="U404" s="1">
        <f t="shared" si="129"/>
        <v>0</v>
      </c>
      <c r="V404" s="1">
        <f t="shared" si="130"/>
        <v>0</v>
      </c>
      <c r="W404" s="1">
        <f t="shared" si="131"/>
        <v>0</v>
      </c>
      <c r="X404" s="1">
        <f t="shared" si="132"/>
        <v>0</v>
      </c>
      <c r="Y404" s="1">
        <f t="shared" si="133"/>
        <v>0</v>
      </c>
      <c r="Z404" s="1">
        <f t="shared" si="134"/>
        <v>0</v>
      </c>
      <c r="AA404" s="1">
        <f t="shared" si="135"/>
        <v>0</v>
      </c>
      <c r="AB404" s="1">
        <f t="shared" si="136"/>
        <v>0</v>
      </c>
      <c r="AD404" s="1">
        <f t="shared" si="137"/>
        <v>1</v>
      </c>
      <c r="AE404" s="1">
        <f t="shared" si="138"/>
        <v>0</v>
      </c>
      <c r="AF404" s="1">
        <f t="shared" si="139"/>
        <v>1</v>
      </c>
      <c r="AG404" s="1">
        <f t="shared" si="140"/>
        <v>0</v>
      </c>
      <c r="AH404" s="1">
        <f t="shared" si="141"/>
        <v>1</v>
      </c>
      <c r="AI404" s="1">
        <f t="shared" si="142"/>
        <v>0</v>
      </c>
    </row>
    <row r="405" spans="1:35" s="1" customFormat="1" ht="14.25" customHeight="1" x14ac:dyDescent="0.25">
      <c r="A405" s="15">
        <v>0</v>
      </c>
      <c r="B405" s="15">
        <v>2</v>
      </c>
      <c r="C405" s="15">
        <v>5</v>
      </c>
      <c r="D405" s="16" t="s">
        <v>1564</v>
      </c>
      <c r="E405" s="16" t="s">
        <v>158</v>
      </c>
      <c r="F405" s="16" t="s">
        <v>2092</v>
      </c>
      <c r="G405" s="16" t="s">
        <v>1431</v>
      </c>
      <c r="H405" s="16" t="s">
        <v>352</v>
      </c>
      <c r="I405" s="15" t="s">
        <v>1432</v>
      </c>
      <c r="J405" s="15">
        <v>99</v>
      </c>
      <c r="K405" s="10" t="s">
        <v>704</v>
      </c>
      <c r="L405" s="10" t="s">
        <v>687</v>
      </c>
      <c r="M405" s="19" t="s">
        <v>1433</v>
      </c>
      <c r="N405" s="19"/>
      <c r="Q405" s="16"/>
      <c r="S405" s="1">
        <f t="shared" si="127"/>
        <v>0</v>
      </c>
      <c r="T405" s="1">
        <f t="shared" si="128"/>
        <v>0</v>
      </c>
      <c r="U405" s="1">
        <f t="shared" si="129"/>
        <v>0</v>
      </c>
      <c r="V405" s="1">
        <f t="shared" si="130"/>
        <v>0</v>
      </c>
      <c r="W405" s="1">
        <f t="shared" si="131"/>
        <v>0</v>
      </c>
      <c r="X405" s="1">
        <f t="shared" si="132"/>
        <v>0</v>
      </c>
      <c r="Y405" s="1">
        <f t="shared" si="133"/>
        <v>0</v>
      </c>
      <c r="Z405" s="1">
        <f t="shared" si="134"/>
        <v>0</v>
      </c>
      <c r="AA405" s="1">
        <f t="shared" si="135"/>
        <v>0</v>
      </c>
      <c r="AB405" s="1">
        <f t="shared" si="136"/>
        <v>0</v>
      </c>
      <c r="AD405" s="1">
        <f t="shared" si="137"/>
        <v>0</v>
      </c>
      <c r="AE405" s="1">
        <f t="shared" si="138"/>
        <v>0</v>
      </c>
      <c r="AF405" s="1">
        <f t="shared" si="139"/>
        <v>0</v>
      </c>
      <c r="AG405" s="1">
        <f t="shared" si="140"/>
        <v>0</v>
      </c>
      <c r="AH405" s="1">
        <f t="shared" si="141"/>
        <v>0</v>
      </c>
      <c r="AI405" s="1">
        <f t="shared" si="142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5</v>
      </c>
      <c r="D406" s="32" t="s">
        <v>1989</v>
      </c>
      <c r="E406" s="32" t="s">
        <v>1990</v>
      </c>
      <c r="F406" s="32" t="s">
        <v>1991</v>
      </c>
      <c r="G406" s="32" t="s">
        <v>1994</v>
      </c>
      <c r="H406" s="32" t="s">
        <v>352</v>
      </c>
      <c r="I406" s="31" t="s">
        <v>1992</v>
      </c>
      <c r="J406" s="31"/>
      <c r="K406" s="33" t="s">
        <v>1773</v>
      </c>
      <c r="L406" s="33"/>
      <c r="M406" s="34"/>
      <c r="N406" s="34" t="s">
        <v>1687</v>
      </c>
      <c r="O406" s="35">
        <v>1</v>
      </c>
      <c r="P406" s="35">
        <v>1</v>
      </c>
      <c r="Q406" s="32" t="s">
        <v>1993</v>
      </c>
      <c r="S406" s="1">
        <f t="shared" ref="S406:S469" si="149">IF(J406=$S$7,1,0)</f>
        <v>0</v>
      </c>
      <c r="T406" s="1">
        <f t="shared" ref="T406:T469" si="150">IF(J406=$T$7,1,0)</f>
        <v>0</v>
      </c>
      <c r="U406" s="1">
        <f t="shared" ref="U406:U469" si="151">IF(J406=$U$7,1,0)</f>
        <v>0</v>
      </c>
      <c r="V406" s="1">
        <f t="shared" ref="V406:V469" si="152">IF(J406=$V$7,1,0)</f>
        <v>0</v>
      </c>
      <c r="W406" s="1">
        <f t="shared" ref="W406:W469" si="153">IF(J406=$W$7,1,0)</f>
        <v>0</v>
      </c>
      <c r="X406" s="1">
        <f t="shared" ref="X406:X469" si="154">IF(J406=$X$7,1,0)</f>
        <v>0</v>
      </c>
      <c r="Y406" s="1">
        <f t="shared" ref="Y406:Y469" si="155">IF(J406=$Y$7,1,0)</f>
        <v>0</v>
      </c>
      <c r="Z406" s="1">
        <f t="shared" ref="Z406:Z469" si="156">IF(J406=$Z$7,1,0)</f>
        <v>0</v>
      </c>
      <c r="AA406" s="1">
        <f t="shared" ref="AA406:AA469" si="157">IF(J406=$AA$7,1,0)</f>
        <v>0</v>
      </c>
      <c r="AB406" s="1">
        <f t="shared" ref="AB406:AB469" si="158">IF(J406=$AB$7,1,0)</f>
        <v>0</v>
      </c>
      <c r="AD406" s="1">
        <f t="shared" ref="AD406:AD469" si="159">+O406*P406</f>
        <v>1</v>
      </c>
      <c r="AE406" s="1">
        <f t="shared" ref="AE406:AE469" si="160">O406*(1-P406)</f>
        <v>0</v>
      </c>
      <c r="AF406" s="1">
        <f t="shared" si="139"/>
        <v>1</v>
      </c>
      <c r="AG406" s="1">
        <f t="shared" si="140"/>
        <v>0</v>
      </c>
      <c r="AH406" s="1">
        <f t="shared" si="141"/>
        <v>1</v>
      </c>
      <c r="AI406" s="1">
        <f t="shared" si="142"/>
        <v>0</v>
      </c>
    </row>
    <row r="407" spans="1:35" s="1" customFormat="1" ht="14.25" customHeight="1" x14ac:dyDescent="0.25">
      <c r="A407" s="31">
        <v>0</v>
      </c>
      <c r="B407" s="31">
        <v>2</v>
      </c>
      <c r="C407" s="31">
        <v>5</v>
      </c>
      <c r="D407" s="32" t="s">
        <v>1730</v>
      </c>
      <c r="E407" s="32" t="s">
        <v>154</v>
      </c>
      <c r="F407" s="32" t="s">
        <v>1731</v>
      </c>
      <c r="G407" s="32" t="s">
        <v>648</v>
      </c>
      <c r="H407" s="32" t="s">
        <v>352</v>
      </c>
      <c r="I407" s="31" t="s">
        <v>1732</v>
      </c>
      <c r="J407" s="31"/>
      <c r="K407" s="33" t="s">
        <v>694</v>
      </c>
      <c r="L407" s="33">
        <v>40</v>
      </c>
      <c r="M407" s="34" t="s">
        <v>1733</v>
      </c>
      <c r="N407" s="34" t="s">
        <v>1696</v>
      </c>
      <c r="O407" s="35">
        <v>1</v>
      </c>
      <c r="P407" s="35"/>
      <c r="Q407" s="32"/>
      <c r="S407" s="1">
        <f t="shared" si="149"/>
        <v>0</v>
      </c>
      <c r="T407" s="1">
        <f t="shared" si="150"/>
        <v>0</v>
      </c>
      <c r="U407" s="1">
        <f t="shared" si="151"/>
        <v>0</v>
      </c>
      <c r="V407" s="1">
        <f t="shared" si="152"/>
        <v>0</v>
      </c>
      <c r="W407" s="1">
        <f t="shared" si="153"/>
        <v>0</v>
      </c>
      <c r="X407" s="1">
        <f t="shared" si="154"/>
        <v>0</v>
      </c>
      <c r="Y407" s="1">
        <f t="shared" si="155"/>
        <v>0</v>
      </c>
      <c r="Z407" s="1">
        <f t="shared" si="156"/>
        <v>0</v>
      </c>
      <c r="AA407" s="1">
        <f t="shared" si="157"/>
        <v>0</v>
      </c>
      <c r="AB407" s="1">
        <f t="shared" si="158"/>
        <v>0</v>
      </c>
      <c r="AD407" s="1">
        <f t="shared" si="159"/>
        <v>0</v>
      </c>
      <c r="AE407" s="1">
        <f t="shared" si="160"/>
        <v>1</v>
      </c>
      <c r="AF407" s="1">
        <f t="shared" ref="AF407:AF470" si="161">+O407*P407*(1-A407)</f>
        <v>0</v>
      </c>
      <c r="AG407" s="1">
        <f t="shared" ref="AG407:AG470" si="162">O407*(1-P407)*(1-A407)</f>
        <v>1</v>
      </c>
      <c r="AH407" s="1">
        <f t="shared" ref="AH407:AH470" si="163">+P407*(1-A407)</f>
        <v>0</v>
      </c>
      <c r="AI407" s="1">
        <f t="shared" ref="AI407:AI470" si="164">+(1-A407)*(1-P407)</f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5</v>
      </c>
      <c r="D408" s="32" t="s">
        <v>818</v>
      </c>
      <c r="E408" s="32" t="s">
        <v>812</v>
      </c>
      <c r="F408" s="32" t="s">
        <v>919</v>
      </c>
      <c r="G408" s="32" t="s">
        <v>179</v>
      </c>
      <c r="H408" s="32" t="s">
        <v>352</v>
      </c>
      <c r="I408" s="31" t="s">
        <v>1086</v>
      </c>
      <c r="J408" s="31">
        <v>10</v>
      </c>
      <c r="K408" s="33" t="s">
        <v>703</v>
      </c>
      <c r="L408" s="33" t="s">
        <v>684</v>
      </c>
      <c r="M408" s="34" t="s">
        <v>1393</v>
      </c>
      <c r="N408" s="34" t="s">
        <v>1707</v>
      </c>
      <c r="O408" s="35">
        <v>1</v>
      </c>
      <c r="P408" s="35"/>
      <c r="Q408" s="32"/>
      <c r="S408" s="1">
        <f t="shared" si="149"/>
        <v>0</v>
      </c>
      <c r="T408" s="1">
        <f t="shared" si="150"/>
        <v>0</v>
      </c>
      <c r="U408" s="1">
        <f t="shared" si="151"/>
        <v>0</v>
      </c>
      <c r="V408" s="1">
        <f t="shared" si="152"/>
        <v>0</v>
      </c>
      <c r="W408" s="1">
        <f t="shared" si="153"/>
        <v>0</v>
      </c>
      <c r="X408" s="1">
        <f t="shared" si="154"/>
        <v>0</v>
      </c>
      <c r="Y408" s="1">
        <f t="shared" si="155"/>
        <v>0</v>
      </c>
      <c r="Z408" s="1">
        <f t="shared" si="156"/>
        <v>0</v>
      </c>
      <c r="AA408" s="1">
        <f t="shared" si="157"/>
        <v>0</v>
      </c>
      <c r="AB408" s="1">
        <f t="shared" si="158"/>
        <v>1</v>
      </c>
      <c r="AD408" s="1">
        <f t="shared" si="159"/>
        <v>0</v>
      </c>
      <c r="AE408" s="1">
        <f t="shared" si="160"/>
        <v>1</v>
      </c>
      <c r="AF408" s="1">
        <f t="shared" si="161"/>
        <v>0</v>
      </c>
      <c r="AG408" s="1">
        <f t="shared" si="162"/>
        <v>1</v>
      </c>
      <c r="AH408" s="1">
        <f t="shared" si="163"/>
        <v>0</v>
      </c>
      <c r="AI408" s="1">
        <f t="shared" si="164"/>
        <v>1</v>
      </c>
    </row>
    <row r="409" spans="1:35" s="1" customFormat="1" ht="14.25" customHeight="1" x14ac:dyDescent="0.25">
      <c r="A409" s="51">
        <v>0</v>
      </c>
      <c r="B409" s="51">
        <v>2</v>
      </c>
      <c r="C409" s="51">
        <v>6</v>
      </c>
      <c r="D409" s="52" t="s">
        <v>1504</v>
      </c>
      <c r="E409" s="52" t="s">
        <v>27</v>
      </c>
      <c r="F409" s="52" t="s">
        <v>1506</v>
      </c>
      <c r="G409" s="52" t="s">
        <v>1495</v>
      </c>
      <c r="H409" s="52" t="s">
        <v>352</v>
      </c>
      <c r="I409" s="51" t="s">
        <v>1505</v>
      </c>
      <c r="J409" s="51">
        <v>5</v>
      </c>
      <c r="K409" s="53" t="s">
        <v>932</v>
      </c>
      <c r="L409" s="53" t="s">
        <v>39</v>
      </c>
      <c r="M409" s="54" t="s">
        <v>39</v>
      </c>
      <c r="N409" s="55"/>
      <c r="O409" s="56"/>
      <c r="P409" s="56"/>
      <c r="Q409" s="58" t="s">
        <v>1850</v>
      </c>
      <c r="S409" s="1">
        <f t="shared" si="149"/>
        <v>0</v>
      </c>
      <c r="T409" s="1">
        <f t="shared" si="150"/>
        <v>0</v>
      </c>
      <c r="U409" s="1">
        <f t="shared" si="151"/>
        <v>0</v>
      </c>
      <c r="V409" s="1">
        <f t="shared" si="152"/>
        <v>0</v>
      </c>
      <c r="W409" s="1">
        <f t="shared" si="153"/>
        <v>1</v>
      </c>
      <c r="X409" s="1">
        <f t="shared" si="154"/>
        <v>0</v>
      </c>
      <c r="Y409" s="1">
        <f t="shared" si="155"/>
        <v>0</v>
      </c>
      <c r="Z409" s="1">
        <f t="shared" si="156"/>
        <v>0</v>
      </c>
      <c r="AA409" s="1">
        <f t="shared" si="157"/>
        <v>0</v>
      </c>
      <c r="AB409" s="1">
        <f t="shared" si="158"/>
        <v>0</v>
      </c>
      <c r="AD409" s="1">
        <f t="shared" si="159"/>
        <v>0</v>
      </c>
      <c r="AE409" s="1">
        <f t="shared" si="160"/>
        <v>0</v>
      </c>
      <c r="AF409" s="1">
        <f t="shared" si="161"/>
        <v>0</v>
      </c>
      <c r="AG409" s="1">
        <f t="shared" si="162"/>
        <v>0</v>
      </c>
      <c r="AH409" s="1">
        <f t="shared" si="163"/>
        <v>0</v>
      </c>
      <c r="AI409" s="1">
        <f t="shared" si="164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6</v>
      </c>
      <c r="D410" s="32" t="s">
        <v>515</v>
      </c>
      <c r="E410" s="32" t="s">
        <v>31</v>
      </c>
      <c r="F410" s="32" t="s">
        <v>664</v>
      </c>
      <c r="G410" s="32" t="s">
        <v>199</v>
      </c>
      <c r="H410" s="32" t="s">
        <v>352</v>
      </c>
      <c r="I410" s="31" t="s">
        <v>516</v>
      </c>
      <c r="J410" s="31">
        <v>2</v>
      </c>
      <c r="K410" s="33" t="s">
        <v>931</v>
      </c>
      <c r="L410" s="33" t="s">
        <v>685</v>
      </c>
      <c r="M410" s="34" t="s">
        <v>1394</v>
      </c>
      <c r="N410" s="34" t="s">
        <v>1696</v>
      </c>
      <c r="O410" s="35">
        <v>1</v>
      </c>
      <c r="P410" s="35"/>
      <c r="Q410" s="32"/>
      <c r="S410" s="1">
        <f t="shared" si="149"/>
        <v>0</v>
      </c>
      <c r="T410" s="1">
        <f t="shared" si="150"/>
        <v>1</v>
      </c>
      <c r="U410" s="1">
        <f t="shared" si="151"/>
        <v>0</v>
      </c>
      <c r="V410" s="1">
        <f t="shared" si="152"/>
        <v>0</v>
      </c>
      <c r="W410" s="1">
        <f t="shared" si="153"/>
        <v>0</v>
      </c>
      <c r="X410" s="1">
        <f t="shared" si="154"/>
        <v>0</v>
      </c>
      <c r="Y410" s="1">
        <f t="shared" si="155"/>
        <v>0</v>
      </c>
      <c r="Z410" s="1">
        <f t="shared" si="156"/>
        <v>0</v>
      </c>
      <c r="AA410" s="1">
        <f t="shared" si="157"/>
        <v>0</v>
      </c>
      <c r="AB410" s="1">
        <f t="shared" si="158"/>
        <v>0</v>
      </c>
      <c r="AD410" s="1">
        <f t="shared" si="159"/>
        <v>0</v>
      </c>
      <c r="AE410" s="1">
        <f t="shared" si="160"/>
        <v>1</v>
      </c>
      <c r="AF410" s="1">
        <f t="shared" si="161"/>
        <v>0</v>
      </c>
      <c r="AG410" s="1">
        <f t="shared" si="162"/>
        <v>1</v>
      </c>
      <c r="AH410" s="1">
        <f t="shared" si="163"/>
        <v>0</v>
      </c>
      <c r="AI410" s="1">
        <f t="shared" si="164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6</v>
      </c>
      <c r="D411" s="32" t="s">
        <v>53</v>
      </c>
      <c r="E411" s="32" t="s">
        <v>31</v>
      </c>
      <c r="F411" s="32" t="s">
        <v>209</v>
      </c>
      <c r="G411" s="32" t="s">
        <v>210</v>
      </c>
      <c r="H411" s="32" t="s">
        <v>352</v>
      </c>
      <c r="I411" s="31" t="s">
        <v>390</v>
      </c>
      <c r="J411" s="31">
        <v>1</v>
      </c>
      <c r="K411" s="33" t="s">
        <v>703</v>
      </c>
      <c r="L411" s="33" t="s">
        <v>695</v>
      </c>
      <c r="M411" s="34" t="s">
        <v>719</v>
      </c>
      <c r="N411" s="34" t="s">
        <v>1696</v>
      </c>
      <c r="O411" s="35">
        <v>1</v>
      </c>
      <c r="P411" s="35"/>
      <c r="Q411" s="32"/>
      <c r="S411" s="1">
        <f t="shared" si="149"/>
        <v>1</v>
      </c>
      <c r="T411" s="1">
        <f t="shared" si="150"/>
        <v>0</v>
      </c>
      <c r="U411" s="1">
        <f t="shared" si="151"/>
        <v>0</v>
      </c>
      <c r="V411" s="1">
        <f t="shared" si="152"/>
        <v>0</v>
      </c>
      <c r="W411" s="1">
        <f t="shared" si="153"/>
        <v>0</v>
      </c>
      <c r="X411" s="1">
        <f t="shared" si="154"/>
        <v>0</v>
      </c>
      <c r="Y411" s="1">
        <f t="shared" si="155"/>
        <v>0</v>
      </c>
      <c r="Z411" s="1">
        <f t="shared" si="156"/>
        <v>0</v>
      </c>
      <c r="AA411" s="1">
        <f t="shared" si="157"/>
        <v>0</v>
      </c>
      <c r="AB411" s="1">
        <f t="shared" si="158"/>
        <v>0</v>
      </c>
      <c r="AD411" s="1">
        <f t="shared" si="159"/>
        <v>0</v>
      </c>
      <c r="AE411" s="1">
        <f t="shared" si="160"/>
        <v>1</v>
      </c>
      <c r="AF411" s="1">
        <f t="shared" si="161"/>
        <v>0</v>
      </c>
      <c r="AG411" s="1">
        <f t="shared" si="162"/>
        <v>1</v>
      </c>
      <c r="AH411" s="1">
        <f t="shared" si="163"/>
        <v>0</v>
      </c>
      <c r="AI411" s="1">
        <f t="shared" si="164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6</v>
      </c>
      <c r="D412" s="32" t="s">
        <v>1813</v>
      </c>
      <c r="E412" s="32" t="s">
        <v>1814</v>
      </c>
      <c r="F412" s="32" t="s">
        <v>1815</v>
      </c>
      <c r="G412" s="32"/>
      <c r="H412" s="32" t="s">
        <v>352</v>
      </c>
      <c r="I412" s="31" t="s">
        <v>1816</v>
      </c>
      <c r="J412" s="31">
        <v>99</v>
      </c>
      <c r="K412" s="33" t="s">
        <v>694</v>
      </c>
      <c r="L412" s="33">
        <v>25</v>
      </c>
      <c r="M412" s="34" t="s">
        <v>1817</v>
      </c>
      <c r="N412" s="34" t="s">
        <v>1696</v>
      </c>
      <c r="O412" s="35">
        <v>1</v>
      </c>
      <c r="P412" s="35"/>
      <c r="Q412" s="32" t="s">
        <v>1995</v>
      </c>
      <c r="S412" s="1">
        <f t="shared" si="149"/>
        <v>0</v>
      </c>
      <c r="T412" s="1">
        <f t="shared" si="150"/>
        <v>0</v>
      </c>
      <c r="U412" s="1">
        <f t="shared" si="151"/>
        <v>0</v>
      </c>
      <c r="V412" s="1">
        <f t="shared" si="152"/>
        <v>0</v>
      </c>
      <c r="W412" s="1">
        <f t="shared" si="153"/>
        <v>0</v>
      </c>
      <c r="X412" s="1">
        <f t="shared" si="154"/>
        <v>0</v>
      </c>
      <c r="Y412" s="1">
        <f t="shared" si="155"/>
        <v>0</v>
      </c>
      <c r="Z412" s="1">
        <f t="shared" si="156"/>
        <v>0</v>
      </c>
      <c r="AA412" s="1">
        <f t="shared" si="157"/>
        <v>0</v>
      </c>
      <c r="AB412" s="1">
        <f t="shared" si="158"/>
        <v>0</v>
      </c>
      <c r="AD412" s="1">
        <f t="shared" si="159"/>
        <v>0</v>
      </c>
      <c r="AE412" s="1">
        <f t="shared" si="160"/>
        <v>1</v>
      </c>
      <c r="AF412" s="1">
        <f t="shared" si="161"/>
        <v>0</v>
      </c>
      <c r="AG412" s="1">
        <f t="shared" si="162"/>
        <v>1</v>
      </c>
      <c r="AH412" s="1">
        <f t="shared" si="163"/>
        <v>0</v>
      </c>
      <c r="AI412" s="1">
        <f t="shared" si="164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6</v>
      </c>
      <c r="D413" s="32" t="s">
        <v>80</v>
      </c>
      <c r="E413" s="32" t="s">
        <v>31</v>
      </c>
      <c r="F413" s="32" t="s">
        <v>269</v>
      </c>
      <c r="G413" s="32" t="s">
        <v>223</v>
      </c>
      <c r="H413" s="32" t="s">
        <v>352</v>
      </c>
      <c r="I413" s="31" t="s">
        <v>670</v>
      </c>
      <c r="J413" s="31">
        <v>99</v>
      </c>
      <c r="K413" s="33" t="s">
        <v>932</v>
      </c>
      <c r="L413" s="33" t="s">
        <v>685</v>
      </c>
      <c r="M413" s="34" t="s">
        <v>1395</v>
      </c>
      <c r="N413" s="34" t="s">
        <v>1800</v>
      </c>
      <c r="O413" s="35">
        <v>1</v>
      </c>
      <c r="P413" s="35"/>
      <c r="Q413" s="32"/>
      <c r="S413" s="1">
        <f t="shared" si="149"/>
        <v>0</v>
      </c>
      <c r="T413" s="1">
        <f t="shared" si="150"/>
        <v>0</v>
      </c>
      <c r="U413" s="1">
        <f t="shared" si="151"/>
        <v>0</v>
      </c>
      <c r="V413" s="1">
        <f t="shared" si="152"/>
        <v>0</v>
      </c>
      <c r="W413" s="1">
        <f t="shared" si="153"/>
        <v>0</v>
      </c>
      <c r="X413" s="1">
        <f t="shared" si="154"/>
        <v>0</v>
      </c>
      <c r="Y413" s="1">
        <f t="shared" si="155"/>
        <v>0</v>
      </c>
      <c r="Z413" s="1">
        <f t="shared" si="156"/>
        <v>0</v>
      </c>
      <c r="AA413" s="1">
        <f t="shared" si="157"/>
        <v>0</v>
      </c>
      <c r="AB413" s="1">
        <f t="shared" si="158"/>
        <v>0</v>
      </c>
      <c r="AD413" s="1">
        <f t="shared" si="159"/>
        <v>0</v>
      </c>
      <c r="AE413" s="1">
        <f t="shared" si="160"/>
        <v>1</v>
      </c>
      <c r="AF413" s="1">
        <f t="shared" si="161"/>
        <v>0</v>
      </c>
      <c r="AG413" s="1">
        <f t="shared" si="162"/>
        <v>1</v>
      </c>
      <c r="AH413" s="1">
        <f t="shared" si="163"/>
        <v>0</v>
      </c>
      <c r="AI413" s="1">
        <f t="shared" si="164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6</v>
      </c>
      <c r="D414" s="32" t="s">
        <v>631</v>
      </c>
      <c r="E414" s="32" t="s">
        <v>31</v>
      </c>
      <c r="F414" s="32" t="s">
        <v>632</v>
      </c>
      <c r="G414" s="32" t="s">
        <v>239</v>
      </c>
      <c r="H414" s="32" t="s">
        <v>352</v>
      </c>
      <c r="I414" s="31" t="s">
        <v>633</v>
      </c>
      <c r="J414" s="31">
        <v>1</v>
      </c>
      <c r="K414" s="33" t="s">
        <v>704</v>
      </c>
      <c r="L414" s="33" t="s">
        <v>685</v>
      </c>
      <c r="M414" s="34" t="s">
        <v>1396</v>
      </c>
      <c r="N414" s="34" t="s">
        <v>1696</v>
      </c>
      <c r="O414" s="35">
        <v>1</v>
      </c>
      <c r="P414" s="35"/>
      <c r="Q414" s="32"/>
      <c r="S414" s="1">
        <f t="shared" si="149"/>
        <v>1</v>
      </c>
      <c r="T414" s="1">
        <f t="shared" si="150"/>
        <v>0</v>
      </c>
      <c r="U414" s="1">
        <f t="shared" si="151"/>
        <v>0</v>
      </c>
      <c r="V414" s="1">
        <f t="shared" si="152"/>
        <v>0</v>
      </c>
      <c r="W414" s="1">
        <f t="shared" si="153"/>
        <v>0</v>
      </c>
      <c r="X414" s="1">
        <f t="shared" si="154"/>
        <v>0</v>
      </c>
      <c r="Y414" s="1">
        <f t="shared" si="155"/>
        <v>0</v>
      </c>
      <c r="Z414" s="1">
        <f t="shared" si="156"/>
        <v>0</v>
      </c>
      <c r="AA414" s="1">
        <f t="shared" si="157"/>
        <v>0</v>
      </c>
      <c r="AB414" s="1">
        <f t="shared" si="158"/>
        <v>0</v>
      </c>
      <c r="AD414" s="1">
        <f t="shared" si="159"/>
        <v>0</v>
      </c>
      <c r="AE414" s="1">
        <f t="shared" si="160"/>
        <v>1</v>
      </c>
      <c r="AF414" s="1">
        <f t="shared" si="161"/>
        <v>0</v>
      </c>
      <c r="AG414" s="1">
        <f t="shared" si="162"/>
        <v>1</v>
      </c>
      <c r="AH414" s="1">
        <f t="shared" si="163"/>
        <v>0</v>
      </c>
      <c r="AI414" s="1">
        <f t="shared" si="164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6</v>
      </c>
      <c r="D415" s="32" t="s">
        <v>1060</v>
      </c>
      <c r="E415" s="32" t="s">
        <v>158</v>
      </c>
      <c r="F415" s="32" t="s">
        <v>197</v>
      </c>
      <c r="G415" s="32" t="s">
        <v>198</v>
      </c>
      <c r="H415" s="32" t="s">
        <v>352</v>
      </c>
      <c r="I415" s="31" t="s">
        <v>386</v>
      </c>
      <c r="J415" s="31">
        <v>99</v>
      </c>
      <c r="K415" s="33" t="s">
        <v>703</v>
      </c>
      <c r="L415" s="33" t="s">
        <v>707</v>
      </c>
      <c r="M415" s="34" t="s">
        <v>721</v>
      </c>
      <c r="N415" s="34" t="s">
        <v>1701</v>
      </c>
      <c r="O415" s="35">
        <v>1</v>
      </c>
      <c r="P415" s="35"/>
      <c r="Q415" s="32"/>
      <c r="S415" s="1">
        <f t="shared" si="149"/>
        <v>0</v>
      </c>
      <c r="T415" s="1">
        <f t="shared" si="150"/>
        <v>0</v>
      </c>
      <c r="U415" s="1">
        <f t="shared" si="151"/>
        <v>0</v>
      </c>
      <c r="V415" s="1">
        <f t="shared" si="152"/>
        <v>0</v>
      </c>
      <c r="W415" s="1">
        <f t="shared" si="153"/>
        <v>0</v>
      </c>
      <c r="X415" s="1">
        <f t="shared" si="154"/>
        <v>0</v>
      </c>
      <c r="Y415" s="1">
        <f t="shared" si="155"/>
        <v>0</v>
      </c>
      <c r="Z415" s="1">
        <f t="shared" si="156"/>
        <v>0</v>
      </c>
      <c r="AA415" s="1">
        <f t="shared" si="157"/>
        <v>0</v>
      </c>
      <c r="AB415" s="1">
        <f t="shared" si="158"/>
        <v>0</v>
      </c>
      <c r="AD415" s="1">
        <f t="shared" si="159"/>
        <v>0</v>
      </c>
      <c r="AE415" s="1">
        <f t="shared" si="160"/>
        <v>1</v>
      </c>
      <c r="AF415" s="1">
        <f t="shared" si="161"/>
        <v>0</v>
      </c>
      <c r="AG415" s="1">
        <f t="shared" si="162"/>
        <v>1</v>
      </c>
      <c r="AH415" s="1">
        <f t="shared" si="163"/>
        <v>0</v>
      </c>
      <c r="AI415" s="1">
        <f t="shared" si="164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505</v>
      </c>
      <c r="E416" s="32" t="s">
        <v>155</v>
      </c>
      <c r="F416" s="32" t="s">
        <v>506</v>
      </c>
      <c r="G416" s="32" t="s">
        <v>39</v>
      </c>
      <c r="H416" s="32" t="s">
        <v>352</v>
      </c>
      <c r="I416" s="31" t="s">
        <v>920</v>
      </c>
      <c r="J416" s="31">
        <v>7</v>
      </c>
      <c r="K416" s="33" t="s">
        <v>932</v>
      </c>
      <c r="L416" s="33" t="s">
        <v>39</v>
      </c>
      <c r="M416" s="34" t="s">
        <v>39</v>
      </c>
      <c r="N416" s="34" t="s">
        <v>1687</v>
      </c>
      <c r="O416" s="35">
        <v>1</v>
      </c>
      <c r="P416" s="35">
        <v>1</v>
      </c>
      <c r="Q416" s="32"/>
      <c r="S416" s="1">
        <f t="shared" si="149"/>
        <v>0</v>
      </c>
      <c r="T416" s="1">
        <f t="shared" si="150"/>
        <v>0</v>
      </c>
      <c r="U416" s="1">
        <f t="shared" si="151"/>
        <v>0</v>
      </c>
      <c r="V416" s="1">
        <f t="shared" si="152"/>
        <v>0</v>
      </c>
      <c r="W416" s="1">
        <f t="shared" si="153"/>
        <v>0</v>
      </c>
      <c r="X416" s="1">
        <f t="shared" si="154"/>
        <v>0</v>
      </c>
      <c r="Y416" s="1">
        <f t="shared" si="155"/>
        <v>1</v>
      </c>
      <c r="Z416" s="1">
        <f t="shared" si="156"/>
        <v>0</v>
      </c>
      <c r="AA416" s="1">
        <f t="shared" si="157"/>
        <v>0</v>
      </c>
      <c r="AB416" s="1">
        <f t="shared" si="158"/>
        <v>0</v>
      </c>
      <c r="AD416" s="1">
        <f t="shared" si="159"/>
        <v>1</v>
      </c>
      <c r="AE416" s="1">
        <f t="shared" si="160"/>
        <v>0</v>
      </c>
      <c r="AF416" s="1">
        <f t="shared" si="161"/>
        <v>1</v>
      </c>
      <c r="AG416" s="1">
        <f t="shared" si="162"/>
        <v>0</v>
      </c>
      <c r="AH416" s="1">
        <f t="shared" si="163"/>
        <v>1</v>
      </c>
      <c r="AI416" s="1">
        <f t="shared" si="164"/>
        <v>0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70</v>
      </c>
      <c r="E417" s="32" t="s">
        <v>28</v>
      </c>
      <c r="F417" s="32" t="s">
        <v>665</v>
      </c>
      <c r="G417" s="32" t="s">
        <v>257</v>
      </c>
      <c r="H417" s="32" t="s">
        <v>352</v>
      </c>
      <c r="I417" s="31" t="s">
        <v>415</v>
      </c>
      <c r="J417" s="31">
        <v>8</v>
      </c>
      <c r="K417" s="33" t="s">
        <v>704</v>
      </c>
      <c r="L417" s="33" t="s">
        <v>704</v>
      </c>
      <c r="M417" s="34" t="s">
        <v>722</v>
      </c>
      <c r="N417" s="34" t="s">
        <v>1696</v>
      </c>
      <c r="O417" s="35">
        <v>1</v>
      </c>
      <c r="P417" s="35"/>
      <c r="Q417" s="32"/>
      <c r="S417" s="1">
        <f t="shared" si="149"/>
        <v>0</v>
      </c>
      <c r="T417" s="1">
        <f t="shared" si="150"/>
        <v>0</v>
      </c>
      <c r="U417" s="1">
        <f t="shared" si="151"/>
        <v>0</v>
      </c>
      <c r="V417" s="1">
        <f t="shared" si="152"/>
        <v>0</v>
      </c>
      <c r="W417" s="1">
        <f t="shared" si="153"/>
        <v>0</v>
      </c>
      <c r="X417" s="1">
        <f t="shared" si="154"/>
        <v>0</v>
      </c>
      <c r="Y417" s="1">
        <f t="shared" si="155"/>
        <v>0</v>
      </c>
      <c r="Z417" s="1">
        <f t="shared" si="156"/>
        <v>1</v>
      </c>
      <c r="AA417" s="1">
        <f t="shared" si="157"/>
        <v>0</v>
      </c>
      <c r="AB417" s="1">
        <f t="shared" si="158"/>
        <v>0</v>
      </c>
      <c r="AD417" s="1">
        <f t="shared" si="159"/>
        <v>0</v>
      </c>
      <c r="AE417" s="1">
        <f t="shared" si="160"/>
        <v>1</v>
      </c>
      <c r="AF417" s="1">
        <f t="shared" si="161"/>
        <v>0</v>
      </c>
      <c r="AG417" s="1">
        <f t="shared" si="162"/>
        <v>1</v>
      </c>
      <c r="AH417" s="1">
        <f t="shared" si="163"/>
        <v>0</v>
      </c>
      <c r="AI417" s="1">
        <f t="shared" si="164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646</v>
      </c>
      <c r="E418" s="32" t="s">
        <v>155</v>
      </c>
      <c r="F418" s="32" t="s">
        <v>577</v>
      </c>
      <c r="G418" s="32" t="s">
        <v>248</v>
      </c>
      <c r="H418" s="32" t="s">
        <v>352</v>
      </c>
      <c r="I418" s="31" t="s">
        <v>671</v>
      </c>
      <c r="J418" s="31">
        <v>7</v>
      </c>
      <c r="K418" s="33" t="s">
        <v>932</v>
      </c>
      <c r="L418" s="33" t="s">
        <v>39</v>
      </c>
      <c r="M418" s="34" t="s">
        <v>39</v>
      </c>
      <c r="N418" s="34" t="s">
        <v>1687</v>
      </c>
      <c r="O418" s="35">
        <v>1</v>
      </c>
      <c r="P418" s="35">
        <v>1</v>
      </c>
      <c r="Q418" s="32"/>
      <c r="S418" s="1">
        <f t="shared" si="149"/>
        <v>0</v>
      </c>
      <c r="T418" s="1">
        <f t="shared" si="150"/>
        <v>0</v>
      </c>
      <c r="U418" s="1">
        <f t="shared" si="151"/>
        <v>0</v>
      </c>
      <c r="V418" s="1">
        <f t="shared" si="152"/>
        <v>0</v>
      </c>
      <c r="W418" s="1">
        <f t="shared" si="153"/>
        <v>0</v>
      </c>
      <c r="X418" s="1">
        <f t="shared" si="154"/>
        <v>0</v>
      </c>
      <c r="Y418" s="1">
        <f t="shared" si="155"/>
        <v>1</v>
      </c>
      <c r="Z418" s="1">
        <f t="shared" si="156"/>
        <v>0</v>
      </c>
      <c r="AA418" s="1">
        <f t="shared" si="157"/>
        <v>0</v>
      </c>
      <c r="AB418" s="1">
        <f t="shared" si="158"/>
        <v>0</v>
      </c>
      <c r="AD418" s="1">
        <f t="shared" si="159"/>
        <v>1</v>
      </c>
      <c r="AE418" s="1">
        <f t="shared" si="160"/>
        <v>0</v>
      </c>
      <c r="AF418" s="1">
        <f t="shared" si="161"/>
        <v>1</v>
      </c>
      <c r="AG418" s="1">
        <f t="shared" si="162"/>
        <v>0</v>
      </c>
      <c r="AH418" s="1">
        <f t="shared" si="163"/>
        <v>1</v>
      </c>
      <c r="AI418" s="1">
        <f t="shared" si="164"/>
        <v>0</v>
      </c>
    </row>
    <row r="419" spans="1:35" s="1" customFormat="1" ht="14.25" customHeight="1" x14ac:dyDescent="0.25">
      <c r="A419" s="44">
        <v>0</v>
      </c>
      <c r="B419" s="44">
        <v>2</v>
      </c>
      <c r="C419" s="44">
        <v>7</v>
      </c>
      <c r="D419" s="45" t="s">
        <v>1595</v>
      </c>
      <c r="E419" s="45" t="s">
        <v>155</v>
      </c>
      <c r="F419" s="45" t="s">
        <v>1618</v>
      </c>
      <c r="G419" s="45" t="s">
        <v>212</v>
      </c>
      <c r="H419" s="45" t="s">
        <v>352</v>
      </c>
      <c r="I419" s="44" t="s">
        <v>586</v>
      </c>
      <c r="J419" s="44">
        <v>1</v>
      </c>
      <c r="K419" s="46" t="s">
        <v>703</v>
      </c>
      <c r="L419" s="46" t="s">
        <v>713</v>
      </c>
      <c r="M419" s="47" t="s">
        <v>1397</v>
      </c>
      <c r="N419" s="47" t="s">
        <v>1694</v>
      </c>
      <c r="O419" s="48"/>
      <c r="P419" s="48"/>
      <c r="Q419" s="45"/>
      <c r="S419" s="1">
        <f t="shared" si="149"/>
        <v>1</v>
      </c>
      <c r="T419" s="1">
        <f t="shared" si="150"/>
        <v>0</v>
      </c>
      <c r="U419" s="1">
        <f t="shared" si="151"/>
        <v>0</v>
      </c>
      <c r="V419" s="1">
        <f t="shared" si="152"/>
        <v>0</v>
      </c>
      <c r="W419" s="1">
        <f t="shared" si="153"/>
        <v>0</v>
      </c>
      <c r="X419" s="1">
        <f t="shared" si="154"/>
        <v>0</v>
      </c>
      <c r="Y419" s="1">
        <f t="shared" si="155"/>
        <v>0</v>
      </c>
      <c r="Z419" s="1">
        <f t="shared" si="156"/>
        <v>0</v>
      </c>
      <c r="AA419" s="1">
        <f t="shared" si="157"/>
        <v>0</v>
      </c>
      <c r="AB419" s="1">
        <f t="shared" si="158"/>
        <v>0</v>
      </c>
      <c r="AD419" s="1">
        <f t="shared" si="159"/>
        <v>0</v>
      </c>
      <c r="AE419" s="1">
        <f t="shared" si="160"/>
        <v>0</v>
      </c>
      <c r="AF419" s="1">
        <f t="shared" si="161"/>
        <v>0</v>
      </c>
      <c r="AG419" s="1">
        <f t="shared" si="162"/>
        <v>0</v>
      </c>
      <c r="AH419" s="1">
        <f t="shared" si="163"/>
        <v>0</v>
      </c>
      <c r="AI419" s="1">
        <f t="shared" si="164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1047</v>
      </c>
      <c r="E420" s="32" t="s">
        <v>1023</v>
      </c>
      <c r="F420" s="32" t="s">
        <v>1048</v>
      </c>
      <c r="G420" s="32" t="s">
        <v>212</v>
      </c>
      <c r="H420" s="32" t="s">
        <v>352</v>
      </c>
      <c r="I420" s="31" t="s">
        <v>1049</v>
      </c>
      <c r="J420" s="31">
        <v>1</v>
      </c>
      <c r="K420" s="33" t="s">
        <v>932</v>
      </c>
      <c r="L420" s="33" t="s">
        <v>713</v>
      </c>
      <c r="M420" s="34" t="s">
        <v>1398</v>
      </c>
      <c r="N420" s="34" t="s">
        <v>1696</v>
      </c>
      <c r="O420" s="35">
        <v>1</v>
      </c>
      <c r="P420" s="35"/>
      <c r="Q420" s="32" t="s">
        <v>1868</v>
      </c>
      <c r="S420" s="1">
        <f t="shared" si="149"/>
        <v>1</v>
      </c>
      <c r="T420" s="1">
        <f t="shared" si="150"/>
        <v>0</v>
      </c>
      <c r="U420" s="1">
        <f t="shared" si="151"/>
        <v>0</v>
      </c>
      <c r="V420" s="1">
        <f t="shared" si="152"/>
        <v>0</v>
      </c>
      <c r="W420" s="1">
        <f t="shared" si="153"/>
        <v>0</v>
      </c>
      <c r="X420" s="1">
        <f t="shared" si="154"/>
        <v>0</v>
      </c>
      <c r="Y420" s="1">
        <f t="shared" si="155"/>
        <v>0</v>
      </c>
      <c r="Z420" s="1">
        <f t="shared" si="156"/>
        <v>0</v>
      </c>
      <c r="AA420" s="1">
        <f t="shared" si="157"/>
        <v>0</v>
      </c>
      <c r="AB420" s="1">
        <f t="shared" si="158"/>
        <v>0</v>
      </c>
      <c r="AD420" s="1">
        <f t="shared" si="159"/>
        <v>0</v>
      </c>
      <c r="AE420" s="1">
        <f t="shared" si="160"/>
        <v>1</v>
      </c>
      <c r="AF420" s="1">
        <f t="shared" si="161"/>
        <v>0</v>
      </c>
      <c r="AG420" s="1">
        <f t="shared" si="162"/>
        <v>1</v>
      </c>
      <c r="AH420" s="1">
        <f t="shared" si="163"/>
        <v>0</v>
      </c>
      <c r="AI420" s="1">
        <f t="shared" si="164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994</v>
      </c>
      <c r="E421" s="32" t="s">
        <v>155</v>
      </c>
      <c r="F421" s="32" t="s">
        <v>1065</v>
      </c>
      <c r="G421" s="32" t="s">
        <v>1075</v>
      </c>
      <c r="H421" s="32" t="s">
        <v>352</v>
      </c>
      <c r="I421" s="31" t="s">
        <v>995</v>
      </c>
      <c r="J421" s="31">
        <v>99</v>
      </c>
      <c r="K421" s="33" t="s">
        <v>704</v>
      </c>
      <c r="L421" s="33" t="s">
        <v>713</v>
      </c>
      <c r="M421" s="34" t="s">
        <v>1398</v>
      </c>
      <c r="N421" s="34" t="s">
        <v>1700</v>
      </c>
      <c r="O421" s="35">
        <v>1</v>
      </c>
      <c r="P421" s="35"/>
      <c r="Q421" s="32"/>
      <c r="S421" s="1">
        <f t="shared" si="149"/>
        <v>0</v>
      </c>
      <c r="T421" s="1">
        <f t="shared" si="150"/>
        <v>0</v>
      </c>
      <c r="U421" s="1">
        <f t="shared" si="151"/>
        <v>0</v>
      </c>
      <c r="V421" s="1">
        <f t="shared" si="152"/>
        <v>0</v>
      </c>
      <c r="W421" s="1">
        <f t="shared" si="153"/>
        <v>0</v>
      </c>
      <c r="X421" s="1">
        <f t="shared" si="154"/>
        <v>0</v>
      </c>
      <c r="Y421" s="1">
        <f t="shared" si="155"/>
        <v>0</v>
      </c>
      <c r="Z421" s="1">
        <f t="shared" si="156"/>
        <v>0</v>
      </c>
      <c r="AA421" s="1">
        <f t="shared" si="157"/>
        <v>0</v>
      </c>
      <c r="AB421" s="1">
        <f t="shared" si="158"/>
        <v>0</v>
      </c>
      <c r="AD421" s="1">
        <f t="shared" si="159"/>
        <v>0</v>
      </c>
      <c r="AE421" s="1">
        <f t="shared" si="160"/>
        <v>1</v>
      </c>
      <c r="AF421" s="1">
        <f t="shared" si="161"/>
        <v>0</v>
      </c>
      <c r="AG421" s="1">
        <f t="shared" si="162"/>
        <v>1</v>
      </c>
      <c r="AH421" s="1">
        <f t="shared" si="163"/>
        <v>0</v>
      </c>
      <c r="AI421" s="1">
        <f t="shared" si="164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1174</v>
      </c>
      <c r="E422" s="32" t="s">
        <v>1300</v>
      </c>
      <c r="F422" s="32" t="s">
        <v>1175</v>
      </c>
      <c r="G422" s="32" t="s">
        <v>39</v>
      </c>
      <c r="H422" s="32" t="s">
        <v>352</v>
      </c>
      <c r="I422" s="31" t="s">
        <v>1645</v>
      </c>
      <c r="J422" s="31">
        <v>99</v>
      </c>
      <c r="K422" s="33" t="s">
        <v>932</v>
      </c>
      <c r="L422" s="33" t="s">
        <v>720</v>
      </c>
      <c r="M422" s="34" t="s">
        <v>1399</v>
      </c>
      <c r="N422" s="34" t="s">
        <v>1700</v>
      </c>
      <c r="O422" s="35">
        <v>1</v>
      </c>
      <c r="P422" s="35"/>
      <c r="Q422" s="32"/>
      <c r="S422" s="1">
        <f t="shared" si="149"/>
        <v>0</v>
      </c>
      <c r="T422" s="1">
        <f t="shared" si="150"/>
        <v>0</v>
      </c>
      <c r="U422" s="1">
        <f t="shared" si="151"/>
        <v>0</v>
      </c>
      <c r="V422" s="1">
        <f t="shared" si="152"/>
        <v>0</v>
      </c>
      <c r="W422" s="1">
        <f t="shared" si="153"/>
        <v>0</v>
      </c>
      <c r="X422" s="1">
        <f t="shared" si="154"/>
        <v>0</v>
      </c>
      <c r="Y422" s="1">
        <f t="shared" si="155"/>
        <v>0</v>
      </c>
      <c r="Z422" s="1">
        <f t="shared" si="156"/>
        <v>0</v>
      </c>
      <c r="AA422" s="1">
        <f t="shared" si="157"/>
        <v>0</v>
      </c>
      <c r="AB422" s="1">
        <f t="shared" si="158"/>
        <v>0</v>
      </c>
      <c r="AD422" s="1">
        <f t="shared" si="159"/>
        <v>0</v>
      </c>
      <c r="AE422" s="1">
        <f t="shared" si="160"/>
        <v>1</v>
      </c>
      <c r="AF422" s="1">
        <f t="shared" si="161"/>
        <v>0</v>
      </c>
      <c r="AG422" s="1">
        <f t="shared" si="162"/>
        <v>1</v>
      </c>
      <c r="AH422" s="1">
        <f t="shared" si="163"/>
        <v>0</v>
      </c>
      <c r="AI422" s="1">
        <f t="shared" si="164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636</v>
      </c>
      <c r="G423" s="32" t="s">
        <v>531</v>
      </c>
      <c r="H423" s="32" t="s">
        <v>352</v>
      </c>
      <c r="I423" s="31" t="s">
        <v>392</v>
      </c>
      <c r="J423" s="31">
        <v>6</v>
      </c>
      <c r="K423" s="33" t="s">
        <v>703</v>
      </c>
      <c r="L423" s="33" t="s">
        <v>704</v>
      </c>
      <c r="M423" s="34" t="s">
        <v>722</v>
      </c>
      <c r="N423" s="34" t="s">
        <v>1713</v>
      </c>
      <c r="O423" s="35">
        <v>1</v>
      </c>
      <c r="P423" s="35"/>
      <c r="Q423" s="32"/>
      <c r="S423" s="1">
        <f t="shared" si="149"/>
        <v>0</v>
      </c>
      <c r="T423" s="1">
        <f t="shared" si="150"/>
        <v>0</v>
      </c>
      <c r="U423" s="1">
        <f t="shared" si="151"/>
        <v>0</v>
      </c>
      <c r="V423" s="1">
        <f t="shared" si="152"/>
        <v>0</v>
      </c>
      <c r="W423" s="1">
        <f t="shared" si="153"/>
        <v>0</v>
      </c>
      <c r="X423" s="1">
        <f t="shared" si="154"/>
        <v>1</v>
      </c>
      <c r="Y423" s="1">
        <f t="shared" si="155"/>
        <v>0</v>
      </c>
      <c r="Z423" s="1">
        <f t="shared" si="156"/>
        <v>0</v>
      </c>
      <c r="AA423" s="1">
        <f t="shared" si="157"/>
        <v>0</v>
      </c>
      <c r="AB423" s="1">
        <f t="shared" si="158"/>
        <v>0</v>
      </c>
      <c r="AD423" s="1">
        <f t="shared" si="159"/>
        <v>0</v>
      </c>
      <c r="AE423" s="1">
        <f t="shared" si="160"/>
        <v>1</v>
      </c>
      <c r="AF423" s="1">
        <f t="shared" si="161"/>
        <v>0</v>
      </c>
      <c r="AG423" s="1">
        <f t="shared" si="162"/>
        <v>1</v>
      </c>
      <c r="AH423" s="1">
        <f t="shared" si="163"/>
        <v>0</v>
      </c>
      <c r="AI423" s="1">
        <f t="shared" si="164"/>
        <v>1</v>
      </c>
    </row>
    <row r="424" spans="1:35" s="1" customFormat="1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215</v>
      </c>
      <c r="G424" s="32" t="s">
        <v>39</v>
      </c>
      <c r="H424" s="32" t="s">
        <v>352</v>
      </c>
      <c r="I424" s="31" t="s">
        <v>30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1713</v>
      </c>
      <c r="O424" s="35">
        <v>1</v>
      </c>
      <c r="P424" s="35"/>
      <c r="Q424" s="32"/>
      <c r="S424" s="1">
        <f t="shared" si="149"/>
        <v>0</v>
      </c>
      <c r="T424" s="1">
        <f t="shared" si="150"/>
        <v>0</v>
      </c>
      <c r="U424" s="1">
        <f t="shared" si="151"/>
        <v>0</v>
      </c>
      <c r="V424" s="1">
        <f t="shared" si="152"/>
        <v>0</v>
      </c>
      <c r="W424" s="1">
        <f t="shared" si="153"/>
        <v>0</v>
      </c>
      <c r="X424" s="1">
        <f t="shared" si="154"/>
        <v>0</v>
      </c>
      <c r="Y424" s="1">
        <f t="shared" si="155"/>
        <v>0</v>
      </c>
      <c r="Z424" s="1">
        <f t="shared" si="156"/>
        <v>0</v>
      </c>
      <c r="AA424" s="1">
        <f t="shared" si="157"/>
        <v>0</v>
      </c>
      <c r="AB424" s="1">
        <f t="shared" si="158"/>
        <v>0</v>
      </c>
      <c r="AD424" s="1">
        <f t="shared" si="159"/>
        <v>0</v>
      </c>
      <c r="AE424" s="1">
        <f t="shared" si="160"/>
        <v>1</v>
      </c>
      <c r="AF424" s="1">
        <f t="shared" si="161"/>
        <v>0</v>
      </c>
      <c r="AG424" s="1">
        <f t="shared" si="162"/>
        <v>0</v>
      </c>
      <c r="AH424" s="1">
        <f t="shared" si="163"/>
        <v>0</v>
      </c>
      <c r="AI424" s="1">
        <f t="shared" si="164"/>
        <v>0</v>
      </c>
    </row>
    <row r="425" spans="1:35" s="1" customFormat="1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214</v>
      </c>
      <c r="G425" s="32" t="s">
        <v>39</v>
      </c>
      <c r="H425" s="32" t="s">
        <v>352</v>
      </c>
      <c r="I425" s="31" t="s">
        <v>392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1713</v>
      </c>
      <c r="O425" s="35">
        <v>1</v>
      </c>
      <c r="P425" s="35"/>
      <c r="Q425" s="32"/>
      <c r="S425" s="1">
        <f t="shared" si="149"/>
        <v>0</v>
      </c>
      <c r="T425" s="1">
        <f t="shared" si="150"/>
        <v>0</v>
      </c>
      <c r="U425" s="1">
        <f t="shared" si="151"/>
        <v>0</v>
      </c>
      <c r="V425" s="1">
        <f t="shared" si="152"/>
        <v>0</v>
      </c>
      <c r="W425" s="1">
        <f t="shared" si="153"/>
        <v>0</v>
      </c>
      <c r="X425" s="1">
        <f t="shared" si="154"/>
        <v>0</v>
      </c>
      <c r="Y425" s="1">
        <f t="shared" si="155"/>
        <v>0</v>
      </c>
      <c r="Z425" s="1">
        <f t="shared" si="156"/>
        <v>0</v>
      </c>
      <c r="AA425" s="1">
        <f t="shared" si="157"/>
        <v>0</v>
      </c>
      <c r="AB425" s="1">
        <f t="shared" si="158"/>
        <v>0</v>
      </c>
      <c r="AD425" s="1">
        <f t="shared" si="159"/>
        <v>0</v>
      </c>
      <c r="AE425" s="1">
        <f t="shared" si="160"/>
        <v>1</v>
      </c>
      <c r="AF425" s="1">
        <f t="shared" si="161"/>
        <v>0</v>
      </c>
      <c r="AG425" s="1">
        <f t="shared" si="162"/>
        <v>0</v>
      </c>
      <c r="AH425" s="1">
        <f t="shared" si="163"/>
        <v>0</v>
      </c>
      <c r="AI425" s="1">
        <f t="shared" si="164"/>
        <v>0</v>
      </c>
    </row>
    <row r="426" spans="1:35" s="1" customFormat="1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216</v>
      </c>
      <c r="G426" s="32" t="s">
        <v>217</v>
      </c>
      <c r="H426" s="32" t="s">
        <v>352</v>
      </c>
      <c r="I426" s="31" t="s">
        <v>393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1713</v>
      </c>
      <c r="O426" s="35">
        <v>1</v>
      </c>
      <c r="P426" s="35"/>
      <c r="Q426" s="32"/>
      <c r="S426" s="1">
        <f t="shared" si="149"/>
        <v>0</v>
      </c>
      <c r="T426" s="1">
        <f t="shared" si="150"/>
        <v>0</v>
      </c>
      <c r="U426" s="1">
        <f t="shared" si="151"/>
        <v>0</v>
      </c>
      <c r="V426" s="1">
        <f t="shared" si="152"/>
        <v>0</v>
      </c>
      <c r="W426" s="1">
        <f t="shared" si="153"/>
        <v>0</v>
      </c>
      <c r="X426" s="1">
        <f t="shared" si="154"/>
        <v>0</v>
      </c>
      <c r="Y426" s="1">
        <f t="shared" si="155"/>
        <v>0</v>
      </c>
      <c r="Z426" s="1">
        <f t="shared" si="156"/>
        <v>0</v>
      </c>
      <c r="AA426" s="1">
        <f t="shared" si="157"/>
        <v>0</v>
      </c>
      <c r="AB426" s="1">
        <f t="shared" si="158"/>
        <v>0</v>
      </c>
      <c r="AD426" s="1">
        <f t="shared" si="159"/>
        <v>0</v>
      </c>
      <c r="AE426" s="1">
        <f t="shared" si="160"/>
        <v>1</v>
      </c>
      <c r="AF426" s="1">
        <f t="shared" si="161"/>
        <v>0</v>
      </c>
      <c r="AG426" s="1">
        <f t="shared" si="162"/>
        <v>0</v>
      </c>
      <c r="AH426" s="1">
        <f t="shared" si="163"/>
        <v>0</v>
      </c>
      <c r="AI426" s="1">
        <f t="shared" si="164"/>
        <v>0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6" t="s">
        <v>1997</v>
      </c>
      <c r="E427" s="36" t="s">
        <v>155</v>
      </c>
      <c r="F427" s="36" t="s">
        <v>1998</v>
      </c>
      <c r="G427" s="36" t="s">
        <v>219</v>
      </c>
      <c r="H427" s="36" t="s">
        <v>352</v>
      </c>
      <c r="I427" s="37" t="s">
        <v>1999</v>
      </c>
      <c r="J427" s="31">
        <v>99</v>
      </c>
      <c r="K427" s="33" t="s">
        <v>694</v>
      </c>
      <c r="L427" s="33">
        <v>10</v>
      </c>
      <c r="M427" s="34" t="s">
        <v>2000</v>
      </c>
      <c r="N427" s="34" t="s">
        <v>1700</v>
      </c>
      <c r="O427" s="35">
        <v>1</v>
      </c>
      <c r="P427" s="35"/>
      <c r="Q427" s="32"/>
      <c r="S427" s="1">
        <f t="shared" si="149"/>
        <v>0</v>
      </c>
      <c r="T427" s="1">
        <f t="shared" si="150"/>
        <v>0</v>
      </c>
      <c r="U427" s="1">
        <f t="shared" si="151"/>
        <v>0</v>
      </c>
      <c r="V427" s="1">
        <f t="shared" si="152"/>
        <v>0</v>
      </c>
      <c r="W427" s="1">
        <f t="shared" si="153"/>
        <v>0</v>
      </c>
      <c r="X427" s="1">
        <f t="shared" si="154"/>
        <v>0</v>
      </c>
      <c r="Y427" s="1">
        <f t="shared" si="155"/>
        <v>0</v>
      </c>
      <c r="Z427" s="1">
        <f t="shared" si="156"/>
        <v>0</v>
      </c>
      <c r="AA427" s="1">
        <f t="shared" si="157"/>
        <v>0</v>
      </c>
      <c r="AB427" s="1">
        <f t="shared" si="158"/>
        <v>0</v>
      </c>
      <c r="AD427" s="1">
        <f t="shared" si="159"/>
        <v>0</v>
      </c>
      <c r="AE427" s="1">
        <f t="shared" si="160"/>
        <v>1</v>
      </c>
      <c r="AF427" s="1">
        <f t="shared" si="161"/>
        <v>0</v>
      </c>
      <c r="AG427" s="1">
        <f t="shared" si="162"/>
        <v>1</v>
      </c>
      <c r="AH427" s="1">
        <f t="shared" si="163"/>
        <v>0</v>
      </c>
      <c r="AI427" s="1">
        <f t="shared" si="164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6" t="s">
        <v>68</v>
      </c>
      <c r="E428" s="36" t="s">
        <v>28</v>
      </c>
      <c r="F428" s="36" t="s">
        <v>252</v>
      </c>
      <c r="G428" s="36" t="s">
        <v>253</v>
      </c>
      <c r="H428" s="36" t="s">
        <v>352</v>
      </c>
      <c r="I428" s="37" t="s">
        <v>412</v>
      </c>
      <c r="J428" s="31">
        <v>99</v>
      </c>
      <c r="K428" s="33" t="s">
        <v>704</v>
      </c>
      <c r="L428" s="33" t="s">
        <v>704</v>
      </c>
      <c r="M428" s="34" t="s">
        <v>722</v>
      </c>
      <c r="N428" s="34" t="s">
        <v>1776</v>
      </c>
      <c r="O428" s="35">
        <v>1</v>
      </c>
      <c r="P428" s="35"/>
      <c r="Q428" s="32"/>
      <c r="S428" s="1">
        <f t="shared" si="149"/>
        <v>0</v>
      </c>
      <c r="T428" s="1">
        <f t="shared" si="150"/>
        <v>0</v>
      </c>
      <c r="U428" s="1">
        <f t="shared" si="151"/>
        <v>0</v>
      </c>
      <c r="V428" s="1">
        <f t="shared" si="152"/>
        <v>0</v>
      </c>
      <c r="W428" s="1">
        <f t="shared" si="153"/>
        <v>0</v>
      </c>
      <c r="X428" s="1">
        <f t="shared" si="154"/>
        <v>0</v>
      </c>
      <c r="Y428" s="1">
        <f t="shared" si="155"/>
        <v>0</v>
      </c>
      <c r="Z428" s="1">
        <f t="shared" si="156"/>
        <v>0</v>
      </c>
      <c r="AA428" s="1">
        <f t="shared" si="157"/>
        <v>0</v>
      </c>
      <c r="AB428" s="1">
        <f t="shared" si="158"/>
        <v>0</v>
      </c>
      <c r="AD428" s="1">
        <f t="shared" si="159"/>
        <v>0</v>
      </c>
      <c r="AE428" s="1">
        <f t="shared" si="160"/>
        <v>1</v>
      </c>
      <c r="AF428" s="1">
        <f t="shared" si="161"/>
        <v>0</v>
      </c>
      <c r="AG428" s="1">
        <f t="shared" si="162"/>
        <v>1</v>
      </c>
      <c r="AH428" s="1">
        <f t="shared" si="163"/>
        <v>0</v>
      </c>
      <c r="AI428" s="1">
        <f t="shared" si="164"/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1961</v>
      </c>
      <c r="E429" s="32" t="s">
        <v>28</v>
      </c>
      <c r="F429" s="32" t="s">
        <v>1963</v>
      </c>
      <c r="G429" s="32" t="s">
        <v>1081</v>
      </c>
      <c r="H429" s="32" t="s">
        <v>352</v>
      </c>
      <c r="I429" s="31" t="s">
        <v>1964</v>
      </c>
      <c r="J429" s="31">
        <v>1</v>
      </c>
      <c r="K429" s="33" t="s">
        <v>694</v>
      </c>
      <c r="L429" s="33"/>
      <c r="M429" s="34"/>
      <c r="N429" s="34" t="s">
        <v>1687</v>
      </c>
      <c r="O429" s="35">
        <v>1</v>
      </c>
      <c r="P429" s="35">
        <v>1</v>
      </c>
      <c r="Q429" s="32" t="s">
        <v>1966</v>
      </c>
      <c r="S429" s="1">
        <f t="shared" si="149"/>
        <v>1</v>
      </c>
      <c r="T429" s="1">
        <f t="shared" si="150"/>
        <v>0</v>
      </c>
      <c r="U429" s="1">
        <f t="shared" si="151"/>
        <v>0</v>
      </c>
      <c r="V429" s="1">
        <f t="shared" si="152"/>
        <v>0</v>
      </c>
      <c r="W429" s="1">
        <f t="shared" si="153"/>
        <v>0</v>
      </c>
      <c r="X429" s="1">
        <f t="shared" si="154"/>
        <v>0</v>
      </c>
      <c r="Y429" s="1">
        <f t="shared" si="155"/>
        <v>0</v>
      </c>
      <c r="Z429" s="1">
        <f t="shared" si="156"/>
        <v>0</v>
      </c>
      <c r="AA429" s="1">
        <f t="shared" si="157"/>
        <v>0</v>
      </c>
      <c r="AB429" s="1">
        <f t="shared" si="158"/>
        <v>0</v>
      </c>
      <c r="AD429" s="1">
        <f t="shared" si="159"/>
        <v>1</v>
      </c>
      <c r="AE429" s="1">
        <f t="shared" si="160"/>
        <v>0</v>
      </c>
      <c r="AF429" s="1">
        <f t="shared" si="161"/>
        <v>1</v>
      </c>
      <c r="AG429" s="1">
        <f t="shared" si="162"/>
        <v>0</v>
      </c>
      <c r="AH429" s="1">
        <f t="shared" si="163"/>
        <v>1</v>
      </c>
      <c r="AI429" s="1">
        <f t="shared" si="164"/>
        <v>0</v>
      </c>
    </row>
    <row r="430" spans="1:35" s="1" customFormat="1" ht="14.25" customHeight="1" x14ac:dyDescent="0.25">
      <c r="A430" s="31">
        <v>1</v>
      </c>
      <c r="B430" s="31">
        <v>2</v>
      </c>
      <c r="C430" s="31">
        <v>7</v>
      </c>
      <c r="D430" s="32" t="s">
        <v>1961</v>
      </c>
      <c r="E430" s="32" t="s">
        <v>28</v>
      </c>
      <c r="F430" s="32" t="s">
        <v>1962</v>
      </c>
      <c r="G430" s="36" t="s">
        <v>1968</v>
      </c>
      <c r="H430" s="32" t="s">
        <v>352</v>
      </c>
      <c r="I430" s="31" t="s">
        <v>1965</v>
      </c>
      <c r="J430" s="31">
        <v>8</v>
      </c>
      <c r="K430" s="33" t="s">
        <v>694</v>
      </c>
      <c r="L430" s="33"/>
      <c r="M430" s="34"/>
      <c r="N430" s="34" t="s">
        <v>1687</v>
      </c>
      <c r="O430" s="35">
        <v>1</v>
      </c>
      <c r="P430" s="35">
        <v>1</v>
      </c>
      <c r="Q430" s="32" t="s">
        <v>1967</v>
      </c>
      <c r="S430" s="1">
        <f t="shared" si="149"/>
        <v>0</v>
      </c>
      <c r="T430" s="1">
        <f t="shared" si="150"/>
        <v>0</v>
      </c>
      <c r="U430" s="1">
        <f t="shared" si="151"/>
        <v>0</v>
      </c>
      <c r="V430" s="1">
        <f t="shared" si="152"/>
        <v>0</v>
      </c>
      <c r="W430" s="1">
        <f t="shared" si="153"/>
        <v>0</v>
      </c>
      <c r="X430" s="1">
        <f t="shared" si="154"/>
        <v>0</v>
      </c>
      <c r="Y430" s="1">
        <f t="shared" si="155"/>
        <v>0</v>
      </c>
      <c r="Z430" s="1">
        <f t="shared" si="156"/>
        <v>1</v>
      </c>
      <c r="AA430" s="1">
        <f t="shared" si="157"/>
        <v>0</v>
      </c>
      <c r="AB430" s="1">
        <f t="shared" si="158"/>
        <v>0</v>
      </c>
      <c r="AD430" s="1">
        <f t="shared" si="159"/>
        <v>1</v>
      </c>
      <c r="AE430" s="1">
        <f t="shared" si="160"/>
        <v>0</v>
      </c>
      <c r="AF430" s="1">
        <f t="shared" si="161"/>
        <v>0</v>
      </c>
      <c r="AG430" s="1">
        <f t="shared" si="162"/>
        <v>0</v>
      </c>
      <c r="AH430" s="1">
        <f t="shared" si="163"/>
        <v>0</v>
      </c>
      <c r="AI430" s="1">
        <f t="shared" si="164"/>
        <v>0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254</v>
      </c>
      <c r="G431" s="36" t="s">
        <v>206</v>
      </c>
      <c r="H431" s="32" t="s">
        <v>352</v>
      </c>
      <c r="I431" s="31" t="s">
        <v>413</v>
      </c>
      <c r="J431" s="31">
        <v>99</v>
      </c>
      <c r="K431" s="33" t="s">
        <v>932</v>
      </c>
      <c r="L431" s="33" t="s">
        <v>704</v>
      </c>
      <c r="M431" s="34" t="s">
        <v>722</v>
      </c>
      <c r="N431" s="34" t="s">
        <v>1693</v>
      </c>
      <c r="O431" s="35">
        <v>1</v>
      </c>
      <c r="P431" s="35">
        <v>1</v>
      </c>
      <c r="Q431" s="32"/>
      <c r="S431" s="1">
        <f t="shared" si="149"/>
        <v>0</v>
      </c>
      <c r="T431" s="1">
        <f t="shared" si="150"/>
        <v>0</v>
      </c>
      <c r="U431" s="1">
        <f t="shared" si="151"/>
        <v>0</v>
      </c>
      <c r="V431" s="1">
        <f t="shared" si="152"/>
        <v>0</v>
      </c>
      <c r="W431" s="1">
        <f t="shared" si="153"/>
        <v>0</v>
      </c>
      <c r="X431" s="1">
        <f t="shared" si="154"/>
        <v>0</v>
      </c>
      <c r="Y431" s="1">
        <f t="shared" si="155"/>
        <v>0</v>
      </c>
      <c r="Z431" s="1">
        <f t="shared" si="156"/>
        <v>0</v>
      </c>
      <c r="AA431" s="1">
        <f t="shared" si="157"/>
        <v>0</v>
      </c>
      <c r="AB431" s="1">
        <f t="shared" si="158"/>
        <v>0</v>
      </c>
      <c r="AD431" s="1">
        <f t="shared" si="159"/>
        <v>1</v>
      </c>
      <c r="AE431" s="1">
        <f t="shared" si="160"/>
        <v>0</v>
      </c>
      <c r="AF431" s="1">
        <f t="shared" si="161"/>
        <v>1</v>
      </c>
      <c r="AG431" s="1">
        <f t="shared" si="162"/>
        <v>0</v>
      </c>
      <c r="AH431" s="1">
        <f t="shared" si="163"/>
        <v>1</v>
      </c>
      <c r="AI431" s="1">
        <f t="shared" si="164"/>
        <v>0</v>
      </c>
    </row>
    <row r="432" spans="1:35" s="1" customFormat="1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1825</v>
      </c>
      <c r="G432" s="36" t="s">
        <v>255</v>
      </c>
      <c r="H432" s="32" t="s">
        <v>352</v>
      </c>
      <c r="I432" s="31" t="s">
        <v>414</v>
      </c>
      <c r="J432" s="31">
        <v>99</v>
      </c>
      <c r="K432" s="33" t="s">
        <v>932</v>
      </c>
      <c r="L432" s="33" t="s">
        <v>704</v>
      </c>
      <c r="M432" s="34" t="s">
        <v>722</v>
      </c>
      <c r="N432" s="34" t="s">
        <v>1693</v>
      </c>
      <c r="O432" s="35">
        <v>1</v>
      </c>
      <c r="P432" s="35">
        <v>1</v>
      </c>
      <c r="Q432" s="32"/>
      <c r="S432" s="1">
        <f t="shared" si="149"/>
        <v>0</v>
      </c>
      <c r="T432" s="1">
        <f t="shared" si="150"/>
        <v>0</v>
      </c>
      <c r="U432" s="1">
        <f t="shared" si="151"/>
        <v>0</v>
      </c>
      <c r="V432" s="1">
        <f t="shared" si="152"/>
        <v>0</v>
      </c>
      <c r="W432" s="1">
        <f t="shared" si="153"/>
        <v>0</v>
      </c>
      <c r="X432" s="1">
        <f t="shared" si="154"/>
        <v>0</v>
      </c>
      <c r="Y432" s="1">
        <f t="shared" si="155"/>
        <v>0</v>
      </c>
      <c r="Z432" s="1">
        <f t="shared" si="156"/>
        <v>0</v>
      </c>
      <c r="AA432" s="1">
        <f t="shared" si="157"/>
        <v>0</v>
      </c>
      <c r="AB432" s="1">
        <f t="shared" si="158"/>
        <v>0</v>
      </c>
      <c r="AD432" s="1">
        <f t="shared" si="159"/>
        <v>1</v>
      </c>
      <c r="AE432" s="1">
        <f t="shared" si="160"/>
        <v>0</v>
      </c>
      <c r="AF432" s="1">
        <f t="shared" si="161"/>
        <v>0</v>
      </c>
      <c r="AG432" s="1">
        <f t="shared" si="162"/>
        <v>0</v>
      </c>
      <c r="AH432" s="1">
        <f t="shared" si="163"/>
        <v>0</v>
      </c>
      <c r="AI432" s="1">
        <f t="shared" si="164"/>
        <v>0</v>
      </c>
    </row>
    <row r="433" spans="1:35" s="1" customFormat="1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563</v>
      </c>
      <c r="G433" s="36" t="s">
        <v>564</v>
      </c>
      <c r="H433" s="32" t="s">
        <v>352</v>
      </c>
      <c r="I433" s="31" t="s">
        <v>572</v>
      </c>
      <c r="J433" s="31">
        <v>99</v>
      </c>
      <c r="K433" s="33" t="s">
        <v>932</v>
      </c>
      <c r="L433" s="33" t="s">
        <v>704</v>
      </c>
      <c r="M433" s="34" t="s">
        <v>722</v>
      </c>
      <c r="N433" s="34" t="s">
        <v>1693</v>
      </c>
      <c r="O433" s="35">
        <v>1</v>
      </c>
      <c r="P433" s="35">
        <v>1</v>
      </c>
      <c r="Q433" s="32"/>
      <c r="S433" s="1">
        <f t="shared" si="149"/>
        <v>0</v>
      </c>
      <c r="T433" s="1">
        <f t="shared" si="150"/>
        <v>0</v>
      </c>
      <c r="U433" s="1">
        <f t="shared" si="151"/>
        <v>0</v>
      </c>
      <c r="V433" s="1">
        <f t="shared" si="152"/>
        <v>0</v>
      </c>
      <c r="W433" s="1">
        <f t="shared" si="153"/>
        <v>0</v>
      </c>
      <c r="X433" s="1">
        <f t="shared" si="154"/>
        <v>0</v>
      </c>
      <c r="Y433" s="1">
        <f t="shared" si="155"/>
        <v>0</v>
      </c>
      <c r="Z433" s="1">
        <f t="shared" si="156"/>
        <v>0</v>
      </c>
      <c r="AA433" s="1">
        <f t="shared" si="157"/>
        <v>0</v>
      </c>
      <c r="AB433" s="1">
        <f t="shared" si="158"/>
        <v>0</v>
      </c>
      <c r="AD433" s="1">
        <f t="shared" si="159"/>
        <v>1</v>
      </c>
      <c r="AE433" s="1">
        <f t="shared" si="160"/>
        <v>0</v>
      </c>
      <c r="AF433" s="1">
        <f t="shared" si="161"/>
        <v>0</v>
      </c>
      <c r="AG433" s="1">
        <f t="shared" si="162"/>
        <v>0</v>
      </c>
      <c r="AH433" s="1">
        <f t="shared" si="163"/>
        <v>0</v>
      </c>
      <c r="AI433" s="1">
        <f t="shared" si="164"/>
        <v>0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71</v>
      </c>
      <c r="E434" s="32" t="s">
        <v>28</v>
      </c>
      <c r="F434" s="32" t="s">
        <v>1316</v>
      </c>
      <c r="G434" s="36" t="s">
        <v>258</v>
      </c>
      <c r="H434" s="32" t="s">
        <v>352</v>
      </c>
      <c r="I434" s="31" t="s">
        <v>416</v>
      </c>
      <c r="J434" s="31">
        <v>99</v>
      </c>
      <c r="K434" s="33" t="s">
        <v>704</v>
      </c>
      <c r="L434" s="33" t="s">
        <v>704</v>
      </c>
      <c r="M434" s="34" t="s">
        <v>722</v>
      </c>
      <c r="N434" s="34" t="s">
        <v>1776</v>
      </c>
      <c r="O434" s="35">
        <v>1</v>
      </c>
      <c r="P434" s="35"/>
      <c r="Q434" s="32"/>
      <c r="S434" s="1">
        <f t="shared" si="149"/>
        <v>0</v>
      </c>
      <c r="T434" s="1">
        <f t="shared" si="150"/>
        <v>0</v>
      </c>
      <c r="U434" s="1">
        <f t="shared" si="151"/>
        <v>0</v>
      </c>
      <c r="V434" s="1">
        <f t="shared" si="152"/>
        <v>0</v>
      </c>
      <c r="W434" s="1">
        <f t="shared" si="153"/>
        <v>0</v>
      </c>
      <c r="X434" s="1">
        <f t="shared" si="154"/>
        <v>0</v>
      </c>
      <c r="Y434" s="1">
        <f t="shared" si="155"/>
        <v>0</v>
      </c>
      <c r="Z434" s="1">
        <f t="shared" si="156"/>
        <v>0</v>
      </c>
      <c r="AA434" s="1">
        <f t="shared" si="157"/>
        <v>0</v>
      </c>
      <c r="AB434" s="1">
        <f t="shared" si="158"/>
        <v>0</v>
      </c>
      <c r="AD434" s="1">
        <f t="shared" si="159"/>
        <v>0</v>
      </c>
      <c r="AE434" s="1">
        <f t="shared" si="160"/>
        <v>1</v>
      </c>
      <c r="AF434" s="1">
        <f t="shared" si="161"/>
        <v>0</v>
      </c>
      <c r="AG434" s="1">
        <f t="shared" si="162"/>
        <v>1</v>
      </c>
      <c r="AH434" s="1">
        <f t="shared" si="163"/>
        <v>0</v>
      </c>
      <c r="AI434" s="1">
        <f t="shared" si="164"/>
        <v>1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1039</v>
      </c>
      <c r="E435" s="32" t="s">
        <v>28</v>
      </c>
      <c r="F435" s="32" t="s">
        <v>1040</v>
      </c>
      <c r="G435" s="36" t="s">
        <v>1041</v>
      </c>
      <c r="H435" s="32" t="s">
        <v>352</v>
      </c>
      <c r="I435" s="31" t="s">
        <v>1042</v>
      </c>
      <c r="J435" s="31">
        <v>99</v>
      </c>
      <c r="K435" s="33" t="s">
        <v>704</v>
      </c>
      <c r="L435" s="33" t="s">
        <v>704</v>
      </c>
      <c r="M435" s="34" t="s">
        <v>722</v>
      </c>
      <c r="N435" s="34" t="s">
        <v>1776</v>
      </c>
      <c r="O435" s="35">
        <v>1</v>
      </c>
      <c r="P435" s="35"/>
      <c r="Q435" s="32"/>
      <c r="S435" s="1">
        <f t="shared" si="149"/>
        <v>0</v>
      </c>
      <c r="T435" s="1">
        <f t="shared" si="150"/>
        <v>0</v>
      </c>
      <c r="U435" s="1">
        <f t="shared" si="151"/>
        <v>0</v>
      </c>
      <c r="V435" s="1">
        <f t="shared" si="152"/>
        <v>0</v>
      </c>
      <c r="W435" s="1">
        <f t="shared" si="153"/>
        <v>0</v>
      </c>
      <c r="X435" s="1">
        <f t="shared" si="154"/>
        <v>0</v>
      </c>
      <c r="Y435" s="1">
        <f t="shared" si="155"/>
        <v>0</v>
      </c>
      <c r="Z435" s="1">
        <f t="shared" si="156"/>
        <v>0</v>
      </c>
      <c r="AA435" s="1">
        <f t="shared" si="157"/>
        <v>0</v>
      </c>
      <c r="AB435" s="1">
        <f t="shared" si="158"/>
        <v>0</v>
      </c>
      <c r="AD435" s="1">
        <f t="shared" si="159"/>
        <v>0</v>
      </c>
      <c r="AE435" s="1">
        <f t="shared" si="160"/>
        <v>1</v>
      </c>
      <c r="AF435" s="1">
        <f t="shared" si="161"/>
        <v>0</v>
      </c>
      <c r="AG435" s="1">
        <f t="shared" si="162"/>
        <v>1</v>
      </c>
      <c r="AH435" s="1">
        <f t="shared" si="163"/>
        <v>0</v>
      </c>
      <c r="AI435" s="1">
        <f t="shared" si="164"/>
        <v>1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1757</v>
      </c>
      <c r="E436" s="32" t="s">
        <v>155</v>
      </c>
      <c r="F436" s="32" t="s">
        <v>1758</v>
      </c>
      <c r="G436" s="32"/>
      <c r="H436" s="32" t="s">
        <v>352</v>
      </c>
      <c r="I436" s="31" t="s">
        <v>1759</v>
      </c>
      <c r="J436" s="31">
        <v>99</v>
      </c>
      <c r="K436" s="33" t="s">
        <v>694</v>
      </c>
      <c r="L436" s="33"/>
      <c r="M436" s="34"/>
      <c r="N436" s="34" t="s">
        <v>1687</v>
      </c>
      <c r="O436" s="35">
        <v>1</v>
      </c>
      <c r="P436" s="35">
        <v>1</v>
      </c>
      <c r="Q436" s="32"/>
      <c r="S436" s="1">
        <f t="shared" si="149"/>
        <v>0</v>
      </c>
      <c r="T436" s="1">
        <f t="shared" si="150"/>
        <v>0</v>
      </c>
      <c r="U436" s="1">
        <f t="shared" si="151"/>
        <v>0</v>
      </c>
      <c r="V436" s="1">
        <f t="shared" si="152"/>
        <v>0</v>
      </c>
      <c r="W436" s="1">
        <f t="shared" si="153"/>
        <v>0</v>
      </c>
      <c r="X436" s="1">
        <f t="shared" si="154"/>
        <v>0</v>
      </c>
      <c r="Y436" s="1">
        <f t="shared" si="155"/>
        <v>0</v>
      </c>
      <c r="Z436" s="1">
        <f t="shared" si="156"/>
        <v>0</v>
      </c>
      <c r="AA436" s="1">
        <f t="shared" si="157"/>
        <v>0</v>
      </c>
      <c r="AB436" s="1">
        <f t="shared" si="158"/>
        <v>0</v>
      </c>
      <c r="AD436" s="1">
        <f t="shared" si="159"/>
        <v>1</v>
      </c>
      <c r="AE436" s="1">
        <f t="shared" si="160"/>
        <v>0</v>
      </c>
      <c r="AF436" s="1">
        <f t="shared" si="161"/>
        <v>1</v>
      </c>
      <c r="AG436" s="1">
        <f t="shared" si="162"/>
        <v>0</v>
      </c>
      <c r="AH436" s="1">
        <f t="shared" si="163"/>
        <v>1</v>
      </c>
      <c r="AI436" s="1">
        <f t="shared" si="164"/>
        <v>0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1150</v>
      </c>
      <c r="E437" s="32" t="s">
        <v>155</v>
      </c>
      <c r="F437" s="32" t="s">
        <v>1151</v>
      </c>
      <c r="G437" s="32" t="s">
        <v>291</v>
      </c>
      <c r="H437" s="32" t="s">
        <v>352</v>
      </c>
      <c r="I437" s="31" t="s">
        <v>1152</v>
      </c>
      <c r="J437" s="31">
        <v>99</v>
      </c>
      <c r="K437" s="33" t="s">
        <v>704</v>
      </c>
      <c r="L437" s="33" t="s">
        <v>713</v>
      </c>
      <c r="M437" s="34" t="s">
        <v>1398</v>
      </c>
      <c r="N437" s="34" t="s">
        <v>1700</v>
      </c>
      <c r="O437" s="35">
        <v>1</v>
      </c>
      <c r="P437" s="35"/>
      <c r="Q437" s="32"/>
      <c r="S437" s="1">
        <f t="shared" si="149"/>
        <v>0</v>
      </c>
      <c r="T437" s="1">
        <f t="shared" si="150"/>
        <v>0</v>
      </c>
      <c r="U437" s="1">
        <f t="shared" si="151"/>
        <v>0</v>
      </c>
      <c r="V437" s="1">
        <f t="shared" si="152"/>
        <v>0</v>
      </c>
      <c r="W437" s="1">
        <f t="shared" si="153"/>
        <v>0</v>
      </c>
      <c r="X437" s="1">
        <f t="shared" si="154"/>
        <v>0</v>
      </c>
      <c r="Y437" s="1">
        <f t="shared" si="155"/>
        <v>0</v>
      </c>
      <c r="Z437" s="1">
        <f t="shared" si="156"/>
        <v>0</v>
      </c>
      <c r="AA437" s="1">
        <f t="shared" si="157"/>
        <v>0</v>
      </c>
      <c r="AB437" s="1">
        <f t="shared" si="158"/>
        <v>0</v>
      </c>
      <c r="AD437" s="1">
        <f t="shared" si="159"/>
        <v>0</v>
      </c>
      <c r="AE437" s="1">
        <f t="shared" si="160"/>
        <v>1</v>
      </c>
      <c r="AF437" s="1">
        <f t="shared" si="161"/>
        <v>0</v>
      </c>
      <c r="AG437" s="1">
        <f t="shared" si="162"/>
        <v>1</v>
      </c>
      <c r="AH437" s="1">
        <f t="shared" si="163"/>
        <v>0</v>
      </c>
      <c r="AI437" s="1">
        <f t="shared" si="164"/>
        <v>1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6" t="s">
        <v>2125</v>
      </c>
      <c r="E438" s="32" t="s">
        <v>155</v>
      </c>
      <c r="F438" s="32" t="s">
        <v>1951</v>
      </c>
      <c r="G438" s="32" t="s">
        <v>281</v>
      </c>
      <c r="H438" s="32" t="s">
        <v>352</v>
      </c>
      <c r="I438" s="31" t="s">
        <v>1952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1687</v>
      </c>
      <c r="O438" s="35">
        <v>1</v>
      </c>
      <c r="P438" s="35">
        <v>1</v>
      </c>
      <c r="Q438" s="32"/>
      <c r="S438" s="1">
        <f t="shared" si="149"/>
        <v>0</v>
      </c>
      <c r="T438" s="1">
        <f t="shared" si="150"/>
        <v>0</v>
      </c>
      <c r="U438" s="1">
        <f t="shared" si="151"/>
        <v>0</v>
      </c>
      <c r="V438" s="1">
        <f t="shared" si="152"/>
        <v>0</v>
      </c>
      <c r="W438" s="1">
        <f t="shared" si="153"/>
        <v>0</v>
      </c>
      <c r="X438" s="1">
        <f t="shared" si="154"/>
        <v>0</v>
      </c>
      <c r="Y438" s="1">
        <f t="shared" si="155"/>
        <v>0</v>
      </c>
      <c r="Z438" s="1">
        <f t="shared" si="156"/>
        <v>0</v>
      </c>
      <c r="AA438" s="1">
        <f t="shared" si="157"/>
        <v>0</v>
      </c>
      <c r="AB438" s="1">
        <f t="shared" si="158"/>
        <v>0</v>
      </c>
      <c r="AD438" s="1">
        <f t="shared" si="159"/>
        <v>1</v>
      </c>
      <c r="AE438" s="1">
        <f t="shared" si="160"/>
        <v>0</v>
      </c>
      <c r="AF438" s="1">
        <f t="shared" si="161"/>
        <v>1</v>
      </c>
      <c r="AG438" s="1">
        <f t="shared" si="162"/>
        <v>0</v>
      </c>
      <c r="AH438" s="1">
        <f t="shared" si="163"/>
        <v>1</v>
      </c>
      <c r="AI438" s="1">
        <f t="shared" si="164"/>
        <v>0</v>
      </c>
    </row>
    <row r="439" spans="1:35" s="1" customFormat="1" ht="14.25" customHeight="1" x14ac:dyDescent="0.25">
      <c r="A439" s="31">
        <v>1</v>
      </c>
      <c r="B439" s="31">
        <v>2</v>
      </c>
      <c r="C439" s="31">
        <v>7</v>
      </c>
      <c r="D439" s="36" t="s">
        <v>2125</v>
      </c>
      <c r="E439" s="32" t="s">
        <v>155</v>
      </c>
      <c r="F439" s="32" t="s">
        <v>1953</v>
      </c>
      <c r="G439" s="32" t="s">
        <v>1954</v>
      </c>
      <c r="H439" s="32" t="s">
        <v>352</v>
      </c>
      <c r="I439" s="31" t="s">
        <v>1955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1687</v>
      </c>
      <c r="O439" s="35">
        <v>1</v>
      </c>
      <c r="P439" s="35">
        <v>1</v>
      </c>
      <c r="Q439" s="32"/>
      <c r="S439" s="1">
        <f t="shared" si="149"/>
        <v>0</v>
      </c>
      <c r="T439" s="1">
        <f t="shared" si="150"/>
        <v>0</v>
      </c>
      <c r="U439" s="1">
        <f t="shared" si="151"/>
        <v>0</v>
      </c>
      <c r="V439" s="1">
        <f t="shared" si="152"/>
        <v>0</v>
      </c>
      <c r="W439" s="1">
        <f t="shared" si="153"/>
        <v>0</v>
      </c>
      <c r="X439" s="1">
        <f t="shared" si="154"/>
        <v>0</v>
      </c>
      <c r="Y439" s="1">
        <f t="shared" si="155"/>
        <v>0</v>
      </c>
      <c r="Z439" s="1">
        <f t="shared" si="156"/>
        <v>0</v>
      </c>
      <c r="AA439" s="1">
        <f t="shared" si="157"/>
        <v>0</v>
      </c>
      <c r="AB439" s="1">
        <f t="shared" si="158"/>
        <v>0</v>
      </c>
      <c r="AD439" s="1">
        <f t="shared" si="159"/>
        <v>1</v>
      </c>
      <c r="AE439" s="1">
        <f t="shared" si="160"/>
        <v>0</v>
      </c>
      <c r="AF439" s="1">
        <f t="shared" si="161"/>
        <v>0</v>
      </c>
      <c r="AG439" s="1">
        <f t="shared" si="162"/>
        <v>0</v>
      </c>
      <c r="AH439" s="1">
        <f t="shared" si="163"/>
        <v>0</v>
      </c>
      <c r="AI439" s="1">
        <f t="shared" si="164"/>
        <v>0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1125</v>
      </c>
      <c r="E440" s="32" t="s">
        <v>1126</v>
      </c>
      <c r="F440" s="36" t="s">
        <v>1828</v>
      </c>
      <c r="G440" s="32" t="s">
        <v>620</v>
      </c>
      <c r="H440" s="32" t="s">
        <v>352</v>
      </c>
      <c r="I440" s="31" t="s">
        <v>1127</v>
      </c>
      <c r="J440" s="31">
        <v>99</v>
      </c>
      <c r="K440" s="33" t="s">
        <v>704</v>
      </c>
      <c r="L440" s="33" t="s">
        <v>704</v>
      </c>
      <c r="M440" s="34" t="s">
        <v>722</v>
      </c>
      <c r="N440" s="34" t="s">
        <v>1696</v>
      </c>
      <c r="O440" s="35">
        <v>1</v>
      </c>
      <c r="P440" s="35"/>
      <c r="Q440" s="36" t="s">
        <v>1848</v>
      </c>
      <c r="S440" s="1">
        <f t="shared" si="149"/>
        <v>0</v>
      </c>
      <c r="T440" s="1">
        <f t="shared" si="150"/>
        <v>0</v>
      </c>
      <c r="U440" s="1">
        <f t="shared" si="151"/>
        <v>0</v>
      </c>
      <c r="V440" s="1">
        <f t="shared" si="152"/>
        <v>0</v>
      </c>
      <c r="W440" s="1">
        <f t="shared" si="153"/>
        <v>0</v>
      </c>
      <c r="X440" s="1">
        <f t="shared" si="154"/>
        <v>0</v>
      </c>
      <c r="Y440" s="1">
        <f t="shared" si="155"/>
        <v>0</v>
      </c>
      <c r="Z440" s="1">
        <f t="shared" si="156"/>
        <v>0</v>
      </c>
      <c r="AA440" s="1">
        <f t="shared" si="157"/>
        <v>0</v>
      </c>
      <c r="AB440" s="1">
        <f t="shared" si="158"/>
        <v>0</v>
      </c>
      <c r="AD440" s="1">
        <f t="shared" si="159"/>
        <v>0</v>
      </c>
      <c r="AE440" s="1">
        <f t="shared" si="160"/>
        <v>1</v>
      </c>
      <c r="AF440" s="1">
        <f t="shared" si="161"/>
        <v>0</v>
      </c>
      <c r="AG440" s="1">
        <f t="shared" si="162"/>
        <v>1</v>
      </c>
      <c r="AH440" s="1">
        <f t="shared" si="163"/>
        <v>0</v>
      </c>
      <c r="AI440" s="1">
        <f t="shared" si="164"/>
        <v>1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538</v>
      </c>
      <c r="E441" s="32" t="s">
        <v>157</v>
      </c>
      <c r="F441" s="32" t="s">
        <v>194</v>
      </c>
      <c r="G441" s="32" t="s">
        <v>195</v>
      </c>
      <c r="H441" s="32" t="s">
        <v>352</v>
      </c>
      <c r="I441" s="31" t="s">
        <v>546</v>
      </c>
      <c r="J441" s="31">
        <v>99</v>
      </c>
      <c r="K441" s="33" t="s">
        <v>932</v>
      </c>
      <c r="L441" s="33" t="s">
        <v>687</v>
      </c>
      <c r="M441" s="34" t="s">
        <v>1400</v>
      </c>
      <c r="N441" s="34" t="s">
        <v>1700</v>
      </c>
      <c r="O441" s="35">
        <v>1</v>
      </c>
      <c r="P441" s="35"/>
      <c r="Q441" s="32"/>
      <c r="S441" s="1">
        <f t="shared" si="149"/>
        <v>0</v>
      </c>
      <c r="T441" s="1">
        <f t="shared" si="150"/>
        <v>0</v>
      </c>
      <c r="U441" s="1">
        <f t="shared" si="151"/>
        <v>0</v>
      </c>
      <c r="V441" s="1">
        <f t="shared" si="152"/>
        <v>0</v>
      </c>
      <c r="W441" s="1">
        <f t="shared" si="153"/>
        <v>0</v>
      </c>
      <c r="X441" s="1">
        <f t="shared" si="154"/>
        <v>0</v>
      </c>
      <c r="Y441" s="1">
        <f t="shared" si="155"/>
        <v>0</v>
      </c>
      <c r="Z441" s="1">
        <f t="shared" si="156"/>
        <v>0</v>
      </c>
      <c r="AA441" s="1">
        <f t="shared" si="157"/>
        <v>0</v>
      </c>
      <c r="AB441" s="1">
        <f t="shared" si="158"/>
        <v>0</v>
      </c>
      <c r="AD441" s="1">
        <f t="shared" si="159"/>
        <v>0</v>
      </c>
      <c r="AE441" s="1">
        <f t="shared" si="160"/>
        <v>1</v>
      </c>
      <c r="AF441" s="1">
        <f t="shared" si="161"/>
        <v>0</v>
      </c>
      <c r="AG441" s="1">
        <f t="shared" si="162"/>
        <v>1</v>
      </c>
      <c r="AH441" s="1">
        <f t="shared" si="163"/>
        <v>0</v>
      </c>
      <c r="AI441" s="1">
        <f t="shared" si="164"/>
        <v>1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46</v>
      </c>
      <c r="E442" s="32" t="s">
        <v>155</v>
      </c>
      <c r="F442" s="32" t="s">
        <v>182</v>
      </c>
      <c r="G442" s="32" t="s">
        <v>178</v>
      </c>
      <c r="H442" s="32" t="s">
        <v>352</v>
      </c>
      <c r="I442" s="31" t="s">
        <v>380</v>
      </c>
      <c r="J442" s="31">
        <v>10</v>
      </c>
      <c r="K442" s="33" t="s">
        <v>932</v>
      </c>
      <c r="L442" s="33" t="s">
        <v>713</v>
      </c>
      <c r="M442" s="34" t="s">
        <v>1398</v>
      </c>
      <c r="N442" s="34" t="s">
        <v>1800</v>
      </c>
      <c r="O442" s="35">
        <v>1</v>
      </c>
      <c r="P442" s="35"/>
      <c r="Q442" s="32"/>
      <c r="S442" s="1">
        <f t="shared" si="149"/>
        <v>0</v>
      </c>
      <c r="T442" s="1">
        <f t="shared" si="150"/>
        <v>0</v>
      </c>
      <c r="U442" s="1">
        <f t="shared" si="151"/>
        <v>0</v>
      </c>
      <c r="V442" s="1">
        <f t="shared" si="152"/>
        <v>0</v>
      </c>
      <c r="W442" s="1">
        <f t="shared" si="153"/>
        <v>0</v>
      </c>
      <c r="X442" s="1">
        <f t="shared" si="154"/>
        <v>0</v>
      </c>
      <c r="Y442" s="1">
        <f t="shared" si="155"/>
        <v>0</v>
      </c>
      <c r="Z442" s="1">
        <f t="shared" si="156"/>
        <v>0</v>
      </c>
      <c r="AA442" s="1">
        <f t="shared" si="157"/>
        <v>0</v>
      </c>
      <c r="AB442" s="1">
        <f t="shared" si="158"/>
        <v>1</v>
      </c>
      <c r="AD442" s="1">
        <f t="shared" si="159"/>
        <v>0</v>
      </c>
      <c r="AE442" s="1">
        <f t="shared" si="160"/>
        <v>1</v>
      </c>
      <c r="AF442" s="1">
        <f t="shared" si="161"/>
        <v>0</v>
      </c>
      <c r="AG442" s="1">
        <f t="shared" si="162"/>
        <v>1</v>
      </c>
      <c r="AH442" s="1">
        <f t="shared" si="163"/>
        <v>0</v>
      </c>
      <c r="AI442" s="1">
        <f t="shared" si="164"/>
        <v>1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247</v>
      </c>
      <c r="G443" s="32" t="s">
        <v>248</v>
      </c>
      <c r="H443" s="32" t="s">
        <v>352</v>
      </c>
      <c r="I443" s="31" t="s">
        <v>409</v>
      </c>
      <c r="J443" s="31">
        <v>7</v>
      </c>
      <c r="K443" s="33" t="s">
        <v>704</v>
      </c>
      <c r="L443" s="33" t="s">
        <v>704</v>
      </c>
      <c r="M443" s="34" t="s">
        <v>722</v>
      </c>
      <c r="N443" s="34" t="s">
        <v>1701</v>
      </c>
      <c r="O443" s="35">
        <v>1</v>
      </c>
      <c r="P443" s="35"/>
      <c r="Q443" s="32"/>
      <c r="S443" s="1">
        <f t="shared" si="149"/>
        <v>0</v>
      </c>
      <c r="T443" s="1">
        <f t="shared" si="150"/>
        <v>0</v>
      </c>
      <c r="U443" s="1">
        <f t="shared" si="151"/>
        <v>0</v>
      </c>
      <c r="V443" s="1">
        <f t="shared" si="152"/>
        <v>0</v>
      </c>
      <c r="W443" s="1">
        <f t="shared" si="153"/>
        <v>0</v>
      </c>
      <c r="X443" s="1">
        <f t="shared" si="154"/>
        <v>0</v>
      </c>
      <c r="Y443" s="1">
        <f t="shared" si="155"/>
        <v>1</v>
      </c>
      <c r="Z443" s="1">
        <f t="shared" si="156"/>
        <v>0</v>
      </c>
      <c r="AA443" s="1">
        <f t="shared" si="157"/>
        <v>0</v>
      </c>
      <c r="AB443" s="1">
        <f t="shared" si="158"/>
        <v>0</v>
      </c>
      <c r="AD443" s="1">
        <f t="shared" si="159"/>
        <v>0</v>
      </c>
      <c r="AE443" s="1">
        <f t="shared" si="160"/>
        <v>1</v>
      </c>
      <c r="AF443" s="1">
        <f t="shared" si="161"/>
        <v>0</v>
      </c>
      <c r="AG443" s="1">
        <f t="shared" si="162"/>
        <v>1</v>
      </c>
      <c r="AH443" s="1">
        <f t="shared" si="163"/>
        <v>0</v>
      </c>
      <c r="AI443" s="1">
        <f t="shared" si="164"/>
        <v>1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1016</v>
      </c>
      <c r="G444" s="32" t="s">
        <v>535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1701</v>
      </c>
      <c r="O444" s="35">
        <v>1</v>
      </c>
      <c r="P444" s="35"/>
      <c r="Q444" s="32"/>
      <c r="S444" s="1">
        <f t="shared" si="149"/>
        <v>1</v>
      </c>
      <c r="T444" s="1">
        <f t="shared" si="150"/>
        <v>0</v>
      </c>
      <c r="U444" s="1">
        <f t="shared" si="151"/>
        <v>0</v>
      </c>
      <c r="V444" s="1">
        <f t="shared" si="152"/>
        <v>0</v>
      </c>
      <c r="W444" s="1">
        <f t="shared" si="153"/>
        <v>0</v>
      </c>
      <c r="X444" s="1">
        <f t="shared" si="154"/>
        <v>0</v>
      </c>
      <c r="Y444" s="1">
        <f t="shared" si="155"/>
        <v>0</v>
      </c>
      <c r="Z444" s="1">
        <f t="shared" si="156"/>
        <v>0</v>
      </c>
      <c r="AA444" s="1">
        <f t="shared" si="157"/>
        <v>0</v>
      </c>
      <c r="AB444" s="1">
        <f t="shared" si="158"/>
        <v>0</v>
      </c>
      <c r="AD444" s="1">
        <f t="shared" si="159"/>
        <v>0</v>
      </c>
      <c r="AE444" s="1">
        <f t="shared" si="160"/>
        <v>1</v>
      </c>
      <c r="AF444" s="1">
        <f t="shared" si="161"/>
        <v>0</v>
      </c>
      <c r="AG444" s="1">
        <f t="shared" si="162"/>
        <v>0</v>
      </c>
      <c r="AH444" s="1">
        <f t="shared" si="163"/>
        <v>0</v>
      </c>
      <c r="AI444" s="1">
        <f t="shared" si="164"/>
        <v>0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249</v>
      </c>
      <c r="G445" s="32" t="s">
        <v>199</v>
      </c>
      <c r="H445" s="32" t="s">
        <v>352</v>
      </c>
      <c r="I445" s="31" t="s">
        <v>410</v>
      </c>
      <c r="J445" s="31">
        <v>2</v>
      </c>
      <c r="K445" s="33" t="s">
        <v>704</v>
      </c>
      <c r="L445" s="33" t="s">
        <v>704</v>
      </c>
      <c r="M445" s="34" t="s">
        <v>722</v>
      </c>
      <c r="N445" s="34" t="s">
        <v>1701</v>
      </c>
      <c r="O445" s="35">
        <v>1</v>
      </c>
      <c r="P445" s="35"/>
      <c r="Q445" s="32"/>
      <c r="S445" s="1">
        <f t="shared" si="149"/>
        <v>0</v>
      </c>
      <c r="T445" s="1">
        <f t="shared" si="150"/>
        <v>1</v>
      </c>
      <c r="U445" s="1">
        <f t="shared" si="151"/>
        <v>0</v>
      </c>
      <c r="V445" s="1">
        <f t="shared" si="152"/>
        <v>0</v>
      </c>
      <c r="W445" s="1">
        <f t="shared" si="153"/>
        <v>0</v>
      </c>
      <c r="X445" s="1">
        <f t="shared" si="154"/>
        <v>0</v>
      </c>
      <c r="Y445" s="1">
        <f t="shared" si="155"/>
        <v>0</v>
      </c>
      <c r="Z445" s="1">
        <f t="shared" si="156"/>
        <v>0</v>
      </c>
      <c r="AA445" s="1">
        <f t="shared" si="157"/>
        <v>0</v>
      </c>
      <c r="AB445" s="1">
        <f t="shared" si="158"/>
        <v>0</v>
      </c>
      <c r="AD445" s="1">
        <f t="shared" si="159"/>
        <v>0</v>
      </c>
      <c r="AE445" s="1">
        <f t="shared" si="160"/>
        <v>1</v>
      </c>
      <c r="AF445" s="1">
        <f t="shared" si="161"/>
        <v>0</v>
      </c>
      <c r="AG445" s="1">
        <f t="shared" si="162"/>
        <v>0</v>
      </c>
      <c r="AH445" s="1">
        <f t="shared" si="163"/>
        <v>0</v>
      </c>
      <c r="AI445" s="1">
        <f t="shared" si="164"/>
        <v>0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246</v>
      </c>
      <c r="G446" s="32" t="s">
        <v>1318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1701</v>
      </c>
      <c r="O446" s="35">
        <v>1</v>
      </c>
      <c r="P446" s="35"/>
      <c r="Q446" s="32" t="s">
        <v>1867</v>
      </c>
      <c r="S446" s="1">
        <f t="shared" si="149"/>
        <v>1</v>
      </c>
      <c r="T446" s="1">
        <f t="shared" si="150"/>
        <v>0</v>
      </c>
      <c r="U446" s="1">
        <f t="shared" si="151"/>
        <v>0</v>
      </c>
      <c r="V446" s="1">
        <f t="shared" si="152"/>
        <v>0</v>
      </c>
      <c r="W446" s="1">
        <f t="shared" si="153"/>
        <v>0</v>
      </c>
      <c r="X446" s="1">
        <f t="shared" si="154"/>
        <v>0</v>
      </c>
      <c r="Y446" s="1">
        <f t="shared" si="155"/>
        <v>0</v>
      </c>
      <c r="Z446" s="1">
        <f t="shared" si="156"/>
        <v>0</v>
      </c>
      <c r="AA446" s="1">
        <f t="shared" si="157"/>
        <v>0</v>
      </c>
      <c r="AB446" s="1">
        <f t="shared" si="158"/>
        <v>0</v>
      </c>
      <c r="AD446" s="1">
        <f t="shared" si="159"/>
        <v>0</v>
      </c>
      <c r="AE446" s="1">
        <f t="shared" si="160"/>
        <v>1</v>
      </c>
      <c r="AF446" s="1">
        <f t="shared" si="161"/>
        <v>0</v>
      </c>
      <c r="AG446" s="1">
        <f t="shared" si="162"/>
        <v>0</v>
      </c>
      <c r="AH446" s="1">
        <f t="shared" si="163"/>
        <v>0</v>
      </c>
      <c r="AI446" s="1">
        <f t="shared" si="164"/>
        <v>0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251</v>
      </c>
      <c r="G447" s="32" t="s">
        <v>193</v>
      </c>
      <c r="H447" s="32" t="s">
        <v>352</v>
      </c>
      <c r="I447" s="31" t="s">
        <v>411</v>
      </c>
      <c r="J447" s="31">
        <v>9</v>
      </c>
      <c r="K447" s="33" t="s">
        <v>704</v>
      </c>
      <c r="L447" s="33" t="s">
        <v>704</v>
      </c>
      <c r="M447" s="34" t="s">
        <v>722</v>
      </c>
      <c r="N447" s="34" t="s">
        <v>1701</v>
      </c>
      <c r="O447" s="35">
        <v>1</v>
      </c>
      <c r="P447" s="35"/>
      <c r="Q447" s="32"/>
      <c r="S447" s="1">
        <f t="shared" si="149"/>
        <v>0</v>
      </c>
      <c r="T447" s="1">
        <f t="shared" si="150"/>
        <v>0</v>
      </c>
      <c r="U447" s="1">
        <f t="shared" si="151"/>
        <v>0</v>
      </c>
      <c r="V447" s="1">
        <f t="shared" si="152"/>
        <v>0</v>
      </c>
      <c r="W447" s="1">
        <f t="shared" si="153"/>
        <v>0</v>
      </c>
      <c r="X447" s="1">
        <f t="shared" si="154"/>
        <v>0</v>
      </c>
      <c r="Y447" s="1">
        <f t="shared" si="155"/>
        <v>0</v>
      </c>
      <c r="Z447" s="1">
        <f t="shared" si="156"/>
        <v>0</v>
      </c>
      <c r="AA447" s="1">
        <f t="shared" si="157"/>
        <v>1</v>
      </c>
      <c r="AB447" s="1">
        <f t="shared" si="158"/>
        <v>0</v>
      </c>
      <c r="AD447" s="1">
        <f t="shared" si="159"/>
        <v>0</v>
      </c>
      <c r="AE447" s="1">
        <f t="shared" si="160"/>
        <v>1</v>
      </c>
      <c r="AF447" s="1">
        <f t="shared" si="161"/>
        <v>0</v>
      </c>
      <c r="AG447" s="1">
        <f t="shared" si="162"/>
        <v>0</v>
      </c>
      <c r="AH447" s="1">
        <f t="shared" si="163"/>
        <v>0</v>
      </c>
      <c r="AI447" s="1">
        <f t="shared" si="164"/>
        <v>0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1000</v>
      </c>
      <c r="E448" s="32" t="s">
        <v>28</v>
      </c>
      <c r="F448" s="32" t="s">
        <v>1001</v>
      </c>
      <c r="G448" s="32" t="s">
        <v>193</v>
      </c>
      <c r="H448" s="32" t="s">
        <v>352</v>
      </c>
      <c r="I448" s="31" t="s">
        <v>1002</v>
      </c>
      <c r="J448" s="31">
        <v>9</v>
      </c>
      <c r="K448" s="33" t="s">
        <v>703</v>
      </c>
      <c r="L448" s="33" t="s">
        <v>704</v>
      </c>
      <c r="M448" s="34" t="s">
        <v>722</v>
      </c>
      <c r="N448" s="34" t="s">
        <v>1696</v>
      </c>
      <c r="O448" s="35">
        <v>1</v>
      </c>
      <c r="P448" s="35"/>
      <c r="Q448" s="32"/>
      <c r="S448" s="1">
        <f t="shared" si="149"/>
        <v>0</v>
      </c>
      <c r="T448" s="1">
        <f t="shared" si="150"/>
        <v>0</v>
      </c>
      <c r="U448" s="1">
        <f t="shared" si="151"/>
        <v>0</v>
      </c>
      <c r="V448" s="1">
        <f t="shared" si="152"/>
        <v>0</v>
      </c>
      <c r="W448" s="1">
        <f t="shared" si="153"/>
        <v>0</v>
      </c>
      <c r="X448" s="1">
        <f t="shared" si="154"/>
        <v>0</v>
      </c>
      <c r="Y448" s="1">
        <f t="shared" si="155"/>
        <v>0</v>
      </c>
      <c r="Z448" s="1">
        <f t="shared" si="156"/>
        <v>0</v>
      </c>
      <c r="AA448" s="1">
        <f t="shared" si="157"/>
        <v>1</v>
      </c>
      <c r="AB448" s="1">
        <f t="shared" si="158"/>
        <v>0</v>
      </c>
      <c r="AD448" s="1">
        <f t="shared" si="159"/>
        <v>0</v>
      </c>
      <c r="AE448" s="1">
        <f t="shared" si="160"/>
        <v>1</v>
      </c>
      <c r="AF448" s="1">
        <f t="shared" si="161"/>
        <v>0</v>
      </c>
      <c r="AG448" s="1">
        <f t="shared" si="162"/>
        <v>1</v>
      </c>
      <c r="AH448" s="1">
        <f t="shared" si="163"/>
        <v>0</v>
      </c>
      <c r="AI448" s="1">
        <f t="shared" si="164"/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1784</v>
      </c>
      <c r="E449" s="32" t="s">
        <v>1785</v>
      </c>
      <c r="F449" s="32" t="s">
        <v>1786</v>
      </c>
      <c r="G449" s="32" t="s">
        <v>206</v>
      </c>
      <c r="H449" s="32" t="s">
        <v>352</v>
      </c>
      <c r="I449" s="31" t="s">
        <v>30</v>
      </c>
      <c r="J449" s="31"/>
      <c r="K449" s="33" t="s">
        <v>694</v>
      </c>
      <c r="L449" s="33">
        <v>20</v>
      </c>
      <c r="M449" s="34" t="s">
        <v>1787</v>
      </c>
      <c r="N449" s="34" t="s">
        <v>1696</v>
      </c>
      <c r="O449" s="35">
        <v>1</v>
      </c>
      <c r="P449" s="35"/>
      <c r="Q449" s="32"/>
      <c r="S449" s="1">
        <f t="shared" si="149"/>
        <v>0</v>
      </c>
      <c r="T449" s="1">
        <f t="shared" si="150"/>
        <v>0</v>
      </c>
      <c r="U449" s="1">
        <f t="shared" si="151"/>
        <v>0</v>
      </c>
      <c r="V449" s="1">
        <f t="shared" si="152"/>
        <v>0</v>
      </c>
      <c r="W449" s="1">
        <f t="shared" si="153"/>
        <v>0</v>
      </c>
      <c r="X449" s="1">
        <f t="shared" si="154"/>
        <v>0</v>
      </c>
      <c r="Y449" s="1">
        <f t="shared" si="155"/>
        <v>0</v>
      </c>
      <c r="Z449" s="1">
        <f t="shared" si="156"/>
        <v>0</v>
      </c>
      <c r="AA449" s="1">
        <f t="shared" si="157"/>
        <v>0</v>
      </c>
      <c r="AB449" s="1">
        <f t="shared" si="158"/>
        <v>0</v>
      </c>
      <c r="AD449" s="1">
        <f t="shared" si="159"/>
        <v>0</v>
      </c>
      <c r="AE449" s="1">
        <f t="shared" si="160"/>
        <v>1</v>
      </c>
      <c r="AF449" s="1">
        <f t="shared" si="161"/>
        <v>0</v>
      </c>
      <c r="AG449" s="1">
        <f t="shared" si="162"/>
        <v>1</v>
      </c>
      <c r="AH449" s="1">
        <f t="shared" si="163"/>
        <v>0</v>
      </c>
      <c r="AI449" s="1">
        <f t="shared" si="164"/>
        <v>1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1056</v>
      </c>
      <c r="E450" s="32" t="s">
        <v>540</v>
      </c>
      <c r="F450" s="32" t="s">
        <v>1037</v>
      </c>
      <c r="G450" s="32" t="s">
        <v>237</v>
      </c>
      <c r="H450" s="32" t="s">
        <v>352</v>
      </c>
      <c r="I450" s="31" t="s">
        <v>1038</v>
      </c>
      <c r="J450" s="31">
        <v>99</v>
      </c>
      <c r="K450" s="33" t="s">
        <v>932</v>
      </c>
      <c r="L450" s="33" t="s">
        <v>713</v>
      </c>
      <c r="M450" s="34" t="s">
        <v>1401</v>
      </c>
      <c r="N450" s="34" t="s">
        <v>1696</v>
      </c>
      <c r="O450" s="35">
        <v>1</v>
      </c>
      <c r="P450" s="35"/>
      <c r="Q450" s="32"/>
      <c r="S450" s="1">
        <f t="shared" si="149"/>
        <v>0</v>
      </c>
      <c r="T450" s="1">
        <f t="shared" si="150"/>
        <v>0</v>
      </c>
      <c r="U450" s="1">
        <f t="shared" si="151"/>
        <v>0</v>
      </c>
      <c r="V450" s="1">
        <f t="shared" si="152"/>
        <v>0</v>
      </c>
      <c r="W450" s="1">
        <f t="shared" si="153"/>
        <v>0</v>
      </c>
      <c r="X450" s="1">
        <f t="shared" si="154"/>
        <v>0</v>
      </c>
      <c r="Y450" s="1">
        <f t="shared" si="155"/>
        <v>0</v>
      </c>
      <c r="Z450" s="1">
        <f t="shared" si="156"/>
        <v>0</v>
      </c>
      <c r="AA450" s="1">
        <f t="shared" si="157"/>
        <v>0</v>
      </c>
      <c r="AB450" s="1">
        <f t="shared" si="158"/>
        <v>0</v>
      </c>
      <c r="AD450" s="1">
        <f t="shared" si="159"/>
        <v>0</v>
      </c>
      <c r="AE450" s="1">
        <f t="shared" si="160"/>
        <v>1</v>
      </c>
      <c r="AF450" s="1">
        <f t="shared" si="161"/>
        <v>0</v>
      </c>
      <c r="AG450" s="1">
        <f t="shared" si="162"/>
        <v>1</v>
      </c>
      <c r="AH450" s="1">
        <f t="shared" si="163"/>
        <v>0</v>
      </c>
      <c r="AI450" s="1">
        <f t="shared" si="164"/>
        <v>1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1195</v>
      </c>
      <c r="E451" s="32" t="s">
        <v>155</v>
      </c>
      <c r="F451" s="32" t="s">
        <v>1196</v>
      </c>
      <c r="G451" s="32" t="s">
        <v>250</v>
      </c>
      <c r="H451" s="32" t="s">
        <v>352</v>
      </c>
      <c r="I451" s="31" t="s">
        <v>1197</v>
      </c>
      <c r="J451" s="31">
        <v>99</v>
      </c>
      <c r="K451" s="33" t="s">
        <v>704</v>
      </c>
      <c r="L451" s="33">
        <v>10</v>
      </c>
      <c r="M451" s="34" t="s">
        <v>1699</v>
      </c>
      <c r="N451" s="34" t="s">
        <v>1687</v>
      </c>
      <c r="O451" s="35">
        <v>1</v>
      </c>
      <c r="P451" s="35">
        <v>1</v>
      </c>
      <c r="Q451" s="32"/>
      <c r="S451" s="1">
        <f t="shared" si="149"/>
        <v>0</v>
      </c>
      <c r="T451" s="1">
        <f t="shared" si="150"/>
        <v>0</v>
      </c>
      <c r="U451" s="1">
        <f t="shared" si="151"/>
        <v>0</v>
      </c>
      <c r="V451" s="1">
        <f t="shared" si="152"/>
        <v>0</v>
      </c>
      <c r="W451" s="1">
        <f t="shared" si="153"/>
        <v>0</v>
      </c>
      <c r="X451" s="1">
        <f t="shared" si="154"/>
        <v>0</v>
      </c>
      <c r="Y451" s="1">
        <f t="shared" si="155"/>
        <v>0</v>
      </c>
      <c r="Z451" s="1">
        <f t="shared" si="156"/>
        <v>0</v>
      </c>
      <c r="AA451" s="1">
        <f t="shared" si="157"/>
        <v>0</v>
      </c>
      <c r="AB451" s="1">
        <f t="shared" si="158"/>
        <v>0</v>
      </c>
      <c r="AD451" s="1">
        <f t="shared" si="159"/>
        <v>1</v>
      </c>
      <c r="AE451" s="1">
        <f t="shared" si="160"/>
        <v>0</v>
      </c>
      <c r="AF451" s="1">
        <f t="shared" si="161"/>
        <v>1</v>
      </c>
      <c r="AG451" s="1">
        <f t="shared" si="162"/>
        <v>0</v>
      </c>
      <c r="AH451" s="1">
        <f t="shared" si="163"/>
        <v>1</v>
      </c>
      <c r="AI451" s="1">
        <f t="shared" si="164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6" t="s">
        <v>1754</v>
      </c>
      <c r="E452" s="36" t="s">
        <v>28</v>
      </c>
      <c r="F452" s="36" t="s">
        <v>1755</v>
      </c>
      <c r="G452" s="36" t="s">
        <v>179</v>
      </c>
      <c r="H452" s="36" t="s">
        <v>352</v>
      </c>
      <c r="I452" s="37" t="s">
        <v>1756</v>
      </c>
      <c r="J452" s="31">
        <v>10</v>
      </c>
      <c r="K452" s="33" t="s">
        <v>694</v>
      </c>
      <c r="L452" s="33">
        <v>10</v>
      </c>
      <c r="M452" s="34"/>
      <c r="N452" s="34" t="s">
        <v>1687</v>
      </c>
      <c r="O452" s="35">
        <v>1</v>
      </c>
      <c r="P452" s="35">
        <v>1</v>
      </c>
      <c r="Q452" s="36"/>
      <c r="S452" s="1">
        <f t="shared" si="149"/>
        <v>0</v>
      </c>
      <c r="T452" s="1">
        <f t="shared" si="150"/>
        <v>0</v>
      </c>
      <c r="U452" s="1">
        <f t="shared" si="151"/>
        <v>0</v>
      </c>
      <c r="V452" s="1">
        <f t="shared" si="152"/>
        <v>0</v>
      </c>
      <c r="W452" s="1">
        <f t="shared" si="153"/>
        <v>0</v>
      </c>
      <c r="X452" s="1">
        <f t="shared" si="154"/>
        <v>0</v>
      </c>
      <c r="Y452" s="1">
        <f t="shared" si="155"/>
        <v>0</v>
      </c>
      <c r="Z452" s="1">
        <f t="shared" si="156"/>
        <v>0</v>
      </c>
      <c r="AA452" s="1">
        <f t="shared" si="157"/>
        <v>0</v>
      </c>
      <c r="AB452" s="1">
        <f t="shared" si="158"/>
        <v>1</v>
      </c>
      <c r="AD452" s="1">
        <f t="shared" si="159"/>
        <v>1</v>
      </c>
      <c r="AE452" s="1">
        <f t="shared" si="160"/>
        <v>0</v>
      </c>
      <c r="AF452" s="1">
        <f t="shared" si="161"/>
        <v>1</v>
      </c>
      <c r="AG452" s="1">
        <f t="shared" si="162"/>
        <v>0</v>
      </c>
      <c r="AH452" s="1">
        <f t="shared" si="163"/>
        <v>1</v>
      </c>
      <c r="AI452" s="1">
        <f t="shared" si="164"/>
        <v>0</v>
      </c>
    </row>
    <row r="453" spans="1:35" s="1" customFormat="1" ht="14.25" customHeight="1" x14ac:dyDescent="0.25">
      <c r="A453" s="37">
        <v>0</v>
      </c>
      <c r="B453" s="37">
        <v>2</v>
      </c>
      <c r="C453" s="37">
        <v>7</v>
      </c>
      <c r="D453" s="36" t="s">
        <v>1546</v>
      </c>
      <c r="E453" s="36" t="s">
        <v>1612</v>
      </c>
      <c r="F453" s="36" t="s">
        <v>1547</v>
      </c>
      <c r="G453" s="36" t="s">
        <v>648</v>
      </c>
      <c r="H453" s="36" t="s">
        <v>352</v>
      </c>
      <c r="I453" s="37" t="s">
        <v>1548</v>
      </c>
      <c r="J453" s="37">
        <v>99</v>
      </c>
      <c r="K453" s="33" t="s">
        <v>704</v>
      </c>
      <c r="L453" s="33" t="s">
        <v>39</v>
      </c>
      <c r="M453" s="34" t="s">
        <v>39</v>
      </c>
      <c r="N453" s="34" t="s">
        <v>1687</v>
      </c>
      <c r="O453" s="35">
        <v>1</v>
      </c>
      <c r="P453" s="35">
        <v>1</v>
      </c>
      <c r="Q453" s="36"/>
      <c r="S453" s="1">
        <f t="shared" si="149"/>
        <v>0</v>
      </c>
      <c r="T453" s="1">
        <f t="shared" si="150"/>
        <v>0</v>
      </c>
      <c r="U453" s="1">
        <f t="shared" si="151"/>
        <v>0</v>
      </c>
      <c r="V453" s="1">
        <f t="shared" si="152"/>
        <v>0</v>
      </c>
      <c r="W453" s="1">
        <f t="shared" si="153"/>
        <v>0</v>
      </c>
      <c r="X453" s="1">
        <f t="shared" si="154"/>
        <v>0</v>
      </c>
      <c r="Y453" s="1">
        <f t="shared" si="155"/>
        <v>0</v>
      </c>
      <c r="Z453" s="1">
        <f t="shared" si="156"/>
        <v>0</v>
      </c>
      <c r="AA453" s="1">
        <f t="shared" si="157"/>
        <v>0</v>
      </c>
      <c r="AB453" s="1">
        <f t="shared" si="158"/>
        <v>0</v>
      </c>
      <c r="AD453" s="1">
        <f t="shared" si="159"/>
        <v>1</v>
      </c>
      <c r="AE453" s="1">
        <f t="shared" si="160"/>
        <v>0</v>
      </c>
      <c r="AF453" s="1">
        <f t="shared" si="161"/>
        <v>1</v>
      </c>
      <c r="AG453" s="1">
        <f t="shared" si="162"/>
        <v>0</v>
      </c>
      <c r="AH453" s="1">
        <f t="shared" si="163"/>
        <v>1</v>
      </c>
      <c r="AI453" s="1">
        <f t="shared" si="164"/>
        <v>0</v>
      </c>
    </row>
    <row r="454" spans="1:35" s="1" customFormat="1" ht="14.25" customHeight="1" x14ac:dyDescent="0.25">
      <c r="A454" s="37">
        <v>0</v>
      </c>
      <c r="B454" s="37">
        <v>2</v>
      </c>
      <c r="C454" s="37">
        <v>7</v>
      </c>
      <c r="D454" s="36" t="s">
        <v>2130</v>
      </c>
      <c r="E454" s="36" t="s">
        <v>2131</v>
      </c>
      <c r="F454" s="36" t="s">
        <v>2133</v>
      </c>
      <c r="G454" s="36" t="s">
        <v>2134</v>
      </c>
      <c r="H454" s="36" t="s">
        <v>352</v>
      </c>
      <c r="I454" s="37" t="s">
        <v>2132</v>
      </c>
      <c r="J454" s="37">
        <v>99</v>
      </c>
      <c r="K454" s="33" t="s">
        <v>694</v>
      </c>
      <c r="L454" s="33" t="s">
        <v>704</v>
      </c>
      <c r="M454" s="34" t="s">
        <v>722</v>
      </c>
      <c r="N454" s="34" t="s">
        <v>1693</v>
      </c>
      <c r="O454" s="35">
        <v>1</v>
      </c>
      <c r="P454" s="35">
        <v>1</v>
      </c>
      <c r="Q454" s="36" t="s">
        <v>2135</v>
      </c>
      <c r="S454" s="1">
        <f t="shared" si="149"/>
        <v>0</v>
      </c>
      <c r="T454" s="1">
        <f t="shared" si="150"/>
        <v>0</v>
      </c>
      <c r="U454" s="1">
        <f t="shared" si="151"/>
        <v>0</v>
      </c>
      <c r="V454" s="1">
        <f t="shared" si="152"/>
        <v>0</v>
      </c>
      <c r="W454" s="1">
        <f t="shared" si="153"/>
        <v>0</v>
      </c>
      <c r="X454" s="1">
        <f t="shared" si="154"/>
        <v>0</v>
      </c>
      <c r="Y454" s="1">
        <f t="shared" si="155"/>
        <v>0</v>
      </c>
      <c r="Z454" s="1">
        <f t="shared" si="156"/>
        <v>0</v>
      </c>
      <c r="AA454" s="1">
        <f t="shared" si="157"/>
        <v>0</v>
      </c>
      <c r="AB454" s="1">
        <f t="shared" si="158"/>
        <v>0</v>
      </c>
      <c r="AD454" s="1">
        <f t="shared" ref="AD454:AD456" si="165">+O454*P454</f>
        <v>1</v>
      </c>
      <c r="AE454" s="1">
        <f t="shared" ref="AE454:AE456" si="166">O454*(1-P454)</f>
        <v>0</v>
      </c>
      <c r="AF454" s="1">
        <f t="shared" ref="AF454:AF456" si="167">+O454*P454*(1-A454)</f>
        <v>1</v>
      </c>
      <c r="AG454" s="1">
        <f t="shared" ref="AG454:AG456" si="168">O454*(1-P454)*(1-A454)</f>
        <v>0</v>
      </c>
      <c r="AH454" s="1">
        <f t="shared" ref="AH454:AH456" si="169">+P454*(1-A454)</f>
        <v>1</v>
      </c>
      <c r="AI454" s="1">
        <f t="shared" ref="AI454:AI456" si="170">+(1-A454)*(1-P454)</f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1498</v>
      </c>
      <c r="E455" s="32" t="s">
        <v>28</v>
      </c>
      <c r="F455" s="32" t="s">
        <v>1623</v>
      </c>
      <c r="G455" s="32" t="s">
        <v>285</v>
      </c>
      <c r="H455" s="32" t="s">
        <v>352</v>
      </c>
      <c r="I455" s="31" t="s">
        <v>1648</v>
      </c>
      <c r="J455" s="31">
        <v>99</v>
      </c>
      <c r="K455" s="33" t="s">
        <v>704</v>
      </c>
      <c r="L455" s="33" t="s">
        <v>704</v>
      </c>
      <c r="M455" s="34" t="s">
        <v>722</v>
      </c>
      <c r="N455" s="34" t="s">
        <v>1696</v>
      </c>
      <c r="O455" s="35">
        <v>1</v>
      </c>
      <c r="P455" s="35"/>
      <c r="Q455" s="32"/>
      <c r="S455" s="1">
        <f t="shared" si="149"/>
        <v>0</v>
      </c>
      <c r="T455" s="1">
        <f t="shared" si="150"/>
        <v>0</v>
      </c>
      <c r="U455" s="1">
        <f t="shared" si="151"/>
        <v>0</v>
      </c>
      <c r="V455" s="1">
        <f t="shared" si="152"/>
        <v>0</v>
      </c>
      <c r="W455" s="1">
        <f t="shared" si="153"/>
        <v>0</v>
      </c>
      <c r="X455" s="1">
        <f t="shared" si="154"/>
        <v>0</v>
      </c>
      <c r="Y455" s="1">
        <f t="shared" si="155"/>
        <v>0</v>
      </c>
      <c r="Z455" s="1">
        <f t="shared" si="156"/>
        <v>0</v>
      </c>
      <c r="AA455" s="1">
        <f t="shared" si="157"/>
        <v>0</v>
      </c>
      <c r="AB455" s="1">
        <f t="shared" si="158"/>
        <v>0</v>
      </c>
      <c r="AD455" s="1">
        <f t="shared" si="165"/>
        <v>0</v>
      </c>
      <c r="AE455" s="1">
        <f t="shared" si="166"/>
        <v>1</v>
      </c>
      <c r="AF455" s="1">
        <f t="shared" si="167"/>
        <v>0</v>
      </c>
      <c r="AG455" s="1">
        <f t="shared" si="168"/>
        <v>1</v>
      </c>
      <c r="AH455" s="1">
        <f t="shared" si="169"/>
        <v>0</v>
      </c>
      <c r="AI455" s="1">
        <f t="shared" si="170"/>
        <v>1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1296</v>
      </c>
      <c r="E456" s="32" t="s">
        <v>28</v>
      </c>
      <c r="F456" s="32" t="s">
        <v>565</v>
      </c>
      <c r="G456" s="32" t="s">
        <v>180</v>
      </c>
      <c r="H456" s="32" t="s">
        <v>352</v>
      </c>
      <c r="I456" s="31" t="s">
        <v>428</v>
      </c>
      <c r="J456" s="31">
        <v>7</v>
      </c>
      <c r="K456" s="33" t="s">
        <v>703</v>
      </c>
      <c r="L456" s="33" t="s">
        <v>704</v>
      </c>
      <c r="M456" s="34" t="s">
        <v>722</v>
      </c>
      <c r="N456" s="34" t="s">
        <v>1696</v>
      </c>
      <c r="O456" s="35">
        <v>1</v>
      </c>
      <c r="P456" s="35"/>
      <c r="Q456" s="32"/>
      <c r="S456" s="1">
        <f t="shared" si="149"/>
        <v>0</v>
      </c>
      <c r="T456" s="1">
        <f t="shared" si="150"/>
        <v>0</v>
      </c>
      <c r="U456" s="1">
        <f t="shared" si="151"/>
        <v>0</v>
      </c>
      <c r="V456" s="1">
        <f t="shared" si="152"/>
        <v>0</v>
      </c>
      <c r="W456" s="1">
        <f t="shared" si="153"/>
        <v>0</v>
      </c>
      <c r="X456" s="1">
        <f t="shared" si="154"/>
        <v>0</v>
      </c>
      <c r="Y456" s="1">
        <f t="shared" si="155"/>
        <v>1</v>
      </c>
      <c r="Z456" s="1">
        <f t="shared" si="156"/>
        <v>0</v>
      </c>
      <c r="AA456" s="1">
        <f t="shared" si="157"/>
        <v>0</v>
      </c>
      <c r="AB456" s="1">
        <f t="shared" si="158"/>
        <v>0</v>
      </c>
      <c r="AD456" s="1">
        <f t="shared" si="165"/>
        <v>0</v>
      </c>
      <c r="AE456" s="1">
        <f t="shared" si="166"/>
        <v>1</v>
      </c>
      <c r="AF456" s="1">
        <f t="shared" si="167"/>
        <v>0</v>
      </c>
      <c r="AG456" s="1">
        <f t="shared" si="168"/>
        <v>1</v>
      </c>
      <c r="AH456" s="1">
        <f t="shared" si="169"/>
        <v>0</v>
      </c>
      <c r="AI456" s="1">
        <f t="shared" si="170"/>
        <v>1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260</v>
      </c>
      <c r="G457" s="32" t="s">
        <v>219</v>
      </c>
      <c r="H457" s="32" t="s">
        <v>352</v>
      </c>
      <c r="I457" s="31" t="s">
        <v>418</v>
      </c>
      <c r="J457" s="31">
        <v>8</v>
      </c>
      <c r="K457" s="33" t="s">
        <v>704</v>
      </c>
      <c r="L457" s="33" t="s">
        <v>704</v>
      </c>
      <c r="M457" s="34" t="s">
        <v>722</v>
      </c>
      <c r="N457" s="34" t="s">
        <v>1696</v>
      </c>
      <c r="O457" s="35">
        <v>1</v>
      </c>
      <c r="P457" s="35"/>
      <c r="Q457" s="32"/>
      <c r="S457" s="1">
        <f t="shared" si="149"/>
        <v>0</v>
      </c>
      <c r="T457" s="1">
        <f t="shared" si="150"/>
        <v>0</v>
      </c>
      <c r="U457" s="1">
        <f t="shared" si="151"/>
        <v>0</v>
      </c>
      <c r="V457" s="1">
        <f t="shared" si="152"/>
        <v>0</v>
      </c>
      <c r="W457" s="1">
        <f t="shared" si="153"/>
        <v>0</v>
      </c>
      <c r="X457" s="1">
        <f t="shared" si="154"/>
        <v>0</v>
      </c>
      <c r="Y457" s="1">
        <f t="shared" si="155"/>
        <v>0</v>
      </c>
      <c r="Z457" s="1">
        <f t="shared" si="156"/>
        <v>1</v>
      </c>
      <c r="AA457" s="1">
        <f t="shared" si="157"/>
        <v>0</v>
      </c>
      <c r="AB457" s="1">
        <f t="shared" si="158"/>
        <v>0</v>
      </c>
      <c r="AD457" s="1">
        <f t="shared" si="159"/>
        <v>0</v>
      </c>
      <c r="AE457" s="1">
        <f t="shared" si="160"/>
        <v>1</v>
      </c>
      <c r="AF457" s="1">
        <f t="shared" si="161"/>
        <v>0</v>
      </c>
      <c r="AG457" s="1">
        <f t="shared" si="162"/>
        <v>1</v>
      </c>
      <c r="AH457" s="1">
        <f t="shared" si="163"/>
        <v>0</v>
      </c>
      <c r="AI457" s="1">
        <f t="shared" si="164"/>
        <v>1</v>
      </c>
    </row>
    <row r="458" spans="1:35" s="1" customFormat="1" ht="14.25" customHeight="1" x14ac:dyDescent="0.25">
      <c r="A458" s="31">
        <v>1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259</v>
      </c>
      <c r="G458" s="32" t="s">
        <v>177</v>
      </c>
      <c r="H458" s="32" t="s">
        <v>352</v>
      </c>
      <c r="I458" s="31" t="s">
        <v>417</v>
      </c>
      <c r="J458" s="31">
        <v>1</v>
      </c>
      <c r="K458" s="33" t="s">
        <v>704</v>
      </c>
      <c r="L458" s="33" t="s">
        <v>704</v>
      </c>
      <c r="M458" s="34" t="s">
        <v>722</v>
      </c>
      <c r="N458" s="34" t="s">
        <v>1696</v>
      </c>
      <c r="O458" s="35">
        <v>1</v>
      </c>
      <c r="P458" s="35"/>
      <c r="Q458" s="32"/>
      <c r="S458" s="1">
        <f t="shared" si="149"/>
        <v>1</v>
      </c>
      <c r="T458" s="1">
        <f t="shared" si="150"/>
        <v>0</v>
      </c>
      <c r="U458" s="1">
        <f t="shared" si="151"/>
        <v>0</v>
      </c>
      <c r="V458" s="1">
        <f t="shared" si="152"/>
        <v>0</v>
      </c>
      <c r="W458" s="1">
        <f t="shared" si="153"/>
        <v>0</v>
      </c>
      <c r="X458" s="1">
        <f t="shared" si="154"/>
        <v>0</v>
      </c>
      <c r="Y458" s="1">
        <f t="shared" si="155"/>
        <v>0</v>
      </c>
      <c r="Z458" s="1">
        <f t="shared" si="156"/>
        <v>0</v>
      </c>
      <c r="AA458" s="1">
        <f t="shared" si="157"/>
        <v>0</v>
      </c>
      <c r="AB458" s="1">
        <f t="shared" si="158"/>
        <v>0</v>
      </c>
      <c r="AD458" s="1">
        <f t="shared" si="159"/>
        <v>0</v>
      </c>
      <c r="AE458" s="1">
        <f t="shared" si="160"/>
        <v>1</v>
      </c>
      <c r="AF458" s="1">
        <f t="shared" si="161"/>
        <v>0</v>
      </c>
      <c r="AG458" s="1">
        <f t="shared" si="162"/>
        <v>0</v>
      </c>
      <c r="AH458" s="1">
        <f t="shared" si="163"/>
        <v>0</v>
      </c>
      <c r="AI458" s="1">
        <f t="shared" si="164"/>
        <v>0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759</v>
      </c>
      <c r="E459" s="32" t="s">
        <v>28</v>
      </c>
      <c r="F459" s="32" t="s">
        <v>760</v>
      </c>
      <c r="G459" s="32" t="s">
        <v>278</v>
      </c>
      <c r="H459" s="32" t="s">
        <v>352</v>
      </c>
      <c r="I459" s="31" t="s">
        <v>761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1696</v>
      </c>
      <c r="O459" s="35">
        <v>1</v>
      </c>
      <c r="P459" s="35"/>
      <c r="Q459" s="32"/>
      <c r="S459" s="1">
        <f t="shared" si="149"/>
        <v>0</v>
      </c>
      <c r="T459" s="1">
        <f t="shared" si="150"/>
        <v>0</v>
      </c>
      <c r="U459" s="1">
        <f t="shared" si="151"/>
        <v>0</v>
      </c>
      <c r="V459" s="1">
        <f t="shared" si="152"/>
        <v>0</v>
      </c>
      <c r="W459" s="1">
        <f t="shared" si="153"/>
        <v>0</v>
      </c>
      <c r="X459" s="1">
        <f t="shared" si="154"/>
        <v>0</v>
      </c>
      <c r="Y459" s="1">
        <f t="shared" si="155"/>
        <v>0</v>
      </c>
      <c r="Z459" s="1">
        <f t="shared" si="156"/>
        <v>0</v>
      </c>
      <c r="AA459" s="1">
        <f t="shared" si="157"/>
        <v>0</v>
      </c>
      <c r="AB459" s="1">
        <f t="shared" si="158"/>
        <v>0</v>
      </c>
      <c r="AD459" s="1">
        <f t="shared" si="159"/>
        <v>0</v>
      </c>
      <c r="AE459" s="1">
        <f t="shared" si="160"/>
        <v>1</v>
      </c>
      <c r="AF459" s="1">
        <f t="shared" si="161"/>
        <v>0</v>
      </c>
      <c r="AG459" s="1">
        <f t="shared" si="162"/>
        <v>1</v>
      </c>
      <c r="AH459" s="1">
        <f t="shared" si="163"/>
        <v>0</v>
      </c>
      <c r="AI459" s="1">
        <f t="shared" si="164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85</v>
      </c>
      <c r="E460" s="32" t="s">
        <v>28</v>
      </c>
      <c r="F460" s="32" t="s">
        <v>277</v>
      </c>
      <c r="G460" s="32" t="s">
        <v>278</v>
      </c>
      <c r="H460" s="32" t="s">
        <v>352</v>
      </c>
      <c r="I460" s="31" t="s">
        <v>432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1696</v>
      </c>
      <c r="O460" s="35">
        <v>1</v>
      </c>
      <c r="P460" s="35"/>
      <c r="Q460" s="32"/>
      <c r="S460" s="1">
        <f t="shared" si="149"/>
        <v>0</v>
      </c>
      <c r="T460" s="1">
        <f t="shared" si="150"/>
        <v>0</v>
      </c>
      <c r="U460" s="1">
        <f t="shared" si="151"/>
        <v>0</v>
      </c>
      <c r="V460" s="1">
        <f t="shared" si="152"/>
        <v>0</v>
      </c>
      <c r="W460" s="1">
        <f t="shared" si="153"/>
        <v>0</v>
      </c>
      <c r="X460" s="1">
        <f t="shared" si="154"/>
        <v>0</v>
      </c>
      <c r="Y460" s="1">
        <f t="shared" si="155"/>
        <v>0</v>
      </c>
      <c r="Z460" s="1">
        <f t="shared" si="156"/>
        <v>0</v>
      </c>
      <c r="AA460" s="1">
        <f t="shared" si="157"/>
        <v>0</v>
      </c>
      <c r="AB460" s="1">
        <f t="shared" si="158"/>
        <v>0</v>
      </c>
      <c r="AD460" s="1">
        <f t="shared" si="159"/>
        <v>0</v>
      </c>
      <c r="AE460" s="1">
        <f t="shared" si="160"/>
        <v>1</v>
      </c>
      <c r="AF460" s="1">
        <f t="shared" si="161"/>
        <v>0</v>
      </c>
      <c r="AG460" s="1">
        <f t="shared" si="162"/>
        <v>1</v>
      </c>
      <c r="AH460" s="1">
        <f t="shared" si="163"/>
        <v>0</v>
      </c>
      <c r="AI460" s="1">
        <f t="shared" si="164"/>
        <v>1</v>
      </c>
    </row>
    <row r="461" spans="1:35" s="1" customFormat="1" ht="14.25" customHeight="1" x14ac:dyDescent="0.25">
      <c r="A461" s="37">
        <v>0</v>
      </c>
      <c r="B461" s="37">
        <v>2</v>
      </c>
      <c r="C461" s="37">
        <v>7</v>
      </c>
      <c r="D461" s="36" t="s">
        <v>1887</v>
      </c>
      <c r="E461" s="36" t="s">
        <v>28</v>
      </c>
      <c r="F461" s="36" t="s">
        <v>1888</v>
      </c>
      <c r="G461" s="36" t="s">
        <v>184</v>
      </c>
      <c r="H461" s="36" t="s">
        <v>352</v>
      </c>
      <c r="I461" s="37" t="s">
        <v>1889</v>
      </c>
      <c r="J461" s="37">
        <v>99</v>
      </c>
      <c r="K461" s="33" t="s">
        <v>694</v>
      </c>
      <c r="L461" s="33">
        <v>4</v>
      </c>
      <c r="M461" s="34" t="s">
        <v>722</v>
      </c>
      <c r="N461" s="34" t="s">
        <v>1696</v>
      </c>
      <c r="O461" s="35">
        <v>1</v>
      </c>
      <c r="P461" s="35"/>
      <c r="Q461" s="36" t="s">
        <v>1890</v>
      </c>
      <c r="S461" s="1">
        <f t="shared" si="149"/>
        <v>0</v>
      </c>
      <c r="T461" s="1">
        <f t="shared" si="150"/>
        <v>0</v>
      </c>
      <c r="U461" s="1">
        <f t="shared" si="151"/>
        <v>0</v>
      </c>
      <c r="V461" s="1">
        <f t="shared" si="152"/>
        <v>0</v>
      </c>
      <c r="W461" s="1">
        <f t="shared" si="153"/>
        <v>0</v>
      </c>
      <c r="X461" s="1">
        <f t="shared" si="154"/>
        <v>0</v>
      </c>
      <c r="Y461" s="1">
        <f t="shared" si="155"/>
        <v>0</v>
      </c>
      <c r="Z461" s="1">
        <f t="shared" si="156"/>
        <v>0</v>
      </c>
      <c r="AA461" s="1">
        <f t="shared" si="157"/>
        <v>0</v>
      </c>
      <c r="AB461" s="1">
        <f t="shared" si="158"/>
        <v>0</v>
      </c>
      <c r="AD461" s="1">
        <f t="shared" si="159"/>
        <v>0</v>
      </c>
      <c r="AE461" s="1">
        <f t="shared" si="160"/>
        <v>1</v>
      </c>
      <c r="AF461" s="1">
        <f t="shared" si="161"/>
        <v>0</v>
      </c>
      <c r="AG461" s="1">
        <f t="shared" si="162"/>
        <v>1</v>
      </c>
      <c r="AH461" s="1">
        <f t="shared" si="163"/>
        <v>0</v>
      </c>
      <c r="AI461" s="1">
        <f t="shared" si="164"/>
        <v>1</v>
      </c>
    </row>
    <row r="462" spans="1:35" s="1" customFormat="1" ht="14.25" customHeight="1" x14ac:dyDescent="0.25">
      <c r="A462" s="37">
        <v>0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1826</v>
      </c>
      <c r="G462" s="36" t="s">
        <v>552</v>
      </c>
      <c r="H462" s="36" t="s">
        <v>352</v>
      </c>
      <c r="I462" s="37" t="s">
        <v>553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1776</v>
      </c>
      <c r="O462" s="35">
        <v>1</v>
      </c>
      <c r="P462" s="35"/>
      <c r="Q462" s="36"/>
      <c r="S462" s="1">
        <f t="shared" si="149"/>
        <v>0</v>
      </c>
      <c r="T462" s="1">
        <f t="shared" si="150"/>
        <v>0</v>
      </c>
      <c r="U462" s="1">
        <f t="shared" si="151"/>
        <v>0</v>
      </c>
      <c r="V462" s="1">
        <f t="shared" si="152"/>
        <v>0</v>
      </c>
      <c r="W462" s="1">
        <f t="shared" si="153"/>
        <v>0</v>
      </c>
      <c r="X462" s="1">
        <f t="shared" si="154"/>
        <v>0</v>
      </c>
      <c r="Y462" s="1">
        <f t="shared" si="155"/>
        <v>0</v>
      </c>
      <c r="Z462" s="1">
        <f t="shared" si="156"/>
        <v>0</v>
      </c>
      <c r="AA462" s="1">
        <f t="shared" si="157"/>
        <v>0</v>
      </c>
      <c r="AB462" s="1">
        <f t="shared" si="158"/>
        <v>0</v>
      </c>
      <c r="AD462" s="1">
        <f t="shared" si="159"/>
        <v>0</v>
      </c>
      <c r="AE462" s="1">
        <f t="shared" si="160"/>
        <v>1</v>
      </c>
      <c r="AF462" s="1">
        <f t="shared" si="161"/>
        <v>0</v>
      </c>
      <c r="AG462" s="1">
        <f t="shared" si="162"/>
        <v>1</v>
      </c>
      <c r="AH462" s="1">
        <f t="shared" si="163"/>
        <v>0</v>
      </c>
      <c r="AI462" s="1">
        <f t="shared" si="164"/>
        <v>1</v>
      </c>
    </row>
    <row r="463" spans="1:35" s="1" customFormat="1" ht="14.25" customHeight="1" x14ac:dyDescent="0.25">
      <c r="A463" s="37">
        <v>1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1827</v>
      </c>
      <c r="G463" s="36" t="s">
        <v>550</v>
      </c>
      <c r="H463" s="36" t="s">
        <v>352</v>
      </c>
      <c r="I463" s="37" t="s">
        <v>551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1776</v>
      </c>
      <c r="O463" s="35">
        <v>1</v>
      </c>
      <c r="P463" s="35"/>
      <c r="Q463" s="36"/>
      <c r="S463" s="1">
        <f t="shared" si="149"/>
        <v>0</v>
      </c>
      <c r="T463" s="1">
        <f t="shared" si="150"/>
        <v>0</v>
      </c>
      <c r="U463" s="1">
        <f t="shared" si="151"/>
        <v>0</v>
      </c>
      <c r="V463" s="1">
        <f t="shared" si="152"/>
        <v>0</v>
      </c>
      <c r="W463" s="1">
        <f t="shared" si="153"/>
        <v>0</v>
      </c>
      <c r="X463" s="1">
        <f t="shared" si="154"/>
        <v>0</v>
      </c>
      <c r="Y463" s="1">
        <f t="shared" si="155"/>
        <v>0</v>
      </c>
      <c r="Z463" s="1">
        <f t="shared" si="156"/>
        <v>0</v>
      </c>
      <c r="AA463" s="1">
        <f t="shared" si="157"/>
        <v>0</v>
      </c>
      <c r="AB463" s="1">
        <f t="shared" si="158"/>
        <v>0</v>
      </c>
      <c r="AD463" s="1">
        <f t="shared" si="159"/>
        <v>0</v>
      </c>
      <c r="AE463" s="1">
        <f t="shared" si="160"/>
        <v>1</v>
      </c>
      <c r="AF463" s="1">
        <f t="shared" si="161"/>
        <v>0</v>
      </c>
      <c r="AG463" s="1">
        <f t="shared" si="162"/>
        <v>0</v>
      </c>
      <c r="AH463" s="1">
        <f t="shared" si="163"/>
        <v>0</v>
      </c>
      <c r="AI463" s="1">
        <f t="shared" si="164"/>
        <v>0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1154</v>
      </c>
      <c r="E464" s="32" t="s">
        <v>28</v>
      </c>
      <c r="F464" s="32" t="s">
        <v>1638</v>
      </c>
      <c r="G464" s="32" t="s">
        <v>234</v>
      </c>
      <c r="H464" s="32" t="s">
        <v>352</v>
      </c>
      <c r="I464" s="31" t="s">
        <v>1332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1696</v>
      </c>
      <c r="O464" s="35">
        <v>1</v>
      </c>
      <c r="P464" s="35"/>
      <c r="Q464" s="32"/>
      <c r="S464" s="1">
        <f t="shared" si="149"/>
        <v>0</v>
      </c>
      <c r="T464" s="1">
        <f t="shared" si="150"/>
        <v>0</v>
      </c>
      <c r="U464" s="1">
        <f t="shared" si="151"/>
        <v>0</v>
      </c>
      <c r="V464" s="1">
        <f t="shared" si="152"/>
        <v>0</v>
      </c>
      <c r="W464" s="1">
        <f t="shared" si="153"/>
        <v>0</v>
      </c>
      <c r="X464" s="1">
        <f t="shared" si="154"/>
        <v>0</v>
      </c>
      <c r="Y464" s="1">
        <f t="shared" si="155"/>
        <v>0</v>
      </c>
      <c r="Z464" s="1">
        <f t="shared" si="156"/>
        <v>0</v>
      </c>
      <c r="AA464" s="1">
        <f t="shared" si="157"/>
        <v>0</v>
      </c>
      <c r="AB464" s="1">
        <f t="shared" si="158"/>
        <v>0</v>
      </c>
      <c r="AD464" s="1">
        <f t="shared" si="159"/>
        <v>0</v>
      </c>
      <c r="AE464" s="1">
        <f t="shared" si="160"/>
        <v>1</v>
      </c>
      <c r="AF464" s="1">
        <f t="shared" si="161"/>
        <v>0</v>
      </c>
      <c r="AG464" s="1">
        <f t="shared" si="162"/>
        <v>1</v>
      </c>
      <c r="AH464" s="1">
        <f t="shared" si="163"/>
        <v>0</v>
      </c>
      <c r="AI464" s="1">
        <f t="shared" si="164"/>
        <v>1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1154</v>
      </c>
      <c r="E465" s="32" t="s">
        <v>28</v>
      </c>
      <c r="F465" s="32" t="s">
        <v>1639</v>
      </c>
      <c r="G465" s="32" t="s">
        <v>1319</v>
      </c>
      <c r="H465" s="32" t="s">
        <v>352</v>
      </c>
      <c r="I465" s="31" t="s">
        <v>1333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1696</v>
      </c>
      <c r="O465" s="35">
        <v>1</v>
      </c>
      <c r="P465" s="35"/>
      <c r="Q465" s="32"/>
      <c r="S465" s="1">
        <f t="shared" si="149"/>
        <v>0</v>
      </c>
      <c r="T465" s="1">
        <f t="shared" si="150"/>
        <v>0</v>
      </c>
      <c r="U465" s="1">
        <f t="shared" si="151"/>
        <v>0</v>
      </c>
      <c r="V465" s="1">
        <f t="shared" si="152"/>
        <v>0</v>
      </c>
      <c r="W465" s="1">
        <f t="shared" si="153"/>
        <v>0</v>
      </c>
      <c r="X465" s="1">
        <f t="shared" si="154"/>
        <v>0</v>
      </c>
      <c r="Y465" s="1">
        <f t="shared" si="155"/>
        <v>0</v>
      </c>
      <c r="Z465" s="1">
        <f t="shared" si="156"/>
        <v>0</v>
      </c>
      <c r="AA465" s="1">
        <f t="shared" si="157"/>
        <v>0</v>
      </c>
      <c r="AB465" s="1">
        <f t="shared" si="158"/>
        <v>0</v>
      </c>
      <c r="AD465" s="1">
        <f t="shared" si="159"/>
        <v>0</v>
      </c>
      <c r="AE465" s="1">
        <f t="shared" si="160"/>
        <v>1</v>
      </c>
      <c r="AF465" s="1">
        <f t="shared" si="161"/>
        <v>0</v>
      </c>
      <c r="AG465" s="1">
        <f t="shared" si="162"/>
        <v>0</v>
      </c>
      <c r="AH465" s="1">
        <f t="shared" si="163"/>
        <v>0</v>
      </c>
      <c r="AI465" s="1">
        <f t="shared" si="164"/>
        <v>0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1222</v>
      </c>
      <c r="E466" s="32" t="s">
        <v>28</v>
      </c>
      <c r="F466" s="32" t="s">
        <v>1221</v>
      </c>
      <c r="G466" s="32" t="s">
        <v>1206</v>
      </c>
      <c r="H466" s="32" t="s">
        <v>352</v>
      </c>
      <c r="I466" s="31" t="s">
        <v>1223</v>
      </c>
      <c r="J466" s="31">
        <v>99</v>
      </c>
      <c r="K466" s="33" t="s">
        <v>694</v>
      </c>
      <c r="L466" s="33" t="s">
        <v>704</v>
      </c>
      <c r="M466" s="34" t="s">
        <v>722</v>
      </c>
      <c r="N466" s="34" t="s">
        <v>1696</v>
      </c>
      <c r="O466" s="35">
        <v>1</v>
      </c>
      <c r="P466" s="35"/>
      <c r="Q466" s="32"/>
      <c r="S466" s="1">
        <f t="shared" si="149"/>
        <v>0</v>
      </c>
      <c r="T466" s="1">
        <f t="shared" si="150"/>
        <v>0</v>
      </c>
      <c r="U466" s="1">
        <f t="shared" si="151"/>
        <v>0</v>
      </c>
      <c r="V466" s="1">
        <f t="shared" si="152"/>
        <v>0</v>
      </c>
      <c r="W466" s="1">
        <f t="shared" si="153"/>
        <v>0</v>
      </c>
      <c r="X466" s="1">
        <f t="shared" si="154"/>
        <v>0</v>
      </c>
      <c r="Y466" s="1">
        <f t="shared" si="155"/>
        <v>0</v>
      </c>
      <c r="Z466" s="1">
        <f t="shared" si="156"/>
        <v>0</v>
      </c>
      <c r="AA466" s="1">
        <f t="shared" si="157"/>
        <v>0</v>
      </c>
      <c r="AB466" s="1">
        <f t="shared" si="158"/>
        <v>0</v>
      </c>
      <c r="AD466" s="1">
        <f t="shared" si="159"/>
        <v>0</v>
      </c>
      <c r="AE466" s="1">
        <f t="shared" si="160"/>
        <v>1</v>
      </c>
      <c r="AF466" s="1">
        <f t="shared" si="161"/>
        <v>0</v>
      </c>
      <c r="AG466" s="1">
        <f t="shared" si="162"/>
        <v>1</v>
      </c>
      <c r="AH466" s="1">
        <f t="shared" si="163"/>
        <v>0</v>
      </c>
      <c r="AI466" s="1">
        <f t="shared" si="164"/>
        <v>1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1222</v>
      </c>
      <c r="E467" s="32" t="s">
        <v>28</v>
      </c>
      <c r="F467" s="32" t="s">
        <v>1220</v>
      </c>
      <c r="G467" s="32" t="s">
        <v>39</v>
      </c>
      <c r="H467" s="32" t="s">
        <v>352</v>
      </c>
      <c r="I467" s="31" t="s">
        <v>1224</v>
      </c>
      <c r="J467" s="31">
        <v>9</v>
      </c>
      <c r="K467" s="33" t="s">
        <v>694</v>
      </c>
      <c r="L467" s="33" t="s">
        <v>704</v>
      </c>
      <c r="M467" s="34" t="s">
        <v>722</v>
      </c>
      <c r="N467" s="34" t="s">
        <v>1696</v>
      </c>
      <c r="O467" s="35">
        <v>1</v>
      </c>
      <c r="P467" s="35"/>
      <c r="Q467" s="32"/>
      <c r="S467" s="1">
        <f t="shared" si="149"/>
        <v>0</v>
      </c>
      <c r="T467" s="1">
        <f t="shared" si="150"/>
        <v>0</v>
      </c>
      <c r="U467" s="1">
        <f t="shared" si="151"/>
        <v>0</v>
      </c>
      <c r="V467" s="1">
        <f t="shared" si="152"/>
        <v>0</v>
      </c>
      <c r="W467" s="1">
        <f t="shared" si="153"/>
        <v>0</v>
      </c>
      <c r="X467" s="1">
        <f t="shared" si="154"/>
        <v>0</v>
      </c>
      <c r="Y467" s="1">
        <f t="shared" si="155"/>
        <v>0</v>
      </c>
      <c r="Z467" s="1">
        <f t="shared" si="156"/>
        <v>0</v>
      </c>
      <c r="AA467" s="1">
        <f t="shared" si="157"/>
        <v>1</v>
      </c>
      <c r="AB467" s="1">
        <f t="shared" si="158"/>
        <v>0</v>
      </c>
      <c r="AD467" s="1">
        <f t="shared" si="159"/>
        <v>0</v>
      </c>
      <c r="AE467" s="1">
        <f t="shared" si="160"/>
        <v>1</v>
      </c>
      <c r="AF467" s="1">
        <f t="shared" si="161"/>
        <v>0</v>
      </c>
      <c r="AG467" s="1">
        <f t="shared" si="162"/>
        <v>0</v>
      </c>
      <c r="AH467" s="1">
        <f t="shared" si="163"/>
        <v>0</v>
      </c>
      <c r="AI467" s="1">
        <f t="shared" si="164"/>
        <v>0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1222</v>
      </c>
      <c r="E468" s="32" t="s">
        <v>28</v>
      </c>
      <c r="F468" s="36" t="s">
        <v>1775</v>
      </c>
      <c r="G468" s="36" t="s">
        <v>257</v>
      </c>
      <c r="H468" s="32" t="s">
        <v>352</v>
      </c>
      <c r="I468" s="37" t="s">
        <v>30</v>
      </c>
      <c r="J468" s="31">
        <v>8</v>
      </c>
      <c r="K468" s="33" t="s">
        <v>694</v>
      </c>
      <c r="L468" s="33" t="s">
        <v>704</v>
      </c>
      <c r="M468" s="34" t="s">
        <v>722</v>
      </c>
      <c r="N468" s="34" t="s">
        <v>1696</v>
      </c>
      <c r="O468" s="35">
        <v>1</v>
      </c>
      <c r="P468" s="35"/>
      <c r="Q468" s="32"/>
      <c r="S468" s="1">
        <f t="shared" si="149"/>
        <v>0</v>
      </c>
      <c r="T468" s="1">
        <f t="shared" si="150"/>
        <v>0</v>
      </c>
      <c r="U468" s="1">
        <f t="shared" si="151"/>
        <v>0</v>
      </c>
      <c r="V468" s="1">
        <f t="shared" si="152"/>
        <v>0</v>
      </c>
      <c r="W468" s="1">
        <f t="shared" si="153"/>
        <v>0</v>
      </c>
      <c r="X468" s="1">
        <f t="shared" si="154"/>
        <v>0</v>
      </c>
      <c r="Y468" s="1">
        <f t="shared" si="155"/>
        <v>0</v>
      </c>
      <c r="Z468" s="1">
        <f t="shared" si="156"/>
        <v>1</v>
      </c>
      <c r="AA468" s="1">
        <f t="shared" si="157"/>
        <v>0</v>
      </c>
      <c r="AB468" s="1">
        <f t="shared" si="158"/>
        <v>0</v>
      </c>
      <c r="AD468" s="1">
        <f t="shared" si="159"/>
        <v>0</v>
      </c>
      <c r="AE468" s="1">
        <f t="shared" si="160"/>
        <v>1</v>
      </c>
      <c r="AF468" s="1">
        <f t="shared" si="161"/>
        <v>0</v>
      </c>
      <c r="AG468" s="1">
        <f t="shared" si="162"/>
        <v>0</v>
      </c>
      <c r="AH468" s="1">
        <f t="shared" si="163"/>
        <v>0</v>
      </c>
      <c r="AI468" s="1">
        <f t="shared" si="164"/>
        <v>0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51</v>
      </c>
      <c r="E469" s="32" t="s">
        <v>28</v>
      </c>
      <c r="F469" s="32" t="s">
        <v>666</v>
      </c>
      <c r="G469" s="32" t="s">
        <v>184</v>
      </c>
      <c r="H469" s="32" t="s">
        <v>352</v>
      </c>
      <c r="I469" s="31" t="s">
        <v>388</v>
      </c>
      <c r="J469" s="31">
        <v>99</v>
      </c>
      <c r="K469" s="33" t="s">
        <v>703</v>
      </c>
      <c r="L469" s="33" t="s">
        <v>704</v>
      </c>
      <c r="M469" s="34" t="s">
        <v>722</v>
      </c>
      <c r="N469" s="34" t="s">
        <v>1701</v>
      </c>
      <c r="O469" s="35">
        <v>1</v>
      </c>
      <c r="P469" s="35"/>
      <c r="Q469" s="32"/>
      <c r="S469" s="1">
        <f t="shared" si="149"/>
        <v>0</v>
      </c>
      <c r="T469" s="1">
        <f t="shared" si="150"/>
        <v>0</v>
      </c>
      <c r="U469" s="1">
        <f t="shared" si="151"/>
        <v>0</v>
      </c>
      <c r="V469" s="1">
        <f t="shared" si="152"/>
        <v>0</v>
      </c>
      <c r="W469" s="1">
        <f t="shared" si="153"/>
        <v>0</v>
      </c>
      <c r="X469" s="1">
        <f t="shared" si="154"/>
        <v>0</v>
      </c>
      <c r="Y469" s="1">
        <f t="shared" si="155"/>
        <v>0</v>
      </c>
      <c r="Z469" s="1">
        <f t="shared" si="156"/>
        <v>0</v>
      </c>
      <c r="AA469" s="1">
        <f t="shared" si="157"/>
        <v>0</v>
      </c>
      <c r="AB469" s="1">
        <f t="shared" si="158"/>
        <v>0</v>
      </c>
      <c r="AD469" s="1">
        <f t="shared" si="159"/>
        <v>0</v>
      </c>
      <c r="AE469" s="1">
        <f t="shared" si="160"/>
        <v>1</v>
      </c>
      <c r="AF469" s="1">
        <f t="shared" si="161"/>
        <v>0</v>
      </c>
      <c r="AG469" s="1">
        <f t="shared" si="162"/>
        <v>1</v>
      </c>
      <c r="AH469" s="1">
        <f t="shared" si="163"/>
        <v>0</v>
      </c>
      <c r="AI469" s="1">
        <f t="shared" si="164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1058</v>
      </c>
      <c r="E470" s="32" t="s">
        <v>28</v>
      </c>
      <c r="F470" s="32" t="s">
        <v>975</v>
      </c>
      <c r="G470" s="32" t="s">
        <v>239</v>
      </c>
      <c r="H470" s="32" t="s">
        <v>352</v>
      </c>
      <c r="I470" s="31" t="s">
        <v>1083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1696</v>
      </c>
      <c r="O470" s="35">
        <v>1</v>
      </c>
      <c r="P470" s="35"/>
      <c r="Q470" s="32"/>
      <c r="S470" s="1">
        <f t="shared" ref="S470:S513" si="171">IF(J470=$S$7,1,0)</f>
        <v>1</v>
      </c>
      <c r="T470" s="1">
        <f t="shared" ref="T470:T513" si="172">IF(J470=$T$7,1,0)</f>
        <v>0</v>
      </c>
      <c r="U470" s="1">
        <f t="shared" ref="U470:U513" si="173">IF(J470=$U$7,1,0)</f>
        <v>0</v>
      </c>
      <c r="V470" s="1">
        <f t="shared" ref="V470:V513" si="174">IF(J470=$V$7,1,0)</f>
        <v>0</v>
      </c>
      <c r="W470" s="1">
        <f t="shared" ref="W470:W513" si="175">IF(J470=$W$7,1,0)</f>
        <v>0</v>
      </c>
      <c r="X470" s="1">
        <f t="shared" ref="X470:X513" si="176">IF(J470=$X$7,1,0)</f>
        <v>0</v>
      </c>
      <c r="Y470" s="1">
        <f t="shared" ref="Y470:Y513" si="177">IF(J470=$Y$7,1,0)</f>
        <v>0</v>
      </c>
      <c r="Z470" s="1">
        <f t="shared" ref="Z470:Z513" si="178">IF(J470=$Z$7,1,0)</f>
        <v>0</v>
      </c>
      <c r="AA470" s="1">
        <f t="shared" ref="AA470:AA513" si="179">IF(J470=$AA$7,1,0)</f>
        <v>0</v>
      </c>
      <c r="AB470" s="1">
        <f t="shared" ref="AB470:AB513" si="180">IF(J470=$AB$7,1,0)</f>
        <v>0</v>
      </c>
      <c r="AD470" s="1">
        <f t="shared" ref="AD470:AD513" si="181">+O470*P470</f>
        <v>0</v>
      </c>
      <c r="AE470" s="1">
        <f t="shared" ref="AE470:AE513" si="182">O470*(1-P470)</f>
        <v>1</v>
      </c>
      <c r="AF470" s="1">
        <f t="shared" si="161"/>
        <v>0</v>
      </c>
      <c r="AG470" s="1">
        <f t="shared" si="162"/>
        <v>1</v>
      </c>
      <c r="AH470" s="1">
        <f t="shared" si="163"/>
        <v>0</v>
      </c>
      <c r="AI470" s="1">
        <f t="shared" si="164"/>
        <v>1</v>
      </c>
    </row>
    <row r="471" spans="1:35" s="1" customFormat="1" ht="14.25" customHeight="1" x14ac:dyDescent="0.25">
      <c r="A471" s="31">
        <v>1</v>
      </c>
      <c r="B471" s="31">
        <v>2</v>
      </c>
      <c r="C471" s="31">
        <v>7</v>
      </c>
      <c r="D471" s="32" t="s">
        <v>1058</v>
      </c>
      <c r="E471" s="32" t="s">
        <v>28</v>
      </c>
      <c r="F471" s="32" t="s">
        <v>976</v>
      </c>
      <c r="G471" s="32" t="s">
        <v>1076</v>
      </c>
      <c r="H471" s="32" t="s">
        <v>352</v>
      </c>
      <c r="I471" s="31" t="s">
        <v>1084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1696</v>
      </c>
      <c r="O471" s="35">
        <v>1</v>
      </c>
      <c r="P471" s="35"/>
      <c r="Q471" s="32"/>
      <c r="S471" s="1">
        <f t="shared" si="171"/>
        <v>1</v>
      </c>
      <c r="T471" s="1">
        <f t="shared" si="172"/>
        <v>0</v>
      </c>
      <c r="U471" s="1">
        <f t="shared" si="173"/>
        <v>0</v>
      </c>
      <c r="V471" s="1">
        <f t="shared" si="174"/>
        <v>0</v>
      </c>
      <c r="W471" s="1">
        <f t="shared" si="175"/>
        <v>0</v>
      </c>
      <c r="X471" s="1">
        <f t="shared" si="176"/>
        <v>0</v>
      </c>
      <c r="Y471" s="1">
        <f t="shared" si="177"/>
        <v>0</v>
      </c>
      <c r="Z471" s="1">
        <f t="shared" si="178"/>
        <v>0</v>
      </c>
      <c r="AA471" s="1">
        <f t="shared" si="179"/>
        <v>0</v>
      </c>
      <c r="AB471" s="1">
        <f t="shared" si="180"/>
        <v>0</v>
      </c>
      <c r="AD471" s="1">
        <f t="shared" si="181"/>
        <v>0</v>
      </c>
      <c r="AE471" s="1">
        <f t="shared" si="182"/>
        <v>1</v>
      </c>
      <c r="AF471" s="1">
        <f t="shared" ref="AF471:AF513" si="183">+O471*P471*(1-A471)</f>
        <v>0</v>
      </c>
      <c r="AG471" s="1">
        <f t="shared" ref="AG471:AG513" si="184">O471*(1-P471)*(1-A471)</f>
        <v>0</v>
      </c>
      <c r="AH471" s="1">
        <f t="shared" ref="AH471:AH513" si="185">+P471*(1-A471)</f>
        <v>0</v>
      </c>
      <c r="AI471" s="1">
        <f t="shared" ref="AI471:AI513" si="186">+(1-A471)*(1-P471)</f>
        <v>0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1599</v>
      </c>
      <c r="E472" s="32" t="s">
        <v>155</v>
      </c>
      <c r="F472" s="32" t="s">
        <v>1454</v>
      </c>
      <c r="G472" s="32" t="s">
        <v>1455</v>
      </c>
      <c r="H472" s="32" t="s">
        <v>352</v>
      </c>
      <c r="I472" s="31" t="s">
        <v>1456</v>
      </c>
      <c r="J472" s="31">
        <v>99</v>
      </c>
      <c r="K472" s="33" t="s">
        <v>932</v>
      </c>
      <c r="L472" s="33" t="s">
        <v>713</v>
      </c>
      <c r="M472" s="34" t="s">
        <v>723</v>
      </c>
      <c r="N472" s="34" t="s">
        <v>1700</v>
      </c>
      <c r="O472" s="35">
        <v>1</v>
      </c>
      <c r="P472" s="35"/>
      <c r="Q472" s="32"/>
      <c r="S472" s="1">
        <f t="shared" si="171"/>
        <v>0</v>
      </c>
      <c r="T472" s="1">
        <f t="shared" si="172"/>
        <v>0</v>
      </c>
      <c r="U472" s="1">
        <f t="shared" si="173"/>
        <v>0</v>
      </c>
      <c r="V472" s="1">
        <f t="shared" si="174"/>
        <v>0</v>
      </c>
      <c r="W472" s="1">
        <f t="shared" si="175"/>
        <v>0</v>
      </c>
      <c r="X472" s="1">
        <f t="shared" si="176"/>
        <v>0</v>
      </c>
      <c r="Y472" s="1">
        <f t="shared" si="177"/>
        <v>0</v>
      </c>
      <c r="Z472" s="1">
        <f t="shared" si="178"/>
        <v>0</v>
      </c>
      <c r="AA472" s="1">
        <f t="shared" si="179"/>
        <v>0</v>
      </c>
      <c r="AB472" s="1">
        <f t="shared" si="180"/>
        <v>0</v>
      </c>
      <c r="AD472" s="1">
        <f t="shared" si="181"/>
        <v>0</v>
      </c>
      <c r="AE472" s="1">
        <f t="shared" si="182"/>
        <v>1</v>
      </c>
      <c r="AF472" s="1">
        <f t="shared" si="183"/>
        <v>0</v>
      </c>
      <c r="AG472" s="1">
        <f t="shared" si="184"/>
        <v>1</v>
      </c>
      <c r="AH472" s="1">
        <f t="shared" si="185"/>
        <v>0</v>
      </c>
      <c r="AI472" s="1">
        <f t="shared" si="186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82</v>
      </c>
      <c r="E473" s="32" t="s">
        <v>28</v>
      </c>
      <c r="F473" s="32" t="s">
        <v>273</v>
      </c>
      <c r="G473" s="32" t="s">
        <v>274</v>
      </c>
      <c r="H473" s="32" t="s">
        <v>352</v>
      </c>
      <c r="I473" s="31" t="s">
        <v>427</v>
      </c>
      <c r="J473" s="31">
        <v>7</v>
      </c>
      <c r="K473" s="33" t="s">
        <v>932</v>
      </c>
      <c r="L473" s="33" t="s">
        <v>931</v>
      </c>
      <c r="M473" s="34" t="s">
        <v>945</v>
      </c>
      <c r="N473" s="34" t="s">
        <v>1800</v>
      </c>
      <c r="O473" s="35">
        <v>1</v>
      </c>
      <c r="P473" s="35"/>
      <c r="Q473" s="32"/>
      <c r="S473" s="1">
        <f t="shared" si="171"/>
        <v>0</v>
      </c>
      <c r="T473" s="1">
        <f t="shared" si="172"/>
        <v>0</v>
      </c>
      <c r="U473" s="1">
        <f t="shared" si="173"/>
        <v>0</v>
      </c>
      <c r="V473" s="1">
        <f t="shared" si="174"/>
        <v>0</v>
      </c>
      <c r="W473" s="1">
        <f t="shared" si="175"/>
        <v>0</v>
      </c>
      <c r="X473" s="1">
        <f t="shared" si="176"/>
        <v>0</v>
      </c>
      <c r="Y473" s="1">
        <f t="shared" si="177"/>
        <v>1</v>
      </c>
      <c r="Z473" s="1">
        <f t="shared" si="178"/>
        <v>0</v>
      </c>
      <c r="AA473" s="1">
        <f t="shared" si="179"/>
        <v>0</v>
      </c>
      <c r="AB473" s="1">
        <f t="shared" si="180"/>
        <v>0</v>
      </c>
      <c r="AD473" s="1">
        <f t="shared" si="181"/>
        <v>0</v>
      </c>
      <c r="AE473" s="1">
        <f t="shared" si="182"/>
        <v>1</v>
      </c>
      <c r="AF473" s="1">
        <f t="shared" si="183"/>
        <v>0</v>
      </c>
      <c r="AG473" s="1">
        <f t="shared" si="184"/>
        <v>1</v>
      </c>
      <c r="AH473" s="1">
        <f t="shared" si="185"/>
        <v>0</v>
      </c>
      <c r="AI473" s="1">
        <f t="shared" si="186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76</v>
      </c>
      <c r="E474" s="32" t="s">
        <v>28</v>
      </c>
      <c r="F474" s="32" t="s">
        <v>1641</v>
      </c>
      <c r="G474" s="32" t="s">
        <v>189</v>
      </c>
      <c r="H474" s="32" t="s">
        <v>352</v>
      </c>
      <c r="I474" s="31" t="s">
        <v>421</v>
      </c>
      <c r="J474" s="31">
        <v>99</v>
      </c>
      <c r="K474" s="33" t="s">
        <v>931</v>
      </c>
      <c r="L474" s="33" t="s">
        <v>704</v>
      </c>
      <c r="M474" s="34" t="s">
        <v>722</v>
      </c>
      <c r="N474" s="34" t="s">
        <v>1696</v>
      </c>
      <c r="O474" s="35">
        <v>1</v>
      </c>
      <c r="P474" s="35"/>
      <c r="Q474" s="32"/>
      <c r="S474" s="1">
        <f t="shared" si="171"/>
        <v>0</v>
      </c>
      <c r="T474" s="1">
        <f t="shared" si="172"/>
        <v>0</v>
      </c>
      <c r="U474" s="1">
        <f t="shared" si="173"/>
        <v>0</v>
      </c>
      <c r="V474" s="1">
        <f t="shared" si="174"/>
        <v>0</v>
      </c>
      <c r="W474" s="1">
        <f t="shared" si="175"/>
        <v>0</v>
      </c>
      <c r="X474" s="1">
        <f t="shared" si="176"/>
        <v>0</v>
      </c>
      <c r="Y474" s="1">
        <f t="shared" si="177"/>
        <v>0</v>
      </c>
      <c r="Z474" s="1">
        <f t="shared" si="178"/>
        <v>0</v>
      </c>
      <c r="AA474" s="1">
        <f t="shared" si="179"/>
        <v>0</v>
      </c>
      <c r="AB474" s="1">
        <f t="shared" si="180"/>
        <v>0</v>
      </c>
      <c r="AD474" s="1">
        <f t="shared" si="181"/>
        <v>0</v>
      </c>
      <c r="AE474" s="1">
        <f t="shared" si="182"/>
        <v>1</v>
      </c>
      <c r="AF474" s="1">
        <f t="shared" si="183"/>
        <v>0</v>
      </c>
      <c r="AG474" s="1">
        <f t="shared" si="184"/>
        <v>1</v>
      </c>
      <c r="AH474" s="1">
        <f t="shared" si="185"/>
        <v>0</v>
      </c>
      <c r="AI474" s="1">
        <f t="shared" si="186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6" t="s">
        <v>1977</v>
      </c>
      <c r="E475" s="32" t="s">
        <v>1981</v>
      </c>
      <c r="F475" s="36" t="s">
        <v>1978</v>
      </c>
      <c r="G475" s="36" t="s">
        <v>1979</v>
      </c>
      <c r="H475" s="36" t="s">
        <v>352</v>
      </c>
      <c r="I475" s="37" t="s">
        <v>1980</v>
      </c>
      <c r="J475" s="31">
        <v>99</v>
      </c>
      <c r="K475" s="33" t="s">
        <v>694</v>
      </c>
      <c r="L475" s="33">
        <v>20</v>
      </c>
      <c r="M475" s="34" t="s">
        <v>1983</v>
      </c>
      <c r="N475" s="34" t="s">
        <v>1700</v>
      </c>
      <c r="O475" s="35">
        <v>1</v>
      </c>
      <c r="P475" s="35"/>
      <c r="Q475" s="36" t="s">
        <v>1982</v>
      </c>
      <c r="S475" s="1">
        <f t="shared" si="171"/>
        <v>0</v>
      </c>
      <c r="T475" s="1">
        <f t="shared" si="172"/>
        <v>0</v>
      </c>
      <c r="U475" s="1">
        <f t="shared" si="173"/>
        <v>0</v>
      </c>
      <c r="V475" s="1">
        <f t="shared" si="174"/>
        <v>0</v>
      </c>
      <c r="W475" s="1">
        <f t="shared" si="175"/>
        <v>0</v>
      </c>
      <c r="X475" s="1">
        <f t="shared" si="176"/>
        <v>0</v>
      </c>
      <c r="Y475" s="1">
        <f t="shared" si="177"/>
        <v>0</v>
      </c>
      <c r="Z475" s="1">
        <f t="shared" si="178"/>
        <v>0</v>
      </c>
      <c r="AA475" s="1">
        <f t="shared" si="179"/>
        <v>0</v>
      </c>
      <c r="AB475" s="1">
        <f t="shared" si="180"/>
        <v>0</v>
      </c>
      <c r="AD475" s="1">
        <f t="shared" si="181"/>
        <v>0</v>
      </c>
      <c r="AE475" s="1">
        <f t="shared" si="182"/>
        <v>1</v>
      </c>
      <c r="AF475" s="1">
        <f t="shared" si="183"/>
        <v>0</v>
      </c>
      <c r="AG475" s="1">
        <f t="shared" si="184"/>
        <v>1</v>
      </c>
      <c r="AH475" s="1">
        <f t="shared" si="185"/>
        <v>0</v>
      </c>
      <c r="AI475" s="1">
        <f t="shared" si="186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1601</v>
      </c>
      <c r="E476" s="32" t="s">
        <v>162</v>
      </c>
      <c r="F476" s="32" t="s">
        <v>243</v>
      </c>
      <c r="G476" s="32" t="s">
        <v>217</v>
      </c>
      <c r="H476" s="32" t="s">
        <v>352</v>
      </c>
      <c r="I476" s="31" t="s">
        <v>406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1687</v>
      </c>
      <c r="O476" s="35">
        <v>1</v>
      </c>
      <c r="P476" s="35">
        <v>1</v>
      </c>
      <c r="Q476" s="32"/>
      <c r="S476" s="1">
        <f t="shared" si="171"/>
        <v>0</v>
      </c>
      <c r="T476" s="1">
        <f t="shared" si="172"/>
        <v>0</v>
      </c>
      <c r="U476" s="1">
        <f t="shared" si="173"/>
        <v>0</v>
      </c>
      <c r="V476" s="1">
        <f t="shared" si="174"/>
        <v>0</v>
      </c>
      <c r="W476" s="1">
        <f t="shared" si="175"/>
        <v>0</v>
      </c>
      <c r="X476" s="1">
        <f t="shared" si="176"/>
        <v>0</v>
      </c>
      <c r="Y476" s="1">
        <f t="shared" si="177"/>
        <v>0</v>
      </c>
      <c r="Z476" s="1">
        <f t="shared" si="178"/>
        <v>0</v>
      </c>
      <c r="AA476" s="1">
        <f t="shared" si="179"/>
        <v>0</v>
      </c>
      <c r="AB476" s="1">
        <f t="shared" si="180"/>
        <v>0</v>
      </c>
      <c r="AD476" s="1">
        <f t="shared" si="181"/>
        <v>1</v>
      </c>
      <c r="AE476" s="1">
        <f t="shared" si="182"/>
        <v>0</v>
      </c>
      <c r="AF476" s="1">
        <f t="shared" si="183"/>
        <v>1</v>
      </c>
      <c r="AG476" s="1">
        <f t="shared" si="184"/>
        <v>0</v>
      </c>
      <c r="AH476" s="1">
        <f t="shared" si="185"/>
        <v>1</v>
      </c>
      <c r="AI476" s="1">
        <f t="shared" si="186"/>
        <v>0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1499</v>
      </c>
      <c r="E477" s="32" t="s">
        <v>155</v>
      </c>
      <c r="F477" s="32" t="s">
        <v>1500</v>
      </c>
      <c r="G477" s="32" t="s">
        <v>39</v>
      </c>
      <c r="H477" s="32" t="s">
        <v>352</v>
      </c>
      <c r="I477" s="31" t="s">
        <v>1501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1700</v>
      </c>
      <c r="O477" s="35">
        <v>1</v>
      </c>
      <c r="P477" s="35"/>
      <c r="Q477" s="32"/>
      <c r="S477" s="1">
        <f t="shared" si="171"/>
        <v>0</v>
      </c>
      <c r="T477" s="1">
        <f t="shared" si="172"/>
        <v>0</v>
      </c>
      <c r="U477" s="1">
        <f t="shared" si="173"/>
        <v>0</v>
      </c>
      <c r="V477" s="1">
        <f t="shared" si="174"/>
        <v>0</v>
      </c>
      <c r="W477" s="1">
        <f t="shared" si="175"/>
        <v>0</v>
      </c>
      <c r="X477" s="1">
        <f t="shared" si="176"/>
        <v>0</v>
      </c>
      <c r="Y477" s="1">
        <f t="shared" si="177"/>
        <v>0</v>
      </c>
      <c r="Z477" s="1">
        <f t="shared" si="178"/>
        <v>0</v>
      </c>
      <c r="AA477" s="1">
        <f t="shared" si="179"/>
        <v>0</v>
      </c>
      <c r="AB477" s="1">
        <f t="shared" si="180"/>
        <v>0</v>
      </c>
      <c r="AD477" s="1">
        <f t="shared" si="181"/>
        <v>0</v>
      </c>
      <c r="AE477" s="1">
        <f t="shared" si="182"/>
        <v>1</v>
      </c>
      <c r="AF477" s="1">
        <f t="shared" si="183"/>
        <v>0</v>
      </c>
      <c r="AG477" s="1">
        <f t="shared" si="184"/>
        <v>1</v>
      </c>
      <c r="AH477" s="1">
        <f t="shared" si="185"/>
        <v>0</v>
      </c>
      <c r="AI477" s="1">
        <f t="shared" si="186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951</v>
      </c>
      <c r="G478" s="32" t="s">
        <v>1078</v>
      </c>
      <c r="H478" s="32" t="s">
        <v>352</v>
      </c>
      <c r="I478" s="31" t="s">
        <v>1085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1696</v>
      </c>
      <c r="O478" s="35">
        <v>1</v>
      </c>
      <c r="P478" s="35"/>
      <c r="Q478" s="32"/>
      <c r="S478" s="1">
        <f t="shared" si="171"/>
        <v>0</v>
      </c>
      <c r="T478" s="1">
        <f t="shared" si="172"/>
        <v>0</v>
      </c>
      <c r="U478" s="1">
        <f t="shared" si="173"/>
        <v>0</v>
      </c>
      <c r="V478" s="1">
        <f t="shared" si="174"/>
        <v>0</v>
      </c>
      <c r="W478" s="1">
        <f t="shared" si="175"/>
        <v>0</v>
      </c>
      <c r="X478" s="1">
        <f t="shared" si="176"/>
        <v>0</v>
      </c>
      <c r="Y478" s="1">
        <f t="shared" si="177"/>
        <v>0</v>
      </c>
      <c r="Z478" s="1">
        <f t="shared" si="178"/>
        <v>0</v>
      </c>
      <c r="AA478" s="1">
        <f t="shared" si="179"/>
        <v>0</v>
      </c>
      <c r="AB478" s="1">
        <f t="shared" si="180"/>
        <v>0</v>
      </c>
      <c r="AD478" s="1">
        <f t="shared" si="181"/>
        <v>0</v>
      </c>
      <c r="AE478" s="1">
        <f t="shared" si="182"/>
        <v>1</v>
      </c>
      <c r="AF478" s="1">
        <f t="shared" si="183"/>
        <v>0</v>
      </c>
      <c r="AG478" s="1">
        <f t="shared" si="184"/>
        <v>1</v>
      </c>
      <c r="AH478" s="1">
        <f t="shared" si="185"/>
        <v>0</v>
      </c>
      <c r="AI478" s="1">
        <f t="shared" si="186"/>
        <v>1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244</v>
      </c>
      <c r="G479" s="32" t="s">
        <v>223</v>
      </c>
      <c r="H479" s="32" t="s">
        <v>352</v>
      </c>
      <c r="I479" s="31" t="s">
        <v>407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1696</v>
      </c>
      <c r="O479" s="35">
        <v>1</v>
      </c>
      <c r="P479" s="35"/>
      <c r="Q479" s="32"/>
      <c r="S479" s="1">
        <f t="shared" si="171"/>
        <v>0</v>
      </c>
      <c r="T479" s="1">
        <f t="shared" si="172"/>
        <v>0</v>
      </c>
      <c r="U479" s="1">
        <f t="shared" si="173"/>
        <v>0</v>
      </c>
      <c r="V479" s="1">
        <f t="shared" si="174"/>
        <v>0</v>
      </c>
      <c r="W479" s="1">
        <f t="shared" si="175"/>
        <v>0</v>
      </c>
      <c r="X479" s="1">
        <f t="shared" si="176"/>
        <v>0</v>
      </c>
      <c r="Y479" s="1">
        <f t="shared" si="177"/>
        <v>0</v>
      </c>
      <c r="Z479" s="1">
        <f t="shared" si="178"/>
        <v>0</v>
      </c>
      <c r="AA479" s="1">
        <f t="shared" si="179"/>
        <v>0</v>
      </c>
      <c r="AB479" s="1">
        <f t="shared" si="180"/>
        <v>0</v>
      </c>
      <c r="AD479" s="1">
        <f t="shared" si="181"/>
        <v>0</v>
      </c>
      <c r="AE479" s="1">
        <f t="shared" si="182"/>
        <v>1</v>
      </c>
      <c r="AF479" s="1">
        <f t="shared" si="183"/>
        <v>0</v>
      </c>
      <c r="AG479" s="1">
        <f t="shared" si="184"/>
        <v>0</v>
      </c>
      <c r="AH479" s="1">
        <f t="shared" si="185"/>
        <v>0</v>
      </c>
      <c r="AI479" s="1">
        <f t="shared" si="186"/>
        <v>0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245</v>
      </c>
      <c r="G480" s="32" t="s">
        <v>219</v>
      </c>
      <c r="H480" s="32" t="s">
        <v>352</v>
      </c>
      <c r="I480" s="31" t="s">
        <v>408</v>
      </c>
      <c r="J480" s="31">
        <v>8</v>
      </c>
      <c r="K480" s="33" t="s">
        <v>704</v>
      </c>
      <c r="L480" s="33" t="s">
        <v>704</v>
      </c>
      <c r="M480" s="34" t="s">
        <v>722</v>
      </c>
      <c r="N480" s="34" t="s">
        <v>1696</v>
      </c>
      <c r="O480" s="35">
        <v>1</v>
      </c>
      <c r="P480" s="35"/>
      <c r="Q480" s="32" t="s">
        <v>1960</v>
      </c>
      <c r="S480" s="1">
        <f t="shared" si="171"/>
        <v>0</v>
      </c>
      <c r="T480" s="1">
        <f t="shared" si="172"/>
        <v>0</v>
      </c>
      <c r="U480" s="1">
        <f t="shared" si="173"/>
        <v>0</v>
      </c>
      <c r="V480" s="1">
        <f t="shared" si="174"/>
        <v>0</v>
      </c>
      <c r="W480" s="1">
        <f t="shared" si="175"/>
        <v>0</v>
      </c>
      <c r="X480" s="1">
        <f t="shared" si="176"/>
        <v>0</v>
      </c>
      <c r="Y480" s="1">
        <f t="shared" si="177"/>
        <v>0</v>
      </c>
      <c r="Z480" s="1">
        <f t="shared" si="178"/>
        <v>1</v>
      </c>
      <c r="AA480" s="1">
        <f t="shared" si="179"/>
        <v>0</v>
      </c>
      <c r="AB480" s="1">
        <f t="shared" si="180"/>
        <v>0</v>
      </c>
      <c r="AD480" s="1">
        <f t="shared" si="181"/>
        <v>0</v>
      </c>
      <c r="AE480" s="1">
        <f t="shared" si="182"/>
        <v>1</v>
      </c>
      <c r="AF480" s="1">
        <f t="shared" si="183"/>
        <v>0</v>
      </c>
      <c r="AG480" s="1">
        <f t="shared" si="184"/>
        <v>0</v>
      </c>
      <c r="AH480" s="1">
        <f t="shared" si="185"/>
        <v>0</v>
      </c>
      <c r="AI480" s="1">
        <f t="shared" si="186"/>
        <v>0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1011</v>
      </c>
      <c r="G481" s="32" t="s">
        <v>39</v>
      </c>
      <c r="H481" s="32" t="s">
        <v>352</v>
      </c>
      <c r="I481" s="31" t="s">
        <v>1012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1696</v>
      </c>
      <c r="O481" s="35">
        <v>1</v>
      </c>
      <c r="P481" s="35"/>
      <c r="Q481" s="32"/>
      <c r="S481" s="1">
        <f t="shared" si="171"/>
        <v>1</v>
      </c>
      <c r="T481" s="1">
        <f t="shared" si="172"/>
        <v>0</v>
      </c>
      <c r="U481" s="1">
        <f t="shared" si="173"/>
        <v>0</v>
      </c>
      <c r="V481" s="1">
        <f t="shared" si="174"/>
        <v>0</v>
      </c>
      <c r="W481" s="1">
        <f t="shared" si="175"/>
        <v>0</v>
      </c>
      <c r="X481" s="1">
        <f t="shared" si="176"/>
        <v>0</v>
      </c>
      <c r="Y481" s="1">
        <f t="shared" si="177"/>
        <v>0</v>
      </c>
      <c r="Z481" s="1">
        <f t="shared" si="178"/>
        <v>0</v>
      </c>
      <c r="AA481" s="1">
        <f t="shared" si="179"/>
        <v>0</v>
      </c>
      <c r="AB481" s="1">
        <f t="shared" si="180"/>
        <v>0</v>
      </c>
      <c r="AD481" s="1">
        <f t="shared" si="181"/>
        <v>0</v>
      </c>
      <c r="AE481" s="1">
        <f t="shared" si="182"/>
        <v>1</v>
      </c>
      <c r="AF481" s="1">
        <f t="shared" si="183"/>
        <v>0</v>
      </c>
      <c r="AG481" s="1">
        <f t="shared" si="184"/>
        <v>0</v>
      </c>
      <c r="AH481" s="1">
        <f t="shared" si="185"/>
        <v>0</v>
      </c>
      <c r="AI481" s="1">
        <f t="shared" si="186"/>
        <v>0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1013</v>
      </c>
      <c r="G482" s="32" t="s">
        <v>300</v>
      </c>
      <c r="H482" s="32" t="s">
        <v>352</v>
      </c>
      <c r="I482" s="31" t="s">
        <v>1014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1696</v>
      </c>
      <c r="O482" s="35">
        <v>1</v>
      </c>
      <c r="P482" s="35"/>
      <c r="Q482" s="32"/>
      <c r="S482" s="1">
        <f t="shared" si="171"/>
        <v>1</v>
      </c>
      <c r="T482" s="1">
        <f t="shared" si="172"/>
        <v>0</v>
      </c>
      <c r="U482" s="1">
        <f t="shared" si="173"/>
        <v>0</v>
      </c>
      <c r="V482" s="1">
        <f t="shared" si="174"/>
        <v>0</v>
      </c>
      <c r="W482" s="1">
        <f t="shared" si="175"/>
        <v>0</v>
      </c>
      <c r="X482" s="1">
        <f t="shared" si="176"/>
        <v>0</v>
      </c>
      <c r="Y482" s="1">
        <f t="shared" si="177"/>
        <v>0</v>
      </c>
      <c r="Z482" s="1">
        <f t="shared" si="178"/>
        <v>0</v>
      </c>
      <c r="AA482" s="1">
        <f t="shared" si="179"/>
        <v>0</v>
      </c>
      <c r="AB482" s="1">
        <f t="shared" si="180"/>
        <v>0</v>
      </c>
      <c r="AD482" s="1">
        <f t="shared" si="181"/>
        <v>0</v>
      </c>
      <c r="AE482" s="1">
        <f t="shared" si="182"/>
        <v>1</v>
      </c>
      <c r="AF482" s="1">
        <f t="shared" si="183"/>
        <v>0</v>
      </c>
      <c r="AG482" s="1">
        <f t="shared" si="184"/>
        <v>0</v>
      </c>
      <c r="AH482" s="1">
        <f t="shared" si="185"/>
        <v>0</v>
      </c>
      <c r="AI482" s="1">
        <f t="shared" si="186"/>
        <v>0</v>
      </c>
    </row>
    <row r="483" spans="1:35" s="1" customFormat="1" ht="14.25" customHeight="1" x14ac:dyDescent="0.25">
      <c r="A483" s="44">
        <v>0</v>
      </c>
      <c r="B483" s="44">
        <v>2</v>
      </c>
      <c r="C483" s="44">
        <v>7</v>
      </c>
      <c r="D483" s="57" t="s">
        <v>1534</v>
      </c>
      <c r="E483" s="57" t="s">
        <v>155</v>
      </c>
      <c r="F483" s="57" t="s">
        <v>1535</v>
      </c>
      <c r="G483" s="45" t="s">
        <v>206</v>
      </c>
      <c r="H483" s="57" t="s">
        <v>352</v>
      </c>
      <c r="I483" s="67" t="s">
        <v>1536</v>
      </c>
      <c r="J483" s="44">
        <v>99</v>
      </c>
      <c r="K483" s="46" t="s">
        <v>703</v>
      </c>
      <c r="L483" s="46" t="s">
        <v>713</v>
      </c>
      <c r="M483" s="47" t="s">
        <v>723</v>
      </c>
      <c r="N483" s="47" t="s">
        <v>2147</v>
      </c>
      <c r="O483" s="48"/>
      <c r="P483" s="48"/>
      <c r="Q483" s="45"/>
      <c r="S483" s="1">
        <f t="shared" si="171"/>
        <v>0</v>
      </c>
      <c r="T483" s="1">
        <f t="shared" si="172"/>
        <v>0</v>
      </c>
      <c r="U483" s="1">
        <f t="shared" si="173"/>
        <v>0</v>
      </c>
      <c r="V483" s="1">
        <f t="shared" si="174"/>
        <v>0</v>
      </c>
      <c r="W483" s="1">
        <f t="shared" si="175"/>
        <v>0</v>
      </c>
      <c r="X483" s="1">
        <f t="shared" si="176"/>
        <v>0</v>
      </c>
      <c r="Y483" s="1">
        <f t="shared" si="177"/>
        <v>0</v>
      </c>
      <c r="Z483" s="1">
        <f t="shared" si="178"/>
        <v>0</v>
      </c>
      <c r="AA483" s="1">
        <f t="shared" si="179"/>
        <v>0</v>
      </c>
      <c r="AB483" s="1">
        <f t="shared" si="180"/>
        <v>0</v>
      </c>
      <c r="AD483" s="1">
        <f t="shared" si="181"/>
        <v>0</v>
      </c>
      <c r="AE483" s="1">
        <f t="shared" si="182"/>
        <v>0</v>
      </c>
      <c r="AF483" s="1">
        <f t="shared" si="183"/>
        <v>0</v>
      </c>
      <c r="AG483" s="1">
        <f t="shared" si="184"/>
        <v>0</v>
      </c>
      <c r="AH483" s="1">
        <f t="shared" si="185"/>
        <v>0</v>
      </c>
      <c r="AI483" s="1">
        <f t="shared" si="186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73</v>
      </c>
      <c r="E484" s="32" t="s">
        <v>28</v>
      </c>
      <c r="F484" s="32" t="s">
        <v>263</v>
      </c>
      <c r="G484" s="32" t="s">
        <v>193</v>
      </c>
      <c r="H484" s="32" t="s">
        <v>352</v>
      </c>
      <c r="I484" s="31" t="s">
        <v>419</v>
      </c>
      <c r="J484" s="31">
        <v>9</v>
      </c>
      <c r="K484" s="33" t="s">
        <v>703</v>
      </c>
      <c r="L484" s="33" t="s">
        <v>704</v>
      </c>
      <c r="M484" s="34" t="s">
        <v>722</v>
      </c>
      <c r="N484" s="34" t="s">
        <v>1696</v>
      </c>
      <c r="O484" s="35">
        <v>1</v>
      </c>
      <c r="P484" s="35"/>
      <c r="Q484" s="32"/>
      <c r="S484" s="1">
        <f t="shared" si="171"/>
        <v>0</v>
      </c>
      <c r="T484" s="1">
        <f t="shared" si="172"/>
        <v>0</v>
      </c>
      <c r="U484" s="1">
        <f t="shared" si="173"/>
        <v>0</v>
      </c>
      <c r="V484" s="1">
        <f t="shared" si="174"/>
        <v>0</v>
      </c>
      <c r="W484" s="1">
        <f t="shared" si="175"/>
        <v>0</v>
      </c>
      <c r="X484" s="1">
        <f t="shared" si="176"/>
        <v>0</v>
      </c>
      <c r="Y484" s="1">
        <f t="shared" si="177"/>
        <v>0</v>
      </c>
      <c r="Z484" s="1">
        <f t="shared" si="178"/>
        <v>0</v>
      </c>
      <c r="AA484" s="1">
        <f t="shared" si="179"/>
        <v>1</v>
      </c>
      <c r="AB484" s="1">
        <f t="shared" si="180"/>
        <v>0</v>
      </c>
      <c r="AD484" s="1">
        <f t="shared" si="181"/>
        <v>0</v>
      </c>
      <c r="AE484" s="1">
        <f t="shared" si="182"/>
        <v>1</v>
      </c>
      <c r="AF484" s="1">
        <f t="shared" si="183"/>
        <v>0</v>
      </c>
      <c r="AG484" s="1">
        <f t="shared" si="184"/>
        <v>1</v>
      </c>
      <c r="AH484" s="1">
        <f t="shared" si="185"/>
        <v>0</v>
      </c>
      <c r="AI484" s="1">
        <f t="shared" si="186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59</v>
      </c>
      <c r="E485" s="32" t="s">
        <v>162</v>
      </c>
      <c r="F485" s="32" t="s">
        <v>224</v>
      </c>
      <c r="G485" s="32" t="s">
        <v>225</v>
      </c>
      <c r="H485" s="32" t="s">
        <v>352</v>
      </c>
      <c r="I485" s="31" t="s">
        <v>396</v>
      </c>
      <c r="J485" s="31">
        <v>99</v>
      </c>
      <c r="K485" s="33" t="s">
        <v>704</v>
      </c>
      <c r="L485" s="33" t="s">
        <v>713</v>
      </c>
      <c r="M485" s="34" t="s">
        <v>723</v>
      </c>
      <c r="N485" s="34" t="s">
        <v>1702</v>
      </c>
      <c r="O485" s="35">
        <v>1</v>
      </c>
      <c r="P485" s="35"/>
      <c r="Q485" s="32"/>
      <c r="S485" s="1">
        <f t="shared" si="171"/>
        <v>0</v>
      </c>
      <c r="T485" s="1">
        <f t="shared" si="172"/>
        <v>0</v>
      </c>
      <c r="U485" s="1">
        <f t="shared" si="173"/>
        <v>0</v>
      </c>
      <c r="V485" s="1">
        <f t="shared" si="174"/>
        <v>0</v>
      </c>
      <c r="W485" s="1">
        <f t="shared" si="175"/>
        <v>0</v>
      </c>
      <c r="X485" s="1">
        <f t="shared" si="176"/>
        <v>0</v>
      </c>
      <c r="Y485" s="1">
        <f t="shared" si="177"/>
        <v>0</v>
      </c>
      <c r="Z485" s="1">
        <f t="shared" si="178"/>
        <v>0</v>
      </c>
      <c r="AA485" s="1">
        <f t="shared" si="179"/>
        <v>0</v>
      </c>
      <c r="AB485" s="1">
        <f t="shared" si="180"/>
        <v>0</v>
      </c>
      <c r="AD485" s="1">
        <f t="shared" si="181"/>
        <v>0</v>
      </c>
      <c r="AE485" s="1">
        <f t="shared" si="182"/>
        <v>1</v>
      </c>
      <c r="AF485" s="1">
        <f t="shared" si="183"/>
        <v>0</v>
      </c>
      <c r="AG485" s="1">
        <f t="shared" si="184"/>
        <v>1</v>
      </c>
      <c r="AH485" s="1">
        <f t="shared" si="185"/>
        <v>0</v>
      </c>
      <c r="AI485" s="1">
        <f t="shared" si="186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1052</v>
      </c>
      <c r="E486" s="32" t="s">
        <v>155</v>
      </c>
      <c r="F486" s="32" t="s">
        <v>1053</v>
      </c>
      <c r="G486" s="32" t="s">
        <v>219</v>
      </c>
      <c r="H486" s="32" t="s">
        <v>352</v>
      </c>
      <c r="I486" s="31" t="s">
        <v>1054</v>
      </c>
      <c r="J486" s="31">
        <v>8</v>
      </c>
      <c r="K486" s="33" t="s">
        <v>703</v>
      </c>
      <c r="L486" s="33" t="s">
        <v>713</v>
      </c>
      <c r="M486" s="34" t="s">
        <v>723</v>
      </c>
      <c r="N486" s="34" t="s">
        <v>1700</v>
      </c>
      <c r="O486" s="35">
        <v>1</v>
      </c>
      <c r="P486" s="35"/>
      <c r="Q486" s="32"/>
      <c r="S486" s="1">
        <f t="shared" si="171"/>
        <v>0</v>
      </c>
      <c r="T486" s="1">
        <f t="shared" si="172"/>
        <v>0</v>
      </c>
      <c r="U486" s="1">
        <f t="shared" si="173"/>
        <v>0</v>
      </c>
      <c r="V486" s="1">
        <f t="shared" si="174"/>
        <v>0</v>
      </c>
      <c r="W486" s="1">
        <f t="shared" si="175"/>
        <v>0</v>
      </c>
      <c r="X486" s="1">
        <f t="shared" si="176"/>
        <v>0</v>
      </c>
      <c r="Y486" s="1">
        <f t="shared" si="177"/>
        <v>0</v>
      </c>
      <c r="Z486" s="1">
        <f t="shared" si="178"/>
        <v>1</v>
      </c>
      <c r="AA486" s="1">
        <f t="shared" si="179"/>
        <v>0</v>
      </c>
      <c r="AB486" s="1">
        <f t="shared" si="180"/>
        <v>0</v>
      </c>
      <c r="AD486" s="1">
        <f t="shared" si="181"/>
        <v>0</v>
      </c>
      <c r="AE486" s="1">
        <f t="shared" si="182"/>
        <v>1</v>
      </c>
      <c r="AF486" s="1">
        <f t="shared" si="183"/>
        <v>0</v>
      </c>
      <c r="AG486" s="1">
        <f t="shared" si="184"/>
        <v>1</v>
      </c>
      <c r="AH486" s="1">
        <f t="shared" si="185"/>
        <v>0</v>
      </c>
      <c r="AI486" s="1">
        <f t="shared" si="186"/>
        <v>1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81</v>
      </c>
      <c r="E487" s="32" t="s">
        <v>155</v>
      </c>
      <c r="F487" s="32" t="s">
        <v>272</v>
      </c>
      <c r="G487" s="32" t="s">
        <v>253</v>
      </c>
      <c r="H487" s="32" t="s">
        <v>352</v>
      </c>
      <c r="I487" s="31" t="s">
        <v>426</v>
      </c>
      <c r="J487" s="31">
        <v>99</v>
      </c>
      <c r="K487" s="33" t="s">
        <v>704</v>
      </c>
      <c r="L487" s="33" t="s">
        <v>724</v>
      </c>
      <c r="M487" s="34" t="s">
        <v>725</v>
      </c>
      <c r="N487" s="34" t="s">
        <v>1708</v>
      </c>
      <c r="O487" s="35">
        <v>1</v>
      </c>
      <c r="P487" s="35"/>
      <c r="Q487" s="32"/>
      <c r="S487" s="1">
        <f t="shared" si="171"/>
        <v>0</v>
      </c>
      <c r="T487" s="1">
        <f t="shared" si="172"/>
        <v>0</v>
      </c>
      <c r="U487" s="1">
        <f t="shared" si="173"/>
        <v>0</v>
      </c>
      <c r="V487" s="1">
        <f t="shared" si="174"/>
        <v>0</v>
      </c>
      <c r="W487" s="1">
        <f t="shared" si="175"/>
        <v>0</v>
      </c>
      <c r="X487" s="1">
        <f t="shared" si="176"/>
        <v>0</v>
      </c>
      <c r="Y487" s="1">
        <f t="shared" si="177"/>
        <v>0</v>
      </c>
      <c r="Z487" s="1">
        <f t="shared" si="178"/>
        <v>0</v>
      </c>
      <c r="AA487" s="1">
        <f t="shared" si="179"/>
        <v>0</v>
      </c>
      <c r="AB487" s="1">
        <f t="shared" si="180"/>
        <v>0</v>
      </c>
      <c r="AD487" s="1">
        <f t="shared" si="181"/>
        <v>0</v>
      </c>
      <c r="AE487" s="1">
        <f t="shared" si="182"/>
        <v>1</v>
      </c>
      <c r="AF487" s="1">
        <f t="shared" si="183"/>
        <v>0</v>
      </c>
      <c r="AG487" s="1">
        <f t="shared" si="184"/>
        <v>1</v>
      </c>
      <c r="AH487" s="1">
        <f t="shared" si="185"/>
        <v>0</v>
      </c>
      <c r="AI487" s="1">
        <f t="shared" si="186"/>
        <v>1</v>
      </c>
    </row>
    <row r="488" spans="1:35" s="1" customFormat="1" ht="14.25" customHeight="1" x14ac:dyDescent="0.25">
      <c r="A488" s="37">
        <v>0</v>
      </c>
      <c r="B488" s="37">
        <v>2</v>
      </c>
      <c r="C488" s="37">
        <v>7</v>
      </c>
      <c r="D488" s="36" t="s">
        <v>1727</v>
      </c>
      <c r="E488" s="36" t="s">
        <v>1728</v>
      </c>
      <c r="F488" s="36" t="s">
        <v>1729</v>
      </c>
      <c r="G488" s="36" t="s">
        <v>189</v>
      </c>
      <c r="H488" s="36" t="s">
        <v>352</v>
      </c>
      <c r="I488" s="37"/>
      <c r="J488" s="37"/>
      <c r="K488" s="33" t="s">
        <v>694</v>
      </c>
      <c r="L488" s="33"/>
      <c r="M488" s="34"/>
      <c r="N488" s="34" t="s">
        <v>1687</v>
      </c>
      <c r="O488" s="35">
        <v>1</v>
      </c>
      <c r="P488" s="35">
        <v>1</v>
      </c>
      <c r="Q488" s="36"/>
      <c r="S488" s="1">
        <f t="shared" si="171"/>
        <v>0</v>
      </c>
      <c r="T488" s="1">
        <f t="shared" si="172"/>
        <v>0</v>
      </c>
      <c r="U488" s="1">
        <f t="shared" si="173"/>
        <v>0</v>
      </c>
      <c r="V488" s="1">
        <f t="shared" si="174"/>
        <v>0</v>
      </c>
      <c r="W488" s="1">
        <f t="shared" si="175"/>
        <v>0</v>
      </c>
      <c r="X488" s="1">
        <f t="shared" si="176"/>
        <v>0</v>
      </c>
      <c r="Y488" s="1">
        <f t="shared" si="177"/>
        <v>0</v>
      </c>
      <c r="Z488" s="1">
        <f t="shared" si="178"/>
        <v>0</v>
      </c>
      <c r="AA488" s="1">
        <f t="shared" si="179"/>
        <v>0</v>
      </c>
      <c r="AB488" s="1">
        <f t="shared" si="180"/>
        <v>0</v>
      </c>
      <c r="AD488" s="1">
        <f t="shared" si="181"/>
        <v>1</v>
      </c>
      <c r="AE488" s="1">
        <f t="shared" si="182"/>
        <v>0</v>
      </c>
      <c r="AF488" s="1">
        <f t="shared" si="183"/>
        <v>1</v>
      </c>
      <c r="AG488" s="1">
        <f t="shared" si="184"/>
        <v>0</v>
      </c>
      <c r="AH488" s="1">
        <f t="shared" si="185"/>
        <v>1</v>
      </c>
      <c r="AI488" s="1">
        <f t="shared" si="186"/>
        <v>0</v>
      </c>
    </row>
    <row r="489" spans="1:35" s="1" customFormat="1" ht="14.25" customHeight="1" x14ac:dyDescent="0.25">
      <c r="A489" s="37">
        <v>0</v>
      </c>
      <c r="B489" s="37">
        <v>2</v>
      </c>
      <c r="C489" s="37">
        <v>7</v>
      </c>
      <c r="D489" s="36" t="s">
        <v>510</v>
      </c>
      <c r="E489" s="36" t="s">
        <v>155</v>
      </c>
      <c r="F489" s="36" t="s">
        <v>567</v>
      </c>
      <c r="G489" s="36" t="s">
        <v>319</v>
      </c>
      <c r="H489" s="36" t="s">
        <v>352</v>
      </c>
      <c r="I489" s="37" t="s">
        <v>573</v>
      </c>
      <c r="J489" s="37">
        <v>99</v>
      </c>
      <c r="K489" s="33" t="s">
        <v>931</v>
      </c>
      <c r="L489" s="33" t="s">
        <v>713</v>
      </c>
      <c r="M489" s="34" t="s">
        <v>723</v>
      </c>
      <c r="N489" s="34" t="s">
        <v>1713</v>
      </c>
      <c r="O489" s="35">
        <v>1</v>
      </c>
      <c r="P489" s="35"/>
      <c r="Q489" s="36"/>
      <c r="S489" s="1">
        <f t="shared" si="171"/>
        <v>0</v>
      </c>
      <c r="T489" s="1">
        <f t="shared" si="172"/>
        <v>0</v>
      </c>
      <c r="U489" s="1">
        <f t="shared" si="173"/>
        <v>0</v>
      </c>
      <c r="V489" s="1">
        <f t="shared" si="174"/>
        <v>0</v>
      </c>
      <c r="W489" s="1">
        <f t="shared" si="175"/>
        <v>0</v>
      </c>
      <c r="X489" s="1">
        <f t="shared" si="176"/>
        <v>0</v>
      </c>
      <c r="Y489" s="1">
        <f t="shared" si="177"/>
        <v>0</v>
      </c>
      <c r="Z489" s="1">
        <f t="shared" si="178"/>
        <v>0</v>
      </c>
      <c r="AA489" s="1">
        <f t="shared" si="179"/>
        <v>0</v>
      </c>
      <c r="AB489" s="1">
        <f t="shared" si="180"/>
        <v>0</v>
      </c>
      <c r="AD489" s="1">
        <f t="shared" si="181"/>
        <v>0</v>
      </c>
      <c r="AE489" s="1">
        <f t="shared" si="182"/>
        <v>1</v>
      </c>
      <c r="AF489" s="1">
        <f t="shared" si="183"/>
        <v>0</v>
      </c>
      <c r="AG489" s="1">
        <f t="shared" si="184"/>
        <v>1</v>
      </c>
      <c r="AH489" s="1">
        <f t="shared" si="185"/>
        <v>0</v>
      </c>
      <c r="AI489" s="1">
        <f t="shared" si="186"/>
        <v>1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74</v>
      </c>
      <c r="E490" s="32" t="s">
        <v>155</v>
      </c>
      <c r="F490" s="32" t="s">
        <v>667</v>
      </c>
      <c r="G490" s="32" t="s">
        <v>264</v>
      </c>
      <c r="H490" s="32" t="s">
        <v>352</v>
      </c>
      <c r="I490" s="31" t="s">
        <v>420</v>
      </c>
      <c r="J490" s="31">
        <v>99</v>
      </c>
      <c r="K490" s="33" t="s">
        <v>703</v>
      </c>
      <c r="L490" s="33" t="s">
        <v>720</v>
      </c>
      <c r="M490" s="34" t="s">
        <v>723</v>
      </c>
      <c r="N490" s="34" t="s">
        <v>1696</v>
      </c>
      <c r="O490" s="35">
        <v>1</v>
      </c>
      <c r="P490" s="35"/>
      <c r="Q490" s="32"/>
      <c r="S490" s="1">
        <f t="shared" si="171"/>
        <v>0</v>
      </c>
      <c r="T490" s="1">
        <f t="shared" si="172"/>
        <v>0</v>
      </c>
      <c r="U490" s="1">
        <f t="shared" si="173"/>
        <v>0</v>
      </c>
      <c r="V490" s="1">
        <f t="shared" si="174"/>
        <v>0</v>
      </c>
      <c r="W490" s="1">
        <f t="shared" si="175"/>
        <v>0</v>
      </c>
      <c r="X490" s="1">
        <f t="shared" si="176"/>
        <v>0</v>
      </c>
      <c r="Y490" s="1">
        <f t="shared" si="177"/>
        <v>0</v>
      </c>
      <c r="Z490" s="1">
        <f t="shared" si="178"/>
        <v>0</v>
      </c>
      <c r="AA490" s="1">
        <f t="shared" si="179"/>
        <v>0</v>
      </c>
      <c r="AB490" s="1">
        <f t="shared" si="180"/>
        <v>0</v>
      </c>
      <c r="AD490" s="1">
        <f t="shared" si="181"/>
        <v>0</v>
      </c>
      <c r="AE490" s="1">
        <f t="shared" si="182"/>
        <v>1</v>
      </c>
      <c r="AF490" s="1">
        <f t="shared" si="183"/>
        <v>0</v>
      </c>
      <c r="AG490" s="1">
        <f t="shared" si="184"/>
        <v>1</v>
      </c>
      <c r="AH490" s="1">
        <f t="shared" si="185"/>
        <v>0</v>
      </c>
      <c r="AI490" s="1">
        <f t="shared" si="186"/>
        <v>1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1809</v>
      </c>
      <c r="E491" s="32" t="s">
        <v>155</v>
      </c>
      <c r="F491" s="32" t="s">
        <v>1810</v>
      </c>
      <c r="G491" s="32" t="s">
        <v>281</v>
      </c>
      <c r="H491" s="32" t="s">
        <v>352</v>
      </c>
      <c r="I491" s="31" t="s">
        <v>1811</v>
      </c>
      <c r="J491" s="31">
        <v>99</v>
      </c>
      <c r="K491" s="33" t="s">
        <v>694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71"/>
        <v>0</v>
      </c>
      <c r="T491" s="1">
        <f t="shared" si="172"/>
        <v>0</v>
      </c>
      <c r="U491" s="1">
        <f t="shared" si="173"/>
        <v>0</v>
      </c>
      <c r="V491" s="1">
        <f t="shared" si="174"/>
        <v>0</v>
      </c>
      <c r="W491" s="1">
        <f t="shared" si="175"/>
        <v>0</v>
      </c>
      <c r="X491" s="1">
        <f t="shared" si="176"/>
        <v>0</v>
      </c>
      <c r="Y491" s="1">
        <f t="shared" si="177"/>
        <v>0</v>
      </c>
      <c r="Z491" s="1">
        <f t="shared" si="178"/>
        <v>0</v>
      </c>
      <c r="AA491" s="1">
        <f t="shared" si="179"/>
        <v>0</v>
      </c>
      <c r="AB491" s="1">
        <f t="shared" si="180"/>
        <v>0</v>
      </c>
      <c r="AD491" s="1">
        <f t="shared" si="181"/>
        <v>0</v>
      </c>
      <c r="AE491" s="1">
        <f t="shared" si="182"/>
        <v>1</v>
      </c>
      <c r="AF491" s="1">
        <f t="shared" si="183"/>
        <v>0</v>
      </c>
      <c r="AG491" s="1">
        <f t="shared" si="184"/>
        <v>1</v>
      </c>
      <c r="AH491" s="1">
        <f t="shared" si="185"/>
        <v>0</v>
      </c>
      <c r="AI491" s="1">
        <f t="shared" si="186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60</v>
      </c>
      <c r="E492" s="32" t="s">
        <v>162</v>
      </c>
      <c r="F492" s="32" t="s">
        <v>226</v>
      </c>
      <c r="G492" s="32" t="s">
        <v>189</v>
      </c>
      <c r="H492" s="32" t="s">
        <v>352</v>
      </c>
      <c r="I492" s="31" t="s">
        <v>397</v>
      </c>
      <c r="J492" s="31">
        <v>99</v>
      </c>
      <c r="K492" s="33" t="s">
        <v>704</v>
      </c>
      <c r="L492" s="33" t="s">
        <v>713</v>
      </c>
      <c r="M492" s="34" t="s">
        <v>723</v>
      </c>
      <c r="N492" s="34" t="s">
        <v>1700</v>
      </c>
      <c r="O492" s="35">
        <v>1</v>
      </c>
      <c r="P492" s="35"/>
      <c r="Q492" s="32"/>
      <c r="S492" s="1">
        <f t="shared" si="171"/>
        <v>0</v>
      </c>
      <c r="T492" s="1">
        <f t="shared" si="172"/>
        <v>0</v>
      </c>
      <c r="U492" s="1">
        <f t="shared" si="173"/>
        <v>0</v>
      </c>
      <c r="V492" s="1">
        <f t="shared" si="174"/>
        <v>0</v>
      </c>
      <c r="W492" s="1">
        <f t="shared" si="175"/>
        <v>0</v>
      </c>
      <c r="X492" s="1">
        <f t="shared" si="176"/>
        <v>0</v>
      </c>
      <c r="Y492" s="1">
        <f t="shared" si="177"/>
        <v>0</v>
      </c>
      <c r="Z492" s="1">
        <f t="shared" si="178"/>
        <v>0</v>
      </c>
      <c r="AA492" s="1">
        <f t="shared" si="179"/>
        <v>0</v>
      </c>
      <c r="AB492" s="1">
        <f t="shared" si="180"/>
        <v>0</v>
      </c>
      <c r="AD492" s="1">
        <f t="shared" si="181"/>
        <v>0</v>
      </c>
      <c r="AE492" s="1">
        <f t="shared" si="182"/>
        <v>1</v>
      </c>
      <c r="AF492" s="1">
        <f t="shared" si="183"/>
        <v>0</v>
      </c>
      <c r="AG492" s="1">
        <f t="shared" si="184"/>
        <v>1</v>
      </c>
      <c r="AH492" s="1">
        <f t="shared" si="185"/>
        <v>0</v>
      </c>
      <c r="AI492" s="1">
        <f t="shared" si="186"/>
        <v>1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1297</v>
      </c>
      <c r="E493" s="32" t="s">
        <v>155</v>
      </c>
      <c r="F493" s="32" t="s">
        <v>1115</v>
      </c>
      <c r="G493" s="32" t="s">
        <v>191</v>
      </c>
      <c r="H493" s="32" t="s">
        <v>352</v>
      </c>
      <c r="I493" s="31" t="s">
        <v>1334</v>
      </c>
      <c r="J493" s="31">
        <v>99</v>
      </c>
      <c r="K493" s="33" t="s">
        <v>703</v>
      </c>
      <c r="L493" s="33" t="s">
        <v>39</v>
      </c>
      <c r="M493" s="34" t="s">
        <v>39</v>
      </c>
      <c r="N493" s="34" t="s">
        <v>1687</v>
      </c>
      <c r="O493" s="35">
        <v>1</v>
      </c>
      <c r="P493" s="35">
        <v>1</v>
      </c>
      <c r="Q493" s="32"/>
      <c r="S493" s="1">
        <f t="shared" si="171"/>
        <v>0</v>
      </c>
      <c r="T493" s="1">
        <f t="shared" si="172"/>
        <v>0</v>
      </c>
      <c r="U493" s="1">
        <f t="shared" si="173"/>
        <v>0</v>
      </c>
      <c r="V493" s="1">
        <f t="shared" si="174"/>
        <v>0</v>
      </c>
      <c r="W493" s="1">
        <f t="shared" si="175"/>
        <v>0</v>
      </c>
      <c r="X493" s="1">
        <f t="shared" si="176"/>
        <v>0</v>
      </c>
      <c r="Y493" s="1">
        <f t="shared" si="177"/>
        <v>0</v>
      </c>
      <c r="Z493" s="1">
        <f t="shared" si="178"/>
        <v>0</v>
      </c>
      <c r="AA493" s="1">
        <f t="shared" si="179"/>
        <v>0</v>
      </c>
      <c r="AB493" s="1">
        <f t="shared" si="180"/>
        <v>0</v>
      </c>
      <c r="AD493" s="1">
        <f t="shared" si="181"/>
        <v>1</v>
      </c>
      <c r="AE493" s="1">
        <f t="shared" si="182"/>
        <v>0</v>
      </c>
      <c r="AF493" s="1">
        <f t="shared" si="183"/>
        <v>1</v>
      </c>
      <c r="AG493" s="1">
        <f t="shared" si="184"/>
        <v>0</v>
      </c>
      <c r="AH493" s="1">
        <f t="shared" si="185"/>
        <v>1</v>
      </c>
      <c r="AI493" s="1">
        <f t="shared" si="186"/>
        <v>0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581</v>
      </c>
      <c r="E494" s="32" t="s">
        <v>1305</v>
      </c>
      <c r="F494" s="32" t="s">
        <v>668</v>
      </c>
      <c r="G494" s="32" t="s">
        <v>239</v>
      </c>
      <c r="H494" s="32" t="s">
        <v>352</v>
      </c>
      <c r="I494" s="31" t="s">
        <v>403</v>
      </c>
      <c r="J494" s="31">
        <v>1</v>
      </c>
      <c r="K494" s="33" t="s">
        <v>704</v>
      </c>
      <c r="L494" s="33" t="s">
        <v>1671</v>
      </c>
      <c r="M494" s="34" t="s">
        <v>1402</v>
      </c>
      <c r="N494" s="34" t="s">
        <v>1700</v>
      </c>
      <c r="O494" s="35">
        <v>1</v>
      </c>
      <c r="P494" s="35"/>
      <c r="Q494" s="32"/>
      <c r="S494" s="1">
        <f t="shared" si="171"/>
        <v>1</v>
      </c>
      <c r="T494" s="1">
        <f t="shared" si="172"/>
        <v>0</v>
      </c>
      <c r="U494" s="1">
        <f t="shared" si="173"/>
        <v>0</v>
      </c>
      <c r="V494" s="1">
        <f t="shared" si="174"/>
        <v>0</v>
      </c>
      <c r="W494" s="1">
        <f t="shared" si="175"/>
        <v>0</v>
      </c>
      <c r="X494" s="1">
        <f t="shared" si="176"/>
        <v>0</v>
      </c>
      <c r="Y494" s="1">
        <f t="shared" si="177"/>
        <v>0</v>
      </c>
      <c r="Z494" s="1">
        <f t="shared" si="178"/>
        <v>0</v>
      </c>
      <c r="AA494" s="1">
        <f t="shared" si="179"/>
        <v>0</v>
      </c>
      <c r="AB494" s="1">
        <f t="shared" si="180"/>
        <v>0</v>
      </c>
      <c r="AD494" s="1">
        <f t="shared" si="181"/>
        <v>0</v>
      </c>
      <c r="AE494" s="1">
        <f t="shared" si="182"/>
        <v>1</v>
      </c>
      <c r="AF494" s="1">
        <f t="shared" si="183"/>
        <v>0</v>
      </c>
      <c r="AG494" s="1">
        <f t="shared" si="184"/>
        <v>1</v>
      </c>
      <c r="AH494" s="1">
        <f t="shared" si="185"/>
        <v>0</v>
      </c>
      <c r="AI494" s="1">
        <f t="shared" si="186"/>
        <v>1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581</v>
      </c>
      <c r="E495" s="32" t="s">
        <v>1305</v>
      </c>
      <c r="F495" s="32" t="s">
        <v>238</v>
      </c>
      <c r="G495" s="32" t="s">
        <v>177</v>
      </c>
      <c r="H495" s="32" t="s">
        <v>352</v>
      </c>
      <c r="I495" s="31" t="s">
        <v>402</v>
      </c>
      <c r="J495" s="31">
        <v>1</v>
      </c>
      <c r="K495" s="33" t="s">
        <v>704</v>
      </c>
      <c r="L495" s="33" t="s">
        <v>1671</v>
      </c>
      <c r="M495" s="34" t="s">
        <v>1402</v>
      </c>
      <c r="N495" s="34" t="s">
        <v>1700</v>
      </c>
      <c r="O495" s="35">
        <v>1</v>
      </c>
      <c r="P495" s="35"/>
      <c r="Q495" s="36" t="s">
        <v>1861</v>
      </c>
      <c r="S495" s="1">
        <f t="shared" si="171"/>
        <v>1</v>
      </c>
      <c r="T495" s="1">
        <f t="shared" si="172"/>
        <v>0</v>
      </c>
      <c r="U495" s="1">
        <f t="shared" si="173"/>
        <v>0</v>
      </c>
      <c r="V495" s="1">
        <f t="shared" si="174"/>
        <v>0</v>
      </c>
      <c r="W495" s="1">
        <f t="shared" si="175"/>
        <v>0</v>
      </c>
      <c r="X495" s="1">
        <f t="shared" si="176"/>
        <v>0</v>
      </c>
      <c r="Y495" s="1">
        <f t="shared" si="177"/>
        <v>0</v>
      </c>
      <c r="Z495" s="1">
        <f t="shared" si="178"/>
        <v>0</v>
      </c>
      <c r="AA495" s="1">
        <f t="shared" si="179"/>
        <v>0</v>
      </c>
      <c r="AB495" s="1">
        <f t="shared" si="180"/>
        <v>0</v>
      </c>
      <c r="AD495" s="1">
        <f t="shared" si="181"/>
        <v>0</v>
      </c>
      <c r="AE495" s="1">
        <f t="shared" si="182"/>
        <v>1</v>
      </c>
      <c r="AF495" s="1">
        <f t="shared" si="183"/>
        <v>0</v>
      </c>
      <c r="AG495" s="1">
        <f t="shared" si="184"/>
        <v>0</v>
      </c>
      <c r="AH495" s="1">
        <f t="shared" si="185"/>
        <v>0</v>
      </c>
      <c r="AI495" s="1">
        <f t="shared" si="186"/>
        <v>0</v>
      </c>
    </row>
    <row r="496" spans="1:35" s="1" customFormat="1" ht="14.25" customHeight="1" x14ac:dyDescent="0.25">
      <c r="A496" s="31">
        <v>0</v>
      </c>
      <c r="B496" s="31">
        <v>2</v>
      </c>
      <c r="C496" s="31">
        <v>7</v>
      </c>
      <c r="D496" s="32" t="s">
        <v>1298</v>
      </c>
      <c r="E496" s="32" t="s">
        <v>155</v>
      </c>
      <c r="F496" s="32" t="s">
        <v>1322</v>
      </c>
      <c r="G496" s="32" t="s">
        <v>257</v>
      </c>
      <c r="H496" s="32" t="s">
        <v>352</v>
      </c>
      <c r="I496" s="31" t="s">
        <v>1208</v>
      </c>
      <c r="J496" s="31">
        <v>8</v>
      </c>
      <c r="K496" s="33" t="s">
        <v>932</v>
      </c>
      <c r="L496" s="33" t="s">
        <v>713</v>
      </c>
      <c r="M496" s="34" t="s">
        <v>723</v>
      </c>
      <c r="N496" s="34" t="s">
        <v>1700</v>
      </c>
      <c r="O496" s="35">
        <v>1</v>
      </c>
      <c r="P496" s="35"/>
      <c r="Q496" s="32"/>
      <c r="S496" s="1">
        <f t="shared" si="171"/>
        <v>0</v>
      </c>
      <c r="T496" s="1">
        <f t="shared" si="172"/>
        <v>0</v>
      </c>
      <c r="U496" s="1">
        <f t="shared" si="173"/>
        <v>0</v>
      </c>
      <c r="V496" s="1">
        <f t="shared" si="174"/>
        <v>0</v>
      </c>
      <c r="W496" s="1">
        <f t="shared" si="175"/>
        <v>0</v>
      </c>
      <c r="X496" s="1">
        <f t="shared" si="176"/>
        <v>0</v>
      </c>
      <c r="Y496" s="1">
        <f t="shared" si="177"/>
        <v>0</v>
      </c>
      <c r="Z496" s="1">
        <f t="shared" si="178"/>
        <v>1</v>
      </c>
      <c r="AA496" s="1">
        <f t="shared" si="179"/>
        <v>0</v>
      </c>
      <c r="AB496" s="1">
        <f t="shared" si="180"/>
        <v>0</v>
      </c>
      <c r="AD496" s="1">
        <f t="shared" si="181"/>
        <v>0</v>
      </c>
      <c r="AE496" s="1">
        <f t="shared" si="182"/>
        <v>1</v>
      </c>
      <c r="AF496" s="1">
        <f t="shared" si="183"/>
        <v>0</v>
      </c>
      <c r="AG496" s="1">
        <f t="shared" si="184"/>
        <v>1</v>
      </c>
      <c r="AH496" s="1">
        <f t="shared" si="185"/>
        <v>0</v>
      </c>
      <c r="AI496" s="1">
        <f t="shared" si="186"/>
        <v>1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1298</v>
      </c>
      <c r="E497" s="32" t="s">
        <v>155</v>
      </c>
      <c r="F497" s="32" t="s">
        <v>1187</v>
      </c>
      <c r="G497" s="32" t="s">
        <v>217</v>
      </c>
      <c r="H497" s="32" t="s">
        <v>352</v>
      </c>
      <c r="I497" s="31" t="s">
        <v>1208</v>
      </c>
      <c r="J497" s="31">
        <v>99</v>
      </c>
      <c r="K497" s="33" t="s">
        <v>932</v>
      </c>
      <c r="L497" s="33" t="s">
        <v>713</v>
      </c>
      <c r="M497" s="34" t="s">
        <v>723</v>
      </c>
      <c r="N497" s="34" t="s">
        <v>1700</v>
      </c>
      <c r="O497" s="35">
        <v>1</v>
      </c>
      <c r="P497" s="35"/>
      <c r="Q497" s="32"/>
      <c r="S497" s="1">
        <f t="shared" si="171"/>
        <v>0</v>
      </c>
      <c r="T497" s="1">
        <f t="shared" si="172"/>
        <v>0</v>
      </c>
      <c r="U497" s="1">
        <f t="shared" si="173"/>
        <v>0</v>
      </c>
      <c r="V497" s="1">
        <f t="shared" si="174"/>
        <v>0</v>
      </c>
      <c r="W497" s="1">
        <f t="shared" si="175"/>
        <v>0</v>
      </c>
      <c r="X497" s="1">
        <f t="shared" si="176"/>
        <v>0</v>
      </c>
      <c r="Y497" s="1">
        <f t="shared" si="177"/>
        <v>0</v>
      </c>
      <c r="Z497" s="1">
        <f t="shared" si="178"/>
        <v>0</v>
      </c>
      <c r="AA497" s="1">
        <f t="shared" si="179"/>
        <v>0</v>
      </c>
      <c r="AB497" s="1">
        <f t="shared" si="180"/>
        <v>0</v>
      </c>
      <c r="AD497" s="1">
        <f t="shared" si="181"/>
        <v>0</v>
      </c>
      <c r="AE497" s="1">
        <f t="shared" si="182"/>
        <v>1</v>
      </c>
      <c r="AF497" s="1">
        <f t="shared" si="183"/>
        <v>0</v>
      </c>
      <c r="AG497" s="1">
        <f t="shared" si="184"/>
        <v>0</v>
      </c>
      <c r="AH497" s="1">
        <f t="shared" si="185"/>
        <v>0</v>
      </c>
      <c r="AI497" s="1">
        <f t="shared" si="186"/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1217</v>
      </c>
      <c r="E498" s="32" t="s">
        <v>155</v>
      </c>
      <c r="F498" s="32" t="s">
        <v>1219</v>
      </c>
      <c r="G498" s="32" t="s">
        <v>219</v>
      </c>
      <c r="H498" s="32" t="s">
        <v>352</v>
      </c>
      <c r="I498" s="31" t="s">
        <v>1335</v>
      </c>
      <c r="J498" s="31">
        <v>8</v>
      </c>
      <c r="K498" s="33" t="s">
        <v>931</v>
      </c>
      <c r="L498" s="33" t="s">
        <v>713</v>
      </c>
      <c r="M498" s="34" t="s">
        <v>723</v>
      </c>
      <c r="N498" s="34" t="s">
        <v>1696</v>
      </c>
      <c r="O498" s="35">
        <v>1</v>
      </c>
      <c r="P498" s="35"/>
      <c r="Q498" s="32"/>
      <c r="S498" s="1">
        <f t="shared" si="171"/>
        <v>0</v>
      </c>
      <c r="T498" s="1">
        <f t="shared" si="172"/>
        <v>0</v>
      </c>
      <c r="U498" s="1">
        <f t="shared" si="173"/>
        <v>0</v>
      </c>
      <c r="V498" s="1">
        <f t="shared" si="174"/>
        <v>0</v>
      </c>
      <c r="W498" s="1">
        <f t="shared" si="175"/>
        <v>0</v>
      </c>
      <c r="X498" s="1">
        <f t="shared" si="176"/>
        <v>0</v>
      </c>
      <c r="Y498" s="1">
        <f t="shared" si="177"/>
        <v>0</v>
      </c>
      <c r="Z498" s="1">
        <f t="shared" si="178"/>
        <v>1</v>
      </c>
      <c r="AA498" s="1">
        <f t="shared" si="179"/>
        <v>0</v>
      </c>
      <c r="AB498" s="1">
        <f t="shared" si="180"/>
        <v>0</v>
      </c>
      <c r="AD498" s="1">
        <f t="shared" si="181"/>
        <v>0</v>
      </c>
      <c r="AE498" s="1">
        <f t="shared" si="182"/>
        <v>1</v>
      </c>
      <c r="AF498" s="1">
        <f t="shared" si="183"/>
        <v>0</v>
      </c>
      <c r="AG498" s="1">
        <f t="shared" si="184"/>
        <v>1</v>
      </c>
      <c r="AH498" s="1">
        <f t="shared" si="185"/>
        <v>0</v>
      </c>
      <c r="AI498" s="1">
        <f t="shared" si="186"/>
        <v>1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1217</v>
      </c>
      <c r="E499" s="32" t="s">
        <v>155</v>
      </c>
      <c r="F499" s="32" t="s">
        <v>1323</v>
      </c>
      <c r="G499" s="32" t="s">
        <v>39</v>
      </c>
      <c r="H499" s="32" t="s">
        <v>353</v>
      </c>
      <c r="I499" s="31" t="s">
        <v>1218</v>
      </c>
      <c r="J499" s="31">
        <v>99</v>
      </c>
      <c r="K499" s="33" t="s">
        <v>931</v>
      </c>
      <c r="L499" s="33" t="s">
        <v>713</v>
      </c>
      <c r="M499" s="34" t="s">
        <v>723</v>
      </c>
      <c r="N499" s="34" t="s">
        <v>1696</v>
      </c>
      <c r="O499" s="35">
        <v>1</v>
      </c>
      <c r="P499" s="35"/>
      <c r="Q499" s="32" t="s">
        <v>1854</v>
      </c>
      <c r="S499" s="1">
        <f t="shared" si="171"/>
        <v>0</v>
      </c>
      <c r="T499" s="1">
        <f t="shared" si="172"/>
        <v>0</v>
      </c>
      <c r="U499" s="1">
        <f t="shared" si="173"/>
        <v>0</v>
      </c>
      <c r="V499" s="1">
        <f t="shared" si="174"/>
        <v>0</v>
      </c>
      <c r="W499" s="1">
        <f t="shared" si="175"/>
        <v>0</v>
      </c>
      <c r="X499" s="1">
        <f t="shared" si="176"/>
        <v>0</v>
      </c>
      <c r="Y499" s="1">
        <f t="shared" si="177"/>
        <v>0</v>
      </c>
      <c r="Z499" s="1">
        <f t="shared" si="178"/>
        <v>0</v>
      </c>
      <c r="AA499" s="1">
        <f t="shared" si="179"/>
        <v>0</v>
      </c>
      <c r="AB499" s="1">
        <f t="shared" si="180"/>
        <v>0</v>
      </c>
      <c r="AD499" s="1">
        <f t="shared" si="181"/>
        <v>0</v>
      </c>
      <c r="AE499" s="1">
        <f t="shared" si="182"/>
        <v>1</v>
      </c>
      <c r="AF499" s="1">
        <f t="shared" si="183"/>
        <v>0</v>
      </c>
      <c r="AG499" s="1">
        <f t="shared" si="184"/>
        <v>0</v>
      </c>
      <c r="AH499" s="1">
        <f t="shared" si="185"/>
        <v>0</v>
      </c>
      <c r="AI499" s="1">
        <f t="shared" si="186"/>
        <v>0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1217</v>
      </c>
      <c r="E500" s="32" t="s">
        <v>155</v>
      </c>
      <c r="F500" s="32" t="s">
        <v>1485</v>
      </c>
      <c r="G500" s="32" t="s">
        <v>234</v>
      </c>
      <c r="H500" s="32" t="s">
        <v>352</v>
      </c>
      <c r="I500" s="31" t="s">
        <v>1651</v>
      </c>
      <c r="J500" s="31">
        <v>99</v>
      </c>
      <c r="K500" s="33" t="s">
        <v>931</v>
      </c>
      <c r="L500" s="33" t="s">
        <v>713</v>
      </c>
      <c r="M500" s="34" t="s">
        <v>723</v>
      </c>
      <c r="N500" s="34" t="s">
        <v>1696</v>
      </c>
      <c r="O500" s="35">
        <v>1</v>
      </c>
      <c r="P500" s="35"/>
      <c r="Q500" s="32"/>
      <c r="S500" s="1">
        <f t="shared" si="171"/>
        <v>0</v>
      </c>
      <c r="T500" s="1">
        <f t="shared" si="172"/>
        <v>0</v>
      </c>
      <c r="U500" s="1">
        <f t="shared" si="173"/>
        <v>0</v>
      </c>
      <c r="V500" s="1">
        <f t="shared" si="174"/>
        <v>0</v>
      </c>
      <c r="W500" s="1">
        <f t="shared" si="175"/>
        <v>0</v>
      </c>
      <c r="X500" s="1">
        <f t="shared" si="176"/>
        <v>0</v>
      </c>
      <c r="Y500" s="1">
        <f t="shared" si="177"/>
        <v>0</v>
      </c>
      <c r="Z500" s="1">
        <f t="shared" si="178"/>
        <v>0</v>
      </c>
      <c r="AA500" s="1">
        <f t="shared" si="179"/>
        <v>0</v>
      </c>
      <c r="AB500" s="1">
        <f t="shared" si="180"/>
        <v>0</v>
      </c>
      <c r="AD500" s="1">
        <f t="shared" si="181"/>
        <v>0</v>
      </c>
      <c r="AE500" s="1">
        <f t="shared" si="182"/>
        <v>1</v>
      </c>
      <c r="AF500" s="1">
        <f t="shared" si="183"/>
        <v>0</v>
      </c>
      <c r="AG500" s="1">
        <f t="shared" si="184"/>
        <v>0</v>
      </c>
      <c r="AH500" s="1">
        <f t="shared" si="185"/>
        <v>0</v>
      </c>
      <c r="AI500" s="1">
        <f t="shared" si="186"/>
        <v>0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1801</v>
      </c>
      <c r="E501" s="32" t="s">
        <v>1802</v>
      </c>
      <c r="F501" s="32" t="s">
        <v>1803</v>
      </c>
      <c r="G501" s="32" t="s">
        <v>264</v>
      </c>
      <c r="H501" s="32" t="s">
        <v>352</v>
      </c>
      <c r="I501" s="31" t="s">
        <v>1804</v>
      </c>
      <c r="J501" s="31">
        <v>99</v>
      </c>
      <c r="K501" s="33" t="s">
        <v>694</v>
      </c>
      <c r="L501" s="33"/>
      <c r="M501" s="34"/>
      <c r="N501" s="34" t="s">
        <v>1687</v>
      </c>
      <c r="O501" s="35">
        <v>1</v>
      </c>
      <c r="P501" s="35">
        <v>1</v>
      </c>
      <c r="Q501" s="32"/>
      <c r="S501" s="1">
        <f t="shared" si="171"/>
        <v>0</v>
      </c>
      <c r="T501" s="1">
        <f t="shared" si="172"/>
        <v>0</v>
      </c>
      <c r="U501" s="1">
        <f t="shared" si="173"/>
        <v>0</v>
      </c>
      <c r="V501" s="1">
        <f t="shared" si="174"/>
        <v>0</v>
      </c>
      <c r="W501" s="1">
        <f t="shared" si="175"/>
        <v>0</v>
      </c>
      <c r="X501" s="1">
        <f t="shared" si="176"/>
        <v>0</v>
      </c>
      <c r="Y501" s="1">
        <f t="shared" si="177"/>
        <v>0</v>
      </c>
      <c r="Z501" s="1">
        <f t="shared" si="178"/>
        <v>0</v>
      </c>
      <c r="AA501" s="1">
        <f t="shared" si="179"/>
        <v>0</v>
      </c>
      <c r="AB501" s="1">
        <f t="shared" si="180"/>
        <v>0</v>
      </c>
      <c r="AD501" s="1">
        <f t="shared" si="181"/>
        <v>1</v>
      </c>
      <c r="AE501" s="1">
        <f t="shared" si="182"/>
        <v>0</v>
      </c>
      <c r="AF501" s="1">
        <f t="shared" si="183"/>
        <v>1</v>
      </c>
      <c r="AG501" s="1">
        <f t="shared" si="184"/>
        <v>0</v>
      </c>
      <c r="AH501" s="1">
        <f t="shared" si="185"/>
        <v>1</v>
      </c>
      <c r="AI501" s="1">
        <f t="shared" si="186"/>
        <v>0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1212</v>
      </c>
      <c r="E502" s="32" t="s">
        <v>28</v>
      </c>
      <c r="F502" s="32" t="s">
        <v>1205</v>
      </c>
      <c r="G502" s="32" t="s">
        <v>1206</v>
      </c>
      <c r="H502" s="32" t="s">
        <v>352</v>
      </c>
      <c r="I502" s="31" t="s">
        <v>1207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1696</v>
      </c>
      <c r="O502" s="35">
        <v>1</v>
      </c>
      <c r="P502" s="35"/>
      <c r="Q502" s="32"/>
      <c r="S502" s="1">
        <f t="shared" si="171"/>
        <v>0</v>
      </c>
      <c r="T502" s="1">
        <f t="shared" si="172"/>
        <v>0</v>
      </c>
      <c r="U502" s="1">
        <f t="shared" si="173"/>
        <v>0</v>
      </c>
      <c r="V502" s="1">
        <f t="shared" si="174"/>
        <v>0</v>
      </c>
      <c r="W502" s="1">
        <f t="shared" si="175"/>
        <v>0</v>
      </c>
      <c r="X502" s="1">
        <f t="shared" si="176"/>
        <v>0</v>
      </c>
      <c r="Y502" s="1">
        <f t="shared" si="177"/>
        <v>0</v>
      </c>
      <c r="Z502" s="1">
        <f t="shared" si="178"/>
        <v>0</v>
      </c>
      <c r="AA502" s="1">
        <f t="shared" si="179"/>
        <v>0</v>
      </c>
      <c r="AB502" s="1">
        <f t="shared" si="180"/>
        <v>0</v>
      </c>
      <c r="AD502" s="1">
        <f t="shared" si="181"/>
        <v>0</v>
      </c>
      <c r="AE502" s="1">
        <f t="shared" si="182"/>
        <v>1</v>
      </c>
      <c r="AF502" s="1">
        <f t="shared" si="183"/>
        <v>0</v>
      </c>
      <c r="AG502" s="1">
        <f t="shared" si="184"/>
        <v>1</v>
      </c>
      <c r="AH502" s="1">
        <f t="shared" si="185"/>
        <v>0</v>
      </c>
      <c r="AI502" s="1">
        <f t="shared" si="186"/>
        <v>1</v>
      </c>
    </row>
    <row r="503" spans="1:35" s="1" customFormat="1" ht="14.25" customHeight="1" x14ac:dyDescent="0.25">
      <c r="A503" s="31">
        <v>1</v>
      </c>
      <c r="B503" s="31">
        <v>2</v>
      </c>
      <c r="C503" s="31">
        <v>7</v>
      </c>
      <c r="D503" s="32" t="s">
        <v>1209</v>
      </c>
      <c r="E503" s="32" t="s">
        <v>28</v>
      </c>
      <c r="F503" s="32" t="s">
        <v>1210</v>
      </c>
      <c r="G503" s="32" t="s">
        <v>519</v>
      </c>
      <c r="H503" s="32" t="s">
        <v>352</v>
      </c>
      <c r="I503" s="31" t="s">
        <v>1211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1696</v>
      </c>
      <c r="O503" s="35">
        <v>1</v>
      </c>
      <c r="P503" s="35"/>
      <c r="Q503" s="32"/>
      <c r="S503" s="1">
        <f t="shared" si="171"/>
        <v>0</v>
      </c>
      <c r="T503" s="1">
        <f t="shared" si="172"/>
        <v>0</v>
      </c>
      <c r="U503" s="1">
        <f t="shared" si="173"/>
        <v>0</v>
      </c>
      <c r="V503" s="1">
        <f t="shared" si="174"/>
        <v>0</v>
      </c>
      <c r="W503" s="1">
        <f t="shared" si="175"/>
        <v>0</v>
      </c>
      <c r="X503" s="1">
        <f t="shared" si="176"/>
        <v>0</v>
      </c>
      <c r="Y503" s="1">
        <f t="shared" si="177"/>
        <v>0</v>
      </c>
      <c r="Z503" s="1">
        <f t="shared" si="178"/>
        <v>0</v>
      </c>
      <c r="AA503" s="1">
        <f t="shared" si="179"/>
        <v>0</v>
      </c>
      <c r="AB503" s="1">
        <f t="shared" si="180"/>
        <v>0</v>
      </c>
      <c r="AD503" s="1">
        <f t="shared" si="181"/>
        <v>0</v>
      </c>
      <c r="AE503" s="1">
        <f t="shared" si="182"/>
        <v>1</v>
      </c>
      <c r="AF503" s="1">
        <f t="shared" si="183"/>
        <v>0</v>
      </c>
      <c r="AG503" s="1">
        <f t="shared" si="184"/>
        <v>0</v>
      </c>
      <c r="AH503" s="1">
        <f t="shared" si="185"/>
        <v>0</v>
      </c>
      <c r="AI503" s="1">
        <f t="shared" si="186"/>
        <v>0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1797</v>
      </c>
      <c r="E504" s="32" t="s">
        <v>1140</v>
      </c>
      <c r="F504" s="32" t="s">
        <v>1798</v>
      </c>
      <c r="G504" s="32"/>
      <c r="H504" s="32" t="s">
        <v>352</v>
      </c>
      <c r="I504" s="31" t="s">
        <v>1799</v>
      </c>
      <c r="J504" s="31">
        <v>6</v>
      </c>
      <c r="K504" s="33" t="s">
        <v>694</v>
      </c>
      <c r="L504" s="33"/>
      <c r="M504" s="34"/>
      <c r="N504" s="34" t="s">
        <v>1700</v>
      </c>
      <c r="O504" s="35">
        <v>1</v>
      </c>
      <c r="P504" s="35"/>
      <c r="Q504" s="32"/>
      <c r="S504" s="1">
        <f t="shared" si="171"/>
        <v>0</v>
      </c>
      <c r="T504" s="1">
        <f t="shared" si="172"/>
        <v>0</v>
      </c>
      <c r="U504" s="1">
        <f t="shared" si="173"/>
        <v>0</v>
      </c>
      <c r="V504" s="1">
        <f t="shared" si="174"/>
        <v>0</v>
      </c>
      <c r="W504" s="1">
        <f t="shared" si="175"/>
        <v>0</v>
      </c>
      <c r="X504" s="1">
        <f t="shared" si="176"/>
        <v>1</v>
      </c>
      <c r="Y504" s="1">
        <f t="shared" si="177"/>
        <v>0</v>
      </c>
      <c r="Z504" s="1">
        <f t="shared" si="178"/>
        <v>0</v>
      </c>
      <c r="AA504" s="1">
        <f t="shared" si="179"/>
        <v>0</v>
      </c>
      <c r="AB504" s="1">
        <f t="shared" si="180"/>
        <v>0</v>
      </c>
      <c r="AD504" s="1">
        <f t="shared" si="181"/>
        <v>0</v>
      </c>
      <c r="AE504" s="1">
        <f t="shared" si="182"/>
        <v>1</v>
      </c>
      <c r="AF504" s="1">
        <f t="shared" si="183"/>
        <v>0</v>
      </c>
      <c r="AG504" s="1">
        <f t="shared" si="184"/>
        <v>1</v>
      </c>
      <c r="AH504" s="1">
        <f t="shared" si="185"/>
        <v>0</v>
      </c>
      <c r="AI504" s="1">
        <f t="shared" si="186"/>
        <v>1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1421</v>
      </c>
      <c r="E505" s="32" t="s">
        <v>28</v>
      </c>
      <c r="F505" s="32" t="s">
        <v>1422</v>
      </c>
      <c r="G505" s="32" t="s">
        <v>1423</v>
      </c>
      <c r="H505" s="32" t="s">
        <v>352</v>
      </c>
      <c r="I505" s="31" t="s">
        <v>1424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1696</v>
      </c>
      <c r="O505" s="35">
        <v>1</v>
      </c>
      <c r="P505" s="35"/>
      <c r="Q505" s="32" t="s">
        <v>1881</v>
      </c>
      <c r="S505" s="1">
        <f t="shared" si="171"/>
        <v>0</v>
      </c>
      <c r="T505" s="1">
        <f t="shared" si="172"/>
        <v>0</v>
      </c>
      <c r="U505" s="1">
        <f t="shared" si="173"/>
        <v>0</v>
      </c>
      <c r="V505" s="1">
        <f t="shared" si="174"/>
        <v>0</v>
      </c>
      <c r="W505" s="1">
        <f t="shared" si="175"/>
        <v>0</v>
      </c>
      <c r="X505" s="1">
        <f t="shared" si="176"/>
        <v>0</v>
      </c>
      <c r="Y505" s="1">
        <f t="shared" si="177"/>
        <v>0</v>
      </c>
      <c r="Z505" s="1">
        <f t="shared" si="178"/>
        <v>0</v>
      </c>
      <c r="AA505" s="1">
        <f t="shared" si="179"/>
        <v>0</v>
      </c>
      <c r="AB505" s="1">
        <f t="shared" si="180"/>
        <v>0</v>
      </c>
      <c r="AD505" s="1">
        <f t="shared" si="181"/>
        <v>0</v>
      </c>
      <c r="AE505" s="1">
        <f t="shared" si="182"/>
        <v>1</v>
      </c>
      <c r="AF505" s="1">
        <f t="shared" si="183"/>
        <v>0</v>
      </c>
      <c r="AG505" s="1">
        <f t="shared" si="184"/>
        <v>1</v>
      </c>
      <c r="AH505" s="1">
        <f t="shared" si="185"/>
        <v>0</v>
      </c>
      <c r="AI505" s="1">
        <f t="shared" si="186"/>
        <v>1</v>
      </c>
    </row>
    <row r="506" spans="1:35" s="1" customFormat="1" ht="14.25" customHeight="1" x14ac:dyDescent="0.25">
      <c r="A506" s="31">
        <v>0</v>
      </c>
      <c r="B506" s="31">
        <v>2</v>
      </c>
      <c r="C506" s="31">
        <v>7</v>
      </c>
      <c r="D506" s="32" t="s">
        <v>2080</v>
      </c>
      <c r="E506" s="32" t="s">
        <v>155</v>
      </c>
      <c r="F506" s="32" t="s">
        <v>2081</v>
      </c>
      <c r="G506" s="32" t="s">
        <v>552</v>
      </c>
      <c r="H506" s="32" t="s">
        <v>352</v>
      </c>
      <c r="I506" s="31" t="s">
        <v>2082</v>
      </c>
      <c r="J506" s="31">
        <v>99</v>
      </c>
      <c r="K506" s="33" t="s">
        <v>694</v>
      </c>
      <c r="L506" s="33">
        <v>7</v>
      </c>
      <c r="M506" s="34" t="s">
        <v>723</v>
      </c>
      <c r="N506" s="34" t="s">
        <v>1700</v>
      </c>
      <c r="O506" s="35">
        <v>1</v>
      </c>
      <c r="P506" s="35"/>
      <c r="Q506" s="32"/>
      <c r="S506" s="1">
        <f t="shared" si="171"/>
        <v>0</v>
      </c>
      <c r="T506" s="1">
        <f t="shared" si="172"/>
        <v>0</v>
      </c>
      <c r="U506" s="1">
        <f t="shared" si="173"/>
        <v>0</v>
      </c>
      <c r="V506" s="1">
        <f t="shared" si="174"/>
        <v>0</v>
      </c>
      <c r="W506" s="1">
        <f t="shared" si="175"/>
        <v>0</v>
      </c>
      <c r="X506" s="1">
        <f t="shared" si="176"/>
        <v>0</v>
      </c>
      <c r="Y506" s="1">
        <f t="shared" si="177"/>
        <v>0</v>
      </c>
      <c r="Z506" s="1">
        <f t="shared" si="178"/>
        <v>0</v>
      </c>
      <c r="AA506" s="1">
        <f t="shared" si="179"/>
        <v>0</v>
      </c>
      <c r="AB506" s="1">
        <f t="shared" si="180"/>
        <v>0</v>
      </c>
      <c r="AD506" s="1">
        <f t="shared" si="181"/>
        <v>0</v>
      </c>
      <c r="AE506" s="1">
        <f t="shared" si="182"/>
        <v>1</v>
      </c>
      <c r="AF506" s="1">
        <f t="shared" si="183"/>
        <v>0</v>
      </c>
      <c r="AG506" s="1">
        <f t="shared" si="184"/>
        <v>1</v>
      </c>
      <c r="AH506" s="1">
        <f t="shared" si="185"/>
        <v>0</v>
      </c>
      <c r="AI506" s="1">
        <f t="shared" si="186"/>
        <v>1</v>
      </c>
    </row>
    <row r="507" spans="1:35" s="1" customFormat="1" ht="14.25" customHeight="1" x14ac:dyDescent="0.25">
      <c r="A507" s="31">
        <v>1</v>
      </c>
      <c r="B507" s="31">
        <v>2</v>
      </c>
      <c r="C507" s="31">
        <v>7</v>
      </c>
      <c r="D507" s="32" t="s">
        <v>2080</v>
      </c>
      <c r="E507" s="32" t="s">
        <v>155</v>
      </c>
      <c r="F507" s="32" t="s">
        <v>2083</v>
      </c>
      <c r="G507" s="32" t="s">
        <v>203</v>
      </c>
      <c r="H507" s="32" t="s">
        <v>352</v>
      </c>
      <c r="I507" s="31" t="s">
        <v>2082</v>
      </c>
      <c r="J507" s="31">
        <v>7</v>
      </c>
      <c r="K507" s="33" t="s">
        <v>694</v>
      </c>
      <c r="L507" s="33">
        <v>7</v>
      </c>
      <c r="M507" s="34" t="s">
        <v>723</v>
      </c>
      <c r="N507" s="34" t="s">
        <v>1700</v>
      </c>
      <c r="O507" s="35">
        <v>1</v>
      </c>
      <c r="P507" s="35"/>
      <c r="Q507" s="32"/>
      <c r="S507" s="1">
        <f t="shared" si="171"/>
        <v>0</v>
      </c>
      <c r="T507" s="1">
        <f t="shared" si="172"/>
        <v>0</v>
      </c>
      <c r="U507" s="1">
        <f t="shared" si="173"/>
        <v>0</v>
      </c>
      <c r="V507" s="1">
        <f t="shared" si="174"/>
        <v>0</v>
      </c>
      <c r="W507" s="1">
        <f t="shared" si="175"/>
        <v>0</v>
      </c>
      <c r="X507" s="1">
        <f t="shared" si="176"/>
        <v>0</v>
      </c>
      <c r="Y507" s="1">
        <f t="shared" si="177"/>
        <v>1</v>
      </c>
      <c r="Z507" s="1">
        <f t="shared" si="178"/>
        <v>0</v>
      </c>
      <c r="AA507" s="1">
        <f t="shared" si="179"/>
        <v>0</v>
      </c>
      <c r="AB507" s="1">
        <f t="shared" si="180"/>
        <v>0</v>
      </c>
      <c r="AD507" s="1">
        <f t="shared" si="181"/>
        <v>0</v>
      </c>
      <c r="AE507" s="1">
        <f t="shared" si="182"/>
        <v>1</v>
      </c>
      <c r="AF507" s="1">
        <f t="shared" si="183"/>
        <v>0</v>
      </c>
      <c r="AG507" s="1">
        <f t="shared" si="184"/>
        <v>0</v>
      </c>
      <c r="AH507" s="1">
        <f t="shared" si="185"/>
        <v>0</v>
      </c>
      <c r="AI507" s="1">
        <f t="shared" si="186"/>
        <v>0</v>
      </c>
    </row>
    <row r="508" spans="1:35" s="1" customFormat="1" ht="14.25" customHeight="1" x14ac:dyDescent="0.25">
      <c r="A508" s="31">
        <v>0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568</v>
      </c>
      <c r="G508" s="32" t="s">
        <v>234</v>
      </c>
      <c r="H508" s="32" t="s">
        <v>352</v>
      </c>
      <c r="I508" s="31" t="s">
        <v>574</v>
      </c>
      <c r="J508" s="31">
        <v>99</v>
      </c>
      <c r="K508" s="33" t="s">
        <v>703</v>
      </c>
      <c r="L508" s="33" t="s">
        <v>720</v>
      </c>
      <c r="M508" s="34" t="s">
        <v>1403</v>
      </c>
      <c r="N508" s="34" t="s">
        <v>1700</v>
      </c>
      <c r="O508" s="35">
        <v>1</v>
      </c>
      <c r="P508" s="35"/>
      <c r="Q508" s="32"/>
      <c r="S508" s="1">
        <f t="shared" si="171"/>
        <v>0</v>
      </c>
      <c r="T508" s="1">
        <f t="shared" si="172"/>
        <v>0</v>
      </c>
      <c r="U508" s="1">
        <f t="shared" si="173"/>
        <v>0</v>
      </c>
      <c r="V508" s="1">
        <f t="shared" si="174"/>
        <v>0</v>
      </c>
      <c r="W508" s="1">
        <f t="shared" si="175"/>
        <v>0</v>
      </c>
      <c r="X508" s="1">
        <f t="shared" si="176"/>
        <v>0</v>
      </c>
      <c r="Y508" s="1">
        <f t="shared" si="177"/>
        <v>0</v>
      </c>
      <c r="Z508" s="1">
        <f t="shared" si="178"/>
        <v>0</v>
      </c>
      <c r="AA508" s="1">
        <f t="shared" si="179"/>
        <v>0</v>
      </c>
      <c r="AB508" s="1">
        <f t="shared" si="180"/>
        <v>0</v>
      </c>
      <c r="AD508" s="1">
        <f t="shared" si="181"/>
        <v>0</v>
      </c>
      <c r="AE508" s="1">
        <f t="shared" si="182"/>
        <v>1</v>
      </c>
      <c r="AF508" s="1">
        <f t="shared" si="183"/>
        <v>0</v>
      </c>
      <c r="AG508" s="1">
        <f t="shared" si="184"/>
        <v>1</v>
      </c>
      <c r="AH508" s="1">
        <f t="shared" si="185"/>
        <v>0</v>
      </c>
      <c r="AI508" s="1">
        <f t="shared" si="186"/>
        <v>1</v>
      </c>
    </row>
    <row r="509" spans="1:35" s="1" customFormat="1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270</v>
      </c>
      <c r="G509" s="32" t="s">
        <v>179</v>
      </c>
      <c r="H509" s="32" t="s">
        <v>352</v>
      </c>
      <c r="I509" s="31" t="s">
        <v>424</v>
      </c>
      <c r="J509" s="31">
        <v>10</v>
      </c>
      <c r="K509" s="33" t="s">
        <v>703</v>
      </c>
      <c r="L509" s="33" t="s">
        <v>720</v>
      </c>
      <c r="M509" s="34" t="s">
        <v>1403</v>
      </c>
      <c r="N509" s="34" t="s">
        <v>1700</v>
      </c>
      <c r="O509" s="35">
        <v>1</v>
      </c>
      <c r="P509" s="35"/>
      <c r="Q509" s="32"/>
      <c r="S509" s="1">
        <f t="shared" si="171"/>
        <v>0</v>
      </c>
      <c r="T509" s="1">
        <f t="shared" si="172"/>
        <v>0</v>
      </c>
      <c r="U509" s="1">
        <f t="shared" si="173"/>
        <v>0</v>
      </c>
      <c r="V509" s="1">
        <f t="shared" si="174"/>
        <v>0</v>
      </c>
      <c r="W509" s="1">
        <f t="shared" si="175"/>
        <v>0</v>
      </c>
      <c r="X509" s="1">
        <f t="shared" si="176"/>
        <v>0</v>
      </c>
      <c r="Y509" s="1">
        <f t="shared" si="177"/>
        <v>0</v>
      </c>
      <c r="Z509" s="1">
        <f t="shared" si="178"/>
        <v>0</v>
      </c>
      <c r="AA509" s="1">
        <f t="shared" si="179"/>
        <v>0</v>
      </c>
      <c r="AB509" s="1">
        <f t="shared" si="180"/>
        <v>1</v>
      </c>
      <c r="AD509" s="1">
        <f t="shared" si="181"/>
        <v>0</v>
      </c>
      <c r="AE509" s="1">
        <f t="shared" si="182"/>
        <v>1</v>
      </c>
      <c r="AF509" s="1">
        <f t="shared" si="183"/>
        <v>0</v>
      </c>
      <c r="AG509" s="1">
        <f t="shared" si="184"/>
        <v>0</v>
      </c>
      <c r="AH509" s="1">
        <f t="shared" si="185"/>
        <v>0</v>
      </c>
      <c r="AI509" s="1">
        <f t="shared" si="186"/>
        <v>0</v>
      </c>
    </row>
    <row r="510" spans="1:35" s="1" customFormat="1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271</v>
      </c>
      <c r="G510" s="32" t="s">
        <v>39</v>
      </c>
      <c r="H510" s="32" t="s">
        <v>352</v>
      </c>
      <c r="I510" s="31" t="s">
        <v>425</v>
      </c>
      <c r="J510" s="31">
        <v>5</v>
      </c>
      <c r="K510" s="33" t="s">
        <v>703</v>
      </c>
      <c r="L510" s="33" t="s">
        <v>720</v>
      </c>
      <c r="M510" s="34" t="s">
        <v>1403</v>
      </c>
      <c r="N510" s="34" t="s">
        <v>1700</v>
      </c>
      <c r="O510" s="35">
        <v>1</v>
      </c>
      <c r="P510" s="35"/>
      <c r="Q510" s="32"/>
      <c r="S510" s="1">
        <f t="shared" si="171"/>
        <v>0</v>
      </c>
      <c r="T510" s="1">
        <f t="shared" si="172"/>
        <v>0</v>
      </c>
      <c r="U510" s="1">
        <f t="shared" si="173"/>
        <v>0</v>
      </c>
      <c r="V510" s="1">
        <f t="shared" si="174"/>
        <v>0</v>
      </c>
      <c r="W510" s="1">
        <f t="shared" si="175"/>
        <v>1</v>
      </c>
      <c r="X510" s="1">
        <f t="shared" si="176"/>
        <v>0</v>
      </c>
      <c r="Y510" s="1">
        <f t="shared" si="177"/>
        <v>0</v>
      </c>
      <c r="Z510" s="1">
        <f t="shared" si="178"/>
        <v>0</v>
      </c>
      <c r="AA510" s="1">
        <f t="shared" si="179"/>
        <v>0</v>
      </c>
      <c r="AB510" s="1">
        <f t="shared" si="180"/>
        <v>0</v>
      </c>
      <c r="AD510" s="1">
        <f t="shared" si="181"/>
        <v>0</v>
      </c>
      <c r="AE510" s="1">
        <f t="shared" si="182"/>
        <v>1</v>
      </c>
      <c r="AF510" s="1">
        <f t="shared" si="183"/>
        <v>0</v>
      </c>
      <c r="AG510" s="1">
        <f t="shared" si="184"/>
        <v>0</v>
      </c>
      <c r="AH510" s="1">
        <f t="shared" si="185"/>
        <v>0</v>
      </c>
      <c r="AI510" s="1">
        <f t="shared" si="186"/>
        <v>0</v>
      </c>
    </row>
    <row r="511" spans="1:35" s="1" customFormat="1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275</v>
      </c>
      <c r="G511" s="32" t="s">
        <v>193</v>
      </c>
      <c r="H511" s="32" t="s">
        <v>352</v>
      </c>
      <c r="I511" s="31" t="s">
        <v>429</v>
      </c>
      <c r="J511" s="31">
        <v>9</v>
      </c>
      <c r="K511" s="33" t="s">
        <v>703</v>
      </c>
      <c r="L511" s="33" t="s">
        <v>720</v>
      </c>
      <c r="M511" s="34" t="s">
        <v>1403</v>
      </c>
      <c r="N511" s="34" t="s">
        <v>1700</v>
      </c>
      <c r="O511" s="35">
        <v>1</v>
      </c>
      <c r="P511" s="35"/>
      <c r="Q511" s="32"/>
      <c r="S511" s="1">
        <f t="shared" si="171"/>
        <v>0</v>
      </c>
      <c r="T511" s="1">
        <f t="shared" si="172"/>
        <v>0</v>
      </c>
      <c r="U511" s="1">
        <f t="shared" si="173"/>
        <v>0</v>
      </c>
      <c r="V511" s="1">
        <f t="shared" si="174"/>
        <v>0</v>
      </c>
      <c r="W511" s="1">
        <f t="shared" si="175"/>
        <v>0</v>
      </c>
      <c r="X511" s="1">
        <f t="shared" si="176"/>
        <v>0</v>
      </c>
      <c r="Y511" s="1">
        <f t="shared" si="177"/>
        <v>0</v>
      </c>
      <c r="Z511" s="1">
        <f t="shared" si="178"/>
        <v>0</v>
      </c>
      <c r="AA511" s="1">
        <f t="shared" si="179"/>
        <v>1</v>
      </c>
      <c r="AB511" s="1">
        <f t="shared" si="180"/>
        <v>0</v>
      </c>
      <c r="AD511" s="1">
        <f t="shared" si="181"/>
        <v>0</v>
      </c>
      <c r="AE511" s="1">
        <f t="shared" si="182"/>
        <v>1</v>
      </c>
      <c r="AF511" s="1">
        <f t="shared" si="183"/>
        <v>0</v>
      </c>
      <c r="AG511" s="1">
        <f t="shared" si="184"/>
        <v>0</v>
      </c>
      <c r="AH511" s="1">
        <f t="shared" si="185"/>
        <v>0</v>
      </c>
      <c r="AI511" s="1">
        <f t="shared" si="186"/>
        <v>0</v>
      </c>
    </row>
    <row r="512" spans="1:35" s="1" customFormat="1" ht="14.25" customHeight="1" x14ac:dyDescent="0.25">
      <c r="A512" s="31">
        <v>0</v>
      </c>
      <c r="B512" s="31">
        <v>2</v>
      </c>
      <c r="C512" s="31">
        <v>7</v>
      </c>
      <c r="D512" s="32" t="s">
        <v>1522</v>
      </c>
      <c r="E512" s="32" t="s">
        <v>28</v>
      </c>
      <c r="F512" s="32" t="s">
        <v>1523</v>
      </c>
      <c r="G512" s="32" t="s">
        <v>237</v>
      </c>
      <c r="H512" s="32" t="s">
        <v>352</v>
      </c>
      <c r="I512" s="31" t="s">
        <v>1655</v>
      </c>
      <c r="J512" s="31">
        <v>4</v>
      </c>
      <c r="K512" s="33" t="s">
        <v>704</v>
      </c>
      <c r="L512" s="33" t="s">
        <v>704</v>
      </c>
      <c r="M512" s="34" t="s">
        <v>722</v>
      </c>
      <c r="N512" s="34" t="s">
        <v>1696</v>
      </c>
      <c r="O512" s="35">
        <v>1</v>
      </c>
      <c r="P512" s="35"/>
      <c r="Q512" s="32"/>
      <c r="S512" s="1">
        <f t="shared" si="171"/>
        <v>0</v>
      </c>
      <c r="T512" s="1">
        <f t="shared" si="172"/>
        <v>0</v>
      </c>
      <c r="U512" s="1">
        <f t="shared" si="173"/>
        <v>0</v>
      </c>
      <c r="V512" s="1">
        <f t="shared" si="174"/>
        <v>1</v>
      </c>
      <c r="W512" s="1">
        <f t="shared" si="175"/>
        <v>0</v>
      </c>
      <c r="X512" s="1">
        <f t="shared" si="176"/>
        <v>0</v>
      </c>
      <c r="Y512" s="1">
        <f t="shared" si="177"/>
        <v>0</v>
      </c>
      <c r="Z512" s="1">
        <f t="shared" si="178"/>
        <v>0</v>
      </c>
      <c r="AA512" s="1">
        <f t="shared" si="179"/>
        <v>0</v>
      </c>
      <c r="AB512" s="1">
        <f t="shared" si="180"/>
        <v>0</v>
      </c>
      <c r="AD512" s="1">
        <f t="shared" si="181"/>
        <v>0</v>
      </c>
      <c r="AE512" s="1">
        <f t="shared" si="182"/>
        <v>1</v>
      </c>
      <c r="AF512" s="1">
        <f t="shared" si="183"/>
        <v>0</v>
      </c>
      <c r="AG512" s="1">
        <f t="shared" si="184"/>
        <v>1</v>
      </c>
      <c r="AH512" s="1">
        <f t="shared" si="185"/>
        <v>0</v>
      </c>
      <c r="AI512" s="1">
        <f t="shared" si="186"/>
        <v>1</v>
      </c>
    </row>
    <row r="513" spans="1:35" s="1" customFormat="1" ht="14.25" customHeight="1" x14ac:dyDescent="0.25">
      <c r="A513" s="31">
        <v>0</v>
      </c>
      <c r="B513" s="31">
        <v>2</v>
      </c>
      <c r="C513" s="31">
        <v>7</v>
      </c>
      <c r="D513" s="32" t="s">
        <v>63</v>
      </c>
      <c r="E513" s="32" t="s">
        <v>44</v>
      </c>
      <c r="F513" s="32" t="s">
        <v>235</v>
      </c>
      <c r="G513" s="32" t="s">
        <v>199</v>
      </c>
      <c r="H513" s="32" t="s">
        <v>352</v>
      </c>
      <c r="I513" s="31" t="s">
        <v>400</v>
      </c>
      <c r="J513" s="31">
        <v>2</v>
      </c>
      <c r="K513" s="33" t="s">
        <v>704</v>
      </c>
      <c r="L513" s="33" t="s">
        <v>713</v>
      </c>
      <c r="M513" s="34" t="s">
        <v>726</v>
      </c>
      <c r="N513" s="34" t="s">
        <v>1696</v>
      </c>
      <c r="O513" s="35">
        <v>1</v>
      </c>
      <c r="P513" s="35"/>
      <c r="Q513" s="32"/>
      <c r="S513" s="1">
        <f t="shared" si="171"/>
        <v>0</v>
      </c>
      <c r="T513" s="1">
        <f t="shared" si="172"/>
        <v>1</v>
      </c>
      <c r="U513" s="1">
        <f t="shared" si="173"/>
        <v>0</v>
      </c>
      <c r="V513" s="1">
        <f t="shared" si="174"/>
        <v>0</v>
      </c>
      <c r="W513" s="1">
        <f t="shared" si="175"/>
        <v>0</v>
      </c>
      <c r="X513" s="1">
        <f t="shared" si="176"/>
        <v>0</v>
      </c>
      <c r="Y513" s="1">
        <f t="shared" si="177"/>
        <v>0</v>
      </c>
      <c r="Z513" s="1">
        <f t="shared" si="178"/>
        <v>0</v>
      </c>
      <c r="AA513" s="1">
        <f t="shared" si="179"/>
        <v>0</v>
      </c>
      <c r="AB513" s="1">
        <f t="shared" si="180"/>
        <v>0</v>
      </c>
      <c r="AD513" s="1">
        <f t="shared" si="181"/>
        <v>0</v>
      </c>
      <c r="AE513" s="1">
        <f t="shared" si="182"/>
        <v>1</v>
      </c>
      <c r="AF513" s="1">
        <f t="shared" si="183"/>
        <v>0</v>
      </c>
      <c r="AG513" s="1">
        <f t="shared" si="184"/>
        <v>1</v>
      </c>
      <c r="AH513" s="1">
        <f t="shared" si="185"/>
        <v>0</v>
      </c>
      <c r="AI513" s="1">
        <f t="shared" si="186"/>
        <v>1</v>
      </c>
    </row>
    <row r="514" spans="1:35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35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35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35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35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35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35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35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35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35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35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35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35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35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35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L802" s="10"/>
      <c r="M802" s="19"/>
      <c r="N802" s="17"/>
      <c r="Q802" s="20"/>
    </row>
    <row r="803" spans="1:17" s="1" customFormat="1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L803" s="10"/>
      <c r="M803" s="19"/>
      <c r="N803" s="17"/>
      <c r="Q803" s="20"/>
    </row>
    <row r="804" spans="1:17" s="1" customFormat="1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L804" s="10"/>
      <c r="M804" s="19"/>
      <c r="N804" s="17"/>
      <c r="Q804" s="20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9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9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9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9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7"/>
      <c r="N809" s="17"/>
      <c r="Q809" s="16"/>
    </row>
    <row r="810" spans="1:17" s="1" customFormat="1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L810" s="10"/>
      <c r="M810" s="17"/>
      <c r="N810" s="17"/>
      <c r="Q810" s="16"/>
    </row>
    <row r="811" spans="1:17" s="1" customFormat="1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L811" s="10"/>
      <c r="M811" s="17"/>
      <c r="N811" s="17"/>
      <c r="Q811" s="16"/>
    </row>
    <row r="812" spans="1:17" s="1" customFormat="1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L812" s="10"/>
      <c r="M812" s="17"/>
      <c r="N812" s="17"/>
      <c r="Q812" s="16"/>
    </row>
  </sheetData>
  <autoFilter ref="A7:Q513" xr:uid="{AEE30112-88BB-441D-AEFC-A7A733AB1798}">
    <sortState xmlns:xlrd2="http://schemas.microsoft.com/office/spreadsheetml/2017/richdata2" ref="A8:Q513">
      <sortCondition ref="B8:B513"/>
      <sortCondition ref="C8:C513"/>
      <sortCondition ref="D8:D513"/>
      <sortCondition ref="A8:A513"/>
    </sortState>
  </autoFilter>
  <sortState xmlns:xlrd2="http://schemas.microsoft.com/office/spreadsheetml/2017/richdata2" ref="A8:Q513">
    <sortCondition ref="B8:B513"/>
    <sortCondition ref="C8:C513"/>
    <sortCondition ref="D8:D513"/>
    <sortCondition ref="A8:A51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2026-10-03T18:03:48Z</dcterms:modified>
</cp:coreProperties>
</file>