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EE8E23F7-BECF-4EC5-8F5B-DCDECCBA1A0F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golose'!$A$7:$Q$512</definedName>
    <definedName name="_xlnm.Print_Area" localSheetId="0">'Tavole e pause golose'!$D$7:$I$190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382" i="6" l="1"/>
  <c r="AE382" i="6"/>
  <c r="AF382" i="6"/>
  <c r="AG382" i="6"/>
  <c r="AH382" i="6"/>
  <c r="AI382" i="6"/>
  <c r="AD383" i="6"/>
  <c r="AE383" i="6"/>
  <c r="AF383" i="6"/>
  <c r="AG383" i="6"/>
  <c r="AH383" i="6"/>
  <c r="AI383" i="6"/>
  <c r="AD384" i="6"/>
  <c r="AE384" i="6"/>
  <c r="AF384" i="6"/>
  <c r="AG384" i="6"/>
  <c r="AH384" i="6"/>
  <c r="AI384" i="6"/>
  <c r="AD385" i="6"/>
  <c r="AE385" i="6"/>
  <c r="AF385" i="6"/>
  <c r="AG385" i="6"/>
  <c r="AH385" i="6"/>
  <c r="AI385" i="6"/>
  <c r="S382" i="6"/>
  <c r="T382" i="6"/>
  <c r="U382" i="6"/>
  <c r="V382" i="6"/>
  <c r="W382" i="6"/>
  <c r="X382" i="6"/>
  <c r="Y382" i="6"/>
  <c r="Z382" i="6"/>
  <c r="AA382" i="6"/>
  <c r="AB382" i="6"/>
  <c r="AD453" i="6"/>
  <c r="AE453" i="6"/>
  <c r="AF453" i="6"/>
  <c r="AG453" i="6"/>
  <c r="AH453" i="6"/>
  <c r="AI453" i="6"/>
  <c r="AD454" i="6"/>
  <c r="AE454" i="6"/>
  <c r="AF454" i="6"/>
  <c r="AG454" i="6"/>
  <c r="AH454" i="6"/>
  <c r="AI454" i="6"/>
  <c r="AD455" i="6"/>
  <c r="AE455" i="6"/>
  <c r="AF455" i="6"/>
  <c r="AG455" i="6"/>
  <c r="AH455" i="6"/>
  <c r="AI455" i="6"/>
  <c r="S453" i="6"/>
  <c r="S230" i="6"/>
  <c r="S231" i="6"/>
  <c r="S232" i="6"/>
  <c r="AD231" i="6"/>
  <c r="AE231" i="6"/>
  <c r="AF231" i="6"/>
  <c r="AG231" i="6"/>
  <c r="AH231" i="6"/>
  <c r="AI231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AD230" i="6"/>
  <c r="AE230" i="6"/>
  <c r="AF230" i="6"/>
  <c r="AG230" i="6"/>
  <c r="AH230" i="6"/>
  <c r="AI230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3" i="6"/>
  <c r="S384" i="6"/>
  <c r="S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4" i="6"/>
  <c r="S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S494" i="6"/>
  <c r="AD494" i="6"/>
  <c r="AE494" i="6"/>
  <c r="AF494" i="6"/>
  <c r="AG494" i="6"/>
  <c r="AH494" i="6"/>
  <c r="AI494" i="6"/>
  <c r="S495" i="6"/>
  <c r="AD495" i="6"/>
  <c r="AE495" i="6"/>
  <c r="AF495" i="6"/>
  <c r="AG495" i="6"/>
  <c r="AH495" i="6"/>
  <c r="AI495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S498" i="6"/>
  <c r="AD498" i="6"/>
  <c r="AE498" i="6"/>
  <c r="AF498" i="6"/>
  <c r="AG498" i="6"/>
  <c r="AH498" i="6"/>
  <c r="AI498" i="6"/>
  <c r="S499" i="6"/>
  <c r="AD499" i="6"/>
  <c r="AE499" i="6"/>
  <c r="AF499" i="6"/>
  <c r="AG499" i="6"/>
  <c r="AH499" i="6"/>
  <c r="AI499" i="6"/>
  <c r="S500" i="6"/>
  <c r="AD500" i="6"/>
  <c r="AE500" i="6"/>
  <c r="AF500" i="6"/>
  <c r="AG500" i="6"/>
  <c r="AH500" i="6"/>
  <c r="AI500" i="6"/>
  <c r="S501" i="6"/>
  <c r="AD501" i="6"/>
  <c r="AE501" i="6"/>
  <c r="AF501" i="6"/>
  <c r="AG501" i="6"/>
  <c r="AH501" i="6"/>
  <c r="AI501" i="6"/>
  <c r="S502" i="6"/>
  <c r="AD502" i="6"/>
  <c r="AE502" i="6"/>
  <c r="AF502" i="6"/>
  <c r="AG502" i="6"/>
  <c r="AH502" i="6"/>
  <c r="AI502" i="6"/>
  <c r="S503" i="6"/>
  <c r="AD503" i="6"/>
  <c r="AE503" i="6"/>
  <c r="AF503" i="6"/>
  <c r="AG503" i="6"/>
  <c r="AH503" i="6"/>
  <c r="AI503" i="6"/>
  <c r="S504" i="6"/>
  <c r="AD504" i="6"/>
  <c r="AE504" i="6"/>
  <c r="AF504" i="6"/>
  <c r="AG504" i="6"/>
  <c r="AH504" i="6"/>
  <c r="AI504" i="6"/>
  <c r="S505" i="6"/>
  <c r="AD505" i="6"/>
  <c r="AE505" i="6"/>
  <c r="AF505" i="6"/>
  <c r="AG505" i="6"/>
  <c r="AH505" i="6"/>
  <c r="AI505" i="6"/>
  <c r="S506" i="6"/>
  <c r="AD506" i="6"/>
  <c r="AE506" i="6"/>
  <c r="AF506" i="6"/>
  <c r="AG506" i="6"/>
  <c r="AH506" i="6"/>
  <c r="AI506" i="6"/>
  <c r="S507" i="6"/>
  <c r="AD507" i="6"/>
  <c r="AE507" i="6"/>
  <c r="AF507" i="6"/>
  <c r="AG507" i="6"/>
  <c r="AH507" i="6"/>
  <c r="AI507" i="6"/>
  <c r="S508" i="6"/>
  <c r="AD508" i="6"/>
  <c r="AE508" i="6"/>
  <c r="AF508" i="6"/>
  <c r="AG508" i="6"/>
  <c r="AH508" i="6"/>
  <c r="AI508" i="6"/>
  <c r="S509" i="6"/>
  <c r="AD509" i="6"/>
  <c r="AE509" i="6"/>
  <c r="AF509" i="6"/>
  <c r="AG509" i="6"/>
  <c r="AH509" i="6"/>
  <c r="AI509" i="6"/>
  <c r="S510" i="6"/>
  <c r="AD510" i="6"/>
  <c r="AE510" i="6"/>
  <c r="AF510" i="6"/>
  <c r="AG510" i="6"/>
  <c r="AH510" i="6"/>
  <c r="AI510" i="6"/>
  <c r="S511" i="6"/>
  <c r="AD511" i="6"/>
  <c r="AE511" i="6"/>
  <c r="AF511" i="6"/>
  <c r="AG511" i="6"/>
  <c r="AH511" i="6"/>
  <c r="AI511" i="6"/>
  <c r="S512" i="6"/>
  <c r="AD512" i="6"/>
  <c r="AE512" i="6"/>
  <c r="AF512" i="6"/>
  <c r="AG512" i="6"/>
  <c r="AH512" i="6"/>
  <c r="AI512" i="6"/>
  <c r="S13" i="6" l="1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53" i="6" s="1"/>
  <c r="T230" i="6" l="1"/>
  <c r="T232" i="6"/>
  <c r="T231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4" i="6"/>
  <c r="T132" i="6"/>
  <c r="T142" i="6"/>
  <c r="T135" i="6"/>
  <c r="T121" i="6"/>
  <c r="T129" i="6"/>
  <c r="T141" i="6"/>
  <c r="T126" i="6"/>
  <c r="T140" i="6"/>
  <c r="T134" i="6"/>
  <c r="T123" i="6"/>
  <c r="T131" i="6"/>
  <c r="T139" i="6"/>
  <c r="T120" i="6"/>
  <c r="T128" i="6"/>
  <c r="T138" i="6"/>
  <c r="T125" i="6"/>
  <c r="T133" i="6"/>
  <c r="T137" i="6"/>
  <c r="T145" i="6"/>
  <c r="T146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1" i="6"/>
  <c r="T202" i="6"/>
  <c r="T203" i="6"/>
  <c r="T204" i="6"/>
  <c r="T205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127" i="6"/>
  <c r="T136" i="6"/>
  <c r="T143" i="6"/>
  <c r="T223" i="6"/>
  <c r="T240" i="6"/>
  <c r="T222" i="6"/>
  <c r="T239" i="6"/>
  <c r="T122" i="6"/>
  <c r="T218" i="6"/>
  <c r="T221" i="6"/>
  <c r="T229" i="6"/>
  <c r="T238" i="6"/>
  <c r="T228" i="6"/>
  <c r="T237" i="6"/>
  <c r="T220" i="6"/>
  <c r="T227" i="6"/>
  <c r="T236" i="6"/>
  <c r="T144" i="6"/>
  <c r="T226" i="6"/>
  <c r="T235" i="6"/>
  <c r="T225" i="6"/>
  <c r="T234" i="6"/>
  <c r="T219" i="6"/>
  <c r="T224" i="6"/>
  <c r="T243" i="6"/>
  <c r="T259" i="6"/>
  <c r="T275" i="6"/>
  <c r="T291" i="6"/>
  <c r="T252" i="6"/>
  <c r="T268" i="6"/>
  <c r="T284" i="6"/>
  <c r="T300" i="6"/>
  <c r="T245" i="6"/>
  <c r="T261" i="6"/>
  <c r="T277" i="6"/>
  <c r="T293" i="6"/>
  <c r="T254" i="6"/>
  <c r="T270" i="6"/>
  <c r="T286" i="6"/>
  <c r="T302" i="6"/>
  <c r="T307" i="6"/>
  <c r="T311" i="6"/>
  <c r="T315" i="6"/>
  <c r="T319" i="6"/>
  <c r="T323" i="6"/>
  <c r="T247" i="6"/>
  <c r="T263" i="6"/>
  <c r="T279" i="6"/>
  <c r="T295" i="6"/>
  <c r="T256" i="6"/>
  <c r="T272" i="6"/>
  <c r="T288" i="6"/>
  <c r="T304" i="6"/>
  <c r="T249" i="6"/>
  <c r="T265" i="6"/>
  <c r="T281" i="6"/>
  <c r="T297" i="6"/>
  <c r="T242" i="6"/>
  <c r="T258" i="6"/>
  <c r="T274" i="6"/>
  <c r="T290" i="6"/>
  <c r="T306" i="6"/>
  <c r="T310" i="6"/>
  <c r="T314" i="6"/>
  <c r="T318" i="6"/>
  <c r="T322" i="6"/>
  <c r="T326" i="6"/>
  <c r="T327" i="6"/>
  <c r="T328" i="6"/>
  <c r="T329" i="6"/>
  <c r="T330" i="6"/>
  <c r="T331" i="6"/>
  <c r="T332" i="6"/>
  <c r="T333" i="6"/>
  <c r="T334" i="6"/>
  <c r="T335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376" i="6"/>
  <c r="T377" i="6"/>
  <c r="T378" i="6"/>
  <c r="T379" i="6"/>
  <c r="T380" i="6"/>
  <c r="T381" i="6"/>
  <c r="T383" i="6"/>
  <c r="T384" i="6"/>
  <c r="T385" i="6"/>
  <c r="T386" i="6"/>
  <c r="T130" i="6"/>
  <c r="T251" i="6"/>
  <c r="T267" i="6"/>
  <c r="T283" i="6"/>
  <c r="T299" i="6"/>
  <c r="T244" i="6"/>
  <c r="T260" i="6"/>
  <c r="T276" i="6"/>
  <c r="T292" i="6"/>
  <c r="T253" i="6"/>
  <c r="T269" i="6"/>
  <c r="T285" i="6"/>
  <c r="T301" i="6"/>
  <c r="T246" i="6"/>
  <c r="T262" i="6"/>
  <c r="T278" i="6"/>
  <c r="T294" i="6"/>
  <c r="T309" i="6"/>
  <c r="T313" i="6"/>
  <c r="T317" i="6"/>
  <c r="T321" i="6"/>
  <c r="T325" i="6"/>
  <c r="T255" i="6"/>
  <c r="T271" i="6"/>
  <c r="T287" i="6"/>
  <c r="T303" i="6"/>
  <c r="T248" i="6"/>
  <c r="T264" i="6"/>
  <c r="T280" i="6"/>
  <c r="T296" i="6"/>
  <c r="T316" i="6"/>
  <c r="T392" i="6"/>
  <c r="T266" i="6"/>
  <c r="T312" i="6"/>
  <c r="T233" i="6"/>
  <c r="T308" i="6"/>
  <c r="T391" i="6"/>
  <c r="T273" i="6"/>
  <c r="T390" i="6"/>
  <c r="T282" i="6"/>
  <c r="T389" i="6"/>
  <c r="T289" i="6"/>
  <c r="T388" i="6"/>
  <c r="T298" i="6"/>
  <c r="T396" i="6"/>
  <c r="T397" i="6"/>
  <c r="T398" i="6"/>
  <c r="T399" i="6"/>
  <c r="T400" i="6"/>
  <c r="T401" i="6"/>
  <c r="T402" i="6"/>
  <c r="T403" i="6"/>
  <c r="T404" i="6"/>
  <c r="T405" i="6"/>
  <c r="T406" i="6"/>
  <c r="T407" i="6"/>
  <c r="T408" i="6"/>
  <c r="T409" i="6"/>
  <c r="T410" i="6"/>
  <c r="T411" i="6"/>
  <c r="T412" i="6"/>
  <c r="T413" i="6"/>
  <c r="T414" i="6"/>
  <c r="T415" i="6"/>
  <c r="T416" i="6"/>
  <c r="T417" i="6"/>
  <c r="T418" i="6"/>
  <c r="T419" i="6"/>
  <c r="T420" i="6"/>
  <c r="T421" i="6"/>
  <c r="T422" i="6"/>
  <c r="T423" i="6"/>
  <c r="T424" i="6"/>
  <c r="T425" i="6"/>
  <c r="T426" i="6"/>
  <c r="T427" i="6"/>
  <c r="T428" i="6"/>
  <c r="T429" i="6"/>
  <c r="T430" i="6"/>
  <c r="T431" i="6"/>
  <c r="T432" i="6"/>
  <c r="T433" i="6"/>
  <c r="T434" i="6"/>
  <c r="T435" i="6"/>
  <c r="T436" i="6"/>
  <c r="T437" i="6"/>
  <c r="T438" i="6"/>
  <c r="T439" i="6"/>
  <c r="T440" i="6"/>
  <c r="T441" i="6"/>
  <c r="T442" i="6"/>
  <c r="T443" i="6"/>
  <c r="T444" i="6"/>
  <c r="T445" i="6"/>
  <c r="T395" i="6"/>
  <c r="T241" i="6"/>
  <c r="T305" i="6"/>
  <c r="T387" i="6"/>
  <c r="T394" i="6"/>
  <c r="T250" i="6"/>
  <c r="T324" i="6"/>
  <c r="T456" i="6"/>
  <c r="T393" i="6"/>
  <c r="T461" i="6"/>
  <c r="T449" i="6"/>
  <c r="T466" i="6"/>
  <c r="T320" i="6"/>
  <c r="T455" i="6"/>
  <c r="T460" i="6"/>
  <c r="T471" i="6"/>
  <c r="T476" i="6"/>
  <c r="T478" i="6"/>
  <c r="T482" i="6"/>
  <c r="T485" i="6"/>
  <c r="T488" i="6"/>
  <c r="T492" i="6"/>
  <c r="T494" i="6"/>
  <c r="T497" i="6"/>
  <c r="T501" i="6"/>
  <c r="T505" i="6"/>
  <c r="T507" i="6"/>
  <c r="T510" i="6"/>
  <c r="T448" i="6"/>
  <c r="T465" i="6"/>
  <c r="T473" i="6"/>
  <c r="T479" i="6"/>
  <c r="T484" i="6"/>
  <c r="T487" i="6"/>
  <c r="T491" i="6"/>
  <c r="T496" i="6"/>
  <c r="T499" i="6"/>
  <c r="T503" i="6"/>
  <c r="T506" i="6"/>
  <c r="T509" i="6"/>
  <c r="T511" i="6"/>
  <c r="T454" i="6"/>
  <c r="T472" i="6"/>
  <c r="T475" i="6"/>
  <c r="T477" i="6"/>
  <c r="T480" i="6"/>
  <c r="T483" i="6"/>
  <c r="T486" i="6"/>
  <c r="T489" i="6"/>
  <c r="T493" i="6"/>
  <c r="T495" i="6"/>
  <c r="T498" i="6"/>
  <c r="T502" i="6"/>
  <c r="T504" i="6"/>
  <c r="T508" i="6"/>
  <c r="T512" i="6"/>
  <c r="T459" i="6"/>
  <c r="T470" i="6"/>
  <c r="T474" i="6"/>
  <c r="T481" i="6"/>
  <c r="T490" i="6"/>
  <c r="T500" i="6"/>
  <c r="T467" i="6"/>
  <c r="T447" i="6"/>
  <c r="T464" i="6"/>
  <c r="T469" i="6"/>
  <c r="T257" i="6"/>
  <c r="T452" i="6"/>
  <c r="T458" i="6"/>
  <c r="T450" i="6"/>
  <c r="T446" i="6"/>
  <c r="T463" i="6"/>
  <c r="T451" i="6"/>
  <c r="T468" i="6"/>
  <c r="T457" i="6"/>
  <c r="T462" i="6"/>
  <c r="T13" i="6"/>
  <c r="T14" i="6"/>
  <c r="T9" i="6"/>
  <c r="T11" i="6"/>
  <c r="U7" i="6"/>
  <c r="U453" i="6" s="1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230" i="6" l="1"/>
  <c r="U232" i="6"/>
  <c r="U231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5" i="6"/>
  <c r="U96" i="6"/>
  <c r="U97" i="6"/>
  <c r="U98" i="6"/>
  <c r="U99" i="6"/>
  <c r="U103" i="6"/>
  <c r="U119" i="6"/>
  <c r="U127" i="6"/>
  <c r="U136" i="6"/>
  <c r="U143" i="6"/>
  <c r="U112" i="6"/>
  <c r="U105" i="6"/>
  <c r="U124" i="6"/>
  <c r="U132" i="6"/>
  <c r="U142" i="6"/>
  <c r="U114" i="6"/>
  <c r="U135" i="6"/>
  <c r="U107" i="6"/>
  <c r="U121" i="6"/>
  <c r="U129" i="6"/>
  <c r="U141" i="6"/>
  <c r="U100" i="6"/>
  <c r="U116" i="6"/>
  <c r="U109" i="6"/>
  <c r="U126" i="6"/>
  <c r="U140" i="6"/>
  <c r="U102" i="6"/>
  <c r="U118" i="6"/>
  <c r="U134" i="6"/>
  <c r="U111" i="6"/>
  <c r="U123" i="6"/>
  <c r="U131" i="6"/>
  <c r="U139" i="6"/>
  <c r="U104" i="6"/>
  <c r="U113" i="6"/>
  <c r="U120" i="6"/>
  <c r="U128" i="6"/>
  <c r="U138" i="6"/>
  <c r="U106" i="6"/>
  <c r="U115" i="6"/>
  <c r="U125" i="6"/>
  <c r="U133" i="6"/>
  <c r="U110" i="6"/>
  <c r="U159" i="6"/>
  <c r="U175" i="6"/>
  <c r="U191" i="6"/>
  <c r="U207" i="6"/>
  <c r="U152" i="6"/>
  <c r="U168" i="6"/>
  <c r="U184" i="6"/>
  <c r="U200" i="6"/>
  <c r="U216" i="6"/>
  <c r="U223" i="6"/>
  <c r="U240" i="6"/>
  <c r="U145" i="6"/>
  <c r="U161" i="6"/>
  <c r="U177" i="6"/>
  <c r="U193" i="6"/>
  <c r="U209" i="6"/>
  <c r="U137" i="6"/>
  <c r="U154" i="6"/>
  <c r="U170" i="6"/>
  <c r="U186" i="6"/>
  <c r="U202" i="6"/>
  <c r="U222" i="6"/>
  <c r="U239" i="6"/>
  <c r="U122" i="6"/>
  <c r="U147" i="6"/>
  <c r="U163" i="6"/>
  <c r="U179" i="6"/>
  <c r="U195" i="6"/>
  <c r="U211" i="6"/>
  <c r="U218" i="6"/>
  <c r="U156" i="6"/>
  <c r="U172" i="6"/>
  <c r="U188" i="6"/>
  <c r="U204" i="6"/>
  <c r="U221" i="6"/>
  <c r="U229" i="6"/>
  <c r="U238" i="6"/>
  <c r="U149" i="6"/>
  <c r="U165" i="6"/>
  <c r="U181" i="6"/>
  <c r="U197" i="6"/>
  <c r="U213" i="6"/>
  <c r="U158" i="6"/>
  <c r="U174" i="6"/>
  <c r="U190" i="6"/>
  <c r="U206" i="6"/>
  <c r="U228" i="6"/>
  <c r="U237" i="6"/>
  <c r="U151" i="6"/>
  <c r="U167" i="6"/>
  <c r="U183" i="6"/>
  <c r="U199" i="6"/>
  <c r="U215" i="6"/>
  <c r="U160" i="6"/>
  <c r="U176" i="6"/>
  <c r="U192" i="6"/>
  <c r="U208" i="6"/>
  <c r="U220" i="6"/>
  <c r="U227" i="6"/>
  <c r="U236" i="6"/>
  <c r="U144" i="6"/>
  <c r="U153" i="6"/>
  <c r="U169" i="6"/>
  <c r="U185" i="6"/>
  <c r="U201" i="6"/>
  <c r="U217" i="6"/>
  <c r="U101" i="6"/>
  <c r="U146" i="6"/>
  <c r="U162" i="6"/>
  <c r="U178" i="6"/>
  <c r="U194" i="6"/>
  <c r="U210" i="6"/>
  <c r="U226" i="6"/>
  <c r="U235" i="6"/>
  <c r="U155" i="6"/>
  <c r="U171" i="6"/>
  <c r="U187" i="6"/>
  <c r="U203" i="6"/>
  <c r="U108" i="6"/>
  <c r="U148" i="6"/>
  <c r="U164" i="6"/>
  <c r="U180" i="6"/>
  <c r="U196" i="6"/>
  <c r="U212" i="6"/>
  <c r="U225" i="6"/>
  <c r="U234" i="6"/>
  <c r="U233" i="6"/>
  <c r="U250" i="6"/>
  <c r="U266" i="6"/>
  <c r="U282" i="6"/>
  <c r="U298" i="6"/>
  <c r="U308" i="6"/>
  <c r="U312" i="6"/>
  <c r="U316" i="6"/>
  <c r="U320" i="6"/>
  <c r="U324" i="6"/>
  <c r="U189" i="6"/>
  <c r="U224" i="6"/>
  <c r="U243" i="6"/>
  <c r="U259" i="6"/>
  <c r="U275" i="6"/>
  <c r="U291" i="6"/>
  <c r="U252" i="6"/>
  <c r="U268" i="6"/>
  <c r="U284" i="6"/>
  <c r="U300" i="6"/>
  <c r="U198" i="6"/>
  <c r="U245" i="6"/>
  <c r="U261" i="6"/>
  <c r="U277" i="6"/>
  <c r="U293" i="6"/>
  <c r="U254" i="6"/>
  <c r="U270" i="6"/>
  <c r="U286" i="6"/>
  <c r="U302" i="6"/>
  <c r="U307" i="6"/>
  <c r="U311" i="6"/>
  <c r="U315" i="6"/>
  <c r="U319" i="6"/>
  <c r="U323" i="6"/>
  <c r="U205" i="6"/>
  <c r="U247" i="6"/>
  <c r="U263" i="6"/>
  <c r="U279" i="6"/>
  <c r="U295" i="6"/>
  <c r="U256" i="6"/>
  <c r="U272" i="6"/>
  <c r="U288" i="6"/>
  <c r="U304" i="6"/>
  <c r="U150" i="6"/>
  <c r="U214" i="6"/>
  <c r="U249" i="6"/>
  <c r="U265" i="6"/>
  <c r="U281" i="6"/>
  <c r="U297" i="6"/>
  <c r="U242" i="6"/>
  <c r="U258" i="6"/>
  <c r="U274" i="6"/>
  <c r="U290" i="6"/>
  <c r="U306" i="6"/>
  <c r="U310" i="6"/>
  <c r="U314" i="6"/>
  <c r="U318" i="6"/>
  <c r="U322" i="6"/>
  <c r="U326" i="6"/>
  <c r="U327" i="6"/>
  <c r="U328" i="6"/>
  <c r="U329" i="6"/>
  <c r="U330" i="6"/>
  <c r="U331" i="6"/>
  <c r="U332" i="6"/>
  <c r="U333" i="6"/>
  <c r="U334" i="6"/>
  <c r="U335" i="6"/>
  <c r="U336" i="6"/>
  <c r="U337" i="6"/>
  <c r="U338" i="6"/>
  <c r="U339" i="6"/>
  <c r="U340" i="6"/>
  <c r="U341" i="6"/>
  <c r="U342" i="6"/>
  <c r="U343" i="6"/>
  <c r="U344" i="6"/>
  <c r="U345" i="6"/>
  <c r="U346" i="6"/>
  <c r="U347" i="6"/>
  <c r="U348" i="6"/>
  <c r="U349" i="6"/>
  <c r="U350" i="6"/>
  <c r="U351" i="6"/>
  <c r="U352" i="6"/>
  <c r="U353" i="6"/>
  <c r="U354" i="6"/>
  <c r="U355" i="6"/>
  <c r="U356" i="6"/>
  <c r="U357" i="6"/>
  <c r="U358" i="6"/>
  <c r="U359" i="6"/>
  <c r="U360" i="6"/>
  <c r="U361" i="6"/>
  <c r="U362" i="6"/>
  <c r="U363" i="6"/>
  <c r="U364" i="6"/>
  <c r="U365" i="6"/>
  <c r="U366" i="6"/>
  <c r="U367" i="6"/>
  <c r="U368" i="6"/>
  <c r="U369" i="6"/>
  <c r="U370" i="6"/>
  <c r="U371" i="6"/>
  <c r="U372" i="6"/>
  <c r="U373" i="6"/>
  <c r="U374" i="6"/>
  <c r="U375" i="6"/>
  <c r="U376" i="6"/>
  <c r="U377" i="6"/>
  <c r="U378" i="6"/>
  <c r="U379" i="6"/>
  <c r="U380" i="6"/>
  <c r="U381" i="6"/>
  <c r="U383" i="6"/>
  <c r="U384" i="6"/>
  <c r="U385" i="6"/>
  <c r="U386" i="6"/>
  <c r="U387" i="6"/>
  <c r="U388" i="6"/>
  <c r="U389" i="6"/>
  <c r="U390" i="6"/>
  <c r="U391" i="6"/>
  <c r="U392" i="6"/>
  <c r="U393" i="6"/>
  <c r="U394" i="6"/>
  <c r="U130" i="6"/>
  <c r="U157" i="6"/>
  <c r="U251" i="6"/>
  <c r="U267" i="6"/>
  <c r="U283" i="6"/>
  <c r="U299" i="6"/>
  <c r="U244" i="6"/>
  <c r="U260" i="6"/>
  <c r="U276" i="6"/>
  <c r="U292" i="6"/>
  <c r="U166" i="6"/>
  <c r="U219" i="6"/>
  <c r="U253" i="6"/>
  <c r="U269" i="6"/>
  <c r="U285" i="6"/>
  <c r="U301" i="6"/>
  <c r="U117" i="6"/>
  <c r="U246" i="6"/>
  <c r="U262" i="6"/>
  <c r="U278" i="6"/>
  <c r="U294" i="6"/>
  <c r="U309" i="6"/>
  <c r="U313" i="6"/>
  <c r="U317" i="6"/>
  <c r="U321" i="6"/>
  <c r="U325" i="6"/>
  <c r="U173" i="6"/>
  <c r="U255" i="6"/>
  <c r="U271" i="6"/>
  <c r="U287" i="6"/>
  <c r="U303" i="6"/>
  <c r="U257" i="6"/>
  <c r="U264" i="6"/>
  <c r="U182" i="6"/>
  <c r="U273" i="6"/>
  <c r="U280" i="6"/>
  <c r="U289" i="6"/>
  <c r="U296" i="6"/>
  <c r="U396" i="6"/>
  <c r="U397" i="6"/>
  <c r="U398" i="6"/>
  <c r="U399" i="6"/>
  <c r="U400" i="6"/>
  <c r="U401" i="6"/>
  <c r="U402" i="6"/>
  <c r="U403" i="6"/>
  <c r="U404" i="6"/>
  <c r="U405" i="6"/>
  <c r="U406" i="6"/>
  <c r="U407" i="6"/>
  <c r="U408" i="6"/>
  <c r="U409" i="6"/>
  <c r="U410" i="6"/>
  <c r="U411" i="6"/>
  <c r="U412" i="6"/>
  <c r="U413" i="6"/>
  <c r="U414" i="6"/>
  <c r="U415" i="6"/>
  <c r="U416" i="6"/>
  <c r="U417" i="6"/>
  <c r="U418" i="6"/>
  <c r="U419" i="6"/>
  <c r="U420" i="6"/>
  <c r="U421" i="6"/>
  <c r="U422" i="6"/>
  <c r="U423" i="6"/>
  <c r="U424" i="6"/>
  <c r="U425" i="6"/>
  <c r="U426" i="6"/>
  <c r="U427" i="6"/>
  <c r="U428" i="6"/>
  <c r="U429" i="6"/>
  <c r="U430" i="6"/>
  <c r="U431" i="6"/>
  <c r="U432" i="6"/>
  <c r="U433" i="6"/>
  <c r="U434" i="6"/>
  <c r="U435" i="6"/>
  <c r="U436" i="6"/>
  <c r="U437" i="6"/>
  <c r="U438" i="6"/>
  <c r="U439" i="6"/>
  <c r="U440" i="6"/>
  <c r="U395" i="6"/>
  <c r="U241" i="6"/>
  <c r="U305" i="6"/>
  <c r="U445" i="6"/>
  <c r="U450" i="6"/>
  <c r="U467" i="6"/>
  <c r="U456" i="6"/>
  <c r="U461" i="6"/>
  <c r="U449" i="6"/>
  <c r="U466" i="6"/>
  <c r="U462" i="6"/>
  <c r="U441" i="6"/>
  <c r="U455" i="6"/>
  <c r="U444" i="6"/>
  <c r="U460" i="6"/>
  <c r="U448" i="6"/>
  <c r="U465" i="6"/>
  <c r="U454" i="6"/>
  <c r="U459" i="6"/>
  <c r="U470" i="6"/>
  <c r="U471" i="6"/>
  <c r="U472" i="6"/>
  <c r="U473" i="6"/>
  <c r="U474" i="6"/>
  <c r="U475" i="6"/>
  <c r="U476" i="6"/>
  <c r="U477" i="6"/>
  <c r="U478" i="6"/>
  <c r="U479" i="6"/>
  <c r="U480" i="6"/>
  <c r="U481" i="6"/>
  <c r="U482" i="6"/>
  <c r="U483" i="6"/>
  <c r="U484" i="6"/>
  <c r="U485" i="6"/>
  <c r="U486" i="6"/>
  <c r="U487" i="6"/>
  <c r="U488" i="6"/>
  <c r="U489" i="6"/>
  <c r="U490" i="6"/>
  <c r="U491" i="6"/>
  <c r="U492" i="6"/>
  <c r="U493" i="6"/>
  <c r="U494" i="6"/>
  <c r="U495" i="6"/>
  <c r="U496" i="6"/>
  <c r="U497" i="6"/>
  <c r="U498" i="6"/>
  <c r="U499" i="6"/>
  <c r="U500" i="6"/>
  <c r="U501" i="6"/>
  <c r="U502" i="6"/>
  <c r="U503" i="6"/>
  <c r="U504" i="6"/>
  <c r="U505" i="6"/>
  <c r="U506" i="6"/>
  <c r="U507" i="6"/>
  <c r="U508" i="6"/>
  <c r="U509" i="6"/>
  <c r="U510" i="6"/>
  <c r="U511" i="6"/>
  <c r="U512" i="6"/>
  <c r="U248" i="6"/>
  <c r="U447" i="6"/>
  <c r="U464" i="6"/>
  <c r="U443" i="6"/>
  <c r="U452" i="6"/>
  <c r="U469" i="6"/>
  <c r="U442" i="6"/>
  <c r="U458" i="6"/>
  <c r="U446" i="6"/>
  <c r="U463" i="6"/>
  <c r="U451" i="6"/>
  <c r="U468" i="6"/>
  <c r="U457" i="6"/>
  <c r="U13" i="6"/>
  <c r="U14" i="6"/>
  <c r="V7" i="6"/>
  <c r="V453" i="6" s="1"/>
  <c r="U9" i="6"/>
  <c r="U11" i="6"/>
  <c r="U10" i="6"/>
  <c r="U8" i="6"/>
  <c r="U12" i="6"/>
  <c r="F5" i="6"/>
  <c r="G5" i="6"/>
  <c r="E5" i="6"/>
  <c r="H4" i="6"/>
  <c r="H3" i="6"/>
  <c r="T5" i="6"/>
  <c r="V230" i="6" l="1"/>
  <c r="V232" i="6"/>
  <c r="V231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10" i="6"/>
  <c r="V103" i="6"/>
  <c r="V119" i="6"/>
  <c r="V127" i="6"/>
  <c r="V136" i="6"/>
  <c r="V143" i="6"/>
  <c r="V112" i="6"/>
  <c r="V105" i="6"/>
  <c r="V124" i="6"/>
  <c r="V132" i="6"/>
  <c r="V142" i="6"/>
  <c r="V114" i="6"/>
  <c r="V135" i="6"/>
  <c r="V107" i="6"/>
  <c r="V121" i="6"/>
  <c r="V129" i="6"/>
  <c r="V141" i="6"/>
  <c r="V100" i="6"/>
  <c r="V116" i="6"/>
  <c r="V109" i="6"/>
  <c r="V126" i="6"/>
  <c r="V140" i="6"/>
  <c r="V102" i="6"/>
  <c r="V118" i="6"/>
  <c r="V134" i="6"/>
  <c r="V111" i="6"/>
  <c r="V123" i="6"/>
  <c r="V131" i="6"/>
  <c r="V139" i="6"/>
  <c r="V104" i="6"/>
  <c r="V113" i="6"/>
  <c r="V120" i="6"/>
  <c r="V128" i="6"/>
  <c r="V138" i="6"/>
  <c r="V106" i="6"/>
  <c r="V101" i="6"/>
  <c r="V117" i="6"/>
  <c r="V122" i="6"/>
  <c r="V130" i="6"/>
  <c r="V144" i="6"/>
  <c r="V115" i="6"/>
  <c r="V150" i="6"/>
  <c r="V166" i="6"/>
  <c r="V182" i="6"/>
  <c r="V198" i="6"/>
  <c r="V214" i="6"/>
  <c r="V224" i="6"/>
  <c r="V233" i="6"/>
  <c r="V241" i="6"/>
  <c r="V242" i="6"/>
  <c r="V243" i="6"/>
  <c r="V244" i="6"/>
  <c r="V245" i="6"/>
  <c r="V246" i="6"/>
  <c r="V247" i="6"/>
  <c r="V248" i="6"/>
  <c r="V249" i="6"/>
  <c r="V250" i="6"/>
  <c r="V251" i="6"/>
  <c r="V252" i="6"/>
  <c r="V253" i="6"/>
  <c r="V254" i="6"/>
  <c r="V255" i="6"/>
  <c r="V256" i="6"/>
  <c r="V257" i="6"/>
  <c r="V258" i="6"/>
  <c r="V259" i="6"/>
  <c r="V260" i="6"/>
  <c r="V261" i="6"/>
  <c r="V262" i="6"/>
  <c r="V263" i="6"/>
  <c r="V264" i="6"/>
  <c r="V265" i="6"/>
  <c r="V266" i="6"/>
  <c r="V267" i="6"/>
  <c r="V268" i="6"/>
  <c r="V269" i="6"/>
  <c r="V270" i="6"/>
  <c r="V271" i="6"/>
  <c r="V272" i="6"/>
  <c r="V273" i="6"/>
  <c r="V274" i="6"/>
  <c r="V275" i="6"/>
  <c r="V276" i="6"/>
  <c r="V277" i="6"/>
  <c r="V278" i="6"/>
  <c r="V279" i="6"/>
  <c r="V280" i="6"/>
  <c r="V281" i="6"/>
  <c r="V282" i="6"/>
  <c r="V283" i="6"/>
  <c r="V284" i="6"/>
  <c r="V285" i="6"/>
  <c r="V286" i="6"/>
  <c r="V287" i="6"/>
  <c r="V288" i="6"/>
  <c r="V289" i="6"/>
  <c r="V290" i="6"/>
  <c r="V291" i="6"/>
  <c r="V292" i="6"/>
  <c r="V293" i="6"/>
  <c r="V294" i="6"/>
  <c r="V295" i="6"/>
  <c r="V296" i="6"/>
  <c r="V297" i="6"/>
  <c r="V298" i="6"/>
  <c r="V299" i="6"/>
  <c r="V300" i="6"/>
  <c r="V301" i="6"/>
  <c r="V302" i="6"/>
  <c r="V303" i="6"/>
  <c r="V304" i="6"/>
  <c r="V305" i="6"/>
  <c r="V306" i="6"/>
  <c r="V307" i="6"/>
  <c r="V308" i="6"/>
  <c r="V309" i="6"/>
  <c r="V310" i="6"/>
  <c r="V311" i="6"/>
  <c r="V312" i="6"/>
  <c r="V313" i="6"/>
  <c r="V314" i="6"/>
  <c r="V315" i="6"/>
  <c r="V316" i="6"/>
  <c r="V317" i="6"/>
  <c r="V318" i="6"/>
  <c r="V319" i="6"/>
  <c r="V320" i="6"/>
  <c r="V321" i="6"/>
  <c r="V322" i="6"/>
  <c r="V323" i="6"/>
  <c r="V324" i="6"/>
  <c r="V325" i="6"/>
  <c r="V159" i="6"/>
  <c r="V175" i="6"/>
  <c r="V191" i="6"/>
  <c r="V207" i="6"/>
  <c r="V152" i="6"/>
  <c r="V168" i="6"/>
  <c r="V184" i="6"/>
  <c r="V200" i="6"/>
  <c r="V216" i="6"/>
  <c r="V223" i="6"/>
  <c r="V240" i="6"/>
  <c r="V145" i="6"/>
  <c r="V161" i="6"/>
  <c r="V177" i="6"/>
  <c r="V193" i="6"/>
  <c r="V209" i="6"/>
  <c r="V137" i="6"/>
  <c r="V154" i="6"/>
  <c r="V170" i="6"/>
  <c r="V186" i="6"/>
  <c r="V202" i="6"/>
  <c r="V222" i="6"/>
  <c r="V239" i="6"/>
  <c r="V133" i="6"/>
  <c r="V147" i="6"/>
  <c r="V163" i="6"/>
  <c r="V179" i="6"/>
  <c r="V195" i="6"/>
  <c r="V211" i="6"/>
  <c r="V218" i="6"/>
  <c r="V156" i="6"/>
  <c r="V172" i="6"/>
  <c r="V188" i="6"/>
  <c r="V204" i="6"/>
  <c r="V221" i="6"/>
  <c r="V229" i="6"/>
  <c r="V238" i="6"/>
  <c r="V149" i="6"/>
  <c r="V165" i="6"/>
  <c r="V181" i="6"/>
  <c r="V197" i="6"/>
  <c r="V213" i="6"/>
  <c r="V158" i="6"/>
  <c r="V174" i="6"/>
  <c r="V190" i="6"/>
  <c r="V206" i="6"/>
  <c r="V228" i="6"/>
  <c r="V237" i="6"/>
  <c r="V151" i="6"/>
  <c r="V167" i="6"/>
  <c r="V183" i="6"/>
  <c r="V199" i="6"/>
  <c r="V215" i="6"/>
  <c r="V125" i="6"/>
  <c r="V160" i="6"/>
  <c r="V176" i="6"/>
  <c r="V192" i="6"/>
  <c r="V208" i="6"/>
  <c r="V220" i="6"/>
  <c r="V227" i="6"/>
  <c r="V236" i="6"/>
  <c r="V153" i="6"/>
  <c r="V169" i="6"/>
  <c r="V185" i="6"/>
  <c r="V201" i="6"/>
  <c r="V217" i="6"/>
  <c r="V146" i="6"/>
  <c r="V162" i="6"/>
  <c r="V178" i="6"/>
  <c r="V194" i="6"/>
  <c r="V210" i="6"/>
  <c r="V226" i="6"/>
  <c r="V235" i="6"/>
  <c r="V155" i="6"/>
  <c r="V171" i="6"/>
  <c r="V187" i="6"/>
  <c r="V203" i="6"/>
  <c r="V180" i="6"/>
  <c r="V189" i="6"/>
  <c r="V196" i="6"/>
  <c r="V205" i="6"/>
  <c r="V148" i="6"/>
  <c r="V212" i="6"/>
  <c r="V234" i="6"/>
  <c r="V225" i="6"/>
  <c r="V326" i="6"/>
  <c r="V327" i="6"/>
  <c r="V328" i="6"/>
  <c r="V329" i="6"/>
  <c r="V330" i="6"/>
  <c r="V331" i="6"/>
  <c r="V332" i="6"/>
  <c r="V333" i="6"/>
  <c r="V334" i="6"/>
  <c r="V335" i="6"/>
  <c r="V336" i="6"/>
  <c r="V337" i="6"/>
  <c r="V338" i="6"/>
  <c r="V339" i="6"/>
  <c r="V340" i="6"/>
  <c r="V341" i="6"/>
  <c r="V342" i="6"/>
  <c r="V343" i="6"/>
  <c r="V344" i="6"/>
  <c r="V345" i="6"/>
  <c r="V346" i="6"/>
  <c r="V347" i="6"/>
  <c r="V348" i="6"/>
  <c r="V349" i="6"/>
  <c r="V350" i="6"/>
  <c r="V351" i="6"/>
  <c r="V352" i="6"/>
  <c r="V353" i="6"/>
  <c r="V354" i="6"/>
  <c r="V355" i="6"/>
  <c r="V356" i="6"/>
  <c r="V357" i="6"/>
  <c r="V358" i="6"/>
  <c r="V359" i="6"/>
  <c r="V360" i="6"/>
  <c r="V361" i="6"/>
  <c r="V362" i="6"/>
  <c r="V363" i="6"/>
  <c r="V364" i="6"/>
  <c r="V365" i="6"/>
  <c r="V366" i="6"/>
  <c r="V367" i="6"/>
  <c r="V368" i="6"/>
  <c r="V369" i="6"/>
  <c r="V370" i="6"/>
  <c r="V371" i="6"/>
  <c r="V372" i="6"/>
  <c r="V373" i="6"/>
  <c r="V374" i="6"/>
  <c r="V375" i="6"/>
  <c r="V376" i="6"/>
  <c r="V377" i="6"/>
  <c r="V378" i="6"/>
  <c r="V379" i="6"/>
  <c r="V380" i="6"/>
  <c r="V157" i="6"/>
  <c r="V108" i="6"/>
  <c r="V164" i="6"/>
  <c r="V219" i="6"/>
  <c r="V392" i="6"/>
  <c r="V173" i="6"/>
  <c r="V385" i="6"/>
  <c r="V391" i="6"/>
  <c r="V390" i="6"/>
  <c r="V384" i="6"/>
  <c r="V389" i="6"/>
  <c r="V388" i="6"/>
  <c r="V383" i="6"/>
  <c r="V396" i="6"/>
  <c r="V397" i="6"/>
  <c r="V398" i="6"/>
  <c r="V399" i="6"/>
  <c r="V400" i="6"/>
  <c r="V401" i="6"/>
  <c r="V402" i="6"/>
  <c r="V403" i="6"/>
  <c r="V404" i="6"/>
  <c r="V405" i="6"/>
  <c r="V406" i="6"/>
  <c r="V407" i="6"/>
  <c r="V408" i="6"/>
  <c r="V409" i="6"/>
  <c r="V410" i="6"/>
  <c r="V411" i="6"/>
  <c r="V412" i="6"/>
  <c r="V413" i="6"/>
  <c r="V414" i="6"/>
  <c r="V415" i="6"/>
  <c r="V416" i="6"/>
  <c r="V417" i="6"/>
  <c r="V418" i="6"/>
  <c r="V419" i="6"/>
  <c r="V420" i="6"/>
  <c r="V421" i="6"/>
  <c r="V422" i="6"/>
  <c r="V423" i="6"/>
  <c r="V424" i="6"/>
  <c r="V425" i="6"/>
  <c r="V426" i="6"/>
  <c r="V427" i="6"/>
  <c r="V428" i="6"/>
  <c r="V429" i="6"/>
  <c r="V430" i="6"/>
  <c r="V431" i="6"/>
  <c r="V432" i="6"/>
  <c r="V433" i="6"/>
  <c r="V434" i="6"/>
  <c r="V435" i="6"/>
  <c r="V436" i="6"/>
  <c r="V437" i="6"/>
  <c r="V387" i="6"/>
  <c r="V395" i="6"/>
  <c r="V394" i="6"/>
  <c r="V439" i="6"/>
  <c r="V442" i="6"/>
  <c r="V462" i="6"/>
  <c r="V456" i="6"/>
  <c r="V445" i="6"/>
  <c r="V450" i="6"/>
  <c r="V467" i="6"/>
  <c r="V393" i="6"/>
  <c r="V461" i="6"/>
  <c r="V449" i="6"/>
  <c r="V466" i="6"/>
  <c r="V490" i="6"/>
  <c r="V496" i="6"/>
  <c r="V504" i="6"/>
  <c r="V510" i="6"/>
  <c r="V441" i="6"/>
  <c r="V455" i="6"/>
  <c r="V489" i="6"/>
  <c r="V500" i="6"/>
  <c r="V508" i="6"/>
  <c r="V457" i="6"/>
  <c r="V438" i="6"/>
  <c r="V444" i="6"/>
  <c r="V460" i="6"/>
  <c r="V491" i="6"/>
  <c r="V497" i="6"/>
  <c r="V503" i="6"/>
  <c r="V507" i="6"/>
  <c r="V448" i="6"/>
  <c r="V465" i="6"/>
  <c r="V499" i="6"/>
  <c r="V505" i="6"/>
  <c r="V511" i="6"/>
  <c r="V454" i="6"/>
  <c r="V471" i="6"/>
  <c r="V473" i="6"/>
  <c r="V474" i="6"/>
  <c r="V476" i="6"/>
  <c r="V478" i="6"/>
  <c r="V480" i="6"/>
  <c r="V481" i="6"/>
  <c r="V483" i="6"/>
  <c r="V485" i="6"/>
  <c r="V486" i="6"/>
  <c r="V488" i="6"/>
  <c r="V493" i="6"/>
  <c r="V494" i="6"/>
  <c r="V498" i="6"/>
  <c r="V501" i="6"/>
  <c r="V506" i="6"/>
  <c r="V509" i="6"/>
  <c r="V459" i="6"/>
  <c r="V470" i="6"/>
  <c r="V472" i="6"/>
  <c r="V475" i="6"/>
  <c r="V477" i="6"/>
  <c r="V479" i="6"/>
  <c r="V482" i="6"/>
  <c r="V484" i="6"/>
  <c r="V487" i="6"/>
  <c r="V492" i="6"/>
  <c r="V495" i="6"/>
  <c r="V502" i="6"/>
  <c r="V512" i="6"/>
  <c r="V440" i="6"/>
  <c r="V447" i="6"/>
  <c r="V464" i="6"/>
  <c r="V443" i="6"/>
  <c r="V452" i="6"/>
  <c r="V469" i="6"/>
  <c r="V386" i="6"/>
  <c r="V458" i="6"/>
  <c r="V381" i="6"/>
  <c r="V446" i="6"/>
  <c r="V463" i="6"/>
  <c r="V468" i="6"/>
  <c r="V451" i="6"/>
  <c r="V13" i="6"/>
  <c r="V14" i="6"/>
  <c r="V12" i="6"/>
  <c r="V9" i="6"/>
  <c r="W7" i="6"/>
  <c r="W453" i="6" s="1"/>
  <c r="V10" i="6"/>
  <c r="V11" i="6"/>
  <c r="V8" i="6"/>
  <c r="U5" i="6"/>
  <c r="H5" i="6"/>
  <c r="W230" i="6" l="1"/>
  <c r="W232" i="6"/>
  <c r="W231" i="6"/>
  <c r="W15" i="6"/>
  <c r="W17" i="6"/>
  <c r="W19" i="6"/>
  <c r="W21" i="6"/>
  <c r="W23" i="6"/>
  <c r="W25" i="6"/>
  <c r="W27" i="6"/>
  <c r="W29" i="6"/>
  <c r="W31" i="6"/>
  <c r="W33" i="6"/>
  <c r="W35" i="6"/>
  <c r="W37" i="6"/>
  <c r="W39" i="6"/>
  <c r="W41" i="6"/>
  <c r="W43" i="6"/>
  <c r="W45" i="6"/>
  <c r="W47" i="6"/>
  <c r="W49" i="6"/>
  <c r="W51" i="6"/>
  <c r="W53" i="6"/>
  <c r="W55" i="6"/>
  <c r="W57" i="6"/>
  <c r="W59" i="6"/>
  <c r="W61" i="6"/>
  <c r="W63" i="6"/>
  <c r="W65" i="6"/>
  <c r="W67" i="6"/>
  <c r="W69" i="6"/>
  <c r="W71" i="6"/>
  <c r="W73" i="6"/>
  <c r="W75" i="6"/>
  <c r="W77" i="6"/>
  <c r="W79" i="6"/>
  <c r="W81" i="6"/>
  <c r="W83" i="6"/>
  <c r="W85" i="6"/>
  <c r="W87" i="6"/>
  <c r="W89" i="6"/>
  <c r="W91" i="6"/>
  <c r="W93" i="6"/>
  <c r="W95" i="6"/>
  <c r="W97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99" i="6"/>
  <c r="W16" i="6"/>
  <c r="W18" i="6"/>
  <c r="W20" i="6"/>
  <c r="W22" i="6"/>
  <c r="W24" i="6"/>
  <c r="W26" i="6"/>
  <c r="W28" i="6"/>
  <c r="W30" i="6"/>
  <c r="W32" i="6"/>
  <c r="W34" i="6"/>
  <c r="W36" i="6"/>
  <c r="W38" i="6"/>
  <c r="W40" i="6"/>
  <c r="W42" i="6"/>
  <c r="W44" i="6"/>
  <c r="W46" i="6"/>
  <c r="W48" i="6"/>
  <c r="W50" i="6"/>
  <c r="W52" i="6"/>
  <c r="W54" i="6"/>
  <c r="W56" i="6"/>
  <c r="W58" i="6"/>
  <c r="W60" i="6"/>
  <c r="W62" i="6"/>
  <c r="W64" i="6"/>
  <c r="W66" i="6"/>
  <c r="W68" i="6"/>
  <c r="W70" i="6"/>
  <c r="W72" i="6"/>
  <c r="W74" i="6"/>
  <c r="W76" i="6"/>
  <c r="W78" i="6"/>
  <c r="W80" i="6"/>
  <c r="W82" i="6"/>
  <c r="W84" i="6"/>
  <c r="W86" i="6"/>
  <c r="W88" i="6"/>
  <c r="W90" i="6"/>
  <c r="W92" i="6"/>
  <c r="W94" i="6"/>
  <c r="W96" i="6"/>
  <c r="W98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3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4" i="6"/>
  <c r="W233" i="6"/>
  <c r="W241" i="6"/>
  <c r="W242" i="6"/>
  <c r="W243" i="6"/>
  <c r="W244" i="6"/>
  <c r="W245" i="6"/>
  <c r="W246" i="6"/>
  <c r="W247" i="6"/>
  <c r="W248" i="6"/>
  <c r="W249" i="6"/>
  <c r="W250" i="6"/>
  <c r="W251" i="6"/>
  <c r="W252" i="6"/>
  <c r="W253" i="6"/>
  <c r="W254" i="6"/>
  <c r="W255" i="6"/>
  <c r="W256" i="6"/>
  <c r="W257" i="6"/>
  <c r="W258" i="6"/>
  <c r="W259" i="6"/>
  <c r="W260" i="6"/>
  <c r="W261" i="6"/>
  <c r="W262" i="6"/>
  <c r="W263" i="6"/>
  <c r="W264" i="6"/>
  <c r="W265" i="6"/>
  <c r="W266" i="6"/>
  <c r="W267" i="6"/>
  <c r="W268" i="6"/>
  <c r="W269" i="6"/>
  <c r="W270" i="6"/>
  <c r="W271" i="6"/>
  <c r="W272" i="6"/>
  <c r="W273" i="6"/>
  <c r="W274" i="6"/>
  <c r="W275" i="6"/>
  <c r="W276" i="6"/>
  <c r="W277" i="6"/>
  <c r="W278" i="6"/>
  <c r="W279" i="6"/>
  <c r="W280" i="6"/>
  <c r="W281" i="6"/>
  <c r="W282" i="6"/>
  <c r="W283" i="6"/>
  <c r="W284" i="6"/>
  <c r="W285" i="6"/>
  <c r="W286" i="6"/>
  <c r="W287" i="6"/>
  <c r="W288" i="6"/>
  <c r="W289" i="6"/>
  <c r="W290" i="6"/>
  <c r="W291" i="6"/>
  <c r="W292" i="6"/>
  <c r="W293" i="6"/>
  <c r="W294" i="6"/>
  <c r="W295" i="6"/>
  <c r="W296" i="6"/>
  <c r="W297" i="6"/>
  <c r="W298" i="6"/>
  <c r="W299" i="6"/>
  <c r="W300" i="6"/>
  <c r="W301" i="6"/>
  <c r="W302" i="6"/>
  <c r="W303" i="6"/>
  <c r="W304" i="6"/>
  <c r="W305" i="6"/>
  <c r="W306" i="6"/>
  <c r="W307" i="6"/>
  <c r="W308" i="6"/>
  <c r="W309" i="6"/>
  <c r="W310" i="6"/>
  <c r="W311" i="6"/>
  <c r="W312" i="6"/>
  <c r="W313" i="6"/>
  <c r="W314" i="6"/>
  <c r="W315" i="6"/>
  <c r="W316" i="6"/>
  <c r="W317" i="6"/>
  <c r="W318" i="6"/>
  <c r="W319" i="6"/>
  <c r="W320" i="6"/>
  <c r="W321" i="6"/>
  <c r="W322" i="6"/>
  <c r="W323" i="6"/>
  <c r="W324" i="6"/>
  <c r="W325" i="6"/>
  <c r="W223" i="6"/>
  <c r="W240" i="6"/>
  <c r="W222" i="6"/>
  <c r="W239" i="6"/>
  <c r="W221" i="6"/>
  <c r="W229" i="6"/>
  <c r="W238" i="6"/>
  <c r="W228" i="6"/>
  <c r="W237" i="6"/>
  <c r="W220" i="6"/>
  <c r="W227" i="6"/>
  <c r="W236" i="6"/>
  <c r="W226" i="6"/>
  <c r="W235" i="6"/>
  <c r="W234" i="6"/>
  <c r="W225" i="6"/>
  <c r="W326" i="6"/>
  <c r="W327" i="6"/>
  <c r="W328" i="6"/>
  <c r="W329" i="6"/>
  <c r="W330" i="6"/>
  <c r="W331" i="6"/>
  <c r="W332" i="6"/>
  <c r="W333" i="6"/>
  <c r="W334" i="6"/>
  <c r="W335" i="6"/>
  <c r="W336" i="6"/>
  <c r="W337" i="6"/>
  <c r="W338" i="6"/>
  <c r="W339" i="6"/>
  <c r="W340" i="6"/>
  <c r="W341" i="6"/>
  <c r="W342" i="6"/>
  <c r="W343" i="6"/>
  <c r="W344" i="6"/>
  <c r="W345" i="6"/>
  <c r="W346" i="6"/>
  <c r="W347" i="6"/>
  <c r="W348" i="6"/>
  <c r="W349" i="6"/>
  <c r="W350" i="6"/>
  <c r="W351" i="6"/>
  <c r="W352" i="6"/>
  <c r="W353" i="6"/>
  <c r="W354" i="6"/>
  <c r="W355" i="6"/>
  <c r="W356" i="6"/>
  <c r="W357" i="6"/>
  <c r="W358" i="6"/>
  <c r="W359" i="6"/>
  <c r="W360" i="6"/>
  <c r="W361" i="6"/>
  <c r="W362" i="6"/>
  <c r="W363" i="6"/>
  <c r="W364" i="6"/>
  <c r="W365" i="6"/>
  <c r="W366" i="6"/>
  <c r="W367" i="6"/>
  <c r="W368" i="6"/>
  <c r="W369" i="6"/>
  <c r="W370" i="6"/>
  <c r="W371" i="6"/>
  <c r="W372" i="6"/>
  <c r="W373" i="6"/>
  <c r="W374" i="6"/>
  <c r="W375" i="6"/>
  <c r="W376" i="6"/>
  <c r="W377" i="6"/>
  <c r="W378" i="6"/>
  <c r="W379" i="6"/>
  <c r="W380" i="6"/>
  <c r="W381" i="6"/>
  <c r="W386" i="6"/>
  <c r="W393" i="6"/>
  <c r="W392" i="6"/>
  <c r="W385" i="6"/>
  <c r="W391" i="6"/>
  <c r="W390" i="6"/>
  <c r="W384" i="6"/>
  <c r="W389" i="6"/>
  <c r="W388" i="6"/>
  <c r="W383" i="6"/>
  <c r="W396" i="6"/>
  <c r="W397" i="6"/>
  <c r="W398" i="6"/>
  <c r="W399" i="6"/>
  <c r="W400" i="6"/>
  <c r="W401" i="6"/>
  <c r="W402" i="6"/>
  <c r="W403" i="6"/>
  <c r="W404" i="6"/>
  <c r="W405" i="6"/>
  <c r="W406" i="6"/>
  <c r="W407" i="6"/>
  <c r="W408" i="6"/>
  <c r="W409" i="6"/>
  <c r="W410" i="6"/>
  <c r="W411" i="6"/>
  <c r="W412" i="6"/>
  <c r="W413" i="6"/>
  <c r="W414" i="6"/>
  <c r="W415" i="6"/>
  <c r="W416" i="6"/>
  <c r="W417" i="6"/>
  <c r="W418" i="6"/>
  <c r="W419" i="6"/>
  <c r="W420" i="6"/>
  <c r="W421" i="6"/>
  <c r="W422" i="6"/>
  <c r="W423" i="6"/>
  <c r="W424" i="6"/>
  <c r="W425" i="6"/>
  <c r="W426" i="6"/>
  <c r="W427" i="6"/>
  <c r="W428" i="6"/>
  <c r="W429" i="6"/>
  <c r="W430" i="6"/>
  <c r="W431" i="6"/>
  <c r="W432" i="6"/>
  <c r="W433" i="6"/>
  <c r="W434" i="6"/>
  <c r="W435" i="6"/>
  <c r="W436" i="6"/>
  <c r="W437" i="6"/>
  <c r="W438" i="6"/>
  <c r="W439" i="6"/>
  <c r="W440" i="6"/>
  <c r="W441" i="6"/>
  <c r="W442" i="6"/>
  <c r="W443" i="6"/>
  <c r="W444" i="6"/>
  <c r="W445" i="6"/>
  <c r="W387" i="6"/>
  <c r="W395" i="6"/>
  <c r="W457" i="6"/>
  <c r="W462" i="6"/>
  <c r="W450" i="6"/>
  <c r="W467" i="6"/>
  <c r="W456" i="6"/>
  <c r="W461" i="6"/>
  <c r="W489" i="6"/>
  <c r="W499" i="6"/>
  <c r="W507" i="6"/>
  <c r="W449" i="6"/>
  <c r="W466" i="6"/>
  <c r="W490" i="6"/>
  <c r="W494" i="6"/>
  <c r="W500" i="6"/>
  <c r="W506" i="6"/>
  <c r="W511" i="6"/>
  <c r="W455" i="6"/>
  <c r="W487" i="6"/>
  <c r="W501" i="6"/>
  <c r="W508" i="6"/>
  <c r="W460" i="6"/>
  <c r="W492" i="6"/>
  <c r="W502" i="6"/>
  <c r="W510" i="6"/>
  <c r="W448" i="6"/>
  <c r="W465" i="6"/>
  <c r="W488" i="6"/>
  <c r="W496" i="6"/>
  <c r="W505" i="6"/>
  <c r="W512" i="6"/>
  <c r="W454" i="6"/>
  <c r="W493" i="6"/>
  <c r="W497" i="6"/>
  <c r="W503" i="6"/>
  <c r="W509" i="6"/>
  <c r="W394" i="6"/>
  <c r="W459" i="6"/>
  <c r="W470" i="6"/>
  <c r="W471" i="6"/>
  <c r="W472" i="6"/>
  <c r="W473" i="6"/>
  <c r="W474" i="6"/>
  <c r="W475" i="6"/>
  <c r="W476" i="6"/>
  <c r="W477" i="6"/>
  <c r="W478" i="6"/>
  <c r="W479" i="6"/>
  <c r="W480" i="6"/>
  <c r="W481" i="6"/>
  <c r="W482" i="6"/>
  <c r="W483" i="6"/>
  <c r="W484" i="6"/>
  <c r="W485" i="6"/>
  <c r="W486" i="6"/>
  <c r="W491" i="6"/>
  <c r="W495" i="6"/>
  <c r="W498" i="6"/>
  <c r="W504" i="6"/>
  <c r="W447" i="6"/>
  <c r="W464" i="6"/>
  <c r="W452" i="6"/>
  <c r="W469" i="6"/>
  <c r="W458" i="6"/>
  <c r="W446" i="6"/>
  <c r="W463" i="6"/>
  <c r="W451" i="6"/>
  <c r="W468" i="6"/>
  <c r="W13" i="6"/>
  <c r="W14" i="6"/>
  <c r="W12" i="6"/>
  <c r="W8" i="6"/>
  <c r="V5" i="6"/>
  <c r="X7" i="6"/>
  <c r="X453" i="6" s="1"/>
  <c r="W10" i="6"/>
  <c r="W9" i="6"/>
  <c r="W11" i="6"/>
  <c r="X230" i="6" l="1"/>
  <c r="X232" i="6"/>
  <c r="X231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37" i="6"/>
  <c r="X138" i="6"/>
  <c r="X139" i="6"/>
  <c r="X140" i="6"/>
  <c r="X141" i="6"/>
  <c r="X142" i="6"/>
  <c r="X143" i="6"/>
  <c r="X144" i="6"/>
  <c r="X145" i="6"/>
  <c r="X146" i="6"/>
  <c r="X147" i="6"/>
  <c r="X148" i="6"/>
  <c r="X149" i="6"/>
  <c r="X150" i="6"/>
  <c r="X151" i="6"/>
  <c r="X152" i="6"/>
  <c r="X153" i="6"/>
  <c r="X154" i="6"/>
  <c r="X155" i="6"/>
  <c r="X156" i="6"/>
  <c r="X157" i="6"/>
  <c r="X158" i="6"/>
  <c r="X159" i="6"/>
  <c r="X160" i="6"/>
  <c r="X161" i="6"/>
  <c r="X162" i="6"/>
  <c r="X163" i="6"/>
  <c r="X164" i="6"/>
  <c r="X165" i="6"/>
  <c r="X166" i="6"/>
  <c r="X167" i="6"/>
  <c r="X168" i="6"/>
  <c r="X169" i="6"/>
  <c r="X170" i="6"/>
  <c r="X171" i="6"/>
  <c r="X172" i="6"/>
  <c r="X173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229" i="6"/>
  <c r="X233" i="6"/>
  <c r="X234" i="6"/>
  <c r="X235" i="6"/>
  <c r="X236" i="6"/>
  <c r="X237" i="6"/>
  <c r="X238" i="6"/>
  <c r="X239" i="6"/>
  <c r="X240" i="6"/>
  <c r="X241" i="6"/>
  <c r="X242" i="6"/>
  <c r="X243" i="6"/>
  <c r="X244" i="6"/>
  <c r="X245" i="6"/>
  <c r="X246" i="6"/>
  <c r="X247" i="6"/>
  <c r="X248" i="6"/>
  <c r="X249" i="6"/>
  <c r="X250" i="6"/>
  <c r="X251" i="6"/>
  <c r="X252" i="6"/>
  <c r="X253" i="6"/>
  <c r="X254" i="6"/>
  <c r="X255" i="6"/>
  <c r="X256" i="6"/>
  <c r="X257" i="6"/>
  <c r="X258" i="6"/>
  <c r="X259" i="6"/>
  <c r="X260" i="6"/>
  <c r="X261" i="6"/>
  <c r="X262" i="6"/>
  <c r="X263" i="6"/>
  <c r="X264" i="6"/>
  <c r="X265" i="6"/>
  <c r="X266" i="6"/>
  <c r="X267" i="6"/>
  <c r="X268" i="6"/>
  <c r="X269" i="6"/>
  <c r="X270" i="6"/>
  <c r="X271" i="6"/>
  <c r="X272" i="6"/>
  <c r="X273" i="6"/>
  <c r="X274" i="6"/>
  <c r="X275" i="6"/>
  <c r="X276" i="6"/>
  <c r="X277" i="6"/>
  <c r="X278" i="6"/>
  <c r="X279" i="6"/>
  <c r="X280" i="6"/>
  <c r="X281" i="6"/>
  <c r="X282" i="6"/>
  <c r="X283" i="6"/>
  <c r="X284" i="6"/>
  <c r="X285" i="6"/>
  <c r="X286" i="6"/>
  <c r="X287" i="6"/>
  <c r="X288" i="6"/>
  <c r="X289" i="6"/>
  <c r="X290" i="6"/>
  <c r="X291" i="6"/>
  <c r="X292" i="6"/>
  <c r="X293" i="6"/>
  <c r="X294" i="6"/>
  <c r="X295" i="6"/>
  <c r="X296" i="6"/>
  <c r="X297" i="6"/>
  <c r="X298" i="6"/>
  <c r="X299" i="6"/>
  <c r="X300" i="6"/>
  <c r="X301" i="6"/>
  <c r="X302" i="6"/>
  <c r="X303" i="6"/>
  <c r="X304" i="6"/>
  <c r="X305" i="6"/>
  <c r="X308" i="6"/>
  <c r="X312" i="6"/>
  <c r="X316" i="6"/>
  <c r="X320" i="6"/>
  <c r="X324" i="6"/>
  <c r="X307" i="6"/>
  <c r="X311" i="6"/>
  <c r="X315" i="6"/>
  <c r="X319" i="6"/>
  <c r="X323" i="6"/>
  <c r="X306" i="6"/>
  <c r="X310" i="6"/>
  <c r="X314" i="6"/>
  <c r="X318" i="6"/>
  <c r="X322" i="6"/>
  <c r="X326" i="6"/>
  <c r="X327" i="6"/>
  <c r="X328" i="6"/>
  <c r="X329" i="6"/>
  <c r="X330" i="6"/>
  <c r="X331" i="6"/>
  <c r="X332" i="6"/>
  <c r="X333" i="6"/>
  <c r="X334" i="6"/>
  <c r="X335" i="6"/>
  <c r="X336" i="6"/>
  <c r="X337" i="6"/>
  <c r="X338" i="6"/>
  <c r="X339" i="6"/>
  <c r="X340" i="6"/>
  <c r="X341" i="6"/>
  <c r="X342" i="6"/>
  <c r="X343" i="6"/>
  <c r="X344" i="6"/>
  <c r="X345" i="6"/>
  <c r="X346" i="6"/>
  <c r="X347" i="6"/>
  <c r="X348" i="6"/>
  <c r="X349" i="6"/>
  <c r="X350" i="6"/>
  <c r="X351" i="6"/>
  <c r="X352" i="6"/>
  <c r="X353" i="6"/>
  <c r="X354" i="6"/>
  <c r="X355" i="6"/>
  <c r="X356" i="6"/>
  <c r="X357" i="6"/>
  <c r="X358" i="6"/>
  <c r="X359" i="6"/>
  <c r="X360" i="6"/>
  <c r="X361" i="6"/>
  <c r="X362" i="6"/>
  <c r="X363" i="6"/>
  <c r="X364" i="6"/>
  <c r="X365" i="6"/>
  <c r="X366" i="6"/>
  <c r="X367" i="6"/>
  <c r="X368" i="6"/>
  <c r="X369" i="6"/>
  <c r="X370" i="6"/>
  <c r="X371" i="6"/>
  <c r="X372" i="6"/>
  <c r="X373" i="6"/>
  <c r="X374" i="6"/>
  <c r="X375" i="6"/>
  <c r="X376" i="6"/>
  <c r="X377" i="6"/>
  <c r="X378" i="6"/>
  <c r="X379" i="6"/>
  <c r="X380" i="6"/>
  <c r="X381" i="6"/>
  <c r="X383" i="6"/>
  <c r="X384" i="6"/>
  <c r="X385" i="6"/>
  <c r="X386" i="6"/>
  <c r="X387" i="6"/>
  <c r="X309" i="6"/>
  <c r="X313" i="6"/>
  <c r="X317" i="6"/>
  <c r="X321" i="6"/>
  <c r="X325" i="6"/>
  <c r="X393" i="6"/>
  <c r="X392" i="6"/>
  <c r="X391" i="6"/>
  <c r="X390" i="6"/>
  <c r="X389" i="6"/>
  <c r="X388" i="6"/>
  <c r="X396" i="6"/>
  <c r="X397" i="6"/>
  <c r="X398" i="6"/>
  <c r="X399" i="6"/>
  <c r="X400" i="6"/>
  <c r="X401" i="6"/>
  <c r="X402" i="6"/>
  <c r="X403" i="6"/>
  <c r="X404" i="6"/>
  <c r="X405" i="6"/>
  <c r="X406" i="6"/>
  <c r="X407" i="6"/>
  <c r="X408" i="6"/>
  <c r="X409" i="6"/>
  <c r="X410" i="6"/>
  <c r="X411" i="6"/>
  <c r="X412" i="6"/>
  <c r="X413" i="6"/>
  <c r="X414" i="6"/>
  <c r="X415" i="6"/>
  <c r="X416" i="6"/>
  <c r="X417" i="6"/>
  <c r="X418" i="6"/>
  <c r="X419" i="6"/>
  <c r="X420" i="6"/>
  <c r="X421" i="6"/>
  <c r="X422" i="6"/>
  <c r="X423" i="6"/>
  <c r="X424" i="6"/>
  <c r="X425" i="6"/>
  <c r="X426" i="6"/>
  <c r="X427" i="6"/>
  <c r="X428" i="6"/>
  <c r="X429" i="6"/>
  <c r="X430" i="6"/>
  <c r="X431" i="6"/>
  <c r="X432" i="6"/>
  <c r="X433" i="6"/>
  <c r="X434" i="6"/>
  <c r="X435" i="6"/>
  <c r="X436" i="6"/>
  <c r="X437" i="6"/>
  <c r="X438" i="6"/>
  <c r="X439" i="6"/>
  <c r="X440" i="6"/>
  <c r="X441" i="6"/>
  <c r="X442" i="6"/>
  <c r="X443" i="6"/>
  <c r="X444" i="6"/>
  <c r="X445" i="6"/>
  <c r="X446" i="6"/>
  <c r="X447" i="6"/>
  <c r="X448" i="6"/>
  <c r="X449" i="6"/>
  <c r="X450" i="6"/>
  <c r="X451" i="6"/>
  <c r="X452" i="6"/>
  <c r="X454" i="6"/>
  <c r="X455" i="6"/>
  <c r="X456" i="6"/>
  <c r="X457" i="6"/>
  <c r="X458" i="6"/>
  <c r="X459" i="6"/>
  <c r="X460" i="6"/>
  <c r="X461" i="6"/>
  <c r="X462" i="6"/>
  <c r="X463" i="6"/>
  <c r="X464" i="6"/>
  <c r="X465" i="6"/>
  <c r="X466" i="6"/>
  <c r="X467" i="6"/>
  <c r="X468" i="6"/>
  <c r="X395" i="6"/>
  <c r="X499" i="6"/>
  <c r="X506" i="6"/>
  <c r="X498" i="6"/>
  <c r="X508" i="6"/>
  <c r="X497" i="6"/>
  <c r="X505" i="6"/>
  <c r="X504" i="6"/>
  <c r="X511" i="6"/>
  <c r="X500" i="6"/>
  <c r="X507" i="6"/>
  <c r="X501" i="6"/>
  <c r="X512" i="6"/>
  <c r="X502" i="6"/>
  <c r="X510" i="6"/>
  <c r="X394" i="6"/>
  <c r="X470" i="6"/>
  <c r="X471" i="6"/>
  <c r="X472" i="6"/>
  <c r="X473" i="6"/>
  <c r="X474" i="6"/>
  <c r="X475" i="6"/>
  <c r="X476" i="6"/>
  <c r="X477" i="6"/>
  <c r="X478" i="6"/>
  <c r="X479" i="6"/>
  <c r="X480" i="6"/>
  <c r="X481" i="6"/>
  <c r="X482" i="6"/>
  <c r="X483" i="6"/>
  <c r="X484" i="6"/>
  <c r="X485" i="6"/>
  <c r="X486" i="6"/>
  <c r="X487" i="6"/>
  <c r="X488" i="6"/>
  <c r="X489" i="6"/>
  <c r="X490" i="6"/>
  <c r="X491" i="6"/>
  <c r="X492" i="6"/>
  <c r="X493" i="6"/>
  <c r="X494" i="6"/>
  <c r="X495" i="6"/>
  <c r="X496" i="6"/>
  <c r="X503" i="6"/>
  <c r="X509" i="6"/>
  <c r="X469" i="6"/>
  <c r="X13" i="6"/>
  <c r="X14" i="6"/>
  <c r="W5" i="6"/>
  <c r="X10" i="6"/>
  <c r="Y7" i="6"/>
  <c r="Y453" i="6" s="1"/>
  <c r="X9" i="6"/>
  <c r="X11" i="6"/>
  <c r="X12" i="6"/>
  <c r="X8" i="6"/>
  <c r="Y231" i="6" l="1"/>
  <c r="Y230" i="6"/>
  <c r="Y232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3" i="6"/>
  <c r="Y94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44" i="6"/>
  <c r="Y145" i="6"/>
  <c r="Y146" i="6"/>
  <c r="Y147" i="6"/>
  <c r="Y148" i="6"/>
  <c r="Y149" i="6"/>
  <c r="Y150" i="6"/>
  <c r="Y151" i="6"/>
  <c r="Y152" i="6"/>
  <c r="Y153" i="6"/>
  <c r="Y154" i="6"/>
  <c r="Y155" i="6"/>
  <c r="Y156" i="6"/>
  <c r="Y157" i="6"/>
  <c r="Y158" i="6"/>
  <c r="Y159" i="6"/>
  <c r="Y160" i="6"/>
  <c r="Y161" i="6"/>
  <c r="Y162" i="6"/>
  <c r="Y163" i="6"/>
  <c r="Y164" i="6"/>
  <c r="Y165" i="6"/>
  <c r="Y166" i="6"/>
  <c r="Y167" i="6"/>
  <c r="Y168" i="6"/>
  <c r="Y169" i="6"/>
  <c r="Y170" i="6"/>
  <c r="Y171" i="6"/>
  <c r="Y172" i="6"/>
  <c r="Y173" i="6"/>
  <c r="Y174" i="6"/>
  <c r="Y175" i="6"/>
  <c r="Y176" i="6"/>
  <c r="Y177" i="6"/>
  <c r="Y178" i="6"/>
  <c r="Y179" i="6"/>
  <c r="Y180" i="6"/>
  <c r="Y181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220" i="6"/>
  <c r="Y221" i="6"/>
  <c r="Y222" i="6"/>
  <c r="Y223" i="6"/>
  <c r="Y224" i="6"/>
  <c r="Y225" i="6"/>
  <c r="Y226" i="6"/>
  <c r="Y227" i="6"/>
  <c r="Y228" i="6"/>
  <c r="Y229" i="6"/>
  <c r="Y233" i="6"/>
  <c r="Y234" i="6"/>
  <c r="Y235" i="6"/>
  <c r="Y236" i="6"/>
  <c r="Y237" i="6"/>
  <c r="Y238" i="6"/>
  <c r="Y239" i="6"/>
  <c r="Y240" i="6"/>
  <c r="Y136" i="6"/>
  <c r="Y143" i="6"/>
  <c r="Y142" i="6"/>
  <c r="Y135" i="6"/>
  <c r="Y141" i="6"/>
  <c r="Y140" i="6"/>
  <c r="Y134" i="6"/>
  <c r="Y139" i="6"/>
  <c r="Y138" i="6"/>
  <c r="Y137" i="6"/>
  <c r="Y241" i="6"/>
  <c r="Y242" i="6"/>
  <c r="Y243" i="6"/>
  <c r="Y244" i="6"/>
  <c r="Y245" i="6"/>
  <c r="Y246" i="6"/>
  <c r="Y247" i="6"/>
  <c r="Y248" i="6"/>
  <c r="Y249" i="6"/>
  <c r="Y250" i="6"/>
  <c r="Y251" i="6"/>
  <c r="Y252" i="6"/>
  <c r="Y253" i="6"/>
  <c r="Y254" i="6"/>
  <c r="Y255" i="6"/>
  <c r="Y256" i="6"/>
  <c r="Y257" i="6"/>
  <c r="Y258" i="6"/>
  <c r="Y259" i="6"/>
  <c r="Y260" i="6"/>
  <c r="Y261" i="6"/>
  <c r="Y262" i="6"/>
  <c r="Y263" i="6"/>
  <c r="Y264" i="6"/>
  <c r="Y265" i="6"/>
  <c r="Y266" i="6"/>
  <c r="Y267" i="6"/>
  <c r="Y268" i="6"/>
  <c r="Y269" i="6"/>
  <c r="Y270" i="6"/>
  <c r="Y271" i="6"/>
  <c r="Y272" i="6"/>
  <c r="Y273" i="6"/>
  <c r="Y274" i="6"/>
  <c r="Y275" i="6"/>
  <c r="Y276" i="6"/>
  <c r="Y277" i="6"/>
  <c r="Y278" i="6"/>
  <c r="Y279" i="6"/>
  <c r="Y280" i="6"/>
  <c r="Y281" i="6"/>
  <c r="Y282" i="6"/>
  <c r="Y283" i="6"/>
  <c r="Y284" i="6"/>
  <c r="Y285" i="6"/>
  <c r="Y286" i="6"/>
  <c r="Y287" i="6"/>
  <c r="Y288" i="6"/>
  <c r="Y289" i="6"/>
  <c r="Y290" i="6"/>
  <c r="Y291" i="6"/>
  <c r="Y292" i="6"/>
  <c r="Y293" i="6"/>
  <c r="Y294" i="6"/>
  <c r="Y295" i="6"/>
  <c r="Y296" i="6"/>
  <c r="Y297" i="6"/>
  <c r="Y298" i="6"/>
  <c r="Y299" i="6"/>
  <c r="Y300" i="6"/>
  <c r="Y301" i="6"/>
  <c r="Y302" i="6"/>
  <c r="Y303" i="6"/>
  <c r="Y304" i="6"/>
  <c r="Y305" i="6"/>
  <c r="Y133" i="6"/>
  <c r="Y308" i="6"/>
  <c r="Y312" i="6"/>
  <c r="Y316" i="6"/>
  <c r="Y320" i="6"/>
  <c r="Y324" i="6"/>
  <c r="Y307" i="6"/>
  <c r="Y311" i="6"/>
  <c r="Y315" i="6"/>
  <c r="Y319" i="6"/>
  <c r="Y323" i="6"/>
  <c r="Y306" i="6"/>
  <c r="Y310" i="6"/>
  <c r="Y314" i="6"/>
  <c r="Y318" i="6"/>
  <c r="Y322" i="6"/>
  <c r="Y326" i="6"/>
  <c r="Y327" i="6"/>
  <c r="Y328" i="6"/>
  <c r="Y329" i="6"/>
  <c r="Y330" i="6"/>
  <c r="Y331" i="6"/>
  <c r="Y332" i="6"/>
  <c r="Y333" i="6"/>
  <c r="Y334" i="6"/>
  <c r="Y335" i="6"/>
  <c r="Y336" i="6"/>
  <c r="Y337" i="6"/>
  <c r="Y338" i="6"/>
  <c r="Y339" i="6"/>
  <c r="Y340" i="6"/>
  <c r="Y341" i="6"/>
  <c r="Y342" i="6"/>
  <c r="Y343" i="6"/>
  <c r="Y344" i="6"/>
  <c r="Y345" i="6"/>
  <c r="Y346" i="6"/>
  <c r="Y347" i="6"/>
  <c r="Y348" i="6"/>
  <c r="Y349" i="6"/>
  <c r="Y350" i="6"/>
  <c r="Y351" i="6"/>
  <c r="Y352" i="6"/>
  <c r="Y353" i="6"/>
  <c r="Y354" i="6"/>
  <c r="Y355" i="6"/>
  <c r="Y356" i="6"/>
  <c r="Y357" i="6"/>
  <c r="Y358" i="6"/>
  <c r="Y359" i="6"/>
  <c r="Y360" i="6"/>
  <c r="Y361" i="6"/>
  <c r="Y362" i="6"/>
  <c r="Y363" i="6"/>
  <c r="Y364" i="6"/>
  <c r="Y365" i="6"/>
  <c r="Y366" i="6"/>
  <c r="Y367" i="6"/>
  <c r="Y368" i="6"/>
  <c r="Y369" i="6"/>
  <c r="Y370" i="6"/>
  <c r="Y371" i="6"/>
  <c r="Y372" i="6"/>
  <c r="Y373" i="6"/>
  <c r="Y374" i="6"/>
  <c r="Y375" i="6"/>
  <c r="Y376" i="6"/>
  <c r="Y377" i="6"/>
  <c r="Y378" i="6"/>
  <c r="Y379" i="6"/>
  <c r="Y394" i="6"/>
  <c r="Y381" i="6"/>
  <c r="Y386" i="6"/>
  <c r="Y393" i="6"/>
  <c r="Y392" i="6"/>
  <c r="Y380" i="6"/>
  <c r="Y385" i="6"/>
  <c r="Y325" i="6"/>
  <c r="Y391" i="6"/>
  <c r="Y321" i="6"/>
  <c r="Y317" i="6"/>
  <c r="Y390" i="6"/>
  <c r="Y313" i="6"/>
  <c r="Y384" i="6"/>
  <c r="Y309" i="6"/>
  <c r="Y389" i="6"/>
  <c r="Y388" i="6"/>
  <c r="Y383" i="6"/>
  <c r="Y400" i="6"/>
  <c r="Y416" i="6"/>
  <c r="Y432" i="6"/>
  <c r="Y451" i="6"/>
  <c r="Y468" i="6"/>
  <c r="Y409" i="6"/>
  <c r="Y425" i="6"/>
  <c r="Y439" i="6"/>
  <c r="Y442" i="6"/>
  <c r="Y457" i="6"/>
  <c r="Y402" i="6"/>
  <c r="Y418" i="6"/>
  <c r="Y434" i="6"/>
  <c r="Y445" i="6"/>
  <c r="Y462" i="6"/>
  <c r="Y411" i="6"/>
  <c r="Y427" i="6"/>
  <c r="Y450" i="6"/>
  <c r="Y467" i="6"/>
  <c r="Y387" i="6"/>
  <c r="Y395" i="6"/>
  <c r="Y404" i="6"/>
  <c r="Y420" i="6"/>
  <c r="Y436" i="6"/>
  <c r="Y456" i="6"/>
  <c r="Y499" i="6"/>
  <c r="Y502" i="6"/>
  <c r="Y511" i="6"/>
  <c r="Y397" i="6"/>
  <c r="Y413" i="6"/>
  <c r="Y429" i="6"/>
  <c r="Y461" i="6"/>
  <c r="Y497" i="6"/>
  <c r="Y505" i="6"/>
  <c r="Y406" i="6"/>
  <c r="Y422" i="6"/>
  <c r="Y441" i="6"/>
  <c r="Y449" i="6"/>
  <c r="Y466" i="6"/>
  <c r="Y498" i="6"/>
  <c r="Y503" i="6"/>
  <c r="Y399" i="6"/>
  <c r="Y415" i="6"/>
  <c r="Y431" i="6"/>
  <c r="Y438" i="6"/>
  <c r="Y444" i="6"/>
  <c r="Y455" i="6"/>
  <c r="Y492" i="6"/>
  <c r="Y508" i="6"/>
  <c r="Y408" i="6"/>
  <c r="Y424" i="6"/>
  <c r="Y460" i="6"/>
  <c r="Y496" i="6"/>
  <c r="Y504" i="6"/>
  <c r="Y401" i="6"/>
  <c r="Y417" i="6"/>
  <c r="Y433" i="6"/>
  <c r="Y448" i="6"/>
  <c r="Y465" i="6"/>
  <c r="Y495" i="6"/>
  <c r="Y507" i="6"/>
  <c r="Y410" i="6"/>
  <c r="Y426" i="6"/>
  <c r="Y454" i="6"/>
  <c r="Y494" i="6"/>
  <c r="Y506" i="6"/>
  <c r="Y403" i="6"/>
  <c r="Y419" i="6"/>
  <c r="Y435" i="6"/>
  <c r="Y440" i="6"/>
  <c r="Y459" i="6"/>
  <c r="Y500" i="6"/>
  <c r="Y509" i="6"/>
  <c r="Y512" i="6"/>
  <c r="Y396" i="6"/>
  <c r="Y412" i="6"/>
  <c r="Y428" i="6"/>
  <c r="Y443" i="6"/>
  <c r="Y447" i="6"/>
  <c r="Y464" i="6"/>
  <c r="Y470" i="6"/>
  <c r="Y471" i="6"/>
  <c r="Y472" i="6"/>
  <c r="Y473" i="6"/>
  <c r="Y474" i="6"/>
  <c r="Y475" i="6"/>
  <c r="Y476" i="6"/>
  <c r="Y477" i="6"/>
  <c r="Y478" i="6"/>
  <c r="Y479" i="6"/>
  <c r="Y480" i="6"/>
  <c r="Y481" i="6"/>
  <c r="Y482" i="6"/>
  <c r="Y483" i="6"/>
  <c r="Y484" i="6"/>
  <c r="Y485" i="6"/>
  <c r="Y486" i="6"/>
  <c r="Y487" i="6"/>
  <c r="Y488" i="6"/>
  <c r="Y489" i="6"/>
  <c r="Y490" i="6"/>
  <c r="Y491" i="6"/>
  <c r="Y493" i="6"/>
  <c r="Y501" i="6"/>
  <c r="Y510" i="6"/>
  <c r="Y423" i="6"/>
  <c r="Y405" i="6"/>
  <c r="Y421" i="6"/>
  <c r="Y437" i="6"/>
  <c r="Y452" i="6"/>
  <c r="Y446" i="6"/>
  <c r="Y398" i="6"/>
  <c r="Y414" i="6"/>
  <c r="Y430" i="6"/>
  <c r="Y458" i="6"/>
  <c r="Y469" i="6"/>
  <c r="Y407" i="6"/>
  <c r="Y463" i="6"/>
  <c r="Y13" i="6"/>
  <c r="Y14" i="6"/>
  <c r="Y12" i="6"/>
  <c r="Y9" i="6"/>
  <c r="Y8" i="6"/>
  <c r="Y10" i="6"/>
  <c r="Y11" i="6"/>
  <c r="Z7" i="6"/>
  <c r="Z453" i="6" s="1"/>
  <c r="X5" i="6"/>
  <c r="Z231" i="6" l="1"/>
  <c r="Z230" i="6"/>
  <c r="Z232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7" i="6"/>
  <c r="Z128" i="6"/>
  <c r="Z129" i="6"/>
  <c r="Z130" i="6"/>
  <c r="Z131" i="6"/>
  <c r="Z132" i="6"/>
  <c r="Z133" i="6"/>
  <c r="Z99" i="6"/>
  <c r="Z137" i="6"/>
  <c r="Z144" i="6"/>
  <c r="Z145" i="6"/>
  <c r="Z146" i="6"/>
  <c r="Z147" i="6"/>
  <c r="Z148" i="6"/>
  <c r="Z149" i="6"/>
  <c r="Z150" i="6"/>
  <c r="Z151" i="6"/>
  <c r="Z152" i="6"/>
  <c r="Z153" i="6"/>
  <c r="Z154" i="6"/>
  <c r="Z155" i="6"/>
  <c r="Z156" i="6"/>
  <c r="Z157" i="6"/>
  <c r="Z158" i="6"/>
  <c r="Z159" i="6"/>
  <c r="Z160" i="6"/>
  <c r="Z161" i="6"/>
  <c r="Z162" i="6"/>
  <c r="Z163" i="6"/>
  <c r="Z164" i="6"/>
  <c r="Z165" i="6"/>
  <c r="Z166" i="6"/>
  <c r="Z167" i="6"/>
  <c r="Z168" i="6"/>
  <c r="Z169" i="6"/>
  <c r="Z170" i="6"/>
  <c r="Z171" i="6"/>
  <c r="Z172" i="6"/>
  <c r="Z173" i="6"/>
  <c r="Z174" i="6"/>
  <c r="Z175" i="6"/>
  <c r="Z176" i="6"/>
  <c r="Z177" i="6"/>
  <c r="Z178" i="6"/>
  <c r="Z179" i="6"/>
  <c r="Z180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2" i="6"/>
  <c r="Z203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136" i="6"/>
  <c r="Z143" i="6"/>
  <c r="Z142" i="6"/>
  <c r="Z135" i="6"/>
  <c r="Z141" i="6"/>
  <c r="Z140" i="6"/>
  <c r="Z134" i="6"/>
  <c r="Z139" i="6"/>
  <c r="Z225" i="6"/>
  <c r="Z234" i="6"/>
  <c r="Z224" i="6"/>
  <c r="Z233" i="6"/>
  <c r="Z223" i="6"/>
  <c r="Z240" i="6"/>
  <c r="Z241" i="6"/>
  <c r="Z242" i="6"/>
  <c r="Z243" i="6"/>
  <c r="Z244" i="6"/>
  <c r="Z245" i="6"/>
  <c r="Z246" i="6"/>
  <c r="Z247" i="6"/>
  <c r="Z248" i="6"/>
  <c r="Z249" i="6"/>
  <c r="Z250" i="6"/>
  <c r="Z251" i="6"/>
  <c r="Z252" i="6"/>
  <c r="Z253" i="6"/>
  <c r="Z254" i="6"/>
  <c r="Z255" i="6"/>
  <c r="Z256" i="6"/>
  <c r="Z257" i="6"/>
  <c r="Z258" i="6"/>
  <c r="Z259" i="6"/>
  <c r="Z260" i="6"/>
  <c r="Z261" i="6"/>
  <c r="Z262" i="6"/>
  <c r="Z263" i="6"/>
  <c r="Z264" i="6"/>
  <c r="Z265" i="6"/>
  <c r="Z266" i="6"/>
  <c r="Z267" i="6"/>
  <c r="Z268" i="6"/>
  <c r="Z269" i="6"/>
  <c r="Z270" i="6"/>
  <c r="Z271" i="6"/>
  <c r="Z272" i="6"/>
  <c r="Z273" i="6"/>
  <c r="Z274" i="6"/>
  <c r="Z275" i="6"/>
  <c r="Z276" i="6"/>
  <c r="Z277" i="6"/>
  <c r="Z278" i="6"/>
  <c r="Z279" i="6"/>
  <c r="Z280" i="6"/>
  <c r="Z281" i="6"/>
  <c r="Z282" i="6"/>
  <c r="Z283" i="6"/>
  <c r="Z284" i="6"/>
  <c r="Z285" i="6"/>
  <c r="Z286" i="6"/>
  <c r="Z287" i="6"/>
  <c r="Z288" i="6"/>
  <c r="Z289" i="6"/>
  <c r="Z290" i="6"/>
  <c r="Z291" i="6"/>
  <c r="Z292" i="6"/>
  <c r="Z293" i="6"/>
  <c r="Z294" i="6"/>
  <c r="Z295" i="6"/>
  <c r="Z296" i="6"/>
  <c r="Z297" i="6"/>
  <c r="Z298" i="6"/>
  <c r="Z299" i="6"/>
  <c r="Z300" i="6"/>
  <c r="Z301" i="6"/>
  <c r="Z302" i="6"/>
  <c r="Z303" i="6"/>
  <c r="Z304" i="6"/>
  <c r="Z305" i="6"/>
  <c r="Z222" i="6"/>
  <c r="Z239" i="6"/>
  <c r="Z221" i="6"/>
  <c r="Z229" i="6"/>
  <c r="Z238" i="6"/>
  <c r="Z228" i="6"/>
  <c r="Z237" i="6"/>
  <c r="Z138" i="6"/>
  <c r="Z227" i="6"/>
  <c r="Z236" i="6"/>
  <c r="Z235" i="6"/>
  <c r="Z226" i="6"/>
  <c r="Z308" i="6"/>
  <c r="Z312" i="6"/>
  <c r="Z316" i="6"/>
  <c r="Z320" i="6"/>
  <c r="Z324" i="6"/>
  <c r="Z307" i="6"/>
  <c r="Z311" i="6"/>
  <c r="Z315" i="6"/>
  <c r="Z319" i="6"/>
  <c r="Z323" i="6"/>
  <c r="Z306" i="6"/>
  <c r="Z310" i="6"/>
  <c r="Z314" i="6"/>
  <c r="Z318" i="6"/>
  <c r="Z322" i="6"/>
  <c r="Z326" i="6"/>
  <c r="Z327" i="6"/>
  <c r="Z328" i="6"/>
  <c r="Z329" i="6"/>
  <c r="Z330" i="6"/>
  <c r="Z331" i="6"/>
  <c r="Z332" i="6"/>
  <c r="Z333" i="6"/>
  <c r="Z334" i="6"/>
  <c r="Z335" i="6"/>
  <c r="Z336" i="6"/>
  <c r="Z337" i="6"/>
  <c r="Z338" i="6"/>
  <c r="Z339" i="6"/>
  <c r="Z340" i="6"/>
  <c r="Z341" i="6"/>
  <c r="Z342" i="6"/>
  <c r="Z343" i="6"/>
  <c r="Z344" i="6"/>
  <c r="Z345" i="6"/>
  <c r="Z346" i="6"/>
  <c r="Z347" i="6"/>
  <c r="Z348" i="6"/>
  <c r="Z349" i="6"/>
  <c r="Z350" i="6"/>
  <c r="Z351" i="6"/>
  <c r="Z352" i="6"/>
  <c r="Z353" i="6"/>
  <c r="Z354" i="6"/>
  <c r="Z355" i="6"/>
  <c r="Z356" i="6"/>
  <c r="Z357" i="6"/>
  <c r="Z358" i="6"/>
  <c r="Z359" i="6"/>
  <c r="Z360" i="6"/>
  <c r="Z361" i="6"/>
  <c r="Z362" i="6"/>
  <c r="Z363" i="6"/>
  <c r="Z364" i="6"/>
  <c r="Z365" i="6"/>
  <c r="Z366" i="6"/>
  <c r="Z367" i="6"/>
  <c r="Z368" i="6"/>
  <c r="Z369" i="6"/>
  <c r="Z370" i="6"/>
  <c r="Z371" i="6"/>
  <c r="Z372" i="6"/>
  <c r="Z373" i="6"/>
  <c r="Z374" i="6"/>
  <c r="Z375" i="6"/>
  <c r="Z376" i="6"/>
  <c r="Z377" i="6"/>
  <c r="Z378" i="6"/>
  <c r="Z379" i="6"/>
  <c r="Z380" i="6"/>
  <c r="Z381" i="6"/>
  <c r="Z383" i="6"/>
  <c r="Z384" i="6"/>
  <c r="Z385" i="6"/>
  <c r="Z386" i="6"/>
  <c r="Z387" i="6"/>
  <c r="Z388" i="6"/>
  <c r="Z389" i="6"/>
  <c r="Z390" i="6"/>
  <c r="Z391" i="6"/>
  <c r="Z392" i="6"/>
  <c r="Z393" i="6"/>
  <c r="Z394" i="6"/>
  <c r="Z395" i="6"/>
  <c r="Z325" i="6"/>
  <c r="Z321" i="6"/>
  <c r="Z317" i="6"/>
  <c r="Z313" i="6"/>
  <c r="Z309" i="6"/>
  <c r="Z407" i="6"/>
  <c r="Z423" i="6"/>
  <c r="Z446" i="6"/>
  <c r="Z463" i="6"/>
  <c r="Z400" i="6"/>
  <c r="Z416" i="6"/>
  <c r="Z432" i="6"/>
  <c r="Z451" i="6"/>
  <c r="Z468" i="6"/>
  <c r="Z457" i="6"/>
  <c r="Z409" i="6"/>
  <c r="Z425" i="6"/>
  <c r="Z439" i="6"/>
  <c r="Z442" i="6"/>
  <c r="Z402" i="6"/>
  <c r="Z418" i="6"/>
  <c r="Z434" i="6"/>
  <c r="Z445" i="6"/>
  <c r="Z462" i="6"/>
  <c r="Z411" i="6"/>
  <c r="Z427" i="6"/>
  <c r="Z450" i="6"/>
  <c r="Z467" i="6"/>
  <c r="Z404" i="6"/>
  <c r="Z420" i="6"/>
  <c r="Z436" i="6"/>
  <c r="Z456" i="6"/>
  <c r="Z397" i="6"/>
  <c r="Z413" i="6"/>
  <c r="Z429" i="6"/>
  <c r="Z461" i="6"/>
  <c r="Z466" i="6"/>
  <c r="Z458" i="6"/>
  <c r="Z406" i="6"/>
  <c r="Z422" i="6"/>
  <c r="Z441" i="6"/>
  <c r="Z449" i="6"/>
  <c r="Z399" i="6"/>
  <c r="Z415" i="6"/>
  <c r="Z431" i="6"/>
  <c r="Z438" i="6"/>
  <c r="Z444" i="6"/>
  <c r="Z455" i="6"/>
  <c r="Z408" i="6"/>
  <c r="Z424" i="6"/>
  <c r="Z460" i="6"/>
  <c r="Z401" i="6"/>
  <c r="Z417" i="6"/>
  <c r="Z433" i="6"/>
  <c r="Z448" i="6"/>
  <c r="Z465" i="6"/>
  <c r="Z414" i="6"/>
  <c r="Z410" i="6"/>
  <c r="Z426" i="6"/>
  <c r="Z454" i="6"/>
  <c r="Z398" i="6"/>
  <c r="Z469" i="6"/>
  <c r="Z403" i="6"/>
  <c r="Z419" i="6"/>
  <c r="Z435" i="6"/>
  <c r="Z440" i="6"/>
  <c r="Z459" i="6"/>
  <c r="Z396" i="6"/>
  <c r="Z412" i="6"/>
  <c r="Z428" i="6"/>
  <c r="Z443" i="6"/>
  <c r="Z447" i="6"/>
  <c r="Z464" i="6"/>
  <c r="Z470" i="6"/>
  <c r="Z471" i="6"/>
  <c r="Z472" i="6"/>
  <c r="Z473" i="6"/>
  <c r="Z474" i="6"/>
  <c r="Z475" i="6"/>
  <c r="Z476" i="6"/>
  <c r="Z477" i="6"/>
  <c r="Z478" i="6"/>
  <c r="Z479" i="6"/>
  <c r="Z480" i="6"/>
  <c r="Z481" i="6"/>
  <c r="Z482" i="6"/>
  <c r="Z483" i="6"/>
  <c r="Z484" i="6"/>
  <c r="Z485" i="6"/>
  <c r="Z486" i="6"/>
  <c r="Z487" i="6"/>
  <c r="Z488" i="6"/>
  <c r="Z489" i="6"/>
  <c r="Z490" i="6"/>
  <c r="Z491" i="6"/>
  <c r="Z492" i="6"/>
  <c r="Z493" i="6"/>
  <c r="Z494" i="6"/>
  <c r="Z495" i="6"/>
  <c r="Z496" i="6"/>
  <c r="Z497" i="6"/>
  <c r="Z498" i="6"/>
  <c r="Z499" i="6"/>
  <c r="Z500" i="6"/>
  <c r="Z501" i="6"/>
  <c r="Z502" i="6"/>
  <c r="Z503" i="6"/>
  <c r="Z504" i="6"/>
  <c r="Z505" i="6"/>
  <c r="Z506" i="6"/>
  <c r="Z507" i="6"/>
  <c r="Z508" i="6"/>
  <c r="Z509" i="6"/>
  <c r="Z510" i="6"/>
  <c r="Z511" i="6"/>
  <c r="Z512" i="6"/>
  <c r="Z405" i="6"/>
  <c r="Z421" i="6"/>
  <c r="Z437" i="6"/>
  <c r="Z452" i="6"/>
  <c r="Z430" i="6"/>
  <c r="Z13" i="6"/>
  <c r="Z14" i="6"/>
  <c r="Z12" i="6"/>
  <c r="Z8" i="6"/>
  <c r="Y5" i="6"/>
  <c r="AA7" i="6"/>
  <c r="AA453" i="6" s="1"/>
  <c r="Z10" i="6"/>
  <c r="Z9" i="6"/>
  <c r="Z11" i="6"/>
  <c r="AA231" i="6" l="1"/>
  <c r="AA230" i="6"/>
  <c r="AA232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99" i="6"/>
  <c r="AA137" i="6"/>
  <c r="AA144" i="6"/>
  <c r="AA145" i="6"/>
  <c r="AA146" i="6"/>
  <c r="AA147" i="6"/>
  <c r="AA148" i="6"/>
  <c r="AA149" i="6"/>
  <c r="AA150" i="6"/>
  <c r="AA151" i="6"/>
  <c r="AA152" i="6"/>
  <c r="AA153" i="6"/>
  <c r="AA154" i="6"/>
  <c r="AA155" i="6"/>
  <c r="AA156" i="6"/>
  <c r="AA157" i="6"/>
  <c r="AA158" i="6"/>
  <c r="AA159" i="6"/>
  <c r="AA160" i="6"/>
  <c r="AA161" i="6"/>
  <c r="AA162" i="6"/>
  <c r="AA163" i="6"/>
  <c r="AA164" i="6"/>
  <c r="AA165" i="6"/>
  <c r="AA166" i="6"/>
  <c r="AA167" i="6"/>
  <c r="AA168" i="6"/>
  <c r="AA169" i="6"/>
  <c r="AA170" i="6"/>
  <c r="AA171" i="6"/>
  <c r="AA172" i="6"/>
  <c r="AA173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136" i="6"/>
  <c r="AA143" i="6"/>
  <c r="AA98" i="6"/>
  <c r="AA142" i="6"/>
  <c r="AA135" i="6"/>
  <c r="AA141" i="6"/>
  <c r="AA140" i="6"/>
  <c r="AA139" i="6"/>
  <c r="AA225" i="6"/>
  <c r="AA234" i="6"/>
  <c r="AA224" i="6"/>
  <c r="AA233" i="6"/>
  <c r="AA223" i="6"/>
  <c r="AA240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2" i="6"/>
  <c r="AA293" i="6"/>
  <c r="AA294" i="6"/>
  <c r="AA295" i="6"/>
  <c r="AA296" i="6"/>
  <c r="AA297" i="6"/>
  <c r="AA298" i="6"/>
  <c r="AA299" i="6"/>
  <c r="AA300" i="6"/>
  <c r="AA301" i="6"/>
  <c r="AA302" i="6"/>
  <c r="AA303" i="6"/>
  <c r="AA304" i="6"/>
  <c r="AA305" i="6"/>
  <c r="AA306" i="6"/>
  <c r="AA307" i="6"/>
  <c r="AA308" i="6"/>
  <c r="AA309" i="6"/>
  <c r="AA310" i="6"/>
  <c r="AA311" i="6"/>
  <c r="AA312" i="6"/>
  <c r="AA313" i="6"/>
  <c r="AA314" i="6"/>
  <c r="AA315" i="6"/>
  <c r="AA316" i="6"/>
  <c r="AA317" i="6"/>
  <c r="AA318" i="6"/>
  <c r="AA319" i="6"/>
  <c r="AA320" i="6"/>
  <c r="AA321" i="6"/>
  <c r="AA322" i="6"/>
  <c r="AA323" i="6"/>
  <c r="AA324" i="6"/>
  <c r="AA325" i="6"/>
  <c r="AA222" i="6"/>
  <c r="AA239" i="6"/>
  <c r="AA221" i="6"/>
  <c r="AA229" i="6"/>
  <c r="AA238" i="6"/>
  <c r="AA228" i="6"/>
  <c r="AA237" i="6"/>
  <c r="AA138" i="6"/>
  <c r="AA227" i="6"/>
  <c r="AA236" i="6"/>
  <c r="AA235" i="6"/>
  <c r="AA226" i="6"/>
  <c r="AA335" i="6"/>
  <c r="AA351" i="6"/>
  <c r="AA367" i="6"/>
  <c r="AA395" i="6"/>
  <c r="AA396" i="6"/>
  <c r="AA397" i="6"/>
  <c r="AA398" i="6"/>
  <c r="AA399" i="6"/>
  <c r="AA400" i="6"/>
  <c r="AA401" i="6"/>
  <c r="AA402" i="6"/>
  <c r="AA403" i="6"/>
  <c r="AA404" i="6"/>
  <c r="AA405" i="6"/>
  <c r="AA406" i="6"/>
  <c r="AA407" i="6"/>
  <c r="AA408" i="6"/>
  <c r="AA409" i="6"/>
  <c r="AA410" i="6"/>
  <c r="AA411" i="6"/>
  <c r="AA412" i="6"/>
  <c r="AA413" i="6"/>
  <c r="AA414" i="6"/>
  <c r="AA415" i="6"/>
  <c r="AA416" i="6"/>
  <c r="AA417" i="6"/>
  <c r="AA418" i="6"/>
  <c r="AA419" i="6"/>
  <c r="AA420" i="6"/>
  <c r="AA421" i="6"/>
  <c r="AA422" i="6"/>
  <c r="AA423" i="6"/>
  <c r="AA424" i="6"/>
  <c r="AA425" i="6"/>
  <c r="AA426" i="6"/>
  <c r="AA427" i="6"/>
  <c r="AA428" i="6"/>
  <c r="AA429" i="6"/>
  <c r="AA430" i="6"/>
  <c r="AA431" i="6"/>
  <c r="AA432" i="6"/>
  <c r="AA433" i="6"/>
  <c r="AA434" i="6"/>
  <c r="AA435" i="6"/>
  <c r="AA436" i="6"/>
  <c r="AA437" i="6"/>
  <c r="AA438" i="6"/>
  <c r="AA439" i="6"/>
  <c r="AA440" i="6"/>
  <c r="AA441" i="6"/>
  <c r="AA442" i="6"/>
  <c r="AA443" i="6"/>
  <c r="AA444" i="6"/>
  <c r="AA445" i="6"/>
  <c r="AA446" i="6"/>
  <c r="AA447" i="6"/>
  <c r="AA448" i="6"/>
  <c r="AA449" i="6"/>
  <c r="AA450" i="6"/>
  <c r="AA451" i="6"/>
  <c r="AA452" i="6"/>
  <c r="AA454" i="6"/>
  <c r="AA455" i="6"/>
  <c r="AA456" i="6"/>
  <c r="AA457" i="6"/>
  <c r="AA458" i="6"/>
  <c r="AA459" i="6"/>
  <c r="AA460" i="6"/>
  <c r="AA461" i="6"/>
  <c r="AA462" i="6"/>
  <c r="AA463" i="6"/>
  <c r="AA464" i="6"/>
  <c r="AA465" i="6"/>
  <c r="AA466" i="6"/>
  <c r="AA467" i="6"/>
  <c r="AA468" i="6"/>
  <c r="AA469" i="6"/>
  <c r="AA328" i="6"/>
  <c r="AA344" i="6"/>
  <c r="AA360" i="6"/>
  <c r="AA376" i="6"/>
  <c r="AA394" i="6"/>
  <c r="AA337" i="6"/>
  <c r="AA353" i="6"/>
  <c r="AA369" i="6"/>
  <c r="AA381" i="6"/>
  <c r="AA386" i="6"/>
  <c r="AA330" i="6"/>
  <c r="AA346" i="6"/>
  <c r="AA362" i="6"/>
  <c r="AA378" i="6"/>
  <c r="AA393" i="6"/>
  <c r="AA339" i="6"/>
  <c r="AA355" i="6"/>
  <c r="AA371" i="6"/>
  <c r="AA332" i="6"/>
  <c r="AA348" i="6"/>
  <c r="AA364" i="6"/>
  <c r="AA392" i="6"/>
  <c r="AA341" i="6"/>
  <c r="AA357" i="6"/>
  <c r="AA373" i="6"/>
  <c r="AA380" i="6"/>
  <c r="AA385" i="6"/>
  <c r="AA334" i="6"/>
  <c r="AA350" i="6"/>
  <c r="AA366" i="6"/>
  <c r="AA391" i="6"/>
  <c r="AA327" i="6"/>
  <c r="AA343" i="6"/>
  <c r="AA359" i="6"/>
  <c r="AA375" i="6"/>
  <c r="AA336" i="6"/>
  <c r="AA352" i="6"/>
  <c r="AA368" i="6"/>
  <c r="AA390" i="6"/>
  <c r="AA329" i="6"/>
  <c r="AA345" i="6"/>
  <c r="AA361" i="6"/>
  <c r="AA377" i="6"/>
  <c r="AA384" i="6"/>
  <c r="AA338" i="6"/>
  <c r="AA354" i="6"/>
  <c r="AA370" i="6"/>
  <c r="AA389" i="6"/>
  <c r="AA331" i="6"/>
  <c r="AA347" i="6"/>
  <c r="AA363" i="6"/>
  <c r="AA379" i="6"/>
  <c r="AA340" i="6"/>
  <c r="AA356" i="6"/>
  <c r="AA372" i="6"/>
  <c r="AA388" i="6"/>
  <c r="AA333" i="6"/>
  <c r="AA342" i="6"/>
  <c r="AA349" i="6"/>
  <c r="AA383" i="6"/>
  <c r="AA387" i="6"/>
  <c r="AA358" i="6"/>
  <c r="AA326" i="6"/>
  <c r="AA365" i="6"/>
  <c r="AA374" i="6"/>
  <c r="AA470" i="6"/>
  <c r="AA472" i="6"/>
  <c r="AA473" i="6"/>
  <c r="AA475" i="6"/>
  <c r="AA477" i="6"/>
  <c r="AA479" i="6"/>
  <c r="AA481" i="6"/>
  <c r="AA483" i="6"/>
  <c r="AA485" i="6"/>
  <c r="AA487" i="6"/>
  <c r="AA489" i="6"/>
  <c r="AA491" i="6"/>
  <c r="AA493" i="6"/>
  <c r="AA495" i="6"/>
  <c r="AA497" i="6"/>
  <c r="AA498" i="6"/>
  <c r="AA501" i="6"/>
  <c r="AA503" i="6"/>
  <c r="AA506" i="6"/>
  <c r="AA508" i="6"/>
  <c r="AA510" i="6"/>
  <c r="AA512" i="6"/>
  <c r="AA471" i="6"/>
  <c r="AA474" i="6"/>
  <c r="AA476" i="6"/>
  <c r="AA478" i="6"/>
  <c r="AA480" i="6"/>
  <c r="AA482" i="6"/>
  <c r="AA484" i="6"/>
  <c r="AA486" i="6"/>
  <c r="AA488" i="6"/>
  <c r="AA490" i="6"/>
  <c r="AA492" i="6"/>
  <c r="AA494" i="6"/>
  <c r="AA496" i="6"/>
  <c r="AA499" i="6"/>
  <c r="AA500" i="6"/>
  <c r="AA502" i="6"/>
  <c r="AA504" i="6"/>
  <c r="AA505" i="6"/>
  <c r="AA507" i="6"/>
  <c r="AA509" i="6"/>
  <c r="AA511" i="6"/>
  <c r="AA13" i="6"/>
  <c r="AA14" i="6"/>
  <c r="AA11" i="6"/>
  <c r="Z5" i="6"/>
  <c r="AA8" i="6"/>
  <c r="AA10" i="6"/>
  <c r="AA12" i="6"/>
  <c r="AA9" i="6"/>
  <c r="AB7" i="6"/>
  <c r="AB453" i="6" s="1"/>
  <c r="AB231" i="6" l="1"/>
  <c r="AB230" i="6"/>
  <c r="AB232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3" i="6"/>
  <c r="AB174" i="6"/>
  <c r="AB175" i="6"/>
  <c r="AB176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219" i="6"/>
  <c r="AB143" i="6"/>
  <c r="AB142" i="6"/>
  <c r="AB141" i="6"/>
  <c r="AB140" i="6"/>
  <c r="AB138" i="6"/>
  <c r="AB226" i="6"/>
  <c r="AB235" i="6"/>
  <c r="AB225" i="6"/>
  <c r="AB234" i="6"/>
  <c r="AB224" i="6"/>
  <c r="AB233" i="6"/>
  <c r="AB139" i="6"/>
  <c r="AB223" i="6"/>
  <c r="AB240" i="6"/>
  <c r="AB241" i="6"/>
  <c r="AB242" i="6"/>
  <c r="AB243" i="6"/>
  <c r="AB244" i="6"/>
  <c r="AB245" i="6"/>
  <c r="AB246" i="6"/>
  <c r="AB247" i="6"/>
  <c r="AB248" i="6"/>
  <c r="AB249" i="6"/>
  <c r="AB250" i="6"/>
  <c r="AB251" i="6"/>
  <c r="AB252" i="6"/>
  <c r="AB253" i="6"/>
  <c r="AB254" i="6"/>
  <c r="AB255" i="6"/>
  <c r="AB256" i="6"/>
  <c r="AB257" i="6"/>
  <c r="AB258" i="6"/>
  <c r="AB259" i="6"/>
  <c r="AB260" i="6"/>
  <c r="AB261" i="6"/>
  <c r="AB262" i="6"/>
  <c r="AB263" i="6"/>
  <c r="AB264" i="6"/>
  <c r="AB265" i="6"/>
  <c r="AB266" i="6"/>
  <c r="AB267" i="6"/>
  <c r="AB268" i="6"/>
  <c r="AB269" i="6"/>
  <c r="AB270" i="6"/>
  <c r="AB271" i="6"/>
  <c r="AB272" i="6"/>
  <c r="AB273" i="6"/>
  <c r="AB274" i="6"/>
  <c r="AB275" i="6"/>
  <c r="AB276" i="6"/>
  <c r="AB277" i="6"/>
  <c r="AB278" i="6"/>
  <c r="AB279" i="6"/>
  <c r="AB280" i="6"/>
  <c r="AB281" i="6"/>
  <c r="AB282" i="6"/>
  <c r="AB283" i="6"/>
  <c r="AB284" i="6"/>
  <c r="AB285" i="6"/>
  <c r="AB286" i="6"/>
  <c r="AB287" i="6"/>
  <c r="AB288" i="6"/>
  <c r="AB289" i="6"/>
  <c r="AB290" i="6"/>
  <c r="AB291" i="6"/>
  <c r="AB292" i="6"/>
  <c r="AB293" i="6"/>
  <c r="AB294" i="6"/>
  <c r="AB295" i="6"/>
  <c r="AB296" i="6"/>
  <c r="AB297" i="6"/>
  <c r="AB298" i="6"/>
  <c r="AB299" i="6"/>
  <c r="AB300" i="6"/>
  <c r="AB301" i="6"/>
  <c r="AB302" i="6"/>
  <c r="AB303" i="6"/>
  <c r="AB304" i="6"/>
  <c r="AB305" i="6"/>
  <c r="AB306" i="6"/>
  <c r="AB307" i="6"/>
  <c r="AB308" i="6"/>
  <c r="AB309" i="6"/>
  <c r="AB310" i="6"/>
  <c r="AB311" i="6"/>
  <c r="AB312" i="6"/>
  <c r="AB313" i="6"/>
  <c r="AB314" i="6"/>
  <c r="AB315" i="6"/>
  <c r="AB316" i="6"/>
  <c r="AB317" i="6"/>
  <c r="AB318" i="6"/>
  <c r="AB319" i="6"/>
  <c r="AB320" i="6"/>
  <c r="AB321" i="6"/>
  <c r="AB322" i="6"/>
  <c r="AB323" i="6"/>
  <c r="AB324" i="6"/>
  <c r="AB325" i="6"/>
  <c r="AB222" i="6"/>
  <c r="AB239" i="6"/>
  <c r="AB221" i="6"/>
  <c r="AB229" i="6"/>
  <c r="AB238" i="6"/>
  <c r="AB220" i="6"/>
  <c r="AB228" i="6"/>
  <c r="AB237" i="6"/>
  <c r="AB236" i="6"/>
  <c r="AB227" i="6"/>
  <c r="AB326" i="6"/>
  <c r="AB342" i="6"/>
  <c r="AB358" i="6"/>
  <c r="AB374" i="6"/>
  <c r="AB387" i="6"/>
  <c r="AB335" i="6"/>
  <c r="AB351" i="6"/>
  <c r="AB367" i="6"/>
  <c r="AB395" i="6"/>
  <c r="AB396" i="6"/>
  <c r="AB397" i="6"/>
  <c r="AB398" i="6"/>
  <c r="AB399" i="6"/>
  <c r="AB400" i="6"/>
  <c r="AB401" i="6"/>
  <c r="AB402" i="6"/>
  <c r="AB403" i="6"/>
  <c r="AB404" i="6"/>
  <c r="AB405" i="6"/>
  <c r="AB406" i="6"/>
  <c r="AB407" i="6"/>
  <c r="AB408" i="6"/>
  <c r="AB409" i="6"/>
  <c r="AB410" i="6"/>
  <c r="AB411" i="6"/>
  <c r="AB412" i="6"/>
  <c r="AB413" i="6"/>
  <c r="AB414" i="6"/>
  <c r="AB415" i="6"/>
  <c r="AB416" i="6"/>
  <c r="AB417" i="6"/>
  <c r="AB418" i="6"/>
  <c r="AB419" i="6"/>
  <c r="AB420" i="6"/>
  <c r="AB421" i="6"/>
  <c r="AB422" i="6"/>
  <c r="AB423" i="6"/>
  <c r="AB424" i="6"/>
  <c r="AB425" i="6"/>
  <c r="AB426" i="6"/>
  <c r="AB427" i="6"/>
  <c r="AB428" i="6"/>
  <c r="AB429" i="6"/>
  <c r="AB430" i="6"/>
  <c r="AB431" i="6"/>
  <c r="AB432" i="6"/>
  <c r="AB433" i="6"/>
  <c r="AB434" i="6"/>
  <c r="AB435" i="6"/>
  <c r="AB436" i="6"/>
  <c r="AB437" i="6"/>
  <c r="AB438" i="6"/>
  <c r="AB439" i="6"/>
  <c r="AB440" i="6"/>
  <c r="AB441" i="6"/>
  <c r="AB442" i="6"/>
  <c r="AB443" i="6"/>
  <c r="AB444" i="6"/>
  <c r="AB445" i="6"/>
  <c r="AB446" i="6"/>
  <c r="AB447" i="6"/>
  <c r="AB448" i="6"/>
  <c r="AB449" i="6"/>
  <c r="AB450" i="6"/>
  <c r="AB451" i="6"/>
  <c r="AB452" i="6"/>
  <c r="AB454" i="6"/>
  <c r="AB455" i="6"/>
  <c r="AB456" i="6"/>
  <c r="AB457" i="6"/>
  <c r="AB458" i="6"/>
  <c r="AB459" i="6"/>
  <c r="AB460" i="6"/>
  <c r="AB461" i="6"/>
  <c r="AB462" i="6"/>
  <c r="AB463" i="6"/>
  <c r="AB464" i="6"/>
  <c r="AB465" i="6"/>
  <c r="AB466" i="6"/>
  <c r="AB467" i="6"/>
  <c r="AB468" i="6"/>
  <c r="AB469" i="6"/>
  <c r="AB328" i="6"/>
  <c r="AB344" i="6"/>
  <c r="AB360" i="6"/>
  <c r="AB376" i="6"/>
  <c r="AB394" i="6"/>
  <c r="AB337" i="6"/>
  <c r="AB353" i="6"/>
  <c r="AB369" i="6"/>
  <c r="AB381" i="6"/>
  <c r="AB386" i="6"/>
  <c r="AB330" i="6"/>
  <c r="AB346" i="6"/>
  <c r="AB362" i="6"/>
  <c r="AB378" i="6"/>
  <c r="AB393" i="6"/>
  <c r="AB339" i="6"/>
  <c r="AB355" i="6"/>
  <c r="AB371" i="6"/>
  <c r="AB332" i="6"/>
  <c r="AB348" i="6"/>
  <c r="AB364" i="6"/>
  <c r="AB392" i="6"/>
  <c r="AB341" i="6"/>
  <c r="AB357" i="6"/>
  <c r="AB373" i="6"/>
  <c r="AB380" i="6"/>
  <c r="AB385" i="6"/>
  <c r="AB334" i="6"/>
  <c r="AB350" i="6"/>
  <c r="AB366" i="6"/>
  <c r="AB391" i="6"/>
  <c r="AB327" i="6"/>
  <c r="AB343" i="6"/>
  <c r="AB359" i="6"/>
  <c r="AB375" i="6"/>
  <c r="AB336" i="6"/>
  <c r="AB352" i="6"/>
  <c r="AB368" i="6"/>
  <c r="AB390" i="6"/>
  <c r="AB329" i="6"/>
  <c r="AB345" i="6"/>
  <c r="AB361" i="6"/>
  <c r="AB377" i="6"/>
  <c r="AB384" i="6"/>
  <c r="AB338" i="6"/>
  <c r="AB354" i="6"/>
  <c r="AB370" i="6"/>
  <c r="AB389" i="6"/>
  <c r="AB331" i="6"/>
  <c r="AB347" i="6"/>
  <c r="AB363" i="6"/>
  <c r="AB379" i="6"/>
  <c r="AB476" i="6"/>
  <c r="AB500" i="6"/>
  <c r="AB473" i="6"/>
  <c r="AB501" i="6"/>
  <c r="AB333" i="6"/>
  <c r="AB484" i="6"/>
  <c r="AB499" i="6"/>
  <c r="AB488" i="6"/>
  <c r="AB510" i="6"/>
  <c r="AB340" i="6"/>
  <c r="AB475" i="6"/>
  <c r="AB505" i="6"/>
  <c r="AB509" i="6"/>
  <c r="AB349" i="6"/>
  <c r="AB383" i="6"/>
  <c r="AB504" i="6"/>
  <c r="AB479" i="6"/>
  <c r="AB487" i="6"/>
  <c r="AB495" i="6"/>
  <c r="AB507" i="6"/>
  <c r="AB356" i="6"/>
  <c r="AB494" i="6"/>
  <c r="AB474" i="6"/>
  <c r="AB485" i="6"/>
  <c r="AB496" i="6"/>
  <c r="AB511" i="6"/>
  <c r="AB365" i="6"/>
  <c r="AB471" i="6"/>
  <c r="AB480" i="6"/>
  <c r="AB486" i="6"/>
  <c r="AB493" i="6"/>
  <c r="AB498" i="6"/>
  <c r="AB508" i="6"/>
  <c r="AB482" i="6"/>
  <c r="AB492" i="6"/>
  <c r="AB502" i="6"/>
  <c r="AB512" i="6"/>
  <c r="AB372" i="6"/>
  <c r="AB470" i="6"/>
  <c r="AB478" i="6"/>
  <c r="AB483" i="6"/>
  <c r="AB490" i="6"/>
  <c r="AB497" i="6"/>
  <c r="AB506" i="6"/>
  <c r="AB388" i="6"/>
  <c r="AB489" i="6"/>
  <c r="AB472" i="6"/>
  <c r="AB477" i="6"/>
  <c r="AB481" i="6"/>
  <c r="AB491" i="6"/>
  <c r="AB503" i="6"/>
  <c r="AB13" i="6"/>
  <c r="AB14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<sst xmlns="http://schemas.openxmlformats.org/spreadsheetml/2006/main" count="4908" uniqueCount="2152">
  <si>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</si>
  <si>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</si>
  <si>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</si>
  <si>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</si>
  <si>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</si>
  <si>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</si>
  <si>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</si>
  <si>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</si>
  <si>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</si>
  <si>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</si>
  <si>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</si>
  <si>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</si>
  <si>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</si>
  <si>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</si>
  <si>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</si>
  <si>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</si>
  <si>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</si>
  <si>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</si>
  <si>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</si>
  <si>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</si>
  <si>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</si>
  <si>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</si>
  <si>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</si>
  <si>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</si>
  <si>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</si>
  <si>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</si>
  <si>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</si>
  <si>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</si>
  <si>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</si>
  <si>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</si>
  <si>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</si>
  <si>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</si>
  <si>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</si>
  <si>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</si>
  <si>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</si>
  <si>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</si>
  <si>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</si>
  <si>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</si>
  <si>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</si>
  <si>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</si>
  <si>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</si>
  <si>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</si>
  <si>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</si>
  <si>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</si>
  <si>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</si>
  <si>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</si>
  <si>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</si>
  <si>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</si>
  <si>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</si>
  <si>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</si>
  <si>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</si>
  <si>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</si>
  <si>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</si>
  <si>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</si>
  <si>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</si>
  <si>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</si>
  <si>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</si>
  <si>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</si>
  <si>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</si>
  <si>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</si>
  <si>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</si>
  <si>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</si>
  <si>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</si>
  <si>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</si>
  <si>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</si>
  <si>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</si>
  <si>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</si>
  <si>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</si>
  <si>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</si>
  <si>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</si>
  <si>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</si>
  <si>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</si>
  <si>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</si>
  <si>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</si>
  <si>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</si>
  <si>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</si>
  <si>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</si>
  <si>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</si>
  <si>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</si>
  <si>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</si>
  <si>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</si>
  <si>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</si>
  <si>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</si>
  <si>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</si>
  <si>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</si>
  <si>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</si>
  <si>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</si>
  <si>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</si>
  <si>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</si>
  <si>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</si>
  <si>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</si>
  <si>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</si>
  <si>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</si>
  <si>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</si>
  <si>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</si>
  <si>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</si>
  <si>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</si>
  <si>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</si>
  <si>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</si>
  <si>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</si>
  <si>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</si>
  <si>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</si>
  <si>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</si>
  <si>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</si>
  <si>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</si>
  <si>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</si>
  <si>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</si>
  <si>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</si>
  <si>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</si>
  <si>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</si>
  <si>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</si>
  <si>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</si>
  <si>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</si>
  <si>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</si>
  <si>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</si>
  <si>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</si>
  <si>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</si>
  <si>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</si>
  <si>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</si>
  <si>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</si>
  <si>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</si>
  <si>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</si>
  <si>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</si>
  <si>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</si>
  <si>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</si>
  <si>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</si>
  <si>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</si>
  <si>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</si>
  <si>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</si>
  <si>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</si>
  <si>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</si>
  <si>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</si>
  <si>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</si>
  <si>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</si>
  <si>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</si>
  <si>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</si>
  <si>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</si>
  <si>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</si>
  <si>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</si>
  <si>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</si>
  <si>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</si>
  <si>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</si>
  <si>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</si>
  <si>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</si>
  <si>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</si>
  <si>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</si>
  <si>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</si>
  <si>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</si>
  <si>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</si>
  <si>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</si>
  <si>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</si>
  <si>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</si>
  <si>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</si>
  <si>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</si>
  <si>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</si>
  <si>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</si>
  <si>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</si>
  <si>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</si>
  <si>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</si>
  <si>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</si>
  <si>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</si>
  <si>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</si>
  <si>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</si>
  <si>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</si>
  <si>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</si>
  <si>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</si>
  <si>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</si>
  <si>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</si>
  <si>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</si>
  <si>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</si>
  <si>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</si>
  <si>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</si>
  <si>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</si>
  <si>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</si>
  <si>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</si>
  <si>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</si>
  <si>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</si>
  <si>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</si>
  <si>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</si>
  <si>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</si>
  <si>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</si>
  <si>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</si>
  <si>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</si>
  <si>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</si>
  <si>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</si>
  <si>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</si>
  <si>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</si>
  <si>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</si>
  <si>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</si>
  <si>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</si>
  <si>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</si>
  <si>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</si>
  <si>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</si>
  <si>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</si>
  <si>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</si>
  <si>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</si>
  <si>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</si>
  <si>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</si>
  <si>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</si>
  <si>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</si>
  <si>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</si>
  <si>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</si>
  <si>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</si>
  <si>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</si>
  <si>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</si>
  <si>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</si>
  <si>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</si>
  <si>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</si>
  <si>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</si>
  <si>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</si>
  <si>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</si>
  <si>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</si>
  <si>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</si>
  <si>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</si>
  <si>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</si>
  <si>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</si>
  <si>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</si>
  <si>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</si>
  <si>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</si>
  <si>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</si>
  <si>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</si>
  <si>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</si>
  <si>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</si>
  <si>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</si>
  <si>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</si>
  <si>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</si>
  <si>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</si>
  <si>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</si>
  <si>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</si>
  <si>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</si>
  <si>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</si>
  <si>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</si>
  <si>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</si>
  <si>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</si>
  <si>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</si>
  <si>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</si>
  <si>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</si>
  <si>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</si>
  <si>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</si>
  <si>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</si>
  <si>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</si>
  <si>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</si>
  <si>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</si>
  <si>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</si>
  <si>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</si>
  <si>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</si>
  <si>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</si>
  <si>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</si>
  <si>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</si>
  <si>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</si>
  <si>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</si>
  <si>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</si>
  <si>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</si>
  <si>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</si>
  <si>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</si>
  <si>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</si>
  <si>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</si>
  <si>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</si>
  <si>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</si>
  <si>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</si>
  <si>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</si>
  <si>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</si>
  <si>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</si>
  <si>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</si>
  <si>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</si>
  <si>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</si>
  <si>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</si>
  <si>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</si>
  <si>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</si>
  <si>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</si>
  <si>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</si>
  <si>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</si>
  <si>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</si>
  <si>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</si>
  <si>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</si>
  <si>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</si>
  <si>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</si>
  <si>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</si>
  <si>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</si>
  <si>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</si>
  <si>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</si>
  <si>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</si>
  <si>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</si>
  <si>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</si>
  <si>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</si>
  <si>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</si>
  <si>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</si>
  <si>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</si>
  <si>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</si>
  <si>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</si>
  <si>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</si>
  <si>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</si>
  <si>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</si>
  <si>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</si>
  <si>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</si>
  <si>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</si>
  <si>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</si>
  <si>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</si>
  <si>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</si>
  <si>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</si>
  <si>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</si>
  <si>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</si>
  <si>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</si>
  <si>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</si>
  <si>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</si>
  <si>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</si>
  <si>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</si>
  <si>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</si>
  <si>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</si>
  <si>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</si>
  <si>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</si>
  <si>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</si>
  <si>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</si>
  <si>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</si>
  <si>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</si>
  <si>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</si>
  <si>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</si>
  <si>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</si>
  <si>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</si>
  <si>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</si>
  <si>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</si>
  <si>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</si>
  <si>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</si>
  <si>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</si>
  <si>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</si>
  <si>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</si>
  <si>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</si>
  <si>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</si>
  <si>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</si>
  <si>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</si>
  <si>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</si>
  <si>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</si>
  <si>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</si>
  <si>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</si>
  <si>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</si>
  <si>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</si>
  <si>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</si>
  <si>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</si>
  <si>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</si>
  <si>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</si>
  <si>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</si>
  <si>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</si>
  <si>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</si>
  <si>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</si>
  <si>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</si>
  <si>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</si>
  <si>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</si>
  <si>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</si>
  <si>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</si>
  <si>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</si>
  <si>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</si>
  <si>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</si>
  <si>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</si>
  <si>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</si>
  <si>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</si>
  <si>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</si>
  <si>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</si>
  <si>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</si>
  <si>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</si>
  <si>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</si>
  <si>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</si>
  <si>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</si>
  <si>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</si>
  <si>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</si>
  <si>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</si>
  <si>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</si>
  <si>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</si>
  <si>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</si>
  <si>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</si>
  <si>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</si>
  <si>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</si>
  <si>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</si>
  <si>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</si>
  <si>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</si>
  <si>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</si>
  <si>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</si>
  <si>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</si>
  <si>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</si>
  <si>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</si>
  <si>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</si>
  <si>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</si>
  <si>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</si>
  <si>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</si>
  <si>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</si>
  <si>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</si>
  <si>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</si>
  <si>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</si>
  <si>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</si>
  <si>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</si>
  <si>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</si>
  <si>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</si>
  <si>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</si>
  <si>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</si>
  <si>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</si>
  <si>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</si>
  <si>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</si>
  <si>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</si>
  <si>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</si>
  <si>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</si>
  <si>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</si>
  <si>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</si>
  <si>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</si>
  <si>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</si>
  <si>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</si>
  <si>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</si>
  <si>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</si>
  <si>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</si>
  <si>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</si>
  <si>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</si>
  <si>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</si>
  <si>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</si>
  <si>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</si>
  <si>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</si>
  <si>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</si>
  <si>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</si>
  <si>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</si>
  <si>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</si>
  <si>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</si>
  <si>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</si>
  <si>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</si>
  <si>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</si>
  <si>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</si>
  <si>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</si>
  <si>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</si>
  <si>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</si>
  <si>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</si>
  <si>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</si>
  <si>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</si>
  <si>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</si>
  <si>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</si>
  <si>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</si>
  <si>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</si>
  <si>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</si>
  <si>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</si>
  <si>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</si>
  <si>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</si>
  <si>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</si>
  <si>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</si>
  <si>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</si>
  <si>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</si>
  <si>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</si>
  <si>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</si>
  <si>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</si>
  <si>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</si>
  <si>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</si>
  <si>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</si>
  <si>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</si>
  <si>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</si>
  <si>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</si>
  <si>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</si>
  <si>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</si>
  <si>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</si>
  <si>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</si>
  <si>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</si>
  <si>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</si>
  <si>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</si>
  <si>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</si>
  <si>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</si>
  <si>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</si>
  <si>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</si>
  <si>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</si>
  <si>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</si>
  <si>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</si>
  <si>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</si>
  <si>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</si>
  <si>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</si>
  <si>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</si>
  <si>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</si>
  <si>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</si>
  <si>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</si>
  <si>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</si>
  <si>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</si>
  <si>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</si>
  <si>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</si>
  <si>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</si>
  <si>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</si>
  <si>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</si>
  <si>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</si>
  <si>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</si>
  <si>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</si>
  <si>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</si>
  <si>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</si>
  <si>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</si>
  <si>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</si>
  <si>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</si>
  <si>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</si>
  <si>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</si>
  <si>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</si>
  <si>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</si>
  <si>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</si>
  <si>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</si>
  <si>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</si>
  <si>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</si>
  <si>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</si>
  <si>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</si>
  <si>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</si>
  <si>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</si>
  <si>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</si>
  <si>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</si>
  <si>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</si>
  <si>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</si>
  <si>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</si>
  <si>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</si>
  <si>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</si>
  <si>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</si>
  <si>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</si>
  <si>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</si>
  <si>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</si>
  <si>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</si>
  <si>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</si>
  <si>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</si>
  <si>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</si>
  <si>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</si>
  <si>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</si>
  <si>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</si>
  <si>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</si>
  <si>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</si>
  <si>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</si>
  <si>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</si>
  <si>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</si>
  <si>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</si>
  <si>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</si>
  <si>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</si>
  <si>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</si>
  <si>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</si>
  <si>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</si>
  <si>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</si>
  <si>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</si>
  <si>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</si>
  <si>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</si>
  <si>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</si>
  <si>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</si>
  <si>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</si>
  <si>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</si>
  <si>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</si>
  <si>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</si>
  <si>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</si>
  <si>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</si>
  <si>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</si>
  <si>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</si>
  <si>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</si>
  <si>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</si>
  <si>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</si>
  <si>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</si>
  <si>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</si>
  <si>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</si>
  <si>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</si>
  <si>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</si>
  <si>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</si>
  <si>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</si>
  <si>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</si>
  <si>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</si>
  <si>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</si>
  <si>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</si>
  <si>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</si>
  <si>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</si>
  <si>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</si>
  <si>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</si>
  <si>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</si>
  <si>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</si>
  <si>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</si>
  <si>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</si>
  <si>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</si>
  <si>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</si>
  <si>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</si>
  <si>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</si>
  <si>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</si>
  <si>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</si>
  <si>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</si>
  <si>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</si>
  <si>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</si>
  <si>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</si>
  <si>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</si>
  <si>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</si>
  <si>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</si>
  <si>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</si>
  <si>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</si>
  <si>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</si>
  <si>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</si>
  <si>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</si>
  <si>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</si>
  <si>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</si>
  <si>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</si>
  <si>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</si>
  <si>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</si>
  <si>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</si>
  <si>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</si>
  <si>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</si>
  <si>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</si>
  <si>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</si>
  <si>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</si>
  <si>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</si>
  <si>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</si>
  <si>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</si>
  <si>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</si>
  <si>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</si>
  <si>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</si>
  <si>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</si>
  <si>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</si>
  <si>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</si>
  <si>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</si>
  <si>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</si>
  <si>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</si>
  <si>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</si>
  <si>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</si>
  <si>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</si>
  <si>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</si>
  <si>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</si>
  <si>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</si>
  <si>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</si>
  <si>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</si>
  <si>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</si>
  <si>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</si>
  <si>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</si>
  <si>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</si>
  <si>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</si>
  <si>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</si>
  <si>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</si>
  <si>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</si>
  <si>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</si>
  <si>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</si>
  <si>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</si>
  <si>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</si>
  <si>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</si>
  <si>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</si>
  <si>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</si>
  <si>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</si>
  <si>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</si>
  <si>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</si>
  <si>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</si>
  <si>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</si>
  <si>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</si>
  <si>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</si>
  <si>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</si>
  <si>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</si>
  <si>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</si>
  <si>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</si>
  <si>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</si>
  <si>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</si>
  <si>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</si>
  <si>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</si>
  <si>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</si>
  <si>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</si>
  <si>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</si>
  <si>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</si>
  <si>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</si>
  <si>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</si>
  <si>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</si>
  <si>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</si>
  <si>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</si>
  <si>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</si>
  <si>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</si>
  <si>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</si>
  <si>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</si>
  <si>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</si>
  <si>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</si>
  <si>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</si>
  <si>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</si>
  <si>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</si>
  <si>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</si>
  <si>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</si>
  <si>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</si>
  <si>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</si>
  <si>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</si>
  <si>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</si>
  <si>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</si>
  <si>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</si>
  <si>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</si>
  <si>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</si>
  <si>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</si>
  <si>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</si>
  <si>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</si>
  <si>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</si>
  <si>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</si>
  <si>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</si>
  <si>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</si>
  <si>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</si>
  <si>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</si>
  <si>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</si>
  <si>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</si>
  <si>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</si>
  <si>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</si>
  <si>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</si>
  <si>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</si>
  <si>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</si>
  <si>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</si>
  <si>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</si>
  <si>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</si>
  <si>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</si>
  <si>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</si>
  <si>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</si>
  <si>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</si>
  <si>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</si>
  <si>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</si>
  <si>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</si>
  <si>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</si>
  <si>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</si>
  <si>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</si>
  <si>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</si>
  <si>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</si>
  <si>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</si>
  <si>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</si>
  <si>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</si>
  <si>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</si>
  <si>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</si>
  <si>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</si>
  <si>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</si>
  <si>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</si>
  <si>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</si>
  <si>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</si>
  <si>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</si>
  <si>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</si>
  <si>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</si>
  <si>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</si>
  <si>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</si>
  <si>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</si>
  <si>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</si>
  <si>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</si>
  <si>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</si>
  <si>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</si>
  <si>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</si>
  <si>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</si>
  <si>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</si>
  <si>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</si>
  <si>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</si>
  <si>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</si>
  <si>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</si>
  <si>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</si>
  <si>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</si>
  <si>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</si>
  <si>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</si>
  <si>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</si>
  <si>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</si>
  <si>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</si>
  <si>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</si>
  <si>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</si>
  <si>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</si>
  <si>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</si>
  <si>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</si>
  <si>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</si>
  <si>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</si>
  <si>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</si>
  <si>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</si>
  <si>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</si>
  <si>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</si>
  <si>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</si>
  <si>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</si>
  <si>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</si>
  <si>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</si>
  <si>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</si>
  <si>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</si>
  <si>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</si>
  <si>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</si>
  <si>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</si>
  <si>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</si>
  <si>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</si>
  <si>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</si>
  <si>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</si>
  <si>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</si>
  <si>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</si>
  <si>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</si>
  <si>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</si>
  <si>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</si>
  <si>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</si>
  <si>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</si>
  <si>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</si>
  <si>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</si>
  <si>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</si>
  <si>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</si>
  <si>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</si>
  <si>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</si>
  <si>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</si>
  <si>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</si>
  <si>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</si>
  <si>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</si>
  <si>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</si>
  <si>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</si>
  <si>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</si>
  <si>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</si>
  <si>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</si>
  <si>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</si>
  <si>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</si>
  <si>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</si>
  <si>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</si>
  <si>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</si>
  <si>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</si>
  <si>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</si>
  <si>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</si>
  <si>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</si>
  <si>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</si>
  <si>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</si>
  <si>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</si>
  <si>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</si>
  <si>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</si>
  <si>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</si>
  <si>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</si>
  <si>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</si>
  <si>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</si>
  <si>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</si>
  <si>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</si>
  <si>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</si>
  <si>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</si>
  <si>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</si>
  <si>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</si>
  <si>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</si>
  <si>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</si>
  <si>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</si>
  <si>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</si>
  <si>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</si>
  <si>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</si>
  <si>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</si>
  <si>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</si>
  <si>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</si>
  <si>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</si>
  <si>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</si>
  <si>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</si>
  <si>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</si>
  <si>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</si>
  <si>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</si>
  <si>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</si>
  <si>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</si>
  <si>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</si>
  <si>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</si>
  <si>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</si>
  <si>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</si>
  <si>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</si>
  <si>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</si>
  <si>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</si>
  <si>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</si>
  <si>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</si>
  <si>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</si>
  <si>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</si>
  <si>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</si>
  <si>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</si>
  <si>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</si>
  <si>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</si>
  <si>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</si>
  <si>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</si>
  <si>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</si>
  <si>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</si>
  <si>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</si>
  <si>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</si>
  <si>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</si>
  <si>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</si>
  <si>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</si>
  <si>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</si>
  <si>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</si>
  <si>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</si>
  <si>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</si>
  <si>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</si>
  <si>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</si>
  <si>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</si>
  <si>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</si>
  <si>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</si>
  <si>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</si>
  <si>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</si>
  <si>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</si>
  <si>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</si>
  <si>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</si>
  <si>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</si>
  <si>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</si>
  <si>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</si>
  <si>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</si>
  <si>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</si>
  <si>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</si>
  <si>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</si>
  <si>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</si>
  <si>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</si>
  <si>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</si>
  <si>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</si>
  <si>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</si>
  <si>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</si>
  <si>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</si>
  <si>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</si>
  <si>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</si>
  <si>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</si>
  <si>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</si>
  <si>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</si>
  <si>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</si>
  <si>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</si>
  <si>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</si>
  <si>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</si>
  <si>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</si>
  <si>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</si>
  <si>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</si>
  <si>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</si>
  <si>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</si>
  <si>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</si>
  <si>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</si>
  <si>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</si>
  <si>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</si>
  <si>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</si>
  <si>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</si>
  <si>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</si>
  <si>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</si>
  <si>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</si>
  <si>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</si>
  <si>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</si>
  <si>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</si>
  <si>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</si>
  <si>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</si>
  <si>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</si>
  <si>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</si>
  <si>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</si>
  <si>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</si>
  <si>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</si>
  <si>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</si>
  <si>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</si>
  <si>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</si>
  <si>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</si>
  <si>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</si>
  <si>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</si>
  <si>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</si>
  <si>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</si>
  <si>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</si>
  <si>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</si>
  <si>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</si>
  <si>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</si>
  <si>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</si>
  <si>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</si>
  <si>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</si>
  <si>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</si>
  <si>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</si>
  <si>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</si>
  <si>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</si>
  <si>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</si>
  <si>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</si>
  <si>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</si>
  <si>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</si>
  <si>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</si>
  <si>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</si>
  <si>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</si>
  <si>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</si>
  <si>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</si>
  <si>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</si>
  <si>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</si>
  <si>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</si>
  <si>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</si>
  <si>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</si>
  <si>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</si>
  <si>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</si>
  <si>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</si>
  <si>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</si>
  <si>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</si>
  <si>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</si>
  <si>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</si>
  <si>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</si>
  <si>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</si>
  <si>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</si>
  <si>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</si>
  <si>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</si>
  <si>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</si>
  <si>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</si>
  <si>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</si>
  <si>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</si>
  <si>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</si>
  <si>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</si>
  <si>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</si>
  <si>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</si>
  <si>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</si>
  <si>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</si>
  <si>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</si>
  <si>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</si>
  <si>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</si>
  <si>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</si>
  <si>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</si>
  <si>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</si>
  <si>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</si>
  <si>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</si>
  <si>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</si>
  <si>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</si>
  <si>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</si>
  <si>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</si>
  <si>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</si>
  <si>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</si>
  <si>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</si>
  <si>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</si>
  <si>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</si>
  <si>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</si>
  <si>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</si>
  <si>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</si>
  <si>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</si>
  <si>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</si>
  <si>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</si>
  <si>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</si>
  <si>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</si>
  <si>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</si>
  <si>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</si>
  <si>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</si>
  <si>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</si>
  <si>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</si>
  <si>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</si>
  <si>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</si>
  <si>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</si>
  <si>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</si>
  <si>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</si>
  <si>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</si>
  <si>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</si>
  <si>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</si>
  <si>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</si>
  <si>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</si>
  <si>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</si>
  <si>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</si>
  <si>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</si>
  <si>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</si>
  <si>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</si>
  <si>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</si>
  <si>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</si>
  <si>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</si>
  <si>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</si>
  <si>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</si>
  <si>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</si>
  <si>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</si>
  <si>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</si>
  <si>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</si>
  <si>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</si>
  <si>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</si>
  <si>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</si>
  <si>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</si>
  <si>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</si>
  <si>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</si>
  <si>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</si>
  <si>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</si>
  <si>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</si>
  <si>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</si>
  <si>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</si>
  <si>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</si>
  <si>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</si>
  <si>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</si>
  <si>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</si>
  <si>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</si>
  <si>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</si>
  <si>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</si>
  <si>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</si>
  <si>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</si>
  <si>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</si>
  <si>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</si>
  <si>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</si>
  <si>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</si>
  <si>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</si>
  <si>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</si>
  <si>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</si>
  <si>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</si>
  <si>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</si>
  <si>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</si>
  <si>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</si>
  <si>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</si>
  <si>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</si>
  <si>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</si>
  <si>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</si>
  <si>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</si>
  <si>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</si>
  <si>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</si>
  <si>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</si>
  <si>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</si>
  <si>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</si>
  <si>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</si>
  <si>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</si>
  <si>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</si>
  <si>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</si>
  <si>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</si>
  <si>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</si>
  <si>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</si>
  <si>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</si>
  <si>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</si>
  <si>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</si>
  <si>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</si>
  <si>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</si>
  <si>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</si>
  <si>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</si>
  <si>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</si>
  <si>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</si>
  <si>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</si>
  <si>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</si>
  <si>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</si>
  <si>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</si>
  <si>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</si>
  <si>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</si>
  <si>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</si>
  <si>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</si>
  <si>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</si>
  <si>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</si>
  <si>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</si>
  <si>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</si>
  <si>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</si>
  <si>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</si>
  <si>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</si>
  <si>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</si>
  <si>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</si>
  <si>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</si>
  <si>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</si>
  <si>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</si>
  <si>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</si>
  <si>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</si>
  <si>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</si>
  <si>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</si>
  <si>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</si>
  <si>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</si>
  <si>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</si>
  <si>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</si>
  <si>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</si>
  <si>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</si>
  <si>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</si>
  <si>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</si>
  <si>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</si>
  <si>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</si>
  <si>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</si>
  <si>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</si>
  <si>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</si>
  <si>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</si>
  <si>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</si>
  <si>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</si>
  <si>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</si>
  <si>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</si>
  <si>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</si>
  <si>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</si>
  <si>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</si>
  <si>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</si>
  <si>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</si>
  <si>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</si>
  <si>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</si>
  <si>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</si>
  <si>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</si>
  <si>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</si>
  <si>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</si>
  <si>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</si>
  <si>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</si>
  <si>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</si>
  <si>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</si>
  <si>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</si>
  <si>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</si>
  <si>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</si>
  <si>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</si>
  <si>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</si>
  <si>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</si>
  <si>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</si>
  <si>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</si>
  <si>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</si>
  <si>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</si>
  <si>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</si>
  <si>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</si>
  <si>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</si>
  <si>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</si>
  <si>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</si>
  <si>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</si>
  <si>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</si>
  <si>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</si>
  <si>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</si>
  <si>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</si>
  <si>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</si>
  <si>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</si>
  <si>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</si>
  <si>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</si>
  <si>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</si>
  <si>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</si>
  <si>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</si>
  <si>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</si>
  <si>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</si>
  <si>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</si>
  <si>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</si>
  <si>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</si>
  <si>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</si>
  <si>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</si>
  <si>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</si>
  <si>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</si>
  <si>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</si>
  <si>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</si>
  <si>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</si>
  <si>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</si>
  <si>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</si>
  <si>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</si>
  <si>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</si>
  <si>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</si>
  <si>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</si>
  <si>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</si>
  <si>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</si>
  <si>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</si>
  <si>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</si>
  <si>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</si>
  <si>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</si>
  <si>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</si>
  <si>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</si>
  <si>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</si>
  <si>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</si>
  <si>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</si>
  <si>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</si>
  <si>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</si>
  <si>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</si>
  <si>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</si>
  <si>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</si>
  <si>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</si>
  <si>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</si>
  <si>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</si>
  <si>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</si>
  <si>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</si>
  <si>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</si>
  <si>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</si>
  <si>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</si>
  <si>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</si>
  <si>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</si>
  <si>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</si>
  <si>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</si>
  <si>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</si>
  <si>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</si>
  <si>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</si>
  <si>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</si>
  <si>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</si>
  <si>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</si>
  <si>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</si>
  <si>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</si>
  <si>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</si>
  <si>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</si>
  <si>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</si>
  <si>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</si>
  <si>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</si>
  <si>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</si>
  <si>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</si>
  <si>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</si>
  <si>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</si>
  <si>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</si>
  <si>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</si>
  <si>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</si>
  <si>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</si>
  <si>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</si>
  <si>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</si>
  <si>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</si>
  <si>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</si>
  <si>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</si>
  <si>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</si>
  <si>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</si>
  <si>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</si>
  <si>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</si>
  <si>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</si>
  <si>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</si>
  <si>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</si>
  <si>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</si>
  <si>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</si>
  <si>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</si>
  <si>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</si>
  <si>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</si>
  <si>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</si>
  <si>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</si>
  <si>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</si>
  <si>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</si>
  <si>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</si>
  <si>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</si>
  <si>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</si>
  <si>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</si>
  <si>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</si>
  <si>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</si>
  <si>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</si>
  <si>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</si>
  <si>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</si>
  <si>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</si>
  <si>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</si>
  <si>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</si>
  <si>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</si>
  <si>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</si>
  <si>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</si>
  <si>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</si>
  <si>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</si>
  <si>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</si>
  <si>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</si>
  <si>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</si>
  <si>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</si>
  <si>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</si>
  <si>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</si>
  <si>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</si>
  <si>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</si>
  <si>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</si>
  <si>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</si>
  <si>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</si>
  <si>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</si>
  <si>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</si>
  <si>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</si>
  <si>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</si>
  <si>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</si>
  <si>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</si>
  <si>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</si>
  <si>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</si>
  <si>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</si>
  <si>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</si>
  <si>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</si>
  <si>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</si>
  <si>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</si>
  <si>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</si>
  <si>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</si>
  <si>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</si>
  <si>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</si>
  <si>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</si>
  <si>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</si>
  <si>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</si>
  <si>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</si>
  <si>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</si>
  <si>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</si>
  <si>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</si>
  <si>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</si>
  <si>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</si>
  <si>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</si>
  <si>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</si>
  <si>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</si>
  <si>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</si>
  <si>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</si>
  <si>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</si>
  <si>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</si>
  <si>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</si>
  <si>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</si>
  <si>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</si>
  <si>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</si>
  <si>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</si>
  <si>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</si>
  <si>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</si>
  <si>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</si>
  <si>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</si>
  <si>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</si>
  <si>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</si>
  <si>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</si>
  <si>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</si>
  <si>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</si>
  <si>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</si>
  <si>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</si>
  <si>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</si>
  <si>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</si>
  <si>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</si>
  <si>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</si>
  <si>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</si>
  <si>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</si>
  <si>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</si>
  <si>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</si>
  <si>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</si>
  <si>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</si>
  <si>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</si>
  <si>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</si>
  <si>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</si>
  <si>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</si>
  <si>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</si>
  <si>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</si>
  <si>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</si>
  <si>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</si>
  <si>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</si>
  <si>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</si>
  <si>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</si>
  <si>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</si>
  <si>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</si>
  <si>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</si>
  <si>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</si>
  <si>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</si>
  <si>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</si>
  <si>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</si>
  <si>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</si>
  <si>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</si>
  <si>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</si>
  <si>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</si>
  <si>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</si>
  <si>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</si>
  <si>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</si>
  <si>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</si>
  <si>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</si>
  <si>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</si>
  <si>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</si>
  <si>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</si>
  <si>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</si>
  <si>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</si>
  <si>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</si>
  <si>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</si>
  <si>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</si>
  <si>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</si>
  <si>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</si>
  <si>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</si>
  <si>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</si>
  <si>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</si>
  <si>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</si>
  <si>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</si>
  <si>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</si>
  <si>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</si>
  <si>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</si>
  <si>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</si>
  <si>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</si>
  <si>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</si>
  <si>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</si>
  <si>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</si>
  <si>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</si>
  <si>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</si>
  <si>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</si>
  <si>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</si>
  <si>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</si>
  <si>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</si>
  <si>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</si>
  <si>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</si>
  <si>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</si>
  <si>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</si>
  <si>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</si>
  <si>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</si>
  <si>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</si>
  <si>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</si>
  <si>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</si>
  <si>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</si>
  <si>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</si>
  <si>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</si>
  <si>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</si>
  <si>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</si>
  <si>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</si>
  <si>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</si>
  <si>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</si>
  <si>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</si>
  <si>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</si>
  <si>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</si>
  <si>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</si>
  <si>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</si>
  <si>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</si>
  <si>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</si>
  <si>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</si>
  <si>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</si>
  <si>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</si>
  <si>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</si>
  <si>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</si>
  <si>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</si>
  <si>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</si>
  <si>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</si>
  <si>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</si>
  <si>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</si>
  <si>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</si>
  <si>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</si>
  <si>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</si>
  <si>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</si>
  <si>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</si>
  <si>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</si>
  <si>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</si>
  <si>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</si>
  <si>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</si>
  <si>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</si>
  <si>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</si>
  <si>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</si>
  <si>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</si>
  <si>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</si>
  <si>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</si>
  <si>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</si>
  <si>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</si>
  <si>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</si>
  <si>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</si>
  <si>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</si>
  <si>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</si>
  <si>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</si>
  <si>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</si>
  <si>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</si>
  <si>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</si>
  <si>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</si>
  <si>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</si>
  <si>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</si>
  <si>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</si>
  <si>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</si>
  <si>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</si>
  <si>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</si>
  <si>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</si>
  <si>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</si>
  <si>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</si>
  <si>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</si>
  <si>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</si>
  <si>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</si>
  <si>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</si>
  <si>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</si>
  <si>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</si>
  <si>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</si>
  <si>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</si>
  <si>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</si>
  <si>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</si>
  <si>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</si>
  <si>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</si>
  <si>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</si>
  <si>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</si>
  <si>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</si>
  <si>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</si>
  <si>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</si>
  <si>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</si>
  <si>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</si>
  <si>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</si>
  <si>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</si>
  <si>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</si>
  <si>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</si>
  <si>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</si>
  <si>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</si>
  <si>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</si>
  <si>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</si>
  <si>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</si>
  <si>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</si>
  <si>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</si>
  <si>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</si>
  <si>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</si>
  <si>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</si>
  <si>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</si>
  <si>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</si>
  <si>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</si>
  <si>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</si>
  <si>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</si>
  <si>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</si>
  <si>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</si>
  <si>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</si>
  <si>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</si>
  <si>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</si>
  <si>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</si>
  <si>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</si>
  <si>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</si>
  <si>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</si>
  <si>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</si>
  <si>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</si>
  <si>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</si>
  <si>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</si>
  <si>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</si>
  <si>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</si>
  <si>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</si>
  <si>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</si>
  <si>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</si>
  <si>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</si>
  <si>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</si>
  <si>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</si>
  <si>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</si>
  <si>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</si>
  <si>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</si>
  <si>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</si>
  <si>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</si>
  <si>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</si>
  <si>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</si>
  <si>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</si>
  <si>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</si>
  <si>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</si>
  <si>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</si>
  <si>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</si>
  <si>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</si>
  <si>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</si>
  <si>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</si>
  <si>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</si>
  <si>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</si>
  <si>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</si>
  <si>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</si>
  <si>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</si>
  <si>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</si>
  <si>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</si>
  <si>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</si>
  <si>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</si>
  <si>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</si>
  <si>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</si>
  <si>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</si>
  <si>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</si>
  <si>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</si>
  <si>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</si>
  <si>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</si>
  <si>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</si>
  <si>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</si>
  <si>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</si>
  <si>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</si>
  <si>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</si>
  <si>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</si>
  <si>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</si>
  <si>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</si>
  <si>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</si>
  <si>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</si>
  <si>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</si>
  <si>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</si>
  <si>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</si>
  <si>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</si>
  <si>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</si>
  <si>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</si>
  <si>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</si>
  <si>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</si>
  <si>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</si>
  <si>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</si>
  <si>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</si>
  <si>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</si>
  <si>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</si>
  <si>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</si>
  <si>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</si>
  <si>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</si>
  <si>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</si>
  <si>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</si>
  <si>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</si>
  <si>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</si>
  <si>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</si>
  <si>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</si>
  <si>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</si>
  <si>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</si>
  <si>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</si>
  <si>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</si>
  <si>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</si>
  <si>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</si>
  <si>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</si>
  <si>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</si>
  <si>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</si>
  <si>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</si>
  <si>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</si>
  <si>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</si>
  <si>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</si>
  <si>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</si>
  <si>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</si>
  <si>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</si>
  <si>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</si>
  <si>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</si>
  <si>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</si>
  <si>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</si>
  <si>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</si>
  <si>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</si>
  <si>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</si>
  <si>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</si>
  <si>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</si>
  <si>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</si>
  <si>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</si>
  <si>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</si>
  <si>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</si>
  <si>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</si>
  <si>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</si>
  <si>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</si>
  <si>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</si>
  <si>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</si>
  <si>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</si>
  <si>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</si>
  <si>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</si>
  <si>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</si>
  <si>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</si>
  <si>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</si>
  <si>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</si>
  <si>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</si>
  <si>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</si>
  <si>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</si>
  <si>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</si>
  <si>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</si>
  <si>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</si>
  <si>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</si>
  <si>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</si>
  <si>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</si>
  <si>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</si>
  <si>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</si>
  <si>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</si>
  <si>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</si>
  <si>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</si>
  <si>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</si>
  <si>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</si>
  <si>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</si>
  <si>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</si>
  <si>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</si>
  <si>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</si>
  <si>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</si>
  <si>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</si>
  <si>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</si>
  <si>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</si>
  <si>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</si>
  <si>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</si>
  <si>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</si>
  <si>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</si>
  <si>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</si>
  <si>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</si>
  <si>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</si>
  <si>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</si>
  <si>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</si>
  <si>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</si>
  <si>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</si>
  <si>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</si>
  <si>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</si>
  <si>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</si>
  <si>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</si>
  <si>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</si>
  <si>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</si>
  <si>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</si>
  <si>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</si>
  <si>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</si>
  <si>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</si>
  <si>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</si>
  <si>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</si>
  <si>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</si>
  <si>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</si>
  <si>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</si>
  <si>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</si>
  <si>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</si>
  <si>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</si>
  <si>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</si>
  <si>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</si>
  <si>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</si>
  <si>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</si>
  <si>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</si>
  <si>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</si>
  <si>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</si>
  <si>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</si>
  <si>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</si>
  <si>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</si>
  <si>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</si>
  <si>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</si>
  <si>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</si>
  <si>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</si>
  <si>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</si>
  <si>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</si>
  <si>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</si>
  <si>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</si>
  <si>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</si>
  <si>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</si>
  <si>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</si>
  <si>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</si>
  <si>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</si>
  <si>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</si>
  <si>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</si>
  <si>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</si>
  <si>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</si>
  <si>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</si>
  <si>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</si>
  <si>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</si>
  <si>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Giorgio Sorbino</t>
  </si>
  <si>
    <t>bloccato per Luca Veglianti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</si>
  <si>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</si>
  <si>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</si>
  <si>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</si>
  <si>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</si>
  <si>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</si>
  <si>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</si>
  <si>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</si>
  <si>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</si>
  <si>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</si>
  <si>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</si>
  <si>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</si>
  <si>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</si>
  <si>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</si>
  <si>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</si>
  <si>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</si>
  <si>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</si>
  <si>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</si>
  <si>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</si>
  <si>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</si>
  <si>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</si>
  <si>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</si>
  <si>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</si>
  <si>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</si>
  <si>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</si>
  <si>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</si>
  <si>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</si>
  <si>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</si>
  <si>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</si>
  <si>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</si>
  <si>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</si>
  <si>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</si>
  <si>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</si>
  <si>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</si>
  <si>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</si>
  <si>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</si>
  <si>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</si>
  <si>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</si>
  <si>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</si>
  <si>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</si>
  <si>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</si>
  <si>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</si>
  <si>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</si>
  <si>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</si>
  <si>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</si>
  <si>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</si>
  <si>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</si>
  <si>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</si>
  <si>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</si>
  <si>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</si>
  <si>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</si>
  <si>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</si>
  <si>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</si>
  <si>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</si>
  <si>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</si>
  <si>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</si>
  <si>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</si>
  <si>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</si>
  <si>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</si>
  <si>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</si>
  <si>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</si>
  <si>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</si>
  <si>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</si>
  <si>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</si>
  <si>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</si>
  <si>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</si>
  <si>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</si>
  <si>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</si>
  <si>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</si>
  <si>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</si>
  <si>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</si>
  <si>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</si>
  <si>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</si>
  <si>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</si>
  <si>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</si>
  <si>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</si>
  <si>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</si>
  <si>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</si>
  <si>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</si>
  <si>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</si>
  <si>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</si>
  <si>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</si>
  <si>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</si>
  <si>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</si>
  <si>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</si>
  <si>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</si>
  <si>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</si>
  <si>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</si>
  <si>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</si>
  <si>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</si>
  <si>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</si>
  <si>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</si>
  <si>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</si>
  <si>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</si>
  <si>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</si>
  <si>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</si>
  <si>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</si>
  <si>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</si>
  <si>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</si>
  <si>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</si>
  <si>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</si>
  <si>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</si>
  <si>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</si>
  <si>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</si>
  <si>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</si>
  <si>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</si>
  <si>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</si>
  <si>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</si>
  <si>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</si>
  <si>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</si>
  <si>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</si>
  <si>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</si>
  <si>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</si>
  <si>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</si>
  <si>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</si>
  <si>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</si>
  <si>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</si>
  <si>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</si>
  <si>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</si>
  <si>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</si>
  <si>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</si>
  <si>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</si>
  <si>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</si>
  <si>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</si>
  <si>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</si>
  <si>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</si>
  <si>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</si>
  <si>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</si>
  <si>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</si>
  <si>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</si>
  <si>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</si>
  <si>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</si>
  <si>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</si>
  <si>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</si>
  <si>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</si>
  <si>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</si>
  <si>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</si>
  <si>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</si>
  <si>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</si>
  <si>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</si>
  <si>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</si>
  <si>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</si>
  <si>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</si>
  <si>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</si>
  <si>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</si>
  <si>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</si>
  <si>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</si>
  <si>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</si>
  <si>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</si>
  <si>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</si>
  <si>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</si>
  <si>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</si>
  <si>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</si>
  <si>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</si>
  <si>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</si>
  <si>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</si>
  <si>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</si>
  <si>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</si>
  <si>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</si>
  <si>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</si>
  <si>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</si>
  <si>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</si>
  <si>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</si>
  <si>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</si>
  <si>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</si>
  <si>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</si>
  <si>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</si>
  <si>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</si>
  <si>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</si>
  <si>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</si>
  <si>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</si>
  <si>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</si>
  <si>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</si>
  <si>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</si>
  <si>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</si>
  <si>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</si>
  <si>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</si>
  <si>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</si>
  <si>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</si>
  <si>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</si>
  <si>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</si>
  <si>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</si>
  <si>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</si>
  <si>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</si>
  <si>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</si>
  <si>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</si>
  <si>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</si>
  <si>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</si>
  <si>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</si>
  <si>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</si>
  <si>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</si>
  <si>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</si>
  <si>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</si>
  <si>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</si>
  <si>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</si>
  <si>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</si>
  <si>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</si>
  <si>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</si>
  <si>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</si>
  <si>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</si>
  <si>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</si>
  <si>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</si>
  <si>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</si>
  <si>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</si>
  <si>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</si>
  <si>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</si>
  <si>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</si>
  <si>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</si>
  <si>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</si>
  <si>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</si>
  <si>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</si>
  <si>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</si>
  <si>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</si>
  <si>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</si>
  <si>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</si>
  <si>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</si>
  <si>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</si>
  <si>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</si>
  <si>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</si>
  <si>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</si>
  <si>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</si>
  <si>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</si>
  <si>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</si>
  <si>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</si>
  <si>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</si>
  <si>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</si>
  <si>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</si>
  <si>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</si>
  <si>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</si>
  <si>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</si>
  <si>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</si>
  <si>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</si>
  <si>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</si>
  <si>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</si>
  <si>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</si>
  <si>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</si>
  <si>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</si>
  <si>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</si>
  <si>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</si>
  <si>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</si>
  <si>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</si>
  <si>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</si>
  <si>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</si>
  <si>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</si>
  <si>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</si>
  <si>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</si>
  <si>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</si>
  <si>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</si>
  <si>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</si>
  <si>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</si>
  <si>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</si>
  <si>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</si>
  <si>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</si>
  <si>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</si>
  <si>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</si>
  <si>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</si>
  <si>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</si>
  <si>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</si>
  <si>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</si>
  <si>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</si>
  <si>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</si>
  <si>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</si>
  <si>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</si>
  <si>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</si>
  <si>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</si>
  <si>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</si>
  <si>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</si>
  <si>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</si>
  <si>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</si>
  <si>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</si>
  <si>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</si>
  <si>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</si>
  <si>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</si>
  <si>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</si>
  <si>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</si>
  <si>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</si>
  <si>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</si>
  <si>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</si>
  <si>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</si>
  <si>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</si>
  <si>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</si>
  <si>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</si>
  <si>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</si>
  <si>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</si>
  <si>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</si>
  <si>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</si>
  <si>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</si>
  <si>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</si>
  <si>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</si>
  <si>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</si>
  <si>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</si>
  <si>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</si>
  <si>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</si>
  <si>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</si>
  <si>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</si>
  <si>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</si>
  <si>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</si>
  <si>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</si>
  <si>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</si>
  <si>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</si>
  <si>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</si>
  <si>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</si>
  <si>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</si>
  <si>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</si>
  <si>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</si>
  <si>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</si>
  <si>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</si>
  <si>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</si>
  <si>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</si>
  <si>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</si>
  <si>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</si>
  <si>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</si>
  <si>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</si>
  <si>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</si>
  <si>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</si>
  <si>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</si>
  <si>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</si>
  <si>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</si>
  <si>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</si>
  <si>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</si>
  <si>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</si>
  <si>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</si>
  <si>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</si>
  <si>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</si>
  <si>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</si>
  <si>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</si>
  <si>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</si>
  <si>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</si>
  <si>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</si>
  <si>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</si>
  <si>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</si>
  <si>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</si>
  <si>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</si>
  <si>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</si>
  <si>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</si>
  <si>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</si>
  <si>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</si>
  <si>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</si>
  <si>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</si>
  <si>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</si>
  <si>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</si>
  <si>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</si>
  <si>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</si>
  <si>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</si>
  <si>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</si>
  <si>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</si>
  <si>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</si>
  <si>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</si>
  <si>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</si>
  <si>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</si>
  <si>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</si>
  <si>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</si>
  <si>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</si>
  <si>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</si>
  <si>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</si>
  <si>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</si>
  <si>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</si>
  <si>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</si>
  <si>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</si>
  <si>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</si>
  <si>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</si>
  <si>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</si>
  <si>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</si>
  <si>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</si>
  <si>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</si>
  <si>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</si>
  <si>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</si>
  <si>
    <t>Pepe Nero</t>
  </si>
  <si>
    <t>Viale Regina Margherita, snc</t>
  </si>
  <si>
    <t>Capodimonte</t>
  </si>
  <si>
    <t>0761/871909</t>
  </si>
  <si>
    <t>42.553602550849845, 11.89465268098301</t>
  </si>
  <si>
    <t>Hosteria Amedeo</t>
  </si>
  <si>
    <t>Via Montecompatri, 31</t>
  </si>
  <si>
    <t>Monte Porzio Catone</t>
  </si>
  <si>
    <t>06/94341163</t>
  </si>
  <si>
    <t>41.809800593317306, 12.726402166442702</t>
  </si>
  <si>
    <t>41.82441192672199, 12.794924682160278</t>
  </si>
  <si>
    <t xml:space="preserve">Il Picchio </t>
  </si>
  <si>
    <t>Piazza Vittorio Emanuele, 33</t>
  </si>
  <si>
    <t>Torano</t>
  </si>
  <si>
    <t>348/2328300</t>
  </si>
  <si>
    <t>42.1527981195671, 13.25939272388225</t>
  </si>
  <si>
    <t>Vico Pizza &amp; Wine</t>
  </si>
  <si>
    <t>Piazza Rondanini, 47</t>
  </si>
  <si>
    <t>06/87809501</t>
  </si>
  <si>
    <t>41.89979359752863, 12.475981967920298</t>
  </si>
  <si>
    <t>Tiella</t>
  </si>
  <si>
    <t>Via Vito Giuseppe Galati, 52</t>
  </si>
  <si>
    <t>393/9192692</t>
  </si>
  <si>
    <t>Piazza Regina Margherita, 25/26</t>
  </si>
  <si>
    <t>caffè specialty / brunch</t>
  </si>
  <si>
    <t>Via Pellegrino Rossi, 1</t>
  </si>
  <si>
    <t>Cafè Conti &amp; Co.</t>
  </si>
  <si>
    <t>La Clessidra</t>
  </si>
  <si>
    <t>antipasto, primo, secondo e dolce (provare un pesce dry aging)</t>
  </si>
  <si>
    <t>Via Antonio Gramsci, 97</t>
  </si>
  <si>
    <t>375/7975609</t>
  </si>
  <si>
    <t>41.45183832097367, 12.633921659316934</t>
  </si>
  <si>
    <t>Via Gaio Melisso, 32</t>
  </si>
  <si>
    <t>Para Compartir</t>
  </si>
  <si>
    <t>Via Carlo Lorenzini, 15</t>
  </si>
  <si>
    <t>351/4210351</t>
  </si>
  <si>
    <t>L'Acqua Bulle</t>
  </si>
  <si>
    <t>Viale Vittorio Veneto, 133</t>
  </si>
  <si>
    <t>06/68975537</t>
  </si>
  <si>
    <t>41.77738105113258, 12.682042775213542</t>
  </si>
  <si>
    <t>41.77006211765232, 12.22735940892787</t>
  </si>
  <si>
    <t>Via di Casal Bertone, 64</t>
  </si>
  <si>
    <t>Dahab</t>
  </si>
  <si>
    <t>06/89112891</t>
  </si>
  <si>
    <t>41.89708722399942, 12.532899721318955</t>
  </si>
  <si>
    <t xml:space="preserve">menù degustazione da 5 portate </t>
  </si>
  <si>
    <t>N'uovo Vino e Cucina</t>
  </si>
  <si>
    <t>0761/586988</t>
  </si>
  <si>
    <t>Sutri</t>
  </si>
  <si>
    <t>60+20</t>
  </si>
  <si>
    <t>menù degustazione di 4 portate o superiore</t>
  </si>
  <si>
    <t>SS Cassia km 46, 700</t>
  </si>
  <si>
    <t>42.23075667813577, 12.258508349882923</t>
  </si>
  <si>
    <t>Donkey's Bar</t>
  </si>
  <si>
    <t>Lungotevere Arnaldo da Brescia, 2</t>
  </si>
  <si>
    <t>327/4852960</t>
  </si>
  <si>
    <t>41.91037576013152, 12.47341002086633</t>
  </si>
  <si>
    <t>Da Santuccio</t>
  </si>
  <si>
    <t>Via Guido Nati, 15</t>
  </si>
  <si>
    <t>Roscioli F.A.B.</t>
  </si>
  <si>
    <t>Ie Koji</t>
  </si>
  <si>
    <t>Via Settembrini, 21/25</t>
  </si>
  <si>
    <t>06/88795874</t>
  </si>
  <si>
    <t>Casal Bertone</t>
  </si>
  <si>
    <t>06/83428715</t>
  </si>
  <si>
    <t>Der Biondo</t>
  </si>
  <si>
    <t>Gandhi</t>
  </si>
  <si>
    <t>indiana</t>
  </si>
  <si>
    <t>Via Pellegrino Matteucci, 124</t>
  </si>
  <si>
    <t>06/64420047</t>
  </si>
  <si>
    <t>Gelabakery</t>
  </si>
  <si>
    <t>gelateria / pasticceria</t>
  </si>
  <si>
    <t>351/9236312</t>
  </si>
  <si>
    <t>Via dei Colombi, 59 B/C</t>
  </si>
  <si>
    <t>Torre Maura</t>
  </si>
  <si>
    <t>41.86962392680513, 12.593240551998313</t>
  </si>
  <si>
    <t>Tibibbo</t>
  </si>
  <si>
    <t>wine bar</t>
  </si>
  <si>
    <t>Via Poggio Ameno, 52</t>
  </si>
  <si>
    <t>370/3741308</t>
  </si>
  <si>
    <t>tre piatti diversi e un calice</t>
  </si>
  <si>
    <t>41.847407047892766, 12.489860861650634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</si>
</sst>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7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8" applyFont="1" applyFill="1" applyAlignment="1">
      <alignment horizontal="center" vertical="center" wrapText="1"/>
    </xf>
    <xf numFmtId="0" fontId="8" fillId="11" borderId="0" xfId="9" applyFont="1" applyFill="1" applyAlignment="1">
      <alignment horizontal="left" wrapText="1"/>
    </xf>
    <xf numFmtId="0" fontId="3" fillId="11" borderId="0" xfId="0" applyFont="1" applyFill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811"/>
  <sheetViews>
    <sheetView tabSelected="1" zoomScaleNormal="100" workbookViewId="0">
      <pane ySplit="7" topLeftCell="A110" activePane="bottomLeft" state="frozen"/>
      <selection pane="bottomLeft" activeCell="L116" sqref="L116"/>
    </sheetView>
  </sheetViews>
  <sheetFormatPr defaultColWidth="9.140625" defaultRowHeight="14.25" customHeight="1" x14ac:dyDescent="0.2"/>
  <cols>
    <col min="1" max="1" width="4.8554687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129</v>
      </c>
      <c r="F3" s="5">
        <f>+AD6</f>
        <v>130</v>
      </c>
      <c r="G3" s="5">
        <f>+AF6</f>
        <v>125</v>
      </c>
      <c r="H3" s="5">
        <f>+E3-G3</f>
        <v>4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335</v>
      </c>
      <c r="F4" s="7">
        <f>+AE6</f>
        <v>290</v>
      </c>
      <c r="G4" s="7">
        <f>+AG6</f>
        <v>254</v>
      </c>
      <c r="H4" s="5">
        <f>+E4-G4</f>
        <v>81</v>
      </c>
      <c r="I4" s="22" t="s">
        <v>10</v>
      </c>
      <c r="J4" s="23" t="s">
        <v>560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464</v>
      </c>
      <c r="F5" s="8">
        <f>+F3+F4</f>
        <v>420</v>
      </c>
      <c r="G5" s="8">
        <f>+G3+G4</f>
        <v>379</v>
      </c>
      <c r="H5" s="8">
        <f>+H3+H4</f>
        <v>85</v>
      </c>
      <c r="I5" s="30" t="s">
        <v>16</v>
      </c>
      <c r="J5" s="25" t="s">
        <v>559</v>
      </c>
      <c r="K5" s="26" t="s">
        <v>41</v>
      </c>
      <c r="M5" s="17"/>
      <c r="N5" s="17"/>
      <c r="Q5" s="9"/>
      <c r="S5" s="9">
        <f t="shared" ref="S5:AB5" si="0">SUM(S8:S2454)</f>
        <v>60</v>
      </c>
      <c r="T5" s="9">
        <f t="shared" si="0"/>
        <v>11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5</v>
      </c>
      <c r="Y5" s="9">
        <f t="shared" si="0"/>
        <v>18</v>
      </c>
      <c r="Z5" s="9">
        <f t="shared" si="0"/>
        <v>30</v>
      </c>
      <c r="AA5" s="9">
        <f t="shared" si="0"/>
        <v>18</v>
      </c>
      <c r="AB5" s="9">
        <f t="shared" si="0"/>
        <v>23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SUM(AD8:AD1723)</f>
        <v>130</v>
      </c>
      <c r="AE6" s="1">
        <f t="shared" si="1"/>
        <v>290</v>
      </c>
      <c r="AF6" s="1">
        <f t="shared" si="1"/>
        <v>125</v>
      </c>
      <c r="AG6" s="1">
        <f t="shared" si="1"/>
        <v>254</v>
      </c>
      <c r="AH6" s="1">
        <f t="shared" si="1"/>
        <v>129</v>
      </c>
      <c r="AI6" s="1">
        <f t="shared" si="1"/>
        <v>335</v>
      </c>
    </row>
    <row r="7" spans="1:35" s="61" customFormat="1" ht="14.25" customHeight="1" x14ac:dyDescent="0.25">
      <c r="A7" s="27" t="s">
        <v>1342</v>
      </c>
      <c r="B7" s="27" t="s">
        <v>1343</v>
      </c>
      <c r="C7" s="27" t="s">
        <v>1344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1345</v>
      </c>
      <c r="K7" s="27" t="s">
        <v>1600</v>
      </c>
      <c r="L7" s="27" t="s">
        <v>17</v>
      </c>
      <c r="M7" s="29" t="s">
        <v>1346</v>
      </c>
      <c r="N7" s="28" t="s">
        <v>0</v>
      </c>
      <c r="O7" s="18" t="s">
        <v>1</v>
      </c>
      <c r="P7" s="18" t="s">
        <v>2</v>
      </c>
      <c r="Q7" s="29" t="s">
        <v>1840</v>
      </c>
      <c r="S7" s="61">
        <v>1</v>
      </c>
      <c r="T7" s="61">
        <f>+S7+1</f>
        <v>2</v>
      </c>
      <c r="U7" s="61">
        <f t="shared" ref="U7:AB7" si="2">+T7+1</f>
        <v>3</v>
      </c>
      <c r="V7" s="61">
        <f t="shared" si="2"/>
        <v>4</v>
      </c>
      <c r="W7" s="61">
        <f t="shared" si="2"/>
        <v>5</v>
      </c>
      <c r="X7" s="61">
        <f t="shared" si="2"/>
        <v>6</v>
      </c>
      <c r="Y7" s="61">
        <f t="shared" si="2"/>
        <v>7</v>
      </c>
      <c r="Z7" s="61">
        <f t="shared" si="2"/>
        <v>8</v>
      </c>
      <c r="AA7" s="61">
        <f t="shared" si="2"/>
        <v>9</v>
      </c>
      <c r="AB7" s="61">
        <f t="shared" si="2"/>
        <v>10</v>
      </c>
      <c r="AD7" s="61" t="s">
        <v>21</v>
      </c>
      <c r="AE7" s="61" t="s">
        <v>22</v>
      </c>
      <c r="AF7" s="61" t="s">
        <v>4</v>
      </c>
      <c r="AG7" s="61" t="s">
        <v>5</v>
      </c>
      <c r="AH7" s="61" t="s">
        <v>6</v>
      </c>
      <c r="AI7" s="61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890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724</v>
      </c>
      <c r="L8" s="33">
        <v>200</v>
      </c>
      <c r="M8" s="34" t="s">
        <v>39</v>
      </c>
      <c r="N8" s="34" t="s">
        <v>1705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1558</v>
      </c>
      <c r="E9" s="32" t="s">
        <v>170</v>
      </c>
      <c r="F9" s="32" t="s">
        <v>1508</v>
      </c>
      <c r="G9" s="32" t="s">
        <v>39</v>
      </c>
      <c r="H9" s="32" t="s">
        <v>361</v>
      </c>
      <c r="I9" s="31" t="s">
        <v>1509</v>
      </c>
      <c r="J9" s="31">
        <v>99</v>
      </c>
      <c r="K9" s="33" t="s">
        <v>945</v>
      </c>
      <c r="L9" s="33" t="s">
        <v>1667</v>
      </c>
      <c r="M9" s="34" t="s">
        <v>1350</v>
      </c>
      <c r="N9" s="34" t="s">
        <v>1693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149</v>
      </c>
      <c r="E10" s="45" t="s">
        <v>170</v>
      </c>
      <c r="F10" s="45" t="s">
        <v>349</v>
      </c>
      <c r="G10" s="45" t="s">
        <v>177</v>
      </c>
      <c r="H10" s="45" t="s">
        <v>352</v>
      </c>
      <c r="I10" s="44" t="s">
        <v>494</v>
      </c>
      <c r="J10" s="44">
        <v>1</v>
      </c>
      <c r="K10" s="46" t="s">
        <v>945</v>
      </c>
      <c r="L10" s="46" t="s">
        <v>1668</v>
      </c>
      <c r="M10" s="47" t="s">
        <v>1347</v>
      </c>
      <c r="N10" s="47" t="s">
        <v>1769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1013</v>
      </c>
      <c r="E11" s="32" t="s">
        <v>173</v>
      </c>
      <c r="F11" s="32" t="s">
        <v>1071</v>
      </c>
      <c r="G11" s="32" t="s">
        <v>39</v>
      </c>
      <c r="H11" s="32" t="s">
        <v>1014</v>
      </c>
      <c r="I11" s="31" t="s">
        <v>1093</v>
      </c>
      <c r="J11" s="31">
        <v>16</v>
      </c>
      <c r="K11" s="33" t="s">
        <v>943</v>
      </c>
      <c r="L11" s="33">
        <v>45</v>
      </c>
      <c r="M11" s="34" t="s">
        <v>1348</v>
      </c>
      <c r="N11" s="34" t="s">
        <v>1785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31">
        <v>0</v>
      </c>
      <c r="B12" s="31">
        <v>1</v>
      </c>
      <c r="C12" s="31">
        <v>1</v>
      </c>
      <c r="D12" s="32" t="s">
        <v>116</v>
      </c>
      <c r="E12" s="32" t="s">
        <v>170</v>
      </c>
      <c r="F12" s="32" t="s">
        <v>314</v>
      </c>
      <c r="G12" s="32" t="s">
        <v>315</v>
      </c>
      <c r="H12" s="32" t="s">
        <v>352</v>
      </c>
      <c r="I12" s="31" t="s">
        <v>461</v>
      </c>
      <c r="J12" s="31">
        <v>8</v>
      </c>
      <c r="K12" s="33" t="s">
        <v>947</v>
      </c>
      <c r="L12" s="33" t="s">
        <v>1671</v>
      </c>
      <c r="M12" s="34" t="s">
        <v>1100</v>
      </c>
      <c r="N12" s="34" t="s">
        <v>1761</v>
      </c>
      <c r="O12" s="35">
        <v>1</v>
      </c>
      <c r="P12" s="35"/>
      <c r="Q12" s="32"/>
      <c r="S12" s="1">
        <f t="shared" ref="S12:S18" si="7">IF(J12=$S$7,1,0)</f>
        <v>0</v>
      </c>
      <c r="T12" s="1">
        <f t="shared" ref="T12:T18" si="8">IF(J12=$T$7,1,0)</f>
        <v>0</v>
      </c>
      <c r="U12" s="1">
        <f t="shared" ref="U12:U18" si="9">IF(J12=$U$7,1,0)</f>
        <v>0</v>
      </c>
      <c r="V12" s="1">
        <f t="shared" ref="V12:V18" si="10">IF(J12=$V$7,1,0)</f>
        <v>0</v>
      </c>
      <c r="W12" s="1">
        <f t="shared" ref="W12:W18" si="11">IF(J12=$W$7,1,0)</f>
        <v>0</v>
      </c>
      <c r="X12" s="1">
        <f t="shared" ref="X12:X18" si="12">IF(J12=$X$7,1,0)</f>
        <v>0</v>
      </c>
      <c r="Y12" s="1">
        <f t="shared" ref="Y12:Y18" si="13">IF(J12=$Y$7,1,0)</f>
        <v>0</v>
      </c>
      <c r="Z12" s="1">
        <f t="shared" ref="Z12:Z18" si="14">IF(J12=$Z$7,1,0)</f>
        <v>1</v>
      </c>
      <c r="AA12" s="1">
        <f t="shared" ref="AA12:AA18" si="15">IF(J12=$AA$7,1,0)</f>
        <v>0</v>
      </c>
      <c r="AB12" s="1">
        <f t="shared" ref="AB12:AB18" si="16">IF(J12=$AB$7,1,0)</f>
        <v>0</v>
      </c>
      <c r="AD12" s="1">
        <f t="shared" ref="AD12:AD18" si="17">+O12*P12</f>
        <v>0</v>
      </c>
      <c r="AE12" s="1">
        <f t="shared" ref="AE12:AE18" si="18">O12*(1-P12)</f>
        <v>1</v>
      </c>
      <c r="AF12" s="1">
        <f t="shared" si="3"/>
        <v>0</v>
      </c>
      <c r="AG12" s="1">
        <f t="shared" si="4"/>
        <v>1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31">
        <v>0</v>
      </c>
      <c r="B13" s="31">
        <v>1</v>
      </c>
      <c r="C13" s="31">
        <v>1</v>
      </c>
      <c r="D13" s="32" t="s">
        <v>139</v>
      </c>
      <c r="E13" s="32" t="s">
        <v>170</v>
      </c>
      <c r="F13" s="32" t="s">
        <v>338</v>
      </c>
      <c r="G13" s="32" t="s">
        <v>339</v>
      </c>
      <c r="H13" s="32" t="s">
        <v>352</v>
      </c>
      <c r="I13" s="31" t="s">
        <v>485</v>
      </c>
      <c r="J13" s="31">
        <v>10</v>
      </c>
      <c r="K13" s="33" t="s">
        <v>945</v>
      </c>
      <c r="L13" s="33" t="s">
        <v>1672</v>
      </c>
      <c r="M13" s="34" t="s">
        <v>1100</v>
      </c>
      <c r="N13" s="34" t="s">
        <v>1761</v>
      </c>
      <c r="O13" s="35">
        <v>1</v>
      </c>
      <c r="P13" s="35"/>
      <c r="Q13" s="32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1</v>
      </c>
      <c r="AF13" s="1">
        <f t="shared" ref="AF13:AF19" si="19">+O13*P13*(1-A13)</f>
        <v>0</v>
      </c>
      <c r="AG13" s="1">
        <f t="shared" ref="AG13:AG19" si="20">O13*(1-P13)*(1-A13)</f>
        <v>1</v>
      </c>
      <c r="AH13" s="1">
        <f t="shared" ref="AH13:AH19" si="21">+P13*(1-A13)</f>
        <v>0</v>
      </c>
      <c r="AI13" s="1">
        <f t="shared" ref="AI13:AI19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1267</v>
      </c>
      <c r="G14" s="32" t="s">
        <v>239</v>
      </c>
      <c r="H14" s="32" t="s">
        <v>352</v>
      </c>
      <c r="I14" s="31" t="s">
        <v>1332</v>
      </c>
      <c r="J14" s="31">
        <v>1</v>
      </c>
      <c r="K14" s="33" t="s">
        <v>941</v>
      </c>
      <c r="L14" s="33" t="s">
        <v>1674</v>
      </c>
      <c r="M14" s="34" t="s">
        <v>1349</v>
      </c>
      <c r="N14" s="34" t="s">
        <v>1709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115</v>
      </c>
      <c r="E15" s="45" t="s">
        <v>170</v>
      </c>
      <c r="F15" s="45" t="s">
        <v>313</v>
      </c>
      <c r="G15" s="45" t="s">
        <v>185</v>
      </c>
      <c r="H15" s="45" t="s">
        <v>352</v>
      </c>
      <c r="I15" s="44" t="s">
        <v>460</v>
      </c>
      <c r="J15" s="44">
        <v>1</v>
      </c>
      <c r="K15" s="46" t="s">
        <v>945</v>
      </c>
      <c r="L15" s="46">
        <v>135</v>
      </c>
      <c r="M15" s="47" t="s">
        <v>2115</v>
      </c>
      <c r="N15" s="47" t="s">
        <v>1769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19"/>
        <v>0</v>
      </c>
      <c r="AG15" s="1">
        <f t="shared" si="20"/>
        <v>0</v>
      </c>
      <c r="AH15" s="1">
        <f t="shared" si="21"/>
        <v>0</v>
      </c>
      <c r="AI15" s="1">
        <f t="shared" si="22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109</v>
      </c>
      <c r="E16" s="39" t="s">
        <v>170</v>
      </c>
      <c r="F16" s="39" t="s">
        <v>307</v>
      </c>
      <c r="G16" s="39" t="s">
        <v>212</v>
      </c>
      <c r="H16" s="39" t="s">
        <v>352</v>
      </c>
      <c r="I16" s="38" t="s">
        <v>455</v>
      </c>
      <c r="J16" s="38">
        <v>1</v>
      </c>
      <c r="K16" s="40" t="s">
        <v>1664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19"/>
        <v>0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ht="14.25" customHeight="1" x14ac:dyDescent="0.25">
      <c r="A17" s="31">
        <v>0</v>
      </c>
      <c r="B17" s="31">
        <v>1</v>
      </c>
      <c r="C17" s="31">
        <v>1</v>
      </c>
      <c r="D17" s="32" t="s">
        <v>119</v>
      </c>
      <c r="E17" s="32" t="s">
        <v>672</v>
      </c>
      <c r="F17" s="32" t="s">
        <v>1072</v>
      </c>
      <c r="G17" s="32" t="s">
        <v>39</v>
      </c>
      <c r="H17" s="32" t="s">
        <v>353</v>
      </c>
      <c r="I17" s="31" t="s">
        <v>1094</v>
      </c>
      <c r="J17" s="31">
        <v>11</v>
      </c>
      <c r="K17" s="33" t="s">
        <v>947</v>
      </c>
      <c r="L17" s="33" t="s">
        <v>1680</v>
      </c>
      <c r="M17" s="34" t="s">
        <v>1350</v>
      </c>
      <c r="N17" s="34" t="s">
        <v>1716</v>
      </c>
      <c r="O17" s="35">
        <v>1</v>
      </c>
      <c r="P17" s="35"/>
      <c r="Q17" s="32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1</v>
      </c>
      <c r="AF17" s="1">
        <f t="shared" si="19"/>
        <v>0</v>
      </c>
      <c r="AG17" s="1">
        <f t="shared" si="20"/>
        <v>1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941</v>
      </c>
      <c r="L18" s="46">
        <v>75</v>
      </c>
      <c r="M18" s="47" t="s">
        <v>1350</v>
      </c>
      <c r="N18" s="47" t="s">
        <v>1762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19"/>
        <v>0</v>
      </c>
      <c r="AG18" s="1">
        <f t="shared" si="20"/>
        <v>0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946</v>
      </c>
      <c r="L19" s="33">
        <v>200</v>
      </c>
      <c r="M19" s="34" t="s">
        <v>39</v>
      </c>
      <c r="N19" s="34" t="s">
        <v>1809</v>
      </c>
      <c r="O19" s="35">
        <v>1</v>
      </c>
      <c r="P19" s="35"/>
      <c r="Q19" s="32"/>
      <c r="S19" s="1">
        <f t="shared" ref="S19:S81" si="23">IF(J19=$S$7,1,0)</f>
        <v>0</v>
      </c>
      <c r="T19" s="1">
        <f t="shared" ref="T19:T81" si="24">IF(J19=$T$7,1,0)</f>
        <v>0</v>
      </c>
      <c r="U19" s="1">
        <f t="shared" ref="U19:U81" si="25">IF(J19=$U$7,1,0)</f>
        <v>0</v>
      </c>
      <c r="V19" s="1">
        <f t="shared" ref="V19:V81" si="26">IF(J19=$V$7,1,0)</f>
        <v>0</v>
      </c>
      <c r="W19" s="1">
        <f t="shared" ref="W19:W81" si="27">IF(J19=$W$7,1,0)</f>
        <v>0</v>
      </c>
      <c r="X19" s="1">
        <f t="shared" ref="X19:X81" si="28">IF(J19=$X$7,1,0)</f>
        <v>0</v>
      </c>
      <c r="Y19" s="1">
        <f t="shared" ref="Y19:Y81" si="29">IF(J19=$Y$7,1,0)</f>
        <v>0</v>
      </c>
      <c r="Z19" s="1">
        <f t="shared" ref="Z19:Z81" si="30">IF(J19=$Z$7,1,0)</f>
        <v>0</v>
      </c>
      <c r="AA19" s="1">
        <f t="shared" ref="AA19:AA81" si="31">IF(J19=$AA$7,1,0)</f>
        <v>0</v>
      </c>
      <c r="AB19" s="1">
        <f t="shared" ref="AB19:AB81" si="32">IF(J19=$AB$7,1,0)</f>
        <v>0</v>
      </c>
      <c r="AD19" s="1">
        <f t="shared" ref="AD19:AD81" si="33">+O19*P19</f>
        <v>0</v>
      </c>
      <c r="AE19" s="1">
        <f t="shared" ref="AE19:AE81" si="34">O19*(1-P19)</f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1">
        <v>0</v>
      </c>
      <c r="B20" s="31">
        <v>1</v>
      </c>
      <c r="C20" s="31">
        <v>1</v>
      </c>
      <c r="D20" s="32" t="s">
        <v>100</v>
      </c>
      <c r="E20" s="32" t="s">
        <v>170</v>
      </c>
      <c r="F20" s="32" t="s">
        <v>296</v>
      </c>
      <c r="G20" s="32" t="s">
        <v>39</v>
      </c>
      <c r="H20" s="32" t="s">
        <v>354</v>
      </c>
      <c r="I20" s="31" t="s">
        <v>445</v>
      </c>
      <c r="J20" s="31">
        <v>15</v>
      </c>
      <c r="K20" s="33" t="s">
        <v>948</v>
      </c>
      <c r="L20" s="33" t="s">
        <v>39</v>
      </c>
      <c r="M20" s="34" t="s">
        <v>39</v>
      </c>
      <c r="N20" s="34" t="s">
        <v>1699</v>
      </c>
      <c r="O20" s="35">
        <v>1</v>
      </c>
      <c r="P20" s="35">
        <v>1</v>
      </c>
      <c r="Q20" s="32" t="s">
        <v>1852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1</v>
      </c>
      <c r="AE20" s="1">
        <f t="shared" si="34"/>
        <v>0</v>
      </c>
      <c r="AF20" s="1">
        <f t="shared" ref="AF20:AF82" si="35">+O20*P20*(1-A20)</f>
        <v>1</v>
      </c>
      <c r="AG20" s="1">
        <f t="shared" ref="AG20:AG82" si="36">O20*(1-P20)*(1-A20)</f>
        <v>0</v>
      </c>
      <c r="AH20" s="1">
        <f t="shared" ref="AH20:AH82" si="37">+P20*(1-A20)</f>
        <v>1</v>
      </c>
      <c r="AI20" s="1">
        <f t="shared" ref="AI20:AI82" si="38">+(1-A20)*(1-P20)</f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879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941</v>
      </c>
      <c r="L21" s="33" t="s">
        <v>39</v>
      </c>
      <c r="M21" s="34" t="s">
        <v>39</v>
      </c>
      <c r="N21" s="34" t="s">
        <v>1693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35"/>
        <v>1</v>
      </c>
      <c r="AG21" s="1">
        <f t="shared" si="36"/>
        <v>0</v>
      </c>
      <c r="AH21" s="1">
        <f t="shared" si="37"/>
        <v>1</v>
      </c>
      <c r="AI21" s="1">
        <f t="shared" si="38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948</v>
      </c>
      <c r="L22" s="33" t="s">
        <v>39</v>
      </c>
      <c r="M22" s="34" t="s">
        <v>39</v>
      </c>
      <c r="N22" s="34" t="s">
        <v>1699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35"/>
        <v>1</v>
      </c>
      <c r="AG22" s="1">
        <f t="shared" si="36"/>
        <v>0</v>
      </c>
      <c r="AH22" s="1">
        <f t="shared" si="37"/>
        <v>1</v>
      </c>
      <c r="AI22" s="1">
        <f t="shared" si="38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673</v>
      </c>
      <c r="F23" s="32" t="s">
        <v>337</v>
      </c>
      <c r="G23" s="32" t="s">
        <v>1144</v>
      </c>
      <c r="H23" s="32" t="s">
        <v>352</v>
      </c>
      <c r="I23" s="31" t="s">
        <v>483</v>
      </c>
      <c r="J23" s="31">
        <v>1</v>
      </c>
      <c r="K23" s="33" t="s">
        <v>941</v>
      </c>
      <c r="L23" s="33" t="s">
        <v>1672</v>
      </c>
      <c r="M23" s="34" t="s">
        <v>1100</v>
      </c>
      <c r="N23" s="34" t="s">
        <v>1705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35"/>
        <v>0</v>
      </c>
      <c r="AG23" s="1">
        <f t="shared" si="36"/>
        <v>1</v>
      </c>
      <c r="AH23" s="1">
        <f t="shared" si="37"/>
        <v>0</v>
      </c>
      <c r="AI23" s="1">
        <f t="shared" si="38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1555</v>
      </c>
      <c r="E24" s="32" t="s">
        <v>170</v>
      </c>
      <c r="F24" s="32" t="s">
        <v>1556</v>
      </c>
      <c r="G24" s="32" t="s">
        <v>212</v>
      </c>
      <c r="H24" s="32" t="s">
        <v>352</v>
      </c>
      <c r="I24" s="31" t="s">
        <v>1557</v>
      </c>
      <c r="J24" s="31">
        <v>1</v>
      </c>
      <c r="K24" s="33" t="s">
        <v>947</v>
      </c>
      <c r="L24" s="33" t="s">
        <v>39</v>
      </c>
      <c r="M24" s="34" t="s">
        <v>39</v>
      </c>
      <c r="N24" s="34" t="s">
        <v>1693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35"/>
        <v>1</v>
      </c>
      <c r="AG24" s="1">
        <f t="shared" si="36"/>
        <v>0</v>
      </c>
      <c r="AH24" s="1">
        <f t="shared" si="37"/>
        <v>1</v>
      </c>
      <c r="AI24" s="1">
        <f t="shared" si="38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1032</v>
      </c>
      <c r="E25" s="32" t="s">
        <v>170</v>
      </c>
      <c r="F25" s="32" t="s">
        <v>1076</v>
      </c>
      <c r="G25" s="32" t="s">
        <v>1019</v>
      </c>
      <c r="H25" s="32" t="s">
        <v>352</v>
      </c>
      <c r="I25" s="31" t="s">
        <v>1033</v>
      </c>
      <c r="J25" s="31">
        <v>99</v>
      </c>
      <c r="K25" s="33" t="s">
        <v>724</v>
      </c>
      <c r="L25" s="33">
        <v>150</v>
      </c>
      <c r="M25" s="34" t="s">
        <v>39</v>
      </c>
      <c r="N25" s="34" t="s">
        <v>1710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35"/>
        <v>0</v>
      </c>
      <c r="AG25" s="1">
        <f t="shared" si="36"/>
        <v>1</v>
      </c>
      <c r="AH25" s="1">
        <f t="shared" si="37"/>
        <v>0</v>
      </c>
      <c r="AI25" s="1">
        <f t="shared" si="38"/>
        <v>1</v>
      </c>
    </row>
    <row r="26" spans="1:35" ht="14.25" customHeight="1" x14ac:dyDescent="0.25">
      <c r="A26" s="31">
        <v>0</v>
      </c>
      <c r="B26" s="31">
        <v>1</v>
      </c>
      <c r="C26" s="31">
        <v>1</v>
      </c>
      <c r="D26" s="32" t="s">
        <v>111</v>
      </c>
      <c r="E26" s="32" t="s">
        <v>169</v>
      </c>
      <c r="F26" s="32" t="s">
        <v>309</v>
      </c>
      <c r="G26" s="32" t="s">
        <v>39</v>
      </c>
      <c r="H26" s="32" t="s">
        <v>353</v>
      </c>
      <c r="I26" s="31" t="s">
        <v>457</v>
      </c>
      <c r="J26" s="31">
        <v>11</v>
      </c>
      <c r="K26" s="33" t="s">
        <v>724</v>
      </c>
      <c r="L26" s="33" t="s">
        <v>39</v>
      </c>
      <c r="M26" s="34" t="s">
        <v>39</v>
      </c>
      <c r="N26" s="34" t="s">
        <v>1699</v>
      </c>
      <c r="O26" s="35">
        <v>1</v>
      </c>
      <c r="P26" s="35">
        <v>1</v>
      </c>
      <c r="Q26" s="32" t="s">
        <v>2110</v>
      </c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1</v>
      </c>
      <c r="AE26" s="1">
        <f t="shared" si="34"/>
        <v>0</v>
      </c>
      <c r="AF26" s="1">
        <f t="shared" si="35"/>
        <v>1</v>
      </c>
      <c r="AG26" s="1">
        <f t="shared" si="36"/>
        <v>0</v>
      </c>
      <c r="AH26" s="1">
        <f t="shared" si="37"/>
        <v>1</v>
      </c>
      <c r="AI26" s="1">
        <f t="shared" si="38"/>
        <v>0</v>
      </c>
    </row>
    <row r="27" spans="1:35" ht="14.25" customHeight="1" x14ac:dyDescent="0.25">
      <c r="A27" s="31">
        <v>0</v>
      </c>
      <c r="B27" s="31">
        <v>1</v>
      </c>
      <c r="C27" s="31">
        <v>1</v>
      </c>
      <c r="D27" s="32" t="s">
        <v>102</v>
      </c>
      <c r="E27" s="32" t="s">
        <v>170</v>
      </c>
      <c r="F27" s="32" t="s">
        <v>299</v>
      </c>
      <c r="G27" s="32" t="s">
        <v>300</v>
      </c>
      <c r="H27" s="32" t="s">
        <v>352</v>
      </c>
      <c r="I27" s="31" t="s">
        <v>447</v>
      </c>
      <c r="J27" s="31">
        <v>1</v>
      </c>
      <c r="K27" s="33" t="s">
        <v>945</v>
      </c>
      <c r="L27" s="33" t="s">
        <v>1681</v>
      </c>
      <c r="M27" s="34" t="s">
        <v>1351</v>
      </c>
      <c r="N27" s="34" t="s">
        <v>1761</v>
      </c>
      <c r="O27" s="35">
        <v>1</v>
      </c>
      <c r="P27" s="35"/>
      <c r="Q27" s="32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1</v>
      </c>
      <c r="AF27" s="1">
        <f t="shared" si="35"/>
        <v>0</v>
      </c>
      <c r="AG27" s="1">
        <f t="shared" si="36"/>
        <v>1</v>
      </c>
      <c r="AH27" s="1">
        <f t="shared" si="37"/>
        <v>0</v>
      </c>
      <c r="AI27" s="1">
        <f t="shared" si="38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948</v>
      </c>
      <c r="L28" s="33" t="s">
        <v>39</v>
      </c>
      <c r="M28" s="34" t="s">
        <v>39</v>
      </c>
      <c r="N28" s="34" t="s">
        <v>1699</v>
      </c>
      <c r="O28" s="35">
        <v>1</v>
      </c>
      <c r="P28" s="35">
        <v>1</v>
      </c>
      <c r="Q28" s="32" t="s">
        <v>1871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35"/>
        <v>1</v>
      </c>
      <c r="AG28" s="1">
        <f t="shared" si="36"/>
        <v>0</v>
      </c>
      <c r="AH28" s="1">
        <f t="shared" si="37"/>
        <v>1</v>
      </c>
      <c r="AI28" s="1">
        <f t="shared" si="38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841</v>
      </c>
      <c r="E29" s="32" t="s">
        <v>170</v>
      </c>
      <c r="F29" s="32" t="s">
        <v>842</v>
      </c>
      <c r="G29" s="32" t="s">
        <v>219</v>
      </c>
      <c r="H29" s="32" t="s">
        <v>352</v>
      </c>
      <c r="I29" s="31" t="s">
        <v>843</v>
      </c>
      <c r="J29" s="31">
        <v>8</v>
      </c>
      <c r="K29" s="33" t="s">
        <v>945</v>
      </c>
      <c r="L29" s="33" t="s">
        <v>1676</v>
      </c>
      <c r="M29" s="34" t="s">
        <v>1527</v>
      </c>
      <c r="N29" s="34" t="s">
        <v>1717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35"/>
        <v>0</v>
      </c>
      <c r="AG29" s="1">
        <f t="shared" si="36"/>
        <v>1</v>
      </c>
      <c r="AH29" s="1">
        <f t="shared" si="37"/>
        <v>0</v>
      </c>
      <c r="AI29" s="1">
        <f t="shared" si="38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941</v>
      </c>
      <c r="L30" s="33" t="s">
        <v>39</v>
      </c>
      <c r="M30" s="34" t="s">
        <v>39</v>
      </c>
      <c r="N30" s="34" t="s">
        <v>1699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35"/>
        <v>1</v>
      </c>
      <c r="AG30" s="1">
        <f t="shared" si="36"/>
        <v>0</v>
      </c>
      <c r="AH30" s="1">
        <f t="shared" si="37"/>
        <v>1</v>
      </c>
      <c r="AI30" s="1">
        <f t="shared" si="38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945</v>
      </c>
      <c r="L31" s="46">
        <v>70</v>
      </c>
      <c r="M31" s="47" t="s">
        <v>1352</v>
      </c>
      <c r="N31" s="47" t="s">
        <v>1700</v>
      </c>
      <c r="O31" s="48"/>
      <c r="P31" s="48"/>
      <c r="Q31" s="57" t="s">
        <v>1865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0</v>
      </c>
      <c r="AF31" s="1">
        <f t="shared" si="35"/>
        <v>0</v>
      </c>
      <c r="AG31" s="1">
        <f t="shared" si="36"/>
        <v>0</v>
      </c>
      <c r="AH31" s="1">
        <f t="shared" si="37"/>
        <v>0</v>
      </c>
      <c r="AI31" s="1">
        <f t="shared" si="38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941</v>
      </c>
      <c r="L32" s="33" t="s">
        <v>1672</v>
      </c>
      <c r="M32" s="34" t="s">
        <v>1353</v>
      </c>
      <c r="N32" s="34" t="s">
        <v>1717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35"/>
        <v>0</v>
      </c>
      <c r="AG32" s="1">
        <f t="shared" si="36"/>
        <v>1</v>
      </c>
      <c r="AH32" s="1">
        <f t="shared" si="37"/>
        <v>0</v>
      </c>
      <c r="AI32" s="1">
        <f t="shared" si="38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1516</v>
      </c>
      <c r="E33" s="36" t="s">
        <v>1221</v>
      </c>
      <c r="F33" s="36" t="s">
        <v>1517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693</v>
      </c>
      <c r="L33" s="33" t="s">
        <v>680</v>
      </c>
      <c r="M33" s="34" t="s">
        <v>681</v>
      </c>
      <c r="N33" s="34" t="s">
        <v>1750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35"/>
        <v>0</v>
      </c>
      <c r="AG33" s="1">
        <f t="shared" si="36"/>
        <v>1</v>
      </c>
      <c r="AH33" s="1">
        <f t="shared" si="37"/>
        <v>0</v>
      </c>
      <c r="AI33" s="1">
        <f t="shared" si="38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1431</v>
      </c>
      <c r="E34" s="36" t="s">
        <v>1433</v>
      </c>
      <c r="F34" s="36" t="s">
        <v>1432</v>
      </c>
      <c r="G34" s="36"/>
      <c r="H34" s="36" t="s">
        <v>1116</v>
      </c>
      <c r="I34" s="37" t="s">
        <v>1434</v>
      </c>
      <c r="J34" s="31">
        <v>99</v>
      </c>
      <c r="K34" s="33" t="s">
        <v>694</v>
      </c>
      <c r="L34" s="33"/>
      <c r="M34" s="34"/>
      <c r="N34" s="34" t="s">
        <v>1693</v>
      </c>
      <c r="O34" s="35">
        <v>1</v>
      </c>
      <c r="P34" s="35">
        <v>1</v>
      </c>
      <c r="Q34" s="36" t="s">
        <v>1879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35"/>
        <v>1</v>
      </c>
      <c r="AG34" s="1">
        <f t="shared" si="36"/>
        <v>0</v>
      </c>
      <c r="AH34" s="1">
        <f t="shared" si="37"/>
        <v>1</v>
      </c>
      <c r="AI34" s="1">
        <f t="shared" si="38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588</v>
      </c>
      <c r="E35" s="45" t="s">
        <v>174</v>
      </c>
      <c r="F35" s="45" t="s">
        <v>589</v>
      </c>
      <c r="G35" s="45" t="s">
        <v>250</v>
      </c>
      <c r="H35" s="45" t="s">
        <v>352</v>
      </c>
      <c r="I35" s="44" t="s">
        <v>590</v>
      </c>
      <c r="J35" s="44">
        <v>99</v>
      </c>
      <c r="K35" s="46" t="s">
        <v>937</v>
      </c>
      <c r="L35" s="46" t="s">
        <v>680</v>
      </c>
      <c r="M35" s="47" t="s">
        <v>1354</v>
      </c>
      <c r="N35" s="47" t="s">
        <v>1702</v>
      </c>
      <c r="O35" s="48"/>
      <c r="P35" s="48"/>
      <c r="Q35" s="57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0</v>
      </c>
      <c r="AF35" s="1">
        <f t="shared" si="35"/>
        <v>0</v>
      </c>
      <c r="AG35" s="1">
        <f t="shared" si="36"/>
        <v>0</v>
      </c>
      <c r="AH35" s="1">
        <f t="shared" si="37"/>
        <v>0</v>
      </c>
      <c r="AI35" s="1">
        <f t="shared" si="38"/>
        <v>1</v>
      </c>
    </row>
    <row r="36" spans="1:35" ht="14.25" customHeight="1" x14ac:dyDescent="0.25">
      <c r="A36" s="31">
        <v>0</v>
      </c>
      <c r="B36" s="31">
        <v>1</v>
      </c>
      <c r="C36" s="31">
        <v>2</v>
      </c>
      <c r="D36" s="36" t="s">
        <v>112</v>
      </c>
      <c r="E36" s="36" t="s">
        <v>174</v>
      </c>
      <c r="F36" s="36" t="s">
        <v>1828</v>
      </c>
      <c r="G36" s="36" t="s">
        <v>310</v>
      </c>
      <c r="H36" s="36" t="s">
        <v>352</v>
      </c>
      <c r="I36" s="37" t="s">
        <v>458</v>
      </c>
      <c r="J36" s="31">
        <v>99</v>
      </c>
      <c r="K36" s="33" t="s">
        <v>693</v>
      </c>
      <c r="L36" s="33" t="s">
        <v>680</v>
      </c>
      <c r="M36" s="34" t="s">
        <v>682</v>
      </c>
      <c r="N36" s="34" t="s">
        <v>1785</v>
      </c>
      <c r="O36" s="35">
        <v>1</v>
      </c>
      <c r="P36" s="35"/>
      <c r="Q36" s="36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1</v>
      </c>
      <c r="AF36" s="1">
        <f t="shared" si="35"/>
        <v>0</v>
      </c>
      <c r="AG36" s="1">
        <f t="shared" si="36"/>
        <v>1</v>
      </c>
      <c r="AH36" s="1">
        <f t="shared" si="37"/>
        <v>0</v>
      </c>
      <c r="AI36" s="1">
        <f t="shared" si="38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1723</v>
      </c>
      <c r="E37" s="36" t="s">
        <v>154</v>
      </c>
      <c r="F37" s="36" t="s">
        <v>1724</v>
      </c>
      <c r="G37" s="36"/>
      <c r="H37" s="36" t="s">
        <v>1725</v>
      </c>
      <c r="I37" s="37" t="s">
        <v>1726</v>
      </c>
      <c r="J37" s="31">
        <v>18</v>
      </c>
      <c r="K37" s="33" t="s">
        <v>694</v>
      </c>
      <c r="L37" s="33">
        <v>55</v>
      </c>
      <c r="M37" s="34" t="s">
        <v>1446</v>
      </c>
      <c r="N37" s="34" t="s">
        <v>1699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35"/>
        <v>1</v>
      </c>
      <c r="AG37" s="1">
        <f t="shared" si="36"/>
        <v>0</v>
      </c>
      <c r="AH37" s="1">
        <f t="shared" si="37"/>
        <v>1</v>
      </c>
      <c r="AI37" s="1">
        <f t="shared" si="38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591</v>
      </c>
      <c r="E38" s="36" t="s">
        <v>174</v>
      </c>
      <c r="F38" s="36" t="s">
        <v>592</v>
      </c>
      <c r="G38" s="36" t="s">
        <v>566</v>
      </c>
      <c r="H38" s="36" t="s">
        <v>352</v>
      </c>
      <c r="I38" s="37" t="s">
        <v>593</v>
      </c>
      <c r="J38" s="31">
        <v>1</v>
      </c>
      <c r="K38" s="33" t="s">
        <v>937</v>
      </c>
      <c r="L38" s="33" t="s">
        <v>1669</v>
      </c>
      <c r="M38" s="34" t="s">
        <v>1353</v>
      </c>
      <c r="N38" s="34" t="s">
        <v>1709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35"/>
        <v>0</v>
      </c>
      <c r="AG38" s="1">
        <f t="shared" si="36"/>
        <v>1</v>
      </c>
      <c r="AH38" s="1">
        <f t="shared" si="37"/>
        <v>0</v>
      </c>
      <c r="AI38" s="1">
        <f t="shared" si="38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1712</v>
      </c>
      <c r="E39" s="36" t="s">
        <v>1713</v>
      </c>
      <c r="F39" s="36" t="s">
        <v>1714</v>
      </c>
      <c r="G39" s="36" t="s">
        <v>319</v>
      </c>
      <c r="H39" s="36" t="s">
        <v>352</v>
      </c>
      <c r="I39" s="37" t="s">
        <v>1715</v>
      </c>
      <c r="J39" s="31">
        <v>99</v>
      </c>
      <c r="K39" s="33" t="s">
        <v>694</v>
      </c>
      <c r="L39" s="33"/>
      <c r="M39" s="34"/>
      <c r="N39" s="34" t="s">
        <v>1699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35"/>
        <v>1</v>
      </c>
      <c r="AG39" s="1">
        <f t="shared" si="36"/>
        <v>0</v>
      </c>
      <c r="AH39" s="1">
        <f t="shared" si="37"/>
        <v>1</v>
      </c>
      <c r="AI39" s="1">
        <f t="shared" si="38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634</v>
      </c>
      <c r="E40" s="45" t="s">
        <v>174</v>
      </c>
      <c r="F40" s="57" t="s">
        <v>635</v>
      </c>
      <c r="G40" s="45" t="s">
        <v>219</v>
      </c>
      <c r="H40" s="45" t="s">
        <v>352</v>
      </c>
      <c r="I40" s="44" t="s">
        <v>1092</v>
      </c>
      <c r="J40" s="44">
        <v>8</v>
      </c>
      <c r="K40" s="46" t="s">
        <v>937</v>
      </c>
      <c r="L40" s="46" t="s">
        <v>1666</v>
      </c>
      <c r="M40" s="47" t="s">
        <v>1348</v>
      </c>
      <c r="N40" s="47" t="s">
        <v>1769</v>
      </c>
      <c r="O40" s="48"/>
      <c r="P40" s="48"/>
      <c r="Q40" s="57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0</v>
      </c>
      <c r="AF40" s="1">
        <f t="shared" si="35"/>
        <v>0</v>
      </c>
      <c r="AG40" s="1">
        <f t="shared" si="36"/>
        <v>0</v>
      </c>
      <c r="AH40" s="1">
        <f t="shared" si="37"/>
        <v>0</v>
      </c>
      <c r="AI40" s="1">
        <f t="shared" si="38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1480</v>
      </c>
      <c r="E41" s="36" t="s">
        <v>174</v>
      </c>
      <c r="F41" s="36" t="s">
        <v>1627</v>
      </c>
      <c r="G41" s="36" t="s">
        <v>1482</v>
      </c>
      <c r="H41" s="36" t="s">
        <v>352</v>
      </c>
      <c r="I41" s="37" t="s">
        <v>1481</v>
      </c>
      <c r="J41" s="31">
        <v>99</v>
      </c>
      <c r="K41" s="33" t="s">
        <v>938</v>
      </c>
      <c r="L41" s="33" t="s">
        <v>39</v>
      </c>
      <c r="M41" s="34" t="s">
        <v>39</v>
      </c>
      <c r="N41" s="34" t="s">
        <v>1693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35"/>
        <v>1</v>
      </c>
      <c r="AG41" s="1">
        <f t="shared" si="36"/>
        <v>0</v>
      </c>
      <c r="AH41" s="1">
        <f t="shared" si="37"/>
        <v>1</v>
      </c>
      <c r="AI41" s="1">
        <f t="shared" si="38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865</v>
      </c>
      <c r="E42" s="32" t="s">
        <v>173</v>
      </c>
      <c r="F42" s="32" t="s">
        <v>866</v>
      </c>
      <c r="G42" s="32" t="s">
        <v>39</v>
      </c>
      <c r="H42" s="32" t="s">
        <v>373</v>
      </c>
      <c r="I42" s="31" t="s">
        <v>867</v>
      </c>
      <c r="J42" s="31">
        <v>12</v>
      </c>
      <c r="K42" s="33" t="s">
        <v>693</v>
      </c>
      <c r="L42" s="33" t="s">
        <v>1670</v>
      </c>
      <c r="M42" s="34" t="s">
        <v>1355</v>
      </c>
      <c r="N42" s="34" t="s">
        <v>1785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35"/>
        <v>0</v>
      </c>
      <c r="AG42" s="1">
        <f t="shared" si="36"/>
        <v>1</v>
      </c>
      <c r="AH42" s="1">
        <f t="shared" si="37"/>
        <v>0</v>
      </c>
      <c r="AI42" s="1">
        <f t="shared" si="38"/>
        <v>1</v>
      </c>
    </row>
    <row r="43" spans="1:35" ht="14.25" customHeight="1" x14ac:dyDescent="0.25">
      <c r="A43" s="31">
        <v>0</v>
      </c>
      <c r="B43" s="31">
        <v>1</v>
      </c>
      <c r="C43" s="31">
        <v>2</v>
      </c>
      <c r="D43" s="32" t="s">
        <v>1775</v>
      </c>
      <c r="E43" s="32" t="s">
        <v>174</v>
      </c>
      <c r="F43" s="32" t="s">
        <v>1776</v>
      </c>
      <c r="G43" s="32" t="s">
        <v>193</v>
      </c>
      <c r="H43" s="32" t="s">
        <v>352</v>
      </c>
      <c r="I43" s="31" t="s">
        <v>1777</v>
      </c>
      <c r="J43" s="31">
        <v>9</v>
      </c>
      <c r="K43" s="33" t="s">
        <v>694</v>
      </c>
      <c r="L43" s="33">
        <v>60</v>
      </c>
      <c r="M43" s="34" t="s">
        <v>1778</v>
      </c>
      <c r="N43" s="34" t="s">
        <v>1809</v>
      </c>
      <c r="O43" s="35">
        <v>1</v>
      </c>
      <c r="P43" s="35"/>
      <c r="Q43" s="32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1</v>
      </c>
      <c r="AF43" s="1">
        <f t="shared" si="35"/>
        <v>0</v>
      </c>
      <c r="AG43" s="1">
        <f t="shared" si="36"/>
        <v>1</v>
      </c>
      <c r="AH43" s="1">
        <f t="shared" si="37"/>
        <v>0</v>
      </c>
      <c r="AI43" s="1">
        <f t="shared" si="38"/>
        <v>1</v>
      </c>
    </row>
    <row r="44" spans="1:35" ht="14.25" customHeight="1" x14ac:dyDescent="0.25">
      <c r="A44" s="31">
        <v>0</v>
      </c>
      <c r="B44" s="31">
        <v>1</v>
      </c>
      <c r="C44" s="31">
        <v>2</v>
      </c>
      <c r="D44" s="32" t="s">
        <v>138</v>
      </c>
      <c r="E44" s="32" t="s">
        <v>174</v>
      </c>
      <c r="F44" s="32" t="s">
        <v>1838</v>
      </c>
      <c r="G44" s="32" t="s">
        <v>199</v>
      </c>
      <c r="H44" s="32" t="s">
        <v>352</v>
      </c>
      <c r="I44" s="31" t="s">
        <v>484</v>
      </c>
      <c r="J44" s="31">
        <v>2</v>
      </c>
      <c r="K44" s="33" t="s">
        <v>937</v>
      </c>
      <c r="L44" s="33" t="s">
        <v>684</v>
      </c>
      <c r="M44" s="34" t="s">
        <v>682</v>
      </c>
      <c r="N44" s="34" t="s">
        <v>1722</v>
      </c>
      <c r="O44" s="35">
        <v>1</v>
      </c>
      <c r="P44" s="35"/>
      <c r="Q44" s="32" t="s">
        <v>1866</v>
      </c>
      <c r="S44" s="1">
        <f t="shared" si="23"/>
        <v>0</v>
      </c>
      <c r="T44" s="1">
        <f t="shared" si="24"/>
        <v>1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D44" s="1">
        <f t="shared" si="33"/>
        <v>0</v>
      </c>
      <c r="AE44" s="1">
        <f t="shared" si="34"/>
        <v>1</v>
      </c>
      <c r="AF44" s="1">
        <f t="shared" si="35"/>
        <v>0</v>
      </c>
      <c r="AG44" s="1">
        <f t="shared" si="36"/>
        <v>1</v>
      </c>
      <c r="AH44" s="1">
        <f t="shared" si="37"/>
        <v>0</v>
      </c>
      <c r="AI44" s="1">
        <f t="shared" si="38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823</v>
      </c>
      <c r="E45" s="32" t="s">
        <v>174</v>
      </c>
      <c r="F45" s="32" t="s">
        <v>825</v>
      </c>
      <c r="G45" s="32" t="s">
        <v>39</v>
      </c>
      <c r="H45" s="32" t="s">
        <v>352</v>
      </c>
      <c r="I45" s="31" t="s">
        <v>824</v>
      </c>
      <c r="J45" s="31">
        <v>99</v>
      </c>
      <c r="K45" s="33" t="s">
        <v>943</v>
      </c>
      <c r="L45" s="33" t="s">
        <v>39</v>
      </c>
      <c r="M45" s="34" t="s">
        <v>39</v>
      </c>
      <c r="N45" s="34" t="s">
        <v>1699</v>
      </c>
      <c r="O45" s="35">
        <v>1</v>
      </c>
      <c r="P45" s="35">
        <v>1</v>
      </c>
      <c r="Q45" s="32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0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D45" s="1">
        <f t="shared" si="33"/>
        <v>1</v>
      </c>
      <c r="AE45" s="1">
        <f t="shared" si="34"/>
        <v>0</v>
      </c>
      <c r="AF45" s="1">
        <f t="shared" si="35"/>
        <v>1</v>
      </c>
      <c r="AG45" s="1">
        <f t="shared" si="36"/>
        <v>0</v>
      </c>
      <c r="AH45" s="1">
        <f t="shared" si="37"/>
        <v>1</v>
      </c>
      <c r="AI45" s="1">
        <f t="shared" si="38"/>
        <v>0</v>
      </c>
    </row>
    <row r="46" spans="1:35" ht="14.25" customHeight="1" x14ac:dyDescent="0.25">
      <c r="A46" s="31">
        <v>0</v>
      </c>
      <c r="B46" s="31">
        <v>1</v>
      </c>
      <c r="C46" s="31">
        <v>2</v>
      </c>
      <c r="D46" s="32" t="s">
        <v>2123</v>
      </c>
      <c r="E46" s="32" t="s">
        <v>174</v>
      </c>
      <c r="F46" s="32" t="s">
        <v>2124</v>
      </c>
      <c r="G46" s="32" t="s">
        <v>177</v>
      </c>
      <c r="H46" s="32" t="s">
        <v>352</v>
      </c>
      <c r="I46" s="31" t="s">
        <v>2125</v>
      </c>
      <c r="J46" s="31">
        <v>1</v>
      </c>
      <c r="K46" s="33" t="s">
        <v>694</v>
      </c>
      <c r="L46" s="33"/>
      <c r="M46" s="34"/>
      <c r="N46" s="34" t="s">
        <v>1699</v>
      </c>
      <c r="O46" s="35">
        <v>1</v>
      </c>
      <c r="P46" s="35">
        <v>1</v>
      </c>
      <c r="Q46" s="32" t="s">
        <v>2126</v>
      </c>
      <c r="S46" s="1">
        <f t="shared" si="23"/>
        <v>1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D46" s="1">
        <f t="shared" si="33"/>
        <v>1</v>
      </c>
      <c r="AE46" s="1">
        <f t="shared" si="34"/>
        <v>0</v>
      </c>
      <c r="AF46" s="1">
        <f t="shared" si="35"/>
        <v>1</v>
      </c>
      <c r="AG46" s="1">
        <f t="shared" si="36"/>
        <v>0</v>
      </c>
      <c r="AH46" s="1">
        <f t="shared" si="37"/>
        <v>1</v>
      </c>
      <c r="AI46" s="1">
        <f t="shared" si="38"/>
        <v>0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898</v>
      </c>
      <c r="E47" s="32" t="s">
        <v>174</v>
      </c>
      <c r="F47" s="32" t="s">
        <v>768</v>
      </c>
      <c r="G47" s="32" t="s">
        <v>39</v>
      </c>
      <c r="H47" s="32" t="s">
        <v>373</v>
      </c>
      <c r="I47" s="31" t="s">
        <v>769</v>
      </c>
      <c r="J47" s="31">
        <v>12</v>
      </c>
      <c r="K47" s="33" t="s">
        <v>713</v>
      </c>
      <c r="L47" s="33" t="s">
        <v>1665</v>
      </c>
      <c r="M47" s="34" t="s">
        <v>1100</v>
      </c>
      <c r="N47" s="34" t="s">
        <v>1785</v>
      </c>
      <c r="O47" s="35">
        <v>1</v>
      </c>
      <c r="P47" s="35"/>
      <c r="Q47" s="32"/>
      <c r="S47" s="1">
        <f t="shared" si="23"/>
        <v>0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D47" s="1">
        <f t="shared" si="33"/>
        <v>0</v>
      </c>
      <c r="AE47" s="1">
        <f t="shared" si="34"/>
        <v>1</v>
      </c>
      <c r="AF47" s="1">
        <f t="shared" si="35"/>
        <v>0</v>
      </c>
      <c r="AG47" s="1">
        <f t="shared" si="36"/>
        <v>1</v>
      </c>
      <c r="AH47" s="1">
        <f t="shared" si="37"/>
        <v>0</v>
      </c>
      <c r="AI47" s="1">
        <f t="shared" si="38"/>
        <v>1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1602</v>
      </c>
      <c r="E48" s="32" t="s">
        <v>173</v>
      </c>
      <c r="F48" s="32" t="s">
        <v>1628</v>
      </c>
      <c r="G48" s="32" t="s">
        <v>250</v>
      </c>
      <c r="H48" s="32" t="s">
        <v>352</v>
      </c>
      <c r="I48" s="31" t="s">
        <v>1530</v>
      </c>
      <c r="J48" s="31">
        <v>99</v>
      </c>
      <c r="K48" s="33" t="s">
        <v>938</v>
      </c>
      <c r="L48" s="33" t="s">
        <v>39</v>
      </c>
      <c r="M48" s="34" t="s">
        <v>39</v>
      </c>
      <c r="N48" s="34" t="s">
        <v>1693</v>
      </c>
      <c r="O48" s="35">
        <v>1</v>
      </c>
      <c r="P48" s="35">
        <v>1</v>
      </c>
      <c r="Q48" s="32"/>
      <c r="S48" s="1">
        <f t="shared" si="23"/>
        <v>0</v>
      </c>
      <c r="T48" s="1">
        <f t="shared" si="24"/>
        <v>0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D48" s="1">
        <f t="shared" si="33"/>
        <v>1</v>
      </c>
      <c r="AE48" s="1">
        <f t="shared" si="34"/>
        <v>0</v>
      </c>
      <c r="AF48" s="1">
        <f t="shared" si="35"/>
        <v>1</v>
      </c>
      <c r="AG48" s="1">
        <f t="shared" si="36"/>
        <v>0</v>
      </c>
      <c r="AH48" s="1">
        <f t="shared" si="37"/>
        <v>1</v>
      </c>
      <c r="AI48" s="1">
        <f t="shared" si="38"/>
        <v>0</v>
      </c>
    </row>
    <row r="49" spans="1:35" ht="14.25" customHeight="1" x14ac:dyDescent="0.25">
      <c r="A49" s="31">
        <v>0</v>
      </c>
      <c r="B49" s="31">
        <v>1</v>
      </c>
      <c r="C49" s="31">
        <v>2</v>
      </c>
      <c r="D49" s="32" t="s">
        <v>1498</v>
      </c>
      <c r="E49" s="32" t="s">
        <v>1616</v>
      </c>
      <c r="F49" s="32" t="s">
        <v>1499</v>
      </c>
      <c r="G49" s="32" t="s">
        <v>199</v>
      </c>
      <c r="H49" s="32" t="s">
        <v>352</v>
      </c>
      <c r="I49" s="31" t="s">
        <v>1500</v>
      </c>
      <c r="J49" s="31">
        <v>2</v>
      </c>
      <c r="K49" s="33" t="s">
        <v>937</v>
      </c>
      <c r="L49" s="33">
        <v>70</v>
      </c>
      <c r="M49" s="34" t="s">
        <v>39</v>
      </c>
      <c r="N49" s="34" t="s">
        <v>1750</v>
      </c>
      <c r="O49" s="35">
        <v>1</v>
      </c>
      <c r="P49" s="35"/>
      <c r="Q49" s="32"/>
      <c r="S49" s="1">
        <f t="shared" si="23"/>
        <v>0</v>
      </c>
      <c r="T49" s="1">
        <f t="shared" si="24"/>
        <v>1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0</v>
      </c>
      <c r="AA49" s="1">
        <f t="shared" si="31"/>
        <v>0</v>
      </c>
      <c r="AB49" s="1">
        <f t="shared" si="32"/>
        <v>0</v>
      </c>
      <c r="AD49" s="1">
        <f t="shared" si="33"/>
        <v>0</v>
      </c>
      <c r="AE49" s="1">
        <f t="shared" si="34"/>
        <v>1</v>
      </c>
      <c r="AF49" s="1">
        <f t="shared" si="35"/>
        <v>0</v>
      </c>
      <c r="AG49" s="1">
        <f t="shared" si="36"/>
        <v>1</v>
      </c>
      <c r="AH49" s="1">
        <f t="shared" si="37"/>
        <v>0</v>
      </c>
      <c r="AI49" s="1">
        <f t="shared" si="38"/>
        <v>1</v>
      </c>
    </row>
    <row r="50" spans="1:35" ht="14.25" customHeight="1" x14ac:dyDescent="0.25">
      <c r="A50" s="44">
        <v>0</v>
      </c>
      <c r="B50" s="44">
        <v>1</v>
      </c>
      <c r="C50" s="44">
        <v>2</v>
      </c>
      <c r="D50" s="45" t="s">
        <v>1436</v>
      </c>
      <c r="E50" s="45" t="s">
        <v>1617</v>
      </c>
      <c r="F50" s="45" t="s">
        <v>1435</v>
      </c>
      <c r="G50" s="45" t="s">
        <v>219</v>
      </c>
      <c r="H50" s="45" t="s">
        <v>352</v>
      </c>
      <c r="I50" s="44" t="s">
        <v>1653</v>
      </c>
      <c r="J50" s="44">
        <v>8</v>
      </c>
      <c r="K50" s="46" t="s">
        <v>693</v>
      </c>
      <c r="L50" s="46">
        <v>70</v>
      </c>
      <c r="M50" s="47" t="s">
        <v>39</v>
      </c>
      <c r="N50" s="47" t="s">
        <v>1702</v>
      </c>
      <c r="O50" s="48"/>
      <c r="P50" s="48"/>
      <c r="Q50" s="45"/>
      <c r="S50" s="1">
        <f t="shared" si="23"/>
        <v>0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1</v>
      </c>
      <c r="AA50" s="1">
        <f t="shared" si="31"/>
        <v>0</v>
      </c>
      <c r="AB50" s="1">
        <f t="shared" si="32"/>
        <v>0</v>
      </c>
      <c r="AD50" s="1">
        <f t="shared" si="33"/>
        <v>0</v>
      </c>
      <c r="AE50" s="1">
        <f t="shared" si="34"/>
        <v>0</v>
      </c>
      <c r="AF50" s="1">
        <f t="shared" si="35"/>
        <v>0</v>
      </c>
      <c r="AG50" s="1">
        <f t="shared" si="36"/>
        <v>0</v>
      </c>
      <c r="AH50" s="1">
        <f t="shared" si="37"/>
        <v>0</v>
      </c>
      <c r="AI50" s="1">
        <f t="shared" si="38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796</v>
      </c>
      <c r="E51" s="16" t="s">
        <v>174</v>
      </c>
      <c r="F51" s="16" t="s">
        <v>797</v>
      </c>
      <c r="G51" s="16" t="s">
        <v>39</v>
      </c>
      <c r="H51" s="16" t="s">
        <v>798</v>
      </c>
      <c r="I51" s="15" t="s">
        <v>799</v>
      </c>
      <c r="J51" s="15">
        <v>11</v>
      </c>
      <c r="K51" s="10" t="s">
        <v>694</v>
      </c>
      <c r="L51" s="10">
        <v>50</v>
      </c>
      <c r="M51" s="19" t="s">
        <v>1100</v>
      </c>
      <c r="N51" s="19"/>
      <c r="Q51" s="16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0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D51" s="1">
        <f t="shared" si="33"/>
        <v>0</v>
      </c>
      <c r="AE51" s="1">
        <f t="shared" si="34"/>
        <v>0</v>
      </c>
      <c r="AF51" s="1">
        <f t="shared" si="35"/>
        <v>0</v>
      </c>
      <c r="AG51" s="1">
        <f t="shared" si="36"/>
        <v>0</v>
      </c>
      <c r="AH51" s="1">
        <f t="shared" si="37"/>
        <v>0</v>
      </c>
      <c r="AI51" s="1">
        <f t="shared" si="38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1440</v>
      </c>
      <c r="E52" s="32"/>
      <c r="F52" s="32" t="s">
        <v>1441</v>
      </c>
      <c r="G52" s="32" t="s">
        <v>1442</v>
      </c>
      <c r="H52" s="32" t="s">
        <v>352</v>
      </c>
      <c r="I52" s="31" t="s">
        <v>1443</v>
      </c>
      <c r="J52" s="31">
        <v>99</v>
      </c>
      <c r="K52" s="33" t="s">
        <v>694</v>
      </c>
      <c r="L52" s="33">
        <v>35</v>
      </c>
      <c r="M52" s="34" t="s">
        <v>1448</v>
      </c>
      <c r="N52" s="34" t="s">
        <v>1709</v>
      </c>
      <c r="O52" s="35">
        <v>1</v>
      </c>
      <c r="P52" s="35"/>
      <c r="Q52" s="32"/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D52" s="1">
        <f t="shared" si="33"/>
        <v>0</v>
      </c>
      <c r="AE52" s="1">
        <f t="shared" si="34"/>
        <v>1</v>
      </c>
      <c r="AF52" s="1">
        <f t="shared" si="35"/>
        <v>0</v>
      </c>
      <c r="AG52" s="1">
        <f t="shared" si="36"/>
        <v>1</v>
      </c>
      <c r="AH52" s="1">
        <f t="shared" si="37"/>
        <v>0</v>
      </c>
      <c r="AI52" s="1">
        <f t="shared" si="38"/>
        <v>1</v>
      </c>
    </row>
    <row r="53" spans="1:35" ht="14.25" customHeight="1" x14ac:dyDescent="0.25">
      <c r="A53" s="31">
        <v>0</v>
      </c>
      <c r="B53" s="31">
        <v>1</v>
      </c>
      <c r="C53" s="31">
        <v>2</v>
      </c>
      <c r="D53" s="32" t="s">
        <v>1955</v>
      </c>
      <c r="E53" s="32" t="s">
        <v>174</v>
      </c>
      <c r="F53" s="32" t="s">
        <v>1956</v>
      </c>
      <c r="G53" s="32" t="s">
        <v>1957</v>
      </c>
      <c r="H53" s="32" t="s">
        <v>352</v>
      </c>
      <c r="I53" s="31" t="s">
        <v>1958</v>
      </c>
      <c r="J53" s="31">
        <v>99</v>
      </c>
      <c r="K53" s="33" t="s">
        <v>694</v>
      </c>
      <c r="L53" s="33"/>
      <c r="M53" s="34"/>
      <c r="N53" s="34" t="s">
        <v>1699</v>
      </c>
      <c r="O53" s="35">
        <v>1</v>
      </c>
      <c r="P53" s="35">
        <v>1</v>
      </c>
      <c r="Q53" s="32" t="s">
        <v>1959</v>
      </c>
      <c r="S53" s="1">
        <f t="shared" si="23"/>
        <v>0</v>
      </c>
      <c r="T53" s="1">
        <f t="shared" si="24"/>
        <v>0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D53" s="1">
        <f t="shared" si="33"/>
        <v>1</v>
      </c>
      <c r="AE53" s="1">
        <f t="shared" si="34"/>
        <v>0</v>
      </c>
      <c r="AF53" s="1">
        <f t="shared" si="35"/>
        <v>1</v>
      </c>
      <c r="AG53" s="1">
        <f t="shared" si="36"/>
        <v>0</v>
      </c>
      <c r="AH53" s="1">
        <f t="shared" si="37"/>
        <v>1</v>
      </c>
      <c r="AI53" s="1">
        <f t="shared" si="38"/>
        <v>0</v>
      </c>
    </row>
    <row r="54" spans="1:35" ht="14.25" customHeight="1" x14ac:dyDescent="0.25">
      <c r="A54" s="44">
        <v>0</v>
      </c>
      <c r="B54" s="44">
        <v>1</v>
      </c>
      <c r="C54" s="44">
        <v>2</v>
      </c>
      <c r="D54" s="45" t="s">
        <v>121</v>
      </c>
      <c r="E54" s="45" t="s">
        <v>174</v>
      </c>
      <c r="F54" s="45" t="s">
        <v>647</v>
      </c>
      <c r="G54" s="45" t="s">
        <v>39</v>
      </c>
      <c r="H54" s="45" t="s">
        <v>369</v>
      </c>
      <c r="I54" s="44" t="s">
        <v>466</v>
      </c>
      <c r="J54" s="44">
        <v>11</v>
      </c>
      <c r="K54" s="46" t="s">
        <v>694</v>
      </c>
      <c r="L54" s="46">
        <v>40</v>
      </c>
      <c r="M54" s="47" t="s">
        <v>682</v>
      </c>
      <c r="N54" s="47" t="s">
        <v>1762</v>
      </c>
      <c r="O54" s="48"/>
      <c r="P54" s="48"/>
      <c r="Q54" s="45"/>
      <c r="S54" s="1">
        <f t="shared" si="23"/>
        <v>0</v>
      </c>
      <c r="T54" s="1">
        <f t="shared" si="24"/>
        <v>0</v>
      </c>
      <c r="U54" s="1">
        <f t="shared" si="25"/>
        <v>0</v>
      </c>
      <c r="V54" s="1">
        <f t="shared" si="26"/>
        <v>0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D54" s="1">
        <f t="shared" si="33"/>
        <v>0</v>
      </c>
      <c r="AE54" s="1">
        <f t="shared" si="34"/>
        <v>0</v>
      </c>
      <c r="AF54" s="1">
        <f t="shared" si="35"/>
        <v>0</v>
      </c>
      <c r="AG54" s="1">
        <f t="shared" si="36"/>
        <v>0</v>
      </c>
      <c r="AH54" s="1">
        <f t="shared" si="37"/>
        <v>0</v>
      </c>
      <c r="AI54" s="1">
        <f t="shared" si="38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1035</v>
      </c>
      <c r="E55" s="32" t="s">
        <v>174</v>
      </c>
      <c r="F55" s="32" t="s">
        <v>1036</v>
      </c>
      <c r="G55" s="32" t="s">
        <v>1037</v>
      </c>
      <c r="H55" s="32" t="s">
        <v>352</v>
      </c>
      <c r="I55" s="31" t="s">
        <v>1038</v>
      </c>
      <c r="J55" s="31">
        <v>1</v>
      </c>
      <c r="K55" s="33" t="s">
        <v>713</v>
      </c>
      <c r="L55" s="33" t="s">
        <v>678</v>
      </c>
      <c r="M55" s="34" t="s">
        <v>1100</v>
      </c>
      <c r="N55" s="34" t="s">
        <v>1750</v>
      </c>
      <c r="O55" s="35">
        <v>1</v>
      </c>
      <c r="P55" s="35"/>
      <c r="Q55" s="32" t="s">
        <v>1869</v>
      </c>
      <c r="S55" s="1">
        <f t="shared" si="23"/>
        <v>1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0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D55" s="1">
        <f t="shared" si="33"/>
        <v>0</v>
      </c>
      <c r="AE55" s="1">
        <f t="shared" si="34"/>
        <v>1</v>
      </c>
      <c r="AF55" s="1">
        <f t="shared" si="35"/>
        <v>0</v>
      </c>
      <c r="AG55" s="1">
        <f t="shared" si="36"/>
        <v>1</v>
      </c>
      <c r="AH55" s="1">
        <f t="shared" si="37"/>
        <v>0</v>
      </c>
      <c r="AI55" s="1">
        <f t="shared" si="38"/>
        <v>1</v>
      </c>
    </row>
    <row r="56" spans="1:35" ht="14.25" customHeight="1" x14ac:dyDescent="0.25">
      <c r="A56" s="15">
        <v>0</v>
      </c>
      <c r="B56" s="15">
        <v>1</v>
      </c>
      <c r="C56" s="15">
        <v>2</v>
      </c>
      <c r="D56" s="16" t="s">
        <v>2081</v>
      </c>
      <c r="E56" s="16" t="s">
        <v>171</v>
      </c>
      <c r="F56" s="16" t="s">
        <v>2082</v>
      </c>
      <c r="G56" s="16"/>
      <c r="H56" s="16" t="s">
        <v>2083</v>
      </c>
      <c r="I56" s="15" t="s">
        <v>2084</v>
      </c>
      <c r="J56" s="15">
        <v>15</v>
      </c>
      <c r="K56" s="10" t="s">
        <v>694</v>
      </c>
      <c r="L56" s="10" t="s">
        <v>1704</v>
      </c>
      <c r="M56" s="19" t="s">
        <v>1100</v>
      </c>
      <c r="N56" s="17"/>
      <c r="Q56" s="16" t="s">
        <v>2085</v>
      </c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D56" s="1">
        <f t="shared" si="33"/>
        <v>0</v>
      </c>
      <c r="AE56" s="1">
        <f t="shared" si="34"/>
        <v>0</v>
      </c>
      <c r="AF56" s="1">
        <f t="shared" si="35"/>
        <v>0</v>
      </c>
      <c r="AG56" s="1">
        <f t="shared" si="36"/>
        <v>0</v>
      </c>
      <c r="AH56" s="1">
        <f t="shared" si="37"/>
        <v>0</v>
      </c>
      <c r="AI56" s="1">
        <f t="shared" si="38"/>
        <v>1</v>
      </c>
    </row>
    <row r="57" spans="1:35" ht="14.25" customHeight="1" x14ac:dyDescent="0.25">
      <c r="A57" s="31">
        <v>0</v>
      </c>
      <c r="B57" s="31">
        <v>1</v>
      </c>
      <c r="C57" s="31">
        <v>2</v>
      </c>
      <c r="D57" s="32" t="s">
        <v>1606</v>
      </c>
      <c r="E57" s="32" t="s">
        <v>174</v>
      </c>
      <c r="F57" s="32" t="s">
        <v>1632</v>
      </c>
      <c r="G57" s="32" t="s">
        <v>1633</v>
      </c>
      <c r="H57" s="32" t="s">
        <v>352</v>
      </c>
      <c r="I57" s="31" t="s">
        <v>1447</v>
      </c>
      <c r="J57" s="31">
        <v>99</v>
      </c>
      <c r="K57" s="33" t="s">
        <v>693</v>
      </c>
      <c r="L57" s="33">
        <v>45</v>
      </c>
      <c r="M57" s="34" t="s">
        <v>39</v>
      </c>
      <c r="N57" s="34" t="s">
        <v>1716</v>
      </c>
      <c r="O57" s="35">
        <v>1</v>
      </c>
      <c r="P57" s="35"/>
      <c r="Q57" s="32" t="s">
        <v>2005</v>
      </c>
      <c r="S57" s="1">
        <f t="shared" si="23"/>
        <v>0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D57" s="1">
        <f t="shared" si="33"/>
        <v>0</v>
      </c>
      <c r="AE57" s="1">
        <f t="shared" si="34"/>
        <v>1</v>
      </c>
      <c r="AF57" s="1">
        <f t="shared" si="35"/>
        <v>0</v>
      </c>
      <c r="AG57" s="1">
        <f t="shared" si="36"/>
        <v>1</v>
      </c>
      <c r="AH57" s="1">
        <f t="shared" si="37"/>
        <v>0</v>
      </c>
      <c r="AI57" s="1">
        <f t="shared" si="38"/>
        <v>1</v>
      </c>
    </row>
    <row r="58" spans="1:35" ht="14.25" customHeight="1" x14ac:dyDescent="0.25">
      <c r="A58" s="31">
        <v>0</v>
      </c>
      <c r="B58" s="31">
        <v>1</v>
      </c>
      <c r="C58" s="31">
        <v>2</v>
      </c>
      <c r="D58" s="32" t="s">
        <v>639</v>
      </c>
      <c r="E58" s="32" t="s">
        <v>174</v>
      </c>
      <c r="F58" s="32" t="s">
        <v>594</v>
      </c>
      <c r="G58" s="32" t="s">
        <v>587</v>
      </c>
      <c r="H58" s="32" t="s">
        <v>352</v>
      </c>
      <c r="I58" s="31" t="s">
        <v>669</v>
      </c>
      <c r="J58" s="31">
        <v>1</v>
      </c>
      <c r="K58" s="33" t="s">
        <v>693</v>
      </c>
      <c r="L58" s="33" t="s">
        <v>1666</v>
      </c>
      <c r="M58" s="34" t="s">
        <v>1356</v>
      </c>
      <c r="N58" s="34" t="s">
        <v>1705</v>
      </c>
      <c r="O58" s="35">
        <v>1</v>
      </c>
      <c r="P58" s="35"/>
      <c r="Q58" s="32"/>
      <c r="S58" s="1">
        <f t="shared" si="23"/>
        <v>1</v>
      </c>
      <c r="T58" s="1">
        <f t="shared" si="24"/>
        <v>0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D58" s="1">
        <f t="shared" si="33"/>
        <v>0</v>
      </c>
      <c r="AE58" s="1">
        <f t="shared" si="34"/>
        <v>1</v>
      </c>
      <c r="AF58" s="1">
        <f t="shared" si="35"/>
        <v>0</v>
      </c>
      <c r="AG58" s="1">
        <f t="shared" si="36"/>
        <v>1</v>
      </c>
      <c r="AH58" s="1">
        <f t="shared" si="37"/>
        <v>0</v>
      </c>
      <c r="AI58" s="1">
        <f t="shared" si="38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1165</v>
      </c>
      <c r="E59" s="16" t="s">
        <v>173</v>
      </c>
      <c r="F59" s="16" t="s">
        <v>1166</v>
      </c>
      <c r="G59" s="16" t="s">
        <v>39</v>
      </c>
      <c r="H59" s="16" t="s">
        <v>1168</v>
      </c>
      <c r="I59" s="15" t="s">
        <v>1167</v>
      </c>
      <c r="J59" s="15">
        <v>17</v>
      </c>
      <c r="K59" s="10" t="s">
        <v>694</v>
      </c>
      <c r="L59" s="10" t="s">
        <v>1357</v>
      </c>
      <c r="M59" s="19" t="s">
        <v>1358</v>
      </c>
      <c r="N59" s="17"/>
      <c r="Q59" s="16" t="s">
        <v>1845</v>
      </c>
      <c r="S59" s="1">
        <f t="shared" si="23"/>
        <v>0</v>
      </c>
      <c r="T59" s="1">
        <f t="shared" si="24"/>
        <v>0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D59" s="1">
        <f t="shared" si="33"/>
        <v>0</v>
      </c>
      <c r="AE59" s="1">
        <f t="shared" si="34"/>
        <v>0</v>
      </c>
      <c r="AF59" s="1">
        <f t="shared" si="35"/>
        <v>0</v>
      </c>
      <c r="AG59" s="1">
        <f t="shared" si="36"/>
        <v>0</v>
      </c>
      <c r="AH59" s="1">
        <f t="shared" si="37"/>
        <v>0</v>
      </c>
      <c r="AI59" s="1">
        <f t="shared" si="38"/>
        <v>1</v>
      </c>
    </row>
    <row r="60" spans="1:35" ht="14.25" customHeight="1" x14ac:dyDescent="0.25">
      <c r="A60" s="15">
        <v>0</v>
      </c>
      <c r="B60" s="15">
        <v>1</v>
      </c>
      <c r="C60" s="15">
        <v>2</v>
      </c>
      <c r="D60" s="20" t="s">
        <v>1176</v>
      </c>
      <c r="E60" s="20" t="s">
        <v>173</v>
      </c>
      <c r="F60" s="20" t="s">
        <v>1177</v>
      </c>
      <c r="G60" s="16" t="s">
        <v>39</v>
      </c>
      <c r="H60" s="20" t="s">
        <v>1178</v>
      </c>
      <c r="I60" s="21" t="s">
        <v>1179</v>
      </c>
      <c r="J60" s="15">
        <v>18</v>
      </c>
      <c r="K60" s="10" t="s">
        <v>938</v>
      </c>
      <c r="L60" s="10" t="s">
        <v>686</v>
      </c>
      <c r="M60" s="19" t="s">
        <v>951</v>
      </c>
      <c r="N60" s="17"/>
      <c r="Q60" s="16" t="s">
        <v>1844</v>
      </c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D60" s="1">
        <f t="shared" si="33"/>
        <v>0</v>
      </c>
      <c r="AE60" s="1">
        <f t="shared" si="34"/>
        <v>0</v>
      </c>
      <c r="AF60" s="1">
        <f t="shared" si="35"/>
        <v>0</v>
      </c>
      <c r="AG60" s="1">
        <f t="shared" si="36"/>
        <v>0</v>
      </c>
      <c r="AH60" s="1">
        <f t="shared" si="37"/>
        <v>0</v>
      </c>
      <c r="AI60" s="1">
        <f t="shared" si="38"/>
        <v>1</v>
      </c>
    </row>
    <row r="61" spans="1:35" ht="14.25" customHeight="1" x14ac:dyDescent="0.25">
      <c r="A61" s="15">
        <v>0</v>
      </c>
      <c r="B61" s="15">
        <v>1</v>
      </c>
      <c r="C61" s="15">
        <v>2</v>
      </c>
      <c r="D61" s="20" t="s">
        <v>1010</v>
      </c>
      <c r="E61" s="20" t="s">
        <v>174</v>
      </c>
      <c r="F61" s="20" t="s">
        <v>1012</v>
      </c>
      <c r="G61" s="16" t="s">
        <v>39</v>
      </c>
      <c r="H61" s="20" t="s">
        <v>363</v>
      </c>
      <c r="I61" s="21" t="s">
        <v>1011</v>
      </c>
      <c r="J61" s="15">
        <v>18</v>
      </c>
      <c r="K61" s="10" t="s">
        <v>693</v>
      </c>
      <c r="L61" s="10" t="s">
        <v>1119</v>
      </c>
      <c r="M61" s="19" t="s">
        <v>682</v>
      </c>
      <c r="N61" s="17"/>
      <c r="Q61" s="16"/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D61" s="1">
        <f t="shared" si="33"/>
        <v>0</v>
      </c>
      <c r="AE61" s="1">
        <f t="shared" si="34"/>
        <v>0</v>
      </c>
      <c r="AF61" s="1">
        <f t="shared" si="35"/>
        <v>0</v>
      </c>
      <c r="AG61" s="1">
        <f t="shared" si="36"/>
        <v>0</v>
      </c>
      <c r="AH61" s="1">
        <f t="shared" si="37"/>
        <v>0</v>
      </c>
      <c r="AI61" s="1">
        <f t="shared" si="38"/>
        <v>1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1559</v>
      </c>
      <c r="E62" s="32" t="s">
        <v>174</v>
      </c>
      <c r="F62" s="32" t="s">
        <v>1560</v>
      </c>
      <c r="G62" s="32" t="s">
        <v>1561</v>
      </c>
      <c r="H62" s="32" t="s">
        <v>352</v>
      </c>
      <c r="I62" s="31" t="s">
        <v>1456</v>
      </c>
      <c r="J62" s="31">
        <v>99</v>
      </c>
      <c r="K62" s="33" t="s">
        <v>693</v>
      </c>
      <c r="L62" s="33" t="s">
        <v>39</v>
      </c>
      <c r="M62" s="34" t="s">
        <v>39</v>
      </c>
      <c r="N62" s="34" t="s">
        <v>1693</v>
      </c>
      <c r="O62" s="35">
        <v>1</v>
      </c>
      <c r="P62" s="35">
        <v>1</v>
      </c>
      <c r="Q62" s="32"/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D62" s="1">
        <f t="shared" si="33"/>
        <v>1</v>
      </c>
      <c r="AE62" s="1">
        <f t="shared" si="34"/>
        <v>0</v>
      </c>
      <c r="AF62" s="1">
        <f t="shared" si="35"/>
        <v>1</v>
      </c>
      <c r="AG62" s="1">
        <f t="shared" si="36"/>
        <v>0</v>
      </c>
      <c r="AH62" s="1">
        <f t="shared" si="37"/>
        <v>1</v>
      </c>
      <c r="AI62" s="1">
        <f t="shared" si="38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1587</v>
      </c>
      <c r="E63" s="32" t="s">
        <v>169</v>
      </c>
      <c r="F63" s="32" t="s">
        <v>1588</v>
      </c>
      <c r="G63" s="32" t="s">
        <v>39</v>
      </c>
      <c r="H63" s="32" t="s">
        <v>353</v>
      </c>
      <c r="I63" s="31" t="s">
        <v>1589</v>
      </c>
      <c r="J63" s="31">
        <v>11</v>
      </c>
      <c r="K63" s="33" t="s">
        <v>938</v>
      </c>
      <c r="L63" s="33" t="s">
        <v>39</v>
      </c>
      <c r="M63" s="34" t="s">
        <v>39</v>
      </c>
      <c r="N63" s="34" t="s">
        <v>1693</v>
      </c>
      <c r="O63" s="35">
        <v>1</v>
      </c>
      <c r="P63" s="35">
        <v>1</v>
      </c>
      <c r="Q63" s="36" t="s">
        <v>1864</v>
      </c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D63" s="1">
        <f t="shared" si="33"/>
        <v>1</v>
      </c>
      <c r="AE63" s="1">
        <f t="shared" si="34"/>
        <v>0</v>
      </c>
      <c r="AF63" s="1">
        <f t="shared" si="35"/>
        <v>1</v>
      </c>
      <c r="AG63" s="1">
        <f t="shared" si="36"/>
        <v>0</v>
      </c>
      <c r="AH63" s="1">
        <f t="shared" si="37"/>
        <v>1</v>
      </c>
      <c r="AI63" s="1">
        <f t="shared" si="38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1584</v>
      </c>
      <c r="E64" s="32" t="s">
        <v>173</v>
      </c>
      <c r="F64" s="32" t="s">
        <v>1585</v>
      </c>
      <c r="G64" s="32" t="s">
        <v>1452</v>
      </c>
      <c r="H64" s="32" t="s">
        <v>352</v>
      </c>
      <c r="I64" s="31" t="s">
        <v>1586</v>
      </c>
      <c r="J64" s="31">
        <v>99</v>
      </c>
      <c r="K64" s="33" t="s">
        <v>943</v>
      </c>
      <c r="L64" s="33" t="s">
        <v>39</v>
      </c>
      <c r="M64" s="34" t="s">
        <v>39</v>
      </c>
      <c r="N64" s="34" t="s">
        <v>1693</v>
      </c>
      <c r="O64" s="35">
        <v>1</v>
      </c>
      <c r="P64" s="35">
        <v>1</v>
      </c>
      <c r="Q64" s="32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D64" s="1">
        <f t="shared" si="33"/>
        <v>1</v>
      </c>
      <c r="AE64" s="1">
        <f t="shared" si="34"/>
        <v>0</v>
      </c>
      <c r="AF64" s="1">
        <f t="shared" si="35"/>
        <v>1</v>
      </c>
      <c r="AG64" s="1">
        <f t="shared" si="36"/>
        <v>0</v>
      </c>
      <c r="AH64" s="1">
        <f t="shared" si="37"/>
        <v>1</v>
      </c>
      <c r="AI64" s="1">
        <f t="shared" si="38"/>
        <v>0</v>
      </c>
    </row>
    <row r="65" spans="1:35" ht="14.25" customHeight="1" x14ac:dyDescent="0.25">
      <c r="A65" s="31">
        <v>0</v>
      </c>
      <c r="B65" s="31">
        <v>1</v>
      </c>
      <c r="C65" s="31">
        <v>2</v>
      </c>
      <c r="D65" s="32" t="s">
        <v>784</v>
      </c>
      <c r="E65" s="32" t="s">
        <v>173</v>
      </c>
      <c r="F65" s="32" t="s">
        <v>786</v>
      </c>
      <c r="G65" s="32" t="s">
        <v>39</v>
      </c>
      <c r="H65" s="32" t="s">
        <v>785</v>
      </c>
      <c r="I65" s="31" t="s">
        <v>787</v>
      </c>
      <c r="J65" s="31">
        <v>14</v>
      </c>
      <c r="K65" s="33" t="s">
        <v>945</v>
      </c>
      <c r="L65" s="33" t="s">
        <v>1672</v>
      </c>
      <c r="M65" s="34" t="s">
        <v>1350</v>
      </c>
      <c r="N65" s="34" t="s">
        <v>1710</v>
      </c>
      <c r="O65" s="35">
        <v>1</v>
      </c>
      <c r="P65" s="35"/>
      <c r="Q65" s="32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D65" s="1">
        <f t="shared" si="33"/>
        <v>0</v>
      </c>
      <c r="AE65" s="1">
        <f t="shared" si="34"/>
        <v>1</v>
      </c>
      <c r="AF65" s="1">
        <f t="shared" si="35"/>
        <v>0</v>
      </c>
      <c r="AG65" s="1">
        <f t="shared" si="36"/>
        <v>1</v>
      </c>
      <c r="AH65" s="1">
        <f t="shared" si="37"/>
        <v>0</v>
      </c>
      <c r="AI65" s="1">
        <f t="shared" si="38"/>
        <v>1</v>
      </c>
    </row>
    <row r="66" spans="1:35" ht="14.25" customHeight="1" x14ac:dyDescent="0.25">
      <c r="A66" s="15">
        <v>0</v>
      </c>
      <c r="B66" s="15">
        <v>1</v>
      </c>
      <c r="C66" s="15">
        <v>2</v>
      </c>
      <c r="D66" s="16" t="s">
        <v>1296</v>
      </c>
      <c r="E66" s="16" t="s">
        <v>174</v>
      </c>
      <c r="F66" s="16" t="s">
        <v>1320</v>
      </c>
      <c r="G66" s="16" t="s">
        <v>39</v>
      </c>
      <c r="H66" s="16" t="s">
        <v>361</v>
      </c>
      <c r="I66" s="15" t="s">
        <v>1120</v>
      </c>
      <c r="J66" s="15">
        <v>14</v>
      </c>
      <c r="K66" s="10" t="s">
        <v>713</v>
      </c>
      <c r="L66" s="10" t="s">
        <v>1665</v>
      </c>
      <c r="M66" s="19" t="s">
        <v>953</v>
      </c>
      <c r="N66" s="17"/>
      <c r="Q66" s="16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D66" s="1">
        <f t="shared" si="33"/>
        <v>0</v>
      </c>
      <c r="AE66" s="1">
        <f t="shared" si="34"/>
        <v>0</v>
      </c>
      <c r="AF66" s="1">
        <f t="shared" si="35"/>
        <v>0</v>
      </c>
      <c r="AG66" s="1">
        <f t="shared" si="36"/>
        <v>0</v>
      </c>
      <c r="AH66" s="1">
        <f t="shared" si="37"/>
        <v>0</v>
      </c>
      <c r="AI66" s="1">
        <f t="shared" si="38"/>
        <v>1</v>
      </c>
    </row>
    <row r="67" spans="1:35" ht="14.25" customHeight="1" x14ac:dyDescent="0.25">
      <c r="A67" s="15">
        <v>0</v>
      </c>
      <c r="B67" s="15">
        <v>1</v>
      </c>
      <c r="C67" s="15">
        <v>2</v>
      </c>
      <c r="D67" s="20" t="s">
        <v>2116</v>
      </c>
      <c r="E67" s="16" t="s">
        <v>174</v>
      </c>
      <c r="F67" s="20" t="s">
        <v>2121</v>
      </c>
      <c r="G67" s="16"/>
      <c r="H67" s="20" t="s">
        <v>2118</v>
      </c>
      <c r="I67" s="21" t="s">
        <v>2117</v>
      </c>
      <c r="J67" s="15">
        <v>16</v>
      </c>
      <c r="K67" s="10" t="s">
        <v>694</v>
      </c>
      <c r="L67" s="10" t="s">
        <v>2119</v>
      </c>
      <c r="M67" s="19" t="s">
        <v>2120</v>
      </c>
      <c r="N67" s="17"/>
      <c r="Q67" s="16" t="s">
        <v>2122</v>
      </c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D67" s="1">
        <f t="shared" si="33"/>
        <v>0</v>
      </c>
      <c r="AE67" s="1">
        <f t="shared" si="34"/>
        <v>0</v>
      </c>
      <c r="AF67" s="1">
        <f t="shared" si="35"/>
        <v>0</v>
      </c>
      <c r="AG67" s="1">
        <f t="shared" si="36"/>
        <v>0</v>
      </c>
      <c r="AH67" s="1">
        <f t="shared" si="37"/>
        <v>0</v>
      </c>
      <c r="AI67" s="1">
        <f t="shared" si="38"/>
        <v>1</v>
      </c>
    </row>
    <row r="68" spans="1:35" ht="14.25" customHeight="1" x14ac:dyDescent="0.25">
      <c r="A68" s="44">
        <v>0</v>
      </c>
      <c r="B68" s="44">
        <v>1</v>
      </c>
      <c r="C68" s="44">
        <v>2</v>
      </c>
      <c r="D68" s="45" t="s">
        <v>1483</v>
      </c>
      <c r="E68" s="45" t="s">
        <v>169</v>
      </c>
      <c r="F68" s="45" t="s">
        <v>1485</v>
      </c>
      <c r="G68" s="45" t="s">
        <v>1143</v>
      </c>
      <c r="H68" s="45" t="s">
        <v>352</v>
      </c>
      <c r="I68" s="44" t="s">
        <v>1484</v>
      </c>
      <c r="J68" s="44">
        <v>11</v>
      </c>
      <c r="K68" s="46" t="s">
        <v>713</v>
      </c>
      <c r="L68" s="46">
        <v>50</v>
      </c>
      <c r="M68" s="47" t="s">
        <v>39</v>
      </c>
      <c r="N68" s="47" t="s">
        <v>1769</v>
      </c>
      <c r="O68" s="48"/>
      <c r="P68" s="48"/>
      <c r="Q68" s="45"/>
      <c r="S68" s="1">
        <f t="shared" si="23"/>
        <v>0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D68" s="1">
        <f t="shared" si="33"/>
        <v>0</v>
      </c>
      <c r="AE68" s="1">
        <f t="shared" si="34"/>
        <v>0</v>
      </c>
      <c r="AF68" s="1">
        <f t="shared" si="35"/>
        <v>0</v>
      </c>
      <c r="AG68" s="1">
        <f t="shared" si="36"/>
        <v>0</v>
      </c>
      <c r="AH68" s="1">
        <f t="shared" si="37"/>
        <v>0</v>
      </c>
      <c r="AI68" s="1">
        <f t="shared" si="38"/>
        <v>1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1115</v>
      </c>
      <c r="E69" s="32" t="s">
        <v>174</v>
      </c>
      <c r="F69" s="32" t="s">
        <v>1118</v>
      </c>
      <c r="G69" s="32" t="s">
        <v>39</v>
      </c>
      <c r="H69" s="32" t="s">
        <v>1116</v>
      </c>
      <c r="I69" s="31" t="s">
        <v>1117</v>
      </c>
      <c r="J69" s="31">
        <v>12</v>
      </c>
      <c r="K69" s="33" t="s">
        <v>694</v>
      </c>
      <c r="L69" s="33">
        <v>50</v>
      </c>
      <c r="M69" s="34" t="s">
        <v>39</v>
      </c>
      <c r="N69" s="34" t="s">
        <v>1710</v>
      </c>
      <c r="O69" s="35">
        <v>1</v>
      </c>
      <c r="P69" s="35"/>
      <c r="Q69" s="32"/>
      <c r="S69" s="1">
        <f t="shared" si="23"/>
        <v>0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D69" s="1">
        <f t="shared" si="33"/>
        <v>0</v>
      </c>
      <c r="AE69" s="1">
        <f t="shared" si="34"/>
        <v>1</v>
      </c>
      <c r="AF69" s="1">
        <f t="shared" si="35"/>
        <v>0</v>
      </c>
      <c r="AG69" s="1">
        <f t="shared" si="36"/>
        <v>1</v>
      </c>
      <c r="AH69" s="1">
        <f t="shared" si="37"/>
        <v>0</v>
      </c>
      <c r="AI69" s="1">
        <f t="shared" si="38"/>
        <v>1</v>
      </c>
    </row>
    <row r="70" spans="1:35" ht="14.25" customHeight="1" x14ac:dyDescent="0.25">
      <c r="A70" s="31">
        <v>0</v>
      </c>
      <c r="B70" s="31">
        <v>1</v>
      </c>
      <c r="C70" s="31">
        <v>2</v>
      </c>
      <c r="D70" s="32" t="s">
        <v>153</v>
      </c>
      <c r="E70" s="32" t="s">
        <v>170</v>
      </c>
      <c r="F70" s="32" t="s">
        <v>2043</v>
      </c>
      <c r="G70" s="32" t="s">
        <v>2044</v>
      </c>
      <c r="H70" s="32" t="s">
        <v>352</v>
      </c>
      <c r="I70" s="31"/>
      <c r="J70" s="31">
        <v>1</v>
      </c>
      <c r="K70" s="33" t="s">
        <v>941</v>
      </c>
      <c r="L70" s="33" t="s">
        <v>39</v>
      </c>
      <c r="M70" s="34" t="s">
        <v>39</v>
      </c>
      <c r="N70" s="34" t="s">
        <v>1699</v>
      </c>
      <c r="O70" s="35">
        <v>1</v>
      </c>
      <c r="P70" s="35">
        <v>1</v>
      </c>
      <c r="Q70" s="32" t="s">
        <v>2045</v>
      </c>
      <c r="S70" s="1">
        <f t="shared" si="23"/>
        <v>1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D70" s="1">
        <f t="shared" si="33"/>
        <v>1</v>
      </c>
      <c r="AE70" s="1">
        <f t="shared" si="34"/>
        <v>0</v>
      </c>
      <c r="AF70" s="1">
        <f t="shared" si="35"/>
        <v>1</v>
      </c>
      <c r="AG70" s="1">
        <f t="shared" si="36"/>
        <v>0</v>
      </c>
      <c r="AH70" s="1">
        <f t="shared" si="37"/>
        <v>1</v>
      </c>
      <c r="AI70" s="1">
        <f t="shared" si="38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1416</v>
      </c>
      <c r="E71" s="32" t="s">
        <v>174</v>
      </c>
      <c r="F71" s="32" t="s">
        <v>1413</v>
      </c>
      <c r="G71" s="32" t="s">
        <v>39</v>
      </c>
      <c r="H71" s="32" t="s">
        <v>352</v>
      </c>
      <c r="I71" s="31" t="s">
        <v>1414</v>
      </c>
      <c r="J71" s="31">
        <v>99</v>
      </c>
      <c r="K71" s="33" t="s">
        <v>693</v>
      </c>
      <c r="L71" s="33" t="s">
        <v>680</v>
      </c>
      <c r="M71" s="34" t="s">
        <v>1415</v>
      </c>
      <c r="N71" s="34" t="s">
        <v>1693</v>
      </c>
      <c r="O71" s="35">
        <v>1</v>
      </c>
      <c r="P71" s="35">
        <v>1</v>
      </c>
      <c r="Q71" s="32"/>
      <c r="S71" s="1">
        <f t="shared" si="23"/>
        <v>0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D71" s="1">
        <f t="shared" si="33"/>
        <v>1</v>
      </c>
      <c r="AE71" s="1">
        <f t="shared" si="34"/>
        <v>0</v>
      </c>
      <c r="AF71" s="1">
        <f t="shared" si="35"/>
        <v>1</v>
      </c>
      <c r="AG71" s="1">
        <f t="shared" si="36"/>
        <v>0</v>
      </c>
      <c r="AH71" s="1">
        <f t="shared" si="37"/>
        <v>1</v>
      </c>
      <c r="AI71" s="1">
        <f t="shared" si="38"/>
        <v>0</v>
      </c>
    </row>
    <row r="72" spans="1:35" ht="14.25" customHeight="1" x14ac:dyDescent="0.25">
      <c r="A72" s="15">
        <v>0</v>
      </c>
      <c r="B72" s="15">
        <v>1</v>
      </c>
      <c r="C72" s="15">
        <v>2</v>
      </c>
      <c r="D72" s="16" t="s">
        <v>800</v>
      </c>
      <c r="E72" s="16" t="s">
        <v>174</v>
      </c>
      <c r="F72" s="16" t="s">
        <v>918</v>
      </c>
      <c r="G72" s="16" t="s">
        <v>212</v>
      </c>
      <c r="H72" s="16" t="s">
        <v>352</v>
      </c>
      <c r="I72" s="15" t="s">
        <v>801</v>
      </c>
      <c r="J72" s="15">
        <v>1</v>
      </c>
      <c r="K72" s="10" t="s">
        <v>937</v>
      </c>
      <c r="L72" s="10" t="s">
        <v>680</v>
      </c>
      <c r="M72" s="19" t="s">
        <v>682</v>
      </c>
      <c r="N72" s="17"/>
      <c r="Q72" s="16"/>
      <c r="S72" s="1">
        <f t="shared" si="23"/>
        <v>1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D72" s="1">
        <f t="shared" si="33"/>
        <v>0</v>
      </c>
      <c r="AE72" s="1">
        <f t="shared" si="34"/>
        <v>0</v>
      </c>
      <c r="AF72" s="1">
        <f t="shared" si="35"/>
        <v>0</v>
      </c>
      <c r="AG72" s="1">
        <f t="shared" si="36"/>
        <v>0</v>
      </c>
      <c r="AH72" s="1">
        <f t="shared" si="37"/>
        <v>0</v>
      </c>
      <c r="AI72" s="1">
        <f t="shared" si="38"/>
        <v>1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1297</v>
      </c>
      <c r="E73" s="32" t="s">
        <v>174</v>
      </c>
      <c r="F73" s="32" t="s">
        <v>1107</v>
      </c>
      <c r="G73" s="32" t="s">
        <v>39</v>
      </c>
      <c r="H73" s="32" t="s">
        <v>1106</v>
      </c>
      <c r="I73" s="31" t="s">
        <v>1105</v>
      </c>
      <c r="J73" s="31">
        <v>15</v>
      </c>
      <c r="K73" s="33" t="s">
        <v>938</v>
      </c>
      <c r="L73" s="33">
        <v>75</v>
      </c>
      <c r="M73" s="34" t="s">
        <v>1359</v>
      </c>
      <c r="N73" s="34" t="s">
        <v>1699</v>
      </c>
      <c r="O73" s="35">
        <v>1</v>
      </c>
      <c r="P73" s="35">
        <v>1</v>
      </c>
      <c r="Q73" s="32" t="s">
        <v>1941</v>
      </c>
      <c r="S73" s="1">
        <f t="shared" si="23"/>
        <v>0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D73" s="1">
        <f t="shared" si="33"/>
        <v>1</v>
      </c>
      <c r="AE73" s="1">
        <f t="shared" si="34"/>
        <v>0</v>
      </c>
      <c r="AF73" s="1">
        <f t="shared" si="35"/>
        <v>1</v>
      </c>
      <c r="AG73" s="1">
        <f t="shared" si="36"/>
        <v>0</v>
      </c>
      <c r="AH73" s="1">
        <f t="shared" si="37"/>
        <v>1</v>
      </c>
      <c r="AI73" s="1">
        <f t="shared" si="38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2" t="s">
        <v>1028</v>
      </c>
      <c r="E74" s="32" t="s">
        <v>173</v>
      </c>
      <c r="F74" s="32" t="s">
        <v>1029</v>
      </c>
      <c r="G74" s="32" t="s">
        <v>620</v>
      </c>
      <c r="H74" s="32" t="s">
        <v>352</v>
      </c>
      <c r="I74" s="31" t="s">
        <v>1030</v>
      </c>
      <c r="J74" s="31">
        <v>99</v>
      </c>
      <c r="K74" s="33" t="s">
        <v>693</v>
      </c>
      <c r="L74" s="33" t="s">
        <v>39</v>
      </c>
      <c r="M74" s="34" t="s">
        <v>39</v>
      </c>
      <c r="N74" s="34" t="s">
        <v>1699</v>
      </c>
      <c r="O74" s="35">
        <v>1</v>
      </c>
      <c r="P74" s="35">
        <v>1</v>
      </c>
      <c r="Q74" s="32"/>
      <c r="S74" s="1">
        <f t="shared" si="23"/>
        <v>0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0</v>
      </c>
      <c r="AD74" s="1">
        <f t="shared" si="33"/>
        <v>1</v>
      </c>
      <c r="AE74" s="1">
        <f t="shared" si="34"/>
        <v>0</v>
      </c>
      <c r="AF74" s="1">
        <f t="shared" si="35"/>
        <v>1</v>
      </c>
      <c r="AG74" s="1">
        <f t="shared" si="36"/>
        <v>0</v>
      </c>
      <c r="AH74" s="1">
        <f t="shared" si="37"/>
        <v>1</v>
      </c>
      <c r="AI74" s="1">
        <f t="shared" si="38"/>
        <v>0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2" t="s">
        <v>2010</v>
      </c>
      <c r="E75" s="32" t="s">
        <v>1937</v>
      </c>
      <c r="F75" s="32" t="s">
        <v>2011</v>
      </c>
      <c r="G75" s="32" t="s">
        <v>283</v>
      </c>
      <c r="H75" s="32" t="s">
        <v>352</v>
      </c>
      <c r="I75" s="31" t="s">
        <v>2012</v>
      </c>
      <c r="J75" s="31">
        <v>10</v>
      </c>
      <c r="K75" s="33" t="s">
        <v>694</v>
      </c>
      <c r="L75" s="33"/>
      <c r="M75" s="34"/>
      <c r="N75" s="34" t="s">
        <v>1699</v>
      </c>
      <c r="O75" s="35">
        <v>1</v>
      </c>
      <c r="P75" s="35">
        <v>1</v>
      </c>
      <c r="Q75" s="36" t="s">
        <v>2013</v>
      </c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1</v>
      </c>
      <c r="AD75" s="1">
        <f t="shared" si="33"/>
        <v>1</v>
      </c>
      <c r="AE75" s="1">
        <f t="shared" si="34"/>
        <v>0</v>
      </c>
      <c r="AF75" s="1">
        <f t="shared" si="35"/>
        <v>1</v>
      </c>
      <c r="AG75" s="1">
        <f t="shared" si="36"/>
        <v>0</v>
      </c>
      <c r="AH75" s="1">
        <f t="shared" si="37"/>
        <v>1</v>
      </c>
      <c r="AI75" s="1">
        <f t="shared" si="38"/>
        <v>0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6" t="s">
        <v>1966</v>
      </c>
      <c r="E76" s="32" t="s">
        <v>174</v>
      </c>
      <c r="F76" s="36" t="s">
        <v>1967</v>
      </c>
      <c r="G76" s="36" t="s">
        <v>219</v>
      </c>
      <c r="H76" s="36" t="s">
        <v>352</v>
      </c>
      <c r="I76" s="37" t="s">
        <v>1968</v>
      </c>
      <c r="J76" s="31">
        <v>8</v>
      </c>
      <c r="K76" s="33" t="s">
        <v>694</v>
      </c>
      <c r="L76" s="33"/>
      <c r="M76" s="34"/>
      <c r="N76" s="34" t="s">
        <v>1699</v>
      </c>
      <c r="O76" s="35">
        <v>1</v>
      </c>
      <c r="P76" s="35">
        <v>1</v>
      </c>
      <c r="Q76" s="32"/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0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1</v>
      </c>
      <c r="AA76" s="1">
        <f t="shared" si="31"/>
        <v>0</v>
      </c>
      <c r="AB76" s="1">
        <f t="shared" si="32"/>
        <v>0</v>
      </c>
      <c r="AD76" s="1">
        <f t="shared" si="33"/>
        <v>1</v>
      </c>
      <c r="AE76" s="1">
        <f t="shared" si="34"/>
        <v>0</v>
      </c>
      <c r="AF76" s="1">
        <f t="shared" si="35"/>
        <v>1</v>
      </c>
      <c r="AG76" s="1">
        <f t="shared" si="36"/>
        <v>0</v>
      </c>
      <c r="AH76" s="1">
        <f t="shared" si="37"/>
        <v>1</v>
      </c>
      <c r="AI76" s="1">
        <f t="shared" si="38"/>
        <v>0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576</v>
      </c>
      <c r="E77" s="32" t="s">
        <v>173</v>
      </c>
      <c r="F77" s="36" t="s">
        <v>578</v>
      </c>
      <c r="G77" s="36" t="s">
        <v>39</v>
      </c>
      <c r="H77" s="36" t="s">
        <v>579</v>
      </c>
      <c r="I77" s="37" t="s">
        <v>580</v>
      </c>
      <c r="J77" s="31">
        <v>12</v>
      </c>
      <c r="K77" s="33" t="s">
        <v>941</v>
      </c>
      <c r="L77" s="33" t="s">
        <v>1678</v>
      </c>
      <c r="M77" s="34" t="s">
        <v>1350</v>
      </c>
      <c r="N77" s="34" t="s">
        <v>1722</v>
      </c>
      <c r="O77" s="35">
        <v>1</v>
      </c>
      <c r="P77" s="35"/>
      <c r="Q77" s="32"/>
      <c r="S77" s="1">
        <f t="shared" si="23"/>
        <v>0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0</v>
      </c>
      <c r="AA77" s="1">
        <f t="shared" si="31"/>
        <v>0</v>
      </c>
      <c r="AB77" s="1">
        <f t="shared" si="32"/>
        <v>0</v>
      </c>
      <c r="AD77" s="1">
        <f t="shared" si="33"/>
        <v>0</v>
      </c>
      <c r="AE77" s="1">
        <f t="shared" si="34"/>
        <v>1</v>
      </c>
      <c r="AF77" s="1">
        <f t="shared" si="35"/>
        <v>0</v>
      </c>
      <c r="AG77" s="1">
        <f t="shared" si="36"/>
        <v>1</v>
      </c>
      <c r="AH77" s="1">
        <f t="shared" si="37"/>
        <v>0</v>
      </c>
      <c r="AI77" s="1">
        <f t="shared" si="38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2" t="s">
        <v>1802</v>
      </c>
      <c r="E78" s="32" t="s">
        <v>173</v>
      </c>
      <c r="F78" s="32" t="s">
        <v>1803</v>
      </c>
      <c r="G78" s="32"/>
      <c r="H78" s="32" t="s">
        <v>1804</v>
      </c>
      <c r="I78" s="31" t="s">
        <v>1805</v>
      </c>
      <c r="J78" s="31">
        <v>14</v>
      </c>
      <c r="K78" s="33" t="s">
        <v>694</v>
      </c>
      <c r="L78" s="33">
        <v>75</v>
      </c>
      <c r="M78" s="34" t="s">
        <v>952</v>
      </c>
      <c r="N78" s="34" t="s">
        <v>1705</v>
      </c>
      <c r="O78" s="35">
        <v>1</v>
      </c>
      <c r="P78" s="35"/>
      <c r="Q78" s="32"/>
      <c r="S78" s="1">
        <f t="shared" si="23"/>
        <v>0</v>
      </c>
      <c r="T78" s="1">
        <f t="shared" si="24"/>
        <v>0</v>
      </c>
      <c r="U78" s="1">
        <f t="shared" si="25"/>
        <v>0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D78" s="1">
        <f t="shared" si="33"/>
        <v>0</v>
      </c>
      <c r="AE78" s="1">
        <f t="shared" si="34"/>
        <v>1</v>
      </c>
      <c r="AF78" s="1">
        <f t="shared" si="35"/>
        <v>0</v>
      </c>
      <c r="AG78" s="1">
        <f t="shared" si="36"/>
        <v>1</v>
      </c>
      <c r="AH78" s="1">
        <f t="shared" si="37"/>
        <v>0</v>
      </c>
      <c r="AI78" s="1">
        <f t="shared" si="38"/>
        <v>1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1690</v>
      </c>
      <c r="E79" s="32" t="s">
        <v>174</v>
      </c>
      <c r="F79" s="36" t="s">
        <v>1691</v>
      </c>
      <c r="G79" s="36" t="s">
        <v>206</v>
      </c>
      <c r="H79" s="36" t="s">
        <v>352</v>
      </c>
      <c r="I79" s="37" t="s">
        <v>1692</v>
      </c>
      <c r="J79" s="31">
        <v>99</v>
      </c>
      <c r="K79" s="33" t="s">
        <v>694</v>
      </c>
      <c r="L79" s="33"/>
      <c r="M79" s="34"/>
      <c r="N79" s="34" t="s">
        <v>1693</v>
      </c>
      <c r="O79" s="35">
        <v>1</v>
      </c>
      <c r="P79" s="35">
        <v>1</v>
      </c>
      <c r="Q79" s="36"/>
      <c r="S79" s="1">
        <f t="shared" si="23"/>
        <v>0</v>
      </c>
      <c r="T79" s="1">
        <f t="shared" si="24"/>
        <v>0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D79" s="1">
        <f t="shared" si="33"/>
        <v>1</v>
      </c>
      <c r="AE79" s="1">
        <f t="shared" si="34"/>
        <v>0</v>
      </c>
      <c r="AF79" s="1">
        <f t="shared" si="35"/>
        <v>1</v>
      </c>
      <c r="AG79" s="1">
        <f t="shared" si="36"/>
        <v>0</v>
      </c>
      <c r="AH79" s="1">
        <f t="shared" si="37"/>
        <v>1</v>
      </c>
      <c r="AI79" s="1">
        <f t="shared" si="38"/>
        <v>0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1039</v>
      </c>
      <c r="E80" s="32" t="s">
        <v>174</v>
      </c>
      <c r="F80" s="36" t="s">
        <v>1078</v>
      </c>
      <c r="G80" s="36" t="s">
        <v>39</v>
      </c>
      <c r="H80" s="36" t="s">
        <v>1040</v>
      </c>
      <c r="I80" s="37" t="s">
        <v>1139</v>
      </c>
      <c r="J80" s="31">
        <v>13</v>
      </c>
      <c r="K80" s="33" t="s">
        <v>693</v>
      </c>
      <c r="L80" s="33" t="s">
        <v>680</v>
      </c>
      <c r="M80" s="34" t="s">
        <v>1410</v>
      </c>
      <c r="N80" s="34" t="s">
        <v>1710</v>
      </c>
      <c r="O80" s="35">
        <v>1</v>
      </c>
      <c r="P80" s="35"/>
      <c r="Q80" s="36"/>
      <c r="S80" s="1">
        <f t="shared" si="23"/>
        <v>0</v>
      </c>
      <c r="T80" s="1">
        <f t="shared" si="24"/>
        <v>0</v>
      </c>
      <c r="U80" s="1">
        <f t="shared" si="25"/>
        <v>0</v>
      </c>
      <c r="V80" s="1">
        <f t="shared" si="26"/>
        <v>0</v>
      </c>
      <c r="W80" s="1">
        <f t="shared" si="27"/>
        <v>0</v>
      </c>
      <c r="X80" s="1">
        <f t="shared" si="28"/>
        <v>0</v>
      </c>
      <c r="Y80" s="1">
        <f t="shared" si="29"/>
        <v>0</v>
      </c>
      <c r="Z80" s="1">
        <f t="shared" si="30"/>
        <v>0</v>
      </c>
      <c r="AA80" s="1">
        <f t="shared" si="31"/>
        <v>0</v>
      </c>
      <c r="AB80" s="1">
        <f t="shared" si="32"/>
        <v>0</v>
      </c>
      <c r="AD80" s="1">
        <f t="shared" si="33"/>
        <v>0</v>
      </c>
      <c r="AE80" s="1">
        <f t="shared" si="34"/>
        <v>1</v>
      </c>
      <c r="AF80" s="1">
        <f t="shared" si="35"/>
        <v>0</v>
      </c>
      <c r="AG80" s="1">
        <f t="shared" si="36"/>
        <v>1</v>
      </c>
      <c r="AH80" s="1">
        <f t="shared" si="37"/>
        <v>0</v>
      </c>
      <c r="AI80" s="1">
        <f t="shared" si="38"/>
        <v>1</v>
      </c>
    </row>
    <row r="81" spans="1:35" ht="14.25" customHeight="1" x14ac:dyDescent="0.25">
      <c r="A81" s="31">
        <v>0</v>
      </c>
      <c r="B81" s="31">
        <v>1</v>
      </c>
      <c r="C81" s="31">
        <v>2</v>
      </c>
      <c r="D81" s="36" t="s">
        <v>1562</v>
      </c>
      <c r="E81" s="32" t="s">
        <v>174</v>
      </c>
      <c r="F81" s="36" t="s">
        <v>1563</v>
      </c>
      <c r="G81" s="36" t="s">
        <v>234</v>
      </c>
      <c r="H81" s="36" t="s">
        <v>352</v>
      </c>
      <c r="I81" s="37" t="s">
        <v>1564</v>
      </c>
      <c r="J81" s="31">
        <v>99</v>
      </c>
      <c r="K81" s="33" t="s">
        <v>937</v>
      </c>
      <c r="L81" s="33">
        <v>45</v>
      </c>
      <c r="M81" s="34" t="s">
        <v>39</v>
      </c>
      <c r="N81" s="34" t="s">
        <v>1750</v>
      </c>
      <c r="O81" s="35">
        <v>1</v>
      </c>
      <c r="P81" s="35"/>
      <c r="Q81" s="36"/>
      <c r="S81" s="1">
        <f t="shared" si="23"/>
        <v>0</v>
      </c>
      <c r="T81" s="1">
        <f t="shared" si="24"/>
        <v>0</v>
      </c>
      <c r="U81" s="1">
        <f t="shared" si="25"/>
        <v>0</v>
      </c>
      <c r="V81" s="1">
        <f t="shared" si="26"/>
        <v>0</v>
      </c>
      <c r="W81" s="1">
        <f t="shared" si="27"/>
        <v>0</v>
      </c>
      <c r="X81" s="1">
        <f t="shared" si="28"/>
        <v>0</v>
      </c>
      <c r="Y81" s="1">
        <f t="shared" si="29"/>
        <v>0</v>
      </c>
      <c r="Z81" s="1">
        <f t="shared" si="30"/>
        <v>0</v>
      </c>
      <c r="AA81" s="1">
        <f t="shared" si="31"/>
        <v>0</v>
      </c>
      <c r="AB81" s="1">
        <f t="shared" si="32"/>
        <v>0</v>
      </c>
      <c r="AD81" s="1">
        <f t="shared" si="33"/>
        <v>0</v>
      </c>
      <c r="AE81" s="1">
        <f t="shared" si="34"/>
        <v>1</v>
      </c>
      <c r="AF81" s="1">
        <f t="shared" si="35"/>
        <v>0</v>
      </c>
      <c r="AG81" s="1">
        <f t="shared" si="36"/>
        <v>1</v>
      </c>
      <c r="AH81" s="1">
        <f t="shared" si="37"/>
        <v>0</v>
      </c>
      <c r="AI81" s="1">
        <f t="shared" si="38"/>
        <v>1</v>
      </c>
    </row>
    <row r="82" spans="1:35" ht="14.25" customHeight="1" x14ac:dyDescent="0.25">
      <c r="A82" s="31">
        <v>0</v>
      </c>
      <c r="B82" s="31">
        <v>1</v>
      </c>
      <c r="C82" s="31">
        <v>2</v>
      </c>
      <c r="D82" s="36" t="s">
        <v>1299</v>
      </c>
      <c r="E82" s="32" t="s">
        <v>173</v>
      </c>
      <c r="F82" s="36" t="s">
        <v>1242</v>
      </c>
      <c r="G82" s="36" t="s">
        <v>206</v>
      </c>
      <c r="H82" s="36" t="s">
        <v>352</v>
      </c>
      <c r="I82" s="37" t="s">
        <v>1243</v>
      </c>
      <c r="J82" s="31">
        <v>99</v>
      </c>
      <c r="K82" s="33" t="s">
        <v>943</v>
      </c>
      <c r="L82" s="33" t="s">
        <v>39</v>
      </c>
      <c r="M82" s="34" t="s">
        <v>39</v>
      </c>
      <c r="N82" s="34" t="s">
        <v>1693</v>
      </c>
      <c r="O82" s="35">
        <v>1</v>
      </c>
      <c r="P82" s="35">
        <v>1</v>
      </c>
      <c r="Q82" s="36"/>
      <c r="S82" s="1">
        <f t="shared" ref="S82:S145" si="39">IF(J82=$S$7,1,0)</f>
        <v>0</v>
      </c>
      <c r="T82" s="1">
        <f t="shared" ref="T82:T145" si="40">IF(J82=$T$7,1,0)</f>
        <v>0</v>
      </c>
      <c r="U82" s="1">
        <f t="shared" ref="U82:U145" si="41">IF(J82=$U$7,1,0)</f>
        <v>0</v>
      </c>
      <c r="V82" s="1">
        <f t="shared" ref="V82:V145" si="42">IF(J82=$V$7,1,0)</f>
        <v>0</v>
      </c>
      <c r="W82" s="1">
        <f t="shared" ref="W82:W145" si="43">IF(J82=$W$7,1,0)</f>
        <v>0</v>
      </c>
      <c r="X82" s="1">
        <f t="shared" ref="X82:X145" si="44">IF(J82=$X$7,1,0)</f>
        <v>0</v>
      </c>
      <c r="Y82" s="1">
        <f t="shared" ref="Y82:Y145" si="45">IF(J82=$Y$7,1,0)</f>
        <v>0</v>
      </c>
      <c r="Z82" s="1">
        <f t="shared" ref="Z82:Z145" si="46">IF(J82=$Z$7,1,0)</f>
        <v>0</v>
      </c>
      <c r="AA82" s="1">
        <f t="shared" ref="AA82:AA145" si="47">IF(J82=$AA$7,1,0)</f>
        <v>0</v>
      </c>
      <c r="AB82" s="1">
        <f t="shared" ref="AB82:AB145" si="48">IF(J82=$AB$7,1,0)</f>
        <v>0</v>
      </c>
      <c r="AD82" s="1">
        <f t="shared" ref="AD82:AD145" si="49">+O82*P82</f>
        <v>1</v>
      </c>
      <c r="AE82" s="1">
        <f t="shared" ref="AE82:AE145" si="50">O82*(1-P82)</f>
        <v>0</v>
      </c>
      <c r="AF82" s="1">
        <f t="shared" si="35"/>
        <v>1</v>
      </c>
      <c r="AG82" s="1">
        <f t="shared" si="36"/>
        <v>0</v>
      </c>
      <c r="AH82" s="1">
        <f t="shared" si="37"/>
        <v>1</v>
      </c>
      <c r="AI82" s="1">
        <f t="shared" si="38"/>
        <v>0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1759</v>
      </c>
      <c r="E83" s="32" t="s">
        <v>169</v>
      </c>
      <c r="F83" s="36" t="s">
        <v>1757</v>
      </c>
      <c r="G83" s="36" t="s">
        <v>231</v>
      </c>
      <c r="H83" s="36" t="s">
        <v>352</v>
      </c>
      <c r="I83" s="37" t="s">
        <v>1758</v>
      </c>
      <c r="J83" s="31">
        <v>99</v>
      </c>
      <c r="K83" s="33" t="s">
        <v>694</v>
      </c>
      <c r="L83" s="33"/>
      <c r="M83" s="34"/>
      <c r="N83" s="34" t="s">
        <v>1693</v>
      </c>
      <c r="O83" s="35">
        <v>1</v>
      </c>
      <c r="P83" s="35">
        <v>1</v>
      </c>
      <c r="Q83" s="36"/>
      <c r="S83" s="1">
        <f t="shared" si="39"/>
        <v>0</v>
      </c>
      <c r="T83" s="1">
        <f t="shared" si="40"/>
        <v>0</v>
      </c>
      <c r="U83" s="1">
        <f t="shared" si="41"/>
        <v>0</v>
      </c>
      <c r="V83" s="1">
        <f t="shared" si="42"/>
        <v>0</v>
      </c>
      <c r="W83" s="1">
        <f t="shared" si="43"/>
        <v>0</v>
      </c>
      <c r="X83" s="1">
        <f t="shared" si="44"/>
        <v>0</v>
      </c>
      <c r="Y83" s="1">
        <f t="shared" si="45"/>
        <v>0</v>
      </c>
      <c r="Z83" s="1">
        <f t="shared" si="46"/>
        <v>0</v>
      </c>
      <c r="AA83" s="1">
        <f t="shared" si="47"/>
        <v>0</v>
      </c>
      <c r="AB83" s="1">
        <f t="shared" si="48"/>
        <v>0</v>
      </c>
      <c r="AD83" s="1">
        <f t="shared" si="49"/>
        <v>1</v>
      </c>
      <c r="AE83" s="1">
        <f t="shared" si="50"/>
        <v>0</v>
      </c>
      <c r="AF83" s="1">
        <f t="shared" ref="AF83:AF146" si="51">+O83*P83*(1-A83)</f>
        <v>1</v>
      </c>
      <c r="AG83" s="1">
        <f t="shared" ref="AG83:AG146" si="52">O83*(1-P83)*(1-A83)</f>
        <v>0</v>
      </c>
      <c r="AH83" s="1">
        <f t="shared" ref="AH83:AH146" si="53">+P83*(1-A83)</f>
        <v>1</v>
      </c>
      <c r="AI83" s="1">
        <f t="shared" ref="AI83:AI146" si="54">+(1-A83)*(1-P83)</f>
        <v>0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1136</v>
      </c>
      <c r="E84" s="32" t="s">
        <v>169</v>
      </c>
      <c r="F84" s="36" t="s">
        <v>1137</v>
      </c>
      <c r="G84" s="36" t="s">
        <v>39</v>
      </c>
      <c r="H84" s="36" t="s">
        <v>1331</v>
      </c>
      <c r="I84" s="37" t="s">
        <v>1138</v>
      </c>
      <c r="J84" s="31">
        <v>11</v>
      </c>
      <c r="K84" s="33" t="s">
        <v>693</v>
      </c>
      <c r="L84" s="33" t="s">
        <v>1665</v>
      </c>
      <c r="M84" s="34" t="s">
        <v>1360</v>
      </c>
      <c r="N84" s="34" t="s">
        <v>1710</v>
      </c>
      <c r="O84" s="35">
        <v>1</v>
      </c>
      <c r="P84" s="35"/>
      <c r="Q84" s="36"/>
      <c r="S84" s="1">
        <f t="shared" si="39"/>
        <v>0</v>
      </c>
      <c r="T84" s="1">
        <f t="shared" si="40"/>
        <v>0</v>
      </c>
      <c r="U84" s="1">
        <f t="shared" si="41"/>
        <v>0</v>
      </c>
      <c r="V84" s="1">
        <f t="shared" si="42"/>
        <v>0</v>
      </c>
      <c r="W84" s="1">
        <f t="shared" si="43"/>
        <v>0</v>
      </c>
      <c r="X84" s="1">
        <f t="shared" si="44"/>
        <v>0</v>
      </c>
      <c r="Y84" s="1">
        <f t="shared" si="45"/>
        <v>0</v>
      </c>
      <c r="Z84" s="1">
        <f t="shared" si="46"/>
        <v>0</v>
      </c>
      <c r="AA84" s="1">
        <f t="shared" si="47"/>
        <v>0</v>
      </c>
      <c r="AB84" s="1">
        <f t="shared" si="48"/>
        <v>0</v>
      </c>
      <c r="AD84" s="1">
        <f t="shared" si="49"/>
        <v>0</v>
      </c>
      <c r="AE84" s="1">
        <f t="shared" si="50"/>
        <v>1</v>
      </c>
      <c r="AF84" s="1">
        <f t="shared" si="51"/>
        <v>0</v>
      </c>
      <c r="AG84" s="1">
        <f t="shared" si="52"/>
        <v>1</v>
      </c>
      <c r="AH84" s="1">
        <f t="shared" si="53"/>
        <v>0</v>
      </c>
      <c r="AI84" s="1">
        <f t="shared" si="54"/>
        <v>1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123</v>
      </c>
      <c r="E85" s="32" t="s">
        <v>169</v>
      </c>
      <c r="F85" s="36" t="s">
        <v>569</v>
      </c>
      <c r="G85" s="36" t="s">
        <v>39</v>
      </c>
      <c r="H85" s="36" t="s">
        <v>371</v>
      </c>
      <c r="I85" s="37" t="s">
        <v>468</v>
      </c>
      <c r="J85" s="31">
        <v>18</v>
      </c>
      <c r="K85" s="33" t="s">
        <v>694</v>
      </c>
      <c r="L85" s="33" t="s">
        <v>686</v>
      </c>
      <c r="M85" s="34" t="s">
        <v>682</v>
      </c>
      <c r="N85" s="34" t="s">
        <v>1785</v>
      </c>
      <c r="O85" s="35">
        <v>1</v>
      </c>
      <c r="P85" s="35"/>
      <c r="Q85" s="36" t="s">
        <v>1841</v>
      </c>
      <c r="S85" s="1">
        <f t="shared" si="39"/>
        <v>0</v>
      </c>
      <c r="T85" s="1">
        <f t="shared" si="40"/>
        <v>0</v>
      </c>
      <c r="U85" s="1">
        <f t="shared" si="41"/>
        <v>0</v>
      </c>
      <c r="V85" s="1">
        <f t="shared" si="42"/>
        <v>0</v>
      </c>
      <c r="W85" s="1">
        <f t="shared" si="43"/>
        <v>0</v>
      </c>
      <c r="X85" s="1">
        <f t="shared" si="44"/>
        <v>0</v>
      </c>
      <c r="Y85" s="1">
        <f t="shared" si="45"/>
        <v>0</v>
      </c>
      <c r="Z85" s="1">
        <f t="shared" si="46"/>
        <v>0</v>
      </c>
      <c r="AA85" s="1">
        <f t="shared" si="47"/>
        <v>0</v>
      </c>
      <c r="AB85" s="1">
        <f t="shared" si="48"/>
        <v>0</v>
      </c>
      <c r="AD85" s="1">
        <f t="shared" si="49"/>
        <v>0</v>
      </c>
      <c r="AE85" s="1">
        <f t="shared" si="50"/>
        <v>1</v>
      </c>
      <c r="AF85" s="1">
        <f t="shared" si="51"/>
        <v>0</v>
      </c>
      <c r="AG85" s="1">
        <f t="shared" si="52"/>
        <v>1</v>
      </c>
      <c r="AH85" s="1">
        <f t="shared" si="53"/>
        <v>0</v>
      </c>
      <c r="AI85" s="1">
        <f t="shared" si="54"/>
        <v>1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6" t="s">
        <v>991</v>
      </c>
      <c r="E86" s="32" t="s">
        <v>171</v>
      </c>
      <c r="F86" s="36" t="s">
        <v>992</v>
      </c>
      <c r="G86" s="36" t="s">
        <v>993</v>
      </c>
      <c r="H86" s="36" t="s">
        <v>352</v>
      </c>
      <c r="I86" s="37" t="s">
        <v>994</v>
      </c>
      <c r="J86" s="31">
        <v>99</v>
      </c>
      <c r="K86" s="33" t="s">
        <v>937</v>
      </c>
      <c r="L86" s="33" t="s">
        <v>39</v>
      </c>
      <c r="M86" s="34" t="s">
        <v>39</v>
      </c>
      <c r="N86" s="34" t="s">
        <v>1699</v>
      </c>
      <c r="O86" s="35">
        <v>1</v>
      </c>
      <c r="P86" s="35">
        <v>1</v>
      </c>
      <c r="Q86" s="36"/>
      <c r="S86" s="1">
        <f t="shared" si="39"/>
        <v>0</v>
      </c>
      <c r="T86" s="1">
        <f t="shared" si="40"/>
        <v>0</v>
      </c>
      <c r="U86" s="1">
        <f t="shared" si="41"/>
        <v>0</v>
      </c>
      <c r="V86" s="1">
        <f t="shared" si="42"/>
        <v>0</v>
      </c>
      <c r="W86" s="1">
        <f t="shared" si="43"/>
        <v>0</v>
      </c>
      <c r="X86" s="1">
        <f t="shared" si="44"/>
        <v>0</v>
      </c>
      <c r="Y86" s="1">
        <f t="shared" si="45"/>
        <v>0</v>
      </c>
      <c r="Z86" s="1">
        <f t="shared" si="46"/>
        <v>0</v>
      </c>
      <c r="AA86" s="1">
        <f t="shared" si="47"/>
        <v>0</v>
      </c>
      <c r="AB86" s="1">
        <f t="shared" si="48"/>
        <v>0</v>
      </c>
      <c r="AD86" s="1">
        <f t="shared" si="49"/>
        <v>1</v>
      </c>
      <c r="AE86" s="1">
        <f t="shared" si="50"/>
        <v>0</v>
      </c>
      <c r="AF86" s="1">
        <f t="shared" si="51"/>
        <v>1</v>
      </c>
      <c r="AG86" s="1">
        <f t="shared" si="52"/>
        <v>0</v>
      </c>
      <c r="AH86" s="1">
        <f t="shared" si="53"/>
        <v>1</v>
      </c>
      <c r="AI86" s="1">
        <f t="shared" si="54"/>
        <v>0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142</v>
      </c>
      <c r="E87" s="32" t="s">
        <v>174</v>
      </c>
      <c r="F87" s="36" t="s">
        <v>342</v>
      </c>
      <c r="G87" s="36" t="s">
        <v>343</v>
      </c>
      <c r="H87" s="36" t="s">
        <v>352</v>
      </c>
      <c r="I87" s="37" t="s">
        <v>488</v>
      </c>
      <c r="J87" s="31">
        <v>6</v>
      </c>
      <c r="K87" s="33" t="s">
        <v>938</v>
      </c>
      <c r="L87" s="33" t="s">
        <v>678</v>
      </c>
      <c r="M87" s="34" t="s">
        <v>682</v>
      </c>
      <c r="N87" s="34" t="s">
        <v>1705</v>
      </c>
      <c r="O87" s="35">
        <v>1</v>
      </c>
      <c r="P87" s="35"/>
      <c r="Q87" s="36"/>
      <c r="S87" s="1">
        <f t="shared" si="39"/>
        <v>0</v>
      </c>
      <c r="T87" s="1">
        <f t="shared" si="40"/>
        <v>0</v>
      </c>
      <c r="U87" s="1">
        <f t="shared" si="41"/>
        <v>0</v>
      </c>
      <c r="V87" s="1">
        <f t="shared" si="42"/>
        <v>0</v>
      </c>
      <c r="W87" s="1">
        <f t="shared" si="43"/>
        <v>0</v>
      </c>
      <c r="X87" s="1">
        <f t="shared" si="44"/>
        <v>1</v>
      </c>
      <c r="Y87" s="1">
        <f t="shared" si="45"/>
        <v>0</v>
      </c>
      <c r="Z87" s="1">
        <f t="shared" si="46"/>
        <v>0</v>
      </c>
      <c r="AA87" s="1">
        <f t="shared" si="47"/>
        <v>0</v>
      </c>
      <c r="AB87" s="1">
        <f t="shared" si="48"/>
        <v>0</v>
      </c>
      <c r="AD87" s="1">
        <f t="shared" si="49"/>
        <v>0</v>
      </c>
      <c r="AE87" s="1">
        <f t="shared" si="50"/>
        <v>1</v>
      </c>
      <c r="AF87" s="1">
        <f t="shared" si="51"/>
        <v>0</v>
      </c>
      <c r="AG87" s="1">
        <f t="shared" si="52"/>
        <v>1</v>
      </c>
      <c r="AH87" s="1">
        <f t="shared" si="53"/>
        <v>0</v>
      </c>
      <c r="AI87" s="1">
        <f t="shared" si="54"/>
        <v>1</v>
      </c>
    </row>
    <row r="88" spans="1:35" ht="14.25" customHeight="1" x14ac:dyDescent="0.25">
      <c r="A88" s="31">
        <v>0</v>
      </c>
      <c r="B88" s="31">
        <v>1</v>
      </c>
      <c r="C88" s="31">
        <v>3</v>
      </c>
      <c r="D88" s="36" t="s">
        <v>2062</v>
      </c>
      <c r="E88" s="32" t="s">
        <v>169</v>
      </c>
      <c r="F88" s="36" t="s">
        <v>2063</v>
      </c>
      <c r="G88" s="36" t="s">
        <v>206</v>
      </c>
      <c r="H88" s="36" t="s">
        <v>352</v>
      </c>
      <c r="I88" s="37" t="s">
        <v>2064</v>
      </c>
      <c r="J88" s="31">
        <v>99</v>
      </c>
      <c r="K88" s="33" t="s">
        <v>694</v>
      </c>
      <c r="L88" s="33"/>
      <c r="M88" s="34"/>
      <c r="N88" s="34" t="s">
        <v>1699</v>
      </c>
      <c r="O88" s="35">
        <v>1</v>
      </c>
      <c r="P88" s="35">
        <v>1</v>
      </c>
      <c r="Q88" s="36" t="s">
        <v>2065</v>
      </c>
      <c r="S88" s="1">
        <f t="shared" si="39"/>
        <v>0</v>
      </c>
      <c r="T88" s="1">
        <f t="shared" si="40"/>
        <v>0</v>
      </c>
      <c r="U88" s="1">
        <f t="shared" si="41"/>
        <v>0</v>
      </c>
      <c r="V88" s="1">
        <f t="shared" si="42"/>
        <v>0</v>
      </c>
      <c r="W88" s="1">
        <f t="shared" si="43"/>
        <v>0</v>
      </c>
      <c r="X88" s="1">
        <f t="shared" si="44"/>
        <v>0</v>
      </c>
      <c r="Y88" s="1">
        <f t="shared" si="45"/>
        <v>0</v>
      </c>
      <c r="Z88" s="1">
        <f t="shared" si="46"/>
        <v>0</v>
      </c>
      <c r="AA88" s="1">
        <f t="shared" si="47"/>
        <v>0</v>
      </c>
      <c r="AB88" s="1">
        <f t="shared" si="48"/>
        <v>0</v>
      </c>
      <c r="AD88" s="1">
        <f t="shared" si="49"/>
        <v>1</v>
      </c>
      <c r="AE88" s="1">
        <f t="shared" si="50"/>
        <v>0</v>
      </c>
      <c r="AF88" s="1">
        <f t="shared" si="51"/>
        <v>1</v>
      </c>
      <c r="AG88" s="1">
        <f t="shared" si="52"/>
        <v>0</v>
      </c>
      <c r="AH88" s="1">
        <f t="shared" si="53"/>
        <v>1</v>
      </c>
      <c r="AI88" s="1">
        <f t="shared" si="54"/>
        <v>0</v>
      </c>
    </row>
    <row r="89" spans="1:35" ht="14.25" customHeight="1" x14ac:dyDescent="0.25">
      <c r="A89" s="15">
        <v>0</v>
      </c>
      <c r="B89" s="15">
        <v>1</v>
      </c>
      <c r="C89" s="15">
        <v>3</v>
      </c>
      <c r="D89" s="16" t="s">
        <v>1747</v>
      </c>
      <c r="E89" s="16" t="s">
        <v>171</v>
      </c>
      <c r="F89" s="16" t="s">
        <v>1749</v>
      </c>
      <c r="G89" s="16"/>
      <c r="H89" s="16" t="s">
        <v>362</v>
      </c>
      <c r="I89" s="15" t="s">
        <v>1748</v>
      </c>
      <c r="J89" s="15">
        <v>17</v>
      </c>
      <c r="K89" s="10" t="s">
        <v>694</v>
      </c>
      <c r="L89" s="10" t="s">
        <v>1704</v>
      </c>
      <c r="M89" s="19" t="s">
        <v>682</v>
      </c>
      <c r="N89" s="17"/>
      <c r="Q89" s="20" t="s">
        <v>1873</v>
      </c>
      <c r="S89" s="1">
        <f t="shared" si="39"/>
        <v>0</v>
      </c>
      <c r="T89" s="1">
        <f t="shared" si="40"/>
        <v>0</v>
      </c>
      <c r="U89" s="1">
        <f t="shared" si="41"/>
        <v>0</v>
      </c>
      <c r="V89" s="1">
        <f t="shared" si="42"/>
        <v>0</v>
      </c>
      <c r="W89" s="1">
        <f t="shared" si="43"/>
        <v>0</v>
      </c>
      <c r="X89" s="1">
        <f t="shared" si="44"/>
        <v>0</v>
      </c>
      <c r="Y89" s="1">
        <f t="shared" si="45"/>
        <v>0</v>
      </c>
      <c r="Z89" s="1">
        <f t="shared" si="46"/>
        <v>0</v>
      </c>
      <c r="AA89" s="1">
        <f t="shared" si="47"/>
        <v>0</v>
      </c>
      <c r="AB89" s="1">
        <f t="shared" si="48"/>
        <v>0</v>
      </c>
      <c r="AD89" s="1">
        <f t="shared" si="49"/>
        <v>0</v>
      </c>
      <c r="AE89" s="1">
        <f t="shared" si="50"/>
        <v>0</v>
      </c>
      <c r="AF89" s="1">
        <f t="shared" si="51"/>
        <v>0</v>
      </c>
      <c r="AG89" s="1">
        <f t="shared" si="52"/>
        <v>0</v>
      </c>
      <c r="AH89" s="1">
        <f t="shared" si="53"/>
        <v>0</v>
      </c>
      <c r="AI89" s="1">
        <f t="shared" si="54"/>
        <v>1</v>
      </c>
    </row>
    <row r="90" spans="1:35" ht="14.25" customHeight="1" x14ac:dyDescent="0.25">
      <c r="A90" s="31">
        <v>0</v>
      </c>
      <c r="B90" s="31">
        <v>1</v>
      </c>
      <c r="C90" s="31">
        <v>3</v>
      </c>
      <c r="D90" s="32" t="s">
        <v>1770</v>
      </c>
      <c r="E90" s="32" t="s">
        <v>171</v>
      </c>
      <c r="F90" s="32" t="s">
        <v>1771</v>
      </c>
      <c r="G90" s="32" t="s">
        <v>1772</v>
      </c>
      <c r="H90" s="32" t="s">
        <v>352</v>
      </c>
      <c r="I90" s="31" t="s">
        <v>1773</v>
      </c>
      <c r="J90" s="31">
        <v>1</v>
      </c>
      <c r="K90" s="33" t="s">
        <v>694</v>
      </c>
      <c r="L90" s="33">
        <v>60</v>
      </c>
      <c r="M90" s="34" t="s">
        <v>1774</v>
      </c>
      <c r="N90" s="34" t="s">
        <v>1809</v>
      </c>
      <c r="O90" s="35">
        <v>1</v>
      </c>
      <c r="P90" s="35"/>
      <c r="Q90" s="32"/>
      <c r="S90" s="1">
        <f t="shared" si="39"/>
        <v>1</v>
      </c>
      <c r="T90" s="1">
        <f t="shared" si="40"/>
        <v>0</v>
      </c>
      <c r="U90" s="1">
        <f t="shared" si="41"/>
        <v>0</v>
      </c>
      <c r="V90" s="1">
        <f t="shared" si="42"/>
        <v>0</v>
      </c>
      <c r="W90" s="1">
        <f t="shared" si="43"/>
        <v>0</v>
      </c>
      <c r="X90" s="1">
        <f t="shared" si="44"/>
        <v>0</v>
      </c>
      <c r="Y90" s="1">
        <f t="shared" si="45"/>
        <v>0</v>
      </c>
      <c r="Z90" s="1">
        <f t="shared" si="46"/>
        <v>0</v>
      </c>
      <c r="AA90" s="1">
        <f t="shared" si="47"/>
        <v>0</v>
      </c>
      <c r="AB90" s="1">
        <f t="shared" si="48"/>
        <v>0</v>
      </c>
      <c r="AD90" s="1">
        <f t="shared" si="49"/>
        <v>0</v>
      </c>
      <c r="AE90" s="1">
        <f t="shared" si="50"/>
        <v>1</v>
      </c>
      <c r="AF90" s="1">
        <f t="shared" si="51"/>
        <v>0</v>
      </c>
      <c r="AG90" s="1">
        <f t="shared" si="52"/>
        <v>1</v>
      </c>
      <c r="AH90" s="1">
        <f t="shared" si="53"/>
        <v>0</v>
      </c>
      <c r="AI90" s="1">
        <f t="shared" si="54"/>
        <v>1</v>
      </c>
    </row>
    <row r="91" spans="1:35" ht="14.25" customHeight="1" x14ac:dyDescent="0.25">
      <c r="A91" s="31">
        <v>0</v>
      </c>
      <c r="B91" s="31">
        <v>1</v>
      </c>
      <c r="C91" s="31">
        <v>3</v>
      </c>
      <c r="D91" s="36" t="s">
        <v>2020</v>
      </c>
      <c r="E91" s="36" t="s">
        <v>175</v>
      </c>
      <c r="F91" s="36" t="s">
        <v>2018</v>
      </c>
      <c r="G91" s="36" t="s">
        <v>219</v>
      </c>
      <c r="H91" s="36" t="s">
        <v>352</v>
      </c>
      <c r="I91" s="37" t="s">
        <v>2019</v>
      </c>
      <c r="J91" s="31">
        <v>8</v>
      </c>
      <c r="K91" s="33" t="s">
        <v>694</v>
      </c>
      <c r="L91" s="33"/>
      <c r="M91" s="34"/>
      <c r="N91" s="34" t="s">
        <v>1699</v>
      </c>
      <c r="O91" s="35">
        <v>1</v>
      </c>
      <c r="P91" s="35">
        <v>1</v>
      </c>
      <c r="Q91" s="36"/>
      <c r="S91" s="1">
        <f t="shared" si="39"/>
        <v>0</v>
      </c>
      <c r="T91" s="1">
        <f t="shared" si="40"/>
        <v>0</v>
      </c>
      <c r="U91" s="1">
        <f t="shared" si="41"/>
        <v>0</v>
      </c>
      <c r="V91" s="1">
        <f t="shared" si="42"/>
        <v>0</v>
      </c>
      <c r="W91" s="1">
        <f t="shared" si="43"/>
        <v>0</v>
      </c>
      <c r="X91" s="1">
        <f t="shared" si="44"/>
        <v>0</v>
      </c>
      <c r="Y91" s="1">
        <f t="shared" si="45"/>
        <v>0</v>
      </c>
      <c r="Z91" s="1">
        <f t="shared" si="46"/>
        <v>1</v>
      </c>
      <c r="AA91" s="1">
        <f t="shared" si="47"/>
        <v>0</v>
      </c>
      <c r="AB91" s="1">
        <f t="shared" si="48"/>
        <v>0</v>
      </c>
      <c r="AD91" s="1">
        <f t="shared" si="49"/>
        <v>1</v>
      </c>
      <c r="AE91" s="1">
        <f t="shared" si="50"/>
        <v>0</v>
      </c>
      <c r="AF91" s="1">
        <f t="shared" si="51"/>
        <v>1</v>
      </c>
      <c r="AG91" s="1">
        <f t="shared" si="52"/>
        <v>0</v>
      </c>
      <c r="AH91" s="1">
        <f t="shared" si="53"/>
        <v>1</v>
      </c>
      <c r="AI91" s="1">
        <f t="shared" si="54"/>
        <v>0</v>
      </c>
    </row>
    <row r="92" spans="1:35" ht="14.25" customHeight="1" x14ac:dyDescent="0.25">
      <c r="A92" s="31">
        <v>0</v>
      </c>
      <c r="B92" s="31">
        <v>1</v>
      </c>
      <c r="C92" s="31">
        <v>3</v>
      </c>
      <c r="D92" s="36" t="s">
        <v>1565</v>
      </c>
      <c r="E92" s="32" t="s">
        <v>174</v>
      </c>
      <c r="F92" s="36" t="s">
        <v>317</v>
      </c>
      <c r="G92" s="36" t="s">
        <v>268</v>
      </c>
      <c r="H92" s="36" t="s">
        <v>352</v>
      </c>
      <c r="I92" s="37" t="s">
        <v>463</v>
      </c>
      <c r="J92" s="31">
        <v>8</v>
      </c>
      <c r="K92" s="33" t="s">
        <v>693</v>
      </c>
      <c r="L92" s="33" t="s">
        <v>680</v>
      </c>
      <c r="M92" s="34" t="s">
        <v>682</v>
      </c>
      <c r="N92" s="34" t="s">
        <v>1716</v>
      </c>
      <c r="O92" s="35">
        <v>1</v>
      </c>
      <c r="P92" s="35"/>
      <c r="Q92" s="36"/>
      <c r="S92" s="1">
        <f t="shared" si="39"/>
        <v>0</v>
      </c>
      <c r="T92" s="1">
        <f t="shared" si="40"/>
        <v>0</v>
      </c>
      <c r="U92" s="1">
        <f t="shared" si="41"/>
        <v>0</v>
      </c>
      <c r="V92" s="1">
        <f t="shared" si="42"/>
        <v>0</v>
      </c>
      <c r="W92" s="1">
        <f t="shared" si="43"/>
        <v>0</v>
      </c>
      <c r="X92" s="1">
        <f t="shared" si="44"/>
        <v>0</v>
      </c>
      <c r="Y92" s="1">
        <f t="shared" si="45"/>
        <v>0</v>
      </c>
      <c r="Z92" s="1">
        <f t="shared" si="46"/>
        <v>1</v>
      </c>
      <c r="AA92" s="1">
        <f t="shared" si="47"/>
        <v>0</v>
      </c>
      <c r="AB92" s="1">
        <f t="shared" si="48"/>
        <v>0</v>
      </c>
      <c r="AD92" s="1">
        <f t="shared" si="49"/>
        <v>0</v>
      </c>
      <c r="AE92" s="1">
        <f t="shared" si="50"/>
        <v>1</v>
      </c>
      <c r="AF92" s="1">
        <f t="shared" si="51"/>
        <v>0</v>
      </c>
      <c r="AG92" s="1">
        <f t="shared" si="52"/>
        <v>1</v>
      </c>
      <c r="AH92" s="1">
        <f t="shared" si="53"/>
        <v>0</v>
      </c>
      <c r="AI92" s="1">
        <f t="shared" si="54"/>
        <v>1</v>
      </c>
    </row>
    <row r="93" spans="1:35" ht="14.25" customHeight="1" x14ac:dyDescent="0.25">
      <c r="A93" s="44">
        <v>0</v>
      </c>
      <c r="B93" s="44">
        <v>1</v>
      </c>
      <c r="C93" s="44">
        <v>3</v>
      </c>
      <c r="D93" s="45" t="s">
        <v>135</v>
      </c>
      <c r="E93" s="45" t="s">
        <v>171</v>
      </c>
      <c r="F93" s="45" t="s">
        <v>1839</v>
      </c>
      <c r="G93" s="45" t="s">
        <v>239</v>
      </c>
      <c r="H93" s="45" t="s">
        <v>352</v>
      </c>
      <c r="I93" s="44" t="s">
        <v>481</v>
      </c>
      <c r="J93" s="44">
        <v>1</v>
      </c>
      <c r="K93" s="46" t="s">
        <v>937</v>
      </c>
      <c r="L93" s="46" t="s">
        <v>680</v>
      </c>
      <c r="M93" s="47" t="s">
        <v>682</v>
      </c>
      <c r="N93" s="47" t="s">
        <v>1769</v>
      </c>
      <c r="O93" s="48"/>
      <c r="P93" s="48"/>
      <c r="Q93" s="45"/>
      <c r="S93" s="1">
        <f t="shared" si="39"/>
        <v>1</v>
      </c>
      <c r="T93" s="1">
        <f t="shared" si="40"/>
        <v>0</v>
      </c>
      <c r="U93" s="1">
        <f t="shared" si="41"/>
        <v>0</v>
      </c>
      <c r="V93" s="1">
        <f t="shared" si="42"/>
        <v>0</v>
      </c>
      <c r="W93" s="1">
        <f t="shared" si="43"/>
        <v>0</v>
      </c>
      <c r="X93" s="1">
        <f t="shared" si="44"/>
        <v>0</v>
      </c>
      <c r="Y93" s="1">
        <f t="shared" si="45"/>
        <v>0</v>
      </c>
      <c r="Z93" s="1">
        <f t="shared" si="46"/>
        <v>0</v>
      </c>
      <c r="AA93" s="1">
        <f t="shared" si="47"/>
        <v>0</v>
      </c>
      <c r="AB93" s="1">
        <f t="shared" si="48"/>
        <v>0</v>
      </c>
      <c r="AD93" s="1">
        <f t="shared" si="49"/>
        <v>0</v>
      </c>
      <c r="AE93" s="1">
        <f t="shared" si="50"/>
        <v>0</v>
      </c>
      <c r="AF93" s="1">
        <f t="shared" si="51"/>
        <v>0</v>
      </c>
      <c r="AG93" s="1">
        <f t="shared" si="52"/>
        <v>0</v>
      </c>
      <c r="AH93" s="1">
        <f t="shared" si="53"/>
        <v>0</v>
      </c>
      <c r="AI93" s="1">
        <f t="shared" si="54"/>
        <v>1</v>
      </c>
    </row>
    <row r="94" spans="1:35" ht="14.25" customHeight="1" x14ac:dyDescent="0.25">
      <c r="A94" s="15">
        <v>0</v>
      </c>
      <c r="B94" s="15">
        <v>1</v>
      </c>
      <c r="C94" s="15">
        <v>3</v>
      </c>
      <c r="D94" s="16" t="s">
        <v>775</v>
      </c>
      <c r="E94" s="16" t="s">
        <v>602</v>
      </c>
      <c r="F94" s="16" t="s">
        <v>777</v>
      </c>
      <c r="G94" s="16" t="s">
        <v>213</v>
      </c>
      <c r="H94" s="16" t="s">
        <v>352</v>
      </c>
      <c r="I94" s="15" t="s">
        <v>776</v>
      </c>
      <c r="J94" s="15">
        <v>99</v>
      </c>
      <c r="K94" s="10" t="s">
        <v>713</v>
      </c>
      <c r="L94" s="10" t="s">
        <v>1665</v>
      </c>
      <c r="M94" s="19" t="s">
        <v>1361</v>
      </c>
      <c r="N94" s="19"/>
      <c r="Q94" s="16"/>
      <c r="S94" s="1">
        <f t="shared" si="39"/>
        <v>0</v>
      </c>
      <c r="T94" s="1">
        <f t="shared" si="40"/>
        <v>0</v>
      </c>
      <c r="U94" s="1">
        <f t="shared" si="41"/>
        <v>0</v>
      </c>
      <c r="V94" s="1">
        <f t="shared" si="42"/>
        <v>0</v>
      </c>
      <c r="W94" s="1">
        <f t="shared" si="43"/>
        <v>0</v>
      </c>
      <c r="X94" s="1">
        <f t="shared" si="44"/>
        <v>0</v>
      </c>
      <c r="Y94" s="1">
        <f t="shared" si="45"/>
        <v>0</v>
      </c>
      <c r="Z94" s="1">
        <f t="shared" si="46"/>
        <v>0</v>
      </c>
      <c r="AA94" s="1">
        <f t="shared" si="47"/>
        <v>0</v>
      </c>
      <c r="AB94" s="1">
        <f t="shared" si="48"/>
        <v>0</v>
      </c>
      <c r="AD94" s="1">
        <f t="shared" si="49"/>
        <v>0</v>
      </c>
      <c r="AE94" s="1">
        <f t="shared" si="50"/>
        <v>0</v>
      </c>
      <c r="AF94" s="1">
        <f t="shared" si="51"/>
        <v>0</v>
      </c>
      <c r="AG94" s="1">
        <f t="shared" si="52"/>
        <v>0</v>
      </c>
      <c r="AH94" s="1">
        <f t="shared" si="53"/>
        <v>0</v>
      </c>
      <c r="AI94" s="1">
        <f t="shared" si="54"/>
        <v>1</v>
      </c>
    </row>
    <row r="95" spans="1:35" ht="14.25" customHeight="1" x14ac:dyDescent="0.25">
      <c r="A95" s="31">
        <v>0</v>
      </c>
      <c r="B95" s="31">
        <v>1</v>
      </c>
      <c r="C95" s="31">
        <v>3</v>
      </c>
      <c r="D95" s="32" t="s">
        <v>77</v>
      </c>
      <c r="E95" s="32" t="s">
        <v>171</v>
      </c>
      <c r="F95" s="32" t="s">
        <v>266</v>
      </c>
      <c r="G95" s="32" t="s">
        <v>262</v>
      </c>
      <c r="H95" s="32" t="s">
        <v>352</v>
      </c>
      <c r="I95" s="31" t="s">
        <v>422</v>
      </c>
      <c r="J95" s="31">
        <v>1</v>
      </c>
      <c r="K95" s="33" t="s">
        <v>937</v>
      </c>
      <c r="L95" s="33" t="s">
        <v>1665</v>
      </c>
      <c r="M95" s="34" t="s">
        <v>951</v>
      </c>
      <c r="N95" s="34" t="s">
        <v>1705</v>
      </c>
      <c r="O95" s="35">
        <v>1</v>
      </c>
      <c r="P95" s="35"/>
      <c r="Q95" s="32"/>
      <c r="S95" s="1">
        <f t="shared" si="39"/>
        <v>1</v>
      </c>
      <c r="T95" s="1">
        <f t="shared" si="40"/>
        <v>0</v>
      </c>
      <c r="U95" s="1">
        <f t="shared" si="41"/>
        <v>0</v>
      </c>
      <c r="V95" s="1">
        <f t="shared" si="42"/>
        <v>0</v>
      </c>
      <c r="W95" s="1">
        <f t="shared" si="43"/>
        <v>0</v>
      </c>
      <c r="X95" s="1">
        <f t="shared" si="44"/>
        <v>0</v>
      </c>
      <c r="Y95" s="1">
        <f t="shared" si="45"/>
        <v>0</v>
      </c>
      <c r="Z95" s="1">
        <f t="shared" si="46"/>
        <v>0</v>
      </c>
      <c r="AA95" s="1">
        <f t="shared" si="47"/>
        <v>0</v>
      </c>
      <c r="AB95" s="1">
        <f t="shared" si="48"/>
        <v>0</v>
      </c>
      <c r="AD95" s="1">
        <f t="shared" si="49"/>
        <v>0</v>
      </c>
      <c r="AE95" s="1">
        <f t="shared" si="50"/>
        <v>1</v>
      </c>
      <c r="AF95" s="1">
        <f t="shared" si="51"/>
        <v>0</v>
      </c>
      <c r="AG95" s="1">
        <f t="shared" si="52"/>
        <v>1</v>
      </c>
      <c r="AH95" s="1">
        <f t="shared" si="53"/>
        <v>0</v>
      </c>
      <c r="AI95" s="1">
        <f t="shared" si="54"/>
        <v>1</v>
      </c>
    </row>
    <row r="96" spans="1:35" ht="14.25" customHeight="1" x14ac:dyDescent="0.25">
      <c r="A96" s="15">
        <v>0</v>
      </c>
      <c r="B96" s="15">
        <v>1</v>
      </c>
      <c r="C96" s="15">
        <v>3</v>
      </c>
      <c r="D96" s="20" t="s">
        <v>1909</v>
      </c>
      <c r="E96" s="20" t="s">
        <v>1937</v>
      </c>
      <c r="F96" s="20" t="s">
        <v>1938</v>
      </c>
      <c r="G96" s="20"/>
      <c r="H96" s="20" t="s">
        <v>1936</v>
      </c>
      <c r="I96" s="21" t="s">
        <v>1939</v>
      </c>
      <c r="J96" s="15">
        <v>18</v>
      </c>
      <c r="K96" s="10" t="s">
        <v>694</v>
      </c>
      <c r="L96" s="10" t="s">
        <v>1704</v>
      </c>
      <c r="M96" s="19" t="s">
        <v>952</v>
      </c>
      <c r="N96" s="17"/>
      <c r="Q96" s="20" t="s">
        <v>1940</v>
      </c>
      <c r="S96" s="1">
        <f t="shared" si="39"/>
        <v>0</v>
      </c>
      <c r="T96" s="1">
        <f t="shared" si="40"/>
        <v>0</v>
      </c>
      <c r="U96" s="1">
        <f t="shared" si="41"/>
        <v>0</v>
      </c>
      <c r="V96" s="1">
        <f t="shared" si="42"/>
        <v>0</v>
      </c>
      <c r="W96" s="1">
        <f t="shared" si="43"/>
        <v>0</v>
      </c>
      <c r="X96" s="1">
        <f t="shared" si="44"/>
        <v>0</v>
      </c>
      <c r="Y96" s="1">
        <f t="shared" si="45"/>
        <v>0</v>
      </c>
      <c r="Z96" s="1">
        <f t="shared" si="46"/>
        <v>0</v>
      </c>
      <c r="AA96" s="1">
        <f t="shared" si="47"/>
        <v>0</v>
      </c>
      <c r="AB96" s="1">
        <f t="shared" si="48"/>
        <v>0</v>
      </c>
      <c r="AD96" s="1">
        <f t="shared" si="49"/>
        <v>0</v>
      </c>
      <c r="AE96" s="1">
        <f t="shared" si="50"/>
        <v>0</v>
      </c>
      <c r="AF96" s="1">
        <f t="shared" si="51"/>
        <v>0</v>
      </c>
      <c r="AG96" s="1">
        <f t="shared" si="52"/>
        <v>0</v>
      </c>
      <c r="AH96" s="1">
        <f t="shared" si="53"/>
        <v>0</v>
      </c>
      <c r="AI96" s="1">
        <f t="shared" si="54"/>
        <v>1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1492</v>
      </c>
      <c r="E97" s="32" t="s">
        <v>175</v>
      </c>
      <c r="F97" s="36" t="s">
        <v>1493</v>
      </c>
      <c r="G97" s="36" t="s">
        <v>39</v>
      </c>
      <c r="H97" s="36" t="s">
        <v>889</v>
      </c>
      <c r="I97" s="37" t="s">
        <v>1494</v>
      </c>
      <c r="J97" s="31">
        <v>11</v>
      </c>
      <c r="K97" s="33" t="s">
        <v>945</v>
      </c>
      <c r="L97" s="33" t="s">
        <v>39</v>
      </c>
      <c r="M97" s="34" t="s">
        <v>39</v>
      </c>
      <c r="N97" s="34" t="s">
        <v>1699</v>
      </c>
      <c r="O97" s="35">
        <v>1</v>
      </c>
      <c r="P97" s="35">
        <v>1</v>
      </c>
      <c r="Q97" s="36"/>
      <c r="S97" s="1">
        <f t="shared" si="39"/>
        <v>0</v>
      </c>
      <c r="T97" s="1">
        <f t="shared" si="40"/>
        <v>0</v>
      </c>
      <c r="U97" s="1">
        <f t="shared" si="41"/>
        <v>0</v>
      </c>
      <c r="V97" s="1">
        <f t="shared" si="42"/>
        <v>0</v>
      </c>
      <c r="W97" s="1">
        <f t="shared" si="43"/>
        <v>0</v>
      </c>
      <c r="X97" s="1">
        <f t="shared" si="44"/>
        <v>0</v>
      </c>
      <c r="Y97" s="1">
        <f t="shared" si="45"/>
        <v>0</v>
      </c>
      <c r="Z97" s="1">
        <f t="shared" si="46"/>
        <v>0</v>
      </c>
      <c r="AA97" s="1">
        <f t="shared" si="47"/>
        <v>0</v>
      </c>
      <c r="AB97" s="1">
        <f t="shared" si="48"/>
        <v>0</v>
      </c>
      <c r="AD97" s="1">
        <f t="shared" si="49"/>
        <v>1</v>
      </c>
      <c r="AE97" s="1">
        <f t="shared" si="50"/>
        <v>0</v>
      </c>
      <c r="AF97" s="1">
        <f t="shared" si="51"/>
        <v>1</v>
      </c>
      <c r="AG97" s="1">
        <f t="shared" si="52"/>
        <v>0</v>
      </c>
      <c r="AH97" s="1">
        <f t="shared" si="53"/>
        <v>1</v>
      </c>
      <c r="AI97" s="1">
        <f t="shared" si="54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1814</v>
      </c>
      <c r="E98" s="36" t="s">
        <v>171</v>
      </c>
      <c r="F98" s="36" t="s">
        <v>1815</v>
      </c>
      <c r="G98" s="36"/>
      <c r="H98" s="36" t="s">
        <v>1816</v>
      </c>
      <c r="I98" s="37" t="s">
        <v>1817</v>
      </c>
      <c r="J98" s="31">
        <v>15</v>
      </c>
      <c r="K98" s="33" t="s">
        <v>694</v>
      </c>
      <c r="L98" s="33"/>
      <c r="M98" s="34"/>
      <c r="N98" s="34" t="s">
        <v>1699</v>
      </c>
      <c r="O98" s="35">
        <v>1</v>
      </c>
      <c r="P98" s="35">
        <v>1</v>
      </c>
      <c r="Q98" s="36" t="s">
        <v>1851</v>
      </c>
      <c r="S98" s="1">
        <f t="shared" si="39"/>
        <v>0</v>
      </c>
      <c r="T98" s="1">
        <f t="shared" si="40"/>
        <v>0</v>
      </c>
      <c r="U98" s="1">
        <f t="shared" si="41"/>
        <v>0</v>
      </c>
      <c r="V98" s="1">
        <f t="shared" si="42"/>
        <v>0</v>
      </c>
      <c r="W98" s="1">
        <f t="shared" si="43"/>
        <v>0</v>
      </c>
      <c r="X98" s="1">
        <f t="shared" si="44"/>
        <v>0</v>
      </c>
      <c r="Y98" s="1">
        <f t="shared" si="45"/>
        <v>0</v>
      </c>
      <c r="Z98" s="1">
        <f t="shared" si="46"/>
        <v>0</v>
      </c>
      <c r="AA98" s="1">
        <f t="shared" si="47"/>
        <v>0</v>
      </c>
      <c r="AB98" s="1">
        <f t="shared" si="48"/>
        <v>0</v>
      </c>
      <c r="AD98" s="1">
        <f t="shared" si="49"/>
        <v>1</v>
      </c>
      <c r="AE98" s="1">
        <f t="shared" si="50"/>
        <v>0</v>
      </c>
      <c r="AF98" s="1">
        <f t="shared" si="51"/>
        <v>1</v>
      </c>
      <c r="AG98" s="1">
        <f t="shared" si="52"/>
        <v>0</v>
      </c>
      <c r="AH98" s="1">
        <f t="shared" si="53"/>
        <v>1</v>
      </c>
      <c r="AI98" s="1">
        <f t="shared" si="54"/>
        <v>0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2" t="s">
        <v>727</v>
      </c>
      <c r="E99" s="32" t="s">
        <v>1305</v>
      </c>
      <c r="F99" s="32" t="s">
        <v>1625</v>
      </c>
      <c r="G99" s="32" t="s">
        <v>39</v>
      </c>
      <c r="H99" s="32" t="s">
        <v>728</v>
      </c>
      <c r="I99" s="31" t="s">
        <v>729</v>
      </c>
      <c r="J99" s="31">
        <v>18</v>
      </c>
      <c r="K99" s="33" t="s">
        <v>693</v>
      </c>
      <c r="L99" s="33" t="s">
        <v>679</v>
      </c>
      <c r="M99" s="34" t="s">
        <v>951</v>
      </c>
      <c r="N99" s="34" t="s">
        <v>1809</v>
      </c>
      <c r="O99" s="35">
        <v>1</v>
      </c>
      <c r="P99" s="35"/>
      <c r="Q99" s="32"/>
      <c r="S99" s="1">
        <f t="shared" si="39"/>
        <v>0</v>
      </c>
      <c r="T99" s="1">
        <f t="shared" si="40"/>
        <v>0</v>
      </c>
      <c r="U99" s="1">
        <f t="shared" si="41"/>
        <v>0</v>
      </c>
      <c r="V99" s="1">
        <f t="shared" si="42"/>
        <v>0</v>
      </c>
      <c r="W99" s="1">
        <f t="shared" si="43"/>
        <v>0</v>
      </c>
      <c r="X99" s="1">
        <f t="shared" si="44"/>
        <v>0</v>
      </c>
      <c r="Y99" s="1">
        <f t="shared" si="45"/>
        <v>0</v>
      </c>
      <c r="Z99" s="1">
        <f t="shared" si="46"/>
        <v>0</v>
      </c>
      <c r="AA99" s="1">
        <f t="shared" si="47"/>
        <v>0</v>
      </c>
      <c r="AB99" s="1">
        <f t="shared" si="48"/>
        <v>0</v>
      </c>
      <c r="AD99" s="1">
        <f t="shared" si="49"/>
        <v>0</v>
      </c>
      <c r="AE99" s="1">
        <f t="shared" si="50"/>
        <v>1</v>
      </c>
      <c r="AF99" s="1">
        <f t="shared" si="51"/>
        <v>0</v>
      </c>
      <c r="AG99" s="1">
        <f t="shared" si="52"/>
        <v>1</v>
      </c>
      <c r="AH99" s="1">
        <f t="shared" si="53"/>
        <v>0</v>
      </c>
      <c r="AI99" s="1">
        <f t="shared" si="54"/>
        <v>1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2" t="s">
        <v>1513</v>
      </c>
      <c r="E100" s="32" t="s">
        <v>171</v>
      </c>
      <c r="F100" s="32" t="s">
        <v>1514</v>
      </c>
      <c r="G100" s="32" t="s">
        <v>39</v>
      </c>
      <c r="H100" s="32" t="s">
        <v>362</v>
      </c>
      <c r="I100" s="31" t="s">
        <v>1515</v>
      </c>
      <c r="J100" s="31">
        <v>17</v>
      </c>
      <c r="K100" s="33" t="s">
        <v>713</v>
      </c>
      <c r="L100" s="33" t="s">
        <v>679</v>
      </c>
      <c r="M100" s="34" t="s">
        <v>39</v>
      </c>
      <c r="N100" s="34" t="s">
        <v>1693</v>
      </c>
      <c r="O100" s="35">
        <v>1</v>
      </c>
      <c r="P100" s="35">
        <v>1</v>
      </c>
      <c r="Q100" s="36" t="s">
        <v>1875</v>
      </c>
      <c r="S100" s="1">
        <f t="shared" si="39"/>
        <v>0</v>
      </c>
      <c r="T100" s="1">
        <f t="shared" si="40"/>
        <v>0</v>
      </c>
      <c r="U100" s="1">
        <f t="shared" si="41"/>
        <v>0</v>
      </c>
      <c r="V100" s="1">
        <f t="shared" si="42"/>
        <v>0</v>
      </c>
      <c r="W100" s="1">
        <f t="shared" si="43"/>
        <v>0</v>
      </c>
      <c r="X100" s="1">
        <f t="shared" si="44"/>
        <v>0</v>
      </c>
      <c r="Y100" s="1">
        <f t="shared" si="45"/>
        <v>0</v>
      </c>
      <c r="Z100" s="1">
        <f t="shared" si="46"/>
        <v>0</v>
      </c>
      <c r="AA100" s="1">
        <f t="shared" si="47"/>
        <v>0</v>
      </c>
      <c r="AB100" s="1">
        <f t="shared" si="48"/>
        <v>0</v>
      </c>
      <c r="AD100" s="1">
        <f t="shared" si="49"/>
        <v>1</v>
      </c>
      <c r="AE100" s="1">
        <f t="shared" si="50"/>
        <v>0</v>
      </c>
      <c r="AF100" s="1">
        <f t="shared" si="51"/>
        <v>1</v>
      </c>
      <c r="AG100" s="1">
        <f t="shared" si="52"/>
        <v>0</v>
      </c>
      <c r="AH100" s="1">
        <f t="shared" si="53"/>
        <v>1</v>
      </c>
      <c r="AI100" s="1">
        <f t="shared" si="54"/>
        <v>0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6" t="s">
        <v>118</v>
      </c>
      <c r="E101" s="32" t="s">
        <v>171</v>
      </c>
      <c r="F101" s="36" t="s">
        <v>318</v>
      </c>
      <c r="G101" s="36" t="s">
        <v>39</v>
      </c>
      <c r="H101" s="36" t="s">
        <v>368</v>
      </c>
      <c r="I101" s="37" t="s">
        <v>464</v>
      </c>
      <c r="J101" s="31">
        <v>14</v>
      </c>
      <c r="K101" s="33" t="s">
        <v>937</v>
      </c>
      <c r="L101" s="33" t="s">
        <v>685</v>
      </c>
      <c r="M101" s="34" t="s">
        <v>682</v>
      </c>
      <c r="N101" s="34" t="s">
        <v>1709</v>
      </c>
      <c r="O101" s="35">
        <v>1</v>
      </c>
      <c r="P101" s="35"/>
      <c r="Q101" s="36" t="s">
        <v>1848</v>
      </c>
      <c r="S101" s="1">
        <f t="shared" si="39"/>
        <v>0</v>
      </c>
      <c r="T101" s="1">
        <f t="shared" si="40"/>
        <v>0</v>
      </c>
      <c r="U101" s="1">
        <f t="shared" si="41"/>
        <v>0</v>
      </c>
      <c r="V101" s="1">
        <f t="shared" si="42"/>
        <v>0</v>
      </c>
      <c r="W101" s="1">
        <f t="shared" si="43"/>
        <v>0</v>
      </c>
      <c r="X101" s="1">
        <f t="shared" si="44"/>
        <v>0</v>
      </c>
      <c r="Y101" s="1">
        <f t="shared" si="45"/>
        <v>0</v>
      </c>
      <c r="Z101" s="1">
        <f t="shared" si="46"/>
        <v>0</v>
      </c>
      <c r="AA101" s="1">
        <f t="shared" si="47"/>
        <v>0</v>
      </c>
      <c r="AB101" s="1">
        <f t="shared" si="48"/>
        <v>0</v>
      </c>
      <c r="AD101" s="1">
        <f t="shared" si="49"/>
        <v>0</v>
      </c>
      <c r="AE101" s="1">
        <f t="shared" si="50"/>
        <v>1</v>
      </c>
      <c r="AF101" s="1">
        <f t="shared" si="51"/>
        <v>0</v>
      </c>
      <c r="AG101" s="1">
        <f t="shared" si="52"/>
        <v>1</v>
      </c>
      <c r="AH101" s="1">
        <f t="shared" si="53"/>
        <v>0</v>
      </c>
      <c r="AI101" s="1">
        <f t="shared" si="54"/>
        <v>1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114</v>
      </c>
      <c r="E102" s="32" t="s">
        <v>169</v>
      </c>
      <c r="F102" s="36" t="s">
        <v>324</v>
      </c>
      <c r="G102" s="36" t="s">
        <v>229</v>
      </c>
      <c r="H102" s="36" t="s">
        <v>352</v>
      </c>
      <c r="I102" s="37" t="s">
        <v>471</v>
      </c>
      <c r="J102" s="31">
        <v>7</v>
      </c>
      <c r="K102" s="33" t="s">
        <v>693</v>
      </c>
      <c r="L102" s="33" t="s">
        <v>39</v>
      </c>
      <c r="M102" s="34" t="s">
        <v>39</v>
      </c>
      <c r="N102" s="34" t="s">
        <v>1699</v>
      </c>
      <c r="O102" s="35">
        <v>1</v>
      </c>
      <c r="P102" s="35">
        <v>1</v>
      </c>
      <c r="Q102" s="36"/>
      <c r="S102" s="1">
        <f t="shared" si="39"/>
        <v>0</v>
      </c>
      <c r="T102" s="1">
        <f t="shared" si="40"/>
        <v>0</v>
      </c>
      <c r="U102" s="1">
        <f t="shared" si="41"/>
        <v>0</v>
      </c>
      <c r="V102" s="1">
        <f t="shared" si="42"/>
        <v>0</v>
      </c>
      <c r="W102" s="1">
        <f t="shared" si="43"/>
        <v>0</v>
      </c>
      <c r="X102" s="1">
        <f t="shared" si="44"/>
        <v>0</v>
      </c>
      <c r="Y102" s="1">
        <f t="shared" si="45"/>
        <v>1</v>
      </c>
      <c r="Z102" s="1">
        <f t="shared" si="46"/>
        <v>0</v>
      </c>
      <c r="AA102" s="1">
        <f t="shared" si="47"/>
        <v>0</v>
      </c>
      <c r="AB102" s="1">
        <f t="shared" si="48"/>
        <v>0</v>
      </c>
      <c r="AD102" s="1">
        <f t="shared" si="49"/>
        <v>1</v>
      </c>
      <c r="AE102" s="1">
        <f t="shared" si="50"/>
        <v>0</v>
      </c>
      <c r="AF102" s="1">
        <f t="shared" si="51"/>
        <v>1</v>
      </c>
      <c r="AG102" s="1">
        <f t="shared" si="52"/>
        <v>0</v>
      </c>
      <c r="AH102" s="1">
        <f t="shared" si="53"/>
        <v>1</v>
      </c>
      <c r="AI102" s="1">
        <f t="shared" si="54"/>
        <v>0</v>
      </c>
    </row>
    <row r="103" spans="1:35" ht="14.25" customHeight="1" x14ac:dyDescent="0.25">
      <c r="A103" s="31">
        <v>0</v>
      </c>
      <c r="B103" s="31">
        <v>1</v>
      </c>
      <c r="C103" s="31">
        <v>3</v>
      </c>
      <c r="D103" s="36" t="s">
        <v>1891</v>
      </c>
      <c r="E103" s="32" t="s">
        <v>1892</v>
      </c>
      <c r="F103" s="36" t="s">
        <v>1893</v>
      </c>
      <c r="G103" s="36"/>
      <c r="H103" s="36" t="s">
        <v>364</v>
      </c>
      <c r="I103" s="37" t="s">
        <v>1895</v>
      </c>
      <c r="J103" s="31">
        <v>18</v>
      </c>
      <c r="K103" s="33" t="s">
        <v>694</v>
      </c>
      <c r="L103" s="33"/>
      <c r="M103" s="34"/>
      <c r="N103" s="34" t="s">
        <v>1699</v>
      </c>
      <c r="O103" s="35">
        <v>1</v>
      </c>
      <c r="P103" s="35">
        <v>1</v>
      </c>
      <c r="Q103" s="36" t="s">
        <v>1894</v>
      </c>
      <c r="S103" s="1">
        <f t="shared" si="39"/>
        <v>0</v>
      </c>
      <c r="T103" s="1">
        <f t="shared" si="40"/>
        <v>0</v>
      </c>
      <c r="U103" s="1">
        <f t="shared" si="41"/>
        <v>0</v>
      </c>
      <c r="V103" s="1">
        <f t="shared" si="42"/>
        <v>0</v>
      </c>
      <c r="W103" s="1">
        <f t="shared" si="43"/>
        <v>0</v>
      </c>
      <c r="X103" s="1">
        <f t="shared" si="44"/>
        <v>0</v>
      </c>
      <c r="Y103" s="1">
        <f t="shared" si="45"/>
        <v>0</v>
      </c>
      <c r="Z103" s="1">
        <f t="shared" si="46"/>
        <v>0</v>
      </c>
      <c r="AA103" s="1">
        <f t="shared" si="47"/>
        <v>0</v>
      </c>
      <c r="AB103" s="1">
        <f t="shared" si="48"/>
        <v>0</v>
      </c>
      <c r="AD103" s="1">
        <f t="shared" si="49"/>
        <v>1</v>
      </c>
      <c r="AE103" s="1">
        <f t="shared" si="50"/>
        <v>0</v>
      </c>
      <c r="AF103" s="1">
        <f t="shared" si="51"/>
        <v>1</v>
      </c>
      <c r="AG103" s="1">
        <f t="shared" si="52"/>
        <v>0</v>
      </c>
      <c r="AH103" s="1">
        <f t="shared" si="53"/>
        <v>1</v>
      </c>
      <c r="AI103" s="1">
        <f t="shared" si="54"/>
        <v>0</v>
      </c>
    </row>
    <row r="104" spans="1:35" ht="14.25" customHeight="1" x14ac:dyDescent="0.25">
      <c r="A104" s="44">
        <v>0</v>
      </c>
      <c r="B104" s="44">
        <v>1</v>
      </c>
      <c r="C104" s="44">
        <v>3</v>
      </c>
      <c r="D104" s="45" t="s">
        <v>1182</v>
      </c>
      <c r="E104" s="45" t="s">
        <v>174</v>
      </c>
      <c r="F104" s="45" t="s">
        <v>1313</v>
      </c>
      <c r="G104" s="45" t="s">
        <v>39</v>
      </c>
      <c r="H104" s="45" t="s">
        <v>603</v>
      </c>
      <c r="I104" s="44" t="s">
        <v>1183</v>
      </c>
      <c r="J104" s="44">
        <v>14</v>
      </c>
      <c r="K104" s="46" t="s">
        <v>937</v>
      </c>
      <c r="L104" s="46" t="s">
        <v>1665</v>
      </c>
      <c r="M104" s="47" t="s">
        <v>1362</v>
      </c>
      <c r="N104" s="47" t="s">
        <v>1762</v>
      </c>
      <c r="O104" s="48"/>
      <c r="P104" s="48"/>
      <c r="Q104" s="45"/>
      <c r="S104" s="1">
        <f t="shared" si="39"/>
        <v>0</v>
      </c>
      <c r="T104" s="1">
        <f t="shared" si="40"/>
        <v>0</v>
      </c>
      <c r="U104" s="1">
        <f t="shared" si="41"/>
        <v>0</v>
      </c>
      <c r="V104" s="1">
        <f t="shared" si="42"/>
        <v>0</v>
      </c>
      <c r="W104" s="1">
        <f t="shared" si="43"/>
        <v>0</v>
      </c>
      <c r="X104" s="1">
        <f t="shared" si="44"/>
        <v>0</v>
      </c>
      <c r="Y104" s="1">
        <f t="shared" si="45"/>
        <v>0</v>
      </c>
      <c r="Z104" s="1">
        <f t="shared" si="46"/>
        <v>0</v>
      </c>
      <c r="AA104" s="1">
        <f t="shared" si="47"/>
        <v>0</v>
      </c>
      <c r="AB104" s="1">
        <f t="shared" si="48"/>
        <v>0</v>
      </c>
      <c r="AD104" s="1">
        <f t="shared" si="49"/>
        <v>0</v>
      </c>
      <c r="AE104" s="1">
        <f t="shared" si="50"/>
        <v>0</v>
      </c>
      <c r="AF104" s="1">
        <f t="shared" si="51"/>
        <v>0</v>
      </c>
      <c r="AG104" s="1">
        <f t="shared" si="52"/>
        <v>0</v>
      </c>
      <c r="AH104" s="1">
        <f t="shared" si="53"/>
        <v>0</v>
      </c>
      <c r="AI104" s="1">
        <f t="shared" si="54"/>
        <v>1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6" t="s">
        <v>806</v>
      </c>
      <c r="E105" s="32" t="s">
        <v>175</v>
      </c>
      <c r="F105" s="36" t="s">
        <v>910</v>
      </c>
      <c r="G105" s="36" t="s">
        <v>39</v>
      </c>
      <c r="H105" s="36" t="s">
        <v>370</v>
      </c>
      <c r="I105" s="37" t="s">
        <v>807</v>
      </c>
      <c r="J105" s="31">
        <v>16</v>
      </c>
      <c r="K105" s="33" t="s">
        <v>938</v>
      </c>
      <c r="L105" s="33" t="s">
        <v>679</v>
      </c>
      <c r="M105" s="34" t="s">
        <v>951</v>
      </c>
      <c r="N105" s="34" t="s">
        <v>1693</v>
      </c>
      <c r="O105" s="35">
        <v>1</v>
      </c>
      <c r="P105" s="35">
        <v>1</v>
      </c>
      <c r="Q105" s="36"/>
      <c r="S105" s="1">
        <f t="shared" si="39"/>
        <v>0</v>
      </c>
      <c r="T105" s="1">
        <f t="shared" si="40"/>
        <v>0</v>
      </c>
      <c r="U105" s="1">
        <f t="shared" si="41"/>
        <v>0</v>
      </c>
      <c r="V105" s="1">
        <f t="shared" si="42"/>
        <v>0</v>
      </c>
      <c r="W105" s="1">
        <f t="shared" si="43"/>
        <v>0</v>
      </c>
      <c r="X105" s="1">
        <f t="shared" si="44"/>
        <v>0</v>
      </c>
      <c r="Y105" s="1">
        <f t="shared" si="45"/>
        <v>0</v>
      </c>
      <c r="Z105" s="1">
        <f t="shared" si="46"/>
        <v>0</v>
      </c>
      <c r="AA105" s="1">
        <f t="shared" si="47"/>
        <v>0</v>
      </c>
      <c r="AB105" s="1">
        <f t="shared" si="48"/>
        <v>0</v>
      </c>
      <c r="AD105" s="1">
        <f t="shared" si="49"/>
        <v>1</v>
      </c>
      <c r="AE105" s="1">
        <f t="shared" si="50"/>
        <v>0</v>
      </c>
      <c r="AF105" s="1">
        <f t="shared" si="51"/>
        <v>1</v>
      </c>
      <c r="AG105" s="1">
        <f t="shared" si="52"/>
        <v>0</v>
      </c>
      <c r="AH105" s="1">
        <f t="shared" si="53"/>
        <v>1</v>
      </c>
      <c r="AI105" s="1">
        <f t="shared" si="54"/>
        <v>0</v>
      </c>
    </row>
    <row r="106" spans="1:35" ht="14.25" customHeight="1" x14ac:dyDescent="0.25">
      <c r="A106" s="31">
        <v>0</v>
      </c>
      <c r="B106" s="31">
        <v>1</v>
      </c>
      <c r="C106" s="31">
        <v>3</v>
      </c>
      <c r="D106" s="32" t="s">
        <v>103</v>
      </c>
      <c r="E106" s="32" t="s">
        <v>169</v>
      </c>
      <c r="F106" s="32" t="s">
        <v>301</v>
      </c>
      <c r="G106" s="32" t="s">
        <v>39</v>
      </c>
      <c r="H106" s="32" t="s">
        <v>355</v>
      </c>
      <c r="I106" s="31" t="s">
        <v>448</v>
      </c>
      <c r="J106" s="31">
        <v>18</v>
      </c>
      <c r="K106" s="33" t="s">
        <v>693</v>
      </c>
      <c r="L106" s="33" t="s">
        <v>679</v>
      </c>
      <c r="M106" s="34" t="s">
        <v>682</v>
      </c>
      <c r="N106" s="34" t="s">
        <v>1705</v>
      </c>
      <c r="O106" s="35">
        <v>1</v>
      </c>
      <c r="P106" s="35"/>
      <c r="Q106" s="32"/>
      <c r="S106" s="1">
        <f t="shared" si="39"/>
        <v>0</v>
      </c>
      <c r="T106" s="1">
        <f t="shared" si="40"/>
        <v>0</v>
      </c>
      <c r="U106" s="1">
        <f t="shared" si="41"/>
        <v>0</v>
      </c>
      <c r="V106" s="1">
        <f t="shared" si="42"/>
        <v>0</v>
      </c>
      <c r="W106" s="1">
        <f t="shared" si="43"/>
        <v>0</v>
      </c>
      <c r="X106" s="1">
        <f t="shared" si="44"/>
        <v>0</v>
      </c>
      <c r="Y106" s="1">
        <f t="shared" si="45"/>
        <v>0</v>
      </c>
      <c r="Z106" s="1">
        <f t="shared" si="46"/>
        <v>0</v>
      </c>
      <c r="AA106" s="1">
        <f t="shared" si="47"/>
        <v>0</v>
      </c>
      <c r="AB106" s="1">
        <f t="shared" si="48"/>
        <v>0</v>
      </c>
      <c r="AD106" s="1">
        <f t="shared" si="49"/>
        <v>0</v>
      </c>
      <c r="AE106" s="1">
        <f t="shared" si="50"/>
        <v>1</v>
      </c>
      <c r="AF106" s="1">
        <f t="shared" si="51"/>
        <v>0</v>
      </c>
      <c r="AG106" s="1">
        <f t="shared" si="52"/>
        <v>1</v>
      </c>
      <c r="AH106" s="1">
        <f t="shared" si="53"/>
        <v>0</v>
      </c>
      <c r="AI106" s="1">
        <f t="shared" si="54"/>
        <v>1</v>
      </c>
    </row>
    <row r="107" spans="1:35" ht="14.25" customHeight="1" x14ac:dyDescent="0.25">
      <c r="A107" s="44">
        <v>0</v>
      </c>
      <c r="B107" s="44">
        <v>1</v>
      </c>
      <c r="C107" s="44">
        <v>3</v>
      </c>
      <c r="D107" s="45" t="s">
        <v>512</v>
      </c>
      <c r="E107" s="45" t="s">
        <v>169</v>
      </c>
      <c r="F107" s="45" t="s">
        <v>513</v>
      </c>
      <c r="G107" s="45" t="s">
        <v>500</v>
      </c>
      <c r="H107" s="45" t="s">
        <v>352</v>
      </c>
      <c r="I107" s="44" t="s">
        <v>514</v>
      </c>
      <c r="J107" s="44">
        <v>99</v>
      </c>
      <c r="K107" s="46" t="s">
        <v>937</v>
      </c>
      <c r="L107" s="46" t="s">
        <v>685</v>
      </c>
      <c r="M107" s="47" t="s">
        <v>682</v>
      </c>
      <c r="N107" s="47" t="s">
        <v>1703</v>
      </c>
      <c r="O107" s="48"/>
      <c r="P107" s="48"/>
      <c r="Q107" s="45"/>
      <c r="S107" s="1">
        <f t="shared" si="39"/>
        <v>0</v>
      </c>
      <c r="T107" s="1">
        <f t="shared" si="40"/>
        <v>0</v>
      </c>
      <c r="U107" s="1">
        <f t="shared" si="41"/>
        <v>0</v>
      </c>
      <c r="V107" s="1">
        <f t="shared" si="42"/>
        <v>0</v>
      </c>
      <c r="W107" s="1">
        <f t="shared" si="43"/>
        <v>0</v>
      </c>
      <c r="X107" s="1">
        <f t="shared" si="44"/>
        <v>0</v>
      </c>
      <c r="Y107" s="1">
        <f t="shared" si="45"/>
        <v>0</v>
      </c>
      <c r="Z107" s="1">
        <f t="shared" si="46"/>
        <v>0</v>
      </c>
      <c r="AA107" s="1">
        <f t="shared" si="47"/>
        <v>0</v>
      </c>
      <c r="AB107" s="1">
        <f t="shared" si="48"/>
        <v>0</v>
      </c>
      <c r="AD107" s="1">
        <f t="shared" si="49"/>
        <v>0</v>
      </c>
      <c r="AE107" s="1">
        <f t="shared" si="50"/>
        <v>0</v>
      </c>
      <c r="AF107" s="1">
        <f t="shared" si="51"/>
        <v>0</v>
      </c>
      <c r="AG107" s="1">
        <f t="shared" si="52"/>
        <v>0</v>
      </c>
      <c r="AH107" s="1">
        <f t="shared" si="53"/>
        <v>0</v>
      </c>
      <c r="AI107" s="1">
        <f t="shared" si="54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6" t="s">
        <v>2127</v>
      </c>
      <c r="E108" s="32" t="s">
        <v>602</v>
      </c>
      <c r="F108" s="32" t="s">
        <v>738</v>
      </c>
      <c r="G108" s="32" t="s">
        <v>39</v>
      </c>
      <c r="H108" s="32" t="s">
        <v>739</v>
      </c>
      <c r="I108" s="31" t="s">
        <v>740</v>
      </c>
      <c r="J108" s="31">
        <v>18</v>
      </c>
      <c r="K108" s="33" t="s">
        <v>694</v>
      </c>
      <c r="L108" s="33" t="s">
        <v>688</v>
      </c>
      <c r="M108" s="34" t="s">
        <v>682</v>
      </c>
      <c r="N108" s="34" t="s">
        <v>1809</v>
      </c>
      <c r="O108" s="35">
        <v>1</v>
      </c>
      <c r="P108" s="35"/>
      <c r="Q108" s="36"/>
      <c r="S108" s="1">
        <f t="shared" si="39"/>
        <v>0</v>
      </c>
      <c r="T108" s="1">
        <f t="shared" si="40"/>
        <v>0</v>
      </c>
      <c r="U108" s="1">
        <f t="shared" si="41"/>
        <v>0</v>
      </c>
      <c r="V108" s="1">
        <f t="shared" si="42"/>
        <v>0</v>
      </c>
      <c r="W108" s="1">
        <f t="shared" si="43"/>
        <v>0</v>
      </c>
      <c r="X108" s="1">
        <f t="shared" si="44"/>
        <v>0</v>
      </c>
      <c r="Y108" s="1">
        <f t="shared" si="45"/>
        <v>0</v>
      </c>
      <c r="Z108" s="1">
        <f t="shared" si="46"/>
        <v>0</v>
      </c>
      <c r="AA108" s="1">
        <f t="shared" si="47"/>
        <v>0</v>
      </c>
      <c r="AB108" s="1">
        <f t="shared" si="48"/>
        <v>0</v>
      </c>
      <c r="AD108" s="1">
        <f t="shared" si="49"/>
        <v>0</v>
      </c>
      <c r="AE108" s="1">
        <f t="shared" si="50"/>
        <v>1</v>
      </c>
      <c r="AF108" s="1">
        <f t="shared" si="51"/>
        <v>0</v>
      </c>
      <c r="AG108" s="1">
        <f t="shared" si="52"/>
        <v>1</v>
      </c>
      <c r="AH108" s="1">
        <f t="shared" si="53"/>
        <v>0</v>
      </c>
      <c r="AI108" s="1">
        <f t="shared" si="54"/>
        <v>1</v>
      </c>
    </row>
    <row r="109" spans="1:35" ht="14.25" customHeight="1" x14ac:dyDescent="0.25">
      <c r="A109" s="44">
        <v>0</v>
      </c>
      <c r="B109" s="44">
        <v>1</v>
      </c>
      <c r="C109" s="44">
        <v>3</v>
      </c>
      <c r="D109" s="45" t="s">
        <v>2112</v>
      </c>
      <c r="E109" s="45" t="s">
        <v>169</v>
      </c>
      <c r="F109" s="45" t="s">
        <v>2111</v>
      </c>
      <c r="G109" s="45"/>
      <c r="H109" s="45" t="s">
        <v>352</v>
      </c>
      <c r="I109" s="44" t="s">
        <v>2113</v>
      </c>
      <c r="J109" s="44">
        <v>99</v>
      </c>
      <c r="K109" s="46" t="s">
        <v>694</v>
      </c>
      <c r="L109" s="46"/>
      <c r="M109" s="47"/>
      <c r="N109" s="47" t="s">
        <v>1762</v>
      </c>
      <c r="O109" s="48"/>
      <c r="P109" s="48"/>
      <c r="Q109" s="45" t="s">
        <v>2114</v>
      </c>
      <c r="S109" s="1">
        <f t="shared" si="39"/>
        <v>0</v>
      </c>
      <c r="T109" s="1">
        <f t="shared" si="40"/>
        <v>0</v>
      </c>
      <c r="U109" s="1">
        <f t="shared" si="41"/>
        <v>0</v>
      </c>
      <c r="V109" s="1">
        <f t="shared" si="42"/>
        <v>0</v>
      </c>
      <c r="W109" s="1">
        <f t="shared" si="43"/>
        <v>0</v>
      </c>
      <c r="X109" s="1">
        <f t="shared" si="44"/>
        <v>0</v>
      </c>
      <c r="Y109" s="1">
        <f t="shared" si="45"/>
        <v>0</v>
      </c>
      <c r="Z109" s="1">
        <f t="shared" si="46"/>
        <v>0</v>
      </c>
      <c r="AA109" s="1">
        <f t="shared" si="47"/>
        <v>0</v>
      </c>
      <c r="AB109" s="1">
        <f t="shared" si="48"/>
        <v>0</v>
      </c>
      <c r="AD109" s="1">
        <f t="shared" si="49"/>
        <v>0</v>
      </c>
      <c r="AE109" s="1">
        <f t="shared" si="50"/>
        <v>0</v>
      </c>
      <c r="AF109" s="1">
        <f t="shared" si="51"/>
        <v>0</v>
      </c>
      <c r="AG109" s="1">
        <f t="shared" si="52"/>
        <v>0</v>
      </c>
      <c r="AH109" s="1">
        <f t="shared" si="53"/>
        <v>0</v>
      </c>
      <c r="AI109" s="1">
        <f t="shared" si="54"/>
        <v>1</v>
      </c>
    </row>
    <row r="110" spans="1:35" ht="14.25" customHeight="1" x14ac:dyDescent="0.25">
      <c r="A110" s="15">
        <v>0</v>
      </c>
      <c r="B110" s="15">
        <v>1</v>
      </c>
      <c r="C110" s="15">
        <v>3</v>
      </c>
      <c r="D110" s="16" t="s">
        <v>1612</v>
      </c>
      <c r="E110" s="16" t="s">
        <v>1068</v>
      </c>
      <c r="F110" s="16" t="s">
        <v>1194</v>
      </c>
      <c r="G110" s="16" t="s">
        <v>39</v>
      </c>
      <c r="H110" s="16" t="s">
        <v>1195</v>
      </c>
      <c r="I110" s="15" t="s">
        <v>1196</v>
      </c>
      <c r="J110" s="15">
        <v>18</v>
      </c>
      <c r="K110" s="10" t="s">
        <v>939</v>
      </c>
      <c r="L110" s="10" t="s">
        <v>679</v>
      </c>
      <c r="M110" s="19" t="s">
        <v>951</v>
      </c>
      <c r="N110" s="17"/>
      <c r="Q110" s="16" t="s">
        <v>1843</v>
      </c>
      <c r="S110" s="1">
        <f t="shared" si="39"/>
        <v>0</v>
      </c>
      <c r="T110" s="1">
        <f t="shared" si="40"/>
        <v>0</v>
      </c>
      <c r="U110" s="1">
        <f t="shared" si="41"/>
        <v>0</v>
      </c>
      <c r="V110" s="1">
        <f t="shared" si="42"/>
        <v>0</v>
      </c>
      <c r="W110" s="1">
        <f t="shared" si="43"/>
        <v>0</v>
      </c>
      <c r="X110" s="1">
        <f t="shared" si="44"/>
        <v>0</v>
      </c>
      <c r="Y110" s="1">
        <f t="shared" si="45"/>
        <v>0</v>
      </c>
      <c r="Z110" s="1">
        <f t="shared" si="46"/>
        <v>0</v>
      </c>
      <c r="AA110" s="1">
        <f t="shared" si="47"/>
        <v>0</v>
      </c>
      <c r="AB110" s="1">
        <f t="shared" si="48"/>
        <v>0</v>
      </c>
      <c r="AD110" s="1">
        <f t="shared" si="49"/>
        <v>0</v>
      </c>
      <c r="AE110" s="1">
        <f t="shared" si="50"/>
        <v>0</v>
      </c>
      <c r="AF110" s="1">
        <f t="shared" si="51"/>
        <v>0</v>
      </c>
      <c r="AG110" s="1">
        <f t="shared" si="52"/>
        <v>0</v>
      </c>
      <c r="AH110" s="1">
        <f t="shared" si="53"/>
        <v>0</v>
      </c>
      <c r="AI110" s="1">
        <f t="shared" si="54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1525</v>
      </c>
      <c r="E111" s="32" t="s">
        <v>169</v>
      </c>
      <c r="F111" s="32" t="s">
        <v>1643</v>
      </c>
      <c r="G111" s="32" t="s">
        <v>39</v>
      </c>
      <c r="H111" s="32" t="s">
        <v>355</v>
      </c>
      <c r="I111" s="31" t="s">
        <v>1526</v>
      </c>
      <c r="J111" s="31">
        <v>18</v>
      </c>
      <c r="K111" s="33" t="s">
        <v>713</v>
      </c>
      <c r="L111" s="33" t="s">
        <v>679</v>
      </c>
      <c r="M111" s="34" t="s">
        <v>682</v>
      </c>
      <c r="N111" s="34" t="s">
        <v>1705</v>
      </c>
      <c r="O111" s="35">
        <v>1</v>
      </c>
      <c r="P111" s="35"/>
      <c r="Q111" s="32"/>
      <c r="S111" s="1">
        <f t="shared" si="39"/>
        <v>0</v>
      </c>
      <c r="T111" s="1">
        <f t="shared" si="40"/>
        <v>0</v>
      </c>
      <c r="U111" s="1">
        <f t="shared" si="41"/>
        <v>0</v>
      </c>
      <c r="V111" s="1">
        <f t="shared" si="42"/>
        <v>0</v>
      </c>
      <c r="W111" s="1">
        <f t="shared" si="43"/>
        <v>0</v>
      </c>
      <c r="X111" s="1">
        <f t="shared" si="44"/>
        <v>0</v>
      </c>
      <c r="Y111" s="1">
        <f t="shared" si="45"/>
        <v>0</v>
      </c>
      <c r="Z111" s="1">
        <f t="shared" si="46"/>
        <v>0</v>
      </c>
      <c r="AA111" s="1">
        <f t="shared" si="47"/>
        <v>0</v>
      </c>
      <c r="AB111" s="1">
        <f t="shared" si="48"/>
        <v>0</v>
      </c>
      <c r="AD111" s="1">
        <f t="shared" si="49"/>
        <v>0</v>
      </c>
      <c r="AE111" s="1">
        <f t="shared" si="50"/>
        <v>1</v>
      </c>
      <c r="AF111" s="1">
        <f t="shared" si="51"/>
        <v>0</v>
      </c>
      <c r="AG111" s="1">
        <f t="shared" si="52"/>
        <v>1</v>
      </c>
      <c r="AH111" s="1">
        <f t="shared" si="53"/>
        <v>0</v>
      </c>
      <c r="AI111" s="1">
        <f t="shared" si="54"/>
        <v>1</v>
      </c>
    </row>
    <row r="112" spans="1:35" ht="14.25" customHeight="1" x14ac:dyDescent="0.25">
      <c r="A112" s="31">
        <v>0</v>
      </c>
      <c r="B112" s="31">
        <v>1</v>
      </c>
      <c r="C112" s="31">
        <v>3</v>
      </c>
      <c r="D112" s="32" t="s">
        <v>1293</v>
      </c>
      <c r="E112" s="32" t="s">
        <v>174</v>
      </c>
      <c r="F112" s="32" t="s">
        <v>1314</v>
      </c>
      <c r="G112" s="32" t="s">
        <v>39</v>
      </c>
      <c r="H112" s="32" t="s">
        <v>352</v>
      </c>
      <c r="I112" s="31" t="s">
        <v>1114</v>
      </c>
      <c r="J112" s="31">
        <v>99</v>
      </c>
      <c r="K112" s="33" t="s">
        <v>693</v>
      </c>
      <c r="L112" s="33" t="s">
        <v>1665</v>
      </c>
      <c r="M112" s="34" t="s">
        <v>1363</v>
      </c>
      <c r="N112" s="34" t="s">
        <v>1710</v>
      </c>
      <c r="O112" s="35">
        <v>1</v>
      </c>
      <c r="P112" s="35"/>
      <c r="Q112" s="32"/>
      <c r="S112" s="1">
        <f t="shared" si="39"/>
        <v>0</v>
      </c>
      <c r="T112" s="1">
        <f t="shared" si="40"/>
        <v>0</v>
      </c>
      <c r="U112" s="1">
        <f t="shared" si="41"/>
        <v>0</v>
      </c>
      <c r="V112" s="1">
        <f t="shared" si="42"/>
        <v>0</v>
      </c>
      <c r="W112" s="1">
        <f t="shared" si="43"/>
        <v>0</v>
      </c>
      <c r="X112" s="1">
        <f t="shared" si="44"/>
        <v>0</v>
      </c>
      <c r="Y112" s="1">
        <f t="shared" si="45"/>
        <v>0</v>
      </c>
      <c r="Z112" s="1">
        <f t="shared" si="46"/>
        <v>0</v>
      </c>
      <c r="AA112" s="1">
        <f t="shared" si="47"/>
        <v>0</v>
      </c>
      <c r="AB112" s="1">
        <f t="shared" si="48"/>
        <v>0</v>
      </c>
      <c r="AD112" s="1">
        <f t="shared" si="49"/>
        <v>0</v>
      </c>
      <c r="AE112" s="1">
        <f t="shared" si="50"/>
        <v>1</v>
      </c>
      <c r="AF112" s="1">
        <f t="shared" si="51"/>
        <v>0</v>
      </c>
      <c r="AG112" s="1">
        <f t="shared" si="52"/>
        <v>1</v>
      </c>
      <c r="AH112" s="1">
        <f t="shared" si="53"/>
        <v>0</v>
      </c>
      <c r="AI112" s="1">
        <f t="shared" si="54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1237</v>
      </c>
      <c r="E113" s="32" t="s">
        <v>169</v>
      </c>
      <c r="F113" s="32" t="s">
        <v>1315</v>
      </c>
      <c r="G113" s="32" t="s">
        <v>1169</v>
      </c>
      <c r="H113" s="32" t="s">
        <v>352</v>
      </c>
      <c r="I113" s="31" t="s">
        <v>1170</v>
      </c>
      <c r="J113" s="31">
        <v>99</v>
      </c>
      <c r="K113" s="33" t="s">
        <v>713</v>
      </c>
      <c r="L113" s="33">
        <v>50</v>
      </c>
      <c r="M113" s="34" t="s">
        <v>39</v>
      </c>
      <c r="N113" s="34" t="s">
        <v>1761</v>
      </c>
      <c r="O113" s="35">
        <v>1</v>
      </c>
      <c r="P113" s="35"/>
      <c r="Q113" s="32"/>
      <c r="S113" s="1">
        <f t="shared" si="39"/>
        <v>0</v>
      </c>
      <c r="T113" s="1">
        <f t="shared" si="40"/>
        <v>0</v>
      </c>
      <c r="U113" s="1">
        <f t="shared" si="41"/>
        <v>0</v>
      </c>
      <c r="V113" s="1">
        <f t="shared" si="42"/>
        <v>0</v>
      </c>
      <c r="W113" s="1">
        <f t="shared" si="43"/>
        <v>0</v>
      </c>
      <c r="X113" s="1">
        <f t="shared" si="44"/>
        <v>0</v>
      </c>
      <c r="Y113" s="1">
        <f t="shared" si="45"/>
        <v>0</v>
      </c>
      <c r="Z113" s="1">
        <f t="shared" si="46"/>
        <v>0</v>
      </c>
      <c r="AA113" s="1">
        <f t="shared" si="47"/>
        <v>0</v>
      </c>
      <c r="AB113" s="1">
        <f t="shared" si="48"/>
        <v>0</v>
      </c>
      <c r="AD113" s="1">
        <f t="shared" si="49"/>
        <v>0</v>
      </c>
      <c r="AE113" s="1">
        <f t="shared" si="50"/>
        <v>1</v>
      </c>
      <c r="AF113" s="1">
        <f t="shared" si="51"/>
        <v>0</v>
      </c>
      <c r="AG113" s="1">
        <f t="shared" si="52"/>
        <v>1</v>
      </c>
      <c r="AH113" s="1">
        <f t="shared" si="53"/>
        <v>0</v>
      </c>
      <c r="AI113" s="1">
        <f t="shared" si="54"/>
        <v>1</v>
      </c>
    </row>
    <row r="114" spans="1:35" ht="14.25" customHeight="1" x14ac:dyDescent="0.25">
      <c r="A114" s="31">
        <v>0</v>
      </c>
      <c r="B114" s="31">
        <v>1</v>
      </c>
      <c r="C114" s="31">
        <v>3</v>
      </c>
      <c r="D114" s="32" t="s">
        <v>1000</v>
      </c>
      <c r="E114" s="32" t="s">
        <v>602</v>
      </c>
      <c r="F114" s="32" t="s">
        <v>1001</v>
      </c>
      <c r="G114" s="32" t="s">
        <v>1002</v>
      </c>
      <c r="H114" s="32" t="s">
        <v>352</v>
      </c>
      <c r="I114" s="31" t="s">
        <v>1003</v>
      </c>
      <c r="J114" s="31">
        <v>99</v>
      </c>
      <c r="K114" s="33" t="s">
        <v>937</v>
      </c>
      <c r="L114" s="33" t="s">
        <v>39</v>
      </c>
      <c r="M114" s="34" t="s">
        <v>39</v>
      </c>
      <c r="N114" s="34" t="s">
        <v>1699</v>
      </c>
      <c r="O114" s="35">
        <v>1</v>
      </c>
      <c r="P114" s="35">
        <v>1</v>
      </c>
      <c r="Q114" s="32"/>
      <c r="S114" s="1">
        <f t="shared" si="39"/>
        <v>0</v>
      </c>
      <c r="T114" s="1">
        <f t="shared" si="40"/>
        <v>0</v>
      </c>
      <c r="U114" s="1">
        <f t="shared" si="41"/>
        <v>0</v>
      </c>
      <c r="V114" s="1">
        <f t="shared" si="42"/>
        <v>0</v>
      </c>
      <c r="W114" s="1">
        <f t="shared" si="43"/>
        <v>0</v>
      </c>
      <c r="X114" s="1">
        <f t="shared" si="44"/>
        <v>0</v>
      </c>
      <c r="Y114" s="1">
        <f t="shared" si="45"/>
        <v>0</v>
      </c>
      <c r="Z114" s="1">
        <f t="shared" si="46"/>
        <v>0</v>
      </c>
      <c r="AA114" s="1">
        <f t="shared" si="47"/>
        <v>0</v>
      </c>
      <c r="AB114" s="1">
        <f t="shared" si="48"/>
        <v>0</v>
      </c>
      <c r="AD114" s="1">
        <f t="shared" si="49"/>
        <v>1</v>
      </c>
      <c r="AE114" s="1">
        <f t="shared" si="50"/>
        <v>0</v>
      </c>
      <c r="AF114" s="1">
        <f t="shared" si="51"/>
        <v>1</v>
      </c>
      <c r="AG114" s="1">
        <f t="shared" si="52"/>
        <v>0</v>
      </c>
      <c r="AH114" s="1">
        <f t="shared" si="53"/>
        <v>1</v>
      </c>
      <c r="AI114" s="1">
        <f t="shared" si="54"/>
        <v>0</v>
      </c>
    </row>
    <row r="115" spans="1:35" s="1" customFormat="1" ht="14.25" customHeight="1" x14ac:dyDescent="0.25">
      <c r="A115" s="44">
        <v>0</v>
      </c>
      <c r="B115" s="44">
        <v>1</v>
      </c>
      <c r="C115" s="44">
        <v>3</v>
      </c>
      <c r="D115" s="45" t="s">
        <v>2075</v>
      </c>
      <c r="E115" s="45" t="s">
        <v>171</v>
      </c>
      <c r="F115" s="57" t="s">
        <v>2076</v>
      </c>
      <c r="G115" s="45"/>
      <c r="H115" s="45" t="s">
        <v>2077</v>
      </c>
      <c r="I115" s="44" t="s">
        <v>2078</v>
      </c>
      <c r="J115" s="44">
        <v>12</v>
      </c>
      <c r="K115" s="46" t="s">
        <v>694</v>
      </c>
      <c r="L115" s="46">
        <v>45</v>
      </c>
      <c r="M115" s="47" t="s">
        <v>1364</v>
      </c>
      <c r="N115" s="47" t="s">
        <v>1769</v>
      </c>
      <c r="O115" s="48"/>
      <c r="P115" s="48"/>
      <c r="Q115" s="57" t="s">
        <v>2079</v>
      </c>
      <c r="S115" s="1">
        <f t="shared" si="39"/>
        <v>0</v>
      </c>
      <c r="T115" s="1">
        <f t="shared" si="40"/>
        <v>0</v>
      </c>
      <c r="U115" s="1">
        <f t="shared" si="41"/>
        <v>0</v>
      </c>
      <c r="V115" s="1">
        <f t="shared" si="42"/>
        <v>0</v>
      </c>
      <c r="W115" s="1">
        <f t="shared" si="43"/>
        <v>0</v>
      </c>
      <c r="X115" s="1">
        <f t="shared" si="44"/>
        <v>0</v>
      </c>
      <c r="Y115" s="1">
        <f t="shared" si="45"/>
        <v>0</v>
      </c>
      <c r="Z115" s="1">
        <f t="shared" si="46"/>
        <v>0</v>
      </c>
      <c r="AA115" s="1">
        <f t="shared" si="47"/>
        <v>0</v>
      </c>
      <c r="AB115" s="1">
        <f t="shared" si="48"/>
        <v>0</v>
      </c>
      <c r="AD115" s="1">
        <f t="shared" si="49"/>
        <v>0</v>
      </c>
      <c r="AE115" s="1">
        <f t="shared" si="50"/>
        <v>0</v>
      </c>
      <c r="AF115" s="1">
        <f t="shared" si="51"/>
        <v>0</v>
      </c>
      <c r="AG115" s="1">
        <f t="shared" si="52"/>
        <v>0</v>
      </c>
      <c r="AH115" s="1">
        <f t="shared" si="53"/>
        <v>0</v>
      </c>
      <c r="AI115" s="1">
        <f t="shared" si="54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140</v>
      </c>
      <c r="E116" s="32" t="s">
        <v>174</v>
      </c>
      <c r="F116" s="32" t="s">
        <v>340</v>
      </c>
      <c r="G116" s="32" t="s">
        <v>39</v>
      </c>
      <c r="H116" s="32" t="s">
        <v>374</v>
      </c>
      <c r="I116" s="31" t="s">
        <v>486</v>
      </c>
      <c r="J116" s="31">
        <v>16</v>
      </c>
      <c r="K116" s="33" t="s">
        <v>693</v>
      </c>
      <c r="L116" s="33" t="s">
        <v>679</v>
      </c>
      <c r="M116" s="34" t="s">
        <v>1364</v>
      </c>
      <c r="N116" s="34" t="s">
        <v>1709</v>
      </c>
      <c r="O116" s="35">
        <v>1</v>
      </c>
      <c r="P116" s="35"/>
      <c r="Q116" s="32"/>
      <c r="S116" s="1">
        <f t="shared" si="39"/>
        <v>0</v>
      </c>
      <c r="T116" s="1">
        <f t="shared" si="40"/>
        <v>0</v>
      </c>
      <c r="U116" s="1">
        <f t="shared" si="41"/>
        <v>0</v>
      </c>
      <c r="V116" s="1">
        <f t="shared" si="42"/>
        <v>0</v>
      </c>
      <c r="W116" s="1">
        <f t="shared" si="43"/>
        <v>0</v>
      </c>
      <c r="X116" s="1">
        <f t="shared" si="44"/>
        <v>0</v>
      </c>
      <c r="Y116" s="1">
        <f t="shared" si="45"/>
        <v>0</v>
      </c>
      <c r="Z116" s="1">
        <f t="shared" si="46"/>
        <v>0</v>
      </c>
      <c r="AA116" s="1">
        <f t="shared" si="47"/>
        <v>0</v>
      </c>
      <c r="AB116" s="1">
        <f t="shared" si="48"/>
        <v>0</v>
      </c>
      <c r="AD116" s="1">
        <f t="shared" si="49"/>
        <v>0</v>
      </c>
      <c r="AE116" s="1">
        <f t="shared" si="50"/>
        <v>1</v>
      </c>
      <c r="AF116" s="1">
        <f t="shared" si="51"/>
        <v>0</v>
      </c>
      <c r="AG116" s="1">
        <f t="shared" si="52"/>
        <v>1</v>
      </c>
      <c r="AH116" s="1">
        <f t="shared" si="53"/>
        <v>0</v>
      </c>
      <c r="AI116" s="1">
        <f t="shared" si="54"/>
        <v>1</v>
      </c>
    </row>
    <row r="117" spans="1:35" ht="14.25" customHeight="1" x14ac:dyDescent="0.25">
      <c r="A117" s="31">
        <v>0</v>
      </c>
      <c r="B117" s="31">
        <v>1</v>
      </c>
      <c r="C117" s="31">
        <v>3</v>
      </c>
      <c r="D117" s="32" t="s">
        <v>802</v>
      </c>
      <c r="E117" s="32" t="s">
        <v>171</v>
      </c>
      <c r="F117" s="32" t="s">
        <v>803</v>
      </c>
      <c r="G117" s="32" t="s">
        <v>39</v>
      </c>
      <c r="H117" s="32" t="s">
        <v>804</v>
      </c>
      <c r="I117" s="31" t="s">
        <v>805</v>
      </c>
      <c r="J117" s="31">
        <v>16</v>
      </c>
      <c r="K117" s="33" t="s">
        <v>693</v>
      </c>
      <c r="L117" s="33" t="s">
        <v>679</v>
      </c>
      <c r="M117" s="34" t="s">
        <v>1364</v>
      </c>
      <c r="N117" s="34" t="s">
        <v>1693</v>
      </c>
      <c r="O117" s="35">
        <v>1</v>
      </c>
      <c r="P117" s="35">
        <v>1</v>
      </c>
      <c r="Q117" s="32"/>
      <c r="S117" s="1">
        <f t="shared" si="39"/>
        <v>0</v>
      </c>
      <c r="T117" s="1">
        <f t="shared" si="40"/>
        <v>0</v>
      </c>
      <c r="U117" s="1">
        <f t="shared" si="41"/>
        <v>0</v>
      </c>
      <c r="V117" s="1">
        <f t="shared" si="42"/>
        <v>0</v>
      </c>
      <c r="W117" s="1">
        <f t="shared" si="43"/>
        <v>0</v>
      </c>
      <c r="X117" s="1">
        <f t="shared" si="44"/>
        <v>0</v>
      </c>
      <c r="Y117" s="1">
        <f t="shared" si="45"/>
        <v>0</v>
      </c>
      <c r="Z117" s="1">
        <f t="shared" si="46"/>
        <v>0</v>
      </c>
      <c r="AA117" s="1">
        <f t="shared" si="47"/>
        <v>0</v>
      </c>
      <c r="AB117" s="1">
        <f t="shared" si="48"/>
        <v>0</v>
      </c>
      <c r="AD117" s="1">
        <f t="shared" si="49"/>
        <v>1</v>
      </c>
      <c r="AE117" s="1">
        <f t="shared" si="50"/>
        <v>0</v>
      </c>
      <c r="AF117" s="1">
        <f t="shared" si="51"/>
        <v>1</v>
      </c>
      <c r="AG117" s="1">
        <f t="shared" si="52"/>
        <v>0</v>
      </c>
      <c r="AH117" s="1">
        <f t="shared" si="53"/>
        <v>1</v>
      </c>
      <c r="AI117" s="1">
        <f t="shared" si="54"/>
        <v>0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107</v>
      </c>
      <c r="E118" s="16" t="s">
        <v>169</v>
      </c>
      <c r="F118" s="16" t="s">
        <v>304</v>
      </c>
      <c r="G118" s="16" t="s">
        <v>39</v>
      </c>
      <c r="H118" s="16" t="s">
        <v>359</v>
      </c>
      <c r="I118" s="15" t="s">
        <v>452</v>
      </c>
      <c r="J118" s="15">
        <v>18</v>
      </c>
      <c r="K118" s="10" t="s">
        <v>694</v>
      </c>
      <c r="L118" s="10" t="s">
        <v>679</v>
      </c>
      <c r="M118" s="19" t="s">
        <v>682</v>
      </c>
      <c r="N118" s="17"/>
      <c r="Q118" s="20" t="s">
        <v>1842</v>
      </c>
      <c r="S118" s="1">
        <f t="shared" si="39"/>
        <v>0</v>
      </c>
      <c r="T118" s="1">
        <f t="shared" si="40"/>
        <v>0</v>
      </c>
      <c r="U118" s="1">
        <f t="shared" si="41"/>
        <v>0</v>
      </c>
      <c r="V118" s="1">
        <f t="shared" si="42"/>
        <v>0</v>
      </c>
      <c r="W118" s="1">
        <f t="shared" si="43"/>
        <v>0</v>
      </c>
      <c r="X118" s="1">
        <f t="shared" si="44"/>
        <v>0</v>
      </c>
      <c r="Y118" s="1">
        <f t="shared" si="45"/>
        <v>0</v>
      </c>
      <c r="Z118" s="1">
        <f t="shared" si="46"/>
        <v>0</v>
      </c>
      <c r="AA118" s="1">
        <f t="shared" si="47"/>
        <v>0</v>
      </c>
      <c r="AB118" s="1">
        <f t="shared" si="48"/>
        <v>0</v>
      </c>
      <c r="AD118" s="1">
        <f t="shared" si="49"/>
        <v>0</v>
      </c>
      <c r="AE118" s="1">
        <f t="shared" si="50"/>
        <v>0</v>
      </c>
      <c r="AF118" s="1">
        <f t="shared" si="51"/>
        <v>0</v>
      </c>
      <c r="AG118" s="1">
        <f t="shared" si="52"/>
        <v>0</v>
      </c>
      <c r="AH118" s="1">
        <f t="shared" si="53"/>
        <v>0</v>
      </c>
      <c r="AI118" s="1">
        <f t="shared" si="54"/>
        <v>1</v>
      </c>
    </row>
    <row r="119" spans="1:35" ht="14.25" customHeight="1" x14ac:dyDescent="0.25">
      <c r="A119" s="31">
        <v>0</v>
      </c>
      <c r="B119" s="31">
        <v>1</v>
      </c>
      <c r="C119" s="31">
        <v>3</v>
      </c>
      <c r="D119" s="32" t="s">
        <v>1474</v>
      </c>
      <c r="E119" s="32" t="s">
        <v>169</v>
      </c>
      <c r="F119" s="32" t="s">
        <v>1475</v>
      </c>
      <c r="G119" s="32" t="s">
        <v>39</v>
      </c>
      <c r="H119" s="32" t="s">
        <v>372</v>
      </c>
      <c r="I119" s="31" t="s">
        <v>1476</v>
      </c>
      <c r="J119" s="31">
        <v>11</v>
      </c>
      <c r="K119" s="33" t="s">
        <v>713</v>
      </c>
      <c r="L119" s="33">
        <v>50</v>
      </c>
      <c r="M119" s="34" t="s">
        <v>39</v>
      </c>
      <c r="N119" s="34" t="s">
        <v>1710</v>
      </c>
      <c r="O119" s="35">
        <v>1</v>
      </c>
      <c r="P119" s="35"/>
      <c r="Q119" s="32"/>
      <c r="S119" s="1">
        <f t="shared" si="39"/>
        <v>0</v>
      </c>
      <c r="T119" s="1">
        <f t="shared" si="40"/>
        <v>0</v>
      </c>
      <c r="U119" s="1">
        <f t="shared" si="41"/>
        <v>0</v>
      </c>
      <c r="V119" s="1">
        <f t="shared" si="42"/>
        <v>0</v>
      </c>
      <c r="W119" s="1">
        <f t="shared" si="43"/>
        <v>0</v>
      </c>
      <c r="X119" s="1">
        <f t="shared" si="44"/>
        <v>0</v>
      </c>
      <c r="Y119" s="1">
        <f t="shared" si="45"/>
        <v>0</v>
      </c>
      <c r="Z119" s="1">
        <f t="shared" si="46"/>
        <v>0</v>
      </c>
      <c r="AA119" s="1">
        <f t="shared" si="47"/>
        <v>0</v>
      </c>
      <c r="AB119" s="1">
        <f t="shared" si="48"/>
        <v>0</v>
      </c>
      <c r="AD119" s="1">
        <f t="shared" si="49"/>
        <v>0</v>
      </c>
      <c r="AE119" s="1">
        <f t="shared" si="50"/>
        <v>1</v>
      </c>
      <c r="AF119" s="1">
        <f t="shared" si="51"/>
        <v>0</v>
      </c>
      <c r="AG119" s="1">
        <f t="shared" si="52"/>
        <v>1</v>
      </c>
      <c r="AH119" s="1">
        <f t="shared" si="53"/>
        <v>0</v>
      </c>
      <c r="AI119" s="1">
        <f t="shared" si="54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106</v>
      </c>
      <c r="E120" s="32" t="s">
        <v>169</v>
      </c>
      <c r="F120" s="32" t="s">
        <v>303</v>
      </c>
      <c r="G120" s="32" t="s">
        <v>39</v>
      </c>
      <c r="H120" s="32" t="s">
        <v>358</v>
      </c>
      <c r="I120" s="31" t="s">
        <v>451</v>
      </c>
      <c r="J120" s="31">
        <v>18</v>
      </c>
      <c r="K120" s="33" t="s">
        <v>693</v>
      </c>
      <c r="L120" s="33">
        <v>55</v>
      </c>
      <c r="M120" s="34" t="s">
        <v>682</v>
      </c>
      <c r="N120" s="34" t="s">
        <v>1710</v>
      </c>
      <c r="O120" s="35">
        <v>1</v>
      </c>
      <c r="P120" s="35"/>
      <c r="Q120" s="32"/>
      <c r="S120" s="1">
        <f t="shared" si="39"/>
        <v>0</v>
      </c>
      <c r="T120" s="1">
        <f t="shared" si="40"/>
        <v>0</v>
      </c>
      <c r="U120" s="1">
        <f t="shared" si="41"/>
        <v>0</v>
      </c>
      <c r="V120" s="1">
        <f t="shared" si="42"/>
        <v>0</v>
      </c>
      <c r="W120" s="1">
        <f t="shared" si="43"/>
        <v>0</v>
      </c>
      <c r="X120" s="1">
        <f t="shared" si="44"/>
        <v>0</v>
      </c>
      <c r="Y120" s="1">
        <f t="shared" si="45"/>
        <v>0</v>
      </c>
      <c r="Z120" s="1">
        <f t="shared" si="46"/>
        <v>0</v>
      </c>
      <c r="AA120" s="1">
        <f t="shared" si="47"/>
        <v>0</v>
      </c>
      <c r="AB120" s="1">
        <f t="shared" si="48"/>
        <v>0</v>
      </c>
      <c r="AD120" s="1">
        <f t="shared" si="49"/>
        <v>0</v>
      </c>
      <c r="AE120" s="1">
        <f t="shared" si="50"/>
        <v>1</v>
      </c>
      <c r="AF120" s="1">
        <f t="shared" si="51"/>
        <v>0</v>
      </c>
      <c r="AG120" s="1">
        <f t="shared" si="52"/>
        <v>1</v>
      </c>
      <c r="AH120" s="1">
        <f t="shared" si="53"/>
        <v>0</v>
      </c>
      <c r="AI120" s="1">
        <f t="shared" si="54"/>
        <v>1</v>
      </c>
    </row>
    <row r="121" spans="1:35" ht="14.25" customHeight="1" x14ac:dyDescent="0.25">
      <c r="A121" s="31">
        <v>0</v>
      </c>
      <c r="B121" s="31">
        <v>1</v>
      </c>
      <c r="C121" s="31">
        <v>3</v>
      </c>
      <c r="D121" s="32" t="s">
        <v>127</v>
      </c>
      <c r="E121" s="32" t="s">
        <v>174</v>
      </c>
      <c r="F121" s="32" t="s">
        <v>327</v>
      </c>
      <c r="G121" s="32" t="s">
        <v>39</v>
      </c>
      <c r="H121" s="32" t="s">
        <v>373</v>
      </c>
      <c r="I121" s="31" t="s">
        <v>474</v>
      </c>
      <c r="J121" s="31">
        <v>12</v>
      </c>
      <c r="K121" s="33" t="s">
        <v>693</v>
      </c>
      <c r="L121" s="33">
        <v>35</v>
      </c>
      <c r="M121" s="34" t="s">
        <v>682</v>
      </c>
      <c r="N121" s="34" t="s">
        <v>1710</v>
      </c>
      <c r="O121" s="35">
        <v>1</v>
      </c>
      <c r="P121" s="35"/>
      <c r="Q121" s="32"/>
      <c r="S121" s="1">
        <f t="shared" si="39"/>
        <v>0</v>
      </c>
      <c r="T121" s="1">
        <f t="shared" si="40"/>
        <v>0</v>
      </c>
      <c r="U121" s="1">
        <f t="shared" si="41"/>
        <v>0</v>
      </c>
      <c r="V121" s="1">
        <f t="shared" si="42"/>
        <v>0</v>
      </c>
      <c r="W121" s="1">
        <f t="shared" si="43"/>
        <v>0</v>
      </c>
      <c r="X121" s="1">
        <f t="shared" si="44"/>
        <v>0</v>
      </c>
      <c r="Y121" s="1">
        <f t="shared" si="45"/>
        <v>0</v>
      </c>
      <c r="Z121" s="1">
        <f t="shared" si="46"/>
        <v>0</v>
      </c>
      <c r="AA121" s="1">
        <f t="shared" si="47"/>
        <v>0</v>
      </c>
      <c r="AB121" s="1">
        <f t="shared" si="48"/>
        <v>0</v>
      </c>
      <c r="AD121" s="1">
        <f t="shared" si="49"/>
        <v>0</v>
      </c>
      <c r="AE121" s="1">
        <f t="shared" si="50"/>
        <v>1</v>
      </c>
      <c r="AF121" s="1">
        <f t="shared" si="51"/>
        <v>0</v>
      </c>
      <c r="AG121" s="1">
        <f t="shared" si="52"/>
        <v>1</v>
      </c>
      <c r="AH121" s="1">
        <f t="shared" si="53"/>
        <v>0</v>
      </c>
      <c r="AI121" s="1">
        <f t="shared" si="54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16" t="s">
        <v>975</v>
      </c>
      <c r="E122" s="16" t="s">
        <v>169</v>
      </c>
      <c r="F122" s="16" t="s">
        <v>1074</v>
      </c>
      <c r="G122" s="16" t="s">
        <v>231</v>
      </c>
      <c r="H122" s="16" t="s">
        <v>352</v>
      </c>
      <c r="I122" s="15" t="s">
        <v>976</v>
      </c>
      <c r="J122" s="15">
        <v>99</v>
      </c>
      <c r="K122" s="10" t="s">
        <v>937</v>
      </c>
      <c r="L122" s="10">
        <v>40</v>
      </c>
      <c r="M122" s="19" t="s">
        <v>39</v>
      </c>
      <c r="N122" s="19"/>
      <c r="Q122" s="16"/>
      <c r="S122" s="1">
        <f t="shared" si="39"/>
        <v>0</v>
      </c>
      <c r="T122" s="1">
        <f t="shared" si="40"/>
        <v>0</v>
      </c>
      <c r="U122" s="1">
        <f t="shared" si="41"/>
        <v>0</v>
      </c>
      <c r="V122" s="1">
        <f t="shared" si="42"/>
        <v>0</v>
      </c>
      <c r="W122" s="1">
        <f t="shared" si="43"/>
        <v>0</v>
      </c>
      <c r="X122" s="1">
        <f t="shared" si="44"/>
        <v>0</v>
      </c>
      <c r="Y122" s="1">
        <f t="shared" si="45"/>
        <v>0</v>
      </c>
      <c r="Z122" s="1">
        <f t="shared" si="46"/>
        <v>0</v>
      </c>
      <c r="AA122" s="1">
        <f t="shared" si="47"/>
        <v>0</v>
      </c>
      <c r="AB122" s="1">
        <f t="shared" si="48"/>
        <v>0</v>
      </c>
      <c r="AD122" s="1">
        <f t="shared" si="49"/>
        <v>0</v>
      </c>
      <c r="AE122" s="1">
        <f t="shared" si="50"/>
        <v>0</v>
      </c>
      <c r="AF122" s="1">
        <f t="shared" si="51"/>
        <v>0</v>
      </c>
      <c r="AG122" s="1">
        <f t="shared" si="52"/>
        <v>0</v>
      </c>
      <c r="AH122" s="1">
        <f t="shared" si="53"/>
        <v>0</v>
      </c>
      <c r="AI122" s="1">
        <f t="shared" si="54"/>
        <v>1</v>
      </c>
    </row>
    <row r="123" spans="1:35" ht="14.25" customHeight="1" x14ac:dyDescent="0.25">
      <c r="A123" s="31">
        <v>0</v>
      </c>
      <c r="B123" s="31">
        <v>1</v>
      </c>
      <c r="C123" s="31">
        <v>3</v>
      </c>
      <c r="D123" s="32" t="s">
        <v>128</v>
      </c>
      <c r="E123" s="32" t="s">
        <v>169</v>
      </c>
      <c r="F123" s="32" t="s">
        <v>328</v>
      </c>
      <c r="G123" s="32" t="s">
        <v>39</v>
      </c>
      <c r="H123" s="32" t="s">
        <v>369</v>
      </c>
      <c r="I123" s="31" t="s">
        <v>475</v>
      </c>
      <c r="J123" s="31">
        <v>11</v>
      </c>
      <c r="K123" s="33" t="s">
        <v>693</v>
      </c>
      <c r="L123" s="33" t="s">
        <v>39</v>
      </c>
      <c r="M123" s="34" t="s">
        <v>39</v>
      </c>
      <c r="N123" s="34" t="s">
        <v>1693</v>
      </c>
      <c r="O123" s="35">
        <v>1</v>
      </c>
      <c r="P123" s="35">
        <v>1</v>
      </c>
      <c r="Q123" s="32" t="s">
        <v>1993</v>
      </c>
      <c r="S123" s="1">
        <f t="shared" si="39"/>
        <v>0</v>
      </c>
      <c r="T123" s="1">
        <f t="shared" si="40"/>
        <v>0</v>
      </c>
      <c r="U123" s="1">
        <f t="shared" si="41"/>
        <v>0</v>
      </c>
      <c r="V123" s="1">
        <f t="shared" si="42"/>
        <v>0</v>
      </c>
      <c r="W123" s="1">
        <f t="shared" si="43"/>
        <v>0</v>
      </c>
      <c r="X123" s="1">
        <f t="shared" si="44"/>
        <v>0</v>
      </c>
      <c r="Y123" s="1">
        <f t="shared" si="45"/>
        <v>0</v>
      </c>
      <c r="Z123" s="1">
        <f t="shared" si="46"/>
        <v>0</v>
      </c>
      <c r="AA123" s="1">
        <f t="shared" si="47"/>
        <v>0</v>
      </c>
      <c r="AB123" s="1">
        <f t="shared" si="48"/>
        <v>0</v>
      </c>
      <c r="AD123" s="1">
        <f t="shared" si="49"/>
        <v>1</v>
      </c>
      <c r="AE123" s="1">
        <f t="shared" si="50"/>
        <v>0</v>
      </c>
      <c r="AF123" s="1">
        <f t="shared" si="51"/>
        <v>1</v>
      </c>
      <c r="AG123" s="1">
        <f t="shared" si="52"/>
        <v>0</v>
      </c>
      <c r="AH123" s="1">
        <f t="shared" si="53"/>
        <v>1</v>
      </c>
      <c r="AI123" s="1">
        <f t="shared" si="54"/>
        <v>0</v>
      </c>
    </row>
    <row r="124" spans="1:35" ht="14.25" customHeight="1" x14ac:dyDescent="0.25">
      <c r="A124" s="31">
        <v>0</v>
      </c>
      <c r="B124" s="31">
        <v>1</v>
      </c>
      <c r="C124" s="31">
        <v>3</v>
      </c>
      <c r="D124" s="32" t="s">
        <v>1294</v>
      </c>
      <c r="E124" s="32" t="s">
        <v>171</v>
      </c>
      <c r="F124" s="32" t="s">
        <v>1317</v>
      </c>
      <c r="G124" s="32" t="s">
        <v>39</v>
      </c>
      <c r="H124" s="32" t="s">
        <v>969</v>
      </c>
      <c r="I124" s="31" t="s">
        <v>970</v>
      </c>
      <c r="J124" s="31">
        <v>14</v>
      </c>
      <c r="K124" s="33" t="s">
        <v>694</v>
      </c>
      <c r="L124" s="33">
        <v>30</v>
      </c>
      <c r="M124" s="34" t="s">
        <v>952</v>
      </c>
      <c r="N124" s="34" t="s">
        <v>1705</v>
      </c>
      <c r="O124" s="35">
        <v>1</v>
      </c>
      <c r="P124" s="35"/>
      <c r="Q124" s="32"/>
      <c r="S124" s="1">
        <f t="shared" si="39"/>
        <v>0</v>
      </c>
      <c r="T124" s="1">
        <f t="shared" si="40"/>
        <v>0</v>
      </c>
      <c r="U124" s="1">
        <f t="shared" si="41"/>
        <v>0</v>
      </c>
      <c r="V124" s="1">
        <f t="shared" si="42"/>
        <v>0</v>
      </c>
      <c r="W124" s="1">
        <f t="shared" si="43"/>
        <v>0</v>
      </c>
      <c r="X124" s="1">
        <f t="shared" si="44"/>
        <v>0</v>
      </c>
      <c r="Y124" s="1">
        <f t="shared" si="45"/>
        <v>0</v>
      </c>
      <c r="Z124" s="1">
        <f t="shared" si="46"/>
        <v>0</v>
      </c>
      <c r="AA124" s="1">
        <f t="shared" si="47"/>
        <v>0</v>
      </c>
      <c r="AB124" s="1">
        <f t="shared" si="48"/>
        <v>0</v>
      </c>
      <c r="AD124" s="1">
        <f t="shared" si="49"/>
        <v>0</v>
      </c>
      <c r="AE124" s="1">
        <f t="shared" si="50"/>
        <v>1</v>
      </c>
      <c r="AF124" s="1">
        <f t="shared" si="51"/>
        <v>0</v>
      </c>
      <c r="AG124" s="1">
        <f t="shared" si="52"/>
        <v>1</v>
      </c>
      <c r="AH124" s="1">
        <f t="shared" si="53"/>
        <v>0</v>
      </c>
      <c r="AI124" s="1">
        <f t="shared" si="54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16" t="s">
        <v>2097</v>
      </c>
      <c r="E125" s="16" t="s">
        <v>169</v>
      </c>
      <c r="F125" s="16" t="s">
        <v>2099</v>
      </c>
      <c r="G125" s="16"/>
      <c r="H125" s="16" t="s">
        <v>372</v>
      </c>
      <c r="I125" s="15" t="s">
        <v>2100</v>
      </c>
      <c r="J125" s="15">
        <v>11</v>
      </c>
      <c r="K125" s="10" t="s">
        <v>694</v>
      </c>
      <c r="L125" s="10">
        <v>50</v>
      </c>
      <c r="M125" s="19" t="s">
        <v>2098</v>
      </c>
      <c r="N125" s="17"/>
      <c r="Q125" s="16" t="s">
        <v>2101</v>
      </c>
      <c r="S125" s="1">
        <f t="shared" si="39"/>
        <v>0</v>
      </c>
      <c r="T125" s="1">
        <f t="shared" si="40"/>
        <v>0</v>
      </c>
      <c r="U125" s="1">
        <f t="shared" si="41"/>
        <v>0</v>
      </c>
      <c r="V125" s="1">
        <f t="shared" si="42"/>
        <v>0</v>
      </c>
      <c r="W125" s="1">
        <f t="shared" si="43"/>
        <v>0</v>
      </c>
      <c r="X125" s="1">
        <f t="shared" si="44"/>
        <v>0</v>
      </c>
      <c r="Y125" s="1">
        <f t="shared" si="45"/>
        <v>0</v>
      </c>
      <c r="Z125" s="1">
        <f t="shared" si="46"/>
        <v>0</v>
      </c>
      <c r="AA125" s="1">
        <f t="shared" si="47"/>
        <v>0</v>
      </c>
      <c r="AB125" s="1">
        <f t="shared" si="48"/>
        <v>0</v>
      </c>
      <c r="AD125" s="1">
        <f t="shared" si="49"/>
        <v>0</v>
      </c>
      <c r="AE125" s="1">
        <f t="shared" si="50"/>
        <v>0</v>
      </c>
      <c r="AF125" s="1">
        <f t="shared" si="51"/>
        <v>0</v>
      </c>
      <c r="AG125" s="1">
        <f t="shared" si="52"/>
        <v>0</v>
      </c>
      <c r="AH125" s="1">
        <f t="shared" si="53"/>
        <v>0</v>
      </c>
      <c r="AI125" s="1">
        <f t="shared" si="54"/>
        <v>1</v>
      </c>
    </row>
    <row r="126" spans="1:35" ht="14.25" customHeight="1" x14ac:dyDescent="0.25">
      <c r="A126" s="31">
        <v>0</v>
      </c>
      <c r="B126" s="31">
        <v>1</v>
      </c>
      <c r="C126" s="31">
        <v>3</v>
      </c>
      <c r="D126" s="32" t="s">
        <v>690</v>
      </c>
      <c r="E126" s="32" t="s">
        <v>174</v>
      </c>
      <c r="F126" s="32" t="s">
        <v>691</v>
      </c>
      <c r="G126" s="32" t="s">
        <v>39</v>
      </c>
      <c r="H126" s="32" t="s">
        <v>692</v>
      </c>
      <c r="I126" s="31" t="s">
        <v>1096</v>
      </c>
      <c r="J126" s="31">
        <v>13</v>
      </c>
      <c r="K126" s="33" t="s">
        <v>693</v>
      </c>
      <c r="L126" s="33" t="s">
        <v>1665</v>
      </c>
      <c r="M126" s="34" t="s">
        <v>951</v>
      </c>
      <c r="N126" s="34" t="s">
        <v>1785</v>
      </c>
      <c r="O126" s="35">
        <v>1</v>
      </c>
      <c r="P126" s="35"/>
      <c r="Q126" s="32"/>
      <c r="S126" s="1">
        <f t="shared" si="39"/>
        <v>0</v>
      </c>
      <c r="T126" s="1">
        <f t="shared" si="40"/>
        <v>0</v>
      </c>
      <c r="U126" s="1">
        <f t="shared" si="41"/>
        <v>0</v>
      </c>
      <c r="V126" s="1">
        <f t="shared" si="42"/>
        <v>0</v>
      </c>
      <c r="W126" s="1">
        <f t="shared" si="43"/>
        <v>0</v>
      </c>
      <c r="X126" s="1">
        <f t="shared" si="44"/>
        <v>0</v>
      </c>
      <c r="Y126" s="1">
        <f t="shared" si="45"/>
        <v>0</v>
      </c>
      <c r="Z126" s="1">
        <f t="shared" si="46"/>
        <v>0</v>
      </c>
      <c r="AA126" s="1">
        <f t="shared" si="47"/>
        <v>0</v>
      </c>
      <c r="AB126" s="1">
        <f t="shared" si="48"/>
        <v>0</v>
      </c>
      <c r="AD126" s="1">
        <f t="shared" si="49"/>
        <v>0</v>
      </c>
      <c r="AE126" s="1">
        <f t="shared" si="50"/>
        <v>1</v>
      </c>
      <c r="AF126" s="1">
        <f t="shared" si="51"/>
        <v>0</v>
      </c>
      <c r="AG126" s="1">
        <f t="shared" si="52"/>
        <v>1</v>
      </c>
      <c r="AH126" s="1">
        <f t="shared" si="53"/>
        <v>0</v>
      </c>
      <c r="AI126" s="1">
        <f t="shared" si="54"/>
        <v>1</v>
      </c>
    </row>
    <row r="127" spans="1:35" ht="14.25" customHeight="1" x14ac:dyDescent="0.25">
      <c r="A127" s="31">
        <v>0</v>
      </c>
      <c r="B127" s="31">
        <v>1</v>
      </c>
      <c r="C127" s="31">
        <v>3</v>
      </c>
      <c r="D127" s="32" t="s">
        <v>1488</v>
      </c>
      <c r="E127" s="32" t="s">
        <v>169</v>
      </c>
      <c r="F127" s="32" t="s">
        <v>1634</v>
      </c>
      <c r="G127" s="32" t="s">
        <v>39</v>
      </c>
      <c r="H127" s="32" t="s">
        <v>1489</v>
      </c>
      <c r="I127" s="31" t="s">
        <v>1490</v>
      </c>
      <c r="J127" s="31">
        <v>11</v>
      </c>
      <c r="K127" s="33" t="s">
        <v>713</v>
      </c>
      <c r="L127" s="33">
        <v>40</v>
      </c>
      <c r="M127" s="34" t="s">
        <v>39</v>
      </c>
      <c r="N127" s="34" t="s">
        <v>1693</v>
      </c>
      <c r="O127" s="35">
        <v>1</v>
      </c>
      <c r="P127" s="35">
        <v>1</v>
      </c>
      <c r="Q127" s="32"/>
      <c r="S127" s="1">
        <f t="shared" si="39"/>
        <v>0</v>
      </c>
      <c r="T127" s="1">
        <f t="shared" si="40"/>
        <v>0</v>
      </c>
      <c r="U127" s="1">
        <f t="shared" si="41"/>
        <v>0</v>
      </c>
      <c r="V127" s="1">
        <f t="shared" si="42"/>
        <v>0</v>
      </c>
      <c r="W127" s="1">
        <f t="shared" si="43"/>
        <v>0</v>
      </c>
      <c r="X127" s="1">
        <f t="shared" si="44"/>
        <v>0</v>
      </c>
      <c r="Y127" s="1">
        <f t="shared" si="45"/>
        <v>0</v>
      </c>
      <c r="Z127" s="1">
        <f t="shared" si="46"/>
        <v>0</v>
      </c>
      <c r="AA127" s="1">
        <f t="shared" si="47"/>
        <v>0</v>
      </c>
      <c r="AB127" s="1">
        <f t="shared" si="48"/>
        <v>0</v>
      </c>
      <c r="AD127" s="1">
        <f t="shared" si="49"/>
        <v>1</v>
      </c>
      <c r="AE127" s="1">
        <f t="shared" si="50"/>
        <v>0</v>
      </c>
      <c r="AF127" s="1">
        <f t="shared" si="51"/>
        <v>1</v>
      </c>
      <c r="AG127" s="1">
        <f t="shared" si="52"/>
        <v>0</v>
      </c>
      <c r="AH127" s="1">
        <f t="shared" si="53"/>
        <v>1</v>
      </c>
      <c r="AI127" s="1">
        <f t="shared" si="54"/>
        <v>0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16" t="s">
        <v>145</v>
      </c>
      <c r="E128" s="16" t="s">
        <v>171</v>
      </c>
      <c r="F128" s="16" t="s">
        <v>346</v>
      </c>
      <c r="G128" s="16" t="s">
        <v>39</v>
      </c>
      <c r="H128" s="16" t="s">
        <v>365</v>
      </c>
      <c r="I128" s="15" t="s">
        <v>490</v>
      </c>
      <c r="J128" s="15">
        <v>18</v>
      </c>
      <c r="K128" s="10" t="s">
        <v>937</v>
      </c>
      <c r="L128" s="10" t="s">
        <v>688</v>
      </c>
      <c r="M128" s="19" t="s">
        <v>951</v>
      </c>
      <c r="N128" s="17"/>
      <c r="Q128" s="16"/>
      <c r="S128" s="1">
        <f t="shared" si="39"/>
        <v>0</v>
      </c>
      <c r="T128" s="1">
        <f t="shared" si="40"/>
        <v>0</v>
      </c>
      <c r="U128" s="1">
        <f t="shared" si="41"/>
        <v>0</v>
      </c>
      <c r="V128" s="1">
        <f t="shared" si="42"/>
        <v>0</v>
      </c>
      <c r="W128" s="1">
        <f t="shared" si="43"/>
        <v>0</v>
      </c>
      <c r="X128" s="1">
        <f t="shared" si="44"/>
        <v>0</v>
      </c>
      <c r="Y128" s="1">
        <f t="shared" si="45"/>
        <v>0</v>
      </c>
      <c r="Z128" s="1">
        <f t="shared" si="46"/>
        <v>0</v>
      </c>
      <c r="AA128" s="1">
        <f t="shared" si="47"/>
        <v>0</v>
      </c>
      <c r="AB128" s="1">
        <f t="shared" si="48"/>
        <v>0</v>
      </c>
      <c r="AD128" s="1">
        <f t="shared" si="49"/>
        <v>0</v>
      </c>
      <c r="AE128" s="1">
        <f t="shared" si="50"/>
        <v>0</v>
      </c>
      <c r="AF128" s="1">
        <f t="shared" si="51"/>
        <v>0</v>
      </c>
      <c r="AG128" s="1">
        <f t="shared" si="52"/>
        <v>0</v>
      </c>
      <c r="AH128" s="1">
        <f t="shared" si="53"/>
        <v>0</v>
      </c>
      <c r="AI128" s="1">
        <f t="shared" si="54"/>
        <v>1</v>
      </c>
    </row>
    <row r="129" spans="1:35" ht="14.25" customHeight="1" x14ac:dyDescent="0.25">
      <c r="A129" s="15">
        <v>0</v>
      </c>
      <c r="B129" s="15">
        <v>1</v>
      </c>
      <c r="C129" s="15">
        <v>3</v>
      </c>
      <c r="D129" s="20" t="s">
        <v>1935</v>
      </c>
      <c r="E129" s="20" t="s">
        <v>171</v>
      </c>
      <c r="F129" s="20" t="s">
        <v>1932</v>
      </c>
      <c r="G129" s="20"/>
      <c r="H129" s="20" t="s">
        <v>1933</v>
      </c>
      <c r="I129" s="21" t="s">
        <v>1931</v>
      </c>
      <c r="J129" s="15">
        <v>17</v>
      </c>
      <c r="K129" s="10" t="s">
        <v>694</v>
      </c>
      <c r="L129" s="10" t="s">
        <v>1704</v>
      </c>
      <c r="M129" s="19" t="s">
        <v>952</v>
      </c>
      <c r="N129" s="17"/>
      <c r="Q129" s="20" t="s">
        <v>1934</v>
      </c>
      <c r="S129" s="1">
        <f t="shared" si="39"/>
        <v>0</v>
      </c>
      <c r="T129" s="1">
        <f t="shared" si="40"/>
        <v>0</v>
      </c>
      <c r="U129" s="1">
        <f t="shared" si="41"/>
        <v>0</v>
      </c>
      <c r="V129" s="1">
        <f t="shared" si="42"/>
        <v>0</v>
      </c>
      <c r="W129" s="1">
        <f t="shared" si="43"/>
        <v>0</v>
      </c>
      <c r="X129" s="1">
        <f t="shared" si="44"/>
        <v>0</v>
      </c>
      <c r="Y129" s="1">
        <f t="shared" si="45"/>
        <v>0</v>
      </c>
      <c r="Z129" s="1">
        <f t="shared" si="46"/>
        <v>0</v>
      </c>
      <c r="AA129" s="1">
        <f t="shared" si="47"/>
        <v>0</v>
      </c>
      <c r="AB129" s="1">
        <f t="shared" si="48"/>
        <v>0</v>
      </c>
      <c r="AD129" s="1">
        <f t="shared" si="49"/>
        <v>0</v>
      </c>
      <c r="AE129" s="1">
        <f t="shared" si="50"/>
        <v>0</v>
      </c>
      <c r="AF129" s="1">
        <f t="shared" si="51"/>
        <v>0</v>
      </c>
      <c r="AG129" s="1">
        <f t="shared" si="52"/>
        <v>0</v>
      </c>
      <c r="AH129" s="1">
        <f t="shared" si="53"/>
        <v>0</v>
      </c>
      <c r="AI129" s="1">
        <f t="shared" si="54"/>
        <v>1</v>
      </c>
    </row>
    <row r="130" spans="1:35" ht="14.25" customHeight="1" x14ac:dyDescent="0.25">
      <c r="A130" s="44">
        <v>0</v>
      </c>
      <c r="B130" s="44">
        <v>1</v>
      </c>
      <c r="C130" s="44">
        <v>3</v>
      </c>
      <c r="D130" s="45" t="s">
        <v>981</v>
      </c>
      <c r="E130" s="45" t="s">
        <v>171</v>
      </c>
      <c r="F130" s="57" t="s">
        <v>1827</v>
      </c>
      <c r="G130" s="45" t="s">
        <v>39</v>
      </c>
      <c r="H130" s="45" t="s">
        <v>982</v>
      </c>
      <c r="I130" s="44" t="s">
        <v>1097</v>
      </c>
      <c r="J130" s="44">
        <v>16</v>
      </c>
      <c r="K130" s="46" t="s">
        <v>713</v>
      </c>
      <c r="L130" s="46" t="s">
        <v>1704</v>
      </c>
      <c r="M130" s="47" t="s">
        <v>1365</v>
      </c>
      <c r="N130" s="47" t="s">
        <v>1762</v>
      </c>
      <c r="O130" s="48"/>
      <c r="P130" s="48"/>
      <c r="Q130" s="57" t="s">
        <v>1849</v>
      </c>
      <c r="S130" s="1">
        <f t="shared" si="39"/>
        <v>0</v>
      </c>
      <c r="T130" s="1">
        <f t="shared" si="40"/>
        <v>0</v>
      </c>
      <c r="U130" s="1">
        <f t="shared" si="41"/>
        <v>0</v>
      </c>
      <c r="V130" s="1">
        <f t="shared" si="42"/>
        <v>0</v>
      </c>
      <c r="W130" s="1">
        <f t="shared" si="43"/>
        <v>0</v>
      </c>
      <c r="X130" s="1">
        <f t="shared" si="44"/>
        <v>0</v>
      </c>
      <c r="Y130" s="1">
        <f t="shared" si="45"/>
        <v>0</v>
      </c>
      <c r="Z130" s="1">
        <f t="shared" si="46"/>
        <v>0</v>
      </c>
      <c r="AA130" s="1">
        <f t="shared" si="47"/>
        <v>0</v>
      </c>
      <c r="AB130" s="1">
        <f t="shared" si="48"/>
        <v>0</v>
      </c>
      <c r="AD130" s="1">
        <f t="shared" si="49"/>
        <v>0</v>
      </c>
      <c r="AE130" s="1">
        <f t="shared" si="50"/>
        <v>0</v>
      </c>
      <c r="AF130" s="1">
        <f t="shared" si="51"/>
        <v>0</v>
      </c>
      <c r="AG130" s="1">
        <f t="shared" si="52"/>
        <v>0</v>
      </c>
      <c r="AH130" s="1">
        <f t="shared" si="53"/>
        <v>0</v>
      </c>
      <c r="AI130" s="1">
        <f t="shared" si="54"/>
        <v>1</v>
      </c>
    </row>
    <row r="131" spans="1:35" ht="14.25" customHeight="1" x14ac:dyDescent="0.25">
      <c r="A131" s="31">
        <v>0</v>
      </c>
      <c r="B131" s="31">
        <v>1</v>
      </c>
      <c r="C131" s="31">
        <v>3</v>
      </c>
      <c r="D131" s="32" t="s">
        <v>1108</v>
      </c>
      <c r="E131" s="32" t="s">
        <v>171</v>
      </c>
      <c r="F131" s="32" t="s">
        <v>1318</v>
      </c>
      <c r="G131" s="32" t="s">
        <v>39</v>
      </c>
      <c r="H131" s="32" t="s">
        <v>1110</v>
      </c>
      <c r="I131" s="31" t="s">
        <v>1109</v>
      </c>
      <c r="J131" s="31">
        <v>14</v>
      </c>
      <c r="K131" s="33" t="s">
        <v>939</v>
      </c>
      <c r="L131" s="33" t="s">
        <v>1665</v>
      </c>
      <c r="M131" s="34" t="s">
        <v>1366</v>
      </c>
      <c r="N131" s="34" t="s">
        <v>1693</v>
      </c>
      <c r="O131" s="35">
        <v>1</v>
      </c>
      <c r="P131" s="35">
        <v>1</v>
      </c>
      <c r="Q131" s="32" t="s">
        <v>2080</v>
      </c>
      <c r="S131" s="1">
        <f t="shared" si="39"/>
        <v>0</v>
      </c>
      <c r="T131" s="1">
        <f t="shared" si="40"/>
        <v>0</v>
      </c>
      <c r="U131" s="1">
        <f t="shared" si="41"/>
        <v>0</v>
      </c>
      <c r="V131" s="1">
        <f t="shared" si="42"/>
        <v>0</v>
      </c>
      <c r="W131" s="1">
        <f t="shared" si="43"/>
        <v>0</v>
      </c>
      <c r="X131" s="1">
        <f t="shared" si="44"/>
        <v>0</v>
      </c>
      <c r="Y131" s="1">
        <f t="shared" si="45"/>
        <v>0</v>
      </c>
      <c r="Z131" s="1">
        <f t="shared" si="46"/>
        <v>0</v>
      </c>
      <c r="AA131" s="1">
        <f t="shared" si="47"/>
        <v>0</v>
      </c>
      <c r="AB131" s="1">
        <f t="shared" si="48"/>
        <v>0</v>
      </c>
      <c r="AD131" s="1">
        <f t="shared" si="49"/>
        <v>1</v>
      </c>
      <c r="AE131" s="1">
        <f t="shared" si="50"/>
        <v>0</v>
      </c>
      <c r="AF131" s="1">
        <f t="shared" si="51"/>
        <v>1</v>
      </c>
      <c r="AG131" s="1">
        <f t="shared" si="52"/>
        <v>0</v>
      </c>
      <c r="AH131" s="1">
        <f t="shared" si="53"/>
        <v>1</v>
      </c>
      <c r="AI131" s="1">
        <f t="shared" si="54"/>
        <v>0</v>
      </c>
    </row>
    <row r="132" spans="1:35" ht="14.25" customHeight="1" x14ac:dyDescent="0.25">
      <c r="A132" s="31">
        <v>0</v>
      </c>
      <c r="B132" s="31">
        <v>1</v>
      </c>
      <c r="C132" s="31">
        <v>3</v>
      </c>
      <c r="D132" s="32" t="s">
        <v>1059</v>
      </c>
      <c r="E132" s="32" t="s">
        <v>171</v>
      </c>
      <c r="F132" s="32" t="s">
        <v>1021</v>
      </c>
      <c r="G132" s="32" t="s">
        <v>1085</v>
      </c>
      <c r="H132" s="32" t="s">
        <v>352</v>
      </c>
      <c r="I132" s="31" t="s">
        <v>1022</v>
      </c>
      <c r="J132" s="31">
        <v>1</v>
      </c>
      <c r="K132" s="33" t="s">
        <v>939</v>
      </c>
      <c r="L132" s="33" t="s">
        <v>678</v>
      </c>
      <c r="M132" s="34" t="s">
        <v>952</v>
      </c>
      <c r="N132" s="34" t="s">
        <v>1716</v>
      </c>
      <c r="O132" s="35">
        <v>1</v>
      </c>
      <c r="P132" s="35"/>
      <c r="Q132" s="32"/>
      <c r="S132" s="1">
        <f t="shared" si="39"/>
        <v>1</v>
      </c>
      <c r="T132" s="1">
        <f t="shared" si="40"/>
        <v>0</v>
      </c>
      <c r="U132" s="1">
        <f t="shared" si="41"/>
        <v>0</v>
      </c>
      <c r="V132" s="1">
        <f t="shared" si="42"/>
        <v>0</v>
      </c>
      <c r="W132" s="1">
        <f t="shared" si="43"/>
        <v>0</v>
      </c>
      <c r="X132" s="1">
        <f t="shared" si="44"/>
        <v>0</v>
      </c>
      <c r="Y132" s="1">
        <f t="shared" si="45"/>
        <v>0</v>
      </c>
      <c r="Z132" s="1">
        <f t="shared" si="46"/>
        <v>0</v>
      </c>
      <c r="AA132" s="1">
        <f t="shared" si="47"/>
        <v>0</v>
      </c>
      <c r="AB132" s="1">
        <f t="shared" si="48"/>
        <v>0</v>
      </c>
      <c r="AD132" s="1">
        <f t="shared" si="49"/>
        <v>0</v>
      </c>
      <c r="AE132" s="1">
        <f t="shared" si="50"/>
        <v>1</v>
      </c>
      <c r="AF132" s="1">
        <f t="shared" si="51"/>
        <v>0</v>
      </c>
      <c r="AG132" s="1">
        <f t="shared" si="52"/>
        <v>1</v>
      </c>
      <c r="AH132" s="1">
        <f t="shared" si="53"/>
        <v>0</v>
      </c>
      <c r="AI132" s="1">
        <f t="shared" si="54"/>
        <v>1</v>
      </c>
    </row>
    <row r="133" spans="1:35" ht="14.25" customHeight="1" x14ac:dyDescent="0.25">
      <c r="A133" s="31">
        <v>0</v>
      </c>
      <c r="B133" s="31">
        <v>1</v>
      </c>
      <c r="C133" s="31">
        <v>3</v>
      </c>
      <c r="D133" s="36" t="s">
        <v>2050</v>
      </c>
      <c r="E133" s="36" t="s">
        <v>171</v>
      </c>
      <c r="F133" s="36" t="s">
        <v>2051</v>
      </c>
      <c r="G133" s="32"/>
      <c r="H133" s="36" t="s">
        <v>2052</v>
      </c>
      <c r="I133" s="37" t="s">
        <v>2053</v>
      </c>
      <c r="J133" s="31">
        <v>14</v>
      </c>
      <c r="K133" s="33" t="s">
        <v>694</v>
      </c>
      <c r="L133" s="33"/>
      <c r="M133" s="34"/>
      <c r="N133" s="34" t="s">
        <v>1699</v>
      </c>
      <c r="O133" s="35">
        <v>1</v>
      </c>
      <c r="P133" s="35">
        <v>1</v>
      </c>
      <c r="Q133" s="36" t="s">
        <v>2054</v>
      </c>
      <c r="S133" s="1">
        <f t="shared" si="39"/>
        <v>0</v>
      </c>
      <c r="T133" s="1">
        <f t="shared" si="40"/>
        <v>0</v>
      </c>
      <c r="U133" s="1">
        <f t="shared" si="41"/>
        <v>0</v>
      </c>
      <c r="V133" s="1">
        <f t="shared" si="42"/>
        <v>0</v>
      </c>
      <c r="W133" s="1">
        <f t="shared" si="43"/>
        <v>0</v>
      </c>
      <c r="X133" s="1">
        <f t="shared" si="44"/>
        <v>0</v>
      </c>
      <c r="Y133" s="1">
        <f t="shared" si="45"/>
        <v>0</v>
      </c>
      <c r="Z133" s="1">
        <f t="shared" si="46"/>
        <v>0</v>
      </c>
      <c r="AA133" s="1">
        <f t="shared" si="47"/>
        <v>0</v>
      </c>
      <c r="AB133" s="1">
        <f t="shared" si="48"/>
        <v>0</v>
      </c>
      <c r="AD133" s="1">
        <f t="shared" si="49"/>
        <v>1</v>
      </c>
      <c r="AE133" s="1">
        <f t="shared" si="50"/>
        <v>0</v>
      </c>
      <c r="AF133" s="1">
        <f t="shared" si="51"/>
        <v>1</v>
      </c>
      <c r="AG133" s="1">
        <f t="shared" si="52"/>
        <v>0</v>
      </c>
      <c r="AH133" s="1">
        <f t="shared" si="53"/>
        <v>1</v>
      </c>
      <c r="AI133" s="1">
        <f t="shared" si="54"/>
        <v>0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2" t="s">
        <v>1596</v>
      </c>
      <c r="E134" s="32" t="s">
        <v>1068</v>
      </c>
      <c r="F134" s="32" t="s">
        <v>1597</v>
      </c>
      <c r="G134" s="32" t="s">
        <v>39</v>
      </c>
      <c r="H134" s="32" t="s">
        <v>1598</v>
      </c>
      <c r="I134" s="31" t="s">
        <v>1599</v>
      </c>
      <c r="J134" s="31">
        <v>15</v>
      </c>
      <c r="K134" s="33" t="s">
        <v>939</v>
      </c>
      <c r="L134" s="33" t="s">
        <v>39</v>
      </c>
      <c r="M134" s="34" t="s">
        <v>39</v>
      </c>
      <c r="N134" s="34" t="s">
        <v>1709</v>
      </c>
      <c r="O134" s="35">
        <v>1</v>
      </c>
      <c r="P134" s="35"/>
      <c r="Q134" s="36" t="s">
        <v>1854</v>
      </c>
      <c r="S134" s="1">
        <f t="shared" si="39"/>
        <v>0</v>
      </c>
      <c r="T134" s="1">
        <f t="shared" si="40"/>
        <v>0</v>
      </c>
      <c r="U134" s="1">
        <f t="shared" si="41"/>
        <v>0</v>
      </c>
      <c r="V134" s="1">
        <f t="shared" si="42"/>
        <v>0</v>
      </c>
      <c r="W134" s="1">
        <f t="shared" si="43"/>
        <v>0</v>
      </c>
      <c r="X134" s="1">
        <f t="shared" si="44"/>
        <v>0</v>
      </c>
      <c r="Y134" s="1">
        <f t="shared" si="45"/>
        <v>0</v>
      </c>
      <c r="Z134" s="1">
        <f t="shared" si="46"/>
        <v>0</v>
      </c>
      <c r="AA134" s="1">
        <f t="shared" si="47"/>
        <v>0</v>
      </c>
      <c r="AB134" s="1">
        <f t="shared" si="48"/>
        <v>0</v>
      </c>
      <c r="AD134" s="1">
        <f t="shared" si="49"/>
        <v>0</v>
      </c>
      <c r="AE134" s="1">
        <f t="shared" si="50"/>
        <v>1</v>
      </c>
      <c r="AF134" s="1">
        <f t="shared" si="51"/>
        <v>0</v>
      </c>
      <c r="AG134" s="1">
        <f t="shared" si="52"/>
        <v>1</v>
      </c>
      <c r="AH134" s="1">
        <f t="shared" si="53"/>
        <v>0</v>
      </c>
      <c r="AI134" s="1">
        <f t="shared" si="54"/>
        <v>1</v>
      </c>
    </row>
    <row r="135" spans="1:35" ht="14.25" customHeight="1" x14ac:dyDescent="0.25">
      <c r="A135" s="15">
        <v>0</v>
      </c>
      <c r="B135" s="15">
        <v>1</v>
      </c>
      <c r="C135" s="15">
        <v>3</v>
      </c>
      <c r="D135" s="16" t="s">
        <v>605</v>
      </c>
      <c r="E135" s="16" t="s">
        <v>169</v>
      </c>
      <c r="F135" s="16" t="s">
        <v>606</v>
      </c>
      <c r="G135" s="16" t="s">
        <v>39</v>
      </c>
      <c r="H135" s="16" t="s">
        <v>364</v>
      </c>
      <c r="I135" s="15" t="s">
        <v>607</v>
      </c>
      <c r="J135" s="15">
        <v>18</v>
      </c>
      <c r="K135" s="10" t="s">
        <v>713</v>
      </c>
      <c r="L135" s="10" t="s">
        <v>1704</v>
      </c>
      <c r="M135" s="19" t="s">
        <v>39</v>
      </c>
      <c r="N135" s="17"/>
      <c r="Q135" s="16"/>
      <c r="S135" s="1">
        <f t="shared" si="39"/>
        <v>0</v>
      </c>
      <c r="T135" s="1">
        <f t="shared" si="40"/>
        <v>0</v>
      </c>
      <c r="U135" s="1">
        <f t="shared" si="41"/>
        <v>0</v>
      </c>
      <c r="V135" s="1">
        <f t="shared" si="42"/>
        <v>0</v>
      </c>
      <c r="W135" s="1">
        <f t="shared" si="43"/>
        <v>0</v>
      </c>
      <c r="X135" s="1">
        <f t="shared" si="44"/>
        <v>0</v>
      </c>
      <c r="Y135" s="1">
        <f t="shared" si="45"/>
        <v>0</v>
      </c>
      <c r="Z135" s="1">
        <f t="shared" si="46"/>
        <v>0</v>
      </c>
      <c r="AA135" s="1">
        <f t="shared" si="47"/>
        <v>0</v>
      </c>
      <c r="AB135" s="1">
        <f t="shared" si="48"/>
        <v>0</v>
      </c>
      <c r="AD135" s="1">
        <f t="shared" si="49"/>
        <v>0</v>
      </c>
      <c r="AE135" s="1">
        <f t="shared" si="50"/>
        <v>0</v>
      </c>
      <c r="AF135" s="1">
        <f t="shared" si="51"/>
        <v>0</v>
      </c>
      <c r="AG135" s="1">
        <f t="shared" si="52"/>
        <v>0</v>
      </c>
      <c r="AH135" s="1">
        <f t="shared" si="53"/>
        <v>0</v>
      </c>
      <c r="AI135" s="1">
        <f t="shared" si="54"/>
        <v>1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6" t="s">
        <v>2106</v>
      </c>
      <c r="E136" s="36" t="s">
        <v>171</v>
      </c>
      <c r="F136" s="36" t="s">
        <v>2107</v>
      </c>
      <c r="G136" s="32"/>
      <c r="H136" s="36" t="s">
        <v>360</v>
      </c>
      <c r="I136" s="37" t="s">
        <v>2108</v>
      </c>
      <c r="J136" s="31">
        <v>12</v>
      </c>
      <c r="K136" s="33" t="s">
        <v>694</v>
      </c>
      <c r="L136" s="33">
        <v>40</v>
      </c>
      <c r="M136" s="34" t="s">
        <v>952</v>
      </c>
      <c r="N136" s="34" t="s">
        <v>1705</v>
      </c>
      <c r="O136" s="35">
        <v>1</v>
      </c>
      <c r="P136" s="35"/>
      <c r="Q136" s="32" t="s">
        <v>2109</v>
      </c>
      <c r="S136" s="1">
        <f t="shared" si="39"/>
        <v>0</v>
      </c>
      <c r="T136" s="1">
        <f t="shared" si="40"/>
        <v>0</v>
      </c>
      <c r="U136" s="1">
        <f t="shared" si="41"/>
        <v>0</v>
      </c>
      <c r="V136" s="1">
        <f t="shared" si="42"/>
        <v>0</v>
      </c>
      <c r="W136" s="1">
        <f t="shared" si="43"/>
        <v>0</v>
      </c>
      <c r="X136" s="1">
        <f t="shared" si="44"/>
        <v>0</v>
      </c>
      <c r="Y136" s="1">
        <f t="shared" si="45"/>
        <v>0</v>
      </c>
      <c r="Z136" s="1">
        <f t="shared" si="46"/>
        <v>0</v>
      </c>
      <c r="AA136" s="1">
        <f t="shared" si="47"/>
        <v>0</v>
      </c>
      <c r="AB136" s="1">
        <f t="shared" si="48"/>
        <v>0</v>
      </c>
      <c r="AD136" s="1">
        <f t="shared" si="49"/>
        <v>0</v>
      </c>
      <c r="AE136" s="1">
        <f t="shared" si="50"/>
        <v>1</v>
      </c>
      <c r="AF136" s="1">
        <f t="shared" si="51"/>
        <v>0</v>
      </c>
      <c r="AG136" s="1">
        <f t="shared" si="52"/>
        <v>1</v>
      </c>
      <c r="AH136" s="1">
        <f t="shared" si="53"/>
        <v>0</v>
      </c>
      <c r="AI136" s="1">
        <f t="shared" si="54"/>
        <v>1</v>
      </c>
    </row>
    <row r="137" spans="1:35" ht="14.25" customHeight="1" x14ac:dyDescent="0.25">
      <c r="A137" s="15">
        <v>0</v>
      </c>
      <c r="B137" s="15">
        <v>1</v>
      </c>
      <c r="C137" s="15">
        <v>3</v>
      </c>
      <c r="D137" s="20" t="s">
        <v>2057</v>
      </c>
      <c r="E137" s="20" t="s">
        <v>859</v>
      </c>
      <c r="F137" s="20" t="s">
        <v>2058</v>
      </c>
      <c r="G137" s="16"/>
      <c r="H137" s="20" t="s">
        <v>2059</v>
      </c>
      <c r="I137" s="21" t="s">
        <v>2060</v>
      </c>
      <c r="J137" s="15">
        <v>16</v>
      </c>
      <c r="K137" s="10" t="s">
        <v>694</v>
      </c>
      <c r="L137" s="10" t="s">
        <v>679</v>
      </c>
      <c r="M137" s="19" t="s">
        <v>952</v>
      </c>
      <c r="N137" s="17"/>
      <c r="Q137" s="16" t="s">
        <v>2061</v>
      </c>
      <c r="S137" s="1">
        <f t="shared" si="39"/>
        <v>0</v>
      </c>
      <c r="T137" s="1">
        <f t="shared" si="40"/>
        <v>0</v>
      </c>
      <c r="U137" s="1">
        <f t="shared" si="41"/>
        <v>0</v>
      </c>
      <c r="V137" s="1">
        <f t="shared" si="42"/>
        <v>0</v>
      </c>
      <c r="W137" s="1">
        <f t="shared" si="43"/>
        <v>0</v>
      </c>
      <c r="X137" s="1">
        <f t="shared" si="44"/>
        <v>0</v>
      </c>
      <c r="Y137" s="1">
        <f t="shared" si="45"/>
        <v>0</v>
      </c>
      <c r="Z137" s="1">
        <f t="shared" si="46"/>
        <v>0</v>
      </c>
      <c r="AA137" s="1">
        <f t="shared" si="47"/>
        <v>0</v>
      </c>
      <c r="AB137" s="1">
        <f t="shared" si="48"/>
        <v>0</v>
      </c>
      <c r="AD137" s="1">
        <f t="shared" si="49"/>
        <v>0</v>
      </c>
      <c r="AE137" s="1">
        <f t="shared" si="50"/>
        <v>0</v>
      </c>
      <c r="AF137" s="1">
        <f t="shared" si="51"/>
        <v>0</v>
      </c>
      <c r="AG137" s="1">
        <f t="shared" si="52"/>
        <v>0</v>
      </c>
      <c r="AH137" s="1">
        <f t="shared" si="53"/>
        <v>0</v>
      </c>
      <c r="AI137" s="1">
        <f t="shared" si="54"/>
        <v>1</v>
      </c>
    </row>
    <row r="138" spans="1:35" ht="14.25" customHeight="1" x14ac:dyDescent="0.25">
      <c r="A138" s="15">
        <v>0</v>
      </c>
      <c r="B138" s="15">
        <v>1</v>
      </c>
      <c r="C138" s="15">
        <v>3</v>
      </c>
      <c r="D138" s="20" t="s">
        <v>1908</v>
      </c>
      <c r="E138" s="20" t="s">
        <v>171</v>
      </c>
      <c r="F138" s="20" t="s">
        <v>1928</v>
      </c>
      <c r="G138" s="20"/>
      <c r="H138" s="20" t="s">
        <v>1927</v>
      </c>
      <c r="I138" s="21" t="s">
        <v>1929</v>
      </c>
      <c r="J138" s="15">
        <v>15</v>
      </c>
      <c r="K138" s="10" t="s">
        <v>694</v>
      </c>
      <c r="L138" s="10" t="s">
        <v>1704</v>
      </c>
      <c r="M138" s="19" t="s">
        <v>952</v>
      </c>
      <c r="N138" s="17"/>
      <c r="Q138" s="20" t="s">
        <v>1930</v>
      </c>
      <c r="S138" s="1">
        <f t="shared" si="39"/>
        <v>0</v>
      </c>
      <c r="T138" s="1">
        <f t="shared" si="40"/>
        <v>0</v>
      </c>
      <c r="U138" s="1">
        <f t="shared" si="41"/>
        <v>0</v>
      </c>
      <c r="V138" s="1">
        <f t="shared" si="42"/>
        <v>0</v>
      </c>
      <c r="W138" s="1">
        <f t="shared" si="43"/>
        <v>0</v>
      </c>
      <c r="X138" s="1">
        <f t="shared" si="44"/>
        <v>0</v>
      </c>
      <c r="Y138" s="1">
        <f t="shared" si="45"/>
        <v>0</v>
      </c>
      <c r="Z138" s="1">
        <f t="shared" si="46"/>
        <v>0</v>
      </c>
      <c r="AA138" s="1">
        <f t="shared" si="47"/>
        <v>0</v>
      </c>
      <c r="AB138" s="1">
        <f t="shared" si="48"/>
        <v>0</v>
      </c>
      <c r="AD138" s="1">
        <f t="shared" si="49"/>
        <v>0</v>
      </c>
      <c r="AE138" s="1">
        <f t="shared" si="50"/>
        <v>0</v>
      </c>
      <c r="AF138" s="1">
        <f t="shared" si="51"/>
        <v>0</v>
      </c>
      <c r="AG138" s="1">
        <f t="shared" si="52"/>
        <v>0</v>
      </c>
      <c r="AH138" s="1">
        <f t="shared" si="53"/>
        <v>0</v>
      </c>
      <c r="AI138" s="1">
        <f t="shared" si="54"/>
        <v>1</v>
      </c>
    </row>
    <row r="139" spans="1:35" ht="14.25" customHeight="1" x14ac:dyDescent="0.25">
      <c r="A139" s="31">
        <v>0</v>
      </c>
      <c r="B139" s="31">
        <v>1</v>
      </c>
      <c r="C139" s="31">
        <v>3</v>
      </c>
      <c r="D139" s="32" t="s">
        <v>903</v>
      </c>
      <c r="E139" s="32" t="s">
        <v>171</v>
      </c>
      <c r="F139" s="32" t="s">
        <v>1135</v>
      </c>
      <c r="G139" s="32" t="s">
        <v>39</v>
      </c>
      <c r="H139" s="32" t="s">
        <v>361</v>
      </c>
      <c r="I139" s="31" t="s">
        <v>874</v>
      </c>
      <c r="J139" s="31">
        <v>14</v>
      </c>
      <c r="K139" s="33" t="s">
        <v>938</v>
      </c>
      <c r="L139" s="33" t="s">
        <v>39</v>
      </c>
      <c r="M139" s="34" t="s">
        <v>39</v>
      </c>
      <c r="N139" s="34" t="s">
        <v>1699</v>
      </c>
      <c r="O139" s="35">
        <v>1</v>
      </c>
      <c r="P139" s="35">
        <v>1</v>
      </c>
      <c r="Q139" s="36"/>
      <c r="S139" s="1">
        <f t="shared" si="39"/>
        <v>0</v>
      </c>
      <c r="T139" s="1">
        <f t="shared" si="40"/>
        <v>0</v>
      </c>
      <c r="U139" s="1">
        <f t="shared" si="41"/>
        <v>0</v>
      </c>
      <c r="V139" s="1">
        <f t="shared" si="42"/>
        <v>0</v>
      </c>
      <c r="W139" s="1">
        <f t="shared" si="43"/>
        <v>0</v>
      </c>
      <c r="X139" s="1">
        <f t="shared" si="44"/>
        <v>0</v>
      </c>
      <c r="Y139" s="1">
        <f t="shared" si="45"/>
        <v>0</v>
      </c>
      <c r="Z139" s="1">
        <f t="shared" si="46"/>
        <v>0</v>
      </c>
      <c r="AA139" s="1">
        <f t="shared" si="47"/>
        <v>0</v>
      </c>
      <c r="AB139" s="1">
        <f t="shared" si="48"/>
        <v>0</v>
      </c>
      <c r="AD139" s="1">
        <f t="shared" si="49"/>
        <v>1</v>
      </c>
      <c r="AE139" s="1">
        <f t="shared" si="50"/>
        <v>0</v>
      </c>
      <c r="AF139" s="1">
        <f t="shared" si="51"/>
        <v>1</v>
      </c>
      <c r="AG139" s="1">
        <f t="shared" si="52"/>
        <v>0</v>
      </c>
      <c r="AH139" s="1">
        <f t="shared" si="53"/>
        <v>1</v>
      </c>
      <c r="AI139" s="1">
        <f t="shared" si="54"/>
        <v>0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104</v>
      </c>
      <c r="E140" s="32" t="s">
        <v>171</v>
      </c>
      <c r="F140" s="32" t="s">
        <v>914</v>
      </c>
      <c r="G140" s="32" t="s">
        <v>39</v>
      </c>
      <c r="H140" s="32" t="s">
        <v>356</v>
      </c>
      <c r="I140" s="31" t="s">
        <v>449</v>
      </c>
      <c r="J140" s="31">
        <v>18</v>
      </c>
      <c r="K140" s="33" t="s">
        <v>937</v>
      </c>
      <c r="L140" s="33" t="s">
        <v>688</v>
      </c>
      <c r="M140" s="34" t="s">
        <v>682</v>
      </c>
      <c r="N140" s="34" t="s">
        <v>1705</v>
      </c>
      <c r="O140" s="35">
        <v>1</v>
      </c>
      <c r="P140" s="35"/>
      <c r="Q140" s="36" t="s">
        <v>1847</v>
      </c>
      <c r="S140" s="1">
        <f t="shared" si="39"/>
        <v>0</v>
      </c>
      <c r="T140" s="1">
        <f t="shared" si="40"/>
        <v>0</v>
      </c>
      <c r="U140" s="1">
        <f t="shared" si="41"/>
        <v>0</v>
      </c>
      <c r="V140" s="1">
        <f t="shared" si="42"/>
        <v>0</v>
      </c>
      <c r="W140" s="1">
        <f t="shared" si="43"/>
        <v>0</v>
      </c>
      <c r="X140" s="1">
        <f t="shared" si="44"/>
        <v>0</v>
      </c>
      <c r="Y140" s="1">
        <f t="shared" si="45"/>
        <v>0</v>
      </c>
      <c r="Z140" s="1">
        <f t="shared" si="46"/>
        <v>0</v>
      </c>
      <c r="AA140" s="1">
        <f t="shared" si="47"/>
        <v>0</v>
      </c>
      <c r="AB140" s="1">
        <f t="shared" si="48"/>
        <v>0</v>
      </c>
      <c r="AD140" s="1">
        <f t="shared" si="49"/>
        <v>0</v>
      </c>
      <c r="AE140" s="1">
        <f t="shared" si="50"/>
        <v>1</v>
      </c>
      <c r="AF140" s="1">
        <f t="shared" si="51"/>
        <v>0</v>
      </c>
      <c r="AG140" s="1">
        <f t="shared" si="52"/>
        <v>1</v>
      </c>
      <c r="AH140" s="1">
        <f t="shared" si="53"/>
        <v>0</v>
      </c>
      <c r="AI140" s="1">
        <f t="shared" si="54"/>
        <v>1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1477</v>
      </c>
      <c r="E141" s="32" t="s">
        <v>1619</v>
      </c>
      <c r="F141" s="36" t="s">
        <v>2128</v>
      </c>
      <c r="G141" s="32" t="s">
        <v>39</v>
      </c>
      <c r="H141" s="32" t="s">
        <v>1479</v>
      </c>
      <c r="I141" s="31" t="s">
        <v>1478</v>
      </c>
      <c r="J141" s="31">
        <v>14</v>
      </c>
      <c r="K141" s="33" t="s">
        <v>943</v>
      </c>
      <c r="L141" s="33" t="s">
        <v>678</v>
      </c>
      <c r="M141" s="34" t="s">
        <v>1367</v>
      </c>
      <c r="N141" s="34" t="s">
        <v>1693</v>
      </c>
      <c r="O141" s="35">
        <v>1</v>
      </c>
      <c r="P141" s="35">
        <v>1</v>
      </c>
      <c r="Q141" s="36"/>
      <c r="S141" s="1">
        <f t="shared" si="39"/>
        <v>0</v>
      </c>
      <c r="T141" s="1">
        <f t="shared" si="40"/>
        <v>0</v>
      </c>
      <c r="U141" s="1">
        <f t="shared" si="41"/>
        <v>0</v>
      </c>
      <c r="V141" s="1">
        <f t="shared" si="42"/>
        <v>0</v>
      </c>
      <c r="W141" s="1">
        <f t="shared" si="43"/>
        <v>0</v>
      </c>
      <c r="X141" s="1">
        <f t="shared" si="44"/>
        <v>0</v>
      </c>
      <c r="Y141" s="1">
        <f t="shared" si="45"/>
        <v>0</v>
      </c>
      <c r="Z141" s="1">
        <f t="shared" si="46"/>
        <v>0</v>
      </c>
      <c r="AA141" s="1">
        <f t="shared" si="47"/>
        <v>0</v>
      </c>
      <c r="AB141" s="1">
        <f t="shared" si="48"/>
        <v>0</v>
      </c>
      <c r="AD141" s="1">
        <f t="shared" si="49"/>
        <v>1</v>
      </c>
      <c r="AE141" s="1">
        <f t="shared" si="50"/>
        <v>0</v>
      </c>
      <c r="AF141" s="1">
        <f t="shared" si="51"/>
        <v>1</v>
      </c>
      <c r="AG141" s="1">
        <f t="shared" si="52"/>
        <v>0</v>
      </c>
      <c r="AH141" s="1">
        <f t="shared" si="53"/>
        <v>1</v>
      </c>
      <c r="AI141" s="1">
        <f t="shared" si="54"/>
        <v>0</v>
      </c>
    </row>
    <row r="142" spans="1:35" ht="14.25" customHeight="1" x14ac:dyDescent="0.25">
      <c r="A142" s="31">
        <v>0</v>
      </c>
      <c r="B142" s="31">
        <v>1</v>
      </c>
      <c r="C142" s="31">
        <v>3</v>
      </c>
      <c r="D142" s="32" t="s">
        <v>1231</v>
      </c>
      <c r="E142" s="32" t="s">
        <v>171</v>
      </c>
      <c r="F142" s="32" t="s">
        <v>1232</v>
      </c>
      <c r="G142" s="32" t="s">
        <v>1234</v>
      </c>
      <c r="H142" s="32" t="s">
        <v>352</v>
      </c>
      <c r="I142" s="31" t="s">
        <v>1233</v>
      </c>
      <c r="J142" s="31">
        <v>99</v>
      </c>
      <c r="K142" s="33" t="s">
        <v>939</v>
      </c>
      <c r="L142" s="33" t="s">
        <v>684</v>
      </c>
      <c r="M142" s="34" t="s">
        <v>952</v>
      </c>
      <c r="N142" s="34" t="s">
        <v>1785</v>
      </c>
      <c r="O142" s="35">
        <v>1</v>
      </c>
      <c r="P142" s="35"/>
      <c r="Q142" s="36"/>
      <c r="S142" s="1">
        <f t="shared" si="39"/>
        <v>0</v>
      </c>
      <c r="T142" s="1">
        <f t="shared" si="40"/>
        <v>0</v>
      </c>
      <c r="U142" s="1">
        <f t="shared" si="41"/>
        <v>0</v>
      </c>
      <c r="V142" s="1">
        <f t="shared" si="42"/>
        <v>0</v>
      </c>
      <c r="W142" s="1">
        <f t="shared" si="43"/>
        <v>0</v>
      </c>
      <c r="X142" s="1">
        <f t="shared" si="44"/>
        <v>0</v>
      </c>
      <c r="Y142" s="1">
        <f t="shared" si="45"/>
        <v>0</v>
      </c>
      <c r="Z142" s="1">
        <f t="shared" si="46"/>
        <v>0</v>
      </c>
      <c r="AA142" s="1">
        <f t="shared" si="47"/>
        <v>0</v>
      </c>
      <c r="AB142" s="1">
        <f t="shared" si="48"/>
        <v>0</v>
      </c>
      <c r="AD142" s="1">
        <f t="shared" si="49"/>
        <v>0</v>
      </c>
      <c r="AE142" s="1">
        <f t="shared" si="50"/>
        <v>1</v>
      </c>
      <c r="AF142" s="1">
        <f t="shared" si="51"/>
        <v>0</v>
      </c>
      <c r="AG142" s="1">
        <f t="shared" si="52"/>
        <v>1</v>
      </c>
      <c r="AH142" s="1">
        <f t="shared" si="53"/>
        <v>0</v>
      </c>
      <c r="AI142" s="1">
        <f t="shared" si="54"/>
        <v>1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2" t="s">
        <v>1471</v>
      </c>
      <c r="E143" s="32" t="s">
        <v>171</v>
      </c>
      <c r="F143" s="32" t="s">
        <v>1472</v>
      </c>
      <c r="G143" s="32" t="s">
        <v>39</v>
      </c>
      <c r="H143" s="32" t="s">
        <v>363</v>
      </c>
      <c r="I143" s="31" t="s">
        <v>1473</v>
      </c>
      <c r="J143" s="31">
        <v>18</v>
      </c>
      <c r="K143" s="33" t="s">
        <v>937</v>
      </c>
      <c r="L143" s="33" t="s">
        <v>1704</v>
      </c>
      <c r="M143" s="34" t="s">
        <v>39</v>
      </c>
      <c r="N143" s="34" t="s">
        <v>1709</v>
      </c>
      <c r="O143" s="35">
        <v>1</v>
      </c>
      <c r="P143" s="35"/>
      <c r="Q143" s="32"/>
      <c r="S143" s="1">
        <f t="shared" si="39"/>
        <v>0</v>
      </c>
      <c r="T143" s="1">
        <f t="shared" si="40"/>
        <v>0</v>
      </c>
      <c r="U143" s="1">
        <f t="shared" si="41"/>
        <v>0</v>
      </c>
      <c r="V143" s="1">
        <f t="shared" si="42"/>
        <v>0</v>
      </c>
      <c r="W143" s="1">
        <f t="shared" si="43"/>
        <v>0</v>
      </c>
      <c r="X143" s="1">
        <f t="shared" si="44"/>
        <v>0</v>
      </c>
      <c r="Y143" s="1">
        <f t="shared" si="45"/>
        <v>0</v>
      </c>
      <c r="Z143" s="1">
        <f t="shared" si="46"/>
        <v>0</v>
      </c>
      <c r="AA143" s="1">
        <f t="shared" si="47"/>
        <v>0</v>
      </c>
      <c r="AB143" s="1">
        <f t="shared" si="48"/>
        <v>0</v>
      </c>
      <c r="AD143" s="1">
        <f t="shared" si="49"/>
        <v>0</v>
      </c>
      <c r="AE143" s="1">
        <f t="shared" si="50"/>
        <v>1</v>
      </c>
      <c r="AF143" s="1">
        <f t="shared" si="51"/>
        <v>0</v>
      </c>
      <c r="AG143" s="1">
        <f t="shared" si="52"/>
        <v>1</v>
      </c>
      <c r="AH143" s="1">
        <f t="shared" si="53"/>
        <v>0</v>
      </c>
      <c r="AI143" s="1">
        <f t="shared" si="54"/>
        <v>1</v>
      </c>
    </row>
    <row r="144" spans="1:35" ht="14.25" customHeight="1" x14ac:dyDescent="0.25">
      <c r="A144" s="15">
        <v>0</v>
      </c>
      <c r="B144" s="15">
        <v>1</v>
      </c>
      <c r="C144" s="15">
        <v>3</v>
      </c>
      <c r="D144" s="16" t="s">
        <v>1590</v>
      </c>
      <c r="E144" s="16" t="s">
        <v>171</v>
      </c>
      <c r="F144" s="16" t="s">
        <v>1593</v>
      </c>
      <c r="G144" s="16" t="s">
        <v>39</v>
      </c>
      <c r="H144" s="16" t="s">
        <v>1591</v>
      </c>
      <c r="I144" s="15" t="s">
        <v>1592</v>
      </c>
      <c r="J144" s="15">
        <v>15</v>
      </c>
      <c r="K144" s="10" t="s">
        <v>713</v>
      </c>
      <c r="L144" s="10" t="s">
        <v>39</v>
      </c>
      <c r="M144" s="19" t="s">
        <v>39</v>
      </c>
      <c r="N144" s="17"/>
      <c r="Q144" s="16"/>
      <c r="S144" s="1">
        <f t="shared" si="39"/>
        <v>0</v>
      </c>
      <c r="T144" s="1">
        <f t="shared" si="40"/>
        <v>0</v>
      </c>
      <c r="U144" s="1">
        <f t="shared" si="41"/>
        <v>0</v>
      </c>
      <c r="V144" s="1">
        <f t="shared" si="42"/>
        <v>0</v>
      </c>
      <c r="W144" s="1">
        <f t="shared" si="43"/>
        <v>0</v>
      </c>
      <c r="X144" s="1">
        <f t="shared" si="44"/>
        <v>0</v>
      </c>
      <c r="Y144" s="1">
        <f t="shared" si="45"/>
        <v>0</v>
      </c>
      <c r="Z144" s="1">
        <f t="shared" si="46"/>
        <v>0</v>
      </c>
      <c r="AA144" s="1">
        <f t="shared" si="47"/>
        <v>0</v>
      </c>
      <c r="AB144" s="1">
        <f t="shared" si="48"/>
        <v>0</v>
      </c>
      <c r="AD144" s="1">
        <f t="shared" si="49"/>
        <v>0</v>
      </c>
      <c r="AE144" s="1">
        <f t="shared" si="50"/>
        <v>0</v>
      </c>
      <c r="AF144" s="1">
        <f t="shared" si="51"/>
        <v>0</v>
      </c>
      <c r="AG144" s="1">
        <f t="shared" si="52"/>
        <v>0</v>
      </c>
      <c r="AH144" s="1">
        <f t="shared" si="53"/>
        <v>0</v>
      </c>
      <c r="AI144" s="1">
        <f t="shared" si="54"/>
        <v>1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2" t="s">
        <v>1219</v>
      </c>
      <c r="E145" s="32" t="s">
        <v>1221</v>
      </c>
      <c r="F145" s="32" t="s">
        <v>1222</v>
      </c>
      <c r="G145" s="32" t="s">
        <v>39</v>
      </c>
      <c r="H145" s="32" t="s">
        <v>367</v>
      </c>
      <c r="I145" s="31" t="s">
        <v>1220</v>
      </c>
      <c r="J145" s="31">
        <v>14</v>
      </c>
      <c r="K145" s="33" t="s">
        <v>939</v>
      </c>
      <c r="L145" s="33" t="s">
        <v>678</v>
      </c>
      <c r="M145" s="34" t="s">
        <v>1367</v>
      </c>
      <c r="N145" s="34" t="s">
        <v>1699</v>
      </c>
      <c r="O145" s="35">
        <v>1</v>
      </c>
      <c r="P145" s="35">
        <v>1</v>
      </c>
      <c r="Q145" s="32"/>
      <c r="S145" s="1">
        <f t="shared" si="39"/>
        <v>0</v>
      </c>
      <c r="T145" s="1">
        <f t="shared" si="40"/>
        <v>0</v>
      </c>
      <c r="U145" s="1">
        <f t="shared" si="41"/>
        <v>0</v>
      </c>
      <c r="V145" s="1">
        <f t="shared" si="42"/>
        <v>0</v>
      </c>
      <c r="W145" s="1">
        <f t="shared" si="43"/>
        <v>0</v>
      </c>
      <c r="X145" s="1">
        <f t="shared" si="44"/>
        <v>0</v>
      </c>
      <c r="Y145" s="1">
        <f t="shared" si="45"/>
        <v>0</v>
      </c>
      <c r="Z145" s="1">
        <f t="shared" si="46"/>
        <v>0</v>
      </c>
      <c r="AA145" s="1">
        <f t="shared" si="47"/>
        <v>0</v>
      </c>
      <c r="AB145" s="1">
        <f t="shared" si="48"/>
        <v>0</v>
      </c>
      <c r="AD145" s="1">
        <f t="shared" si="49"/>
        <v>1</v>
      </c>
      <c r="AE145" s="1">
        <f t="shared" si="50"/>
        <v>0</v>
      </c>
      <c r="AF145" s="1">
        <f t="shared" si="51"/>
        <v>1</v>
      </c>
      <c r="AG145" s="1">
        <f t="shared" si="52"/>
        <v>0</v>
      </c>
      <c r="AH145" s="1">
        <f t="shared" si="53"/>
        <v>1</v>
      </c>
      <c r="AI145" s="1">
        <f t="shared" si="54"/>
        <v>0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2" t="s">
        <v>129</v>
      </c>
      <c r="E146" s="32" t="s">
        <v>175</v>
      </c>
      <c r="F146" s="32" t="s">
        <v>329</v>
      </c>
      <c r="G146" s="32" t="s">
        <v>181</v>
      </c>
      <c r="H146" s="32" t="s">
        <v>352</v>
      </c>
      <c r="I146" s="31" t="s">
        <v>476</v>
      </c>
      <c r="J146" s="31">
        <v>99</v>
      </c>
      <c r="K146" s="33" t="s">
        <v>938</v>
      </c>
      <c r="L146" s="33" t="s">
        <v>39</v>
      </c>
      <c r="M146" s="34" t="s">
        <v>39</v>
      </c>
      <c r="N146" s="34" t="s">
        <v>1699</v>
      </c>
      <c r="O146" s="35">
        <v>1</v>
      </c>
      <c r="P146" s="35">
        <v>1</v>
      </c>
      <c r="Q146" s="32"/>
      <c r="S146" s="1">
        <f t="shared" ref="S146:S209" si="55">IF(J146=$S$7,1,0)</f>
        <v>0</v>
      </c>
      <c r="T146" s="1">
        <f t="shared" ref="T146:T209" si="56">IF(J146=$T$7,1,0)</f>
        <v>0</v>
      </c>
      <c r="U146" s="1">
        <f t="shared" ref="U146:U209" si="57">IF(J146=$U$7,1,0)</f>
        <v>0</v>
      </c>
      <c r="V146" s="1">
        <f t="shared" ref="V146:V209" si="58">IF(J146=$V$7,1,0)</f>
        <v>0</v>
      </c>
      <c r="W146" s="1">
        <f t="shared" ref="W146:W209" si="59">IF(J146=$W$7,1,0)</f>
        <v>0</v>
      </c>
      <c r="X146" s="1">
        <f t="shared" ref="X146:X209" si="60">IF(J146=$X$7,1,0)</f>
        <v>0</v>
      </c>
      <c r="Y146" s="1">
        <f t="shared" ref="Y146:Y209" si="61">IF(J146=$Y$7,1,0)</f>
        <v>0</v>
      </c>
      <c r="Z146" s="1">
        <f t="shared" ref="Z146:Z209" si="62">IF(J146=$Z$7,1,0)</f>
        <v>0</v>
      </c>
      <c r="AA146" s="1">
        <f t="shared" ref="AA146:AA209" si="63">IF(J146=$AA$7,1,0)</f>
        <v>0</v>
      </c>
      <c r="AB146" s="1">
        <f t="shared" ref="AB146:AB209" si="64">IF(J146=$AB$7,1,0)</f>
        <v>0</v>
      </c>
      <c r="AD146" s="1">
        <f t="shared" ref="AD146:AD209" si="65">+O146*P146</f>
        <v>1</v>
      </c>
      <c r="AE146" s="1">
        <f t="shared" ref="AE146:AE209" si="66">O146*(1-P146)</f>
        <v>0</v>
      </c>
      <c r="AF146" s="1">
        <f t="shared" si="51"/>
        <v>1</v>
      </c>
      <c r="AG146" s="1">
        <f t="shared" si="52"/>
        <v>0</v>
      </c>
      <c r="AH146" s="1">
        <f t="shared" si="53"/>
        <v>1</v>
      </c>
      <c r="AI146" s="1">
        <f t="shared" si="54"/>
        <v>0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904</v>
      </c>
      <c r="E147" s="32" t="s">
        <v>171</v>
      </c>
      <c r="F147" s="32" t="s">
        <v>916</v>
      </c>
      <c r="G147" s="32" t="s">
        <v>234</v>
      </c>
      <c r="H147" s="32" t="s">
        <v>352</v>
      </c>
      <c r="I147" s="31" t="s">
        <v>929</v>
      </c>
      <c r="J147" s="31">
        <v>99</v>
      </c>
      <c r="K147" s="33" t="s">
        <v>713</v>
      </c>
      <c r="L147" s="33">
        <v>45</v>
      </c>
      <c r="M147" s="34" t="s">
        <v>39</v>
      </c>
      <c r="N147" s="34" t="s">
        <v>1761</v>
      </c>
      <c r="O147" s="35">
        <v>1</v>
      </c>
      <c r="P147" s="35"/>
      <c r="Q147" s="32"/>
      <c r="S147" s="1">
        <f t="shared" si="55"/>
        <v>0</v>
      </c>
      <c r="T147" s="1">
        <f t="shared" si="56"/>
        <v>0</v>
      </c>
      <c r="U147" s="1">
        <f t="shared" si="57"/>
        <v>0</v>
      </c>
      <c r="V147" s="1">
        <f t="shared" si="58"/>
        <v>0</v>
      </c>
      <c r="W147" s="1">
        <f t="shared" si="59"/>
        <v>0</v>
      </c>
      <c r="X147" s="1">
        <f t="shared" si="60"/>
        <v>0</v>
      </c>
      <c r="Y147" s="1">
        <f t="shared" si="61"/>
        <v>0</v>
      </c>
      <c r="Z147" s="1">
        <f t="shared" si="62"/>
        <v>0</v>
      </c>
      <c r="AA147" s="1">
        <f t="shared" si="63"/>
        <v>0</v>
      </c>
      <c r="AB147" s="1">
        <f t="shared" si="64"/>
        <v>0</v>
      </c>
      <c r="AD147" s="1">
        <f t="shared" si="65"/>
        <v>0</v>
      </c>
      <c r="AE147" s="1">
        <f t="shared" si="66"/>
        <v>1</v>
      </c>
      <c r="AF147" s="1">
        <f t="shared" ref="AF147:AF210" si="67">+O147*P147*(1-A147)</f>
        <v>0</v>
      </c>
      <c r="AG147" s="1">
        <f t="shared" ref="AG147:AG210" si="68">O147*(1-P147)*(1-A147)</f>
        <v>1</v>
      </c>
      <c r="AH147" s="1">
        <f t="shared" ref="AH147:AH210" si="69">+P147*(1-A147)</f>
        <v>0</v>
      </c>
      <c r="AI147" s="1">
        <f t="shared" ref="AI147:AI210" si="70">+(1-A147)*(1-P147)</f>
        <v>1</v>
      </c>
    </row>
    <row r="148" spans="1:35" ht="14.25" customHeight="1" x14ac:dyDescent="0.25">
      <c r="A148" s="44">
        <v>0</v>
      </c>
      <c r="B148" s="44">
        <v>1</v>
      </c>
      <c r="C148" s="44">
        <v>3</v>
      </c>
      <c r="D148" s="45" t="s">
        <v>78</v>
      </c>
      <c r="E148" s="45" t="s">
        <v>602</v>
      </c>
      <c r="F148" s="45" t="s">
        <v>306</v>
      </c>
      <c r="G148" s="45" t="s">
        <v>39</v>
      </c>
      <c r="H148" s="45" t="s">
        <v>360</v>
      </c>
      <c r="I148" s="44" t="s">
        <v>454</v>
      </c>
      <c r="J148" s="44">
        <v>12</v>
      </c>
      <c r="K148" s="46" t="s">
        <v>694</v>
      </c>
      <c r="L148" s="46">
        <v>40</v>
      </c>
      <c r="M148" s="47" t="s">
        <v>952</v>
      </c>
      <c r="N148" s="47" t="s">
        <v>1762</v>
      </c>
      <c r="O148" s="48"/>
      <c r="P148" s="48"/>
      <c r="Q148" s="45"/>
      <c r="S148" s="1">
        <f t="shared" si="55"/>
        <v>0</v>
      </c>
      <c r="T148" s="1">
        <f t="shared" si="56"/>
        <v>0</v>
      </c>
      <c r="U148" s="1">
        <f t="shared" si="57"/>
        <v>0</v>
      </c>
      <c r="V148" s="1">
        <f t="shared" si="58"/>
        <v>0</v>
      </c>
      <c r="W148" s="1">
        <f t="shared" si="59"/>
        <v>0</v>
      </c>
      <c r="X148" s="1">
        <f t="shared" si="60"/>
        <v>0</v>
      </c>
      <c r="Y148" s="1">
        <f t="shared" si="61"/>
        <v>0</v>
      </c>
      <c r="Z148" s="1">
        <f t="shared" si="62"/>
        <v>0</v>
      </c>
      <c r="AA148" s="1">
        <f t="shared" si="63"/>
        <v>0</v>
      </c>
      <c r="AB148" s="1">
        <f t="shared" si="64"/>
        <v>0</v>
      </c>
      <c r="AD148" s="1">
        <f t="shared" si="65"/>
        <v>0</v>
      </c>
      <c r="AE148" s="1">
        <f t="shared" si="66"/>
        <v>0</v>
      </c>
      <c r="AF148" s="1">
        <f t="shared" si="67"/>
        <v>0</v>
      </c>
      <c r="AG148" s="1">
        <f t="shared" si="68"/>
        <v>0</v>
      </c>
      <c r="AH148" s="1">
        <f t="shared" si="69"/>
        <v>0</v>
      </c>
      <c r="AI148" s="1">
        <f t="shared" si="70"/>
        <v>1</v>
      </c>
    </row>
    <row r="149" spans="1:35" ht="14.25" customHeight="1" x14ac:dyDescent="0.25">
      <c r="A149" s="15">
        <v>0</v>
      </c>
      <c r="B149" s="15">
        <v>1</v>
      </c>
      <c r="C149" s="15">
        <v>3</v>
      </c>
      <c r="D149" s="16" t="s">
        <v>1549</v>
      </c>
      <c r="E149" s="16" t="s">
        <v>169</v>
      </c>
      <c r="F149" s="16" t="s">
        <v>1551</v>
      </c>
      <c r="G149" s="16"/>
      <c r="H149" s="16" t="s">
        <v>363</v>
      </c>
      <c r="I149" s="15" t="s">
        <v>1550</v>
      </c>
      <c r="J149" s="15">
        <v>18</v>
      </c>
      <c r="K149" s="10" t="s">
        <v>694</v>
      </c>
      <c r="L149" s="10" t="s">
        <v>679</v>
      </c>
      <c r="M149" s="19" t="s">
        <v>952</v>
      </c>
      <c r="N149" s="17"/>
      <c r="Q149" s="16"/>
      <c r="S149" s="1">
        <f t="shared" si="55"/>
        <v>0</v>
      </c>
      <c r="T149" s="1">
        <f t="shared" si="56"/>
        <v>0</v>
      </c>
      <c r="U149" s="1">
        <f t="shared" si="57"/>
        <v>0</v>
      </c>
      <c r="V149" s="1">
        <f t="shared" si="58"/>
        <v>0</v>
      </c>
      <c r="W149" s="1">
        <f t="shared" si="59"/>
        <v>0</v>
      </c>
      <c r="X149" s="1">
        <f t="shared" si="60"/>
        <v>0</v>
      </c>
      <c r="Y149" s="1">
        <f t="shared" si="61"/>
        <v>0</v>
      </c>
      <c r="Z149" s="1">
        <f t="shared" si="62"/>
        <v>0</v>
      </c>
      <c r="AA149" s="1">
        <f t="shared" si="63"/>
        <v>0</v>
      </c>
      <c r="AB149" s="1">
        <f t="shared" si="64"/>
        <v>0</v>
      </c>
      <c r="AD149" s="1">
        <f t="shared" si="65"/>
        <v>0</v>
      </c>
      <c r="AE149" s="1">
        <f t="shared" si="66"/>
        <v>0</v>
      </c>
      <c r="AF149" s="1">
        <f t="shared" si="67"/>
        <v>0</v>
      </c>
      <c r="AG149" s="1">
        <f t="shared" si="68"/>
        <v>0</v>
      </c>
      <c r="AH149" s="1">
        <f t="shared" si="69"/>
        <v>0</v>
      </c>
      <c r="AI149" s="1">
        <f t="shared" si="70"/>
        <v>1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1261</v>
      </c>
      <c r="E150" s="32" t="s">
        <v>171</v>
      </c>
      <c r="F150" s="32" t="s">
        <v>1262</v>
      </c>
      <c r="G150" s="32" t="s">
        <v>237</v>
      </c>
      <c r="H150" s="32" t="s">
        <v>352</v>
      </c>
      <c r="I150" s="31" t="s">
        <v>1263</v>
      </c>
      <c r="J150" s="31">
        <v>4</v>
      </c>
      <c r="K150" s="33" t="s">
        <v>938</v>
      </c>
      <c r="L150" s="33" t="s">
        <v>39</v>
      </c>
      <c r="M150" s="34" t="s">
        <v>39</v>
      </c>
      <c r="N150" s="34" t="s">
        <v>1693</v>
      </c>
      <c r="O150" s="35">
        <v>1</v>
      </c>
      <c r="P150" s="35">
        <v>1</v>
      </c>
      <c r="Q150" s="32"/>
      <c r="S150" s="1">
        <f t="shared" si="55"/>
        <v>0</v>
      </c>
      <c r="T150" s="1">
        <f t="shared" si="56"/>
        <v>0</v>
      </c>
      <c r="U150" s="1">
        <f t="shared" si="57"/>
        <v>0</v>
      </c>
      <c r="V150" s="1">
        <f t="shared" si="58"/>
        <v>1</v>
      </c>
      <c r="W150" s="1">
        <f t="shared" si="59"/>
        <v>0</v>
      </c>
      <c r="X150" s="1">
        <f t="shared" si="60"/>
        <v>0</v>
      </c>
      <c r="Y150" s="1">
        <f t="shared" si="61"/>
        <v>0</v>
      </c>
      <c r="Z150" s="1">
        <f t="shared" si="62"/>
        <v>0</v>
      </c>
      <c r="AA150" s="1">
        <f t="shared" si="63"/>
        <v>0</v>
      </c>
      <c r="AB150" s="1">
        <f t="shared" si="64"/>
        <v>0</v>
      </c>
      <c r="AD150" s="1">
        <f t="shared" si="65"/>
        <v>1</v>
      </c>
      <c r="AE150" s="1">
        <f t="shared" si="66"/>
        <v>0</v>
      </c>
      <c r="AF150" s="1">
        <f t="shared" si="67"/>
        <v>1</v>
      </c>
      <c r="AG150" s="1">
        <f t="shared" si="68"/>
        <v>0</v>
      </c>
      <c r="AH150" s="1">
        <f t="shared" si="69"/>
        <v>1</v>
      </c>
      <c r="AI150" s="1">
        <f t="shared" si="70"/>
        <v>0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2" t="s">
        <v>640</v>
      </c>
      <c r="E151" s="32" t="s">
        <v>171</v>
      </c>
      <c r="F151" s="32" t="s">
        <v>649</v>
      </c>
      <c r="G151" s="32" t="s">
        <v>231</v>
      </c>
      <c r="H151" s="32" t="s">
        <v>352</v>
      </c>
      <c r="I151" s="31" t="s">
        <v>604</v>
      </c>
      <c r="J151" s="31">
        <v>99</v>
      </c>
      <c r="K151" s="33" t="s">
        <v>693</v>
      </c>
      <c r="L151" s="33" t="s">
        <v>39</v>
      </c>
      <c r="M151" s="34" t="s">
        <v>39</v>
      </c>
      <c r="N151" s="34" t="s">
        <v>1699</v>
      </c>
      <c r="O151" s="35">
        <v>1</v>
      </c>
      <c r="P151" s="35">
        <v>1</v>
      </c>
      <c r="Q151" s="32"/>
      <c r="S151" s="1">
        <f t="shared" si="55"/>
        <v>0</v>
      </c>
      <c r="T151" s="1">
        <f t="shared" si="56"/>
        <v>0</v>
      </c>
      <c r="U151" s="1">
        <f t="shared" si="57"/>
        <v>0</v>
      </c>
      <c r="V151" s="1">
        <f t="shared" si="58"/>
        <v>0</v>
      </c>
      <c r="W151" s="1">
        <f t="shared" si="59"/>
        <v>0</v>
      </c>
      <c r="X151" s="1">
        <f t="shared" si="60"/>
        <v>0</v>
      </c>
      <c r="Y151" s="1">
        <f t="shared" si="61"/>
        <v>0</v>
      </c>
      <c r="Z151" s="1">
        <f t="shared" si="62"/>
        <v>0</v>
      </c>
      <c r="AA151" s="1">
        <f t="shared" si="63"/>
        <v>0</v>
      </c>
      <c r="AB151" s="1">
        <f t="shared" si="64"/>
        <v>0</v>
      </c>
      <c r="AD151" s="1">
        <f t="shared" si="65"/>
        <v>1</v>
      </c>
      <c r="AE151" s="1">
        <f t="shared" si="66"/>
        <v>0</v>
      </c>
      <c r="AF151" s="1">
        <f t="shared" si="67"/>
        <v>1</v>
      </c>
      <c r="AG151" s="1">
        <f t="shared" si="68"/>
        <v>0</v>
      </c>
      <c r="AH151" s="1">
        <f t="shared" si="69"/>
        <v>1</v>
      </c>
      <c r="AI151" s="1">
        <f t="shared" si="70"/>
        <v>0</v>
      </c>
    </row>
    <row r="152" spans="1:35" ht="14.25" customHeight="1" x14ac:dyDescent="0.25">
      <c r="A152" s="38">
        <v>0</v>
      </c>
      <c r="B152" s="38">
        <v>1</v>
      </c>
      <c r="C152" s="38">
        <v>3</v>
      </c>
      <c r="D152" s="39" t="s">
        <v>858</v>
      </c>
      <c r="E152" s="39" t="s">
        <v>859</v>
      </c>
      <c r="F152" s="39" t="s">
        <v>860</v>
      </c>
      <c r="G152" s="39" t="s">
        <v>39</v>
      </c>
      <c r="H152" s="39" t="s">
        <v>364</v>
      </c>
      <c r="I152" s="38" t="s">
        <v>861</v>
      </c>
      <c r="J152" s="38">
        <v>18</v>
      </c>
      <c r="K152" s="40" t="s">
        <v>937</v>
      </c>
      <c r="L152" s="40" t="s">
        <v>39</v>
      </c>
      <c r="M152" s="41" t="s">
        <v>39</v>
      </c>
      <c r="N152" s="42"/>
      <c r="O152" s="43"/>
      <c r="P152" s="43">
        <v>1</v>
      </c>
      <c r="Q152" s="39"/>
      <c r="S152" s="1">
        <f t="shared" si="55"/>
        <v>0</v>
      </c>
      <c r="T152" s="1">
        <f t="shared" si="56"/>
        <v>0</v>
      </c>
      <c r="U152" s="1">
        <f t="shared" si="57"/>
        <v>0</v>
      </c>
      <c r="V152" s="1">
        <f t="shared" si="58"/>
        <v>0</v>
      </c>
      <c r="W152" s="1">
        <f t="shared" si="59"/>
        <v>0</v>
      </c>
      <c r="X152" s="1">
        <f t="shared" si="60"/>
        <v>0</v>
      </c>
      <c r="Y152" s="1">
        <f t="shared" si="61"/>
        <v>0</v>
      </c>
      <c r="Z152" s="1">
        <f t="shared" si="62"/>
        <v>0</v>
      </c>
      <c r="AA152" s="1">
        <f t="shared" si="63"/>
        <v>0</v>
      </c>
      <c r="AB152" s="1">
        <f t="shared" si="64"/>
        <v>0</v>
      </c>
      <c r="AD152" s="1">
        <f t="shared" si="65"/>
        <v>0</v>
      </c>
      <c r="AE152" s="1">
        <f t="shared" si="66"/>
        <v>0</v>
      </c>
      <c r="AF152" s="1">
        <f t="shared" si="67"/>
        <v>0</v>
      </c>
      <c r="AG152" s="1">
        <f t="shared" si="68"/>
        <v>0</v>
      </c>
      <c r="AH152" s="1">
        <f t="shared" si="69"/>
        <v>1</v>
      </c>
      <c r="AI152" s="1">
        <f t="shared" si="70"/>
        <v>0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2" t="s">
        <v>1281</v>
      </c>
      <c r="E153" s="32" t="s">
        <v>171</v>
      </c>
      <c r="F153" s="32" t="s">
        <v>1282</v>
      </c>
      <c r="G153" s="32" t="s">
        <v>207</v>
      </c>
      <c r="H153" s="32" t="s">
        <v>352</v>
      </c>
      <c r="I153" s="31" t="s">
        <v>1283</v>
      </c>
      <c r="J153" s="31">
        <v>3</v>
      </c>
      <c r="K153" s="33" t="s">
        <v>937</v>
      </c>
      <c r="L153" s="33" t="s">
        <v>39</v>
      </c>
      <c r="M153" s="34" t="s">
        <v>39</v>
      </c>
      <c r="N153" s="34" t="s">
        <v>1699</v>
      </c>
      <c r="O153" s="35">
        <v>1</v>
      </c>
      <c r="P153" s="35">
        <v>1</v>
      </c>
      <c r="Q153" s="32"/>
      <c r="S153" s="1">
        <f t="shared" si="55"/>
        <v>0</v>
      </c>
      <c r="T153" s="1">
        <f t="shared" si="56"/>
        <v>0</v>
      </c>
      <c r="U153" s="1">
        <f t="shared" si="57"/>
        <v>1</v>
      </c>
      <c r="V153" s="1">
        <f t="shared" si="58"/>
        <v>0</v>
      </c>
      <c r="W153" s="1">
        <f t="shared" si="59"/>
        <v>0</v>
      </c>
      <c r="X153" s="1">
        <f t="shared" si="60"/>
        <v>0</v>
      </c>
      <c r="Y153" s="1">
        <f t="shared" si="61"/>
        <v>0</v>
      </c>
      <c r="Z153" s="1">
        <f t="shared" si="62"/>
        <v>0</v>
      </c>
      <c r="AA153" s="1">
        <f t="shared" si="63"/>
        <v>0</v>
      </c>
      <c r="AB153" s="1">
        <f t="shared" si="64"/>
        <v>0</v>
      </c>
      <c r="AD153" s="1">
        <f t="shared" si="65"/>
        <v>1</v>
      </c>
      <c r="AE153" s="1">
        <f t="shared" si="66"/>
        <v>0</v>
      </c>
      <c r="AF153" s="1">
        <f t="shared" si="67"/>
        <v>1</v>
      </c>
      <c r="AG153" s="1">
        <f t="shared" si="68"/>
        <v>0</v>
      </c>
      <c r="AH153" s="1">
        <f t="shared" si="69"/>
        <v>1</v>
      </c>
      <c r="AI153" s="1">
        <f t="shared" si="70"/>
        <v>0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852</v>
      </c>
      <c r="E154" s="32" t="s">
        <v>169</v>
      </c>
      <c r="F154" s="32" t="s">
        <v>853</v>
      </c>
      <c r="G154" s="32" t="s">
        <v>39</v>
      </c>
      <c r="H154" s="32" t="s">
        <v>854</v>
      </c>
      <c r="I154" s="31" t="s">
        <v>930</v>
      </c>
      <c r="J154" s="31">
        <v>11</v>
      </c>
      <c r="K154" s="33" t="s">
        <v>693</v>
      </c>
      <c r="L154" s="33" t="s">
        <v>680</v>
      </c>
      <c r="M154" s="34" t="s">
        <v>952</v>
      </c>
      <c r="N154" s="34" t="s">
        <v>1716</v>
      </c>
      <c r="O154" s="35">
        <v>1</v>
      </c>
      <c r="P154" s="35"/>
      <c r="Q154" s="32"/>
      <c r="S154" s="1">
        <f t="shared" si="55"/>
        <v>0</v>
      </c>
      <c r="T154" s="1">
        <f t="shared" si="56"/>
        <v>0</v>
      </c>
      <c r="U154" s="1">
        <f t="shared" si="57"/>
        <v>0</v>
      </c>
      <c r="V154" s="1">
        <f t="shared" si="58"/>
        <v>0</v>
      </c>
      <c r="W154" s="1">
        <f t="shared" si="59"/>
        <v>0</v>
      </c>
      <c r="X154" s="1">
        <f t="shared" si="60"/>
        <v>0</v>
      </c>
      <c r="Y154" s="1">
        <f t="shared" si="61"/>
        <v>0</v>
      </c>
      <c r="Z154" s="1">
        <f t="shared" si="62"/>
        <v>0</v>
      </c>
      <c r="AA154" s="1">
        <f t="shared" si="63"/>
        <v>0</v>
      </c>
      <c r="AB154" s="1">
        <f t="shared" si="64"/>
        <v>0</v>
      </c>
      <c r="AD154" s="1">
        <f t="shared" si="65"/>
        <v>0</v>
      </c>
      <c r="AE154" s="1">
        <f t="shared" si="66"/>
        <v>1</v>
      </c>
      <c r="AF154" s="1">
        <f t="shared" si="67"/>
        <v>0</v>
      </c>
      <c r="AG154" s="1">
        <f t="shared" si="68"/>
        <v>1</v>
      </c>
      <c r="AH154" s="1">
        <f t="shared" si="69"/>
        <v>0</v>
      </c>
      <c r="AI154" s="1">
        <f t="shared" si="70"/>
        <v>1</v>
      </c>
    </row>
    <row r="155" spans="1:35" ht="14.25" customHeight="1" x14ac:dyDescent="0.25">
      <c r="A155" s="15">
        <v>0</v>
      </c>
      <c r="B155" s="15">
        <v>1</v>
      </c>
      <c r="C155" s="15">
        <v>3</v>
      </c>
      <c r="D155" s="16" t="s">
        <v>502</v>
      </c>
      <c r="E155" s="16" t="s">
        <v>169</v>
      </c>
      <c r="F155" s="16" t="s">
        <v>503</v>
      </c>
      <c r="G155" s="16" t="s">
        <v>500</v>
      </c>
      <c r="H155" s="16" t="s">
        <v>352</v>
      </c>
      <c r="I155" s="15" t="s">
        <v>504</v>
      </c>
      <c r="J155" s="15">
        <v>99</v>
      </c>
      <c r="K155" s="10" t="s">
        <v>694</v>
      </c>
      <c r="L155" s="10">
        <v>40</v>
      </c>
      <c r="M155" s="19" t="s">
        <v>952</v>
      </c>
      <c r="N155" s="19"/>
      <c r="Q155" s="16"/>
      <c r="S155" s="1">
        <f t="shared" si="55"/>
        <v>0</v>
      </c>
      <c r="T155" s="1">
        <f t="shared" si="56"/>
        <v>0</v>
      </c>
      <c r="U155" s="1">
        <f t="shared" si="57"/>
        <v>0</v>
      </c>
      <c r="V155" s="1">
        <f t="shared" si="58"/>
        <v>0</v>
      </c>
      <c r="W155" s="1">
        <f t="shared" si="59"/>
        <v>0</v>
      </c>
      <c r="X155" s="1">
        <f t="shared" si="60"/>
        <v>0</v>
      </c>
      <c r="Y155" s="1">
        <f t="shared" si="61"/>
        <v>0</v>
      </c>
      <c r="Z155" s="1">
        <f t="shared" si="62"/>
        <v>0</v>
      </c>
      <c r="AA155" s="1">
        <f t="shared" si="63"/>
        <v>0</v>
      </c>
      <c r="AB155" s="1">
        <f t="shared" si="64"/>
        <v>0</v>
      </c>
      <c r="AD155" s="1">
        <f t="shared" si="65"/>
        <v>0</v>
      </c>
      <c r="AE155" s="1">
        <f t="shared" si="66"/>
        <v>0</v>
      </c>
      <c r="AF155" s="1">
        <f t="shared" si="67"/>
        <v>0</v>
      </c>
      <c r="AG155" s="1">
        <f t="shared" si="68"/>
        <v>0</v>
      </c>
      <c r="AH155" s="1">
        <f t="shared" si="69"/>
        <v>0</v>
      </c>
      <c r="AI155" s="1">
        <f t="shared" si="70"/>
        <v>1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6" t="s">
        <v>1752</v>
      </c>
      <c r="E156" s="36" t="s">
        <v>1753</v>
      </c>
      <c r="F156" s="36" t="s">
        <v>1754</v>
      </c>
      <c r="G156" s="36" t="s">
        <v>1755</v>
      </c>
      <c r="H156" s="36" t="s">
        <v>352</v>
      </c>
      <c r="I156" s="37" t="s">
        <v>1756</v>
      </c>
      <c r="J156" s="31">
        <v>99</v>
      </c>
      <c r="K156" s="33" t="s">
        <v>694</v>
      </c>
      <c r="L156" s="33"/>
      <c r="M156" s="34"/>
      <c r="N156" s="34" t="s">
        <v>1699</v>
      </c>
      <c r="O156" s="35">
        <v>1</v>
      </c>
      <c r="P156" s="35">
        <v>1</v>
      </c>
      <c r="Q156" s="36"/>
      <c r="S156" s="1">
        <f t="shared" si="55"/>
        <v>0</v>
      </c>
      <c r="T156" s="1">
        <f t="shared" si="56"/>
        <v>0</v>
      </c>
      <c r="U156" s="1">
        <f t="shared" si="57"/>
        <v>0</v>
      </c>
      <c r="V156" s="1">
        <f t="shared" si="58"/>
        <v>0</v>
      </c>
      <c r="W156" s="1">
        <f t="shared" si="59"/>
        <v>0</v>
      </c>
      <c r="X156" s="1">
        <f t="shared" si="60"/>
        <v>0</v>
      </c>
      <c r="Y156" s="1">
        <f t="shared" si="61"/>
        <v>0</v>
      </c>
      <c r="Z156" s="1">
        <f t="shared" si="62"/>
        <v>0</v>
      </c>
      <c r="AA156" s="1">
        <f t="shared" si="63"/>
        <v>0</v>
      </c>
      <c r="AB156" s="1">
        <f t="shared" si="64"/>
        <v>0</v>
      </c>
      <c r="AD156" s="1">
        <f t="shared" si="65"/>
        <v>1</v>
      </c>
      <c r="AE156" s="1">
        <f t="shared" si="66"/>
        <v>0</v>
      </c>
      <c r="AF156" s="1">
        <f t="shared" si="67"/>
        <v>1</v>
      </c>
      <c r="AG156" s="1">
        <f t="shared" si="68"/>
        <v>0</v>
      </c>
      <c r="AH156" s="1">
        <f t="shared" si="69"/>
        <v>1</v>
      </c>
      <c r="AI156" s="1">
        <f t="shared" si="70"/>
        <v>0</v>
      </c>
    </row>
    <row r="157" spans="1:35" ht="14.25" customHeight="1" x14ac:dyDescent="0.25">
      <c r="A157" s="31">
        <v>0</v>
      </c>
      <c r="B157" s="31">
        <v>1</v>
      </c>
      <c r="C157" s="31">
        <v>3</v>
      </c>
      <c r="D157" s="32" t="s">
        <v>525</v>
      </c>
      <c r="E157" s="32" t="s">
        <v>169</v>
      </c>
      <c r="F157" s="32" t="s">
        <v>650</v>
      </c>
      <c r="G157" s="32" t="s">
        <v>39</v>
      </c>
      <c r="H157" s="32" t="s">
        <v>526</v>
      </c>
      <c r="I157" s="31" t="s">
        <v>527</v>
      </c>
      <c r="J157" s="31">
        <v>18</v>
      </c>
      <c r="K157" s="33" t="s">
        <v>937</v>
      </c>
      <c r="L157" s="33" t="s">
        <v>1704</v>
      </c>
      <c r="M157" s="34" t="s">
        <v>951</v>
      </c>
      <c r="N157" s="34" t="s">
        <v>1699</v>
      </c>
      <c r="O157" s="35">
        <v>1</v>
      </c>
      <c r="P157" s="35">
        <v>1</v>
      </c>
      <c r="Q157" s="32"/>
      <c r="S157" s="1">
        <f t="shared" si="55"/>
        <v>0</v>
      </c>
      <c r="T157" s="1">
        <f t="shared" si="56"/>
        <v>0</v>
      </c>
      <c r="U157" s="1">
        <f t="shared" si="57"/>
        <v>0</v>
      </c>
      <c r="V157" s="1">
        <f t="shared" si="58"/>
        <v>0</v>
      </c>
      <c r="W157" s="1">
        <f t="shared" si="59"/>
        <v>0</v>
      </c>
      <c r="X157" s="1">
        <f t="shared" si="60"/>
        <v>0</v>
      </c>
      <c r="Y157" s="1">
        <f t="shared" si="61"/>
        <v>0</v>
      </c>
      <c r="Z157" s="1">
        <f t="shared" si="62"/>
        <v>0</v>
      </c>
      <c r="AA157" s="1">
        <f t="shared" si="63"/>
        <v>0</v>
      </c>
      <c r="AB157" s="1">
        <f t="shared" si="64"/>
        <v>0</v>
      </c>
      <c r="AD157" s="1">
        <f t="shared" si="65"/>
        <v>1</v>
      </c>
      <c r="AE157" s="1">
        <f t="shared" si="66"/>
        <v>0</v>
      </c>
      <c r="AF157" s="1">
        <f t="shared" si="67"/>
        <v>1</v>
      </c>
      <c r="AG157" s="1">
        <f t="shared" si="68"/>
        <v>0</v>
      </c>
      <c r="AH157" s="1">
        <f t="shared" si="69"/>
        <v>1</v>
      </c>
      <c r="AI157" s="1">
        <f t="shared" si="70"/>
        <v>0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2" t="s">
        <v>956</v>
      </c>
      <c r="E158" s="32" t="s">
        <v>174</v>
      </c>
      <c r="F158" s="32" t="s">
        <v>790</v>
      </c>
      <c r="G158" s="32" t="s">
        <v>39</v>
      </c>
      <c r="H158" s="32" t="s">
        <v>791</v>
      </c>
      <c r="I158" s="31" t="s">
        <v>792</v>
      </c>
      <c r="J158" s="31">
        <v>16</v>
      </c>
      <c r="K158" s="33" t="s">
        <v>938</v>
      </c>
      <c r="L158" s="33" t="s">
        <v>1119</v>
      </c>
      <c r="M158" s="34" t="s">
        <v>951</v>
      </c>
      <c r="N158" s="34" t="s">
        <v>1709</v>
      </c>
      <c r="O158" s="35">
        <v>1</v>
      </c>
      <c r="P158" s="35"/>
      <c r="Q158" s="32"/>
      <c r="S158" s="1">
        <f t="shared" si="55"/>
        <v>0</v>
      </c>
      <c r="T158" s="1">
        <f t="shared" si="56"/>
        <v>0</v>
      </c>
      <c r="U158" s="1">
        <f t="shared" si="57"/>
        <v>0</v>
      </c>
      <c r="V158" s="1">
        <f t="shared" si="58"/>
        <v>0</v>
      </c>
      <c r="W158" s="1">
        <f t="shared" si="59"/>
        <v>0</v>
      </c>
      <c r="X158" s="1">
        <f t="shared" si="60"/>
        <v>0</v>
      </c>
      <c r="Y158" s="1">
        <f t="shared" si="61"/>
        <v>0</v>
      </c>
      <c r="Z158" s="1">
        <f t="shared" si="62"/>
        <v>0</v>
      </c>
      <c r="AA158" s="1">
        <f t="shared" si="63"/>
        <v>0</v>
      </c>
      <c r="AB158" s="1">
        <f t="shared" si="64"/>
        <v>0</v>
      </c>
      <c r="AD158" s="1">
        <f t="shared" si="65"/>
        <v>0</v>
      </c>
      <c r="AE158" s="1">
        <f t="shared" si="66"/>
        <v>1</v>
      </c>
      <c r="AF158" s="1">
        <f t="shared" si="67"/>
        <v>0</v>
      </c>
      <c r="AG158" s="1">
        <f t="shared" si="68"/>
        <v>1</v>
      </c>
      <c r="AH158" s="1">
        <f t="shared" si="69"/>
        <v>0</v>
      </c>
      <c r="AI158" s="1">
        <f t="shared" si="70"/>
        <v>1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1173</v>
      </c>
      <c r="E159" s="32" t="s">
        <v>171</v>
      </c>
      <c r="F159" s="32" t="s">
        <v>1174</v>
      </c>
      <c r="G159" s="32" t="s">
        <v>237</v>
      </c>
      <c r="H159" s="32" t="s">
        <v>352</v>
      </c>
      <c r="I159" s="31" t="s">
        <v>1175</v>
      </c>
      <c r="J159" s="31">
        <v>4</v>
      </c>
      <c r="K159" s="33" t="s">
        <v>944</v>
      </c>
      <c r="L159" s="33" t="s">
        <v>1665</v>
      </c>
      <c r="M159" s="34" t="s">
        <v>1571</v>
      </c>
      <c r="N159" s="34" t="s">
        <v>1693</v>
      </c>
      <c r="O159" s="35">
        <v>1</v>
      </c>
      <c r="P159" s="35">
        <v>1</v>
      </c>
      <c r="Q159" s="32"/>
      <c r="S159" s="1">
        <f t="shared" si="55"/>
        <v>0</v>
      </c>
      <c r="T159" s="1">
        <f t="shared" si="56"/>
        <v>0</v>
      </c>
      <c r="U159" s="1">
        <f t="shared" si="57"/>
        <v>0</v>
      </c>
      <c r="V159" s="1">
        <f t="shared" si="58"/>
        <v>1</v>
      </c>
      <c r="W159" s="1">
        <f t="shared" si="59"/>
        <v>0</v>
      </c>
      <c r="X159" s="1">
        <f t="shared" si="60"/>
        <v>0</v>
      </c>
      <c r="Y159" s="1">
        <f t="shared" si="61"/>
        <v>0</v>
      </c>
      <c r="Z159" s="1">
        <f t="shared" si="62"/>
        <v>0</v>
      </c>
      <c r="AA159" s="1">
        <f t="shared" si="63"/>
        <v>0</v>
      </c>
      <c r="AB159" s="1">
        <f t="shared" si="64"/>
        <v>0</v>
      </c>
      <c r="AD159" s="1">
        <f t="shared" si="65"/>
        <v>1</v>
      </c>
      <c r="AE159" s="1">
        <f t="shared" si="66"/>
        <v>0</v>
      </c>
      <c r="AF159" s="1">
        <f t="shared" si="67"/>
        <v>1</v>
      </c>
      <c r="AG159" s="1">
        <f t="shared" si="68"/>
        <v>0</v>
      </c>
      <c r="AH159" s="1">
        <f t="shared" si="69"/>
        <v>1</v>
      </c>
      <c r="AI159" s="1">
        <f t="shared" si="70"/>
        <v>0</v>
      </c>
    </row>
    <row r="160" spans="1:35" ht="14.25" customHeight="1" x14ac:dyDescent="0.25">
      <c r="A160" s="31">
        <v>0</v>
      </c>
      <c r="B160" s="31">
        <v>1</v>
      </c>
      <c r="C160" s="31">
        <v>3</v>
      </c>
      <c r="D160" s="32" t="s">
        <v>1608</v>
      </c>
      <c r="E160" s="32" t="s">
        <v>169</v>
      </c>
      <c r="F160" s="32" t="s">
        <v>1445</v>
      </c>
      <c r="G160" s="32" t="s">
        <v>1636</v>
      </c>
      <c r="H160" s="32" t="s">
        <v>352</v>
      </c>
      <c r="I160" s="31" t="s">
        <v>1444</v>
      </c>
      <c r="J160" s="31">
        <v>99</v>
      </c>
      <c r="K160" s="33" t="s">
        <v>693</v>
      </c>
      <c r="L160" s="33" t="s">
        <v>1670</v>
      </c>
      <c r="M160" s="34" t="s">
        <v>1446</v>
      </c>
      <c r="N160" s="34" t="s">
        <v>1710</v>
      </c>
      <c r="O160" s="35">
        <v>1</v>
      </c>
      <c r="P160" s="35"/>
      <c r="Q160" s="32"/>
      <c r="S160" s="1">
        <f t="shared" si="55"/>
        <v>0</v>
      </c>
      <c r="T160" s="1">
        <f t="shared" si="56"/>
        <v>0</v>
      </c>
      <c r="U160" s="1">
        <f t="shared" si="57"/>
        <v>0</v>
      </c>
      <c r="V160" s="1">
        <f t="shared" si="58"/>
        <v>0</v>
      </c>
      <c r="W160" s="1">
        <f t="shared" si="59"/>
        <v>0</v>
      </c>
      <c r="X160" s="1">
        <f t="shared" si="60"/>
        <v>0</v>
      </c>
      <c r="Y160" s="1">
        <f t="shared" si="61"/>
        <v>0</v>
      </c>
      <c r="Z160" s="1">
        <f t="shared" si="62"/>
        <v>0</v>
      </c>
      <c r="AA160" s="1">
        <f t="shared" si="63"/>
        <v>0</v>
      </c>
      <c r="AB160" s="1">
        <f t="shared" si="64"/>
        <v>0</v>
      </c>
      <c r="AD160" s="1">
        <f t="shared" si="65"/>
        <v>0</v>
      </c>
      <c r="AE160" s="1">
        <f t="shared" si="66"/>
        <v>1</v>
      </c>
      <c r="AF160" s="1">
        <f t="shared" si="67"/>
        <v>0</v>
      </c>
      <c r="AG160" s="1">
        <f t="shared" si="68"/>
        <v>1</v>
      </c>
      <c r="AH160" s="1">
        <f t="shared" si="69"/>
        <v>0</v>
      </c>
      <c r="AI160" s="1">
        <f t="shared" si="70"/>
        <v>1</v>
      </c>
    </row>
    <row r="161" spans="1:35" ht="14.25" customHeight="1" x14ac:dyDescent="0.25">
      <c r="A161" s="31">
        <v>0</v>
      </c>
      <c r="B161" s="31">
        <v>1</v>
      </c>
      <c r="C161" s="31">
        <v>3</v>
      </c>
      <c r="D161" s="36" t="s">
        <v>2032</v>
      </c>
      <c r="E161" s="36" t="s">
        <v>171</v>
      </c>
      <c r="F161" s="36" t="s">
        <v>2033</v>
      </c>
      <c r="G161" s="32"/>
      <c r="H161" s="36" t="s">
        <v>603</v>
      </c>
      <c r="I161" s="37" t="s">
        <v>2034</v>
      </c>
      <c r="J161" s="31">
        <v>14</v>
      </c>
      <c r="K161" s="33" t="s">
        <v>694</v>
      </c>
      <c r="L161" s="33"/>
      <c r="M161" s="34"/>
      <c r="N161" s="34" t="s">
        <v>1699</v>
      </c>
      <c r="O161" s="35">
        <v>1</v>
      </c>
      <c r="P161" s="35">
        <v>1</v>
      </c>
      <c r="Q161" s="32" t="s">
        <v>2035</v>
      </c>
      <c r="S161" s="1">
        <f t="shared" si="55"/>
        <v>0</v>
      </c>
      <c r="T161" s="1">
        <f t="shared" si="56"/>
        <v>0</v>
      </c>
      <c r="U161" s="1">
        <f t="shared" si="57"/>
        <v>0</v>
      </c>
      <c r="V161" s="1">
        <f t="shared" si="58"/>
        <v>0</v>
      </c>
      <c r="W161" s="1">
        <f t="shared" si="59"/>
        <v>0</v>
      </c>
      <c r="X161" s="1">
        <f t="shared" si="60"/>
        <v>0</v>
      </c>
      <c r="Y161" s="1">
        <f t="shared" si="61"/>
        <v>0</v>
      </c>
      <c r="Z161" s="1">
        <f t="shared" si="62"/>
        <v>0</v>
      </c>
      <c r="AA161" s="1">
        <f t="shared" si="63"/>
        <v>0</v>
      </c>
      <c r="AB161" s="1">
        <f t="shared" si="64"/>
        <v>0</v>
      </c>
      <c r="AD161" s="1">
        <f t="shared" si="65"/>
        <v>1</v>
      </c>
      <c r="AE161" s="1">
        <f t="shared" si="66"/>
        <v>0</v>
      </c>
      <c r="AF161" s="1">
        <f t="shared" si="67"/>
        <v>1</v>
      </c>
      <c r="AG161" s="1">
        <f t="shared" si="68"/>
        <v>0</v>
      </c>
      <c r="AH161" s="1">
        <f t="shared" si="69"/>
        <v>1</v>
      </c>
      <c r="AI161" s="1">
        <f t="shared" si="70"/>
        <v>0</v>
      </c>
    </row>
    <row r="162" spans="1:35" ht="14.25" customHeight="1" x14ac:dyDescent="0.25">
      <c r="A162" s="15">
        <v>0</v>
      </c>
      <c r="B162" s="15">
        <v>1</v>
      </c>
      <c r="C162" s="15">
        <v>3</v>
      </c>
      <c r="D162" s="20" t="s">
        <v>1906</v>
      </c>
      <c r="E162" s="20" t="s">
        <v>171</v>
      </c>
      <c r="F162" s="20" t="s">
        <v>1921</v>
      </c>
      <c r="G162" s="20"/>
      <c r="H162" s="20" t="s">
        <v>1920</v>
      </c>
      <c r="I162" s="21" t="s">
        <v>1919</v>
      </c>
      <c r="J162" s="15">
        <v>14</v>
      </c>
      <c r="K162" s="10" t="s">
        <v>694</v>
      </c>
      <c r="L162" s="10" t="s">
        <v>688</v>
      </c>
      <c r="M162" s="19" t="s">
        <v>952</v>
      </c>
      <c r="N162" s="17"/>
      <c r="Q162" s="20" t="s">
        <v>1922</v>
      </c>
      <c r="S162" s="1">
        <f t="shared" si="55"/>
        <v>0</v>
      </c>
      <c r="T162" s="1">
        <f t="shared" si="56"/>
        <v>0</v>
      </c>
      <c r="U162" s="1">
        <f t="shared" si="57"/>
        <v>0</v>
      </c>
      <c r="V162" s="1">
        <f t="shared" si="58"/>
        <v>0</v>
      </c>
      <c r="W162" s="1">
        <f t="shared" si="59"/>
        <v>0</v>
      </c>
      <c r="X162" s="1">
        <f t="shared" si="60"/>
        <v>0</v>
      </c>
      <c r="Y162" s="1">
        <f t="shared" si="61"/>
        <v>0</v>
      </c>
      <c r="Z162" s="1">
        <f t="shared" si="62"/>
        <v>0</v>
      </c>
      <c r="AA162" s="1">
        <f t="shared" si="63"/>
        <v>0</v>
      </c>
      <c r="AB162" s="1">
        <f t="shared" si="64"/>
        <v>0</v>
      </c>
      <c r="AD162" s="1">
        <f t="shared" si="65"/>
        <v>0</v>
      </c>
      <c r="AE162" s="1">
        <f t="shared" si="66"/>
        <v>0</v>
      </c>
      <c r="AF162" s="1">
        <f t="shared" si="67"/>
        <v>0</v>
      </c>
      <c r="AG162" s="1">
        <f t="shared" si="68"/>
        <v>0</v>
      </c>
      <c r="AH162" s="1">
        <f t="shared" si="69"/>
        <v>0</v>
      </c>
      <c r="AI162" s="1">
        <f t="shared" si="70"/>
        <v>1</v>
      </c>
    </row>
    <row r="163" spans="1:35" ht="14.25" customHeight="1" x14ac:dyDescent="0.25">
      <c r="A163" s="31">
        <v>0</v>
      </c>
      <c r="B163" s="31">
        <v>1</v>
      </c>
      <c r="C163" s="31">
        <v>3</v>
      </c>
      <c r="D163" s="32" t="s">
        <v>144</v>
      </c>
      <c r="E163" s="32" t="s">
        <v>171</v>
      </c>
      <c r="F163" s="32" t="s">
        <v>345</v>
      </c>
      <c r="G163" s="32" t="s">
        <v>39</v>
      </c>
      <c r="H163" s="32" t="s">
        <v>376</v>
      </c>
      <c r="I163" s="31" t="s">
        <v>1334</v>
      </c>
      <c r="J163" s="31">
        <v>14</v>
      </c>
      <c r="K163" s="33" t="s">
        <v>937</v>
      </c>
      <c r="L163" s="33" t="s">
        <v>680</v>
      </c>
      <c r="M163" s="34" t="s">
        <v>682</v>
      </c>
      <c r="N163" s="34" t="s">
        <v>1709</v>
      </c>
      <c r="O163" s="35">
        <v>1</v>
      </c>
      <c r="P163" s="35"/>
      <c r="Q163" s="32"/>
      <c r="S163" s="1">
        <f t="shared" si="55"/>
        <v>0</v>
      </c>
      <c r="T163" s="1">
        <f t="shared" si="56"/>
        <v>0</v>
      </c>
      <c r="U163" s="1">
        <f t="shared" si="57"/>
        <v>0</v>
      </c>
      <c r="V163" s="1">
        <f t="shared" si="58"/>
        <v>0</v>
      </c>
      <c r="W163" s="1">
        <f t="shared" si="59"/>
        <v>0</v>
      </c>
      <c r="X163" s="1">
        <f t="shared" si="60"/>
        <v>0</v>
      </c>
      <c r="Y163" s="1">
        <f t="shared" si="61"/>
        <v>0</v>
      </c>
      <c r="Z163" s="1">
        <f t="shared" si="62"/>
        <v>0</v>
      </c>
      <c r="AA163" s="1">
        <f t="shared" si="63"/>
        <v>0</v>
      </c>
      <c r="AB163" s="1">
        <f t="shared" si="64"/>
        <v>0</v>
      </c>
      <c r="AD163" s="1">
        <f t="shared" si="65"/>
        <v>0</v>
      </c>
      <c r="AE163" s="1">
        <f t="shared" si="66"/>
        <v>1</v>
      </c>
      <c r="AF163" s="1">
        <f t="shared" si="67"/>
        <v>0</v>
      </c>
      <c r="AG163" s="1">
        <f t="shared" si="68"/>
        <v>1</v>
      </c>
      <c r="AH163" s="1">
        <f t="shared" si="69"/>
        <v>0</v>
      </c>
      <c r="AI163" s="1">
        <f t="shared" si="70"/>
        <v>1</v>
      </c>
    </row>
    <row r="164" spans="1:35" ht="14.25" customHeight="1" x14ac:dyDescent="0.25">
      <c r="A164" s="31">
        <v>0</v>
      </c>
      <c r="B164" s="31">
        <v>1</v>
      </c>
      <c r="C164" s="31">
        <v>3</v>
      </c>
      <c r="D164" s="32" t="s">
        <v>1534</v>
      </c>
      <c r="E164" s="32" t="s">
        <v>171</v>
      </c>
      <c r="F164" s="32" t="s">
        <v>1535</v>
      </c>
      <c r="G164" s="32" t="s">
        <v>39</v>
      </c>
      <c r="H164" s="32" t="s">
        <v>1536</v>
      </c>
      <c r="I164" s="31" t="s">
        <v>1537</v>
      </c>
      <c r="J164" s="31">
        <v>17</v>
      </c>
      <c r="K164" s="33" t="s">
        <v>713</v>
      </c>
      <c r="L164" s="33" t="s">
        <v>39</v>
      </c>
      <c r="M164" s="34" t="s">
        <v>39</v>
      </c>
      <c r="N164" s="34" t="s">
        <v>1699</v>
      </c>
      <c r="O164" s="35">
        <v>1</v>
      </c>
      <c r="P164" s="35">
        <v>1</v>
      </c>
      <c r="Q164" s="32" t="s">
        <v>1872</v>
      </c>
      <c r="S164" s="1">
        <f t="shared" si="55"/>
        <v>0</v>
      </c>
      <c r="T164" s="1">
        <f t="shared" si="56"/>
        <v>0</v>
      </c>
      <c r="U164" s="1">
        <f t="shared" si="57"/>
        <v>0</v>
      </c>
      <c r="V164" s="1">
        <f t="shared" si="58"/>
        <v>0</v>
      </c>
      <c r="W164" s="1">
        <f t="shared" si="59"/>
        <v>0</v>
      </c>
      <c r="X164" s="1">
        <f t="shared" si="60"/>
        <v>0</v>
      </c>
      <c r="Y164" s="1">
        <f t="shared" si="61"/>
        <v>0</v>
      </c>
      <c r="Z164" s="1">
        <f t="shared" si="62"/>
        <v>0</v>
      </c>
      <c r="AA164" s="1">
        <f t="shared" si="63"/>
        <v>0</v>
      </c>
      <c r="AB164" s="1">
        <f t="shared" si="64"/>
        <v>0</v>
      </c>
      <c r="AD164" s="1">
        <f t="shared" si="65"/>
        <v>1</v>
      </c>
      <c r="AE164" s="1">
        <f t="shared" si="66"/>
        <v>0</v>
      </c>
      <c r="AF164" s="1">
        <f t="shared" si="67"/>
        <v>1</v>
      </c>
      <c r="AG164" s="1">
        <f t="shared" si="68"/>
        <v>0</v>
      </c>
      <c r="AH164" s="1">
        <f t="shared" si="69"/>
        <v>1</v>
      </c>
      <c r="AI164" s="1">
        <f t="shared" si="70"/>
        <v>0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152</v>
      </c>
      <c r="E165" s="32" t="s">
        <v>171</v>
      </c>
      <c r="F165" s="32" t="s">
        <v>351</v>
      </c>
      <c r="G165" s="32" t="s">
        <v>39</v>
      </c>
      <c r="H165" s="32" t="s">
        <v>1829</v>
      </c>
      <c r="I165" s="31" t="s">
        <v>497</v>
      </c>
      <c r="J165" s="31">
        <v>14</v>
      </c>
      <c r="K165" s="33" t="s">
        <v>693</v>
      </c>
      <c r="L165" s="33" t="s">
        <v>680</v>
      </c>
      <c r="M165" s="34" t="s">
        <v>951</v>
      </c>
      <c r="N165" s="34" t="s">
        <v>1709</v>
      </c>
      <c r="O165" s="35">
        <v>1</v>
      </c>
      <c r="P165" s="35"/>
      <c r="Q165" s="32" t="s">
        <v>1855</v>
      </c>
      <c r="S165" s="1">
        <f t="shared" si="55"/>
        <v>0</v>
      </c>
      <c r="T165" s="1">
        <f t="shared" si="56"/>
        <v>0</v>
      </c>
      <c r="U165" s="1">
        <f t="shared" si="57"/>
        <v>0</v>
      </c>
      <c r="V165" s="1">
        <f t="shared" si="58"/>
        <v>0</v>
      </c>
      <c r="W165" s="1">
        <f t="shared" si="59"/>
        <v>0</v>
      </c>
      <c r="X165" s="1">
        <f t="shared" si="60"/>
        <v>0</v>
      </c>
      <c r="Y165" s="1">
        <f t="shared" si="61"/>
        <v>0</v>
      </c>
      <c r="Z165" s="1">
        <f t="shared" si="62"/>
        <v>0</v>
      </c>
      <c r="AA165" s="1">
        <f t="shared" si="63"/>
        <v>0</v>
      </c>
      <c r="AB165" s="1">
        <f t="shared" si="64"/>
        <v>0</v>
      </c>
      <c r="AD165" s="1">
        <f t="shared" si="65"/>
        <v>0</v>
      </c>
      <c r="AE165" s="1">
        <f t="shared" si="66"/>
        <v>1</v>
      </c>
      <c r="AF165" s="1">
        <f t="shared" si="67"/>
        <v>0</v>
      </c>
      <c r="AG165" s="1">
        <f t="shared" si="68"/>
        <v>1</v>
      </c>
      <c r="AH165" s="1">
        <f t="shared" si="69"/>
        <v>0</v>
      </c>
      <c r="AI165" s="1">
        <f t="shared" si="70"/>
        <v>1</v>
      </c>
    </row>
    <row r="166" spans="1:35" ht="14.25" customHeight="1" x14ac:dyDescent="0.25">
      <c r="A166" s="15">
        <v>0</v>
      </c>
      <c r="B166" s="15">
        <v>1</v>
      </c>
      <c r="C166" s="15">
        <v>3</v>
      </c>
      <c r="D166" s="16" t="s">
        <v>730</v>
      </c>
      <c r="E166" s="16" t="s">
        <v>171</v>
      </c>
      <c r="F166" s="16" t="s">
        <v>731</v>
      </c>
      <c r="G166" s="16" t="s">
        <v>39</v>
      </c>
      <c r="H166" s="16" t="s">
        <v>732</v>
      </c>
      <c r="I166" s="15" t="s">
        <v>733</v>
      </c>
      <c r="J166" s="15">
        <v>17</v>
      </c>
      <c r="K166" s="10" t="s">
        <v>713</v>
      </c>
      <c r="L166" s="10" t="s">
        <v>688</v>
      </c>
      <c r="M166" s="19" t="s">
        <v>682</v>
      </c>
      <c r="N166" s="17"/>
      <c r="Q166" s="16" t="s">
        <v>1846</v>
      </c>
      <c r="S166" s="1">
        <f t="shared" si="55"/>
        <v>0</v>
      </c>
      <c r="T166" s="1">
        <f t="shared" si="56"/>
        <v>0</v>
      </c>
      <c r="U166" s="1">
        <f t="shared" si="57"/>
        <v>0</v>
      </c>
      <c r="V166" s="1">
        <f t="shared" si="58"/>
        <v>0</v>
      </c>
      <c r="W166" s="1">
        <f t="shared" si="59"/>
        <v>0</v>
      </c>
      <c r="X166" s="1">
        <f t="shared" si="60"/>
        <v>0</v>
      </c>
      <c r="Y166" s="1">
        <f t="shared" si="61"/>
        <v>0</v>
      </c>
      <c r="Z166" s="1">
        <f t="shared" si="62"/>
        <v>0</v>
      </c>
      <c r="AA166" s="1">
        <f t="shared" si="63"/>
        <v>0</v>
      </c>
      <c r="AB166" s="1">
        <f t="shared" si="64"/>
        <v>0</v>
      </c>
      <c r="AD166" s="1">
        <f t="shared" si="65"/>
        <v>0</v>
      </c>
      <c r="AE166" s="1">
        <f t="shared" si="66"/>
        <v>0</v>
      </c>
      <c r="AF166" s="1">
        <f t="shared" si="67"/>
        <v>0</v>
      </c>
      <c r="AG166" s="1">
        <f t="shared" si="68"/>
        <v>0</v>
      </c>
      <c r="AH166" s="1">
        <f t="shared" si="69"/>
        <v>0</v>
      </c>
      <c r="AI166" s="1">
        <f t="shared" si="70"/>
        <v>1</v>
      </c>
    </row>
    <row r="167" spans="1:35" ht="14.25" customHeight="1" x14ac:dyDescent="0.25">
      <c r="A167" s="31">
        <v>0</v>
      </c>
      <c r="B167" s="31">
        <v>1</v>
      </c>
      <c r="C167" s="31">
        <v>3</v>
      </c>
      <c r="D167" s="32" t="s">
        <v>887</v>
      </c>
      <c r="E167" s="32" t="s">
        <v>171</v>
      </c>
      <c r="F167" s="32" t="s">
        <v>1077</v>
      </c>
      <c r="G167" s="32" t="s">
        <v>39</v>
      </c>
      <c r="H167" s="32" t="s">
        <v>889</v>
      </c>
      <c r="I167" s="31" t="s">
        <v>888</v>
      </c>
      <c r="J167" s="31">
        <v>11</v>
      </c>
      <c r="K167" s="33" t="s">
        <v>938</v>
      </c>
      <c r="L167" s="33">
        <v>60</v>
      </c>
      <c r="M167" s="34" t="s">
        <v>39</v>
      </c>
      <c r="N167" s="34" t="s">
        <v>1709</v>
      </c>
      <c r="O167" s="35">
        <v>1</v>
      </c>
      <c r="P167" s="35"/>
      <c r="Q167" s="32"/>
      <c r="S167" s="1">
        <f t="shared" si="55"/>
        <v>0</v>
      </c>
      <c r="T167" s="1">
        <f t="shared" si="56"/>
        <v>0</v>
      </c>
      <c r="U167" s="1">
        <f t="shared" si="57"/>
        <v>0</v>
      </c>
      <c r="V167" s="1">
        <f t="shared" si="58"/>
        <v>0</v>
      </c>
      <c r="W167" s="1">
        <f t="shared" si="59"/>
        <v>0</v>
      </c>
      <c r="X167" s="1">
        <f t="shared" si="60"/>
        <v>0</v>
      </c>
      <c r="Y167" s="1">
        <f t="shared" si="61"/>
        <v>0</v>
      </c>
      <c r="Z167" s="1">
        <f t="shared" si="62"/>
        <v>0</v>
      </c>
      <c r="AA167" s="1">
        <f t="shared" si="63"/>
        <v>0</v>
      </c>
      <c r="AB167" s="1">
        <f t="shared" si="64"/>
        <v>0</v>
      </c>
      <c r="AD167" s="1">
        <f t="shared" si="65"/>
        <v>0</v>
      </c>
      <c r="AE167" s="1">
        <f t="shared" si="66"/>
        <v>1</v>
      </c>
      <c r="AF167" s="1">
        <f t="shared" si="67"/>
        <v>0</v>
      </c>
      <c r="AG167" s="1">
        <f t="shared" si="68"/>
        <v>1</v>
      </c>
      <c r="AH167" s="1">
        <f t="shared" si="69"/>
        <v>0</v>
      </c>
      <c r="AI167" s="1">
        <f t="shared" si="70"/>
        <v>1</v>
      </c>
    </row>
    <row r="168" spans="1:35" ht="14.25" customHeight="1" x14ac:dyDescent="0.25">
      <c r="A168" s="31">
        <v>0</v>
      </c>
      <c r="B168" s="31">
        <v>1</v>
      </c>
      <c r="C168" s="31">
        <v>3</v>
      </c>
      <c r="D168" s="32" t="s">
        <v>122</v>
      </c>
      <c r="E168" s="32" t="s">
        <v>174</v>
      </c>
      <c r="F168" s="32" t="s">
        <v>322</v>
      </c>
      <c r="G168" s="32" t="s">
        <v>39</v>
      </c>
      <c r="H168" s="32" t="s">
        <v>361</v>
      </c>
      <c r="I168" s="31" t="s">
        <v>467</v>
      </c>
      <c r="J168" s="31">
        <v>14</v>
      </c>
      <c r="K168" s="33" t="s">
        <v>713</v>
      </c>
      <c r="L168" s="33" t="s">
        <v>684</v>
      </c>
      <c r="M168" s="34" t="s">
        <v>1350</v>
      </c>
      <c r="N168" s="34" t="s">
        <v>1809</v>
      </c>
      <c r="O168" s="35">
        <v>1</v>
      </c>
      <c r="P168" s="35"/>
      <c r="Q168" s="36"/>
      <c r="S168" s="1">
        <f t="shared" si="55"/>
        <v>0</v>
      </c>
      <c r="T168" s="1">
        <f t="shared" si="56"/>
        <v>0</v>
      </c>
      <c r="U168" s="1">
        <f t="shared" si="57"/>
        <v>0</v>
      </c>
      <c r="V168" s="1">
        <f t="shared" si="58"/>
        <v>0</v>
      </c>
      <c r="W168" s="1">
        <f t="shared" si="59"/>
        <v>0</v>
      </c>
      <c r="X168" s="1">
        <f t="shared" si="60"/>
        <v>0</v>
      </c>
      <c r="Y168" s="1">
        <f t="shared" si="61"/>
        <v>0</v>
      </c>
      <c r="Z168" s="1">
        <f t="shared" si="62"/>
        <v>0</v>
      </c>
      <c r="AA168" s="1">
        <f t="shared" si="63"/>
        <v>0</v>
      </c>
      <c r="AB168" s="1">
        <f t="shared" si="64"/>
        <v>0</v>
      </c>
      <c r="AD168" s="1">
        <f t="shared" si="65"/>
        <v>0</v>
      </c>
      <c r="AE168" s="1">
        <f t="shared" si="66"/>
        <v>1</v>
      </c>
      <c r="AF168" s="1">
        <f t="shared" si="67"/>
        <v>0</v>
      </c>
      <c r="AG168" s="1">
        <f t="shared" si="68"/>
        <v>1</v>
      </c>
      <c r="AH168" s="1">
        <f t="shared" si="69"/>
        <v>0</v>
      </c>
      <c r="AI168" s="1">
        <f t="shared" si="70"/>
        <v>1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1147</v>
      </c>
      <c r="E169" s="32" t="s">
        <v>171</v>
      </c>
      <c r="F169" s="32" t="s">
        <v>1149</v>
      </c>
      <c r="G169" s="32" t="s">
        <v>752</v>
      </c>
      <c r="H169" s="32" t="s">
        <v>352</v>
      </c>
      <c r="I169" s="31" t="s">
        <v>1148</v>
      </c>
      <c r="J169" s="31">
        <v>99</v>
      </c>
      <c r="K169" s="33" t="s">
        <v>694</v>
      </c>
      <c r="L169" s="33">
        <v>30</v>
      </c>
      <c r="M169" s="34" t="s">
        <v>951</v>
      </c>
      <c r="N169" s="34" t="s">
        <v>1785</v>
      </c>
      <c r="O169" s="35">
        <v>1</v>
      </c>
      <c r="P169" s="35"/>
      <c r="Q169" s="36"/>
      <c r="S169" s="1">
        <f t="shared" si="55"/>
        <v>0</v>
      </c>
      <c r="T169" s="1">
        <f t="shared" si="56"/>
        <v>0</v>
      </c>
      <c r="U169" s="1">
        <f t="shared" si="57"/>
        <v>0</v>
      </c>
      <c r="V169" s="1">
        <f t="shared" si="58"/>
        <v>0</v>
      </c>
      <c r="W169" s="1">
        <f t="shared" si="59"/>
        <v>0</v>
      </c>
      <c r="X169" s="1">
        <f t="shared" si="60"/>
        <v>0</v>
      </c>
      <c r="Y169" s="1">
        <f t="shared" si="61"/>
        <v>0</v>
      </c>
      <c r="Z169" s="1">
        <f t="shared" si="62"/>
        <v>0</v>
      </c>
      <c r="AA169" s="1">
        <f t="shared" si="63"/>
        <v>0</v>
      </c>
      <c r="AB169" s="1">
        <f t="shared" si="64"/>
        <v>0</v>
      </c>
      <c r="AD169" s="1">
        <f t="shared" si="65"/>
        <v>0</v>
      </c>
      <c r="AE169" s="1">
        <f t="shared" si="66"/>
        <v>1</v>
      </c>
      <c r="AF169" s="1">
        <f t="shared" si="67"/>
        <v>0</v>
      </c>
      <c r="AG169" s="1">
        <f t="shared" si="68"/>
        <v>1</v>
      </c>
      <c r="AH169" s="1">
        <f t="shared" si="69"/>
        <v>0</v>
      </c>
      <c r="AI169" s="1">
        <f t="shared" si="70"/>
        <v>1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2" t="s">
        <v>1994</v>
      </c>
      <c r="E170" s="32" t="s">
        <v>171</v>
      </c>
      <c r="F170" s="32" t="s">
        <v>1995</v>
      </c>
      <c r="G170" s="32"/>
      <c r="H170" s="32" t="s">
        <v>352</v>
      </c>
      <c r="I170" s="31" t="s">
        <v>1996</v>
      </c>
      <c r="J170" s="31">
        <v>18</v>
      </c>
      <c r="K170" s="33" t="s">
        <v>694</v>
      </c>
      <c r="L170" s="33"/>
      <c r="M170" s="34"/>
      <c r="N170" s="34" t="s">
        <v>1699</v>
      </c>
      <c r="O170" s="35">
        <v>1</v>
      </c>
      <c r="P170" s="35">
        <v>1</v>
      </c>
      <c r="Q170" s="36" t="s">
        <v>1997</v>
      </c>
      <c r="S170" s="1">
        <f t="shared" si="55"/>
        <v>0</v>
      </c>
      <c r="T170" s="1">
        <f t="shared" si="56"/>
        <v>0</v>
      </c>
      <c r="U170" s="1">
        <f t="shared" si="57"/>
        <v>0</v>
      </c>
      <c r="V170" s="1">
        <f t="shared" si="58"/>
        <v>0</v>
      </c>
      <c r="W170" s="1">
        <f t="shared" si="59"/>
        <v>0</v>
      </c>
      <c r="X170" s="1">
        <f t="shared" si="60"/>
        <v>0</v>
      </c>
      <c r="Y170" s="1">
        <f t="shared" si="61"/>
        <v>0</v>
      </c>
      <c r="Z170" s="1">
        <f t="shared" si="62"/>
        <v>0</v>
      </c>
      <c r="AA170" s="1">
        <f t="shared" si="63"/>
        <v>0</v>
      </c>
      <c r="AB170" s="1">
        <f t="shared" si="64"/>
        <v>0</v>
      </c>
      <c r="AD170" s="1">
        <f t="shared" si="65"/>
        <v>1</v>
      </c>
      <c r="AE170" s="1">
        <f t="shared" si="66"/>
        <v>0</v>
      </c>
      <c r="AF170" s="1">
        <f t="shared" si="67"/>
        <v>1</v>
      </c>
      <c r="AG170" s="1">
        <f t="shared" si="68"/>
        <v>0</v>
      </c>
      <c r="AH170" s="1">
        <f t="shared" si="69"/>
        <v>1</v>
      </c>
      <c r="AI170" s="1">
        <f t="shared" si="70"/>
        <v>0</v>
      </c>
    </row>
    <row r="171" spans="1:35" ht="14.25" customHeight="1" x14ac:dyDescent="0.25">
      <c r="A171" s="15">
        <v>0</v>
      </c>
      <c r="B171" s="15">
        <v>1</v>
      </c>
      <c r="C171" s="15">
        <v>3</v>
      </c>
      <c r="D171" s="16" t="s">
        <v>734</v>
      </c>
      <c r="E171" s="16" t="s">
        <v>169</v>
      </c>
      <c r="F171" s="16" t="s">
        <v>735</v>
      </c>
      <c r="G171" s="16" t="s">
        <v>39</v>
      </c>
      <c r="H171" s="16" t="s">
        <v>736</v>
      </c>
      <c r="I171" s="15" t="s">
        <v>737</v>
      </c>
      <c r="J171" s="15">
        <v>17</v>
      </c>
      <c r="K171" s="10" t="s">
        <v>694</v>
      </c>
      <c r="L171" s="10" t="s">
        <v>688</v>
      </c>
      <c r="M171" s="19" t="s">
        <v>952</v>
      </c>
      <c r="N171" s="17"/>
      <c r="Q171" s="16"/>
      <c r="S171" s="1">
        <f t="shared" si="55"/>
        <v>0</v>
      </c>
      <c r="T171" s="1">
        <f t="shared" si="56"/>
        <v>0</v>
      </c>
      <c r="U171" s="1">
        <f t="shared" si="57"/>
        <v>0</v>
      </c>
      <c r="V171" s="1">
        <f t="shared" si="58"/>
        <v>0</v>
      </c>
      <c r="W171" s="1">
        <f t="shared" si="59"/>
        <v>0</v>
      </c>
      <c r="X171" s="1">
        <f t="shared" si="60"/>
        <v>0</v>
      </c>
      <c r="Y171" s="1">
        <f t="shared" si="61"/>
        <v>0</v>
      </c>
      <c r="Z171" s="1">
        <f t="shared" si="62"/>
        <v>0</v>
      </c>
      <c r="AA171" s="1">
        <f t="shared" si="63"/>
        <v>0</v>
      </c>
      <c r="AB171" s="1">
        <f t="shared" si="64"/>
        <v>0</v>
      </c>
      <c r="AD171" s="1">
        <f t="shared" si="65"/>
        <v>0</v>
      </c>
      <c r="AE171" s="1">
        <f t="shared" si="66"/>
        <v>0</v>
      </c>
      <c r="AF171" s="1">
        <f t="shared" si="67"/>
        <v>0</v>
      </c>
      <c r="AG171" s="1">
        <f t="shared" si="68"/>
        <v>0</v>
      </c>
      <c r="AH171" s="1">
        <f t="shared" si="69"/>
        <v>0</v>
      </c>
      <c r="AI171" s="1">
        <f t="shared" si="70"/>
        <v>1</v>
      </c>
    </row>
    <row r="172" spans="1:35" ht="14.25" customHeight="1" x14ac:dyDescent="0.25">
      <c r="A172" s="15">
        <v>0</v>
      </c>
      <c r="B172" s="15">
        <v>1</v>
      </c>
      <c r="C172" s="15">
        <v>3</v>
      </c>
      <c r="D172" s="20" t="s">
        <v>1905</v>
      </c>
      <c r="E172" s="20" t="s">
        <v>171</v>
      </c>
      <c r="F172" s="20" t="s">
        <v>1915</v>
      </c>
      <c r="G172" s="20"/>
      <c r="H172" s="20" t="s">
        <v>1916</v>
      </c>
      <c r="I172" s="21" t="s">
        <v>1917</v>
      </c>
      <c r="J172" s="15">
        <v>16</v>
      </c>
      <c r="K172" s="10" t="s">
        <v>694</v>
      </c>
      <c r="L172" s="10" t="s">
        <v>688</v>
      </c>
      <c r="M172" s="19" t="s">
        <v>952</v>
      </c>
      <c r="N172" s="17"/>
      <c r="Q172" s="20" t="s">
        <v>1914</v>
      </c>
      <c r="S172" s="1">
        <f t="shared" si="55"/>
        <v>0</v>
      </c>
      <c r="T172" s="1">
        <f t="shared" si="56"/>
        <v>0</v>
      </c>
      <c r="U172" s="1">
        <f t="shared" si="57"/>
        <v>0</v>
      </c>
      <c r="V172" s="1">
        <f t="shared" si="58"/>
        <v>0</v>
      </c>
      <c r="W172" s="1">
        <f t="shared" si="59"/>
        <v>0</v>
      </c>
      <c r="X172" s="1">
        <f t="shared" si="60"/>
        <v>0</v>
      </c>
      <c r="Y172" s="1">
        <f t="shared" si="61"/>
        <v>0</v>
      </c>
      <c r="Z172" s="1">
        <f t="shared" si="62"/>
        <v>0</v>
      </c>
      <c r="AA172" s="1">
        <f t="shared" si="63"/>
        <v>0</v>
      </c>
      <c r="AB172" s="1">
        <f t="shared" si="64"/>
        <v>0</v>
      </c>
      <c r="AD172" s="1">
        <f t="shared" si="65"/>
        <v>0</v>
      </c>
      <c r="AE172" s="1">
        <f t="shared" si="66"/>
        <v>0</v>
      </c>
      <c r="AF172" s="1">
        <f t="shared" si="67"/>
        <v>0</v>
      </c>
      <c r="AG172" s="1">
        <f t="shared" si="68"/>
        <v>0</v>
      </c>
      <c r="AH172" s="1">
        <f t="shared" si="69"/>
        <v>0</v>
      </c>
      <c r="AI172" s="1">
        <f t="shared" si="70"/>
        <v>1</v>
      </c>
    </row>
    <row r="173" spans="1:35" ht="14.25" customHeight="1" x14ac:dyDescent="0.25">
      <c r="A173" s="31">
        <v>0</v>
      </c>
      <c r="B173" s="31">
        <v>1</v>
      </c>
      <c r="C173" s="31">
        <v>3</v>
      </c>
      <c r="D173" s="32" t="s">
        <v>819</v>
      </c>
      <c r="E173" s="32" t="s">
        <v>897</v>
      </c>
      <c r="F173" s="32" t="s">
        <v>820</v>
      </c>
      <c r="G173" s="32" t="s">
        <v>207</v>
      </c>
      <c r="H173" s="32" t="s">
        <v>352</v>
      </c>
      <c r="I173" s="37" t="s">
        <v>821</v>
      </c>
      <c r="J173" s="31">
        <v>3</v>
      </c>
      <c r="K173" s="33" t="s">
        <v>713</v>
      </c>
      <c r="L173" s="33" t="s">
        <v>684</v>
      </c>
      <c r="M173" s="34" t="s">
        <v>689</v>
      </c>
      <c r="N173" s="34" t="s">
        <v>1750</v>
      </c>
      <c r="O173" s="35">
        <v>1</v>
      </c>
      <c r="P173" s="35"/>
      <c r="Q173" s="36"/>
      <c r="S173" s="1">
        <f t="shared" si="55"/>
        <v>0</v>
      </c>
      <c r="T173" s="1">
        <f t="shared" si="56"/>
        <v>0</v>
      </c>
      <c r="U173" s="1">
        <f t="shared" si="57"/>
        <v>1</v>
      </c>
      <c r="V173" s="1">
        <f t="shared" si="58"/>
        <v>0</v>
      </c>
      <c r="W173" s="1">
        <f t="shared" si="59"/>
        <v>0</v>
      </c>
      <c r="X173" s="1">
        <f t="shared" si="60"/>
        <v>0</v>
      </c>
      <c r="Y173" s="1">
        <f t="shared" si="61"/>
        <v>0</v>
      </c>
      <c r="Z173" s="1">
        <f t="shared" si="62"/>
        <v>0</v>
      </c>
      <c r="AA173" s="1">
        <f t="shared" si="63"/>
        <v>0</v>
      </c>
      <c r="AB173" s="1">
        <f t="shared" si="64"/>
        <v>0</v>
      </c>
      <c r="AD173" s="1">
        <f t="shared" si="65"/>
        <v>0</v>
      </c>
      <c r="AE173" s="1">
        <f t="shared" si="66"/>
        <v>1</v>
      </c>
      <c r="AF173" s="1">
        <f t="shared" si="67"/>
        <v>0</v>
      </c>
      <c r="AG173" s="1">
        <f t="shared" si="68"/>
        <v>1</v>
      </c>
      <c r="AH173" s="1">
        <f t="shared" si="69"/>
        <v>0</v>
      </c>
      <c r="AI173" s="1">
        <f t="shared" si="70"/>
        <v>1</v>
      </c>
    </row>
    <row r="174" spans="1:35" ht="14.25" customHeight="1" x14ac:dyDescent="0.25">
      <c r="A174" s="31">
        <v>0</v>
      </c>
      <c r="B174" s="31">
        <v>1</v>
      </c>
      <c r="C174" s="31">
        <v>3</v>
      </c>
      <c r="D174" s="32" t="s">
        <v>2070</v>
      </c>
      <c r="E174" s="32" t="s">
        <v>174</v>
      </c>
      <c r="F174" s="32" t="s">
        <v>2071</v>
      </c>
      <c r="G174" s="32"/>
      <c r="H174" s="32" t="s">
        <v>2072</v>
      </c>
      <c r="I174" s="37" t="s">
        <v>2073</v>
      </c>
      <c r="J174" s="31">
        <v>16</v>
      </c>
      <c r="K174" s="33" t="s">
        <v>694</v>
      </c>
      <c r="L174" s="33"/>
      <c r="M174" s="34"/>
      <c r="N174" s="34" t="s">
        <v>1693</v>
      </c>
      <c r="O174" s="35">
        <v>1</v>
      </c>
      <c r="P174" s="35">
        <v>1</v>
      </c>
      <c r="Q174" s="36" t="s">
        <v>2074</v>
      </c>
      <c r="S174" s="1">
        <f t="shared" si="55"/>
        <v>0</v>
      </c>
      <c r="T174" s="1">
        <f t="shared" si="56"/>
        <v>0</v>
      </c>
      <c r="U174" s="1">
        <f t="shared" si="57"/>
        <v>0</v>
      </c>
      <c r="V174" s="1">
        <f t="shared" si="58"/>
        <v>0</v>
      </c>
      <c r="W174" s="1">
        <f t="shared" si="59"/>
        <v>0</v>
      </c>
      <c r="X174" s="1">
        <f t="shared" si="60"/>
        <v>0</v>
      </c>
      <c r="Y174" s="1">
        <f t="shared" si="61"/>
        <v>0</v>
      </c>
      <c r="Z174" s="1">
        <f t="shared" si="62"/>
        <v>0</v>
      </c>
      <c r="AA174" s="1">
        <f t="shared" si="63"/>
        <v>0</v>
      </c>
      <c r="AB174" s="1">
        <f t="shared" si="64"/>
        <v>0</v>
      </c>
      <c r="AD174" s="1">
        <f t="shared" si="65"/>
        <v>1</v>
      </c>
      <c r="AE174" s="1">
        <f t="shared" si="66"/>
        <v>0</v>
      </c>
      <c r="AF174" s="1">
        <f t="shared" si="67"/>
        <v>1</v>
      </c>
      <c r="AG174" s="1">
        <f t="shared" si="68"/>
        <v>0</v>
      </c>
      <c r="AH174" s="1">
        <f t="shared" si="69"/>
        <v>1</v>
      </c>
      <c r="AI174" s="1">
        <f t="shared" si="70"/>
        <v>0</v>
      </c>
    </row>
    <row r="175" spans="1:35" ht="14.25" customHeight="1" x14ac:dyDescent="0.25">
      <c r="A175" s="31">
        <v>0</v>
      </c>
      <c r="B175" s="31">
        <v>1</v>
      </c>
      <c r="C175" s="31">
        <v>3</v>
      </c>
      <c r="D175" s="32" t="s">
        <v>1910</v>
      </c>
      <c r="E175" s="32" t="s">
        <v>171</v>
      </c>
      <c r="F175" s="32" t="s">
        <v>1912</v>
      </c>
      <c r="G175" s="32"/>
      <c r="H175" s="32" t="s">
        <v>1913</v>
      </c>
      <c r="I175" s="37" t="s">
        <v>1911</v>
      </c>
      <c r="J175" s="31">
        <v>16</v>
      </c>
      <c r="K175" s="33" t="s">
        <v>694</v>
      </c>
      <c r="L175" s="33" t="s">
        <v>688</v>
      </c>
      <c r="M175" s="34" t="s">
        <v>952</v>
      </c>
      <c r="N175" s="34" t="s">
        <v>1709</v>
      </c>
      <c r="O175" s="35">
        <v>1</v>
      </c>
      <c r="P175" s="35"/>
      <c r="Q175" s="36" t="s">
        <v>1918</v>
      </c>
      <c r="S175" s="1">
        <f t="shared" si="55"/>
        <v>0</v>
      </c>
      <c r="T175" s="1">
        <f t="shared" si="56"/>
        <v>0</v>
      </c>
      <c r="U175" s="1">
        <f t="shared" si="57"/>
        <v>0</v>
      </c>
      <c r="V175" s="1">
        <f t="shared" si="58"/>
        <v>0</v>
      </c>
      <c r="W175" s="1">
        <f t="shared" si="59"/>
        <v>0</v>
      </c>
      <c r="X175" s="1">
        <f t="shared" si="60"/>
        <v>0</v>
      </c>
      <c r="Y175" s="1">
        <f t="shared" si="61"/>
        <v>0</v>
      </c>
      <c r="Z175" s="1">
        <f t="shared" si="62"/>
        <v>0</v>
      </c>
      <c r="AA175" s="1">
        <f t="shared" si="63"/>
        <v>0</v>
      </c>
      <c r="AB175" s="1">
        <f t="shared" si="64"/>
        <v>0</v>
      </c>
      <c r="AD175" s="1">
        <f t="shared" si="65"/>
        <v>0</v>
      </c>
      <c r="AE175" s="1">
        <f t="shared" si="66"/>
        <v>1</v>
      </c>
      <c r="AF175" s="1">
        <f t="shared" si="67"/>
        <v>0</v>
      </c>
      <c r="AG175" s="1">
        <f t="shared" si="68"/>
        <v>1</v>
      </c>
      <c r="AH175" s="1">
        <f t="shared" si="69"/>
        <v>0</v>
      </c>
      <c r="AI175" s="1">
        <f t="shared" si="70"/>
        <v>1</v>
      </c>
    </row>
    <row r="176" spans="1:35" ht="14.25" customHeight="1" x14ac:dyDescent="0.25">
      <c r="A176" s="31">
        <v>0</v>
      </c>
      <c r="B176" s="31">
        <v>1</v>
      </c>
      <c r="C176" s="31">
        <v>3</v>
      </c>
      <c r="D176" s="32" t="s">
        <v>1184</v>
      </c>
      <c r="E176" s="32" t="s">
        <v>171</v>
      </c>
      <c r="F176" s="32" t="s">
        <v>1186</v>
      </c>
      <c r="G176" s="32" t="s">
        <v>184</v>
      </c>
      <c r="H176" s="32" t="s">
        <v>352</v>
      </c>
      <c r="I176" s="31" t="s">
        <v>1185</v>
      </c>
      <c r="J176" s="31">
        <v>99</v>
      </c>
      <c r="K176" s="33" t="s">
        <v>939</v>
      </c>
      <c r="L176" s="33" t="s">
        <v>680</v>
      </c>
      <c r="M176" s="34" t="s">
        <v>952</v>
      </c>
      <c r="N176" s="34" t="s">
        <v>1710</v>
      </c>
      <c r="O176" s="35">
        <v>1</v>
      </c>
      <c r="P176" s="35"/>
      <c r="Q176" s="32"/>
      <c r="S176" s="1">
        <f t="shared" si="55"/>
        <v>0</v>
      </c>
      <c r="T176" s="1">
        <f t="shared" si="56"/>
        <v>0</v>
      </c>
      <c r="U176" s="1">
        <f t="shared" si="57"/>
        <v>0</v>
      </c>
      <c r="V176" s="1">
        <f t="shared" si="58"/>
        <v>0</v>
      </c>
      <c r="W176" s="1">
        <f t="shared" si="59"/>
        <v>0</v>
      </c>
      <c r="X176" s="1">
        <f t="shared" si="60"/>
        <v>0</v>
      </c>
      <c r="Y176" s="1">
        <f t="shared" si="61"/>
        <v>0</v>
      </c>
      <c r="Z176" s="1">
        <f t="shared" si="62"/>
        <v>0</v>
      </c>
      <c r="AA176" s="1">
        <f t="shared" si="63"/>
        <v>0</v>
      </c>
      <c r="AB176" s="1">
        <f t="shared" si="64"/>
        <v>0</v>
      </c>
      <c r="AD176" s="1">
        <f t="shared" si="65"/>
        <v>0</v>
      </c>
      <c r="AE176" s="1">
        <f t="shared" si="66"/>
        <v>1</v>
      </c>
      <c r="AF176" s="1">
        <f t="shared" si="67"/>
        <v>0</v>
      </c>
      <c r="AG176" s="1">
        <f t="shared" si="68"/>
        <v>1</v>
      </c>
      <c r="AH176" s="1">
        <f t="shared" si="69"/>
        <v>0</v>
      </c>
      <c r="AI176" s="1">
        <f t="shared" si="70"/>
        <v>1</v>
      </c>
    </row>
    <row r="177" spans="1:35" ht="14.25" customHeight="1" x14ac:dyDescent="0.25">
      <c r="A177" s="31">
        <v>0</v>
      </c>
      <c r="B177" s="31">
        <v>1</v>
      </c>
      <c r="C177" s="31">
        <v>3</v>
      </c>
      <c r="D177" s="32" t="s">
        <v>624</v>
      </c>
      <c r="E177" s="32" t="s">
        <v>169</v>
      </c>
      <c r="F177" s="32" t="s">
        <v>625</v>
      </c>
      <c r="G177" s="32" t="s">
        <v>193</v>
      </c>
      <c r="H177" s="32" t="s">
        <v>352</v>
      </c>
      <c r="I177" s="31" t="s">
        <v>626</v>
      </c>
      <c r="J177" s="31">
        <v>9</v>
      </c>
      <c r="K177" s="33" t="s">
        <v>938</v>
      </c>
      <c r="L177" s="33" t="s">
        <v>1665</v>
      </c>
      <c r="M177" s="34" t="s">
        <v>951</v>
      </c>
      <c r="N177" s="34" t="s">
        <v>1693</v>
      </c>
      <c r="O177" s="35">
        <v>1</v>
      </c>
      <c r="P177" s="35">
        <v>1</v>
      </c>
      <c r="Q177" s="32"/>
      <c r="S177" s="1">
        <f t="shared" si="55"/>
        <v>0</v>
      </c>
      <c r="T177" s="1">
        <f t="shared" si="56"/>
        <v>0</v>
      </c>
      <c r="U177" s="1">
        <f t="shared" si="57"/>
        <v>0</v>
      </c>
      <c r="V177" s="1">
        <f t="shared" si="58"/>
        <v>0</v>
      </c>
      <c r="W177" s="1">
        <f t="shared" si="59"/>
        <v>0</v>
      </c>
      <c r="X177" s="1">
        <f t="shared" si="60"/>
        <v>0</v>
      </c>
      <c r="Y177" s="1">
        <f t="shared" si="61"/>
        <v>0</v>
      </c>
      <c r="Z177" s="1">
        <f t="shared" si="62"/>
        <v>0</v>
      </c>
      <c r="AA177" s="1">
        <f t="shared" si="63"/>
        <v>1</v>
      </c>
      <c r="AB177" s="1">
        <f t="shared" si="64"/>
        <v>0</v>
      </c>
      <c r="AD177" s="1">
        <f t="shared" si="65"/>
        <v>1</v>
      </c>
      <c r="AE177" s="1">
        <f t="shared" si="66"/>
        <v>0</v>
      </c>
      <c r="AF177" s="1">
        <f t="shared" si="67"/>
        <v>1</v>
      </c>
      <c r="AG177" s="1">
        <f t="shared" si="68"/>
        <v>0</v>
      </c>
      <c r="AH177" s="1">
        <f t="shared" si="69"/>
        <v>1</v>
      </c>
      <c r="AI177" s="1">
        <f t="shared" si="70"/>
        <v>0</v>
      </c>
    </row>
    <row r="178" spans="1:35" ht="14.25" customHeight="1" x14ac:dyDescent="0.25">
      <c r="A178" s="31">
        <v>0</v>
      </c>
      <c r="B178" s="31">
        <v>1</v>
      </c>
      <c r="C178" s="31">
        <v>3</v>
      </c>
      <c r="D178" s="32" t="s">
        <v>131</v>
      </c>
      <c r="E178" s="32" t="s">
        <v>674</v>
      </c>
      <c r="F178" s="32" t="s">
        <v>332</v>
      </c>
      <c r="G178" s="32" t="s">
        <v>39</v>
      </c>
      <c r="H178" s="32" t="s">
        <v>360</v>
      </c>
      <c r="I178" s="31" t="s">
        <v>478</v>
      </c>
      <c r="J178" s="31">
        <v>12</v>
      </c>
      <c r="K178" s="33" t="s">
        <v>713</v>
      </c>
      <c r="L178" s="33">
        <v>35</v>
      </c>
      <c r="M178" s="34" t="s">
        <v>39</v>
      </c>
      <c r="N178" s="34" t="s">
        <v>1785</v>
      </c>
      <c r="O178" s="35">
        <v>1</v>
      </c>
      <c r="P178" s="35"/>
      <c r="Q178" s="32"/>
      <c r="S178" s="1">
        <f t="shared" si="55"/>
        <v>0</v>
      </c>
      <c r="T178" s="1">
        <f t="shared" si="56"/>
        <v>0</v>
      </c>
      <c r="U178" s="1">
        <f t="shared" si="57"/>
        <v>0</v>
      </c>
      <c r="V178" s="1">
        <f t="shared" si="58"/>
        <v>0</v>
      </c>
      <c r="W178" s="1">
        <f t="shared" si="59"/>
        <v>0</v>
      </c>
      <c r="X178" s="1">
        <f t="shared" si="60"/>
        <v>0</v>
      </c>
      <c r="Y178" s="1">
        <f t="shared" si="61"/>
        <v>0</v>
      </c>
      <c r="Z178" s="1">
        <f t="shared" si="62"/>
        <v>0</v>
      </c>
      <c r="AA178" s="1">
        <f t="shared" si="63"/>
        <v>0</v>
      </c>
      <c r="AB178" s="1">
        <f t="shared" si="64"/>
        <v>0</v>
      </c>
      <c r="AD178" s="1">
        <f t="shared" si="65"/>
        <v>0</v>
      </c>
      <c r="AE178" s="1">
        <f t="shared" si="66"/>
        <v>1</v>
      </c>
      <c r="AF178" s="1">
        <f t="shared" si="67"/>
        <v>0</v>
      </c>
      <c r="AG178" s="1">
        <f t="shared" si="68"/>
        <v>1</v>
      </c>
      <c r="AH178" s="1">
        <f t="shared" si="69"/>
        <v>0</v>
      </c>
      <c r="AI178" s="1">
        <f t="shared" si="70"/>
        <v>1</v>
      </c>
    </row>
    <row r="179" spans="1:35" ht="14.25" customHeight="1" x14ac:dyDescent="0.25">
      <c r="A179" s="15">
        <v>0</v>
      </c>
      <c r="B179" s="15">
        <v>1</v>
      </c>
      <c r="C179" s="15">
        <v>3</v>
      </c>
      <c r="D179" s="16" t="s">
        <v>811</v>
      </c>
      <c r="E179" s="16" t="s">
        <v>171</v>
      </c>
      <c r="F179" s="16" t="s">
        <v>812</v>
      </c>
      <c r="G179" s="16" t="s">
        <v>39</v>
      </c>
      <c r="H179" s="16" t="s">
        <v>373</v>
      </c>
      <c r="I179" s="15" t="s">
        <v>810</v>
      </c>
      <c r="J179" s="15">
        <v>12</v>
      </c>
      <c r="K179" s="10" t="s">
        <v>694</v>
      </c>
      <c r="L179" s="10">
        <v>40</v>
      </c>
      <c r="M179" s="19" t="s">
        <v>951</v>
      </c>
      <c r="N179" s="19"/>
      <c r="Q179" s="16"/>
      <c r="S179" s="1">
        <f t="shared" si="55"/>
        <v>0</v>
      </c>
      <c r="T179" s="1">
        <f t="shared" si="56"/>
        <v>0</v>
      </c>
      <c r="U179" s="1">
        <f t="shared" si="57"/>
        <v>0</v>
      </c>
      <c r="V179" s="1">
        <f t="shared" si="58"/>
        <v>0</v>
      </c>
      <c r="W179" s="1">
        <f t="shared" si="59"/>
        <v>0</v>
      </c>
      <c r="X179" s="1">
        <f t="shared" si="60"/>
        <v>0</v>
      </c>
      <c r="Y179" s="1">
        <f t="shared" si="61"/>
        <v>0</v>
      </c>
      <c r="Z179" s="1">
        <f t="shared" si="62"/>
        <v>0</v>
      </c>
      <c r="AA179" s="1">
        <f t="shared" si="63"/>
        <v>0</v>
      </c>
      <c r="AB179" s="1">
        <f t="shared" si="64"/>
        <v>0</v>
      </c>
      <c r="AD179" s="1">
        <f t="shared" si="65"/>
        <v>0</v>
      </c>
      <c r="AE179" s="1">
        <f t="shared" si="66"/>
        <v>0</v>
      </c>
      <c r="AF179" s="1">
        <f t="shared" si="67"/>
        <v>0</v>
      </c>
      <c r="AG179" s="1">
        <f t="shared" si="68"/>
        <v>0</v>
      </c>
      <c r="AH179" s="1">
        <f t="shared" si="69"/>
        <v>0</v>
      </c>
      <c r="AI179" s="1">
        <f t="shared" si="70"/>
        <v>1</v>
      </c>
    </row>
    <row r="180" spans="1:35" ht="14.25" customHeight="1" x14ac:dyDescent="0.25">
      <c r="A180" s="31">
        <v>0</v>
      </c>
      <c r="B180" s="31">
        <v>1</v>
      </c>
      <c r="C180" s="31">
        <v>3</v>
      </c>
      <c r="D180" s="32" t="s">
        <v>141</v>
      </c>
      <c r="E180" s="32" t="s">
        <v>171</v>
      </c>
      <c r="F180" s="32" t="s">
        <v>341</v>
      </c>
      <c r="G180" s="32" t="s">
        <v>39</v>
      </c>
      <c r="H180" s="32" t="s">
        <v>375</v>
      </c>
      <c r="I180" s="31" t="s">
        <v>487</v>
      </c>
      <c r="J180" s="31">
        <v>15</v>
      </c>
      <c r="K180" s="33" t="s">
        <v>693</v>
      </c>
      <c r="L180" s="33" t="s">
        <v>683</v>
      </c>
      <c r="M180" s="34" t="s">
        <v>682</v>
      </c>
      <c r="N180" s="34" t="s">
        <v>1699</v>
      </c>
      <c r="O180" s="35">
        <v>1</v>
      </c>
      <c r="P180" s="35">
        <v>1</v>
      </c>
      <c r="Q180" s="36" t="s">
        <v>1850</v>
      </c>
      <c r="S180" s="1">
        <f t="shared" si="55"/>
        <v>0</v>
      </c>
      <c r="T180" s="1">
        <f t="shared" si="56"/>
        <v>0</v>
      </c>
      <c r="U180" s="1">
        <f t="shared" si="57"/>
        <v>0</v>
      </c>
      <c r="V180" s="1">
        <f t="shared" si="58"/>
        <v>0</v>
      </c>
      <c r="W180" s="1">
        <f t="shared" si="59"/>
        <v>0</v>
      </c>
      <c r="X180" s="1">
        <f t="shared" si="60"/>
        <v>0</v>
      </c>
      <c r="Y180" s="1">
        <f t="shared" si="61"/>
        <v>0</v>
      </c>
      <c r="Z180" s="1">
        <f t="shared" si="62"/>
        <v>0</v>
      </c>
      <c r="AA180" s="1">
        <f t="shared" si="63"/>
        <v>0</v>
      </c>
      <c r="AB180" s="1">
        <f t="shared" si="64"/>
        <v>0</v>
      </c>
      <c r="AD180" s="1">
        <f t="shared" si="65"/>
        <v>1</v>
      </c>
      <c r="AE180" s="1">
        <f t="shared" si="66"/>
        <v>0</v>
      </c>
      <c r="AF180" s="1">
        <f t="shared" si="67"/>
        <v>1</v>
      </c>
      <c r="AG180" s="1">
        <f t="shared" si="68"/>
        <v>0</v>
      </c>
      <c r="AH180" s="1">
        <f t="shared" si="69"/>
        <v>1</v>
      </c>
      <c r="AI180" s="1">
        <f t="shared" si="70"/>
        <v>0</v>
      </c>
    </row>
    <row r="181" spans="1:35" ht="14.25" customHeight="1" x14ac:dyDescent="0.25">
      <c r="A181" s="31">
        <v>0</v>
      </c>
      <c r="B181" s="31">
        <v>1</v>
      </c>
      <c r="C181" s="31">
        <v>3</v>
      </c>
      <c r="D181" s="36" t="s">
        <v>1801</v>
      </c>
      <c r="E181" s="32" t="s">
        <v>1068</v>
      </c>
      <c r="F181" s="32" t="s">
        <v>1786</v>
      </c>
      <c r="G181" s="32"/>
      <c r="H181" s="32" t="s">
        <v>370</v>
      </c>
      <c r="I181" s="31" t="s">
        <v>1787</v>
      </c>
      <c r="J181" s="31">
        <v>16</v>
      </c>
      <c r="K181" s="33" t="s">
        <v>694</v>
      </c>
      <c r="L181" s="33"/>
      <c r="M181" s="34"/>
      <c r="N181" s="34" t="s">
        <v>1693</v>
      </c>
      <c r="O181" s="35">
        <v>1</v>
      </c>
      <c r="P181" s="35">
        <v>1</v>
      </c>
      <c r="Q181" s="32"/>
      <c r="S181" s="1">
        <f t="shared" si="55"/>
        <v>0</v>
      </c>
      <c r="T181" s="1">
        <f t="shared" si="56"/>
        <v>0</v>
      </c>
      <c r="U181" s="1">
        <f t="shared" si="57"/>
        <v>0</v>
      </c>
      <c r="V181" s="1">
        <f t="shared" si="58"/>
        <v>0</v>
      </c>
      <c r="W181" s="1">
        <f t="shared" si="59"/>
        <v>0</v>
      </c>
      <c r="X181" s="1">
        <f t="shared" si="60"/>
        <v>0</v>
      </c>
      <c r="Y181" s="1">
        <f t="shared" si="61"/>
        <v>0</v>
      </c>
      <c r="Z181" s="1">
        <f t="shared" si="62"/>
        <v>0</v>
      </c>
      <c r="AA181" s="1">
        <f t="shared" si="63"/>
        <v>0</v>
      </c>
      <c r="AB181" s="1">
        <f t="shared" si="64"/>
        <v>0</v>
      </c>
      <c r="AD181" s="1">
        <f t="shared" si="65"/>
        <v>1</v>
      </c>
      <c r="AE181" s="1">
        <f t="shared" si="66"/>
        <v>0</v>
      </c>
      <c r="AF181" s="1">
        <f t="shared" si="67"/>
        <v>1</v>
      </c>
      <c r="AG181" s="1">
        <f t="shared" si="68"/>
        <v>0</v>
      </c>
      <c r="AH181" s="1">
        <f t="shared" si="69"/>
        <v>1</v>
      </c>
      <c r="AI181" s="1">
        <f t="shared" si="70"/>
        <v>0</v>
      </c>
    </row>
    <row r="182" spans="1:35" ht="14.25" customHeight="1" x14ac:dyDescent="0.25">
      <c r="A182" s="31">
        <v>0</v>
      </c>
      <c r="B182" s="31">
        <v>1</v>
      </c>
      <c r="C182" s="31">
        <v>3</v>
      </c>
      <c r="D182" s="32" t="s">
        <v>960</v>
      </c>
      <c r="E182" s="32" t="s">
        <v>602</v>
      </c>
      <c r="F182" s="32" t="s">
        <v>961</v>
      </c>
      <c r="G182" s="32" t="s">
        <v>202</v>
      </c>
      <c r="H182" s="32" t="s">
        <v>352</v>
      </c>
      <c r="I182" s="31" t="s">
        <v>962</v>
      </c>
      <c r="J182" s="31">
        <v>99</v>
      </c>
      <c r="K182" s="33" t="s">
        <v>937</v>
      </c>
      <c r="L182" s="33" t="s">
        <v>39</v>
      </c>
      <c r="M182" s="34" t="s">
        <v>39</v>
      </c>
      <c r="N182" s="34" t="s">
        <v>1693</v>
      </c>
      <c r="O182" s="35">
        <v>1</v>
      </c>
      <c r="P182" s="35">
        <v>1</v>
      </c>
      <c r="Q182" s="32"/>
      <c r="S182" s="1">
        <f t="shared" si="55"/>
        <v>0</v>
      </c>
      <c r="T182" s="1">
        <f t="shared" si="56"/>
        <v>0</v>
      </c>
      <c r="U182" s="1">
        <f t="shared" si="57"/>
        <v>0</v>
      </c>
      <c r="V182" s="1">
        <f t="shared" si="58"/>
        <v>0</v>
      </c>
      <c r="W182" s="1">
        <f t="shared" si="59"/>
        <v>0</v>
      </c>
      <c r="X182" s="1">
        <f t="shared" si="60"/>
        <v>0</v>
      </c>
      <c r="Y182" s="1">
        <f t="shared" si="61"/>
        <v>0</v>
      </c>
      <c r="Z182" s="1">
        <f t="shared" si="62"/>
        <v>0</v>
      </c>
      <c r="AA182" s="1">
        <f t="shared" si="63"/>
        <v>0</v>
      </c>
      <c r="AB182" s="1">
        <f t="shared" si="64"/>
        <v>0</v>
      </c>
      <c r="AD182" s="1">
        <f t="shared" si="65"/>
        <v>1</v>
      </c>
      <c r="AE182" s="1">
        <f t="shared" si="66"/>
        <v>0</v>
      </c>
      <c r="AF182" s="1">
        <f t="shared" si="67"/>
        <v>1</v>
      </c>
      <c r="AG182" s="1">
        <f t="shared" si="68"/>
        <v>0</v>
      </c>
      <c r="AH182" s="1">
        <f t="shared" si="69"/>
        <v>1</v>
      </c>
      <c r="AI182" s="1">
        <f t="shared" si="70"/>
        <v>0</v>
      </c>
    </row>
    <row r="183" spans="1:35" ht="14.25" customHeight="1" x14ac:dyDescent="0.25">
      <c r="A183" s="31">
        <v>0</v>
      </c>
      <c r="B183" s="31">
        <v>1</v>
      </c>
      <c r="C183" s="31">
        <v>3</v>
      </c>
      <c r="D183" s="32" t="s">
        <v>148</v>
      </c>
      <c r="E183" s="32" t="s">
        <v>171</v>
      </c>
      <c r="F183" s="32" t="s">
        <v>348</v>
      </c>
      <c r="G183" s="32" t="s">
        <v>39</v>
      </c>
      <c r="H183" s="32" t="s">
        <v>378</v>
      </c>
      <c r="I183" s="31" t="s">
        <v>493</v>
      </c>
      <c r="J183" s="31">
        <v>14</v>
      </c>
      <c r="K183" s="33" t="s">
        <v>945</v>
      </c>
      <c r="L183" s="33" t="s">
        <v>39</v>
      </c>
      <c r="M183" s="34" t="s">
        <v>39</v>
      </c>
      <c r="N183" s="34" t="s">
        <v>1699</v>
      </c>
      <c r="O183" s="35">
        <v>1</v>
      </c>
      <c r="P183" s="35">
        <v>1</v>
      </c>
      <c r="Q183" s="32"/>
      <c r="S183" s="1">
        <f t="shared" si="55"/>
        <v>0</v>
      </c>
      <c r="T183" s="1">
        <f t="shared" si="56"/>
        <v>0</v>
      </c>
      <c r="U183" s="1">
        <f t="shared" si="57"/>
        <v>0</v>
      </c>
      <c r="V183" s="1">
        <f t="shared" si="58"/>
        <v>0</v>
      </c>
      <c r="W183" s="1">
        <f t="shared" si="59"/>
        <v>0</v>
      </c>
      <c r="X183" s="1">
        <f t="shared" si="60"/>
        <v>0</v>
      </c>
      <c r="Y183" s="1">
        <f t="shared" si="61"/>
        <v>0</v>
      </c>
      <c r="Z183" s="1">
        <f t="shared" si="62"/>
        <v>0</v>
      </c>
      <c r="AA183" s="1">
        <f t="shared" si="63"/>
        <v>0</v>
      </c>
      <c r="AB183" s="1">
        <f t="shared" si="64"/>
        <v>0</v>
      </c>
      <c r="AD183" s="1">
        <f t="shared" si="65"/>
        <v>1</v>
      </c>
      <c r="AE183" s="1">
        <f t="shared" si="66"/>
        <v>0</v>
      </c>
      <c r="AF183" s="1">
        <f t="shared" si="67"/>
        <v>1</v>
      </c>
      <c r="AG183" s="1">
        <f t="shared" si="68"/>
        <v>0</v>
      </c>
      <c r="AH183" s="1">
        <f t="shared" si="69"/>
        <v>1</v>
      </c>
      <c r="AI183" s="1">
        <f t="shared" si="70"/>
        <v>0</v>
      </c>
    </row>
    <row r="184" spans="1:35" ht="14.25" customHeight="1" x14ac:dyDescent="0.25">
      <c r="A184" s="31">
        <v>0</v>
      </c>
      <c r="B184" s="31">
        <v>1</v>
      </c>
      <c r="C184" s="31">
        <v>3</v>
      </c>
      <c r="D184" s="32" t="s">
        <v>1943</v>
      </c>
      <c r="E184" s="32" t="s">
        <v>1944</v>
      </c>
      <c r="F184" s="32" t="s">
        <v>1945</v>
      </c>
      <c r="G184" s="32" t="s">
        <v>531</v>
      </c>
      <c r="H184" s="32" t="s">
        <v>352</v>
      </c>
      <c r="I184" s="31" t="s">
        <v>1946</v>
      </c>
      <c r="J184" s="31"/>
      <c r="K184" s="33" t="s">
        <v>694</v>
      </c>
      <c r="L184" s="33"/>
      <c r="M184" s="34"/>
      <c r="N184" s="34" t="s">
        <v>1699</v>
      </c>
      <c r="O184" s="35">
        <v>1</v>
      </c>
      <c r="P184" s="35">
        <v>1</v>
      </c>
      <c r="Q184" s="32"/>
      <c r="S184" s="1">
        <f t="shared" si="55"/>
        <v>0</v>
      </c>
      <c r="T184" s="1">
        <f t="shared" si="56"/>
        <v>0</v>
      </c>
      <c r="U184" s="1">
        <f t="shared" si="57"/>
        <v>0</v>
      </c>
      <c r="V184" s="1">
        <f t="shared" si="58"/>
        <v>0</v>
      </c>
      <c r="W184" s="1">
        <f t="shared" si="59"/>
        <v>0</v>
      </c>
      <c r="X184" s="1">
        <f t="shared" si="60"/>
        <v>0</v>
      </c>
      <c r="Y184" s="1">
        <f t="shared" si="61"/>
        <v>0</v>
      </c>
      <c r="Z184" s="1">
        <f t="shared" si="62"/>
        <v>0</v>
      </c>
      <c r="AA184" s="1">
        <f t="shared" si="63"/>
        <v>0</v>
      </c>
      <c r="AB184" s="1">
        <f t="shared" si="64"/>
        <v>0</v>
      </c>
      <c r="AD184" s="1">
        <f t="shared" si="65"/>
        <v>1</v>
      </c>
      <c r="AE184" s="1">
        <f t="shared" si="66"/>
        <v>0</v>
      </c>
      <c r="AF184" s="1">
        <f t="shared" si="67"/>
        <v>1</v>
      </c>
      <c r="AG184" s="1">
        <f t="shared" si="68"/>
        <v>0</v>
      </c>
      <c r="AH184" s="1">
        <f t="shared" si="69"/>
        <v>1</v>
      </c>
      <c r="AI184" s="1">
        <f t="shared" si="70"/>
        <v>0</v>
      </c>
    </row>
    <row r="185" spans="1:35" ht="14.25" customHeight="1" x14ac:dyDescent="0.25">
      <c r="A185" s="31">
        <v>0</v>
      </c>
      <c r="B185" s="31">
        <v>1</v>
      </c>
      <c r="C185" s="31">
        <v>3</v>
      </c>
      <c r="D185" s="32" t="s">
        <v>627</v>
      </c>
      <c r="E185" s="32" t="s">
        <v>171</v>
      </c>
      <c r="F185" s="32" t="s">
        <v>629</v>
      </c>
      <c r="G185" s="32" t="s">
        <v>237</v>
      </c>
      <c r="H185" s="32" t="s">
        <v>352</v>
      </c>
      <c r="I185" s="31" t="s">
        <v>628</v>
      </c>
      <c r="J185" s="31">
        <v>4</v>
      </c>
      <c r="K185" s="33" t="s">
        <v>937</v>
      </c>
      <c r="L185" s="33" t="s">
        <v>39</v>
      </c>
      <c r="M185" s="34" t="s">
        <v>39</v>
      </c>
      <c r="N185" s="34" t="s">
        <v>1699</v>
      </c>
      <c r="O185" s="35">
        <v>1</v>
      </c>
      <c r="P185" s="35">
        <v>1</v>
      </c>
      <c r="Q185" s="32"/>
      <c r="S185" s="1">
        <f t="shared" si="55"/>
        <v>0</v>
      </c>
      <c r="T185" s="1">
        <f t="shared" si="56"/>
        <v>0</v>
      </c>
      <c r="U185" s="1">
        <f t="shared" si="57"/>
        <v>0</v>
      </c>
      <c r="V185" s="1">
        <f t="shared" si="58"/>
        <v>1</v>
      </c>
      <c r="W185" s="1">
        <f t="shared" si="59"/>
        <v>0</v>
      </c>
      <c r="X185" s="1">
        <f t="shared" si="60"/>
        <v>0</v>
      </c>
      <c r="Y185" s="1">
        <f t="shared" si="61"/>
        <v>0</v>
      </c>
      <c r="Z185" s="1">
        <f t="shared" si="62"/>
        <v>0</v>
      </c>
      <c r="AA185" s="1">
        <f t="shared" si="63"/>
        <v>0</v>
      </c>
      <c r="AB185" s="1">
        <f t="shared" si="64"/>
        <v>0</v>
      </c>
      <c r="AD185" s="1">
        <f t="shared" si="65"/>
        <v>1</v>
      </c>
      <c r="AE185" s="1">
        <f t="shared" si="66"/>
        <v>0</v>
      </c>
      <c r="AF185" s="1">
        <f t="shared" si="67"/>
        <v>1</v>
      </c>
      <c r="AG185" s="1">
        <f t="shared" si="68"/>
        <v>0</v>
      </c>
      <c r="AH185" s="1">
        <f t="shared" si="69"/>
        <v>1</v>
      </c>
      <c r="AI185" s="1">
        <f t="shared" si="70"/>
        <v>0</v>
      </c>
    </row>
    <row r="186" spans="1:35" ht="14.25" customHeight="1" x14ac:dyDescent="0.25">
      <c r="A186" s="15">
        <v>0</v>
      </c>
      <c r="B186" s="15">
        <v>1</v>
      </c>
      <c r="C186" s="15">
        <v>3</v>
      </c>
      <c r="D186" s="16" t="s">
        <v>1495</v>
      </c>
      <c r="E186" s="16" t="s">
        <v>1068</v>
      </c>
      <c r="F186" s="16" t="s">
        <v>1496</v>
      </c>
      <c r="G186" s="16" t="s">
        <v>217</v>
      </c>
      <c r="H186" s="16" t="s">
        <v>352</v>
      </c>
      <c r="I186" s="15" t="s">
        <v>1497</v>
      </c>
      <c r="J186" s="15">
        <v>99</v>
      </c>
      <c r="K186" s="10" t="s">
        <v>694</v>
      </c>
      <c r="L186" s="10">
        <v>40</v>
      </c>
      <c r="M186" s="19" t="s">
        <v>951</v>
      </c>
      <c r="N186" s="19"/>
      <c r="Q186" s="16"/>
      <c r="S186" s="1">
        <f t="shared" si="55"/>
        <v>0</v>
      </c>
      <c r="T186" s="1">
        <f t="shared" si="56"/>
        <v>0</v>
      </c>
      <c r="U186" s="1">
        <f t="shared" si="57"/>
        <v>0</v>
      </c>
      <c r="V186" s="1">
        <f t="shared" si="58"/>
        <v>0</v>
      </c>
      <c r="W186" s="1">
        <f t="shared" si="59"/>
        <v>0</v>
      </c>
      <c r="X186" s="1">
        <f t="shared" si="60"/>
        <v>0</v>
      </c>
      <c r="Y186" s="1">
        <f t="shared" si="61"/>
        <v>0</v>
      </c>
      <c r="Z186" s="1">
        <f t="shared" si="62"/>
        <v>0</v>
      </c>
      <c r="AA186" s="1">
        <f t="shared" si="63"/>
        <v>0</v>
      </c>
      <c r="AB186" s="1">
        <f t="shared" si="64"/>
        <v>0</v>
      </c>
      <c r="AD186" s="1">
        <f t="shared" si="65"/>
        <v>0</v>
      </c>
      <c r="AE186" s="1">
        <f t="shared" si="66"/>
        <v>0</v>
      </c>
      <c r="AF186" s="1">
        <f t="shared" si="67"/>
        <v>0</v>
      </c>
      <c r="AG186" s="1">
        <f t="shared" si="68"/>
        <v>0</v>
      </c>
      <c r="AH186" s="1">
        <f t="shared" si="69"/>
        <v>0</v>
      </c>
      <c r="AI186" s="1">
        <f t="shared" si="70"/>
        <v>1</v>
      </c>
    </row>
    <row r="187" spans="1:35" ht="14.25" customHeight="1" x14ac:dyDescent="0.25">
      <c r="A187" s="31">
        <v>0</v>
      </c>
      <c r="B187" s="31">
        <v>1</v>
      </c>
      <c r="C187" s="31">
        <v>3</v>
      </c>
      <c r="D187" s="32" t="s">
        <v>101</v>
      </c>
      <c r="E187" s="32" t="s">
        <v>171</v>
      </c>
      <c r="F187" s="32" t="s">
        <v>297</v>
      </c>
      <c r="G187" s="32" t="s">
        <v>298</v>
      </c>
      <c r="H187" s="32" t="s">
        <v>352</v>
      </c>
      <c r="I187" s="31" t="s">
        <v>446</v>
      </c>
      <c r="J187" s="31">
        <v>99</v>
      </c>
      <c r="K187" s="33" t="s">
        <v>939</v>
      </c>
      <c r="L187" s="33" t="s">
        <v>684</v>
      </c>
      <c r="M187" s="34" t="s">
        <v>682</v>
      </c>
      <c r="N187" s="34" t="s">
        <v>1705</v>
      </c>
      <c r="O187" s="35">
        <v>1</v>
      </c>
      <c r="P187" s="35"/>
      <c r="Q187" s="32"/>
      <c r="S187" s="1">
        <f t="shared" si="55"/>
        <v>0</v>
      </c>
      <c r="T187" s="1">
        <f t="shared" si="56"/>
        <v>0</v>
      </c>
      <c r="U187" s="1">
        <f t="shared" si="57"/>
        <v>0</v>
      </c>
      <c r="V187" s="1">
        <f t="shared" si="58"/>
        <v>0</v>
      </c>
      <c r="W187" s="1">
        <f t="shared" si="59"/>
        <v>0</v>
      </c>
      <c r="X187" s="1">
        <f t="shared" si="60"/>
        <v>0</v>
      </c>
      <c r="Y187" s="1">
        <f t="shared" si="61"/>
        <v>0</v>
      </c>
      <c r="Z187" s="1">
        <f t="shared" si="62"/>
        <v>0</v>
      </c>
      <c r="AA187" s="1">
        <f t="shared" si="63"/>
        <v>0</v>
      </c>
      <c r="AB187" s="1">
        <f t="shared" si="64"/>
        <v>0</v>
      </c>
      <c r="AD187" s="1">
        <f t="shared" si="65"/>
        <v>0</v>
      </c>
      <c r="AE187" s="1">
        <f t="shared" si="66"/>
        <v>1</v>
      </c>
      <c r="AF187" s="1">
        <f t="shared" si="67"/>
        <v>0</v>
      </c>
      <c r="AG187" s="1">
        <f t="shared" si="68"/>
        <v>1</v>
      </c>
      <c r="AH187" s="1">
        <f t="shared" si="69"/>
        <v>0</v>
      </c>
      <c r="AI187" s="1">
        <f t="shared" si="70"/>
        <v>1</v>
      </c>
    </row>
    <row r="188" spans="1:35" ht="14.25" customHeight="1" x14ac:dyDescent="0.25">
      <c r="A188" s="31">
        <v>0</v>
      </c>
      <c r="B188" s="31">
        <v>1</v>
      </c>
      <c r="C188" s="31">
        <v>3</v>
      </c>
      <c r="D188" s="32" t="s">
        <v>971</v>
      </c>
      <c r="E188" s="32" t="s">
        <v>171</v>
      </c>
      <c r="F188" s="32" t="s">
        <v>974</v>
      </c>
      <c r="G188" s="32" t="s">
        <v>39</v>
      </c>
      <c r="H188" s="32" t="s">
        <v>973</v>
      </c>
      <c r="I188" s="31" t="s">
        <v>972</v>
      </c>
      <c r="J188" s="31">
        <v>14</v>
      </c>
      <c r="K188" s="33" t="s">
        <v>713</v>
      </c>
      <c r="L188" s="33" t="s">
        <v>685</v>
      </c>
      <c r="M188" s="34" t="s">
        <v>952</v>
      </c>
      <c r="N188" s="34" t="s">
        <v>1705</v>
      </c>
      <c r="O188" s="35">
        <v>1</v>
      </c>
      <c r="P188" s="35"/>
      <c r="Q188" s="32"/>
      <c r="S188" s="1">
        <f t="shared" si="55"/>
        <v>0</v>
      </c>
      <c r="T188" s="1">
        <f t="shared" si="56"/>
        <v>0</v>
      </c>
      <c r="U188" s="1">
        <f t="shared" si="57"/>
        <v>0</v>
      </c>
      <c r="V188" s="1">
        <f t="shared" si="58"/>
        <v>0</v>
      </c>
      <c r="W188" s="1">
        <f t="shared" si="59"/>
        <v>0</v>
      </c>
      <c r="X188" s="1">
        <f t="shared" si="60"/>
        <v>0</v>
      </c>
      <c r="Y188" s="1">
        <f t="shared" si="61"/>
        <v>0</v>
      </c>
      <c r="Z188" s="1">
        <f t="shared" si="62"/>
        <v>0</v>
      </c>
      <c r="AA188" s="1">
        <f t="shared" si="63"/>
        <v>0</v>
      </c>
      <c r="AB188" s="1">
        <f t="shared" si="64"/>
        <v>0</v>
      </c>
      <c r="AD188" s="1">
        <f t="shared" si="65"/>
        <v>0</v>
      </c>
      <c r="AE188" s="1">
        <f t="shared" si="66"/>
        <v>1</v>
      </c>
      <c r="AF188" s="1">
        <f t="shared" si="67"/>
        <v>0</v>
      </c>
      <c r="AG188" s="1">
        <f t="shared" si="68"/>
        <v>1</v>
      </c>
      <c r="AH188" s="1">
        <f t="shared" si="69"/>
        <v>0</v>
      </c>
      <c r="AI188" s="1">
        <f t="shared" si="70"/>
        <v>1</v>
      </c>
    </row>
    <row r="189" spans="1:35" ht="14.25" customHeight="1" x14ac:dyDescent="0.25">
      <c r="A189" s="51">
        <v>0</v>
      </c>
      <c r="B189" s="51">
        <v>1</v>
      </c>
      <c r="C189" s="51">
        <v>3</v>
      </c>
      <c r="D189" s="52" t="s">
        <v>1611</v>
      </c>
      <c r="E189" s="52" t="s">
        <v>171</v>
      </c>
      <c r="F189" s="52" t="s">
        <v>758</v>
      </c>
      <c r="G189" s="52" t="s">
        <v>39</v>
      </c>
      <c r="H189" s="52" t="s">
        <v>365</v>
      </c>
      <c r="I189" s="51" t="s">
        <v>766</v>
      </c>
      <c r="J189" s="51">
        <v>18</v>
      </c>
      <c r="K189" s="53" t="s">
        <v>1663</v>
      </c>
      <c r="L189" s="53" t="s">
        <v>39</v>
      </c>
      <c r="M189" s="54" t="s">
        <v>759</v>
      </c>
      <c r="N189" s="55"/>
      <c r="O189" s="56"/>
      <c r="P189" s="56"/>
      <c r="Q189" s="52"/>
      <c r="S189" s="1">
        <f t="shared" si="55"/>
        <v>0</v>
      </c>
      <c r="T189" s="1">
        <f t="shared" si="56"/>
        <v>0</v>
      </c>
      <c r="U189" s="1">
        <f t="shared" si="57"/>
        <v>0</v>
      </c>
      <c r="V189" s="1">
        <f t="shared" si="58"/>
        <v>0</v>
      </c>
      <c r="W189" s="1">
        <f t="shared" si="59"/>
        <v>0</v>
      </c>
      <c r="X189" s="1">
        <f t="shared" si="60"/>
        <v>0</v>
      </c>
      <c r="Y189" s="1">
        <f t="shared" si="61"/>
        <v>0</v>
      </c>
      <c r="Z189" s="1">
        <f t="shared" si="62"/>
        <v>0</v>
      </c>
      <c r="AA189" s="1">
        <f t="shared" si="63"/>
        <v>0</v>
      </c>
      <c r="AB189" s="1">
        <f t="shared" si="64"/>
        <v>0</v>
      </c>
      <c r="AD189" s="1">
        <f t="shared" si="65"/>
        <v>0</v>
      </c>
      <c r="AE189" s="1">
        <f t="shared" si="66"/>
        <v>0</v>
      </c>
      <c r="AF189" s="1">
        <f t="shared" si="67"/>
        <v>0</v>
      </c>
      <c r="AG189" s="1">
        <f t="shared" si="68"/>
        <v>0</v>
      </c>
      <c r="AH189" s="1">
        <f t="shared" si="69"/>
        <v>0</v>
      </c>
      <c r="AI189" s="1">
        <f t="shared" si="70"/>
        <v>1</v>
      </c>
    </row>
    <row r="190" spans="1:35" ht="14.25" customHeight="1" x14ac:dyDescent="0.25">
      <c r="A190" s="31">
        <v>0</v>
      </c>
      <c r="B190" s="31">
        <v>1</v>
      </c>
      <c r="C190" s="31">
        <v>3</v>
      </c>
      <c r="D190" s="32" t="s">
        <v>134</v>
      </c>
      <c r="E190" s="32" t="s">
        <v>171</v>
      </c>
      <c r="F190" s="32" t="s">
        <v>651</v>
      </c>
      <c r="G190" s="32" t="s">
        <v>256</v>
      </c>
      <c r="H190" s="32" t="s">
        <v>352</v>
      </c>
      <c r="I190" s="31" t="s">
        <v>1659</v>
      </c>
      <c r="J190" s="31">
        <v>99</v>
      </c>
      <c r="K190" s="33" t="s">
        <v>713</v>
      </c>
      <c r="L190" s="33" t="s">
        <v>678</v>
      </c>
      <c r="M190" s="34" t="s">
        <v>1368</v>
      </c>
      <c r="N190" s="34" t="s">
        <v>1705</v>
      </c>
      <c r="O190" s="35">
        <v>1</v>
      </c>
      <c r="P190" s="35"/>
      <c r="Q190" s="32" t="s">
        <v>1889</v>
      </c>
      <c r="S190" s="1">
        <f t="shared" si="55"/>
        <v>0</v>
      </c>
      <c r="T190" s="1">
        <f t="shared" si="56"/>
        <v>0</v>
      </c>
      <c r="U190" s="1">
        <f t="shared" si="57"/>
        <v>0</v>
      </c>
      <c r="V190" s="1">
        <f t="shared" si="58"/>
        <v>0</v>
      </c>
      <c r="W190" s="1">
        <f t="shared" si="59"/>
        <v>0</v>
      </c>
      <c r="X190" s="1">
        <f t="shared" si="60"/>
        <v>0</v>
      </c>
      <c r="Y190" s="1">
        <f t="shared" si="61"/>
        <v>0</v>
      </c>
      <c r="Z190" s="1">
        <f t="shared" si="62"/>
        <v>0</v>
      </c>
      <c r="AA190" s="1">
        <f t="shared" si="63"/>
        <v>0</v>
      </c>
      <c r="AB190" s="1">
        <f t="shared" si="64"/>
        <v>0</v>
      </c>
      <c r="AD190" s="1">
        <f t="shared" si="65"/>
        <v>0</v>
      </c>
      <c r="AE190" s="1">
        <f t="shared" si="66"/>
        <v>1</v>
      </c>
      <c r="AF190" s="1">
        <f t="shared" si="67"/>
        <v>0</v>
      </c>
      <c r="AG190" s="1">
        <f t="shared" si="68"/>
        <v>1</v>
      </c>
      <c r="AH190" s="1">
        <f t="shared" si="69"/>
        <v>0</v>
      </c>
      <c r="AI190" s="1">
        <f t="shared" si="70"/>
        <v>1</v>
      </c>
    </row>
    <row r="191" spans="1:35" ht="14.25" customHeight="1" x14ac:dyDescent="0.25">
      <c r="A191" s="31">
        <v>0</v>
      </c>
      <c r="B191" s="31">
        <v>1</v>
      </c>
      <c r="C191" s="31">
        <v>3</v>
      </c>
      <c r="D191" s="32" t="s">
        <v>906</v>
      </c>
      <c r="E191" s="32" t="s">
        <v>169</v>
      </c>
      <c r="F191" s="32" t="s">
        <v>922</v>
      </c>
      <c r="G191" s="32" t="s">
        <v>39</v>
      </c>
      <c r="H191" s="32" t="s">
        <v>363</v>
      </c>
      <c r="I191" s="31" t="s">
        <v>868</v>
      </c>
      <c r="J191" s="31">
        <v>18</v>
      </c>
      <c r="K191" s="33" t="s">
        <v>693</v>
      </c>
      <c r="L191" s="33" t="s">
        <v>688</v>
      </c>
      <c r="M191" s="34" t="s">
        <v>952</v>
      </c>
      <c r="N191" s="34" t="s">
        <v>1709</v>
      </c>
      <c r="O191" s="35">
        <v>1</v>
      </c>
      <c r="P191" s="35"/>
      <c r="Q191" s="32"/>
      <c r="S191" s="1">
        <f t="shared" si="55"/>
        <v>0</v>
      </c>
      <c r="T191" s="1">
        <f t="shared" si="56"/>
        <v>0</v>
      </c>
      <c r="U191" s="1">
        <f t="shared" si="57"/>
        <v>0</v>
      </c>
      <c r="V191" s="1">
        <f t="shared" si="58"/>
        <v>0</v>
      </c>
      <c r="W191" s="1">
        <f t="shared" si="59"/>
        <v>0</v>
      </c>
      <c r="X191" s="1">
        <f t="shared" si="60"/>
        <v>0</v>
      </c>
      <c r="Y191" s="1">
        <f t="shared" si="61"/>
        <v>0</v>
      </c>
      <c r="Z191" s="1">
        <f t="shared" si="62"/>
        <v>0</v>
      </c>
      <c r="AA191" s="1">
        <f t="shared" si="63"/>
        <v>0</v>
      </c>
      <c r="AB191" s="1">
        <f t="shared" si="64"/>
        <v>0</v>
      </c>
      <c r="AD191" s="1">
        <f t="shared" si="65"/>
        <v>0</v>
      </c>
      <c r="AE191" s="1">
        <f t="shared" si="66"/>
        <v>1</v>
      </c>
      <c r="AF191" s="1">
        <f t="shared" si="67"/>
        <v>0</v>
      </c>
      <c r="AG191" s="1">
        <f t="shared" si="68"/>
        <v>1</v>
      </c>
      <c r="AH191" s="1">
        <f t="shared" si="69"/>
        <v>0</v>
      </c>
      <c r="AI191" s="1">
        <f t="shared" si="70"/>
        <v>1</v>
      </c>
    </row>
    <row r="192" spans="1:35" ht="14.25" customHeight="1" x14ac:dyDescent="0.25">
      <c r="A192" s="31">
        <v>0</v>
      </c>
      <c r="B192" s="31">
        <v>1</v>
      </c>
      <c r="C192" s="31">
        <v>3</v>
      </c>
      <c r="D192" s="32" t="s">
        <v>1235</v>
      </c>
      <c r="E192" s="32" t="s">
        <v>169</v>
      </c>
      <c r="F192" s="32" t="s">
        <v>1642</v>
      </c>
      <c r="G192" s="32" t="s">
        <v>39</v>
      </c>
      <c r="H192" s="32" t="s">
        <v>756</v>
      </c>
      <c r="I192" s="31" t="s">
        <v>1236</v>
      </c>
      <c r="J192" s="31">
        <v>11</v>
      </c>
      <c r="K192" s="33" t="s">
        <v>713</v>
      </c>
      <c r="L192" s="33" t="s">
        <v>680</v>
      </c>
      <c r="M192" s="34" t="s">
        <v>1369</v>
      </c>
      <c r="N192" s="34" t="s">
        <v>1710</v>
      </c>
      <c r="O192" s="35">
        <v>1</v>
      </c>
      <c r="P192" s="35"/>
      <c r="Q192" s="32"/>
      <c r="S192" s="1">
        <f t="shared" si="55"/>
        <v>0</v>
      </c>
      <c r="T192" s="1">
        <f t="shared" si="56"/>
        <v>0</v>
      </c>
      <c r="U192" s="1">
        <f t="shared" si="57"/>
        <v>0</v>
      </c>
      <c r="V192" s="1">
        <f t="shared" si="58"/>
        <v>0</v>
      </c>
      <c r="W192" s="1">
        <f t="shared" si="59"/>
        <v>0</v>
      </c>
      <c r="X192" s="1">
        <f t="shared" si="60"/>
        <v>0</v>
      </c>
      <c r="Y192" s="1">
        <f t="shared" si="61"/>
        <v>0</v>
      </c>
      <c r="Z192" s="1">
        <f t="shared" si="62"/>
        <v>0</v>
      </c>
      <c r="AA192" s="1">
        <f t="shared" si="63"/>
        <v>0</v>
      </c>
      <c r="AB192" s="1">
        <f t="shared" si="64"/>
        <v>0</v>
      </c>
      <c r="AD192" s="1">
        <f t="shared" si="65"/>
        <v>0</v>
      </c>
      <c r="AE192" s="1">
        <f t="shared" si="66"/>
        <v>1</v>
      </c>
      <c r="AF192" s="1">
        <f t="shared" si="67"/>
        <v>0</v>
      </c>
      <c r="AG192" s="1">
        <f t="shared" si="68"/>
        <v>1</v>
      </c>
      <c r="AH192" s="1">
        <f t="shared" si="69"/>
        <v>0</v>
      </c>
      <c r="AI192" s="1">
        <f t="shared" si="70"/>
        <v>1</v>
      </c>
    </row>
    <row r="193" spans="1:35" ht="14.25" customHeight="1" x14ac:dyDescent="0.25">
      <c r="A193" s="31">
        <v>0</v>
      </c>
      <c r="B193" s="31">
        <v>1</v>
      </c>
      <c r="C193" s="31">
        <v>4</v>
      </c>
      <c r="D193" s="32" t="s">
        <v>977</v>
      </c>
      <c r="E193" s="32" t="s">
        <v>757</v>
      </c>
      <c r="F193" s="32" t="s">
        <v>1075</v>
      </c>
      <c r="G193" s="32" t="s">
        <v>199</v>
      </c>
      <c r="H193" s="32" t="s">
        <v>352</v>
      </c>
      <c r="I193" s="31" t="s">
        <v>978</v>
      </c>
      <c r="J193" s="31">
        <v>2</v>
      </c>
      <c r="K193" s="33" t="s">
        <v>937</v>
      </c>
      <c r="L193" s="33" t="s">
        <v>684</v>
      </c>
      <c r="M193" s="34" t="s">
        <v>1370</v>
      </c>
      <c r="N193" s="34" t="s">
        <v>1693</v>
      </c>
      <c r="O193" s="35">
        <v>1</v>
      </c>
      <c r="P193" s="35">
        <v>1</v>
      </c>
      <c r="Q193" s="32"/>
      <c r="S193" s="1">
        <f t="shared" si="55"/>
        <v>0</v>
      </c>
      <c r="T193" s="1">
        <f t="shared" si="56"/>
        <v>1</v>
      </c>
      <c r="U193" s="1">
        <f t="shared" si="57"/>
        <v>0</v>
      </c>
      <c r="V193" s="1">
        <f t="shared" si="58"/>
        <v>0</v>
      </c>
      <c r="W193" s="1">
        <f t="shared" si="59"/>
        <v>0</v>
      </c>
      <c r="X193" s="1">
        <f t="shared" si="60"/>
        <v>0</v>
      </c>
      <c r="Y193" s="1">
        <f t="shared" si="61"/>
        <v>0</v>
      </c>
      <c r="Z193" s="1">
        <f t="shared" si="62"/>
        <v>0</v>
      </c>
      <c r="AA193" s="1">
        <f t="shared" si="63"/>
        <v>0</v>
      </c>
      <c r="AB193" s="1">
        <f t="shared" si="64"/>
        <v>0</v>
      </c>
      <c r="AD193" s="1">
        <f t="shared" si="65"/>
        <v>1</v>
      </c>
      <c r="AE193" s="1">
        <f t="shared" si="66"/>
        <v>0</v>
      </c>
      <c r="AF193" s="1">
        <f t="shared" si="67"/>
        <v>1</v>
      </c>
      <c r="AG193" s="1">
        <f t="shared" si="68"/>
        <v>0</v>
      </c>
      <c r="AH193" s="1">
        <f t="shared" si="69"/>
        <v>1</v>
      </c>
      <c r="AI193" s="1">
        <f t="shared" si="70"/>
        <v>0</v>
      </c>
    </row>
    <row r="194" spans="1:35" ht="14.25" customHeight="1" x14ac:dyDescent="0.25">
      <c r="A194" s="31">
        <v>0</v>
      </c>
      <c r="B194" s="31">
        <v>1</v>
      </c>
      <c r="C194" s="31">
        <v>4</v>
      </c>
      <c r="D194" s="32" t="s">
        <v>50</v>
      </c>
      <c r="E194" s="32" t="s">
        <v>757</v>
      </c>
      <c r="F194" s="32" t="s">
        <v>192</v>
      </c>
      <c r="G194" s="32" t="s">
        <v>193</v>
      </c>
      <c r="H194" s="32" t="s">
        <v>352</v>
      </c>
      <c r="I194" s="31" t="s">
        <v>385</v>
      </c>
      <c r="J194" s="31">
        <v>9</v>
      </c>
      <c r="K194" s="33" t="s">
        <v>937</v>
      </c>
      <c r="L194" s="33" t="s">
        <v>685</v>
      </c>
      <c r="M194" s="34" t="s">
        <v>950</v>
      </c>
      <c r="N194" s="34" t="s">
        <v>1761</v>
      </c>
      <c r="O194" s="35">
        <v>1</v>
      </c>
      <c r="P194" s="35"/>
      <c r="Q194" s="32"/>
      <c r="S194" s="1">
        <f t="shared" si="55"/>
        <v>0</v>
      </c>
      <c r="T194" s="1">
        <f t="shared" si="56"/>
        <v>0</v>
      </c>
      <c r="U194" s="1">
        <f t="shared" si="57"/>
        <v>0</v>
      </c>
      <c r="V194" s="1">
        <f t="shared" si="58"/>
        <v>0</v>
      </c>
      <c r="W194" s="1">
        <f t="shared" si="59"/>
        <v>0</v>
      </c>
      <c r="X194" s="1">
        <f t="shared" si="60"/>
        <v>0</v>
      </c>
      <c r="Y194" s="1">
        <f t="shared" si="61"/>
        <v>0</v>
      </c>
      <c r="Z194" s="1">
        <f t="shared" si="62"/>
        <v>0</v>
      </c>
      <c r="AA194" s="1">
        <f t="shared" si="63"/>
        <v>1</v>
      </c>
      <c r="AB194" s="1">
        <f t="shared" si="64"/>
        <v>0</v>
      </c>
      <c r="AD194" s="1">
        <f t="shared" si="65"/>
        <v>0</v>
      </c>
      <c r="AE194" s="1">
        <f t="shared" si="66"/>
        <v>1</v>
      </c>
      <c r="AF194" s="1">
        <f t="shared" si="67"/>
        <v>0</v>
      </c>
      <c r="AG194" s="1">
        <f t="shared" si="68"/>
        <v>1</v>
      </c>
      <c r="AH194" s="1">
        <f t="shared" si="69"/>
        <v>0</v>
      </c>
      <c r="AI194" s="1">
        <f t="shared" si="70"/>
        <v>1</v>
      </c>
    </row>
    <row r="195" spans="1:35" ht="14.25" customHeight="1" x14ac:dyDescent="0.25">
      <c r="A195" s="31">
        <v>0</v>
      </c>
      <c r="B195" s="31">
        <v>1</v>
      </c>
      <c r="C195" s="31">
        <v>4</v>
      </c>
      <c r="D195" s="32" t="s">
        <v>133</v>
      </c>
      <c r="E195" s="32" t="s">
        <v>176</v>
      </c>
      <c r="F195" s="32" t="s">
        <v>334</v>
      </c>
      <c r="G195" s="32" t="s">
        <v>212</v>
      </c>
      <c r="H195" s="32" t="s">
        <v>352</v>
      </c>
      <c r="I195" s="31" t="s">
        <v>480</v>
      </c>
      <c r="J195" s="31">
        <v>1</v>
      </c>
      <c r="K195" s="33" t="s">
        <v>937</v>
      </c>
      <c r="L195" s="33" t="s">
        <v>680</v>
      </c>
      <c r="M195" s="34" t="s">
        <v>682</v>
      </c>
      <c r="N195" s="34" t="s">
        <v>1705</v>
      </c>
      <c r="O195" s="35">
        <v>1</v>
      </c>
      <c r="P195" s="35"/>
      <c r="Q195" s="32"/>
      <c r="S195" s="1">
        <f t="shared" si="55"/>
        <v>1</v>
      </c>
      <c r="T195" s="1">
        <f t="shared" si="56"/>
        <v>0</v>
      </c>
      <c r="U195" s="1">
        <f t="shared" si="57"/>
        <v>0</v>
      </c>
      <c r="V195" s="1">
        <f t="shared" si="58"/>
        <v>0</v>
      </c>
      <c r="W195" s="1">
        <f t="shared" si="59"/>
        <v>0</v>
      </c>
      <c r="X195" s="1">
        <f t="shared" si="60"/>
        <v>0</v>
      </c>
      <c r="Y195" s="1">
        <f t="shared" si="61"/>
        <v>0</v>
      </c>
      <c r="Z195" s="1">
        <f t="shared" si="62"/>
        <v>0</v>
      </c>
      <c r="AA195" s="1">
        <f t="shared" si="63"/>
        <v>0</v>
      </c>
      <c r="AB195" s="1">
        <f t="shared" si="64"/>
        <v>0</v>
      </c>
      <c r="AD195" s="1">
        <f t="shared" si="65"/>
        <v>0</v>
      </c>
      <c r="AE195" s="1">
        <f t="shared" si="66"/>
        <v>1</v>
      </c>
      <c r="AF195" s="1">
        <f t="shared" si="67"/>
        <v>0</v>
      </c>
      <c r="AG195" s="1">
        <f t="shared" si="68"/>
        <v>1</v>
      </c>
      <c r="AH195" s="1">
        <f t="shared" si="69"/>
        <v>0</v>
      </c>
      <c r="AI195" s="1">
        <f t="shared" si="70"/>
        <v>1</v>
      </c>
    </row>
    <row r="196" spans="1:35" ht="14.25" customHeight="1" x14ac:dyDescent="0.25">
      <c r="A196" s="31">
        <v>0</v>
      </c>
      <c r="B196" s="31">
        <v>1</v>
      </c>
      <c r="C196" s="31">
        <v>4</v>
      </c>
      <c r="D196" s="36" t="s">
        <v>2129</v>
      </c>
      <c r="E196" s="32" t="s">
        <v>757</v>
      </c>
      <c r="F196" s="36" t="s">
        <v>2036</v>
      </c>
      <c r="G196" s="36" t="s">
        <v>212</v>
      </c>
      <c r="H196" s="36" t="s">
        <v>352</v>
      </c>
      <c r="I196" s="37" t="s">
        <v>2037</v>
      </c>
      <c r="J196" s="31">
        <v>1</v>
      </c>
      <c r="K196" s="33" t="s">
        <v>694</v>
      </c>
      <c r="L196" s="33"/>
      <c r="M196" s="34"/>
      <c r="N196" s="34" t="s">
        <v>1699</v>
      </c>
      <c r="O196" s="35">
        <v>1</v>
      </c>
      <c r="P196" s="35">
        <v>1</v>
      </c>
      <c r="Q196" s="32" t="s">
        <v>2038</v>
      </c>
      <c r="S196" s="1">
        <f t="shared" si="55"/>
        <v>1</v>
      </c>
      <c r="T196" s="1">
        <f t="shared" si="56"/>
        <v>0</v>
      </c>
      <c r="U196" s="1">
        <f t="shared" si="57"/>
        <v>0</v>
      </c>
      <c r="V196" s="1">
        <f t="shared" si="58"/>
        <v>0</v>
      </c>
      <c r="W196" s="1">
        <f t="shared" si="59"/>
        <v>0</v>
      </c>
      <c r="X196" s="1">
        <f t="shared" si="60"/>
        <v>0</v>
      </c>
      <c r="Y196" s="1">
        <f t="shared" si="61"/>
        <v>0</v>
      </c>
      <c r="Z196" s="1">
        <f t="shared" si="62"/>
        <v>0</v>
      </c>
      <c r="AA196" s="1">
        <f t="shared" si="63"/>
        <v>0</v>
      </c>
      <c r="AB196" s="1">
        <f t="shared" si="64"/>
        <v>0</v>
      </c>
      <c r="AD196" s="1">
        <f t="shared" si="65"/>
        <v>1</v>
      </c>
      <c r="AE196" s="1">
        <f t="shared" si="66"/>
        <v>0</v>
      </c>
      <c r="AF196" s="1">
        <f t="shared" si="67"/>
        <v>1</v>
      </c>
      <c r="AG196" s="1">
        <f t="shared" si="68"/>
        <v>0</v>
      </c>
      <c r="AH196" s="1">
        <f t="shared" si="69"/>
        <v>1</v>
      </c>
      <c r="AI196" s="1">
        <f t="shared" si="70"/>
        <v>0</v>
      </c>
    </row>
    <row r="197" spans="1:35" ht="14.25" customHeight="1" x14ac:dyDescent="0.25">
      <c r="A197" s="31">
        <v>0</v>
      </c>
      <c r="B197" s="31">
        <v>1</v>
      </c>
      <c r="C197" s="31">
        <v>5</v>
      </c>
      <c r="D197" s="32" t="s">
        <v>125</v>
      </c>
      <c r="E197" s="32" t="s">
        <v>522</v>
      </c>
      <c r="F197" s="32" t="s">
        <v>325</v>
      </c>
      <c r="G197" s="32" t="s">
        <v>298</v>
      </c>
      <c r="H197" s="32" t="s">
        <v>352</v>
      </c>
      <c r="I197" s="31" t="s">
        <v>472</v>
      </c>
      <c r="J197" s="31">
        <v>99</v>
      </c>
      <c r="K197" s="33" t="s">
        <v>693</v>
      </c>
      <c r="L197" s="33" t="s">
        <v>680</v>
      </c>
      <c r="M197" s="34" t="s">
        <v>951</v>
      </c>
      <c r="N197" s="34" t="s">
        <v>1705</v>
      </c>
      <c r="O197" s="35">
        <v>1</v>
      </c>
      <c r="P197" s="35"/>
      <c r="Q197" s="32"/>
      <c r="S197" s="1">
        <f t="shared" si="55"/>
        <v>0</v>
      </c>
      <c r="T197" s="1">
        <f t="shared" si="56"/>
        <v>0</v>
      </c>
      <c r="U197" s="1">
        <f t="shared" si="57"/>
        <v>0</v>
      </c>
      <c r="V197" s="1">
        <f t="shared" si="58"/>
        <v>0</v>
      </c>
      <c r="W197" s="1">
        <f t="shared" si="59"/>
        <v>0</v>
      </c>
      <c r="X197" s="1">
        <f t="shared" si="60"/>
        <v>0</v>
      </c>
      <c r="Y197" s="1">
        <f t="shared" si="61"/>
        <v>0</v>
      </c>
      <c r="Z197" s="1">
        <f t="shared" si="62"/>
        <v>0</v>
      </c>
      <c r="AA197" s="1">
        <f t="shared" si="63"/>
        <v>0</v>
      </c>
      <c r="AB197" s="1">
        <f t="shared" si="64"/>
        <v>0</v>
      </c>
      <c r="AD197" s="1">
        <f t="shared" si="65"/>
        <v>0</v>
      </c>
      <c r="AE197" s="1">
        <f t="shared" si="66"/>
        <v>1</v>
      </c>
      <c r="AF197" s="1">
        <f t="shared" si="67"/>
        <v>0</v>
      </c>
      <c r="AG197" s="1">
        <f t="shared" si="68"/>
        <v>1</v>
      </c>
      <c r="AH197" s="1">
        <f t="shared" si="69"/>
        <v>0</v>
      </c>
      <c r="AI197" s="1">
        <f t="shared" si="70"/>
        <v>1</v>
      </c>
    </row>
    <row r="198" spans="1:35" ht="14.25" customHeight="1" x14ac:dyDescent="0.25">
      <c r="A198" s="31">
        <v>0</v>
      </c>
      <c r="B198" s="31">
        <v>1</v>
      </c>
      <c r="C198" s="31">
        <v>5</v>
      </c>
      <c r="D198" s="32" t="s">
        <v>1695</v>
      </c>
      <c r="E198" s="32" t="s">
        <v>165</v>
      </c>
      <c r="F198" s="32" t="s">
        <v>1696</v>
      </c>
      <c r="G198" s="32" t="s">
        <v>1697</v>
      </c>
      <c r="H198" s="32" t="s">
        <v>352</v>
      </c>
      <c r="I198" s="31" t="s">
        <v>1698</v>
      </c>
      <c r="J198" s="31">
        <v>2</v>
      </c>
      <c r="K198" s="33" t="s">
        <v>694</v>
      </c>
      <c r="L198" s="33"/>
      <c r="M198" s="34"/>
      <c r="N198" s="34" t="s">
        <v>1699</v>
      </c>
      <c r="O198" s="35">
        <v>1</v>
      </c>
      <c r="P198" s="35">
        <v>1</v>
      </c>
      <c r="Q198" s="32"/>
      <c r="S198" s="1">
        <f t="shared" si="55"/>
        <v>0</v>
      </c>
      <c r="T198" s="1">
        <f t="shared" si="56"/>
        <v>1</v>
      </c>
      <c r="U198" s="1">
        <f t="shared" si="57"/>
        <v>0</v>
      </c>
      <c r="V198" s="1">
        <f t="shared" si="58"/>
        <v>0</v>
      </c>
      <c r="W198" s="1">
        <f t="shared" si="59"/>
        <v>0</v>
      </c>
      <c r="X198" s="1">
        <f t="shared" si="60"/>
        <v>0</v>
      </c>
      <c r="Y198" s="1">
        <f t="shared" si="61"/>
        <v>0</v>
      </c>
      <c r="Z198" s="1">
        <f t="shared" si="62"/>
        <v>0</v>
      </c>
      <c r="AA198" s="1">
        <f t="shared" si="63"/>
        <v>0</v>
      </c>
      <c r="AB198" s="1">
        <f t="shared" si="64"/>
        <v>0</v>
      </c>
      <c r="AD198" s="1">
        <f t="shared" si="65"/>
        <v>1</v>
      </c>
      <c r="AE198" s="1">
        <f t="shared" si="66"/>
        <v>0</v>
      </c>
      <c r="AF198" s="1">
        <f t="shared" si="67"/>
        <v>1</v>
      </c>
      <c r="AG198" s="1">
        <f t="shared" si="68"/>
        <v>0</v>
      </c>
      <c r="AH198" s="1">
        <f t="shared" si="69"/>
        <v>1</v>
      </c>
      <c r="AI198" s="1">
        <f t="shared" si="70"/>
        <v>0</v>
      </c>
    </row>
    <row r="199" spans="1:35" ht="14.25" customHeight="1" x14ac:dyDescent="0.25">
      <c r="A199" s="31">
        <v>0</v>
      </c>
      <c r="B199" s="31">
        <v>1</v>
      </c>
      <c r="C199" s="31">
        <v>5</v>
      </c>
      <c r="D199" s="32" t="s">
        <v>87</v>
      </c>
      <c r="E199" s="32" t="s">
        <v>165</v>
      </c>
      <c r="F199" s="32" t="s">
        <v>570</v>
      </c>
      <c r="G199" s="32" t="s">
        <v>193</v>
      </c>
      <c r="H199" s="32" t="s">
        <v>352</v>
      </c>
      <c r="I199" s="31" t="s">
        <v>434</v>
      </c>
      <c r="J199" s="31">
        <v>9</v>
      </c>
      <c r="K199" s="33" t="s">
        <v>937</v>
      </c>
      <c r="L199" s="33" t="s">
        <v>687</v>
      </c>
      <c r="M199" s="34" t="s">
        <v>682</v>
      </c>
      <c r="N199" s="34" t="s">
        <v>1705</v>
      </c>
      <c r="O199" s="35">
        <v>1</v>
      </c>
      <c r="P199" s="35"/>
      <c r="Q199" s="32"/>
      <c r="S199" s="1">
        <f t="shared" si="55"/>
        <v>0</v>
      </c>
      <c r="T199" s="1">
        <f t="shared" si="56"/>
        <v>0</v>
      </c>
      <c r="U199" s="1">
        <f t="shared" si="57"/>
        <v>0</v>
      </c>
      <c r="V199" s="1">
        <f t="shared" si="58"/>
        <v>0</v>
      </c>
      <c r="W199" s="1">
        <f t="shared" si="59"/>
        <v>0</v>
      </c>
      <c r="X199" s="1">
        <f t="shared" si="60"/>
        <v>0</v>
      </c>
      <c r="Y199" s="1">
        <f t="shared" si="61"/>
        <v>0</v>
      </c>
      <c r="Z199" s="1">
        <f t="shared" si="62"/>
        <v>0</v>
      </c>
      <c r="AA199" s="1">
        <f t="shared" si="63"/>
        <v>1</v>
      </c>
      <c r="AB199" s="1">
        <f t="shared" si="64"/>
        <v>0</v>
      </c>
      <c r="AD199" s="1">
        <f t="shared" si="65"/>
        <v>0</v>
      </c>
      <c r="AE199" s="1">
        <f t="shared" si="66"/>
        <v>1</v>
      </c>
      <c r="AF199" s="1">
        <f t="shared" si="67"/>
        <v>0</v>
      </c>
      <c r="AG199" s="1">
        <f t="shared" si="68"/>
        <v>1</v>
      </c>
      <c r="AH199" s="1">
        <f t="shared" si="69"/>
        <v>0</v>
      </c>
      <c r="AI199" s="1">
        <f t="shared" si="70"/>
        <v>1</v>
      </c>
    </row>
    <row r="200" spans="1:35" ht="14.25" customHeight="1" x14ac:dyDescent="0.25">
      <c r="A200" s="31">
        <v>0</v>
      </c>
      <c r="B200" s="31">
        <v>1</v>
      </c>
      <c r="C200" s="31">
        <v>5</v>
      </c>
      <c r="D200" s="32" t="s">
        <v>1950</v>
      </c>
      <c r="E200" s="32" t="s">
        <v>165</v>
      </c>
      <c r="F200" s="32" t="s">
        <v>1951</v>
      </c>
      <c r="G200" s="32" t="s">
        <v>1954</v>
      </c>
      <c r="H200" s="32" t="s">
        <v>352</v>
      </c>
      <c r="I200" s="31" t="s">
        <v>1952</v>
      </c>
      <c r="J200" s="31">
        <v>99</v>
      </c>
      <c r="K200" s="33" t="s">
        <v>694</v>
      </c>
      <c r="L200" s="33">
        <v>25</v>
      </c>
      <c r="M200" s="34" t="s">
        <v>682</v>
      </c>
      <c r="N200" s="34" t="s">
        <v>1705</v>
      </c>
      <c r="O200" s="35">
        <v>1</v>
      </c>
      <c r="P200" s="35"/>
      <c r="Q200" s="32" t="s">
        <v>1953</v>
      </c>
      <c r="S200" s="1">
        <f t="shared" si="55"/>
        <v>0</v>
      </c>
      <c r="T200" s="1">
        <f t="shared" si="56"/>
        <v>0</v>
      </c>
      <c r="U200" s="1">
        <f t="shared" si="57"/>
        <v>0</v>
      </c>
      <c r="V200" s="1">
        <f t="shared" si="58"/>
        <v>0</v>
      </c>
      <c r="W200" s="1">
        <f t="shared" si="59"/>
        <v>0</v>
      </c>
      <c r="X200" s="1">
        <f t="shared" si="60"/>
        <v>0</v>
      </c>
      <c r="Y200" s="1">
        <f t="shared" si="61"/>
        <v>0</v>
      </c>
      <c r="Z200" s="1">
        <f t="shared" si="62"/>
        <v>0</v>
      </c>
      <c r="AA200" s="1">
        <f t="shared" si="63"/>
        <v>0</v>
      </c>
      <c r="AB200" s="1">
        <f t="shared" si="64"/>
        <v>0</v>
      </c>
      <c r="AD200" s="1">
        <f t="shared" si="65"/>
        <v>0</v>
      </c>
      <c r="AE200" s="1">
        <f t="shared" si="66"/>
        <v>1</v>
      </c>
      <c r="AF200" s="1">
        <f t="shared" si="67"/>
        <v>0</v>
      </c>
      <c r="AG200" s="1">
        <f t="shared" si="68"/>
        <v>1</v>
      </c>
      <c r="AH200" s="1">
        <f t="shared" si="69"/>
        <v>0</v>
      </c>
      <c r="AI200" s="1">
        <f t="shared" si="70"/>
        <v>1</v>
      </c>
    </row>
    <row r="201" spans="1:35" ht="14.25" customHeight="1" x14ac:dyDescent="0.25">
      <c r="A201" s="31">
        <v>0</v>
      </c>
      <c r="B201" s="31">
        <v>1</v>
      </c>
      <c r="C201" s="31">
        <v>5</v>
      </c>
      <c r="D201" s="32" t="s">
        <v>126</v>
      </c>
      <c r="E201" s="32" t="s">
        <v>165</v>
      </c>
      <c r="F201" s="32" t="s">
        <v>326</v>
      </c>
      <c r="G201" s="32" t="s">
        <v>179</v>
      </c>
      <c r="H201" s="32" t="s">
        <v>352</v>
      </c>
      <c r="I201" s="31" t="s">
        <v>473</v>
      </c>
      <c r="J201" s="31">
        <v>10</v>
      </c>
      <c r="K201" s="33" t="s">
        <v>939</v>
      </c>
      <c r="L201" s="33" t="s">
        <v>685</v>
      </c>
      <c r="M201" s="34" t="s">
        <v>682</v>
      </c>
      <c r="N201" s="34" t="s">
        <v>1750</v>
      </c>
      <c r="O201" s="35">
        <v>1</v>
      </c>
      <c r="P201" s="35"/>
      <c r="Q201" s="32"/>
      <c r="S201" s="1">
        <f t="shared" si="55"/>
        <v>0</v>
      </c>
      <c r="T201" s="1">
        <f t="shared" si="56"/>
        <v>0</v>
      </c>
      <c r="U201" s="1">
        <f t="shared" si="57"/>
        <v>0</v>
      </c>
      <c r="V201" s="1">
        <f t="shared" si="58"/>
        <v>0</v>
      </c>
      <c r="W201" s="1">
        <f t="shared" si="59"/>
        <v>0</v>
      </c>
      <c r="X201" s="1">
        <f t="shared" si="60"/>
        <v>0</v>
      </c>
      <c r="Y201" s="1">
        <f t="shared" si="61"/>
        <v>0</v>
      </c>
      <c r="Z201" s="1">
        <f t="shared" si="62"/>
        <v>0</v>
      </c>
      <c r="AA201" s="1">
        <f t="shared" si="63"/>
        <v>0</v>
      </c>
      <c r="AB201" s="1">
        <f t="shared" si="64"/>
        <v>1</v>
      </c>
      <c r="AD201" s="1">
        <f t="shared" si="65"/>
        <v>0</v>
      </c>
      <c r="AE201" s="1">
        <f t="shared" si="66"/>
        <v>1</v>
      </c>
      <c r="AF201" s="1">
        <f t="shared" si="67"/>
        <v>0</v>
      </c>
      <c r="AG201" s="1">
        <f t="shared" si="68"/>
        <v>1</v>
      </c>
      <c r="AH201" s="1">
        <f t="shared" si="69"/>
        <v>0</v>
      </c>
      <c r="AI201" s="1">
        <f t="shared" si="70"/>
        <v>1</v>
      </c>
    </row>
    <row r="202" spans="1:35" ht="14.25" customHeight="1" x14ac:dyDescent="0.25">
      <c r="A202" s="31">
        <v>0</v>
      </c>
      <c r="B202" s="31">
        <v>1</v>
      </c>
      <c r="C202" s="31">
        <v>5</v>
      </c>
      <c r="D202" s="32" t="s">
        <v>136</v>
      </c>
      <c r="E202" s="32" t="s">
        <v>165</v>
      </c>
      <c r="F202" s="32" t="s">
        <v>544</v>
      </c>
      <c r="G202" s="32" t="s">
        <v>219</v>
      </c>
      <c r="H202" s="32" t="s">
        <v>352</v>
      </c>
      <c r="I202" s="31" t="s">
        <v>536</v>
      </c>
      <c r="J202" s="31">
        <v>8</v>
      </c>
      <c r="K202" s="33" t="s">
        <v>937</v>
      </c>
      <c r="L202" s="33" t="s">
        <v>685</v>
      </c>
      <c r="M202" s="34" t="s">
        <v>682</v>
      </c>
      <c r="N202" s="34" t="s">
        <v>1705</v>
      </c>
      <c r="O202" s="35">
        <v>1</v>
      </c>
      <c r="P202" s="35"/>
      <c r="Q202" s="32"/>
      <c r="S202" s="1">
        <f t="shared" si="55"/>
        <v>0</v>
      </c>
      <c r="T202" s="1">
        <f t="shared" si="56"/>
        <v>0</v>
      </c>
      <c r="U202" s="1">
        <f t="shared" si="57"/>
        <v>0</v>
      </c>
      <c r="V202" s="1">
        <f t="shared" si="58"/>
        <v>0</v>
      </c>
      <c r="W202" s="1">
        <f t="shared" si="59"/>
        <v>0</v>
      </c>
      <c r="X202" s="1">
        <f t="shared" si="60"/>
        <v>0</v>
      </c>
      <c r="Y202" s="1">
        <f t="shared" si="61"/>
        <v>0</v>
      </c>
      <c r="Z202" s="1">
        <f t="shared" si="62"/>
        <v>1</v>
      </c>
      <c r="AA202" s="1">
        <f t="shared" si="63"/>
        <v>0</v>
      </c>
      <c r="AB202" s="1">
        <f t="shared" si="64"/>
        <v>0</v>
      </c>
      <c r="AD202" s="1">
        <f t="shared" si="65"/>
        <v>0</v>
      </c>
      <c r="AE202" s="1">
        <f t="shared" si="66"/>
        <v>1</v>
      </c>
      <c r="AF202" s="1">
        <f t="shared" si="67"/>
        <v>0</v>
      </c>
      <c r="AG202" s="1">
        <f t="shared" si="68"/>
        <v>1</v>
      </c>
      <c r="AH202" s="1">
        <f t="shared" si="69"/>
        <v>0</v>
      </c>
      <c r="AI202" s="1">
        <f t="shared" si="70"/>
        <v>1</v>
      </c>
    </row>
    <row r="203" spans="1:35" ht="14.25" customHeight="1" x14ac:dyDescent="0.25">
      <c r="A203" s="31">
        <v>1</v>
      </c>
      <c r="B203" s="31">
        <v>1</v>
      </c>
      <c r="C203" s="31">
        <v>5</v>
      </c>
      <c r="D203" s="32" t="s">
        <v>136</v>
      </c>
      <c r="E203" s="32" t="s">
        <v>165</v>
      </c>
      <c r="F203" s="32" t="s">
        <v>335</v>
      </c>
      <c r="G203" s="32" t="s">
        <v>336</v>
      </c>
      <c r="H203" s="32" t="s">
        <v>352</v>
      </c>
      <c r="I203" s="31" t="s">
        <v>482</v>
      </c>
      <c r="J203" s="31">
        <v>10</v>
      </c>
      <c r="K203" s="33" t="s">
        <v>937</v>
      </c>
      <c r="L203" s="33" t="s">
        <v>685</v>
      </c>
      <c r="M203" s="34" t="s">
        <v>682</v>
      </c>
      <c r="N203" s="34" t="s">
        <v>1705</v>
      </c>
      <c r="O203" s="35">
        <v>1</v>
      </c>
      <c r="P203" s="35"/>
      <c r="Q203" s="32"/>
      <c r="S203" s="1">
        <f t="shared" si="55"/>
        <v>0</v>
      </c>
      <c r="T203" s="1">
        <f t="shared" si="56"/>
        <v>0</v>
      </c>
      <c r="U203" s="1">
        <f t="shared" si="57"/>
        <v>0</v>
      </c>
      <c r="V203" s="1">
        <f t="shared" si="58"/>
        <v>0</v>
      </c>
      <c r="W203" s="1">
        <f t="shared" si="59"/>
        <v>0</v>
      </c>
      <c r="X203" s="1">
        <f t="shared" si="60"/>
        <v>0</v>
      </c>
      <c r="Y203" s="1">
        <f t="shared" si="61"/>
        <v>0</v>
      </c>
      <c r="Z203" s="1">
        <f t="shared" si="62"/>
        <v>0</v>
      </c>
      <c r="AA203" s="1">
        <f t="shared" si="63"/>
        <v>0</v>
      </c>
      <c r="AB203" s="1">
        <f t="shared" si="64"/>
        <v>1</v>
      </c>
      <c r="AD203" s="1">
        <f t="shared" si="65"/>
        <v>0</v>
      </c>
      <c r="AE203" s="1">
        <f t="shared" si="66"/>
        <v>1</v>
      </c>
      <c r="AF203" s="1">
        <f t="shared" si="67"/>
        <v>0</v>
      </c>
      <c r="AG203" s="1">
        <f t="shared" si="68"/>
        <v>0</v>
      </c>
      <c r="AH203" s="1">
        <f t="shared" si="69"/>
        <v>0</v>
      </c>
      <c r="AI203" s="1">
        <f t="shared" si="70"/>
        <v>0</v>
      </c>
    </row>
    <row r="204" spans="1:35" ht="14.25" customHeight="1" x14ac:dyDescent="0.25">
      <c r="A204" s="31">
        <v>0</v>
      </c>
      <c r="B204" s="31">
        <v>1</v>
      </c>
      <c r="C204" s="31">
        <v>5</v>
      </c>
      <c r="D204" s="32" t="s">
        <v>1604</v>
      </c>
      <c r="E204" s="32" t="s">
        <v>165</v>
      </c>
      <c r="F204" s="32" t="s">
        <v>850</v>
      </c>
      <c r="G204" s="32" t="s">
        <v>1631</v>
      </c>
      <c r="H204" s="32" t="s">
        <v>352</v>
      </c>
      <c r="I204" s="31" t="s">
        <v>851</v>
      </c>
      <c r="J204" s="31">
        <v>1</v>
      </c>
      <c r="K204" s="33" t="s">
        <v>713</v>
      </c>
      <c r="L204" s="33" t="s">
        <v>1673</v>
      </c>
      <c r="M204" s="34" t="s">
        <v>1371</v>
      </c>
      <c r="N204" s="34" t="s">
        <v>1705</v>
      </c>
      <c r="O204" s="35">
        <v>1</v>
      </c>
      <c r="P204" s="35"/>
      <c r="Q204" s="32"/>
      <c r="S204" s="1">
        <f t="shared" si="55"/>
        <v>1</v>
      </c>
      <c r="T204" s="1">
        <f t="shared" si="56"/>
        <v>0</v>
      </c>
      <c r="U204" s="1">
        <f t="shared" si="57"/>
        <v>0</v>
      </c>
      <c r="V204" s="1">
        <f t="shared" si="58"/>
        <v>0</v>
      </c>
      <c r="W204" s="1">
        <f t="shared" si="59"/>
        <v>0</v>
      </c>
      <c r="X204" s="1">
        <f t="shared" si="60"/>
        <v>0</v>
      </c>
      <c r="Y204" s="1">
        <f t="shared" si="61"/>
        <v>0</v>
      </c>
      <c r="Z204" s="1">
        <f t="shared" si="62"/>
        <v>0</v>
      </c>
      <c r="AA204" s="1">
        <f t="shared" si="63"/>
        <v>0</v>
      </c>
      <c r="AB204" s="1">
        <f t="shared" si="64"/>
        <v>0</v>
      </c>
      <c r="AD204" s="1">
        <f t="shared" si="65"/>
        <v>0</v>
      </c>
      <c r="AE204" s="1">
        <f t="shared" si="66"/>
        <v>1</v>
      </c>
      <c r="AF204" s="1">
        <f t="shared" si="67"/>
        <v>0</v>
      </c>
      <c r="AG204" s="1">
        <f t="shared" si="68"/>
        <v>1</v>
      </c>
      <c r="AH204" s="1">
        <f t="shared" si="69"/>
        <v>0</v>
      </c>
      <c r="AI204" s="1">
        <f t="shared" si="70"/>
        <v>1</v>
      </c>
    </row>
    <row r="205" spans="1:35" ht="14.25" customHeight="1" x14ac:dyDescent="0.25">
      <c r="A205" s="31">
        <v>0</v>
      </c>
      <c r="B205" s="31">
        <v>1</v>
      </c>
      <c r="C205" s="31">
        <v>5</v>
      </c>
      <c r="D205" s="32" t="s">
        <v>2066</v>
      </c>
      <c r="E205" s="32" t="s">
        <v>165</v>
      </c>
      <c r="F205" s="32" t="s">
        <v>2067</v>
      </c>
      <c r="G205" s="32" t="s">
        <v>193</v>
      </c>
      <c r="H205" s="32" t="s">
        <v>352</v>
      </c>
      <c r="I205" s="31" t="s">
        <v>2068</v>
      </c>
      <c r="J205" s="31">
        <v>9</v>
      </c>
      <c r="K205" s="33" t="s">
        <v>694</v>
      </c>
      <c r="L205" s="33"/>
      <c r="M205" s="34"/>
      <c r="N205" s="34" t="s">
        <v>1699</v>
      </c>
      <c r="O205" s="35">
        <v>1</v>
      </c>
      <c r="P205" s="35">
        <v>1</v>
      </c>
      <c r="Q205" s="32" t="s">
        <v>2069</v>
      </c>
      <c r="S205" s="1">
        <f t="shared" si="55"/>
        <v>0</v>
      </c>
      <c r="T205" s="1">
        <f t="shared" si="56"/>
        <v>0</v>
      </c>
      <c r="U205" s="1">
        <f t="shared" si="57"/>
        <v>0</v>
      </c>
      <c r="V205" s="1">
        <f t="shared" si="58"/>
        <v>0</v>
      </c>
      <c r="W205" s="1">
        <f t="shared" si="59"/>
        <v>0</v>
      </c>
      <c r="X205" s="1">
        <f t="shared" si="60"/>
        <v>0</v>
      </c>
      <c r="Y205" s="1">
        <f t="shared" si="61"/>
        <v>0</v>
      </c>
      <c r="Z205" s="1">
        <f t="shared" si="62"/>
        <v>0</v>
      </c>
      <c r="AA205" s="1">
        <f t="shared" si="63"/>
        <v>1</v>
      </c>
      <c r="AB205" s="1">
        <f t="shared" si="64"/>
        <v>0</v>
      </c>
      <c r="AD205" s="1">
        <f t="shared" si="65"/>
        <v>1</v>
      </c>
      <c r="AE205" s="1">
        <f t="shared" si="66"/>
        <v>0</v>
      </c>
      <c r="AF205" s="1">
        <f t="shared" si="67"/>
        <v>1</v>
      </c>
      <c r="AG205" s="1">
        <f t="shared" si="68"/>
        <v>0</v>
      </c>
      <c r="AH205" s="1">
        <f t="shared" si="69"/>
        <v>1</v>
      </c>
      <c r="AI205" s="1">
        <f t="shared" si="70"/>
        <v>0</v>
      </c>
    </row>
    <row r="206" spans="1:35" ht="14.25" customHeight="1" x14ac:dyDescent="0.25">
      <c r="A206" s="15">
        <v>0</v>
      </c>
      <c r="B206" s="15">
        <v>1</v>
      </c>
      <c r="C206" s="15">
        <v>5</v>
      </c>
      <c r="D206" s="20" t="s">
        <v>1907</v>
      </c>
      <c r="E206" s="20" t="s">
        <v>876</v>
      </c>
      <c r="F206" s="20" t="s">
        <v>1924</v>
      </c>
      <c r="G206" s="20"/>
      <c r="H206" s="20" t="s">
        <v>1925</v>
      </c>
      <c r="I206" s="21" t="s">
        <v>1923</v>
      </c>
      <c r="J206" s="15">
        <v>15</v>
      </c>
      <c r="K206" s="10" t="s">
        <v>694</v>
      </c>
      <c r="L206" s="10" t="s">
        <v>688</v>
      </c>
      <c r="M206" s="19" t="s">
        <v>952</v>
      </c>
      <c r="N206" s="17"/>
      <c r="Q206" s="20" t="s">
        <v>1926</v>
      </c>
      <c r="S206" s="1">
        <f t="shared" si="55"/>
        <v>0</v>
      </c>
      <c r="T206" s="1">
        <f t="shared" si="56"/>
        <v>0</v>
      </c>
      <c r="U206" s="1">
        <f t="shared" si="57"/>
        <v>0</v>
      </c>
      <c r="V206" s="1">
        <f t="shared" si="58"/>
        <v>0</v>
      </c>
      <c r="W206" s="1">
        <f t="shared" si="59"/>
        <v>0</v>
      </c>
      <c r="X206" s="1">
        <f t="shared" si="60"/>
        <v>0</v>
      </c>
      <c r="Y206" s="1">
        <f t="shared" si="61"/>
        <v>0</v>
      </c>
      <c r="Z206" s="1">
        <f t="shared" si="62"/>
        <v>0</v>
      </c>
      <c r="AA206" s="1">
        <f t="shared" si="63"/>
        <v>0</v>
      </c>
      <c r="AB206" s="1">
        <f t="shared" si="64"/>
        <v>0</v>
      </c>
      <c r="AD206" s="1">
        <f t="shared" si="65"/>
        <v>0</v>
      </c>
      <c r="AE206" s="1">
        <f t="shared" si="66"/>
        <v>0</v>
      </c>
      <c r="AF206" s="1">
        <f t="shared" si="67"/>
        <v>0</v>
      </c>
      <c r="AG206" s="1">
        <f t="shared" si="68"/>
        <v>0</v>
      </c>
      <c r="AH206" s="1">
        <f t="shared" si="69"/>
        <v>0</v>
      </c>
      <c r="AI206" s="1">
        <f t="shared" si="70"/>
        <v>1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870</v>
      </c>
      <c r="E207" s="32" t="s">
        <v>871</v>
      </c>
      <c r="F207" s="32" t="s">
        <v>1073</v>
      </c>
      <c r="G207" s="32" t="s">
        <v>39</v>
      </c>
      <c r="H207" s="32" t="s">
        <v>872</v>
      </c>
      <c r="I207" s="31" t="s">
        <v>873</v>
      </c>
      <c r="J207" s="31">
        <v>16</v>
      </c>
      <c r="K207" s="33" t="s">
        <v>694</v>
      </c>
      <c r="L207" s="33" t="s">
        <v>683</v>
      </c>
      <c r="M207" s="34" t="s">
        <v>951</v>
      </c>
      <c r="N207" s="34" t="s">
        <v>1699</v>
      </c>
      <c r="O207" s="35">
        <v>1</v>
      </c>
      <c r="P207" s="35">
        <v>1</v>
      </c>
      <c r="Q207" s="36" t="s">
        <v>1853</v>
      </c>
      <c r="S207" s="1">
        <f t="shared" si="55"/>
        <v>0</v>
      </c>
      <c r="T207" s="1">
        <f t="shared" si="56"/>
        <v>0</v>
      </c>
      <c r="U207" s="1">
        <f t="shared" si="57"/>
        <v>0</v>
      </c>
      <c r="V207" s="1">
        <f t="shared" si="58"/>
        <v>0</v>
      </c>
      <c r="W207" s="1">
        <f t="shared" si="59"/>
        <v>0</v>
      </c>
      <c r="X207" s="1">
        <f t="shared" si="60"/>
        <v>0</v>
      </c>
      <c r="Y207" s="1">
        <f t="shared" si="61"/>
        <v>0</v>
      </c>
      <c r="Z207" s="1">
        <f t="shared" si="62"/>
        <v>0</v>
      </c>
      <c r="AA207" s="1">
        <f t="shared" si="63"/>
        <v>0</v>
      </c>
      <c r="AB207" s="1">
        <f t="shared" si="64"/>
        <v>0</v>
      </c>
      <c r="AD207" s="1">
        <f t="shared" si="65"/>
        <v>1</v>
      </c>
      <c r="AE207" s="1">
        <f t="shared" si="66"/>
        <v>0</v>
      </c>
      <c r="AF207" s="1">
        <f t="shared" si="67"/>
        <v>1</v>
      </c>
      <c r="AG207" s="1">
        <f t="shared" si="68"/>
        <v>0</v>
      </c>
      <c r="AH207" s="1">
        <f t="shared" si="69"/>
        <v>1</v>
      </c>
      <c r="AI207" s="1">
        <f t="shared" si="70"/>
        <v>0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105</v>
      </c>
      <c r="E208" s="32" t="s">
        <v>172</v>
      </c>
      <c r="F208" s="32" t="s">
        <v>302</v>
      </c>
      <c r="G208" s="32" t="s">
        <v>39</v>
      </c>
      <c r="H208" s="32" t="s">
        <v>357</v>
      </c>
      <c r="I208" s="31" t="s">
        <v>450</v>
      </c>
      <c r="J208" s="31">
        <v>14</v>
      </c>
      <c r="K208" s="33" t="s">
        <v>937</v>
      </c>
      <c r="L208" s="33" t="s">
        <v>684</v>
      </c>
      <c r="M208" s="34" t="s">
        <v>951</v>
      </c>
      <c r="N208" s="34" t="s">
        <v>1705</v>
      </c>
      <c r="O208" s="35">
        <v>1</v>
      </c>
      <c r="P208" s="35"/>
      <c r="Q208" s="32"/>
      <c r="S208" s="1">
        <f t="shared" si="55"/>
        <v>0</v>
      </c>
      <c r="T208" s="1">
        <f t="shared" si="56"/>
        <v>0</v>
      </c>
      <c r="U208" s="1">
        <f t="shared" si="57"/>
        <v>0</v>
      </c>
      <c r="V208" s="1">
        <f t="shared" si="58"/>
        <v>0</v>
      </c>
      <c r="W208" s="1">
        <f t="shared" si="59"/>
        <v>0</v>
      </c>
      <c r="X208" s="1">
        <f t="shared" si="60"/>
        <v>0</v>
      </c>
      <c r="Y208" s="1">
        <f t="shared" si="61"/>
        <v>0</v>
      </c>
      <c r="Z208" s="1">
        <f t="shared" si="62"/>
        <v>0</v>
      </c>
      <c r="AA208" s="1">
        <f t="shared" si="63"/>
        <v>0</v>
      </c>
      <c r="AB208" s="1">
        <f t="shared" si="64"/>
        <v>0</v>
      </c>
      <c r="AD208" s="1">
        <f t="shared" si="65"/>
        <v>0</v>
      </c>
      <c r="AE208" s="1">
        <f t="shared" si="66"/>
        <v>1</v>
      </c>
      <c r="AF208" s="1">
        <f t="shared" si="67"/>
        <v>0</v>
      </c>
      <c r="AG208" s="1">
        <f t="shared" si="68"/>
        <v>1</v>
      </c>
      <c r="AH208" s="1">
        <f t="shared" si="69"/>
        <v>0</v>
      </c>
      <c r="AI208" s="1">
        <f t="shared" si="70"/>
        <v>1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509</v>
      </c>
      <c r="E209" s="32" t="s">
        <v>171</v>
      </c>
      <c r="F209" s="32" t="s">
        <v>545</v>
      </c>
      <c r="G209" s="32" t="s">
        <v>39</v>
      </c>
      <c r="H209" s="32" t="s">
        <v>360</v>
      </c>
      <c r="I209" s="31" t="s">
        <v>1095</v>
      </c>
      <c r="J209" s="31">
        <v>12</v>
      </c>
      <c r="K209" s="33" t="s">
        <v>694</v>
      </c>
      <c r="L209" s="33">
        <v>35</v>
      </c>
      <c r="M209" s="34" t="s">
        <v>951</v>
      </c>
      <c r="N209" s="34" t="s">
        <v>1785</v>
      </c>
      <c r="O209" s="35">
        <v>1</v>
      </c>
      <c r="P209" s="35"/>
      <c r="Q209" s="32"/>
      <c r="S209" s="1">
        <f t="shared" si="55"/>
        <v>0</v>
      </c>
      <c r="T209" s="1">
        <f t="shared" si="56"/>
        <v>0</v>
      </c>
      <c r="U209" s="1">
        <f t="shared" si="57"/>
        <v>0</v>
      </c>
      <c r="V209" s="1">
        <f t="shared" si="58"/>
        <v>0</v>
      </c>
      <c r="W209" s="1">
        <f t="shared" si="59"/>
        <v>0</v>
      </c>
      <c r="X209" s="1">
        <f t="shared" si="60"/>
        <v>0</v>
      </c>
      <c r="Y209" s="1">
        <f t="shared" si="61"/>
        <v>0</v>
      </c>
      <c r="Z209" s="1">
        <f t="shared" si="62"/>
        <v>0</v>
      </c>
      <c r="AA209" s="1">
        <f t="shared" si="63"/>
        <v>0</v>
      </c>
      <c r="AB209" s="1">
        <f t="shared" si="64"/>
        <v>0</v>
      </c>
      <c r="AD209" s="1">
        <f t="shared" si="65"/>
        <v>0</v>
      </c>
      <c r="AE209" s="1">
        <f t="shared" si="66"/>
        <v>1</v>
      </c>
      <c r="AF209" s="1">
        <f t="shared" si="67"/>
        <v>0</v>
      </c>
      <c r="AG209" s="1">
        <f t="shared" si="68"/>
        <v>1</v>
      </c>
      <c r="AH209" s="1">
        <f t="shared" si="69"/>
        <v>0</v>
      </c>
      <c r="AI209" s="1">
        <f t="shared" si="70"/>
        <v>1</v>
      </c>
    </row>
    <row r="210" spans="1:35" ht="14.25" customHeight="1" x14ac:dyDescent="0.25">
      <c r="A210" s="31">
        <v>0</v>
      </c>
      <c r="B210" s="31">
        <v>1</v>
      </c>
      <c r="C210" s="31">
        <v>5</v>
      </c>
      <c r="D210" s="32" t="s">
        <v>150</v>
      </c>
      <c r="E210" s="32" t="s">
        <v>165</v>
      </c>
      <c r="F210" s="36" t="s">
        <v>1830</v>
      </c>
      <c r="G210" s="32" t="s">
        <v>196</v>
      </c>
      <c r="H210" s="32" t="s">
        <v>352</v>
      </c>
      <c r="I210" s="31" t="s">
        <v>495</v>
      </c>
      <c r="J210" s="31">
        <v>99</v>
      </c>
      <c r="K210" s="33" t="s">
        <v>937</v>
      </c>
      <c r="L210" s="33" t="s">
        <v>684</v>
      </c>
      <c r="M210" s="34" t="s">
        <v>951</v>
      </c>
      <c r="N210" s="34" t="s">
        <v>1709</v>
      </c>
      <c r="O210" s="35">
        <v>1</v>
      </c>
      <c r="P210" s="35"/>
      <c r="Q210" s="32"/>
      <c r="S210" s="1">
        <f t="shared" ref="S210:S274" si="71">IF(J210=$S$7,1,0)</f>
        <v>0</v>
      </c>
      <c r="T210" s="1">
        <f t="shared" ref="T210:T274" si="72">IF(J210=$T$7,1,0)</f>
        <v>0</v>
      </c>
      <c r="U210" s="1">
        <f t="shared" ref="U210:U274" si="73">IF(J210=$U$7,1,0)</f>
        <v>0</v>
      </c>
      <c r="V210" s="1">
        <f t="shared" ref="V210:V274" si="74">IF(J210=$V$7,1,0)</f>
        <v>0</v>
      </c>
      <c r="W210" s="1">
        <f t="shared" ref="W210:W274" si="75">IF(J210=$W$7,1,0)</f>
        <v>0</v>
      </c>
      <c r="X210" s="1">
        <f t="shared" ref="X210:X274" si="76">IF(J210=$X$7,1,0)</f>
        <v>0</v>
      </c>
      <c r="Y210" s="1">
        <f t="shared" ref="Y210:Y274" si="77">IF(J210=$Y$7,1,0)</f>
        <v>0</v>
      </c>
      <c r="Z210" s="1">
        <f t="shared" ref="Z210:Z274" si="78">IF(J210=$Z$7,1,0)</f>
        <v>0</v>
      </c>
      <c r="AA210" s="1">
        <f t="shared" ref="AA210:AA274" si="79">IF(J210=$AA$7,1,0)</f>
        <v>0</v>
      </c>
      <c r="AB210" s="1">
        <f t="shared" ref="AB210:AB274" si="80">IF(J210=$AB$7,1,0)</f>
        <v>0</v>
      </c>
      <c r="AD210" s="1">
        <f t="shared" ref="AD210:AD274" si="81">+O210*P210</f>
        <v>0</v>
      </c>
      <c r="AE210" s="1">
        <f t="shared" ref="AE210:AE274" si="82">O210*(1-P210)</f>
        <v>1</v>
      </c>
      <c r="AF210" s="1">
        <f t="shared" si="67"/>
        <v>0</v>
      </c>
      <c r="AG210" s="1">
        <f t="shared" si="68"/>
        <v>1</v>
      </c>
      <c r="AH210" s="1">
        <f t="shared" si="69"/>
        <v>0</v>
      </c>
      <c r="AI210" s="1">
        <f t="shared" si="70"/>
        <v>1</v>
      </c>
    </row>
    <row r="211" spans="1:35" ht="14.25" customHeight="1" x14ac:dyDescent="0.25">
      <c r="A211" s="31">
        <v>0</v>
      </c>
      <c r="B211" s="31">
        <v>1</v>
      </c>
      <c r="C211" s="31">
        <v>5</v>
      </c>
      <c r="D211" s="32" t="s">
        <v>641</v>
      </c>
      <c r="E211" s="32" t="s">
        <v>675</v>
      </c>
      <c r="F211" s="32" t="s">
        <v>637</v>
      </c>
      <c r="G211" s="32" t="s">
        <v>184</v>
      </c>
      <c r="H211" s="32" t="s">
        <v>352</v>
      </c>
      <c r="I211" s="31" t="s">
        <v>638</v>
      </c>
      <c r="J211" s="31">
        <v>99</v>
      </c>
      <c r="K211" s="33" t="s">
        <v>713</v>
      </c>
      <c r="L211" s="33" t="s">
        <v>684</v>
      </c>
      <c r="M211" s="34" t="s">
        <v>951</v>
      </c>
      <c r="N211" s="34" t="s">
        <v>1710</v>
      </c>
      <c r="O211" s="35">
        <v>1</v>
      </c>
      <c r="P211" s="35"/>
      <c r="Q211" s="32"/>
      <c r="S211" s="1">
        <f t="shared" si="71"/>
        <v>0</v>
      </c>
      <c r="T211" s="1">
        <f t="shared" si="72"/>
        <v>0</v>
      </c>
      <c r="U211" s="1">
        <f t="shared" si="73"/>
        <v>0</v>
      </c>
      <c r="V211" s="1">
        <f t="shared" si="74"/>
        <v>0</v>
      </c>
      <c r="W211" s="1">
        <f t="shared" si="75"/>
        <v>0</v>
      </c>
      <c r="X211" s="1">
        <f t="shared" si="76"/>
        <v>0</v>
      </c>
      <c r="Y211" s="1">
        <f t="shared" si="77"/>
        <v>0</v>
      </c>
      <c r="Z211" s="1">
        <f t="shared" si="78"/>
        <v>0</v>
      </c>
      <c r="AA211" s="1">
        <f t="shared" si="79"/>
        <v>0</v>
      </c>
      <c r="AB211" s="1">
        <f t="shared" si="80"/>
        <v>0</v>
      </c>
      <c r="AD211" s="1">
        <f t="shared" si="81"/>
        <v>0</v>
      </c>
      <c r="AE211" s="1">
        <f t="shared" si="82"/>
        <v>1</v>
      </c>
      <c r="AF211" s="1">
        <f t="shared" ref="AF211:AF275" si="83">+O211*P211*(1-A211)</f>
        <v>0</v>
      </c>
      <c r="AG211" s="1">
        <f t="shared" ref="AG211:AG275" si="84">O211*(1-P211)*(1-A211)</f>
        <v>1</v>
      </c>
      <c r="AH211" s="1">
        <f t="shared" ref="AH211:AH275" si="85">+P211*(1-A211)</f>
        <v>0</v>
      </c>
      <c r="AI211" s="1">
        <f t="shared" ref="AI211:AI275" si="86">+(1-A211)*(1-P211)</f>
        <v>1</v>
      </c>
    </row>
    <row r="212" spans="1:35" ht="14.25" customHeight="1" x14ac:dyDescent="0.25">
      <c r="A212" s="31">
        <v>0</v>
      </c>
      <c r="B212" s="31">
        <v>1</v>
      </c>
      <c r="C212" s="31">
        <v>5</v>
      </c>
      <c r="D212" s="32" t="s">
        <v>1284</v>
      </c>
      <c r="E212" s="32" t="s">
        <v>165</v>
      </c>
      <c r="F212" s="32" t="s">
        <v>1285</v>
      </c>
      <c r="G212" s="32" t="s">
        <v>281</v>
      </c>
      <c r="H212" s="32" t="s">
        <v>352</v>
      </c>
      <c r="I212" s="31" t="s">
        <v>1286</v>
      </c>
      <c r="J212" s="31">
        <v>99</v>
      </c>
      <c r="K212" s="33" t="s">
        <v>693</v>
      </c>
      <c r="L212" s="33" t="s">
        <v>39</v>
      </c>
      <c r="M212" s="34" t="s">
        <v>39</v>
      </c>
      <c r="N212" s="34" t="s">
        <v>1699</v>
      </c>
      <c r="O212" s="35">
        <v>1</v>
      </c>
      <c r="P212" s="35">
        <v>1</v>
      </c>
      <c r="Q212" s="32"/>
      <c r="S212" s="1">
        <f t="shared" si="71"/>
        <v>0</v>
      </c>
      <c r="T212" s="1">
        <f t="shared" si="72"/>
        <v>0</v>
      </c>
      <c r="U212" s="1">
        <f t="shared" si="73"/>
        <v>0</v>
      </c>
      <c r="V212" s="1">
        <f t="shared" si="74"/>
        <v>0</v>
      </c>
      <c r="W212" s="1">
        <f t="shared" si="75"/>
        <v>0</v>
      </c>
      <c r="X212" s="1">
        <f t="shared" si="76"/>
        <v>0</v>
      </c>
      <c r="Y212" s="1">
        <f t="shared" si="77"/>
        <v>0</v>
      </c>
      <c r="Z212" s="1">
        <f t="shared" si="78"/>
        <v>0</v>
      </c>
      <c r="AA212" s="1">
        <f t="shared" si="79"/>
        <v>0</v>
      </c>
      <c r="AB212" s="1">
        <f t="shared" si="80"/>
        <v>0</v>
      </c>
      <c r="AD212" s="1">
        <f t="shared" si="81"/>
        <v>1</v>
      </c>
      <c r="AE212" s="1">
        <f t="shared" si="82"/>
        <v>0</v>
      </c>
      <c r="AF212" s="1">
        <f t="shared" si="83"/>
        <v>1</v>
      </c>
      <c r="AG212" s="1">
        <f t="shared" si="84"/>
        <v>0</v>
      </c>
      <c r="AH212" s="1">
        <f t="shared" si="85"/>
        <v>1</v>
      </c>
      <c r="AI212" s="1">
        <f t="shared" si="86"/>
        <v>0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875</v>
      </c>
      <c r="E213" s="32" t="s">
        <v>876</v>
      </c>
      <c r="F213" s="32" t="s">
        <v>917</v>
      </c>
      <c r="G213" s="32" t="s">
        <v>39</v>
      </c>
      <c r="H213" s="32" t="s">
        <v>877</v>
      </c>
      <c r="I213" s="31" t="s">
        <v>878</v>
      </c>
      <c r="J213" s="31">
        <v>17</v>
      </c>
      <c r="K213" s="33" t="s">
        <v>694</v>
      </c>
      <c r="L213" s="33" t="s">
        <v>688</v>
      </c>
      <c r="M213" s="34" t="s">
        <v>951</v>
      </c>
      <c r="N213" s="34" t="s">
        <v>1716</v>
      </c>
      <c r="O213" s="35">
        <v>1</v>
      </c>
      <c r="P213" s="35"/>
      <c r="Q213" s="32"/>
      <c r="S213" s="1">
        <f t="shared" si="71"/>
        <v>0</v>
      </c>
      <c r="T213" s="1">
        <f t="shared" si="72"/>
        <v>0</v>
      </c>
      <c r="U213" s="1">
        <f t="shared" si="73"/>
        <v>0</v>
      </c>
      <c r="V213" s="1">
        <f t="shared" si="74"/>
        <v>0</v>
      </c>
      <c r="W213" s="1">
        <f t="shared" si="75"/>
        <v>0</v>
      </c>
      <c r="X213" s="1">
        <f t="shared" si="76"/>
        <v>0</v>
      </c>
      <c r="Y213" s="1">
        <f t="shared" si="77"/>
        <v>0</v>
      </c>
      <c r="Z213" s="1">
        <f t="shared" si="78"/>
        <v>0</v>
      </c>
      <c r="AA213" s="1">
        <f t="shared" si="79"/>
        <v>0</v>
      </c>
      <c r="AB213" s="1">
        <f t="shared" si="80"/>
        <v>0</v>
      </c>
      <c r="AD213" s="1">
        <f t="shared" si="81"/>
        <v>0</v>
      </c>
      <c r="AE213" s="1">
        <f t="shared" si="82"/>
        <v>1</v>
      </c>
      <c r="AF213" s="1">
        <f t="shared" si="83"/>
        <v>0</v>
      </c>
      <c r="AG213" s="1">
        <f t="shared" si="84"/>
        <v>1</v>
      </c>
      <c r="AH213" s="1">
        <f t="shared" si="85"/>
        <v>0</v>
      </c>
      <c r="AI213" s="1">
        <f t="shared" si="86"/>
        <v>1</v>
      </c>
    </row>
    <row r="214" spans="1:35" ht="14.25" customHeight="1" x14ac:dyDescent="0.25">
      <c r="A214" s="15">
        <v>0</v>
      </c>
      <c r="B214" s="15">
        <v>1</v>
      </c>
      <c r="C214" s="15">
        <v>5</v>
      </c>
      <c r="D214" s="16" t="s">
        <v>1900</v>
      </c>
      <c r="E214" s="16" t="s">
        <v>876</v>
      </c>
      <c r="F214" s="16" t="s">
        <v>1902</v>
      </c>
      <c r="G214" s="16"/>
      <c r="H214" s="16" t="s">
        <v>1901</v>
      </c>
      <c r="I214" s="15" t="s">
        <v>1903</v>
      </c>
      <c r="J214" s="15">
        <v>16</v>
      </c>
      <c r="K214" s="10" t="s">
        <v>694</v>
      </c>
      <c r="L214" s="10" t="s">
        <v>688</v>
      </c>
      <c r="M214" s="19" t="s">
        <v>951</v>
      </c>
      <c r="N214" s="17"/>
      <c r="Q214" s="20" t="s">
        <v>1904</v>
      </c>
      <c r="S214" s="1">
        <f t="shared" si="71"/>
        <v>0</v>
      </c>
      <c r="T214" s="1">
        <f t="shared" si="72"/>
        <v>0</v>
      </c>
      <c r="U214" s="1">
        <f t="shared" si="73"/>
        <v>0</v>
      </c>
      <c r="V214" s="1">
        <f t="shared" si="74"/>
        <v>0</v>
      </c>
      <c r="W214" s="1">
        <f t="shared" si="75"/>
        <v>0</v>
      </c>
      <c r="X214" s="1">
        <f t="shared" si="76"/>
        <v>0</v>
      </c>
      <c r="Y214" s="1">
        <f t="shared" si="77"/>
        <v>0</v>
      </c>
      <c r="Z214" s="1">
        <f t="shared" si="78"/>
        <v>0</v>
      </c>
      <c r="AA214" s="1">
        <f t="shared" si="79"/>
        <v>0</v>
      </c>
      <c r="AB214" s="1">
        <f t="shared" si="80"/>
        <v>0</v>
      </c>
      <c r="AD214" s="1">
        <f t="shared" si="81"/>
        <v>0</v>
      </c>
      <c r="AE214" s="1">
        <f t="shared" si="82"/>
        <v>0</v>
      </c>
      <c r="AF214" s="1">
        <f t="shared" si="83"/>
        <v>0</v>
      </c>
      <c r="AG214" s="1">
        <f t="shared" si="84"/>
        <v>0</v>
      </c>
      <c r="AH214" s="1">
        <f t="shared" si="85"/>
        <v>0</v>
      </c>
      <c r="AI214" s="1">
        <f t="shared" si="86"/>
        <v>1</v>
      </c>
    </row>
    <row r="215" spans="1:35" ht="14.25" customHeight="1" x14ac:dyDescent="0.25">
      <c r="A215" s="44">
        <v>0</v>
      </c>
      <c r="B215" s="44">
        <v>1</v>
      </c>
      <c r="C215" s="44">
        <v>5</v>
      </c>
      <c r="D215" s="45" t="s">
        <v>130</v>
      </c>
      <c r="E215" s="45" t="s">
        <v>165</v>
      </c>
      <c r="F215" s="45" t="s">
        <v>330</v>
      </c>
      <c r="G215" s="45" t="s">
        <v>331</v>
      </c>
      <c r="H215" s="45" t="s">
        <v>352</v>
      </c>
      <c r="I215" s="44" t="s">
        <v>477</v>
      </c>
      <c r="J215" s="44">
        <v>99</v>
      </c>
      <c r="K215" s="46" t="s">
        <v>713</v>
      </c>
      <c r="L215" s="46" t="s">
        <v>685</v>
      </c>
      <c r="M215" s="47" t="s">
        <v>951</v>
      </c>
      <c r="N215" s="47" t="s">
        <v>1700</v>
      </c>
      <c r="O215" s="48"/>
      <c r="P215" s="48"/>
      <c r="Q215" s="45"/>
      <c r="S215" s="1">
        <f t="shared" si="71"/>
        <v>0</v>
      </c>
      <c r="T215" s="1">
        <f t="shared" si="72"/>
        <v>0</v>
      </c>
      <c r="U215" s="1">
        <f t="shared" si="73"/>
        <v>0</v>
      </c>
      <c r="V215" s="1">
        <f t="shared" si="74"/>
        <v>0</v>
      </c>
      <c r="W215" s="1">
        <f t="shared" si="75"/>
        <v>0</v>
      </c>
      <c r="X215" s="1">
        <f t="shared" si="76"/>
        <v>0</v>
      </c>
      <c r="Y215" s="1">
        <f t="shared" si="77"/>
        <v>0</v>
      </c>
      <c r="Z215" s="1">
        <f t="shared" si="78"/>
        <v>0</v>
      </c>
      <c r="AA215" s="1">
        <f t="shared" si="79"/>
        <v>0</v>
      </c>
      <c r="AB215" s="1">
        <f t="shared" si="80"/>
        <v>0</v>
      </c>
      <c r="AD215" s="1">
        <f t="shared" si="81"/>
        <v>0</v>
      </c>
      <c r="AE215" s="1">
        <f t="shared" si="82"/>
        <v>0</v>
      </c>
      <c r="AF215" s="1">
        <f t="shared" si="83"/>
        <v>0</v>
      </c>
      <c r="AG215" s="1">
        <f t="shared" si="84"/>
        <v>0</v>
      </c>
      <c r="AH215" s="1">
        <f t="shared" si="85"/>
        <v>0</v>
      </c>
      <c r="AI215" s="1">
        <f t="shared" si="86"/>
        <v>1</v>
      </c>
    </row>
    <row r="216" spans="1:35" ht="14.25" customHeight="1" x14ac:dyDescent="0.25">
      <c r="A216" s="31">
        <v>0</v>
      </c>
      <c r="B216" s="31">
        <v>1</v>
      </c>
      <c r="C216" s="31">
        <v>5</v>
      </c>
      <c r="D216" s="32" t="s">
        <v>108</v>
      </c>
      <c r="E216" s="32" t="s">
        <v>165</v>
      </c>
      <c r="F216" s="32" t="s">
        <v>305</v>
      </c>
      <c r="G216" s="32" t="s">
        <v>230</v>
      </c>
      <c r="H216" s="32" t="s">
        <v>352</v>
      </c>
      <c r="I216" s="31" t="s">
        <v>453</v>
      </c>
      <c r="J216" s="31">
        <v>99</v>
      </c>
      <c r="K216" s="33" t="s">
        <v>713</v>
      </c>
      <c r="L216" s="33" t="s">
        <v>687</v>
      </c>
      <c r="M216" s="34" t="s">
        <v>682</v>
      </c>
      <c r="N216" s="34" t="s">
        <v>1705</v>
      </c>
      <c r="O216" s="35">
        <v>1</v>
      </c>
      <c r="P216" s="35"/>
      <c r="Q216" s="32"/>
      <c r="S216" s="1">
        <f t="shared" si="71"/>
        <v>0</v>
      </c>
      <c r="T216" s="1">
        <f t="shared" si="72"/>
        <v>0</v>
      </c>
      <c r="U216" s="1">
        <f t="shared" si="73"/>
        <v>0</v>
      </c>
      <c r="V216" s="1">
        <f t="shared" si="74"/>
        <v>0</v>
      </c>
      <c r="W216" s="1">
        <f t="shared" si="75"/>
        <v>0</v>
      </c>
      <c r="X216" s="1">
        <f t="shared" si="76"/>
        <v>0</v>
      </c>
      <c r="Y216" s="1">
        <f t="shared" si="77"/>
        <v>0</v>
      </c>
      <c r="Z216" s="1">
        <f t="shared" si="78"/>
        <v>0</v>
      </c>
      <c r="AA216" s="1">
        <f t="shared" si="79"/>
        <v>0</v>
      </c>
      <c r="AB216" s="1">
        <f t="shared" si="80"/>
        <v>0</v>
      </c>
      <c r="AD216" s="1">
        <f t="shared" si="81"/>
        <v>0</v>
      </c>
      <c r="AE216" s="1">
        <f t="shared" si="82"/>
        <v>1</v>
      </c>
      <c r="AF216" s="1">
        <f t="shared" si="83"/>
        <v>0</v>
      </c>
      <c r="AG216" s="1">
        <f t="shared" si="84"/>
        <v>1</v>
      </c>
      <c r="AH216" s="1">
        <f t="shared" si="85"/>
        <v>0</v>
      </c>
      <c r="AI216" s="1">
        <f t="shared" si="86"/>
        <v>1</v>
      </c>
    </row>
    <row r="217" spans="1:35" ht="14.25" customHeight="1" x14ac:dyDescent="0.25">
      <c r="A217" s="31">
        <v>0</v>
      </c>
      <c r="B217" s="31">
        <v>1</v>
      </c>
      <c r="C217" s="31">
        <v>5</v>
      </c>
      <c r="D217" s="32" t="s">
        <v>110</v>
      </c>
      <c r="E217" s="32" t="s">
        <v>171</v>
      </c>
      <c r="F217" s="32" t="s">
        <v>308</v>
      </c>
      <c r="G217" s="32" t="s">
        <v>39</v>
      </c>
      <c r="H217" s="32" t="s">
        <v>362</v>
      </c>
      <c r="I217" s="31" t="s">
        <v>456</v>
      </c>
      <c r="J217" s="31">
        <v>17</v>
      </c>
      <c r="K217" s="33" t="s">
        <v>694</v>
      </c>
      <c r="L217" s="33" t="s">
        <v>688</v>
      </c>
      <c r="M217" s="34" t="s">
        <v>682</v>
      </c>
      <c r="N217" s="34" t="s">
        <v>1699</v>
      </c>
      <c r="O217" s="35">
        <v>1</v>
      </c>
      <c r="P217" s="35">
        <v>1</v>
      </c>
      <c r="Q217" s="32" t="s">
        <v>1874</v>
      </c>
      <c r="S217" s="1">
        <f t="shared" si="71"/>
        <v>0</v>
      </c>
      <c r="T217" s="1">
        <f t="shared" si="72"/>
        <v>0</v>
      </c>
      <c r="U217" s="1">
        <f t="shared" si="73"/>
        <v>0</v>
      </c>
      <c r="V217" s="1">
        <f t="shared" si="74"/>
        <v>0</v>
      </c>
      <c r="W217" s="1">
        <f t="shared" si="75"/>
        <v>0</v>
      </c>
      <c r="X217" s="1">
        <f t="shared" si="76"/>
        <v>0</v>
      </c>
      <c r="Y217" s="1">
        <f t="shared" si="77"/>
        <v>0</v>
      </c>
      <c r="Z217" s="1">
        <f t="shared" si="78"/>
        <v>0</v>
      </c>
      <c r="AA217" s="1">
        <f t="shared" si="79"/>
        <v>0</v>
      </c>
      <c r="AB217" s="1">
        <f t="shared" si="80"/>
        <v>0</v>
      </c>
      <c r="AD217" s="1">
        <f t="shared" si="81"/>
        <v>1</v>
      </c>
      <c r="AE217" s="1">
        <f t="shared" si="82"/>
        <v>0</v>
      </c>
      <c r="AF217" s="1">
        <f t="shared" si="83"/>
        <v>1</v>
      </c>
      <c r="AG217" s="1">
        <f t="shared" si="84"/>
        <v>0</v>
      </c>
      <c r="AH217" s="1">
        <f t="shared" si="85"/>
        <v>1</v>
      </c>
      <c r="AI217" s="1">
        <f t="shared" si="86"/>
        <v>0</v>
      </c>
    </row>
    <row r="218" spans="1:35" ht="14.25" customHeight="1" x14ac:dyDescent="0.25">
      <c r="A218" s="31">
        <v>0</v>
      </c>
      <c r="B218" s="31">
        <v>1</v>
      </c>
      <c r="C218" s="31">
        <v>5</v>
      </c>
      <c r="D218" s="32" t="s">
        <v>521</v>
      </c>
      <c r="E218" s="32" t="s">
        <v>522</v>
      </c>
      <c r="F218" s="32" t="s">
        <v>523</v>
      </c>
      <c r="G218" s="32" t="s">
        <v>201</v>
      </c>
      <c r="H218" s="32" t="s">
        <v>352</v>
      </c>
      <c r="I218" s="31" t="s">
        <v>524</v>
      </c>
      <c r="J218" s="31">
        <v>10</v>
      </c>
      <c r="K218" s="33" t="s">
        <v>693</v>
      </c>
      <c r="L218" s="33" t="s">
        <v>684</v>
      </c>
      <c r="M218" s="34" t="s">
        <v>951</v>
      </c>
      <c r="N218" s="34" t="s">
        <v>1699</v>
      </c>
      <c r="O218" s="35">
        <v>1</v>
      </c>
      <c r="P218" s="35">
        <v>1</v>
      </c>
      <c r="Q218" s="32"/>
      <c r="S218" s="1">
        <f t="shared" si="71"/>
        <v>0</v>
      </c>
      <c r="T218" s="1">
        <f t="shared" si="72"/>
        <v>0</v>
      </c>
      <c r="U218" s="1">
        <f t="shared" si="73"/>
        <v>0</v>
      </c>
      <c r="V218" s="1">
        <f t="shared" si="74"/>
        <v>0</v>
      </c>
      <c r="W218" s="1">
        <f t="shared" si="75"/>
        <v>0</v>
      </c>
      <c r="X218" s="1">
        <f t="shared" si="76"/>
        <v>0</v>
      </c>
      <c r="Y218" s="1">
        <f t="shared" si="77"/>
        <v>0</v>
      </c>
      <c r="Z218" s="1">
        <f t="shared" si="78"/>
        <v>0</v>
      </c>
      <c r="AA218" s="1">
        <f t="shared" si="79"/>
        <v>0</v>
      </c>
      <c r="AB218" s="1">
        <f t="shared" si="80"/>
        <v>1</v>
      </c>
      <c r="AD218" s="1">
        <f t="shared" si="81"/>
        <v>1</v>
      </c>
      <c r="AE218" s="1">
        <f t="shared" si="82"/>
        <v>0</v>
      </c>
      <c r="AF218" s="1">
        <f t="shared" si="83"/>
        <v>1</v>
      </c>
      <c r="AG218" s="1">
        <f t="shared" si="84"/>
        <v>0</v>
      </c>
      <c r="AH218" s="1">
        <f t="shared" si="85"/>
        <v>1</v>
      </c>
      <c r="AI218" s="1">
        <f t="shared" si="86"/>
        <v>0</v>
      </c>
    </row>
    <row r="219" spans="1:35" ht="14.25" customHeight="1" x14ac:dyDescent="0.25">
      <c r="A219" s="31">
        <v>0</v>
      </c>
      <c r="B219" s="31">
        <v>1</v>
      </c>
      <c r="C219" s="31">
        <v>5</v>
      </c>
      <c r="D219" s="32" t="s">
        <v>1468</v>
      </c>
      <c r="E219" s="32" t="s">
        <v>165</v>
      </c>
      <c r="F219" s="32" t="s">
        <v>1469</v>
      </c>
      <c r="G219" s="32" t="s">
        <v>179</v>
      </c>
      <c r="H219" s="32" t="s">
        <v>352</v>
      </c>
      <c r="I219" s="31" t="s">
        <v>1470</v>
      </c>
      <c r="J219" s="31">
        <v>10</v>
      </c>
      <c r="K219" s="33" t="s">
        <v>937</v>
      </c>
      <c r="L219" s="33" t="s">
        <v>684</v>
      </c>
      <c r="M219" s="34" t="s">
        <v>951</v>
      </c>
      <c r="N219" s="34" t="s">
        <v>1693</v>
      </c>
      <c r="O219" s="35">
        <v>1</v>
      </c>
      <c r="P219" s="35">
        <v>1</v>
      </c>
      <c r="Q219" s="32"/>
      <c r="S219" s="1">
        <f t="shared" si="71"/>
        <v>0</v>
      </c>
      <c r="T219" s="1">
        <f t="shared" si="72"/>
        <v>0</v>
      </c>
      <c r="U219" s="1">
        <f t="shared" si="73"/>
        <v>0</v>
      </c>
      <c r="V219" s="1">
        <f t="shared" si="74"/>
        <v>0</v>
      </c>
      <c r="W219" s="1">
        <f t="shared" si="75"/>
        <v>0</v>
      </c>
      <c r="X219" s="1">
        <f t="shared" si="76"/>
        <v>0</v>
      </c>
      <c r="Y219" s="1">
        <f t="shared" si="77"/>
        <v>0</v>
      </c>
      <c r="Z219" s="1">
        <f t="shared" si="78"/>
        <v>0</v>
      </c>
      <c r="AA219" s="1">
        <f t="shared" si="79"/>
        <v>0</v>
      </c>
      <c r="AB219" s="1">
        <f t="shared" si="80"/>
        <v>1</v>
      </c>
      <c r="AD219" s="1">
        <f t="shared" si="81"/>
        <v>1</v>
      </c>
      <c r="AE219" s="1">
        <f t="shared" si="82"/>
        <v>0</v>
      </c>
      <c r="AF219" s="1">
        <f t="shared" si="83"/>
        <v>1</v>
      </c>
      <c r="AG219" s="1">
        <f t="shared" si="84"/>
        <v>0</v>
      </c>
      <c r="AH219" s="1">
        <f t="shared" si="85"/>
        <v>1</v>
      </c>
      <c r="AI219" s="1">
        <f t="shared" si="86"/>
        <v>0</v>
      </c>
    </row>
    <row r="220" spans="1:35" ht="14.25" customHeight="1" x14ac:dyDescent="0.25">
      <c r="A220" s="31">
        <v>0</v>
      </c>
      <c r="B220" s="31">
        <v>1</v>
      </c>
      <c r="C220" s="31">
        <v>5</v>
      </c>
      <c r="D220" s="32" t="s">
        <v>1718</v>
      </c>
      <c r="E220" s="32" t="s">
        <v>165</v>
      </c>
      <c r="F220" s="32" t="s">
        <v>1719</v>
      </c>
      <c r="G220" s="32" t="s">
        <v>1720</v>
      </c>
      <c r="H220" s="32" t="s">
        <v>352</v>
      </c>
      <c r="I220" s="31" t="s">
        <v>1721</v>
      </c>
      <c r="J220" s="31">
        <v>1</v>
      </c>
      <c r="K220" s="33" t="s">
        <v>694</v>
      </c>
      <c r="L220" s="33"/>
      <c r="M220" s="34"/>
      <c r="N220" s="34" t="s">
        <v>1709</v>
      </c>
      <c r="O220" s="35">
        <v>1</v>
      </c>
      <c r="P220" s="35"/>
      <c r="Q220" s="32"/>
      <c r="S220" s="1">
        <f t="shared" si="71"/>
        <v>1</v>
      </c>
      <c r="T220" s="1">
        <f t="shared" si="72"/>
        <v>0</v>
      </c>
      <c r="U220" s="1">
        <f t="shared" si="73"/>
        <v>0</v>
      </c>
      <c r="V220" s="1">
        <f t="shared" si="74"/>
        <v>0</v>
      </c>
      <c r="W220" s="1">
        <f t="shared" si="75"/>
        <v>0</v>
      </c>
      <c r="X220" s="1">
        <f t="shared" si="76"/>
        <v>0</v>
      </c>
      <c r="Y220" s="1">
        <f t="shared" si="77"/>
        <v>0</v>
      </c>
      <c r="Z220" s="1">
        <f t="shared" si="78"/>
        <v>0</v>
      </c>
      <c r="AA220" s="1">
        <f t="shared" si="79"/>
        <v>0</v>
      </c>
      <c r="AB220" s="1">
        <f t="shared" si="80"/>
        <v>0</v>
      </c>
      <c r="AD220" s="1">
        <f t="shared" si="81"/>
        <v>0</v>
      </c>
      <c r="AE220" s="1">
        <f t="shared" si="82"/>
        <v>1</v>
      </c>
      <c r="AF220" s="1">
        <f t="shared" si="83"/>
        <v>0</v>
      </c>
      <c r="AG220" s="1">
        <f t="shared" si="84"/>
        <v>1</v>
      </c>
      <c r="AH220" s="1">
        <f t="shared" si="85"/>
        <v>0</v>
      </c>
      <c r="AI220" s="1">
        <f t="shared" si="86"/>
        <v>1</v>
      </c>
    </row>
    <row r="221" spans="1:35" ht="14.25" customHeight="1" x14ac:dyDescent="0.25">
      <c r="A221" s="31">
        <v>0</v>
      </c>
      <c r="B221" s="31">
        <v>1</v>
      </c>
      <c r="C221" s="31">
        <v>5</v>
      </c>
      <c r="D221" s="32" t="s">
        <v>1007</v>
      </c>
      <c r="E221" s="32" t="s">
        <v>1068</v>
      </c>
      <c r="F221" s="32" t="s">
        <v>1008</v>
      </c>
      <c r="G221" s="32" t="s">
        <v>193</v>
      </c>
      <c r="H221" s="32" t="s">
        <v>352</v>
      </c>
      <c r="I221" s="31" t="s">
        <v>1009</v>
      </c>
      <c r="J221" s="31">
        <v>9</v>
      </c>
      <c r="K221" s="33" t="s">
        <v>713</v>
      </c>
      <c r="L221" s="33" t="s">
        <v>1670</v>
      </c>
      <c r="M221" s="34" t="s">
        <v>1571</v>
      </c>
      <c r="N221" s="34" t="s">
        <v>1705</v>
      </c>
      <c r="O221" s="35">
        <v>1</v>
      </c>
      <c r="P221" s="35"/>
      <c r="Q221" s="32"/>
      <c r="S221" s="1">
        <f t="shared" si="71"/>
        <v>0</v>
      </c>
      <c r="T221" s="1">
        <f t="shared" si="72"/>
        <v>0</v>
      </c>
      <c r="U221" s="1">
        <f t="shared" si="73"/>
        <v>0</v>
      </c>
      <c r="V221" s="1">
        <f t="shared" si="74"/>
        <v>0</v>
      </c>
      <c r="W221" s="1">
        <f t="shared" si="75"/>
        <v>0</v>
      </c>
      <c r="X221" s="1">
        <f t="shared" si="76"/>
        <v>0</v>
      </c>
      <c r="Y221" s="1">
        <f t="shared" si="77"/>
        <v>0</v>
      </c>
      <c r="Z221" s="1">
        <f t="shared" si="78"/>
        <v>0</v>
      </c>
      <c r="AA221" s="1">
        <f t="shared" si="79"/>
        <v>1</v>
      </c>
      <c r="AB221" s="1">
        <f t="shared" si="80"/>
        <v>0</v>
      </c>
      <c r="AD221" s="1">
        <f t="shared" si="81"/>
        <v>0</v>
      </c>
      <c r="AE221" s="1">
        <f t="shared" si="82"/>
        <v>1</v>
      </c>
      <c r="AF221" s="1">
        <f t="shared" si="83"/>
        <v>0</v>
      </c>
      <c r="AG221" s="1">
        <f t="shared" si="84"/>
        <v>1</v>
      </c>
      <c r="AH221" s="1">
        <f t="shared" si="85"/>
        <v>0</v>
      </c>
      <c r="AI221" s="1">
        <f t="shared" si="86"/>
        <v>1</v>
      </c>
    </row>
    <row r="222" spans="1:35" ht="14.25" customHeight="1" x14ac:dyDescent="0.25">
      <c r="A222" s="31">
        <v>0</v>
      </c>
      <c r="B222" s="31">
        <v>1</v>
      </c>
      <c r="C222" s="31">
        <v>5</v>
      </c>
      <c r="D222" s="32" t="s">
        <v>1581</v>
      </c>
      <c r="E222" s="32" t="s">
        <v>165</v>
      </c>
      <c r="F222" s="32" t="s">
        <v>1582</v>
      </c>
      <c r="G222" s="32" t="s">
        <v>212</v>
      </c>
      <c r="H222" s="32" t="s">
        <v>352</v>
      </c>
      <c r="I222" s="31" t="s">
        <v>1583</v>
      </c>
      <c r="J222" s="31">
        <v>1</v>
      </c>
      <c r="K222" s="33" t="s">
        <v>713</v>
      </c>
      <c r="L222" s="33" t="s">
        <v>685</v>
      </c>
      <c r="M222" s="34" t="s">
        <v>951</v>
      </c>
      <c r="N222" s="34" t="s">
        <v>1761</v>
      </c>
      <c r="O222" s="35">
        <v>1</v>
      </c>
      <c r="P222" s="35"/>
      <c r="Q222" s="32"/>
      <c r="S222" s="1">
        <f t="shared" si="71"/>
        <v>1</v>
      </c>
      <c r="T222" s="1">
        <f t="shared" si="72"/>
        <v>0</v>
      </c>
      <c r="U222" s="1">
        <f t="shared" si="73"/>
        <v>0</v>
      </c>
      <c r="V222" s="1">
        <f t="shared" si="74"/>
        <v>0</v>
      </c>
      <c r="W222" s="1">
        <f t="shared" si="75"/>
        <v>0</v>
      </c>
      <c r="X222" s="1">
        <f t="shared" si="76"/>
        <v>0</v>
      </c>
      <c r="Y222" s="1">
        <f t="shared" si="77"/>
        <v>0</v>
      </c>
      <c r="Z222" s="1">
        <f t="shared" si="78"/>
        <v>0</v>
      </c>
      <c r="AA222" s="1">
        <f t="shared" si="79"/>
        <v>0</v>
      </c>
      <c r="AB222" s="1">
        <f t="shared" si="80"/>
        <v>0</v>
      </c>
      <c r="AD222" s="1">
        <f t="shared" si="81"/>
        <v>0</v>
      </c>
      <c r="AE222" s="1">
        <f t="shared" si="82"/>
        <v>1</v>
      </c>
      <c r="AF222" s="1">
        <f t="shared" si="83"/>
        <v>0</v>
      </c>
      <c r="AG222" s="1">
        <f t="shared" si="84"/>
        <v>1</v>
      </c>
      <c r="AH222" s="1">
        <f t="shared" si="85"/>
        <v>0</v>
      </c>
      <c r="AI222" s="1">
        <f t="shared" si="86"/>
        <v>1</v>
      </c>
    </row>
    <row r="223" spans="1:35" ht="14.25" customHeight="1" x14ac:dyDescent="0.25">
      <c r="A223" s="31">
        <v>0</v>
      </c>
      <c r="B223" s="31">
        <v>1</v>
      </c>
      <c r="C223" s="31">
        <v>5</v>
      </c>
      <c r="D223" s="32" t="s">
        <v>146</v>
      </c>
      <c r="E223" s="32" t="s">
        <v>541</v>
      </c>
      <c r="F223" s="32" t="s">
        <v>1566</v>
      </c>
      <c r="G223" s="32" t="s">
        <v>1640</v>
      </c>
      <c r="H223" s="32" t="s">
        <v>352</v>
      </c>
      <c r="I223" s="31" t="s">
        <v>491</v>
      </c>
      <c r="J223" s="31">
        <v>99</v>
      </c>
      <c r="K223" s="33" t="s">
        <v>693</v>
      </c>
      <c r="L223" s="33" t="s">
        <v>680</v>
      </c>
      <c r="M223" s="34" t="s">
        <v>951</v>
      </c>
      <c r="N223" s="34" t="s">
        <v>1785</v>
      </c>
      <c r="O223" s="35">
        <v>1</v>
      </c>
      <c r="P223" s="35"/>
      <c r="Q223" s="32"/>
      <c r="S223" s="1">
        <f t="shared" si="71"/>
        <v>0</v>
      </c>
      <c r="T223" s="1">
        <f t="shared" si="72"/>
        <v>0</v>
      </c>
      <c r="U223" s="1">
        <f t="shared" si="73"/>
        <v>0</v>
      </c>
      <c r="V223" s="1">
        <f t="shared" si="74"/>
        <v>0</v>
      </c>
      <c r="W223" s="1">
        <f t="shared" si="75"/>
        <v>0</v>
      </c>
      <c r="X223" s="1">
        <f t="shared" si="76"/>
        <v>0</v>
      </c>
      <c r="Y223" s="1">
        <f t="shared" si="77"/>
        <v>0</v>
      </c>
      <c r="Z223" s="1">
        <f t="shared" si="78"/>
        <v>0</v>
      </c>
      <c r="AA223" s="1">
        <f t="shared" si="79"/>
        <v>0</v>
      </c>
      <c r="AB223" s="1">
        <f t="shared" si="80"/>
        <v>0</v>
      </c>
      <c r="AD223" s="1">
        <f t="shared" si="81"/>
        <v>0</v>
      </c>
      <c r="AE223" s="1">
        <f t="shared" si="82"/>
        <v>1</v>
      </c>
      <c r="AF223" s="1">
        <f t="shared" si="83"/>
        <v>0</v>
      </c>
      <c r="AG223" s="1">
        <f t="shared" si="84"/>
        <v>1</v>
      </c>
      <c r="AH223" s="1">
        <f t="shared" si="85"/>
        <v>0</v>
      </c>
      <c r="AI223" s="1">
        <f t="shared" si="86"/>
        <v>1</v>
      </c>
    </row>
    <row r="224" spans="1:35" ht="14.25" customHeight="1" x14ac:dyDescent="0.25">
      <c r="A224" s="15">
        <v>0</v>
      </c>
      <c r="B224" s="15">
        <v>1</v>
      </c>
      <c r="C224" s="15">
        <v>5</v>
      </c>
      <c r="D224" s="16" t="s">
        <v>1187</v>
      </c>
      <c r="E224" s="16" t="s">
        <v>165</v>
      </c>
      <c r="F224" s="16" t="s">
        <v>1188</v>
      </c>
      <c r="G224" s="16" t="s">
        <v>1189</v>
      </c>
      <c r="H224" s="16" t="s">
        <v>352</v>
      </c>
      <c r="I224" s="15" t="s">
        <v>1190</v>
      </c>
      <c r="J224" s="15">
        <v>99</v>
      </c>
      <c r="K224" s="10" t="s">
        <v>694</v>
      </c>
      <c r="L224" s="10">
        <v>30</v>
      </c>
      <c r="M224" s="19" t="s">
        <v>951</v>
      </c>
      <c r="N224" s="19"/>
      <c r="Q224" s="16"/>
      <c r="S224" s="1">
        <f t="shared" si="71"/>
        <v>0</v>
      </c>
      <c r="T224" s="1">
        <f t="shared" si="72"/>
        <v>0</v>
      </c>
      <c r="U224" s="1">
        <f t="shared" si="73"/>
        <v>0</v>
      </c>
      <c r="V224" s="1">
        <f t="shared" si="74"/>
        <v>0</v>
      </c>
      <c r="W224" s="1">
        <f t="shared" si="75"/>
        <v>0</v>
      </c>
      <c r="X224" s="1">
        <f t="shared" si="76"/>
        <v>0</v>
      </c>
      <c r="Y224" s="1">
        <f t="shared" si="77"/>
        <v>0</v>
      </c>
      <c r="Z224" s="1">
        <f t="shared" si="78"/>
        <v>0</v>
      </c>
      <c r="AA224" s="1">
        <f t="shared" si="79"/>
        <v>0</v>
      </c>
      <c r="AB224" s="1">
        <f t="shared" si="80"/>
        <v>0</v>
      </c>
      <c r="AD224" s="1">
        <f t="shared" si="81"/>
        <v>0</v>
      </c>
      <c r="AE224" s="1">
        <f t="shared" si="82"/>
        <v>0</v>
      </c>
      <c r="AF224" s="1">
        <f t="shared" si="83"/>
        <v>0</v>
      </c>
      <c r="AG224" s="1">
        <f t="shared" si="84"/>
        <v>0</v>
      </c>
      <c r="AH224" s="1">
        <f t="shared" si="85"/>
        <v>0</v>
      </c>
      <c r="AI224" s="1">
        <f t="shared" si="86"/>
        <v>1</v>
      </c>
    </row>
    <row r="225" spans="1:35" ht="14.25" customHeight="1" x14ac:dyDescent="0.25">
      <c r="A225" s="31">
        <v>0</v>
      </c>
      <c r="B225" s="31">
        <v>1</v>
      </c>
      <c r="C225" s="31">
        <v>5</v>
      </c>
      <c r="D225" s="32" t="s">
        <v>1567</v>
      </c>
      <c r="E225" s="32" t="s">
        <v>171</v>
      </c>
      <c r="F225" s="32" t="s">
        <v>793</v>
      </c>
      <c r="G225" s="32" t="s">
        <v>39</v>
      </c>
      <c r="H225" s="32" t="s">
        <v>794</v>
      </c>
      <c r="I225" s="31" t="s">
        <v>795</v>
      </c>
      <c r="J225" s="31">
        <v>16</v>
      </c>
      <c r="K225" s="33" t="s">
        <v>938</v>
      </c>
      <c r="L225" s="33" t="s">
        <v>1704</v>
      </c>
      <c r="M225" s="34" t="s">
        <v>951</v>
      </c>
      <c r="N225" s="34" t="s">
        <v>1709</v>
      </c>
      <c r="O225" s="35">
        <v>1</v>
      </c>
      <c r="P225" s="35"/>
      <c r="Q225" s="32"/>
      <c r="S225" s="1">
        <f t="shared" si="71"/>
        <v>0</v>
      </c>
      <c r="T225" s="1">
        <f t="shared" si="72"/>
        <v>0</v>
      </c>
      <c r="U225" s="1">
        <f t="shared" si="73"/>
        <v>0</v>
      </c>
      <c r="V225" s="1">
        <f t="shared" si="74"/>
        <v>0</v>
      </c>
      <c r="W225" s="1">
        <f t="shared" si="75"/>
        <v>0</v>
      </c>
      <c r="X225" s="1">
        <f t="shared" si="76"/>
        <v>0</v>
      </c>
      <c r="Y225" s="1">
        <f t="shared" si="77"/>
        <v>0</v>
      </c>
      <c r="Z225" s="1">
        <f t="shared" si="78"/>
        <v>0</v>
      </c>
      <c r="AA225" s="1">
        <f t="shared" si="79"/>
        <v>0</v>
      </c>
      <c r="AB225" s="1">
        <f t="shared" si="80"/>
        <v>0</v>
      </c>
      <c r="AD225" s="1">
        <f t="shared" si="81"/>
        <v>0</v>
      </c>
      <c r="AE225" s="1">
        <f t="shared" si="82"/>
        <v>1</v>
      </c>
      <c r="AF225" s="1">
        <f t="shared" si="83"/>
        <v>0</v>
      </c>
      <c r="AG225" s="1">
        <f t="shared" si="84"/>
        <v>1</v>
      </c>
      <c r="AH225" s="1">
        <f t="shared" si="85"/>
        <v>0</v>
      </c>
      <c r="AI225" s="1">
        <f t="shared" si="86"/>
        <v>1</v>
      </c>
    </row>
    <row r="226" spans="1:35" ht="14.25" customHeight="1" x14ac:dyDescent="0.25">
      <c r="A226" s="31">
        <v>0</v>
      </c>
      <c r="B226" s="31">
        <v>1</v>
      </c>
      <c r="C226" s="31">
        <v>5</v>
      </c>
      <c r="D226" s="32" t="s">
        <v>498</v>
      </c>
      <c r="E226" s="32" t="s">
        <v>165</v>
      </c>
      <c r="F226" s="32" t="s">
        <v>499</v>
      </c>
      <c r="G226" s="32" t="s">
        <v>500</v>
      </c>
      <c r="H226" s="32" t="s">
        <v>352</v>
      </c>
      <c r="I226" s="31" t="s">
        <v>501</v>
      </c>
      <c r="J226" s="31">
        <v>99</v>
      </c>
      <c r="K226" s="33" t="s">
        <v>938</v>
      </c>
      <c r="L226" s="33" t="s">
        <v>685</v>
      </c>
      <c r="M226" s="34" t="s">
        <v>682</v>
      </c>
      <c r="N226" s="34" t="s">
        <v>1693</v>
      </c>
      <c r="O226" s="35">
        <v>1</v>
      </c>
      <c r="P226" s="35">
        <v>1</v>
      </c>
      <c r="Q226" s="32"/>
      <c r="S226" s="1">
        <f t="shared" si="71"/>
        <v>0</v>
      </c>
      <c r="T226" s="1">
        <f t="shared" si="72"/>
        <v>0</v>
      </c>
      <c r="U226" s="1">
        <f t="shared" si="73"/>
        <v>0</v>
      </c>
      <c r="V226" s="1">
        <f t="shared" si="74"/>
        <v>0</v>
      </c>
      <c r="W226" s="1">
        <f t="shared" si="75"/>
        <v>0</v>
      </c>
      <c r="X226" s="1">
        <f t="shared" si="76"/>
        <v>0</v>
      </c>
      <c r="Y226" s="1">
        <f t="shared" si="77"/>
        <v>0</v>
      </c>
      <c r="Z226" s="1">
        <f t="shared" si="78"/>
        <v>0</v>
      </c>
      <c r="AA226" s="1">
        <f t="shared" si="79"/>
        <v>0</v>
      </c>
      <c r="AB226" s="1">
        <f t="shared" si="80"/>
        <v>0</v>
      </c>
      <c r="AD226" s="1">
        <f t="shared" si="81"/>
        <v>1</v>
      </c>
      <c r="AE226" s="1">
        <f t="shared" si="82"/>
        <v>0</v>
      </c>
      <c r="AF226" s="1">
        <f t="shared" si="83"/>
        <v>1</v>
      </c>
      <c r="AG226" s="1">
        <f t="shared" si="84"/>
        <v>0</v>
      </c>
      <c r="AH226" s="1">
        <f t="shared" si="85"/>
        <v>1</v>
      </c>
      <c r="AI226" s="1">
        <f t="shared" si="86"/>
        <v>0</v>
      </c>
    </row>
    <row r="227" spans="1:35" ht="14.25" customHeight="1" x14ac:dyDescent="0.25">
      <c r="A227" s="31">
        <v>0</v>
      </c>
      <c r="B227" s="31">
        <v>1</v>
      </c>
      <c r="C227" s="31">
        <v>6</v>
      </c>
      <c r="D227" s="32" t="s">
        <v>1419</v>
      </c>
      <c r="E227" s="32" t="s">
        <v>166</v>
      </c>
      <c r="F227" s="32" t="s">
        <v>1420</v>
      </c>
      <c r="G227" s="32" t="s">
        <v>178</v>
      </c>
      <c r="H227" s="32" t="s">
        <v>352</v>
      </c>
      <c r="I227" s="31" t="s">
        <v>1421</v>
      </c>
      <c r="J227" s="31">
        <v>99</v>
      </c>
      <c r="K227" s="33" t="s">
        <v>937</v>
      </c>
      <c r="L227" s="33" t="s">
        <v>687</v>
      </c>
      <c r="M227" s="34" t="s">
        <v>1422</v>
      </c>
      <c r="N227" s="34" t="s">
        <v>1710</v>
      </c>
      <c r="O227" s="35">
        <v>1</v>
      </c>
      <c r="P227" s="35"/>
      <c r="Q227" s="36"/>
      <c r="S227" s="1">
        <f t="shared" si="71"/>
        <v>0</v>
      </c>
      <c r="T227" s="1">
        <f t="shared" si="72"/>
        <v>0</v>
      </c>
      <c r="U227" s="1">
        <f t="shared" si="73"/>
        <v>0</v>
      </c>
      <c r="V227" s="1">
        <f t="shared" si="74"/>
        <v>0</v>
      </c>
      <c r="W227" s="1">
        <f t="shared" si="75"/>
        <v>0</v>
      </c>
      <c r="X227" s="1">
        <f t="shared" si="76"/>
        <v>0</v>
      </c>
      <c r="Y227" s="1">
        <f t="shared" si="77"/>
        <v>0</v>
      </c>
      <c r="Z227" s="1">
        <f t="shared" si="78"/>
        <v>0</v>
      </c>
      <c r="AA227" s="1">
        <f t="shared" si="79"/>
        <v>0</v>
      </c>
      <c r="AB227" s="1">
        <f t="shared" si="80"/>
        <v>0</v>
      </c>
      <c r="AD227" s="1">
        <f t="shared" si="81"/>
        <v>0</v>
      </c>
      <c r="AE227" s="1">
        <f t="shared" si="82"/>
        <v>1</v>
      </c>
      <c r="AF227" s="1">
        <f t="shared" si="83"/>
        <v>0</v>
      </c>
      <c r="AG227" s="1">
        <f t="shared" si="84"/>
        <v>1</v>
      </c>
      <c r="AH227" s="1">
        <f t="shared" si="85"/>
        <v>0</v>
      </c>
      <c r="AI227" s="1">
        <f t="shared" si="86"/>
        <v>1</v>
      </c>
    </row>
    <row r="228" spans="1:35" ht="14.25" customHeight="1" x14ac:dyDescent="0.25">
      <c r="A228" s="31">
        <v>0</v>
      </c>
      <c r="B228" s="31">
        <v>1</v>
      </c>
      <c r="C228" s="31">
        <v>6</v>
      </c>
      <c r="D228" s="32" t="s">
        <v>1161</v>
      </c>
      <c r="E228" s="32" t="s">
        <v>1164</v>
      </c>
      <c r="F228" s="32" t="s">
        <v>1162</v>
      </c>
      <c r="G228" s="32" t="s">
        <v>39</v>
      </c>
      <c r="H228" s="32" t="s">
        <v>352</v>
      </c>
      <c r="I228" s="31" t="s">
        <v>1163</v>
      </c>
      <c r="J228" s="31">
        <v>99</v>
      </c>
      <c r="K228" s="33" t="s">
        <v>943</v>
      </c>
      <c r="L228" s="33" t="s">
        <v>39</v>
      </c>
      <c r="M228" s="34" t="s">
        <v>39</v>
      </c>
      <c r="N228" s="34" t="s">
        <v>1699</v>
      </c>
      <c r="O228" s="35">
        <v>1</v>
      </c>
      <c r="P228" s="35">
        <v>1</v>
      </c>
      <c r="Q228" s="36" t="s">
        <v>1867</v>
      </c>
      <c r="S228" s="1">
        <f t="shared" si="71"/>
        <v>0</v>
      </c>
      <c r="T228" s="1">
        <f t="shared" si="72"/>
        <v>0</v>
      </c>
      <c r="U228" s="1">
        <f t="shared" si="73"/>
        <v>0</v>
      </c>
      <c r="V228" s="1">
        <f t="shared" si="74"/>
        <v>0</v>
      </c>
      <c r="W228" s="1">
        <f t="shared" si="75"/>
        <v>0</v>
      </c>
      <c r="X228" s="1">
        <f t="shared" si="76"/>
        <v>0</v>
      </c>
      <c r="Y228" s="1">
        <f t="shared" si="77"/>
        <v>0</v>
      </c>
      <c r="Z228" s="1">
        <f t="shared" si="78"/>
        <v>0</v>
      </c>
      <c r="AA228" s="1">
        <f t="shared" si="79"/>
        <v>0</v>
      </c>
      <c r="AB228" s="1">
        <f t="shared" si="80"/>
        <v>0</v>
      </c>
      <c r="AD228" s="1">
        <f t="shared" si="81"/>
        <v>1</v>
      </c>
      <c r="AE228" s="1">
        <f t="shared" si="82"/>
        <v>0</v>
      </c>
      <c r="AF228" s="1">
        <f t="shared" si="83"/>
        <v>1</v>
      </c>
      <c r="AG228" s="1">
        <f t="shared" si="84"/>
        <v>0</v>
      </c>
      <c r="AH228" s="1">
        <f t="shared" si="85"/>
        <v>1</v>
      </c>
      <c r="AI228" s="1">
        <f t="shared" si="86"/>
        <v>0</v>
      </c>
    </row>
    <row r="229" spans="1:35" ht="14.25" customHeight="1" x14ac:dyDescent="0.25">
      <c r="A229" s="31">
        <v>0</v>
      </c>
      <c r="B229" s="31">
        <v>1</v>
      </c>
      <c r="C229" s="31">
        <v>6</v>
      </c>
      <c r="D229" s="32" t="s">
        <v>1615</v>
      </c>
      <c r="E229" s="32" t="s">
        <v>1623</v>
      </c>
      <c r="F229" s="32" t="s">
        <v>1649</v>
      </c>
      <c r="G229" s="32" t="s">
        <v>1650</v>
      </c>
      <c r="H229" s="32" t="s">
        <v>352</v>
      </c>
      <c r="I229" s="31" t="s">
        <v>1662</v>
      </c>
      <c r="J229" s="31">
        <v>1</v>
      </c>
      <c r="K229" s="33" t="s">
        <v>939</v>
      </c>
      <c r="L229" s="33" t="s">
        <v>39</v>
      </c>
      <c r="M229" s="34" t="s">
        <v>39</v>
      </c>
      <c r="N229" s="34" t="s">
        <v>1693</v>
      </c>
      <c r="O229" s="35">
        <v>1</v>
      </c>
      <c r="P229" s="35">
        <v>1</v>
      </c>
      <c r="Q229" s="32"/>
      <c r="S229" s="1">
        <f t="shared" si="71"/>
        <v>1</v>
      </c>
      <c r="T229" s="1">
        <f t="shared" si="72"/>
        <v>0</v>
      </c>
      <c r="U229" s="1">
        <f t="shared" si="73"/>
        <v>0</v>
      </c>
      <c r="V229" s="1">
        <f t="shared" si="74"/>
        <v>0</v>
      </c>
      <c r="W229" s="1">
        <f t="shared" si="75"/>
        <v>0</v>
      </c>
      <c r="X229" s="1">
        <f t="shared" si="76"/>
        <v>0</v>
      </c>
      <c r="Y229" s="1">
        <f t="shared" si="77"/>
        <v>0</v>
      </c>
      <c r="Z229" s="1">
        <f t="shared" si="78"/>
        <v>0</v>
      </c>
      <c r="AA229" s="1">
        <f t="shared" si="79"/>
        <v>0</v>
      </c>
      <c r="AB229" s="1">
        <f t="shared" si="80"/>
        <v>0</v>
      </c>
      <c r="AD229" s="1">
        <f t="shared" si="81"/>
        <v>1</v>
      </c>
      <c r="AE229" s="1">
        <f t="shared" si="82"/>
        <v>0</v>
      </c>
      <c r="AF229" s="1">
        <f t="shared" si="83"/>
        <v>1</v>
      </c>
      <c r="AG229" s="1">
        <f t="shared" si="84"/>
        <v>0</v>
      </c>
      <c r="AH229" s="1">
        <f t="shared" si="85"/>
        <v>1</v>
      </c>
      <c r="AI229" s="1">
        <f t="shared" si="86"/>
        <v>0</v>
      </c>
    </row>
    <row r="230" spans="1:35" ht="14.25" customHeight="1" x14ac:dyDescent="0.25">
      <c r="A230" s="31">
        <v>0</v>
      </c>
      <c r="B230" s="31">
        <v>1</v>
      </c>
      <c r="C230" s="31">
        <v>6</v>
      </c>
      <c r="D230" s="32" t="s">
        <v>89</v>
      </c>
      <c r="E230" s="32" t="s">
        <v>167</v>
      </c>
      <c r="F230" s="32" t="s">
        <v>282</v>
      </c>
      <c r="G230" s="32" t="s">
        <v>229</v>
      </c>
      <c r="H230" s="32" t="s">
        <v>352</v>
      </c>
      <c r="I230" s="31" t="s">
        <v>435</v>
      </c>
      <c r="J230" s="31">
        <v>7</v>
      </c>
      <c r="K230" s="33" t="s">
        <v>713</v>
      </c>
      <c r="L230" s="33">
        <v>40</v>
      </c>
      <c r="M230" s="34" t="s">
        <v>39</v>
      </c>
      <c r="N230" s="34" t="s">
        <v>1709</v>
      </c>
      <c r="O230" s="35">
        <v>1</v>
      </c>
      <c r="P230" s="35"/>
      <c r="Q230" s="32"/>
      <c r="S230" s="1">
        <f t="shared" ref="S230:S232" si="87">IF(J230=$S$7,1,0)</f>
        <v>0</v>
      </c>
      <c r="T230" s="1">
        <f t="shared" ref="T230:T232" si="88">IF(J230=$T$7,1,0)</f>
        <v>0</v>
      </c>
      <c r="U230" s="1">
        <f t="shared" ref="U230:U232" si="89">IF(J230=$U$7,1,0)</f>
        <v>0</v>
      </c>
      <c r="V230" s="1">
        <f t="shared" ref="V230:V232" si="90">IF(J230=$V$7,1,0)</f>
        <v>0</v>
      </c>
      <c r="W230" s="1">
        <f t="shared" ref="W230:W232" si="91">IF(J230=$W$7,1,0)</f>
        <v>0</v>
      </c>
      <c r="X230" s="1">
        <f t="shared" ref="X230:X232" si="92">IF(J230=$X$7,1,0)</f>
        <v>0</v>
      </c>
      <c r="Y230" s="1">
        <f t="shared" ref="Y230:Y232" si="93">IF(J230=$Y$7,1,0)</f>
        <v>1</v>
      </c>
      <c r="Z230" s="1">
        <f t="shared" ref="Z230:Z232" si="94">IF(J230=$Z$7,1,0)</f>
        <v>0</v>
      </c>
      <c r="AA230" s="1">
        <f t="shared" ref="AA230:AA232" si="95">IF(J230=$AA$7,1,0)</f>
        <v>0</v>
      </c>
      <c r="AB230" s="1">
        <f t="shared" ref="AB230:AB232" si="96">IF(J230=$AB$7,1,0)</f>
        <v>0</v>
      </c>
      <c r="AD230" s="1">
        <f t="shared" si="81"/>
        <v>0</v>
      </c>
      <c r="AE230" s="1">
        <f t="shared" si="82"/>
        <v>1</v>
      </c>
      <c r="AF230" s="1">
        <f t="shared" si="83"/>
        <v>0</v>
      </c>
      <c r="AG230" s="1">
        <f t="shared" si="84"/>
        <v>1</v>
      </c>
      <c r="AH230" s="1">
        <f t="shared" si="85"/>
        <v>0</v>
      </c>
      <c r="AI230" s="1">
        <f t="shared" si="86"/>
        <v>1</v>
      </c>
    </row>
    <row r="231" spans="1:35" ht="14.25" customHeight="1" x14ac:dyDescent="0.25">
      <c r="A231" s="31">
        <v>0</v>
      </c>
      <c r="B231" s="31">
        <v>1</v>
      </c>
      <c r="C231" s="31">
        <v>6</v>
      </c>
      <c r="D231" s="36" t="s">
        <v>2136</v>
      </c>
      <c r="E231" s="36" t="s">
        <v>2137</v>
      </c>
      <c r="F231" s="36" t="s">
        <v>2138</v>
      </c>
      <c r="G231" s="36" t="s">
        <v>283</v>
      </c>
      <c r="H231" s="36" t="s">
        <v>352</v>
      </c>
      <c r="I231" s="37" t="s">
        <v>2139</v>
      </c>
      <c r="J231" s="31">
        <v>10</v>
      </c>
      <c r="K231" s="33" t="s">
        <v>694</v>
      </c>
      <c r="L231" s="33"/>
      <c r="M231" s="34"/>
      <c r="N231" s="34" t="s">
        <v>1709</v>
      </c>
      <c r="O231" s="35">
        <v>1</v>
      </c>
      <c r="P231" s="35"/>
      <c r="Q231" s="32"/>
      <c r="S231" s="1">
        <f t="shared" si="87"/>
        <v>0</v>
      </c>
      <c r="T231" s="1">
        <f t="shared" si="88"/>
        <v>0</v>
      </c>
      <c r="U231" s="1">
        <f t="shared" si="89"/>
        <v>0</v>
      </c>
      <c r="V231" s="1">
        <f t="shared" si="90"/>
        <v>0</v>
      </c>
      <c r="W231" s="1">
        <f t="shared" si="91"/>
        <v>0</v>
      </c>
      <c r="X231" s="1">
        <f t="shared" si="92"/>
        <v>0</v>
      </c>
      <c r="Y231" s="1">
        <f t="shared" si="93"/>
        <v>0</v>
      </c>
      <c r="Z231" s="1">
        <f t="shared" si="94"/>
        <v>0</v>
      </c>
      <c r="AA231" s="1">
        <f t="shared" si="95"/>
        <v>0</v>
      </c>
      <c r="AB231" s="1">
        <f t="shared" si="96"/>
        <v>1</v>
      </c>
      <c r="AD231" s="1">
        <f t="shared" si="81"/>
        <v>0</v>
      </c>
      <c r="AE231" s="1">
        <f t="shared" si="82"/>
        <v>1</v>
      </c>
      <c r="AF231" s="1">
        <f t="shared" si="83"/>
        <v>0</v>
      </c>
      <c r="AG231" s="1">
        <f t="shared" si="84"/>
        <v>1</v>
      </c>
      <c r="AH231" s="1">
        <f t="shared" si="85"/>
        <v>0</v>
      </c>
      <c r="AI231" s="1">
        <f t="shared" si="86"/>
        <v>1</v>
      </c>
    </row>
    <row r="232" spans="1:35" ht="14.25" customHeight="1" x14ac:dyDescent="0.25">
      <c r="A232" s="31">
        <v>0</v>
      </c>
      <c r="B232" s="31">
        <v>1</v>
      </c>
      <c r="C232" s="31">
        <v>6</v>
      </c>
      <c r="D232" s="32" t="s">
        <v>90</v>
      </c>
      <c r="E232" s="32" t="s">
        <v>164</v>
      </c>
      <c r="F232" s="36" t="s">
        <v>1831</v>
      </c>
      <c r="G232" s="32" t="s">
        <v>239</v>
      </c>
      <c r="H232" s="32" t="s">
        <v>352</v>
      </c>
      <c r="I232" s="31" t="s">
        <v>436</v>
      </c>
      <c r="J232" s="31">
        <v>1</v>
      </c>
      <c r="K232" s="33" t="s">
        <v>945</v>
      </c>
      <c r="L232" s="33" t="s">
        <v>39</v>
      </c>
      <c r="M232" s="34" t="s">
        <v>39</v>
      </c>
      <c r="N232" s="34" t="s">
        <v>1693</v>
      </c>
      <c r="O232" s="35">
        <v>1</v>
      </c>
      <c r="P232" s="35">
        <v>1</v>
      </c>
      <c r="Q232" s="32"/>
      <c r="S232" s="1">
        <f t="shared" si="87"/>
        <v>1</v>
      </c>
      <c r="T232" s="1">
        <f t="shared" si="88"/>
        <v>0</v>
      </c>
      <c r="U232" s="1">
        <f t="shared" si="89"/>
        <v>0</v>
      </c>
      <c r="V232" s="1">
        <f t="shared" si="90"/>
        <v>0</v>
      </c>
      <c r="W232" s="1">
        <f t="shared" si="91"/>
        <v>0</v>
      </c>
      <c r="X232" s="1">
        <f t="shared" si="92"/>
        <v>0</v>
      </c>
      <c r="Y232" s="1">
        <f t="shared" si="93"/>
        <v>0</v>
      </c>
      <c r="Z232" s="1">
        <f t="shared" si="94"/>
        <v>0</v>
      </c>
      <c r="AA232" s="1">
        <f t="shared" si="95"/>
        <v>0</v>
      </c>
      <c r="AB232" s="1">
        <f t="shared" si="96"/>
        <v>0</v>
      </c>
      <c r="AD232" s="1">
        <f t="shared" si="81"/>
        <v>1</v>
      </c>
      <c r="AE232" s="1">
        <f t="shared" si="82"/>
        <v>0</v>
      </c>
      <c r="AF232" s="1">
        <f t="shared" si="83"/>
        <v>1</v>
      </c>
      <c r="AG232" s="1">
        <f t="shared" si="84"/>
        <v>0</v>
      </c>
      <c r="AH232" s="1">
        <f t="shared" si="85"/>
        <v>1</v>
      </c>
      <c r="AI232" s="1">
        <f t="shared" si="86"/>
        <v>0</v>
      </c>
    </row>
    <row r="233" spans="1:35" ht="14.25" customHeight="1" x14ac:dyDescent="0.25">
      <c r="A233" s="31">
        <v>0</v>
      </c>
      <c r="B233" s="31">
        <v>1</v>
      </c>
      <c r="C233" s="31">
        <v>6</v>
      </c>
      <c r="D233" s="32" t="s">
        <v>91</v>
      </c>
      <c r="E233" s="32" t="s">
        <v>166</v>
      </c>
      <c r="F233" s="32" t="s">
        <v>284</v>
      </c>
      <c r="G233" s="32" t="s">
        <v>199</v>
      </c>
      <c r="H233" s="32" t="s">
        <v>352</v>
      </c>
      <c r="I233" s="31" t="s">
        <v>437</v>
      </c>
      <c r="J233" s="31">
        <v>2</v>
      </c>
      <c r="K233" s="33" t="s">
        <v>943</v>
      </c>
      <c r="L233" s="33" t="s">
        <v>39</v>
      </c>
      <c r="M233" s="34" t="s">
        <v>39</v>
      </c>
      <c r="N233" s="34" t="s">
        <v>1693</v>
      </c>
      <c r="O233" s="35">
        <v>1</v>
      </c>
      <c r="P233" s="35">
        <v>1</v>
      </c>
      <c r="Q233" s="32"/>
      <c r="S233" s="1">
        <f t="shared" si="71"/>
        <v>0</v>
      </c>
      <c r="T233" s="1">
        <f t="shared" si="72"/>
        <v>1</v>
      </c>
      <c r="U233" s="1">
        <f t="shared" si="73"/>
        <v>0</v>
      </c>
      <c r="V233" s="1">
        <f t="shared" si="74"/>
        <v>0</v>
      </c>
      <c r="W233" s="1">
        <f t="shared" si="75"/>
        <v>0</v>
      </c>
      <c r="X233" s="1">
        <f t="shared" si="76"/>
        <v>0</v>
      </c>
      <c r="Y233" s="1">
        <f t="shared" si="77"/>
        <v>0</v>
      </c>
      <c r="Z233" s="1">
        <f t="shared" si="78"/>
        <v>0</v>
      </c>
      <c r="AA233" s="1">
        <f t="shared" si="79"/>
        <v>0</v>
      </c>
      <c r="AB233" s="1">
        <f t="shared" si="80"/>
        <v>0</v>
      </c>
      <c r="AD233" s="1">
        <f t="shared" si="81"/>
        <v>1</v>
      </c>
      <c r="AE233" s="1">
        <f t="shared" si="82"/>
        <v>0</v>
      </c>
      <c r="AF233" s="1">
        <f t="shared" si="83"/>
        <v>1</v>
      </c>
      <c r="AG233" s="1">
        <f t="shared" si="84"/>
        <v>0</v>
      </c>
      <c r="AH233" s="1">
        <f t="shared" si="85"/>
        <v>1</v>
      </c>
      <c r="AI233" s="1">
        <f t="shared" si="86"/>
        <v>0</v>
      </c>
    </row>
    <row r="234" spans="1:35" ht="14.25" customHeight="1" x14ac:dyDescent="0.25">
      <c r="A234" s="31">
        <v>0</v>
      </c>
      <c r="B234" s="31">
        <v>1</v>
      </c>
      <c r="C234" s="31">
        <v>6</v>
      </c>
      <c r="D234" s="32" t="s">
        <v>1250</v>
      </c>
      <c r="E234" s="32" t="s">
        <v>166</v>
      </c>
      <c r="F234" s="32" t="s">
        <v>1126</v>
      </c>
      <c r="G234" s="32" t="s">
        <v>1316</v>
      </c>
      <c r="H234" s="32" t="s">
        <v>352</v>
      </c>
      <c r="I234" s="31" t="s">
        <v>1127</v>
      </c>
      <c r="J234" s="31">
        <v>99</v>
      </c>
      <c r="K234" s="33" t="s">
        <v>693</v>
      </c>
      <c r="L234" s="33">
        <v>45</v>
      </c>
      <c r="M234" s="34" t="s">
        <v>39</v>
      </c>
      <c r="N234" s="34" t="s">
        <v>1705</v>
      </c>
      <c r="O234" s="35">
        <v>1</v>
      </c>
      <c r="P234" s="35"/>
      <c r="Q234" s="32"/>
      <c r="S234" s="1">
        <f t="shared" si="71"/>
        <v>0</v>
      </c>
      <c r="T234" s="1">
        <f t="shared" si="72"/>
        <v>0</v>
      </c>
      <c r="U234" s="1">
        <f t="shared" si="73"/>
        <v>0</v>
      </c>
      <c r="V234" s="1">
        <f t="shared" si="74"/>
        <v>0</v>
      </c>
      <c r="W234" s="1">
        <f t="shared" si="75"/>
        <v>0</v>
      </c>
      <c r="X234" s="1">
        <f t="shared" si="76"/>
        <v>0</v>
      </c>
      <c r="Y234" s="1">
        <f t="shared" si="77"/>
        <v>0</v>
      </c>
      <c r="Z234" s="1">
        <f t="shared" si="78"/>
        <v>0</v>
      </c>
      <c r="AA234" s="1">
        <f t="shared" si="79"/>
        <v>0</v>
      </c>
      <c r="AB234" s="1">
        <f t="shared" si="80"/>
        <v>0</v>
      </c>
      <c r="AD234" s="1">
        <f t="shared" si="81"/>
        <v>0</v>
      </c>
      <c r="AE234" s="1">
        <f t="shared" si="82"/>
        <v>1</v>
      </c>
      <c r="AF234" s="1">
        <f t="shared" si="83"/>
        <v>0</v>
      </c>
      <c r="AG234" s="1">
        <f t="shared" si="84"/>
        <v>1</v>
      </c>
      <c r="AH234" s="1">
        <f t="shared" si="85"/>
        <v>0</v>
      </c>
      <c r="AI234" s="1">
        <f t="shared" si="86"/>
        <v>1</v>
      </c>
    </row>
    <row r="235" spans="1:35" ht="14.25" customHeight="1" x14ac:dyDescent="0.25">
      <c r="A235" s="31">
        <v>0</v>
      </c>
      <c r="B235" s="31">
        <v>1</v>
      </c>
      <c r="C235" s="31">
        <v>6</v>
      </c>
      <c r="D235" s="36" t="s">
        <v>2130</v>
      </c>
      <c r="E235" s="32" t="s">
        <v>166</v>
      </c>
      <c r="F235" s="32" t="s">
        <v>1727</v>
      </c>
      <c r="G235" s="32"/>
      <c r="H235" s="32" t="s">
        <v>352</v>
      </c>
      <c r="I235" s="31" t="s">
        <v>1728</v>
      </c>
      <c r="J235" s="31"/>
      <c r="K235" s="33" t="s">
        <v>694</v>
      </c>
      <c r="L235" s="33"/>
      <c r="M235" s="34"/>
      <c r="N235" s="34" t="s">
        <v>1693</v>
      </c>
      <c r="O235" s="35">
        <v>1</v>
      </c>
      <c r="P235" s="35">
        <v>1</v>
      </c>
      <c r="Q235" s="32"/>
      <c r="S235" s="1">
        <f t="shared" si="71"/>
        <v>0</v>
      </c>
      <c r="T235" s="1">
        <f t="shared" si="72"/>
        <v>0</v>
      </c>
      <c r="U235" s="1">
        <f t="shared" si="73"/>
        <v>0</v>
      </c>
      <c r="V235" s="1">
        <f t="shared" si="74"/>
        <v>0</v>
      </c>
      <c r="W235" s="1">
        <f t="shared" si="75"/>
        <v>0</v>
      </c>
      <c r="X235" s="1">
        <f t="shared" si="76"/>
        <v>0</v>
      </c>
      <c r="Y235" s="1">
        <f t="shared" si="77"/>
        <v>0</v>
      </c>
      <c r="Z235" s="1">
        <f t="shared" si="78"/>
        <v>0</v>
      </c>
      <c r="AA235" s="1">
        <f t="shared" si="79"/>
        <v>0</v>
      </c>
      <c r="AB235" s="1">
        <f t="shared" si="80"/>
        <v>0</v>
      </c>
      <c r="AD235" s="1">
        <f t="shared" si="81"/>
        <v>1</v>
      </c>
      <c r="AE235" s="1">
        <f t="shared" si="82"/>
        <v>0</v>
      </c>
      <c r="AF235" s="1">
        <f t="shared" si="83"/>
        <v>1</v>
      </c>
      <c r="AG235" s="1">
        <f t="shared" si="84"/>
        <v>0</v>
      </c>
      <c r="AH235" s="1">
        <f t="shared" si="85"/>
        <v>1</v>
      </c>
      <c r="AI235" s="1">
        <f t="shared" si="86"/>
        <v>0</v>
      </c>
    </row>
    <row r="236" spans="1:35" ht="14.25" customHeight="1" x14ac:dyDescent="0.25">
      <c r="A236" s="31">
        <v>0</v>
      </c>
      <c r="B236" s="31">
        <v>1</v>
      </c>
      <c r="C236" s="31">
        <v>6</v>
      </c>
      <c r="D236" s="32" t="s">
        <v>1751</v>
      </c>
      <c r="E236" s="32" t="s">
        <v>166</v>
      </c>
      <c r="F236" s="32" t="s">
        <v>1729</v>
      </c>
      <c r="G236" s="32"/>
      <c r="H236" s="32" t="s">
        <v>352</v>
      </c>
      <c r="I236" s="31" t="s">
        <v>1730</v>
      </c>
      <c r="J236" s="31"/>
      <c r="K236" s="33" t="s">
        <v>694</v>
      </c>
      <c r="L236" s="33">
        <v>30</v>
      </c>
      <c r="M236" s="34" t="s">
        <v>1731</v>
      </c>
      <c r="N236" s="34" t="s">
        <v>1709</v>
      </c>
      <c r="O236" s="35">
        <v>1</v>
      </c>
      <c r="P236" s="35"/>
      <c r="Q236" s="32"/>
      <c r="S236" s="1">
        <f t="shared" si="71"/>
        <v>0</v>
      </c>
      <c r="T236" s="1">
        <f t="shared" si="72"/>
        <v>0</v>
      </c>
      <c r="U236" s="1">
        <f t="shared" si="73"/>
        <v>0</v>
      </c>
      <c r="V236" s="1">
        <f t="shared" si="74"/>
        <v>0</v>
      </c>
      <c r="W236" s="1">
        <f t="shared" si="75"/>
        <v>0</v>
      </c>
      <c r="X236" s="1">
        <f t="shared" si="76"/>
        <v>0</v>
      </c>
      <c r="Y236" s="1">
        <f t="shared" si="77"/>
        <v>0</v>
      </c>
      <c r="Z236" s="1">
        <f t="shared" si="78"/>
        <v>0</v>
      </c>
      <c r="AA236" s="1">
        <f t="shared" si="79"/>
        <v>0</v>
      </c>
      <c r="AB236" s="1">
        <f t="shared" si="80"/>
        <v>0</v>
      </c>
      <c r="AD236" s="1">
        <f t="shared" si="81"/>
        <v>0</v>
      </c>
      <c r="AE236" s="1">
        <f t="shared" si="82"/>
        <v>1</v>
      </c>
      <c r="AF236" s="1">
        <f t="shared" si="83"/>
        <v>0</v>
      </c>
      <c r="AG236" s="1">
        <f t="shared" si="84"/>
        <v>1</v>
      </c>
      <c r="AH236" s="1">
        <f t="shared" si="85"/>
        <v>0</v>
      </c>
      <c r="AI236" s="1">
        <f t="shared" si="86"/>
        <v>1</v>
      </c>
    </row>
    <row r="237" spans="1:35" ht="14.25" customHeight="1" x14ac:dyDescent="0.25">
      <c r="A237" s="31">
        <v>0</v>
      </c>
      <c r="B237" s="31">
        <v>1</v>
      </c>
      <c r="C237" s="31">
        <v>6</v>
      </c>
      <c r="D237" s="32" t="s">
        <v>995</v>
      </c>
      <c r="E237" s="32" t="s">
        <v>166</v>
      </c>
      <c r="F237" s="32" t="s">
        <v>996</v>
      </c>
      <c r="G237" s="32" t="s">
        <v>1084</v>
      </c>
      <c r="H237" s="32" t="s">
        <v>352</v>
      </c>
      <c r="I237" s="31" t="s">
        <v>997</v>
      </c>
      <c r="J237" s="31">
        <v>99</v>
      </c>
      <c r="K237" s="33" t="s">
        <v>945</v>
      </c>
      <c r="L237" s="33" t="s">
        <v>39</v>
      </c>
      <c r="M237" s="34" t="s">
        <v>39</v>
      </c>
      <c r="N237" s="34" t="s">
        <v>1693</v>
      </c>
      <c r="O237" s="35">
        <v>1</v>
      </c>
      <c r="P237" s="35">
        <v>1</v>
      </c>
      <c r="Q237" s="32"/>
      <c r="S237" s="1">
        <f t="shared" si="71"/>
        <v>0</v>
      </c>
      <c r="T237" s="1">
        <f t="shared" si="72"/>
        <v>0</v>
      </c>
      <c r="U237" s="1">
        <f t="shared" si="73"/>
        <v>0</v>
      </c>
      <c r="V237" s="1">
        <f t="shared" si="74"/>
        <v>0</v>
      </c>
      <c r="W237" s="1">
        <f t="shared" si="75"/>
        <v>0</v>
      </c>
      <c r="X237" s="1">
        <f t="shared" si="76"/>
        <v>0</v>
      </c>
      <c r="Y237" s="1">
        <f t="shared" si="77"/>
        <v>0</v>
      </c>
      <c r="Z237" s="1">
        <f t="shared" si="78"/>
        <v>0</v>
      </c>
      <c r="AA237" s="1">
        <f t="shared" si="79"/>
        <v>0</v>
      </c>
      <c r="AB237" s="1">
        <f t="shared" si="80"/>
        <v>0</v>
      </c>
      <c r="AD237" s="1">
        <f t="shared" si="81"/>
        <v>1</v>
      </c>
      <c r="AE237" s="1">
        <f t="shared" si="82"/>
        <v>0</v>
      </c>
      <c r="AF237" s="1">
        <f t="shared" si="83"/>
        <v>1</v>
      </c>
      <c r="AG237" s="1">
        <f t="shared" si="84"/>
        <v>0</v>
      </c>
      <c r="AH237" s="1">
        <f t="shared" si="85"/>
        <v>1</v>
      </c>
      <c r="AI237" s="1">
        <f t="shared" si="86"/>
        <v>0</v>
      </c>
    </row>
    <row r="238" spans="1:35" ht="14.25" customHeight="1" x14ac:dyDescent="0.25">
      <c r="A238" s="31">
        <v>0</v>
      </c>
      <c r="B238" s="31">
        <v>1</v>
      </c>
      <c r="C238" s="31">
        <v>6</v>
      </c>
      <c r="D238" s="32" t="s">
        <v>93</v>
      </c>
      <c r="E238" s="32" t="s">
        <v>168</v>
      </c>
      <c r="F238" s="32" t="s">
        <v>287</v>
      </c>
      <c r="G238" s="32" t="s">
        <v>193</v>
      </c>
      <c r="H238" s="32" t="s">
        <v>352</v>
      </c>
      <c r="I238" s="31" t="s">
        <v>439</v>
      </c>
      <c r="J238" s="31">
        <v>9</v>
      </c>
      <c r="K238" s="33" t="s">
        <v>693</v>
      </c>
      <c r="L238" s="33" t="s">
        <v>685</v>
      </c>
      <c r="M238" s="34" t="s">
        <v>697</v>
      </c>
      <c r="N238" s="34" t="s">
        <v>1709</v>
      </c>
      <c r="O238" s="35">
        <v>1</v>
      </c>
      <c r="P238" s="35"/>
      <c r="Q238" s="32"/>
      <c r="S238" s="1">
        <f t="shared" si="71"/>
        <v>0</v>
      </c>
      <c r="T238" s="1">
        <f t="shared" si="72"/>
        <v>0</v>
      </c>
      <c r="U238" s="1">
        <f t="shared" si="73"/>
        <v>0</v>
      </c>
      <c r="V238" s="1">
        <f t="shared" si="74"/>
        <v>0</v>
      </c>
      <c r="W238" s="1">
        <f t="shared" si="75"/>
        <v>0</v>
      </c>
      <c r="X238" s="1">
        <f t="shared" si="76"/>
        <v>0</v>
      </c>
      <c r="Y238" s="1">
        <f t="shared" si="77"/>
        <v>0</v>
      </c>
      <c r="Z238" s="1">
        <f t="shared" si="78"/>
        <v>0</v>
      </c>
      <c r="AA238" s="1">
        <f t="shared" si="79"/>
        <v>1</v>
      </c>
      <c r="AB238" s="1">
        <f t="shared" si="80"/>
        <v>0</v>
      </c>
      <c r="AD238" s="1">
        <f t="shared" si="81"/>
        <v>0</v>
      </c>
      <c r="AE238" s="1">
        <f t="shared" si="82"/>
        <v>1</v>
      </c>
      <c r="AF238" s="1">
        <f t="shared" si="83"/>
        <v>0</v>
      </c>
      <c r="AG238" s="1">
        <f t="shared" si="84"/>
        <v>1</v>
      </c>
      <c r="AH238" s="1">
        <f t="shared" si="85"/>
        <v>0</v>
      </c>
      <c r="AI238" s="1">
        <f t="shared" si="86"/>
        <v>1</v>
      </c>
    </row>
    <row r="239" spans="1:35" ht="14.25" customHeight="1" x14ac:dyDescent="0.25">
      <c r="A239" s="31">
        <v>0</v>
      </c>
      <c r="B239" s="31">
        <v>1</v>
      </c>
      <c r="C239" s="31">
        <v>6</v>
      </c>
      <c r="D239" s="32" t="s">
        <v>1576</v>
      </c>
      <c r="E239" s="32" t="s">
        <v>1577</v>
      </c>
      <c r="F239" s="32" t="s">
        <v>1578</v>
      </c>
      <c r="G239" s="32" t="s">
        <v>191</v>
      </c>
      <c r="H239" s="32" t="s">
        <v>352</v>
      </c>
      <c r="I239" s="31" t="s">
        <v>1579</v>
      </c>
      <c r="J239" s="31">
        <v>10</v>
      </c>
      <c r="K239" s="33" t="s">
        <v>937</v>
      </c>
      <c r="L239" s="33" t="s">
        <v>678</v>
      </c>
      <c r="M239" s="34" t="s">
        <v>1580</v>
      </c>
      <c r="N239" s="34" t="s">
        <v>1705</v>
      </c>
      <c r="O239" s="35">
        <v>1</v>
      </c>
      <c r="P239" s="35"/>
      <c r="Q239" s="32"/>
      <c r="S239" s="1">
        <f t="shared" si="71"/>
        <v>0</v>
      </c>
      <c r="T239" s="1">
        <f t="shared" si="72"/>
        <v>0</v>
      </c>
      <c r="U239" s="1">
        <f t="shared" si="73"/>
        <v>0</v>
      </c>
      <c r="V239" s="1">
        <f t="shared" si="74"/>
        <v>0</v>
      </c>
      <c r="W239" s="1">
        <f t="shared" si="75"/>
        <v>0</v>
      </c>
      <c r="X239" s="1">
        <f t="shared" si="76"/>
        <v>0</v>
      </c>
      <c r="Y239" s="1">
        <f t="shared" si="77"/>
        <v>0</v>
      </c>
      <c r="Z239" s="1">
        <f t="shared" si="78"/>
        <v>0</v>
      </c>
      <c r="AA239" s="1">
        <f t="shared" si="79"/>
        <v>0</v>
      </c>
      <c r="AB239" s="1">
        <f t="shared" si="80"/>
        <v>1</v>
      </c>
      <c r="AD239" s="1">
        <f t="shared" si="81"/>
        <v>0</v>
      </c>
      <c r="AE239" s="1">
        <f t="shared" si="82"/>
        <v>1</v>
      </c>
      <c r="AF239" s="1">
        <f t="shared" si="83"/>
        <v>0</v>
      </c>
      <c r="AG239" s="1">
        <f t="shared" si="84"/>
        <v>1</v>
      </c>
      <c r="AH239" s="1">
        <f t="shared" si="85"/>
        <v>0</v>
      </c>
      <c r="AI239" s="1">
        <f t="shared" si="86"/>
        <v>1</v>
      </c>
    </row>
    <row r="240" spans="1:35" ht="14.25" customHeight="1" x14ac:dyDescent="0.25">
      <c r="A240" s="31">
        <v>0</v>
      </c>
      <c r="B240" s="31">
        <v>1</v>
      </c>
      <c r="C240" s="31">
        <v>6</v>
      </c>
      <c r="D240" s="32" t="s">
        <v>94</v>
      </c>
      <c r="E240" s="32" t="s">
        <v>164</v>
      </c>
      <c r="F240" s="32" t="s">
        <v>288</v>
      </c>
      <c r="G240" s="32" t="s">
        <v>289</v>
      </c>
      <c r="H240" s="32" t="s">
        <v>352</v>
      </c>
      <c r="I240" s="31" t="s">
        <v>440</v>
      </c>
      <c r="J240" s="31">
        <v>7</v>
      </c>
      <c r="K240" s="33" t="s">
        <v>693</v>
      </c>
      <c r="L240" s="33" t="s">
        <v>685</v>
      </c>
      <c r="M240" s="34" t="s">
        <v>689</v>
      </c>
      <c r="N240" s="34" t="s">
        <v>1710</v>
      </c>
      <c r="O240" s="35">
        <v>1</v>
      </c>
      <c r="P240" s="35"/>
      <c r="Q240" s="32"/>
      <c r="S240" s="1">
        <f t="shared" si="71"/>
        <v>0</v>
      </c>
      <c r="T240" s="1">
        <f t="shared" si="72"/>
        <v>0</v>
      </c>
      <c r="U240" s="1">
        <f t="shared" si="73"/>
        <v>0</v>
      </c>
      <c r="V240" s="1">
        <f t="shared" si="74"/>
        <v>0</v>
      </c>
      <c r="W240" s="1">
        <f t="shared" si="75"/>
        <v>0</v>
      </c>
      <c r="X240" s="1">
        <f t="shared" si="76"/>
        <v>0</v>
      </c>
      <c r="Y240" s="1">
        <f t="shared" si="77"/>
        <v>1</v>
      </c>
      <c r="Z240" s="1">
        <f t="shared" si="78"/>
        <v>0</v>
      </c>
      <c r="AA240" s="1">
        <f t="shared" si="79"/>
        <v>0</v>
      </c>
      <c r="AB240" s="1">
        <f t="shared" si="80"/>
        <v>0</v>
      </c>
      <c r="AD240" s="1">
        <f t="shared" si="81"/>
        <v>0</v>
      </c>
      <c r="AE240" s="1">
        <f t="shared" si="82"/>
        <v>1</v>
      </c>
      <c r="AF240" s="1">
        <f t="shared" si="83"/>
        <v>0</v>
      </c>
      <c r="AG240" s="1">
        <f t="shared" si="84"/>
        <v>1</v>
      </c>
      <c r="AH240" s="1">
        <f t="shared" si="85"/>
        <v>0</v>
      </c>
      <c r="AI240" s="1">
        <f t="shared" si="86"/>
        <v>1</v>
      </c>
    </row>
    <row r="241" spans="1:4094 4097:8191 8194:12288 12291:16384" ht="14.25" customHeight="1" x14ac:dyDescent="0.25">
      <c r="A241" s="31">
        <v>0</v>
      </c>
      <c r="B241" s="31">
        <v>1</v>
      </c>
      <c r="C241" s="31">
        <v>6</v>
      </c>
      <c r="D241" s="32" t="s">
        <v>1066</v>
      </c>
      <c r="E241" s="32" t="s">
        <v>166</v>
      </c>
      <c r="F241" s="32" t="s">
        <v>652</v>
      </c>
      <c r="G241" s="32" t="s">
        <v>178</v>
      </c>
      <c r="H241" s="32" t="s">
        <v>352</v>
      </c>
      <c r="I241" s="31" t="s">
        <v>379</v>
      </c>
      <c r="J241" s="31">
        <v>10</v>
      </c>
      <c r="K241" s="33" t="s">
        <v>713</v>
      </c>
      <c r="L241" s="33" t="s">
        <v>695</v>
      </c>
      <c r="M241" s="34" t="s">
        <v>698</v>
      </c>
      <c r="N241" s="34" t="s">
        <v>1711</v>
      </c>
      <c r="O241" s="35">
        <v>1</v>
      </c>
      <c r="P241" s="35"/>
      <c r="Q241" s="32"/>
      <c r="R241" s="15"/>
      <c r="S241" s="1">
        <f t="shared" si="71"/>
        <v>0</v>
      </c>
      <c r="T241" s="1">
        <f t="shared" si="72"/>
        <v>0</v>
      </c>
      <c r="U241" s="1">
        <f t="shared" si="73"/>
        <v>0</v>
      </c>
      <c r="V241" s="1">
        <f t="shared" si="74"/>
        <v>0</v>
      </c>
      <c r="W241" s="1">
        <f t="shared" si="75"/>
        <v>0</v>
      </c>
      <c r="X241" s="1">
        <f t="shared" si="76"/>
        <v>0</v>
      </c>
      <c r="Y241" s="1">
        <f t="shared" si="77"/>
        <v>0</v>
      </c>
      <c r="Z241" s="1">
        <f t="shared" si="78"/>
        <v>0</v>
      </c>
      <c r="AA241" s="1">
        <f t="shared" si="79"/>
        <v>0</v>
      </c>
      <c r="AB241" s="1">
        <f t="shared" si="80"/>
        <v>1</v>
      </c>
      <c r="AD241" s="1">
        <f t="shared" si="81"/>
        <v>0</v>
      </c>
      <c r="AE241" s="1">
        <f t="shared" si="82"/>
        <v>1</v>
      </c>
      <c r="AF241" s="1">
        <f t="shared" si="83"/>
        <v>0</v>
      </c>
      <c r="AG241" s="1">
        <f t="shared" si="84"/>
        <v>1</v>
      </c>
      <c r="AH241" s="1">
        <f t="shared" si="85"/>
        <v>0</v>
      </c>
      <c r="AI241" s="1">
        <f t="shared" si="86"/>
        <v>1</v>
      </c>
      <c r="AJ241" s="15"/>
      <c r="AK241" s="15"/>
      <c r="AL241" s="16"/>
      <c r="AM241" s="16"/>
      <c r="AN241" s="16"/>
      <c r="AO241" s="16"/>
      <c r="AP241" s="16"/>
      <c r="AQ241" s="15"/>
      <c r="AR241" s="15"/>
      <c r="AS241" s="10"/>
      <c r="AT241" s="10"/>
      <c r="AU241" s="19"/>
      <c r="AV241" s="19"/>
      <c r="AY241" s="16"/>
      <c r="AZ241" s="15"/>
      <c r="BA241" s="15"/>
      <c r="BB241" s="15"/>
      <c r="BC241" s="16"/>
      <c r="BD241" s="16"/>
      <c r="BE241" s="16"/>
      <c r="BF241" s="16"/>
      <c r="BG241" s="16"/>
      <c r="BH241" s="15"/>
      <c r="BI241" s="15"/>
      <c r="BJ241" s="10"/>
      <c r="BK241" s="10"/>
      <c r="BL241" s="19"/>
      <c r="BM241" s="19"/>
      <c r="BP241" s="16"/>
      <c r="BQ241" s="15"/>
      <c r="BR241" s="15"/>
      <c r="BS241" s="15"/>
      <c r="BT241" s="16"/>
      <c r="BU241" s="16"/>
      <c r="BV241" s="16"/>
      <c r="BW241" s="16"/>
      <c r="BX241" s="16"/>
      <c r="BY241" s="15"/>
      <c r="BZ241" s="15"/>
      <c r="CA241" s="10"/>
      <c r="CB241" s="10"/>
      <c r="CC241" s="19"/>
      <c r="CD241" s="19"/>
      <c r="CG241" s="16"/>
      <c r="CH241" s="15"/>
      <c r="CI241" s="15"/>
      <c r="CJ241" s="15"/>
      <c r="CK241" s="16"/>
      <c r="CL241" s="16"/>
      <c r="CM241" s="16"/>
      <c r="CN241" s="16"/>
      <c r="CO241" s="16"/>
      <c r="CP241" s="15"/>
      <c r="CQ241" s="15"/>
      <c r="CR241" s="10"/>
      <c r="CS241" s="10"/>
      <c r="CT241" s="19"/>
      <c r="CU241" s="19"/>
      <c r="CX241" s="16"/>
      <c r="CY241" s="15"/>
      <c r="CZ241" s="15"/>
      <c r="DA241" s="15"/>
      <c r="DB241" s="16"/>
      <c r="DC241" s="16"/>
      <c r="DD241" s="16"/>
      <c r="DE241" s="16"/>
      <c r="DF241" s="16"/>
      <c r="DG241" s="15"/>
      <c r="DH241" s="15"/>
      <c r="DI241" s="10"/>
      <c r="DJ241" s="10"/>
      <c r="DK241" s="19"/>
      <c r="DL241" s="19"/>
      <c r="DO241" s="16"/>
      <c r="DP241" s="15"/>
      <c r="DQ241" s="15"/>
      <c r="DR241" s="15"/>
      <c r="DS241" s="16"/>
      <c r="DT241" s="16"/>
      <c r="DU241" s="16"/>
      <c r="DV241" s="16"/>
      <c r="DW241" s="16"/>
      <c r="DX241" s="15"/>
      <c r="DY241" s="15"/>
      <c r="DZ241" s="10"/>
      <c r="EA241" s="10"/>
      <c r="EB241" s="19"/>
      <c r="EC241" s="19"/>
      <c r="EF241" s="16"/>
      <c r="EG241" s="15"/>
      <c r="EH241" s="15"/>
      <c r="EI241" s="15"/>
      <c r="EJ241" s="16"/>
      <c r="EK241" s="16"/>
      <c r="EL241" s="16"/>
      <c r="EM241" s="16"/>
      <c r="EN241" s="16"/>
      <c r="EO241" s="15"/>
      <c r="EP241" s="15"/>
      <c r="EQ241" s="10"/>
      <c r="ER241" s="10"/>
      <c r="ES241" s="19"/>
      <c r="ET241" s="19"/>
      <c r="EW241" s="16"/>
      <c r="EX241" s="15"/>
      <c r="EY241" s="15"/>
      <c r="EZ241" s="15"/>
      <c r="FA241" s="16"/>
      <c r="FB241" s="16"/>
      <c r="FC241" s="16"/>
      <c r="FD241" s="16"/>
      <c r="FE241" s="16"/>
      <c r="FF241" s="15"/>
      <c r="FG241" s="15"/>
      <c r="FH241" s="10"/>
      <c r="FI241" s="10"/>
      <c r="FJ241" s="19"/>
      <c r="FK241" s="19"/>
      <c r="FN241" s="16"/>
      <c r="FO241" s="15"/>
      <c r="FP241" s="15"/>
      <c r="FQ241" s="15"/>
      <c r="FR241" s="16"/>
      <c r="FS241" s="16"/>
      <c r="FT241" s="16"/>
      <c r="FU241" s="16"/>
      <c r="FV241" s="16"/>
      <c r="FW241" s="15"/>
      <c r="FX241" s="15"/>
      <c r="FY241" s="10"/>
      <c r="FZ241" s="10"/>
      <c r="GA241" s="19"/>
      <c r="GB241" s="19"/>
      <c r="GE241" s="16"/>
      <c r="GF241" s="15"/>
      <c r="GG241" s="15"/>
      <c r="GH241" s="15"/>
      <c r="GI241" s="16"/>
      <c r="GJ241" s="16"/>
      <c r="GK241" s="16"/>
      <c r="GL241" s="16"/>
      <c r="GM241" s="16"/>
      <c r="GN241" s="15"/>
      <c r="GO241" s="15"/>
      <c r="GP241" s="10"/>
      <c r="GQ241" s="10"/>
      <c r="GR241" s="19"/>
      <c r="GS241" s="19"/>
      <c r="GV241" s="16"/>
      <c r="GW241" s="15"/>
      <c r="GX241" s="15"/>
      <c r="GY241" s="15"/>
      <c r="GZ241" s="16"/>
      <c r="HA241" s="16"/>
      <c r="HB241" s="16"/>
      <c r="HC241" s="16"/>
      <c r="HD241" s="16"/>
      <c r="HE241" s="15"/>
      <c r="HF241" s="15"/>
      <c r="HG241" s="10"/>
      <c r="HH241" s="10"/>
      <c r="HI241" s="19"/>
      <c r="HJ241" s="19"/>
      <c r="HM241" s="16"/>
      <c r="HN241" s="15"/>
      <c r="HO241" s="15"/>
      <c r="HP241" s="15"/>
      <c r="HQ241" s="16"/>
      <c r="HR241" s="16"/>
      <c r="HS241" s="16"/>
      <c r="HT241" s="16"/>
      <c r="HU241" s="16"/>
      <c r="HV241" s="15"/>
      <c r="HW241" s="15"/>
      <c r="HX241" s="10"/>
      <c r="HY241" s="10"/>
      <c r="HZ241" s="19"/>
      <c r="IA241" s="19"/>
      <c r="ID241" s="16"/>
      <c r="IE241" s="15"/>
      <c r="IF241" s="15"/>
      <c r="IG241" s="15"/>
      <c r="IH241" s="16"/>
      <c r="II241" s="16"/>
      <c r="IJ241" s="16"/>
      <c r="IK241" s="16"/>
      <c r="IL241" s="16"/>
      <c r="IM241" s="15"/>
      <c r="IN241" s="15"/>
      <c r="IO241" s="10"/>
      <c r="IP241" s="10"/>
      <c r="IQ241" s="19"/>
      <c r="IR241" s="19"/>
      <c r="IU241" s="16"/>
      <c r="IV241" s="15"/>
      <c r="IW241" s="15"/>
      <c r="IX241" s="15"/>
      <c r="IY241" s="16"/>
      <c r="IZ241" s="16"/>
      <c r="JA241" s="16"/>
      <c r="JB241" s="16"/>
      <c r="JC241" s="16"/>
      <c r="JD241" s="15"/>
      <c r="JE241" s="15"/>
      <c r="JF241" s="10"/>
      <c r="JG241" s="10"/>
      <c r="JH241" s="19"/>
      <c r="JI241" s="19"/>
      <c r="JL241" s="16"/>
      <c r="JM241" s="15"/>
      <c r="JN241" s="15"/>
      <c r="JO241" s="15"/>
      <c r="JP241" s="16"/>
      <c r="JQ241" s="16"/>
      <c r="JR241" s="16"/>
      <c r="JS241" s="16"/>
      <c r="JT241" s="16"/>
      <c r="JU241" s="15"/>
      <c r="JV241" s="15"/>
      <c r="JW241" s="10"/>
      <c r="JX241" s="10"/>
      <c r="JY241" s="19"/>
      <c r="JZ241" s="19"/>
      <c r="KC241" s="16"/>
      <c r="KD241" s="15"/>
      <c r="KE241" s="15"/>
      <c r="KF241" s="15"/>
      <c r="KG241" s="16"/>
      <c r="KH241" s="16"/>
      <c r="KI241" s="16"/>
      <c r="KJ241" s="16"/>
      <c r="KK241" s="16"/>
      <c r="KL241" s="15"/>
      <c r="KM241" s="15"/>
      <c r="KN241" s="10"/>
      <c r="KO241" s="10"/>
      <c r="KP241" s="19"/>
      <c r="KQ241" s="19"/>
      <c r="KT241" s="16"/>
      <c r="KU241" s="15"/>
      <c r="KV241" s="15"/>
      <c r="KW241" s="15"/>
      <c r="KX241" s="16"/>
      <c r="KY241" s="16"/>
      <c r="KZ241" s="16"/>
      <c r="LA241" s="16"/>
      <c r="LB241" s="16"/>
      <c r="LC241" s="15"/>
      <c r="LD241" s="15"/>
      <c r="LE241" s="10"/>
      <c r="LF241" s="10"/>
      <c r="LG241" s="19"/>
      <c r="LH241" s="19"/>
      <c r="LK241" s="16"/>
      <c r="LL241" s="15"/>
      <c r="LM241" s="15"/>
      <c r="LN241" s="15"/>
      <c r="LO241" s="16"/>
      <c r="LP241" s="16"/>
      <c r="LQ241" s="16"/>
      <c r="LR241" s="16"/>
      <c r="LS241" s="16"/>
      <c r="LT241" s="15"/>
      <c r="LU241" s="15"/>
      <c r="LV241" s="10"/>
      <c r="LW241" s="10"/>
      <c r="LX241" s="19"/>
      <c r="LY241" s="19"/>
      <c r="MB241" s="16"/>
      <c r="MC241" s="15"/>
      <c r="MD241" s="15"/>
      <c r="ME241" s="15"/>
      <c r="MF241" s="16"/>
      <c r="MG241" s="16"/>
      <c r="MH241" s="16"/>
      <c r="MI241" s="16"/>
      <c r="MJ241" s="16"/>
      <c r="MK241" s="15"/>
      <c r="ML241" s="15"/>
      <c r="MM241" s="10"/>
      <c r="MN241" s="10"/>
      <c r="MO241" s="19"/>
      <c r="MP241" s="19"/>
      <c r="MS241" s="16"/>
      <c r="MT241" s="15"/>
      <c r="MU241" s="15"/>
      <c r="MV241" s="15"/>
      <c r="MW241" s="16"/>
      <c r="MX241" s="16"/>
      <c r="MY241" s="16"/>
      <c r="MZ241" s="16"/>
      <c r="NA241" s="16"/>
      <c r="NB241" s="15"/>
      <c r="NC241" s="15"/>
      <c r="ND241" s="10"/>
      <c r="NE241" s="10"/>
      <c r="NF241" s="19"/>
      <c r="NG241" s="19"/>
      <c r="NJ241" s="16"/>
      <c r="NK241" s="15"/>
      <c r="NL241" s="15"/>
      <c r="NM241" s="15"/>
      <c r="NN241" s="16"/>
      <c r="NO241" s="16"/>
      <c r="NP241" s="16"/>
      <c r="NQ241" s="16"/>
      <c r="NR241" s="16"/>
      <c r="NS241" s="15"/>
      <c r="NT241" s="15"/>
      <c r="NU241" s="10"/>
      <c r="NV241" s="10"/>
      <c r="NW241" s="19"/>
      <c r="NX241" s="19"/>
      <c r="OA241" s="16"/>
      <c r="OB241" s="15"/>
      <c r="OC241" s="15"/>
      <c r="OD241" s="15"/>
      <c r="OE241" s="16"/>
      <c r="OF241" s="16"/>
      <c r="OG241" s="16"/>
      <c r="OH241" s="16"/>
      <c r="OI241" s="16"/>
      <c r="OJ241" s="15"/>
      <c r="OK241" s="15"/>
      <c r="OL241" s="10"/>
      <c r="OM241" s="10"/>
      <c r="ON241" s="19"/>
      <c r="OO241" s="19"/>
      <c r="OR241" s="16"/>
      <c r="OS241" s="15"/>
      <c r="OT241" s="15"/>
      <c r="OU241" s="15"/>
      <c r="OV241" s="16"/>
      <c r="OW241" s="16"/>
      <c r="OX241" s="16"/>
      <c r="OY241" s="16"/>
      <c r="OZ241" s="16"/>
      <c r="PA241" s="15"/>
      <c r="PB241" s="15"/>
      <c r="PC241" s="10"/>
      <c r="PD241" s="10"/>
      <c r="PE241" s="19"/>
      <c r="PF241" s="19"/>
      <c r="PI241" s="16"/>
      <c r="PJ241" s="15"/>
      <c r="PK241" s="15"/>
      <c r="PL241" s="15"/>
      <c r="PM241" s="16"/>
      <c r="PN241" s="16"/>
      <c r="PO241" s="16"/>
      <c r="PP241" s="16"/>
      <c r="PQ241" s="16"/>
      <c r="PR241" s="15"/>
      <c r="PS241" s="15"/>
      <c r="PT241" s="10"/>
      <c r="PU241" s="10"/>
      <c r="PV241" s="19"/>
      <c r="PW241" s="19"/>
      <c r="PZ241" s="16"/>
      <c r="QA241" s="15"/>
      <c r="QB241" s="15"/>
      <c r="QC241" s="15"/>
      <c r="QD241" s="16"/>
      <c r="QE241" s="16"/>
      <c r="QF241" s="16"/>
      <c r="QG241" s="16"/>
      <c r="QH241" s="16"/>
      <c r="QI241" s="15"/>
      <c r="QJ241" s="15"/>
      <c r="QK241" s="10"/>
      <c r="QL241" s="10"/>
      <c r="QM241" s="19"/>
      <c r="QN241" s="19"/>
      <c r="QQ241" s="16"/>
      <c r="QR241" s="15"/>
      <c r="QS241" s="15"/>
      <c r="QT241" s="15"/>
      <c r="QU241" s="16"/>
      <c r="QV241" s="16"/>
      <c r="QW241" s="16"/>
      <c r="QX241" s="16"/>
      <c r="QY241" s="16"/>
      <c r="QZ241" s="15"/>
      <c r="RA241" s="15"/>
      <c r="RB241" s="10"/>
      <c r="RC241" s="10"/>
      <c r="RD241" s="19"/>
      <c r="RE241" s="19"/>
      <c r="RH241" s="16"/>
      <c r="RI241" s="15"/>
      <c r="RJ241" s="15"/>
      <c r="RK241" s="15"/>
      <c r="RL241" s="16"/>
      <c r="RM241" s="16"/>
      <c r="RN241" s="16"/>
      <c r="RO241" s="16"/>
      <c r="RP241" s="16"/>
      <c r="RQ241" s="15"/>
      <c r="RR241" s="15"/>
      <c r="RS241" s="10"/>
      <c r="RT241" s="10"/>
      <c r="RU241" s="19"/>
      <c r="RV241" s="19"/>
      <c r="RY241" s="16"/>
      <c r="RZ241" s="15"/>
      <c r="SA241" s="15"/>
      <c r="SB241" s="15"/>
      <c r="SC241" s="16"/>
      <c r="SD241" s="16"/>
      <c r="SE241" s="16"/>
      <c r="SF241" s="16"/>
      <c r="SG241" s="16"/>
      <c r="SH241" s="15"/>
      <c r="SI241" s="15"/>
      <c r="SJ241" s="10"/>
      <c r="SK241" s="10"/>
      <c r="SL241" s="19"/>
      <c r="SM241" s="19"/>
      <c r="SP241" s="16"/>
      <c r="SQ241" s="15"/>
      <c r="SR241" s="15"/>
      <c r="SS241" s="15"/>
      <c r="ST241" s="16"/>
      <c r="SU241" s="16"/>
      <c r="SV241" s="16"/>
      <c r="SW241" s="16"/>
      <c r="SX241" s="16"/>
      <c r="SY241" s="15"/>
      <c r="SZ241" s="15"/>
      <c r="TA241" s="10"/>
      <c r="TB241" s="10"/>
      <c r="TC241" s="19"/>
      <c r="TD241" s="19"/>
      <c r="TG241" s="16"/>
      <c r="TH241" s="15"/>
      <c r="TI241" s="15"/>
      <c r="TJ241" s="15"/>
      <c r="TK241" s="16"/>
      <c r="TL241" s="16"/>
      <c r="TM241" s="16"/>
      <c r="TN241" s="16"/>
      <c r="TO241" s="16"/>
      <c r="TP241" s="15"/>
      <c r="TQ241" s="15"/>
      <c r="TR241" s="10"/>
      <c r="TS241" s="10"/>
      <c r="TT241" s="19"/>
      <c r="TU241" s="19"/>
      <c r="TX241" s="16"/>
      <c r="TY241" s="15"/>
      <c r="TZ241" s="15"/>
      <c r="UA241" s="15"/>
      <c r="UB241" s="16"/>
      <c r="UC241" s="16"/>
      <c r="UD241" s="16"/>
      <c r="UE241" s="16"/>
      <c r="UF241" s="16"/>
      <c r="UG241" s="15"/>
      <c r="UH241" s="15"/>
      <c r="UI241" s="10"/>
      <c r="UJ241" s="10"/>
      <c r="UK241" s="19"/>
      <c r="UL241" s="19"/>
      <c r="UO241" s="16"/>
      <c r="UP241" s="15"/>
      <c r="UQ241" s="15"/>
      <c r="UR241" s="15"/>
      <c r="US241" s="16"/>
      <c r="UT241" s="16"/>
      <c r="UU241" s="16"/>
      <c r="UV241" s="16"/>
      <c r="UW241" s="16"/>
      <c r="UX241" s="15"/>
      <c r="UY241" s="15"/>
      <c r="UZ241" s="10"/>
      <c r="VA241" s="10"/>
      <c r="VB241" s="19"/>
      <c r="VC241" s="19"/>
      <c r="VF241" s="16"/>
      <c r="VG241" s="15"/>
      <c r="VH241" s="15"/>
      <c r="VI241" s="15"/>
      <c r="VJ241" s="16"/>
      <c r="VK241" s="16"/>
      <c r="VL241" s="16"/>
      <c r="VM241" s="16"/>
      <c r="VN241" s="16"/>
      <c r="VO241" s="15"/>
      <c r="VP241" s="15"/>
      <c r="VQ241" s="10"/>
      <c r="VR241" s="10"/>
      <c r="VS241" s="19"/>
      <c r="VT241" s="19"/>
      <c r="VW241" s="16"/>
      <c r="VX241" s="15"/>
      <c r="VY241" s="15"/>
      <c r="VZ241" s="15"/>
      <c r="WA241" s="16"/>
      <c r="WB241" s="16"/>
      <c r="WC241" s="16"/>
      <c r="WD241" s="16"/>
      <c r="WE241" s="16"/>
      <c r="WF241" s="15"/>
      <c r="WG241" s="15"/>
      <c r="WH241" s="10"/>
      <c r="WI241" s="10"/>
      <c r="WJ241" s="19"/>
      <c r="WK241" s="19"/>
      <c r="WN241" s="16"/>
      <c r="WO241" s="15"/>
      <c r="WP241" s="15"/>
      <c r="WQ241" s="15"/>
      <c r="WR241" s="16"/>
      <c r="WS241" s="16"/>
      <c r="WT241" s="16"/>
      <c r="WU241" s="16"/>
      <c r="WV241" s="16"/>
      <c r="WW241" s="15"/>
      <c r="WX241" s="15"/>
      <c r="WY241" s="10"/>
      <c r="WZ241" s="10"/>
      <c r="XA241" s="19"/>
      <c r="XB241" s="19"/>
      <c r="XE241" s="16"/>
      <c r="XF241" s="15"/>
      <c r="XG241" s="15"/>
      <c r="XH241" s="15"/>
      <c r="XI241" s="16"/>
      <c r="XJ241" s="16"/>
      <c r="XK241" s="16"/>
      <c r="XL241" s="16"/>
      <c r="XM241" s="16"/>
      <c r="XN241" s="15"/>
      <c r="XO241" s="15"/>
      <c r="XP241" s="10"/>
      <c r="XQ241" s="10"/>
      <c r="XR241" s="19"/>
      <c r="XS241" s="19"/>
      <c r="XV241" s="16"/>
      <c r="XW241" s="15"/>
      <c r="XX241" s="15"/>
      <c r="XY241" s="15"/>
      <c r="XZ241" s="16"/>
      <c r="YA241" s="16"/>
      <c r="YB241" s="16"/>
      <c r="YC241" s="16"/>
      <c r="YD241" s="16"/>
      <c r="YE241" s="15"/>
      <c r="YF241" s="15"/>
      <c r="YG241" s="10"/>
      <c r="YH241" s="10"/>
      <c r="YI241" s="19"/>
      <c r="YJ241" s="19"/>
      <c r="YM241" s="16"/>
      <c r="YN241" s="15"/>
      <c r="YO241" s="15"/>
      <c r="YP241" s="15"/>
      <c r="YQ241" s="16"/>
      <c r="YR241" s="16"/>
      <c r="YS241" s="16"/>
      <c r="YT241" s="16"/>
      <c r="YU241" s="16"/>
      <c r="YV241" s="15"/>
      <c r="YW241" s="15"/>
      <c r="YX241" s="10"/>
      <c r="YY241" s="10"/>
      <c r="YZ241" s="19"/>
      <c r="ZA241" s="19"/>
      <c r="ZD241" s="16"/>
      <c r="ZE241" s="15"/>
      <c r="ZF241" s="15"/>
      <c r="ZG241" s="15"/>
      <c r="ZH241" s="16"/>
      <c r="ZI241" s="16"/>
      <c r="ZJ241" s="16"/>
      <c r="ZK241" s="16"/>
      <c r="ZL241" s="16"/>
      <c r="ZM241" s="15"/>
      <c r="ZN241" s="15"/>
      <c r="ZO241" s="10"/>
      <c r="ZP241" s="10"/>
      <c r="ZQ241" s="19"/>
      <c r="ZR241" s="19"/>
      <c r="ZU241" s="16"/>
      <c r="ZV241" s="15"/>
      <c r="ZW241" s="15"/>
      <c r="ZX241" s="15"/>
      <c r="ZY241" s="16"/>
      <c r="ZZ241" s="16"/>
      <c r="AAA241" s="16"/>
      <c r="AAB241" s="16"/>
      <c r="AAC241" s="16"/>
      <c r="AAD241" s="15"/>
      <c r="AAE241" s="15"/>
      <c r="AAF241" s="10"/>
      <c r="AAG241" s="10"/>
      <c r="AAH241" s="19"/>
      <c r="AAI241" s="19"/>
      <c r="AAL241" s="16"/>
      <c r="AAM241" s="15"/>
      <c r="AAN241" s="15"/>
      <c r="AAO241" s="15"/>
      <c r="AAP241" s="16"/>
      <c r="AAQ241" s="16"/>
      <c r="AAR241" s="16"/>
      <c r="AAS241" s="16"/>
      <c r="AAT241" s="16"/>
      <c r="AAU241" s="15"/>
      <c r="AAV241" s="15"/>
      <c r="AAW241" s="10"/>
      <c r="AAX241" s="10"/>
      <c r="AAY241" s="19"/>
      <c r="AAZ241" s="19"/>
      <c r="ABC241" s="16"/>
      <c r="ABD241" s="15"/>
      <c r="ABE241" s="15"/>
      <c r="ABF241" s="15"/>
      <c r="ABG241" s="16"/>
      <c r="ABH241" s="16"/>
      <c r="ABI241" s="16"/>
      <c r="ABJ241" s="16"/>
      <c r="ABK241" s="16"/>
      <c r="ABL241" s="15"/>
      <c r="ABM241" s="15"/>
      <c r="ABN241" s="10"/>
      <c r="ABO241" s="10"/>
      <c r="ABP241" s="19"/>
      <c r="ABQ241" s="19"/>
      <c r="ABT241" s="16"/>
      <c r="ABU241" s="15"/>
      <c r="ABV241" s="15"/>
      <c r="ABW241" s="15"/>
      <c r="ABX241" s="16"/>
      <c r="ABY241" s="16"/>
      <c r="ABZ241" s="16"/>
      <c r="ACA241" s="16"/>
      <c r="ACB241" s="16"/>
      <c r="ACC241" s="15"/>
      <c r="ACD241" s="15"/>
      <c r="ACE241" s="10"/>
      <c r="ACF241" s="10"/>
      <c r="ACG241" s="19"/>
      <c r="ACH241" s="19"/>
      <c r="ACK241" s="16"/>
      <c r="ACL241" s="15"/>
      <c r="ACM241" s="15"/>
      <c r="ACN241" s="15"/>
      <c r="ACO241" s="16"/>
      <c r="ACP241" s="16"/>
      <c r="ACQ241" s="16"/>
      <c r="ACR241" s="16"/>
      <c r="ACS241" s="16"/>
      <c r="ACT241" s="15"/>
      <c r="ACU241" s="15"/>
      <c r="ACV241" s="10"/>
      <c r="ACW241" s="10"/>
      <c r="ACX241" s="19"/>
      <c r="ACY241" s="19"/>
      <c r="ADB241" s="16"/>
      <c r="ADC241" s="15"/>
      <c r="ADD241" s="15"/>
      <c r="ADE241" s="15"/>
      <c r="ADF241" s="16"/>
      <c r="ADG241" s="16"/>
      <c r="ADH241" s="16"/>
      <c r="ADI241" s="16"/>
      <c r="ADJ241" s="16"/>
      <c r="ADK241" s="15"/>
      <c r="ADL241" s="15"/>
      <c r="ADM241" s="10"/>
      <c r="ADN241" s="10"/>
      <c r="ADO241" s="19"/>
      <c r="ADP241" s="19"/>
      <c r="ADS241" s="16"/>
      <c r="ADT241" s="15"/>
      <c r="ADU241" s="15"/>
      <c r="ADV241" s="15"/>
      <c r="ADW241" s="16"/>
      <c r="ADX241" s="16"/>
      <c r="ADY241" s="16"/>
      <c r="ADZ241" s="16"/>
      <c r="AEA241" s="16"/>
      <c r="AEB241" s="15"/>
      <c r="AEC241" s="15"/>
      <c r="AED241" s="10"/>
      <c r="AEE241" s="10"/>
      <c r="AEF241" s="19"/>
      <c r="AEG241" s="19"/>
      <c r="AEJ241" s="16"/>
      <c r="AEK241" s="15"/>
      <c r="AEL241" s="15"/>
      <c r="AEM241" s="15"/>
      <c r="AEN241" s="16"/>
      <c r="AEO241" s="16"/>
      <c r="AEP241" s="16"/>
      <c r="AEQ241" s="16"/>
      <c r="AER241" s="16"/>
      <c r="AES241" s="15"/>
      <c r="AET241" s="15"/>
      <c r="AEU241" s="10"/>
      <c r="AEV241" s="10"/>
      <c r="AEW241" s="19"/>
      <c r="AEX241" s="19"/>
      <c r="AFA241" s="16"/>
      <c r="AFB241" s="15"/>
      <c r="AFC241" s="15"/>
      <c r="AFD241" s="15"/>
      <c r="AFE241" s="16"/>
      <c r="AFF241" s="16"/>
      <c r="AFG241" s="16"/>
      <c r="AFH241" s="16"/>
      <c r="AFI241" s="16"/>
      <c r="AFJ241" s="15"/>
      <c r="AFK241" s="15"/>
      <c r="AFL241" s="10"/>
      <c r="AFM241" s="10"/>
      <c r="AFN241" s="19"/>
      <c r="AFO241" s="19"/>
      <c r="AFR241" s="16"/>
      <c r="AFS241" s="15"/>
      <c r="AFT241" s="15"/>
      <c r="AFU241" s="15"/>
      <c r="AFV241" s="16"/>
      <c r="AFW241" s="16"/>
      <c r="AFX241" s="16"/>
      <c r="AFY241" s="16"/>
      <c r="AFZ241" s="16"/>
      <c r="AGA241" s="15"/>
      <c r="AGB241" s="15"/>
      <c r="AGC241" s="10"/>
      <c r="AGD241" s="10"/>
      <c r="AGE241" s="19"/>
      <c r="AGF241" s="19"/>
      <c r="AGI241" s="16"/>
      <c r="AGJ241" s="15"/>
      <c r="AGK241" s="15"/>
      <c r="AGL241" s="15"/>
      <c r="AGM241" s="16"/>
      <c r="AGN241" s="16"/>
      <c r="AGO241" s="16"/>
      <c r="AGP241" s="16"/>
      <c r="AGQ241" s="16"/>
      <c r="AGR241" s="15"/>
      <c r="AGS241" s="15"/>
      <c r="AGT241" s="10"/>
      <c r="AGU241" s="10"/>
      <c r="AGV241" s="19"/>
      <c r="AGW241" s="19"/>
      <c r="AGZ241" s="16"/>
      <c r="AHA241" s="15"/>
      <c r="AHB241" s="15"/>
      <c r="AHC241" s="15"/>
      <c r="AHD241" s="16"/>
      <c r="AHE241" s="16"/>
      <c r="AHF241" s="16"/>
      <c r="AHG241" s="16"/>
      <c r="AHH241" s="16"/>
      <c r="AHI241" s="15"/>
      <c r="AHJ241" s="15"/>
      <c r="AHK241" s="10"/>
      <c r="AHL241" s="10"/>
      <c r="AHM241" s="19"/>
      <c r="AHN241" s="19"/>
      <c r="AHQ241" s="16"/>
      <c r="AHR241" s="15"/>
      <c r="AHS241" s="15"/>
      <c r="AHT241" s="15"/>
      <c r="AHU241" s="16"/>
      <c r="AHV241" s="16"/>
      <c r="AHW241" s="16"/>
      <c r="AHX241" s="16"/>
      <c r="AHY241" s="16"/>
      <c r="AHZ241" s="15"/>
      <c r="AIA241" s="15"/>
      <c r="AIB241" s="10"/>
      <c r="AIC241" s="10"/>
      <c r="AID241" s="19"/>
      <c r="AIE241" s="19"/>
      <c r="AIH241" s="16"/>
      <c r="AII241" s="15"/>
      <c r="AIJ241" s="15"/>
      <c r="AIK241" s="15"/>
      <c r="AIL241" s="16"/>
      <c r="AIM241" s="16"/>
      <c r="AIN241" s="16"/>
      <c r="AIO241" s="16"/>
      <c r="AIP241" s="16"/>
      <c r="AIQ241" s="15"/>
      <c r="AIR241" s="15"/>
      <c r="AIS241" s="10"/>
      <c r="AIT241" s="10"/>
      <c r="AIU241" s="19"/>
      <c r="AIV241" s="19"/>
      <c r="AIY241" s="16"/>
      <c r="AIZ241" s="15"/>
      <c r="AJA241" s="15"/>
      <c r="AJB241" s="15"/>
      <c r="AJC241" s="16"/>
      <c r="AJD241" s="16"/>
      <c r="AJE241" s="16"/>
      <c r="AJF241" s="16"/>
      <c r="AJG241" s="16"/>
      <c r="AJH241" s="15"/>
      <c r="AJI241" s="15"/>
      <c r="AJJ241" s="10"/>
      <c r="AJK241" s="10"/>
      <c r="AJL241" s="19"/>
      <c r="AJM241" s="19"/>
      <c r="AJP241" s="16"/>
      <c r="AJQ241" s="15"/>
      <c r="AJR241" s="15"/>
      <c r="AJS241" s="15"/>
      <c r="AJT241" s="16"/>
      <c r="AJU241" s="16"/>
      <c r="AJV241" s="16"/>
      <c r="AJW241" s="16"/>
      <c r="AJX241" s="16"/>
      <c r="AJY241" s="15"/>
      <c r="AJZ241" s="15"/>
      <c r="AKA241" s="10"/>
      <c r="AKB241" s="10"/>
      <c r="AKC241" s="19"/>
      <c r="AKD241" s="19"/>
      <c r="AKG241" s="16"/>
      <c r="AKH241" s="15"/>
      <c r="AKI241" s="15"/>
      <c r="AKJ241" s="15"/>
      <c r="AKK241" s="16"/>
      <c r="AKL241" s="16"/>
      <c r="AKM241" s="16"/>
      <c r="AKN241" s="16"/>
      <c r="AKO241" s="16"/>
      <c r="AKP241" s="15"/>
      <c r="AKQ241" s="15"/>
      <c r="AKR241" s="10"/>
      <c r="AKS241" s="10"/>
      <c r="AKT241" s="19"/>
      <c r="AKU241" s="19"/>
      <c r="AKX241" s="16"/>
      <c r="AKY241" s="15"/>
      <c r="AKZ241" s="15"/>
      <c r="ALA241" s="15"/>
      <c r="ALB241" s="16"/>
      <c r="ALC241" s="16"/>
      <c r="ALD241" s="16"/>
      <c r="ALE241" s="16"/>
      <c r="ALF241" s="16"/>
      <c r="ALG241" s="15"/>
      <c r="ALH241" s="15"/>
      <c r="ALI241" s="10"/>
      <c r="ALJ241" s="10"/>
      <c r="ALK241" s="19"/>
      <c r="ALL241" s="19"/>
      <c r="ALO241" s="16"/>
      <c r="ALP241" s="15"/>
      <c r="ALQ241" s="15"/>
      <c r="ALR241" s="15"/>
      <c r="ALS241" s="16"/>
      <c r="ALT241" s="16"/>
      <c r="ALU241" s="16"/>
      <c r="ALV241" s="16"/>
      <c r="ALW241" s="16"/>
      <c r="ALX241" s="15"/>
      <c r="ALY241" s="15"/>
      <c r="ALZ241" s="10"/>
      <c r="AMA241" s="10"/>
      <c r="AMB241" s="19"/>
      <c r="AMC241" s="19"/>
      <c r="AMF241" s="16"/>
      <c r="AMG241" s="15"/>
      <c r="AMH241" s="15"/>
      <c r="AMI241" s="15"/>
      <c r="AMJ241" s="16"/>
      <c r="AMK241" s="16"/>
      <c r="AML241" s="16"/>
      <c r="AMM241" s="16"/>
      <c r="AMN241" s="16"/>
      <c r="AMO241" s="15"/>
      <c r="AMP241" s="15"/>
      <c r="AMQ241" s="10"/>
      <c r="AMR241" s="10"/>
      <c r="AMS241" s="19"/>
      <c r="AMT241" s="19"/>
      <c r="AMW241" s="16"/>
      <c r="AMX241" s="15"/>
      <c r="AMY241" s="15"/>
      <c r="AMZ241" s="15"/>
      <c r="ANA241" s="16"/>
      <c r="ANB241" s="16"/>
      <c r="ANC241" s="16"/>
      <c r="AND241" s="16"/>
      <c r="ANE241" s="16"/>
      <c r="ANF241" s="15"/>
      <c r="ANG241" s="15"/>
      <c r="ANH241" s="10"/>
      <c r="ANI241" s="10"/>
      <c r="ANJ241" s="19"/>
      <c r="ANK241" s="19"/>
      <c r="ANN241" s="16"/>
      <c r="ANO241" s="15"/>
      <c r="ANP241" s="15"/>
      <c r="ANQ241" s="15"/>
      <c r="ANR241" s="16"/>
      <c r="ANS241" s="16"/>
      <c r="ANT241" s="16"/>
      <c r="ANU241" s="16"/>
      <c r="ANV241" s="16"/>
      <c r="ANW241" s="15"/>
      <c r="ANX241" s="15"/>
      <c r="ANY241" s="10"/>
      <c r="ANZ241" s="10"/>
      <c r="AOA241" s="19"/>
      <c r="AOB241" s="19"/>
      <c r="AOE241" s="16"/>
      <c r="AOF241" s="15"/>
      <c r="AOG241" s="15"/>
      <c r="AOH241" s="15"/>
      <c r="AOI241" s="16"/>
      <c r="AOJ241" s="16"/>
      <c r="AOK241" s="16"/>
      <c r="AOL241" s="16"/>
      <c r="AOM241" s="16"/>
      <c r="AON241" s="15"/>
      <c r="AOO241" s="15"/>
      <c r="AOP241" s="10"/>
      <c r="AOQ241" s="10"/>
      <c r="AOR241" s="19"/>
      <c r="AOS241" s="19"/>
      <c r="AOV241" s="16"/>
      <c r="AOW241" s="15"/>
      <c r="AOX241" s="15"/>
      <c r="AOY241" s="15"/>
      <c r="AOZ241" s="16"/>
      <c r="APA241" s="16"/>
      <c r="APB241" s="16"/>
      <c r="APC241" s="16"/>
      <c r="APD241" s="16"/>
      <c r="APE241" s="15"/>
      <c r="APF241" s="15"/>
      <c r="APG241" s="10"/>
      <c r="APH241" s="10"/>
      <c r="API241" s="19"/>
      <c r="APJ241" s="19"/>
      <c r="APM241" s="16"/>
      <c r="APN241" s="15"/>
      <c r="APO241" s="15"/>
      <c r="APP241" s="15"/>
      <c r="APQ241" s="16"/>
      <c r="APR241" s="16"/>
      <c r="APS241" s="16"/>
      <c r="APT241" s="16"/>
      <c r="APU241" s="16"/>
      <c r="APV241" s="15"/>
      <c r="APW241" s="15"/>
      <c r="APX241" s="10"/>
      <c r="APY241" s="10"/>
      <c r="APZ241" s="19"/>
      <c r="AQA241" s="19"/>
      <c r="AQD241" s="16"/>
      <c r="AQE241" s="15"/>
      <c r="AQF241" s="15"/>
      <c r="AQG241" s="15"/>
      <c r="AQH241" s="16"/>
      <c r="AQI241" s="16"/>
      <c r="AQJ241" s="16"/>
      <c r="AQK241" s="16"/>
      <c r="AQL241" s="16"/>
      <c r="AQM241" s="15"/>
      <c r="AQN241" s="15"/>
      <c r="AQO241" s="10"/>
      <c r="AQP241" s="10"/>
      <c r="AQQ241" s="19"/>
      <c r="AQR241" s="19"/>
      <c r="AQU241" s="16"/>
      <c r="AQV241" s="15"/>
      <c r="AQW241" s="15"/>
      <c r="AQX241" s="15"/>
      <c r="AQY241" s="16"/>
      <c r="AQZ241" s="16"/>
      <c r="ARA241" s="16"/>
      <c r="ARB241" s="16"/>
      <c r="ARC241" s="16"/>
      <c r="ARD241" s="15"/>
      <c r="ARE241" s="15"/>
      <c r="ARF241" s="10"/>
      <c r="ARG241" s="10"/>
      <c r="ARH241" s="19"/>
      <c r="ARI241" s="19"/>
      <c r="ARL241" s="16"/>
      <c r="ARM241" s="15"/>
      <c r="ARN241" s="15"/>
      <c r="ARO241" s="15"/>
      <c r="ARP241" s="16"/>
      <c r="ARQ241" s="16"/>
      <c r="ARR241" s="16"/>
      <c r="ARS241" s="16"/>
      <c r="ART241" s="16"/>
      <c r="ARU241" s="15"/>
      <c r="ARV241" s="15"/>
      <c r="ARW241" s="10"/>
      <c r="ARX241" s="10"/>
      <c r="ARY241" s="19"/>
      <c r="ARZ241" s="19"/>
      <c r="ASC241" s="16"/>
      <c r="ASD241" s="15"/>
      <c r="ASE241" s="15"/>
      <c r="ASF241" s="15"/>
      <c r="ASG241" s="16"/>
      <c r="ASH241" s="16"/>
      <c r="ASI241" s="16"/>
      <c r="ASJ241" s="16"/>
      <c r="ASK241" s="16"/>
      <c r="ASL241" s="15"/>
      <c r="ASM241" s="15"/>
      <c r="ASN241" s="10"/>
      <c r="ASO241" s="10"/>
      <c r="ASP241" s="19"/>
      <c r="ASQ241" s="19"/>
      <c r="AST241" s="16"/>
      <c r="ASU241" s="15"/>
      <c r="ASV241" s="15"/>
      <c r="ASW241" s="15"/>
      <c r="ASX241" s="16"/>
      <c r="ASY241" s="16"/>
      <c r="ASZ241" s="16"/>
      <c r="ATA241" s="16"/>
      <c r="ATB241" s="16"/>
      <c r="ATC241" s="15"/>
      <c r="ATD241" s="15"/>
      <c r="ATE241" s="10"/>
      <c r="ATF241" s="10"/>
      <c r="ATG241" s="19"/>
      <c r="ATH241" s="19"/>
      <c r="ATK241" s="16"/>
      <c r="ATL241" s="15"/>
      <c r="ATM241" s="15"/>
      <c r="ATN241" s="15"/>
      <c r="ATO241" s="16"/>
      <c r="ATP241" s="16"/>
      <c r="ATQ241" s="16"/>
      <c r="ATR241" s="16"/>
      <c r="ATS241" s="16"/>
      <c r="ATT241" s="15"/>
      <c r="ATU241" s="15"/>
      <c r="ATV241" s="10"/>
      <c r="ATW241" s="10"/>
      <c r="ATX241" s="19"/>
      <c r="ATY241" s="19"/>
      <c r="AUB241" s="16"/>
      <c r="AUC241" s="15"/>
      <c r="AUD241" s="15"/>
      <c r="AUE241" s="15"/>
      <c r="AUF241" s="16"/>
      <c r="AUG241" s="16"/>
      <c r="AUH241" s="16"/>
      <c r="AUI241" s="16"/>
      <c r="AUJ241" s="16"/>
      <c r="AUK241" s="15"/>
      <c r="AUL241" s="15"/>
      <c r="AUM241" s="10"/>
      <c r="AUN241" s="10"/>
      <c r="AUO241" s="19"/>
      <c r="AUP241" s="19"/>
      <c r="AUS241" s="16"/>
      <c r="AUT241" s="15"/>
      <c r="AUU241" s="15"/>
      <c r="AUV241" s="15"/>
      <c r="AUW241" s="16"/>
      <c r="AUX241" s="16"/>
      <c r="AUY241" s="16"/>
      <c r="AUZ241" s="16"/>
      <c r="AVA241" s="16"/>
      <c r="AVB241" s="15"/>
      <c r="AVC241" s="15"/>
      <c r="AVD241" s="10"/>
      <c r="AVE241" s="10"/>
      <c r="AVF241" s="19"/>
      <c r="AVG241" s="19"/>
      <c r="AVJ241" s="16"/>
      <c r="AVK241" s="15"/>
      <c r="AVL241" s="15"/>
      <c r="AVM241" s="15"/>
      <c r="AVN241" s="16"/>
      <c r="AVO241" s="16"/>
      <c r="AVP241" s="16"/>
      <c r="AVQ241" s="16"/>
      <c r="AVR241" s="16"/>
      <c r="AVS241" s="15"/>
      <c r="AVT241" s="15"/>
      <c r="AVU241" s="10"/>
      <c r="AVV241" s="10"/>
      <c r="AVW241" s="19"/>
      <c r="AVX241" s="19"/>
      <c r="AWA241" s="16"/>
      <c r="AWB241" s="15"/>
      <c r="AWC241" s="15"/>
      <c r="AWD241" s="15"/>
      <c r="AWE241" s="16"/>
      <c r="AWF241" s="16"/>
      <c r="AWG241" s="16"/>
      <c r="AWH241" s="16"/>
      <c r="AWI241" s="16"/>
      <c r="AWJ241" s="15"/>
      <c r="AWK241" s="15"/>
      <c r="AWL241" s="10"/>
      <c r="AWM241" s="10"/>
      <c r="AWN241" s="19"/>
      <c r="AWO241" s="19"/>
      <c r="AWR241" s="16"/>
      <c r="AWS241" s="15"/>
      <c r="AWT241" s="15"/>
      <c r="AWU241" s="15"/>
      <c r="AWV241" s="16"/>
      <c r="AWW241" s="16"/>
      <c r="AWX241" s="16"/>
      <c r="AWY241" s="16"/>
      <c r="AWZ241" s="16"/>
      <c r="AXA241" s="15"/>
      <c r="AXB241" s="15"/>
      <c r="AXC241" s="10"/>
      <c r="AXD241" s="10"/>
      <c r="AXE241" s="19"/>
      <c r="AXF241" s="19"/>
      <c r="AXI241" s="16"/>
      <c r="AXJ241" s="15"/>
      <c r="AXK241" s="15"/>
      <c r="AXL241" s="15"/>
      <c r="AXM241" s="16"/>
      <c r="AXN241" s="16"/>
      <c r="AXO241" s="16"/>
      <c r="AXP241" s="16"/>
      <c r="AXQ241" s="16"/>
      <c r="AXR241" s="15"/>
      <c r="AXS241" s="15"/>
      <c r="AXT241" s="10"/>
      <c r="AXU241" s="10"/>
      <c r="AXV241" s="19"/>
      <c r="AXW241" s="19"/>
      <c r="AXZ241" s="16"/>
      <c r="AYA241" s="15"/>
      <c r="AYB241" s="15"/>
      <c r="AYC241" s="15"/>
      <c r="AYD241" s="16"/>
      <c r="AYE241" s="16"/>
      <c r="AYF241" s="16"/>
      <c r="AYG241" s="16"/>
      <c r="AYH241" s="16"/>
      <c r="AYI241" s="15"/>
      <c r="AYJ241" s="15"/>
      <c r="AYK241" s="10"/>
      <c r="AYL241" s="10"/>
      <c r="AYM241" s="19"/>
      <c r="AYN241" s="19"/>
      <c r="AYQ241" s="16"/>
      <c r="AYR241" s="15"/>
      <c r="AYS241" s="15"/>
      <c r="AYT241" s="15"/>
      <c r="AYU241" s="16"/>
      <c r="AYV241" s="16"/>
      <c r="AYW241" s="16"/>
      <c r="AYX241" s="16"/>
      <c r="AYY241" s="16"/>
      <c r="AYZ241" s="15"/>
      <c r="AZA241" s="15"/>
      <c r="AZB241" s="10"/>
      <c r="AZC241" s="10"/>
      <c r="AZD241" s="19"/>
      <c r="AZE241" s="19"/>
      <c r="AZH241" s="16"/>
      <c r="AZI241" s="15"/>
      <c r="AZJ241" s="15"/>
      <c r="AZK241" s="15"/>
      <c r="AZL241" s="16"/>
      <c r="AZM241" s="16"/>
      <c r="AZN241" s="16"/>
      <c r="AZO241" s="16"/>
      <c r="AZP241" s="16"/>
      <c r="AZQ241" s="15"/>
      <c r="AZR241" s="15"/>
      <c r="AZS241" s="10"/>
      <c r="AZT241" s="10"/>
      <c r="AZU241" s="19"/>
      <c r="AZV241" s="19"/>
      <c r="AZY241" s="16"/>
      <c r="AZZ241" s="15"/>
      <c r="BAA241" s="15"/>
      <c r="BAB241" s="15"/>
      <c r="BAC241" s="16"/>
      <c r="BAD241" s="16"/>
      <c r="BAE241" s="16"/>
      <c r="BAF241" s="16"/>
      <c r="BAG241" s="16"/>
      <c r="BAH241" s="15"/>
      <c r="BAI241" s="15"/>
      <c r="BAJ241" s="10"/>
      <c r="BAK241" s="10"/>
      <c r="BAL241" s="19"/>
      <c r="BAM241" s="19"/>
      <c r="BAP241" s="16"/>
      <c r="BAQ241" s="15"/>
      <c r="BAR241" s="15"/>
      <c r="BAS241" s="15"/>
      <c r="BAT241" s="16"/>
      <c r="BAU241" s="16"/>
      <c r="BAV241" s="16"/>
      <c r="BAW241" s="16"/>
      <c r="BAX241" s="16"/>
      <c r="BAY241" s="15"/>
      <c r="BAZ241" s="15"/>
      <c r="BBA241" s="10"/>
      <c r="BBB241" s="10"/>
      <c r="BBC241" s="19"/>
      <c r="BBD241" s="19"/>
      <c r="BBG241" s="16"/>
      <c r="BBH241" s="15"/>
      <c r="BBI241" s="15"/>
      <c r="BBJ241" s="15"/>
      <c r="BBK241" s="16"/>
      <c r="BBL241" s="16"/>
      <c r="BBM241" s="16"/>
      <c r="BBN241" s="16"/>
      <c r="BBO241" s="16"/>
      <c r="BBP241" s="15"/>
      <c r="BBQ241" s="15"/>
      <c r="BBR241" s="10"/>
      <c r="BBS241" s="10"/>
      <c r="BBT241" s="19"/>
      <c r="BBU241" s="19"/>
      <c r="BBX241" s="16"/>
      <c r="BBY241" s="15"/>
      <c r="BBZ241" s="15"/>
      <c r="BCA241" s="15"/>
      <c r="BCB241" s="16"/>
      <c r="BCC241" s="16"/>
      <c r="BCD241" s="16"/>
      <c r="BCE241" s="16"/>
      <c r="BCF241" s="16"/>
      <c r="BCG241" s="15"/>
      <c r="BCH241" s="15"/>
      <c r="BCI241" s="10"/>
      <c r="BCJ241" s="10"/>
      <c r="BCK241" s="19"/>
      <c r="BCL241" s="19"/>
      <c r="BCO241" s="16"/>
      <c r="BCP241" s="15"/>
      <c r="BCQ241" s="15"/>
      <c r="BCR241" s="15"/>
      <c r="BCS241" s="16"/>
      <c r="BCT241" s="16"/>
      <c r="BCU241" s="16"/>
      <c r="BCV241" s="16"/>
      <c r="BCW241" s="16"/>
      <c r="BCX241" s="15"/>
      <c r="BCY241" s="15"/>
      <c r="BCZ241" s="10"/>
      <c r="BDA241" s="10"/>
      <c r="BDB241" s="19"/>
      <c r="BDC241" s="19"/>
      <c r="BDF241" s="16"/>
      <c r="BDG241" s="15"/>
      <c r="BDH241" s="15"/>
      <c r="BDI241" s="15"/>
      <c r="BDJ241" s="16"/>
      <c r="BDK241" s="16"/>
      <c r="BDL241" s="16"/>
      <c r="BDM241" s="16"/>
      <c r="BDN241" s="16"/>
      <c r="BDO241" s="15"/>
      <c r="BDP241" s="15"/>
      <c r="BDQ241" s="10"/>
      <c r="BDR241" s="10"/>
      <c r="BDS241" s="19"/>
      <c r="BDT241" s="19"/>
      <c r="BDW241" s="16"/>
      <c r="BDX241" s="15"/>
      <c r="BDY241" s="15"/>
      <c r="BDZ241" s="15"/>
      <c r="BEA241" s="16"/>
      <c r="BEB241" s="16"/>
      <c r="BEC241" s="16"/>
      <c r="BED241" s="16"/>
      <c r="BEE241" s="16"/>
      <c r="BEF241" s="15"/>
      <c r="BEG241" s="15"/>
      <c r="BEH241" s="10"/>
      <c r="BEI241" s="10"/>
      <c r="BEJ241" s="19"/>
      <c r="BEK241" s="19"/>
      <c r="BEN241" s="16"/>
      <c r="BEO241" s="15"/>
      <c r="BEP241" s="15"/>
      <c r="BEQ241" s="15"/>
      <c r="BER241" s="16"/>
      <c r="BES241" s="16"/>
      <c r="BET241" s="16"/>
      <c r="BEU241" s="16"/>
      <c r="BEV241" s="16"/>
      <c r="BEW241" s="15"/>
      <c r="BEX241" s="15"/>
      <c r="BEY241" s="10"/>
      <c r="BEZ241" s="10"/>
      <c r="BFA241" s="19"/>
      <c r="BFB241" s="19"/>
      <c r="BFE241" s="16"/>
      <c r="BFF241" s="15"/>
      <c r="BFG241" s="15"/>
      <c r="BFH241" s="15"/>
      <c r="BFI241" s="16"/>
      <c r="BFJ241" s="16"/>
      <c r="BFK241" s="16"/>
      <c r="BFL241" s="16"/>
      <c r="BFM241" s="16"/>
      <c r="BFN241" s="15"/>
      <c r="BFO241" s="15"/>
      <c r="BFP241" s="10"/>
      <c r="BFQ241" s="10"/>
      <c r="BFR241" s="19"/>
      <c r="BFS241" s="19"/>
      <c r="BFV241" s="16"/>
      <c r="BFW241" s="15"/>
      <c r="BFX241" s="15"/>
      <c r="BFY241" s="15"/>
      <c r="BFZ241" s="16"/>
      <c r="BGA241" s="16"/>
      <c r="BGB241" s="16"/>
      <c r="BGC241" s="16"/>
      <c r="BGD241" s="16"/>
      <c r="BGE241" s="15"/>
      <c r="BGF241" s="15"/>
      <c r="BGG241" s="10"/>
      <c r="BGH241" s="10"/>
      <c r="BGI241" s="19"/>
      <c r="BGJ241" s="19"/>
      <c r="BGM241" s="16"/>
      <c r="BGN241" s="15"/>
      <c r="BGO241" s="15"/>
      <c r="BGP241" s="15"/>
      <c r="BGQ241" s="16"/>
      <c r="BGR241" s="16"/>
      <c r="BGS241" s="16"/>
      <c r="BGT241" s="16"/>
      <c r="BGU241" s="16"/>
      <c r="BGV241" s="15"/>
      <c r="BGW241" s="15"/>
      <c r="BGX241" s="10"/>
      <c r="BGY241" s="10"/>
      <c r="BGZ241" s="19"/>
      <c r="BHA241" s="19"/>
      <c r="BHD241" s="16"/>
      <c r="BHE241" s="15"/>
      <c r="BHF241" s="15"/>
      <c r="BHG241" s="15"/>
      <c r="BHH241" s="16"/>
      <c r="BHI241" s="16"/>
      <c r="BHJ241" s="16"/>
      <c r="BHK241" s="16"/>
      <c r="BHL241" s="16"/>
      <c r="BHM241" s="15"/>
      <c r="BHN241" s="15"/>
      <c r="BHO241" s="10"/>
      <c r="BHP241" s="10"/>
      <c r="BHQ241" s="19"/>
      <c r="BHR241" s="19"/>
      <c r="BHU241" s="16"/>
      <c r="BHV241" s="15"/>
      <c r="BHW241" s="15"/>
      <c r="BHX241" s="15"/>
      <c r="BHY241" s="16"/>
      <c r="BHZ241" s="16"/>
      <c r="BIA241" s="16"/>
      <c r="BIB241" s="16"/>
      <c r="BIC241" s="16"/>
      <c r="BID241" s="15"/>
      <c r="BIE241" s="15"/>
      <c r="BIF241" s="10"/>
      <c r="BIG241" s="10"/>
      <c r="BIH241" s="19"/>
      <c r="BII241" s="19"/>
      <c r="BIL241" s="16"/>
      <c r="BIM241" s="15"/>
      <c r="BIN241" s="15"/>
      <c r="BIO241" s="15"/>
      <c r="BIP241" s="16"/>
      <c r="BIQ241" s="16"/>
      <c r="BIR241" s="16"/>
      <c r="BIS241" s="16"/>
      <c r="BIT241" s="16"/>
      <c r="BIU241" s="15"/>
      <c r="BIV241" s="15"/>
      <c r="BIW241" s="10"/>
      <c r="BIX241" s="10"/>
      <c r="BIY241" s="19"/>
      <c r="BIZ241" s="19"/>
      <c r="BJC241" s="16"/>
      <c r="BJD241" s="15"/>
      <c r="BJE241" s="15"/>
      <c r="BJF241" s="15"/>
      <c r="BJG241" s="16"/>
      <c r="BJH241" s="16"/>
      <c r="BJI241" s="16"/>
      <c r="BJJ241" s="16"/>
      <c r="BJK241" s="16"/>
      <c r="BJL241" s="15"/>
      <c r="BJM241" s="15"/>
      <c r="BJN241" s="10"/>
      <c r="BJO241" s="10"/>
      <c r="BJP241" s="19"/>
      <c r="BJQ241" s="19"/>
      <c r="BJT241" s="16"/>
      <c r="BJU241" s="15"/>
      <c r="BJV241" s="15"/>
      <c r="BJW241" s="15"/>
      <c r="BJX241" s="16"/>
      <c r="BJY241" s="16"/>
      <c r="BJZ241" s="16"/>
      <c r="BKA241" s="16"/>
      <c r="BKB241" s="16"/>
      <c r="BKC241" s="15"/>
      <c r="BKD241" s="15"/>
      <c r="BKE241" s="10"/>
      <c r="BKF241" s="10"/>
      <c r="BKG241" s="19"/>
      <c r="BKH241" s="19"/>
      <c r="BKK241" s="16"/>
      <c r="BKL241" s="15"/>
      <c r="BKM241" s="15"/>
      <c r="BKN241" s="15"/>
      <c r="BKO241" s="16"/>
      <c r="BKP241" s="16"/>
      <c r="BKQ241" s="16"/>
      <c r="BKR241" s="16"/>
      <c r="BKS241" s="16"/>
      <c r="BKT241" s="15"/>
      <c r="BKU241" s="15"/>
      <c r="BKV241" s="10"/>
      <c r="BKW241" s="10"/>
      <c r="BKX241" s="19"/>
      <c r="BKY241" s="19"/>
      <c r="BLB241" s="16"/>
      <c r="BLC241" s="15"/>
      <c r="BLD241" s="15"/>
      <c r="BLE241" s="15"/>
      <c r="BLF241" s="16"/>
      <c r="BLG241" s="16"/>
      <c r="BLH241" s="16"/>
      <c r="BLI241" s="16"/>
      <c r="BLJ241" s="16"/>
      <c r="BLK241" s="15"/>
      <c r="BLL241" s="15"/>
      <c r="BLM241" s="10"/>
      <c r="BLN241" s="10"/>
      <c r="BLO241" s="19"/>
      <c r="BLP241" s="19"/>
      <c r="BLS241" s="16"/>
      <c r="BLT241" s="15"/>
      <c r="BLU241" s="15"/>
      <c r="BLV241" s="15"/>
      <c r="BLW241" s="16"/>
      <c r="BLX241" s="16"/>
      <c r="BLY241" s="16"/>
      <c r="BLZ241" s="16"/>
      <c r="BMA241" s="16"/>
      <c r="BMB241" s="15"/>
      <c r="BMC241" s="15"/>
      <c r="BMD241" s="10"/>
      <c r="BME241" s="10"/>
      <c r="BMF241" s="19"/>
      <c r="BMG241" s="19"/>
      <c r="BMJ241" s="16"/>
      <c r="BMK241" s="15"/>
      <c r="BML241" s="15"/>
      <c r="BMM241" s="15"/>
      <c r="BMN241" s="16"/>
      <c r="BMO241" s="16"/>
      <c r="BMP241" s="16"/>
      <c r="BMQ241" s="16"/>
      <c r="BMR241" s="16"/>
      <c r="BMS241" s="15"/>
      <c r="BMT241" s="15"/>
      <c r="BMU241" s="10"/>
      <c r="BMV241" s="10"/>
      <c r="BMW241" s="19"/>
      <c r="BMX241" s="19"/>
      <c r="BNA241" s="16"/>
      <c r="BNB241" s="15"/>
      <c r="BNC241" s="15"/>
      <c r="BND241" s="15"/>
      <c r="BNE241" s="16"/>
      <c r="BNF241" s="16"/>
      <c r="BNG241" s="16"/>
      <c r="BNH241" s="16"/>
      <c r="BNI241" s="16"/>
      <c r="BNJ241" s="15"/>
      <c r="BNK241" s="15"/>
      <c r="BNL241" s="10"/>
      <c r="BNM241" s="10"/>
      <c r="BNN241" s="19"/>
      <c r="BNO241" s="19"/>
      <c r="BNR241" s="16"/>
      <c r="BNS241" s="15"/>
      <c r="BNT241" s="15"/>
      <c r="BNU241" s="15"/>
      <c r="BNV241" s="16"/>
      <c r="BNW241" s="16"/>
      <c r="BNX241" s="16"/>
      <c r="BNY241" s="16"/>
      <c r="BNZ241" s="16"/>
      <c r="BOA241" s="15"/>
      <c r="BOB241" s="15"/>
      <c r="BOC241" s="10"/>
      <c r="BOD241" s="10"/>
      <c r="BOE241" s="19"/>
      <c r="BOF241" s="19"/>
      <c r="BOI241" s="16"/>
      <c r="BOJ241" s="15"/>
      <c r="BOK241" s="15"/>
      <c r="BOL241" s="15"/>
      <c r="BOM241" s="16"/>
      <c r="BON241" s="16"/>
      <c r="BOO241" s="16"/>
      <c r="BOP241" s="16"/>
      <c r="BOQ241" s="16"/>
      <c r="BOR241" s="15"/>
      <c r="BOS241" s="15"/>
      <c r="BOT241" s="10"/>
      <c r="BOU241" s="10"/>
      <c r="BOV241" s="19"/>
      <c r="BOW241" s="19"/>
      <c r="BOZ241" s="16"/>
      <c r="BPA241" s="15"/>
      <c r="BPB241" s="15"/>
      <c r="BPC241" s="15"/>
      <c r="BPD241" s="16"/>
      <c r="BPE241" s="16"/>
      <c r="BPF241" s="16"/>
      <c r="BPG241" s="16"/>
      <c r="BPH241" s="16"/>
      <c r="BPI241" s="15"/>
      <c r="BPJ241" s="15"/>
      <c r="BPK241" s="10"/>
      <c r="BPL241" s="10"/>
      <c r="BPM241" s="19"/>
      <c r="BPN241" s="19"/>
      <c r="BPQ241" s="16"/>
      <c r="BPR241" s="15"/>
      <c r="BPS241" s="15"/>
      <c r="BPT241" s="15"/>
      <c r="BPU241" s="16"/>
      <c r="BPV241" s="16"/>
      <c r="BPW241" s="16"/>
      <c r="BPX241" s="16"/>
      <c r="BPY241" s="16"/>
      <c r="BPZ241" s="15"/>
      <c r="BQA241" s="15"/>
      <c r="BQB241" s="10"/>
      <c r="BQC241" s="10"/>
      <c r="BQD241" s="19"/>
      <c r="BQE241" s="19"/>
      <c r="BQH241" s="16"/>
      <c r="BQI241" s="15"/>
      <c r="BQJ241" s="15"/>
      <c r="BQK241" s="15"/>
      <c r="BQL241" s="16"/>
      <c r="BQM241" s="16"/>
      <c r="BQN241" s="16"/>
      <c r="BQO241" s="16"/>
      <c r="BQP241" s="16"/>
      <c r="BQQ241" s="15"/>
      <c r="BQR241" s="15"/>
      <c r="BQS241" s="10"/>
      <c r="BQT241" s="10"/>
      <c r="BQU241" s="19"/>
      <c r="BQV241" s="19"/>
      <c r="BQY241" s="16"/>
      <c r="BQZ241" s="15"/>
      <c r="BRA241" s="15"/>
      <c r="BRB241" s="15"/>
      <c r="BRC241" s="16"/>
      <c r="BRD241" s="16"/>
      <c r="BRE241" s="16"/>
      <c r="BRF241" s="16"/>
      <c r="BRG241" s="16"/>
      <c r="BRH241" s="15"/>
      <c r="BRI241" s="15"/>
      <c r="BRJ241" s="10"/>
      <c r="BRK241" s="10"/>
      <c r="BRL241" s="19"/>
      <c r="BRM241" s="19"/>
      <c r="BRP241" s="16"/>
      <c r="BRQ241" s="15"/>
      <c r="BRR241" s="15"/>
      <c r="BRS241" s="15"/>
      <c r="BRT241" s="16"/>
      <c r="BRU241" s="16"/>
      <c r="BRV241" s="16"/>
      <c r="BRW241" s="16"/>
      <c r="BRX241" s="16"/>
      <c r="BRY241" s="15"/>
      <c r="BRZ241" s="15"/>
      <c r="BSA241" s="10"/>
      <c r="BSB241" s="10"/>
      <c r="BSC241" s="19"/>
      <c r="BSD241" s="19"/>
      <c r="BSG241" s="16"/>
      <c r="BSH241" s="15"/>
      <c r="BSI241" s="15"/>
      <c r="BSJ241" s="15"/>
      <c r="BSK241" s="16"/>
      <c r="BSL241" s="16"/>
      <c r="BSM241" s="16"/>
      <c r="BSN241" s="16"/>
      <c r="BSO241" s="16"/>
      <c r="BSP241" s="15"/>
      <c r="BSQ241" s="15"/>
      <c r="BSR241" s="10"/>
      <c r="BSS241" s="10"/>
      <c r="BST241" s="19"/>
      <c r="BSU241" s="19"/>
      <c r="BSX241" s="16"/>
      <c r="BSY241" s="15"/>
      <c r="BSZ241" s="15"/>
      <c r="BTA241" s="15"/>
      <c r="BTB241" s="16"/>
      <c r="BTC241" s="16"/>
      <c r="BTD241" s="16"/>
      <c r="BTE241" s="16"/>
      <c r="BTF241" s="16"/>
      <c r="BTG241" s="15"/>
      <c r="BTH241" s="15"/>
      <c r="BTI241" s="10"/>
      <c r="BTJ241" s="10"/>
      <c r="BTK241" s="19"/>
      <c r="BTL241" s="19"/>
      <c r="BTO241" s="16"/>
      <c r="BTP241" s="15"/>
      <c r="BTQ241" s="15"/>
      <c r="BTR241" s="15"/>
      <c r="BTS241" s="16"/>
      <c r="BTT241" s="16"/>
      <c r="BTU241" s="16"/>
      <c r="BTV241" s="16"/>
      <c r="BTW241" s="16"/>
      <c r="BTX241" s="15"/>
      <c r="BTY241" s="15"/>
      <c r="BTZ241" s="10"/>
      <c r="BUA241" s="10"/>
      <c r="BUB241" s="19"/>
      <c r="BUC241" s="19"/>
      <c r="BUF241" s="16"/>
      <c r="BUG241" s="15"/>
      <c r="BUH241" s="15"/>
      <c r="BUI241" s="15"/>
      <c r="BUJ241" s="16"/>
      <c r="BUK241" s="16"/>
      <c r="BUL241" s="16"/>
      <c r="BUM241" s="16"/>
      <c r="BUN241" s="16"/>
      <c r="BUO241" s="15"/>
      <c r="BUP241" s="15"/>
      <c r="BUQ241" s="10"/>
      <c r="BUR241" s="10"/>
      <c r="BUS241" s="19"/>
      <c r="BUT241" s="19"/>
      <c r="BUW241" s="16"/>
      <c r="BUX241" s="15"/>
      <c r="BUY241" s="15"/>
      <c r="BUZ241" s="15"/>
      <c r="BVA241" s="16"/>
      <c r="BVB241" s="16"/>
      <c r="BVC241" s="16"/>
      <c r="BVD241" s="16"/>
      <c r="BVE241" s="16"/>
      <c r="BVF241" s="15"/>
      <c r="BVG241" s="15"/>
      <c r="BVH241" s="10"/>
      <c r="BVI241" s="10"/>
      <c r="BVJ241" s="19"/>
      <c r="BVK241" s="19"/>
      <c r="BVN241" s="16"/>
      <c r="BVO241" s="15"/>
      <c r="BVP241" s="15"/>
      <c r="BVQ241" s="15"/>
      <c r="BVR241" s="16"/>
      <c r="BVS241" s="16"/>
      <c r="BVT241" s="16"/>
      <c r="BVU241" s="16"/>
      <c r="BVV241" s="16"/>
      <c r="BVW241" s="15"/>
      <c r="BVX241" s="15"/>
      <c r="BVY241" s="10"/>
      <c r="BVZ241" s="10"/>
      <c r="BWA241" s="19"/>
      <c r="BWB241" s="19"/>
      <c r="BWE241" s="16"/>
      <c r="BWF241" s="15"/>
      <c r="BWG241" s="15"/>
      <c r="BWH241" s="15"/>
      <c r="BWI241" s="16"/>
      <c r="BWJ241" s="16"/>
      <c r="BWK241" s="16"/>
      <c r="BWL241" s="16"/>
      <c r="BWM241" s="16"/>
      <c r="BWN241" s="15"/>
      <c r="BWO241" s="15"/>
      <c r="BWP241" s="10"/>
      <c r="BWQ241" s="10"/>
      <c r="BWR241" s="19"/>
      <c r="BWS241" s="19"/>
      <c r="BWV241" s="16"/>
      <c r="BWW241" s="15"/>
      <c r="BWX241" s="15"/>
      <c r="BWY241" s="15"/>
      <c r="BWZ241" s="16"/>
      <c r="BXA241" s="16"/>
      <c r="BXB241" s="16"/>
      <c r="BXC241" s="16"/>
      <c r="BXD241" s="16"/>
      <c r="BXE241" s="15"/>
      <c r="BXF241" s="15"/>
      <c r="BXG241" s="10"/>
      <c r="BXH241" s="10"/>
      <c r="BXI241" s="19"/>
      <c r="BXJ241" s="19"/>
      <c r="BXM241" s="16"/>
      <c r="BXN241" s="15"/>
      <c r="BXO241" s="15"/>
      <c r="BXP241" s="15"/>
      <c r="BXQ241" s="16"/>
      <c r="BXR241" s="16"/>
      <c r="BXS241" s="16"/>
      <c r="BXT241" s="16"/>
      <c r="BXU241" s="16"/>
      <c r="BXV241" s="15"/>
      <c r="BXW241" s="15"/>
      <c r="BXX241" s="10"/>
      <c r="BXY241" s="10"/>
      <c r="BXZ241" s="19"/>
      <c r="BYA241" s="19"/>
      <c r="BYD241" s="16"/>
      <c r="BYE241" s="15"/>
      <c r="BYF241" s="15"/>
      <c r="BYG241" s="15"/>
      <c r="BYH241" s="16"/>
      <c r="BYI241" s="16"/>
      <c r="BYJ241" s="16"/>
      <c r="BYK241" s="16"/>
      <c r="BYL241" s="16"/>
      <c r="BYM241" s="15"/>
      <c r="BYN241" s="15"/>
      <c r="BYO241" s="10"/>
      <c r="BYP241" s="10"/>
      <c r="BYQ241" s="19"/>
      <c r="BYR241" s="19"/>
      <c r="BYU241" s="16"/>
      <c r="BYV241" s="15"/>
      <c r="BYW241" s="15"/>
      <c r="BYX241" s="15"/>
      <c r="BYY241" s="16"/>
      <c r="BYZ241" s="16"/>
      <c r="BZA241" s="16"/>
      <c r="BZB241" s="16"/>
      <c r="BZC241" s="16"/>
      <c r="BZD241" s="15"/>
      <c r="BZE241" s="15"/>
      <c r="BZF241" s="10"/>
      <c r="BZG241" s="10"/>
      <c r="BZH241" s="19"/>
      <c r="BZI241" s="19"/>
      <c r="BZL241" s="16"/>
      <c r="BZM241" s="15"/>
      <c r="BZN241" s="15"/>
      <c r="BZO241" s="15"/>
      <c r="BZP241" s="16"/>
      <c r="BZQ241" s="16"/>
      <c r="BZR241" s="16"/>
      <c r="BZS241" s="16"/>
      <c r="BZT241" s="16"/>
      <c r="BZU241" s="15"/>
      <c r="BZV241" s="15"/>
      <c r="BZW241" s="10"/>
      <c r="BZX241" s="10"/>
      <c r="BZY241" s="19"/>
      <c r="BZZ241" s="19"/>
      <c r="CAC241" s="16"/>
      <c r="CAD241" s="15"/>
      <c r="CAE241" s="15"/>
      <c r="CAF241" s="15"/>
      <c r="CAG241" s="16"/>
      <c r="CAH241" s="16"/>
      <c r="CAI241" s="16"/>
      <c r="CAJ241" s="16"/>
      <c r="CAK241" s="16"/>
      <c r="CAL241" s="15"/>
      <c r="CAM241" s="15"/>
      <c r="CAN241" s="10"/>
      <c r="CAO241" s="10"/>
      <c r="CAP241" s="19"/>
      <c r="CAQ241" s="19"/>
      <c r="CAT241" s="16"/>
      <c r="CAU241" s="15"/>
      <c r="CAV241" s="15"/>
      <c r="CAW241" s="15"/>
      <c r="CAX241" s="16"/>
      <c r="CAY241" s="16"/>
      <c r="CAZ241" s="16"/>
      <c r="CBA241" s="16"/>
      <c r="CBB241" s="16"/>
      <c r="CBC241" s="15"/>
      <c r="CBD241" s="15"/>
      <c r="CBE241" s="10"/>
      <c r="CBF241" s="10"/>
      <c r="CBG241" s="19"/>
      <c r="CBH241" s="19"/>
      <c r="CBK241" s="16"/>
      <c r="CBL241" s="15"/>
      <c r="CBM241" s="15"/>
      <c r="CBN241" s="15"/>
      <c r="CBO241" s="16"/>
      <c r="CBP241" s="16"/>
      <c r="CBQ241" s="16"/>
      <c r="CBR241" s="16"/>
      <c r="CBS241" s="16"/>
      <c r="CBT241" s="15"/>
      <c r="CBU241" s="15"/>
      <c r="CBV241" s="10"/>
      <c r="CBW241" s="10"/>
      <c r="CBX241" s="19"/>
      <c r="CBY241" s="19"/>
      <c r="CCB241" s="16"/>
      <c r="CCC241" s="15"/>
      <c r="CCD241" s="15"/>
      <c r="CCE241" s="15"/>
      <c r="CCF241" s="16"/>
      <c r="CCG241" s="16"/>
      <c r="CCH241" s="16"/>
      <c r="CCI241" s="16"/>
      <c r="CCJ241" s="16"/>
      <c r="CCK241" s="15"/>
      <c r="CCL241" s="15"/>
      <c r="CCM241" s="10"/>
      <c r="CCN241" s="10"/>
      <c r="CCO241" s="19"/>
      <c r="CCP241" s="19"/>
      <c r="CCS241" s="16"/>
      <c r="CCT241" s="15"/>
      <c r="CCU241" s="15"/>
      <c r="CCV241" s="15"/>
      <c r="CCW241" s="16"/>
      <c r="CCX241" s="16"/>
      <c r="CCY241" s="16"/>
      <c r="CCZ241" s="16"/>
      <c r="CDA241" s="16"/>
      <c r="CDB241" s="15"/>
      <c r="CDC241" s="15"/>
      <c r="CDD241" s="10"/>
      <c r="CDE241" s="10"/>
      <c r="CDF241" s="19"/>
      <c r="CDG241" s="19"/>
      <c r="CDJ241" s="16"/>
      <c r="CDK241" s="15"/>
      <c r="CDL241" s="15"/>
      <c r="CDM241" s="15"/>
      <c r="CDN241" s="16"/>
      <c r="CDO241" s="16"/>
      <c r="CDP241" s="16"/>
      <c r="CDQ241" s="16"/>
      <c r="CDR241" s="16"/>
      <c r="CDS241" s="15"/>
      <c r="CDT241" s="15"/>
      <c r="CDU241" s="10"/>
      <c r="CDV241" s="10"/>
      <c r="CDW241" s="19"/>
      <c r="CDX241" s="19"/>
      <c r="CEA241" s="16"/>
      <c r="CEB241" s="15"/>
      <c r="CEC241" s="15"/>
      <c r="CED241" s="15"/>
      <c r="CEE241" s="16"/>
      <c r="CEF241" s="16"/>
      <c r="CEG241" s="16"/>
      <c r="CEH241" s="16"/>
      <c r="CEI241" s="16"/>
      <c r="CEJ241" s="15"/>
      <c r="CEK241" s="15"/>
      <c r="CEL241" s="10"/>
      <c r="CEM241" s="10"/>
      <c r="CEN241" s="19"/>
      <c r="CEO241" s="19"/>
      <c r="CER241" s="16"/>
      <c r="CES241" s="15"/>
      <c r="CET241" s="15"/>
      <c r="CEU241" s="15"/>
      <c r="CEV241" s="16"/>
      <c r="CEW241" s="16"/>
      <c r="CEX241" s="16"/>
      <c r="CEY241" s="16"/>
      <c r="CEZ241" s="16"/>
      <c r="CFA241" s="15"/>
      <c r="CFB241" s="15"/>
      <c r="CFC241" s="10"/>
      <c r="CFD241" s="10"/>
      <c r="CFE241" s="19"/>
      <c r="CFF241" s="19"/>
      <c r="CFI241" s="16"/>
      <c r="CFJ241" s="15"/>
      <c r="CFK241" s="15"/>
      <c r="CFL241" s="15"/>
      <c r="CFM241" s="16"/>
      <c r="CFN241" s="16"/>
      <c r="CFO241" s="16"/>
      <c r="CFP241" s="16"/>
      <c r="CFQ241" s="16"/>
      <c r="CFR241" s="15"/>
      <c r="CFS241" s="15"/>
      <c r="CFT241" s="10"/>
      <c r="CFU241" s="10"/>
      <c r="CFV241" s="19"/>
      <c r="CFW241" s="19"/>
      <c r="CFZ241" s="16"/>
      <c r="CGA241" s="15"/>
      <c r="CGB241" s="15"/>
      <c r="CGC241" s="15"/>
      <c r="CGD241" s="16"/>
      <c r="CGE241" s="16"/>
      <c r="CGF241" s="16"/>
      <c r="CGG241" s="16"/>
      <c r="CGH241" s="16"/>
      <c r="CGI241" s="15"/>
      <c r="CGJ241" s="15"/>
      <c r="CGK241" s="10"/>
      <c r="CGL241" s="10"/>
      <c r="CGM241" s="19"/>
      <c r="CGN241" s="19"/>
      <c r="CGQ241" s="16"/>
      <c r="CGR241" s="15"/>
      <c r="CGS241" s="15"/>
      <c r="CGT241" s="15"/>
      <c r="CGU241" s="16"/>
      <c r="CGV241" s="16"/>
      <c r="CGW241" s="16"/>
      <c r="CGX241" s="16"/>
      <c r="CGY241" s="16"/>
      <c r="CGZ241" s="15"/>
      <c r="CHA241" s="15"/>
      <c r="CHB241" s="10"/>
      <c r="CHC241" s="10"/>
      <c r="CHD241" s="19"/>
      <c r="CHE241" s="19"/>
      <c r="CHH241" s="16"/>
      <c r="CHI241" s="15"/>
      <c r="CHJ241" s="15"/>
      <c r="CHK241" s="15"/>
      <c r="CHL241" s="16"/>
      <c r="CHM241" s="16"/>
      <c r="CHN241" s="16"/>
      <c r="CHO241" s="16"/>
      <c r="CHP241" s="16"/>
      <c r="CHQ241" s="15"/>
      <c r="CHR241" s="15"/>
      <c r="CHS241" s="10"/>
      <c r="CHT241" s="10"/>
      <c r="CHU241" s="19"/>
      <c r="CHV241" s="19"/>
      <c r="CHY241" s="16"/>
      <c r="CHZ241" s="15"/>
      <c r="CIA241" s="15"/>
      <c r="CIB241" s="15"/>
      <c r="CIC241" s="16"/>
      <c r="CID241" s="16"/>
      <c r="CIE241" s="16"/>
      <c r="CIF241" s="16"/>
      <c r="CIG241" s="16"/>
      <c r="CIH241" s="15"/>
      <c r="CII241" s="15"/>
      <c r="CIJ241" s="10"/>
      <c r="CIK241" s="10"/>
      <c r="CIL241" s="19"/>
      <c r="CIM241" s="19"/>
      <c r="CIP241" s="16"/>
      <c r="CIQ241" s="15"/>
      <c r="CIR241" s="15"/>
      <c r="CIS241" s="15"/>
      <c r="CIT241" s="16"/>
      <c r="CIU241" s="16"/>
      <c r="CIV241" s="16"/>
      <c r="CIW241" s="16"/>
      <c r="CIX241" s="16"/>
      <c r="CIY241" s="15"/>
      <c r="CIZ241" s="15"/>
      <c r="CJA241" s="10"/>
      <c r="CJB241" s="10"/>
      <c r="CJC241" s="19"/>
      <c r="CJD241" s="19"/>
      <c r="CJG241" s="16"/>
      <c r="CJH241" s="15"/>
      <c r="CJI241" s="15"/>
      <c r="CJJ241" s="15"/>
      <c r="CJK241" s="16"/>
      <c r="CJL241" s="16"/>
      <c r="CJM241" s="16"/>
      <c r="CJN241" s="16"/>
      <c r="CJO241" s="16"/>
      <c r="CJP241" s="15"/>
      <c r="CJQ241" s="15"/>
      <c r="CJR241" s="10"/>
      <c r="CJS241" s="10"/>
      <c r="CJT241" s="19"/>
      <c r="CJU241" s="19"/>
      <c r="CJX241" s="16"/>
      <c r="CJY241" s="15"/>
      <c r="CJZ241" s="15"/>
      <c r="CKA241" s="15"/>
      <c r="CKB241" s="16"/>
      <c r="CKC241" s="16"/>
      <c r="CKD241" s="16"/>
      <c r="CKE241" s="16"/>
      <c r="CKF241" s="16"/>
      <c r="CKG241" s="15"/>
      <c r="CKH241" s="15"/>
      <c r="CKI241" s="10"/>
      <c r="CKJ241" s="10"/>
      <c r="CKK241" s="19"/>
      <c r="CKL241" s="19"/>
      <c r="CKO241" s="16"/>
      <c r="CKP241" s="15"/>
      <c r="CKQ241" s="15"/>
      <c r="CKR241" s="15"/>
      <c r="CKS241" s="16"/>
      <c r="CKT241" s="16"/>
      <c r="CKU241" s="16"/>
      <c r="CKV241" s="16"/>
      <c r="CKW241" s="16"/>
      <c r="CKX241" s="15"/>
      <c r="CKY241" s="15"/>
      <c r="CKZ241" s="10"/>
      <c r="CLA241" s="10"/>
      <c r="CLB241" s="19"/>
      <c r="CLC241" s="19"/>
      <c r="CLF241" s="16"/>
      <c r="CLG241" s="15"/>
      <c r="CLH241" s="15"/>
      <c r="CLI241" s="15"/>
      <c r="CLJ241" s="16"/>
      <c r="CLK241" s="16"/>
      <c r="CLL241" s="16"/>
      <c r="CLM241" s="16"/>
      <c r="CLN241" s="16"/>
      <c r="CLO241" s="15"/>
      <c r="CLP241" s="15"/>
      <c r="CLQ241" s="10"/>
      <c r="CLR241" s="10"/>
      <c r="CLS241" s="19"/>
      <c r="CLT241" s="19"/>
      <c r="CLW241" s="16"/>
      <c r="CLX241" s="15"/>
      <c r="CLY241" s="15"/>
      <c r="CLZ241" s="15"/>
      <c r="CMA241" s="16"/>
      <c r="CMB241" s="16"/>
      <c r="CMC241" s="16"/>
      <c r="CMD241" s="16"/>
      <c r="CME241" s="16"/>
      <c r="CMF241" s="15"/>
      <c r="CMG241" s="15"/>
      <c r="CMH241" s="10"/>
      <c r="CMI241" s="10"/>
      <c r="CMJ241" s="19"/>
      <c r="CMK241" s="19"/>
      <c r="CMN241" s="16"/>
      <c r="CMO241" s="15"/>
      <c r="CMP241" s="15"/>
      <c r="CMQ241" s="15"/>
      <c r="CMR241" s="16"/>
      <c r="CMS241" s="16"/>
      <c r="CMT241" s="16"/>
      <c r="CMU241" s="16"/>
      <c r="CMV241" s="16"/>
      <c r="CMW241" s="15"/>
      <c r="CMX241" s="15"/>
      <c r="CMY241" s="10"/>
      <c r="CMZ241" s="10"/>
      <c r="CNA241" s="19"/>
      <c r="CNB241" s="19"/>
      <c r="CNE241" s="16"/>
      <c r="CNF241" s="15"/>
      <c r="CNG241" s="15"/>
      <c r="CNH241" s="15"/>
      <c r="CNI241" s="16"/>
      <c r="CNJ241" s="16"/>
      <c r="CNK241" s="16"/>
      <c r="CNL241" s="16"/>
      <c r="CNM241" s="16"/>
      <c r="CNN241" s="15"/>
      <c r="CNO241" s="15"/>
      <c r="CNP241" s="10"/>
      <c r="CNQ241" s="10"/>
      <c r="CNR241" s="19"/>
      <c r="CNS241" s="19"/>
      <c r="CNV241" s="16"/>
      <c r="CNW241" s="15"/>
      <c r="CNX241" s="15"/>
      <c r="CNY241" s="15"/>
      <c r="CNZ241" s="16"/>
      <c r="COA241" s="16"/>
      <c r="COB241" s="16"/>
      <c r="COC241" s="16"/>
      <c r="COD241" s="16"/>
      <c r="COE241" s="15"/>
      <c r="COF241" s="15"/>
      <c r="COG241" s="10"/>
      <c r="COH241" s="10"/>
      <c r="COI241" s="19"/>
      <c r="COJ241" s="19"/>
      <c r="COM241" s="16"/>
      <c r="CON241" s="15"/>
      <c r="COO241" s="15"/>
      <c r="COP241" s="15"/>
      <c r="COQ241" s="16"/>
      <c r="COR241" s="16"/>
      <c r="COS241" s="16"/>
      <c r="COT241" s="16"/>
      <c r="COU241" s="16"/>
      <c r="COV241" s="15"/>
      <c r="COW241" s="15"/>
      <c r="COX241" s="10"/>
      <c r="COY241" s="10"/>
      <c r="COZ241" s="19"/>
      <c r="CPA241" s="19"/>
      <c r="CPD241" s="16"/>
      <c r="CPE241" s="15"/>
      <c r="CPF241" s="15"/>
      <c r="CPG241" s="15"/>
      <c r="CPH241" s="16"/>
      <c r="CPI241" s="16"/>
      <c r="CPJ241" s="16"/>
      <c r="CPK241" s="16"/>
      <c r="CPL241" s="16"/>
      <c r="CPM241" s="15"/>
      <c r="CPN241" s="15"/>
      <c r="CPO241" s="10"/>
      <c r="CPP241" s="10"/>
      <c r="CPQ241" s="19"/>
      <c r="CPR241" s="19"/>
      <c r="CPU241" s="16"/>
      <c r="CPV241" s="15"/>
      <c r="CPW241" s="15"/>
      <c r="CPX241" s="15"/>
      <c r="CPY241" s="16"/>
      <c r="CPZ241" s="16"/>
      <c r="CQA241" s="16"/>
      <c r="CQB241" s="16"/>
      <c r="CQC241" s="16"/>
      <c r="CQD241" s="15"/>
      <c r="CQE241" s="15"/>
      <c r="CQF241" s="10"/>
      <c r="CQG241" s="10"/>
      <c r="CQH241" s="19"/>
      <c r="CQI241" s="19"/>
      <c r="CQL241" s="16"/>
      <c r="CQM241" s="15"/>
      <c r="CQN241" s="15"/>
      <c r="CQO241" s="15"/>
      <c r="CQP241" s="16"/>
      <c r="CQQ241" s="16"/>
      <c r="CQR241" s="16"/>
      <c r="CQS241" s="16"/>
      <c r="CQT241" s="16"/>
      <c r="CQU241" s="15"/>
      <c r="CQV241" s="15"/>
      <c r="CQW241" s="10"/>
      <c r="CQX241" s="10"/>
      <c r="CQY241" s="19"/>
      <c r="CQZ241" s="19"/>
      <c r="CRC241" s="16"/>
      <c r="CRD241" s="15"/>
      <c r="CRE241" s="15"/>
      <c r="CRF241" s="15"/>
      <c r="CRG241" s="16"/>
      <c r="CRH241" s="16"/>
      <c r="CRI241" s="16"/>
      <c r="CRJ241" s="16"/>
      <c r="CRK241" s="16"/>
      <c r="CRL241" s="15"/>
      <c r="CRM241" s="15"/>
      <c r="CRN241" s="10"/>
      <c r="CRO241" s="10"/>
      <c r="CRP241" s="19"/>
      <c r="CRQ241" s="19"/>
      <c r="CRT241" s="16"/>
      <c r="CRU241" s="15"/>
      <c r="CRV241" s="15"/>
      <c r="CRW241" s="15"/>
      <c r="CRX241" s="16"/>
      <c r="CRY241" s="16"/>
      <c r="CRZ241" s="16"/>
      <c r="CSA241" s="16"/>
      <c r="CSB241" s="16"/>
      <c r="CSC241" s="15"/>
      <c r="CSD241" s="15"/>
      <c r="CSE241" s="10"/>
      <c r="CSF241" s="10"/>
      <c r="CSG241" s="19"/>
      <c r="CSH241" s="19"/>
      <c r="CSK241" s="16"/>
      <c r="CSL241" s="15"/>
      <c r="CSM241" s="15"/>
      <c r="CSN241" s="15"/>
      <c r="CSO241" s="16"/>
      <c r="CSP241" s="16"/>
      <c r="CSQ241" s="16"/>
      <c r="CSR241" s="16"/>
      <c r="CSS241" s="16"/>
      <c r="CST241" s="15"/>
      <c r="CSU241" s="15"/>
      <c r="CSV241" s="10"/>
      <c r="CSW241" s="10"/>
      <c r="CSX241" s="19"/>
      <c r="CSY241" s="19"/>
      <c r="CTB241" s="16"/>
      <c r="CTC241" s="15"/>
      <c r="CTD241" s="15"/>
      <c r="CTE241" s="15"/>
      <c r="CTF241" s="16"/>
      <c r="CTG241" s="16"/>
      <c r="CTH241" s="16"/>
      <c r="CTI241" s="16"/>
      <c r="CTJ241" s="16"/>
      <c r="CTK241" s="15"/>
      <c r="CTL241" s="15"/>
      <c r="CTM241" s="10"/>
      <c r="CTN241" s="10"/>
      <c r="CTO241" s="19"/>
      <c r="CTP241" s="19"/>
      <c r="CTS241" s="16"/>
      <c r="CTT241" s="15"/>
      <c r="CTU241" s="15"/>
      <c r="CTV241" s="15"/>
      <c r="CTW241" s="16"/>
      <c r="CTX241" s="16"/>
      <c r="CTY241" s="16"/>
      <c r="CTZ241" s="16"/>
      <c r="CUA241" s="16"/>
      <c r="CUB241" s="15"/>
      <c r="CUC241" s="15"/>
      <c r="CUD241" s="10"/>
      <c r="CUE241" s="10"/>
      <c r="CUF241" s="19"/>
      <c r="CUG241" s="19"/>
      <c r="CUJ241" s="16"/>
      <c r="CUK241" s="15"/>
      <c r="CUL241" s="15"/>
      <c r="CUM241" s="15"/>
      <c r="CUN241" s="16"/>
      <c r="CUO241" s="16"/>
      <c r="CUP241" s="16"/>
      <c r="CUQ241" s="16"/>
      <c r="CUR241" s="16"/>
      <c r="CUS241" s="15"/>
      <c r="CUT241" s="15"/>
      <c r="CUU241" s="10"/>
      <c r="CUV241" s="10"/>
      <c r="CUW241" s="19"/>
      <c r="CUX241" s="19"/>
      <c r="CVA241" s="16"/>
      <c r="CVB241" s="15"/>
      <c r="CVC241" s="15"/>
      <c r="CVD241" s="15"/>
      <c r="CVE241" s="16"/>
      <c r="CVF241" s="16"/>
      <c r="CVG241" s="16"/>
      <c r="CVH241" s="16"/>
      <c r="CVI241" s="16"/>
      <c r="CVJ241" s="15"/>
      <c r="CVK241" s="15"/>
      <c r="CVL241" s="10"/>
      <c r="CVM241" s="10"/>
      <c r="CVN241" s="19"/>
      <c r="CVO241" s="19"/>
      <c r="CVR241" s="16"/>
      <c r="CVS241" s="15"/>
      <c r="CVT241" s="15"/>
      <c r="CVU241" s="15"/>
      <c r="CVV241" s="16"/>
      <c r="CVW241" s="16"/>
      <c r="CVX241" s="16"/>
      <c r="CVY241" s="16"/>
      <c r="CVZ241" s="16"/>
      <c r="CWA241" s="15"/>
      <c r="CWB241" s="15"/>
      <c r="CWC241" s="10"/>
      <c r="CWD241" s="10"/>
      <c r="CWE241" s="19"/>
      <c r="CWF241" s="19"/>
      <c r="CWI241" s="16"/>
      <c r="CWJ241" s="15"/>
      <c r="CWK241" s="15"/>
      <c r="CWL241" s="15"/>
      <c r="CWM241" s="16"/>
      <c r="CWN241" s="16"/>
      <c r="CWO241" s="16"/>
      <c r="CWP241" s="16"/>
      <c r="CWQ241" s="16"/>
      <c r="CWR241" s="15"/>
      <c r="CWS241" s="15"/>
      <c r="CWT241" s="10"/>
      <c r="CWU241" s="10"/>
      <c r="CWV241" s="19"/>
      <c r="CWW241" s="19"/>
      <c r="CWZ241" s="16"/>
      <c r="CXA241" s="15"/>
      <c r="CXB241" s="15"/>
      <c r="CXC241" s="15"/>
      <c r="CXD241" s="16"/>
      <c r="CXE241" s="16"/>
      <c r="CXF241" s="16"/>
      <c r="CXG241" s="16"/>
      <c r="CXH241" s="16"/>
      <c r="CXI241" s="15"/>
      <c r="CXJ241" s="15"/>
      <c r="CXK241" s="10"/>
      <c r="CXL241" s="10"/>
      <c r="CXM241" s="19"/>
      <c r="CXN241" s="19"/>
      <c r="CXQ241" s="16"/>
      <c r="CXR241" s="15"/>
      <c r="CXS241" s="15"/>
      <c r="CXT241" s="15"/>
      <c r="CXU241" s="16"/>
      <c r="CXV241" s="16"/>
      <c r="CXW241" s="16"/>
      <c r="CXX241" s="16"/>
      <c r="CXY241" s="16"/>
      <c r="CXZ241" s="15"/>
      <c r="CYA241" s="15"/>
      <c r="CYB241" s="10"/>
      <c r="CYC241" s="10"/>
      <c r="CYD241" s="19"/>
      <c r="CYE241" s="19"/>
      <c r="CYH241" s="16"/>
      <c r="CYI241" s="15"/>
      <c r="CYJ241" s="15"/>
      <c r="CYK241" s="15"/>
      <c r="CYL241" s="16"/>
      <c r="CYM241" s="16"/>
      <c r="CYN241" s="16"/>
      <c r="CYO241" s="16"/>
      <c r="CYP241" s="16"/>
      <c r="CYQ241" s="15"/>
      <c r="CYR241" s="15"/>
      <c r="CYS241" s="10"/>
      <c r="CYT241" s="10"/>
      <c r="CYU241" s="19"/>
      <c r="CYV241" s="19"/>
      <c r="CYY241" s="16"/>
      <c r="CYZ241" s="15"/>
      <c r="CZA241" s="15"/>
      <c r="CZB241" s="15"/>
      <c r="CZC241" s="16"/>
      <c r="CZD241" s="16"/>
      <c r="CZE241" s="16"/>
      <c r="CZF241" s="16"/>
      <c r="CZG241" s="16"/>
      <c r="CZH241" s="15"/>
      <c r="CZI241" s="15"/>
      <c r="CZJ241" s="10"/>
      <c r="CZK241" s="10"/>
      <c r="CZL241" s="19"/>
      <c r="CZM241" s="19"/>
      <c r="CZP241" s="16"/>
      <c r="CZQ241" s="15"/>
      <c r="CZR241" s="15"/>
      <c r="CZS241" s="15"/>
      <c r="CZT241" s="16"/>
      <c r="CZU241" s="16"/>
      <c r="CZV241" s="16"/>
      <c r="CZW241" s="16"/>
      <c r="CZX241" s="16"/>
      <c r="CZY241" s="15"/>
      <c r="CZZ241" s="15"/>
      <c r="DAA241" s="10"/>
      <c r="DAB241" s="10"/>
      <c r="DAC241" s="19"/>
      <c r="DAD241" s="19"/>
      <c r="DAG241" s="16"/>
      <c r="DAH241" s="15"/>
      <c r="DAI241" s="15"/>
      <c r="DAJ241" s="15"/>
      <c r="DAK241" s="16"/>
      <c r="DAL241" s="16"/>
      <c r="DAM241" s="16"/>
      <c r="DAN241" s="16"/>
      <c r="DAO241" s="16"/>
      <c r="DAP241" s="15"/>
      <c r="DAQ241" s="15"/>
      <c r="DAR241" s="10"/>
      <c r="DAS241" s="10"/>
      <c r="DAT241" s="19"/>
      <c r="DAU241" s="19"/>
      <c r="DAX241" s="16"/>
      <c r="DAY241" s="15"/>
      <c r="DAZ241" s="15"/>
      <c r="DBA241" s="15"/>
      <c r="DBB241" s="16"/>
      <c r="DBC241" s="16"/>
      <c r="DBD241" s="16"/>
      <c r="DBE241" s="16"/>
      <c r="DBF241" s="16"/>
      <c r="DBG241" s="15"/>
      <c r="DBH241" s="15"/>
      <c r="DBI241" s="10"/>
      <c r="DBJ241" s="10"/>
      <c r="DBK241" s="19"/>
      <c r="DBL241" s="19"/>
      <c r="DBO241" s="16"/>
      <c r="DBP241" s="15"/>
      <c r="DBQ241" s="15"/>
      <c r="DBR241" s="15"/>
      <c r="DBS241" s="16"/>
      <c r="DBT241" s="16"/>
      <c r="DBU241" s="16"/>
      <c r="DBV241" s="16"/>
      <c r="DBW241" s="16"/>
      <c r="DBX241" s="15"/>
      <c r="DBY241" s="15"/>
      <c r="DBZ241" s="10"/>
      <c r="DCA241" s="10"/>
      <c r="DCB241" s="19"/>
      <c r="DCC241" s="19"/>
      <c r="DCF241" s="16"/>
      <c r="DCG241" s="15"/>
      <c r="DCH241" s="15"/>
      <c r="DCI241" s="15"/>
      <c r="DCJ241" s="16"/>
      <c r="DCK241" s="16"/>
      <c r="DCL241" s="16"/>
      <c r="DCM241" s="16"/>
      <c r="DCN241" s="16"/>
      <c r="DCO241" s="15"/>
      <c r="DCP241" s="15"/>
      <c r="DCQ241" s="10"/>
      <c r="DCR241" s="10"/>
      <c r="DCS241" s="19"/>
      <c r="DCT241" s="19"/>
      <c r="DCW241" s="16"/>
      <c r="DCX241" s="15"/>
      <c r="DCY241" s="15"/>
      <c r="DCZ241" s="15"/>
      <c r="DDA241" s="16"/>
      <c r="DDB241" s="16"/>
      <c r="DDC241" s="16"/>
      <c r="DDD241" s="16"/>
      <c r="DDE241" s="16"/>
      <c r="DDF241" s="15"/>
      <c r="DDG241" s="15"/>
      <c r="DDH241" s="10"/>
      <c r="DDI241" s="10"/>
      <c r="DDJ241" s="19"/>
      <c r="DDK241" s="19"/>
      <c r="DDN241" s="16"/>
      <c r="DDO241" s="15"/>
      <c r="DDP241" s="15"/>
      <c r="DDQ241" s="15"/>
      <c r="DDR241" s="16"/>
      <c r="DDS241" s="16"/>
      <c r="DDT241" s="16"/>
      <c r="DDU241" s="16"/>
      <c r="DDV241" s="16"/>
      <c r="DDW241" s="15"/>
      <c r="DDX241" s="15"/>
      <c r="DDY241" s="10"/>
      <c r="DDZ241" s="10"/>
      <c r="DEA241" s="19"/>
      <c r="DEB241" s="19"/>
      <c r="DEE241" s="16"/>
      <c r="DEF241" s="15"/>
      <c r="DEG241" s="15"/>
      <c r="DEH241" s="15"/>
      <c r="DEI241" s="16"/>
      <c r="DEJ241" s="16"/>
      <c r="DEK241" s="16"/>
      <c r="DEL241" s="16"/>
      <c r="DEM241" s="16"/>
      <c r="DEN241" s="15"/>
      <c r="DEO241" s="15"/>
      <c r="DEP241" s="10"/>
      <c r="DEQ241" s="10"/>
      <c r="DER241" s="19"/>
      <c r="DES241" s="19"/>
      <c r="DEV241" s="16"/>
      <c r="DEW241" s="15"/>
      <c r="DEX241" s="15"/>
      <c r="DEY241" s="15"/>
      <c r="DEZ241" s="16"/>
      <c r="DFA241" s="16"/>
      <c r="DFB241" s="16"/>
      <c r="DFC241" s="16"/>
      <c r="DFD241" s="16"/>
      <c r="DFE241" s="15"/>
      <c r="DFF241" s="15"/>
      <c r="DFG241" s="10"/>
      <c r="DFH241" s="10"/>
      <c r="DFI241" s="19"/>
      <c r="DFJ241" s="19"/>
      <c r="DFM241" s="16"/>
      <c r="DFN241" s="15"/>
      <c r="DFO241" s="15"/>
      <c r="DFP241" s="15"/>
      <c r="DFQ241" s="16"/>
      <c r="DFR241" s="16"/>
      <c r="DFS241" s="16"/>
      <c r="DFT241" s="16"/>
      <c r="DFU241" s="16"/>
      <c r="DFV241" s="15"/>
      <c r="DFW241" s="15"/>
      <c r="DFX241" s="10"/>
      <c r="DFY241" s="10"/>
      <c r="DFZ241" s="19"/>
      <c r="DGA241" s="19"/>
      <c r="DGD241" s="16"/>
      <c r="DGE241" s="15"/>
      <c r="DGF241" s="15"/>
      <c r="DGG241" s="15"/>
      <c r="DGH241" s="16"/>
      <c r="DGI241" s="16"/>
      <c r="DGJ241" s="16"/>
      <c r="DGK241" s="16"/>
      <c r="DGL241" s="16"/>
      <c r="DGM241" s="15"/>
      <c r="DGN241" s="15"/>
      <c r="DGO241" s="10"/>
      <c r="DGP241" s="10"/>
      <c r="DGQ241" s="19"/>
      <c r="DGR241" s="19"/>
      <c r="DGU241" s="16"/>
      <c r="DGV241" s="15"/>
      <c r="DGW241" s="15"/>
      <c r="DGX241" s="15"/>
      <c r="DGY241" s="16"/>
      <c r="DGZ241" s="16"/>
      <c r="DHA241" s="16"/>
      <c r="DHB241" s="16"/>
      <c r="DHC241" s="16"/>
      <c r="DHD241" s="15"/>
      <c r="DHE241" s="15"/>
      <c r="DHF241" s="10"/>
      <c r="DHG241" s="10"/>
      <c r="DHH241" s="19"/>
      <c r="DHI241" s="19"/>
      <c r="DHL241" s="16"/>
      <c r="DHM241" s="15"/>
      <c r="DHN241" s="15"/>
      <c r="DHO241" s="15"/>
      <c r="DHP241" s="16"/>
      <c r="DHQ241" s="16"/>
      <c r="DHR241" s="16"/>
      <c r="DHS241" s="16"/>
      <c r="DHT241" s="16"/>
      <c r="DHU241" s="15"/>
      <c r="DHV241" s="15"/>
      <c r="DHW241" s="10"/>
      <c r="DHX241" s="10"/>
      <c r="DHY241" s="19"/>
      <c r="DHZ241" s="19"/>
      <c r="DIC241" s="16"/>
      <c r="DID241" s="15"/>
      <c r="DIE241" s="15"/>
      <c r="DIF241" s="15"/>
      <c r="DIG241" s="16"/>
      <c r="DIH241" s="16"/>
      <c r="DII241" s="16"/>
      <c r="DIJ241" s="16"/>
      <c r="DIK241" s="16"/>
      <c r="DIL241" s="15"/>
      <c r="DIM241" s="15"/>
      <c r="DIN241" s="10"/>
      <c r="DIO241" s="10"/>
      <c r="DIP241" s="19"/>
      <c r="DIQ241" s="19"/>
      <c r="DIT241" s="16"/>
      <c r="DIU241" s="15"/>
      <c r="DIV241" s="15"/>
      <c r="DIW241" s="15"/>
      <c r="DIX241" s="16"/>
      <c r="DIY241" s="16"/>
      <c r="DIZ241" s="16"/>
      <c r="DJA241" s="16"/>
      <c r="DJB241" s="16"/>
      <c r="DJC241" s="15"/>
      <c r="DJD241" s="15"/>
      <c r="DJE241" s="10"/>
      <c r="DJF241" s="10"/>
      <c r="DJG241" s="19"/>
      <c r="DJH241" s="19"/>
      <c r="DJK241" s="16"/>
      <c r="DJL241" s="15"/>
      <c r="DJM241" s="15"/>
      <c r="DJN241" s="15"/>
      <c r="DJO241" s="16"/>
      <c r="DJP241" s="16"/>
      <c r="DJQ241" s="16"/>
      <c r="DJR241" s="16"/>
      <c r="DJS241" s="16"/>
      <c r="DJT241" s="15"/>
      <c r="DJU241" s="15"/>
      <c r="DJV241" s="10"/>
      <c r="DJW241" s="10"/>
      <c r="DJX241" s="19"/>
      <c r="DJY241" s="19"/>
      <c r="DKB241" s="16"/>
      <c r="DKC241" s="15"/>
      <c r="DKD241" s="15"/>
      <c r="DKE241" s="15"/>
      <c r="DKF241" s="16"/>
      <c r="DKG241" s="16"/>
      <c r="DKH241" s="16"/>
      <c r="DKI241" s="16"/>
      <c r="DKJ241" s="16"/>
      <c r="DKK241" s="15"/>
      <c r="DKL241" s="15"/>
      <c r="DKM241" s="10"/>
      <c r="DKN241" s="10"/>
      <c r="DKO241" s="19"/>
      <c r="DKP241" s="19"/>
      <c r="DKS241" s="16"/>
      <c r="DKT241" s="15"/>
      <c r="DKU241" s="15"/>
      <c r="DKV241" s="15"/>
      <c r="DKW241" s="16"/>
      <c r="DKX241" s="16"/>
      <c r="DKY241" s="16"/>
      <c r="DKZ241" s="16"/>
      <c r="DLA241" s="16"/>
      <c r="DLB241" s="15"/>
      <c r="DLC241" s="15"/>
      <c r="DLD241" s="10"/>
      <c r="DLE241" s="10"/>
      <c r="DLF241" s="19"/>
      <c r="DLG241" s="19"/>
      <c r="DLJ241" s="16"/>
      <c r="DLK241" s="15"/>
      <c r="DLL241" s="15"/>
      <c r="DLM241" s="15"/>
      <c r="DLN241" s="16"/>
      <c r="DLO241" s="16"/>
      <c r="DLP241" s="16"/>
      <c r="DLQ241" s="16"/>
      <c r="DLR241" s="16"/>
      <c r="DLS241" s="15"/>
      <c r="DLT241" s="15"/>
      <c r="DLU241" s="10"/>
      <c r="DLV241" s="10"/>
      <c r="DLW241" s="19"/>
      <c r="DLX241" s="19"/>
      <c r="DMA241" s="16"/>
      <c r="DMB241" s="15"/>
      <c r="DMC241" s="15"/>
      <c r="DMD241" s="15"/>
      <c r="DME241" s="16"/>
      <c r="DMF241" s="16"/>
      <c r="DMG241" s="16"/>
      <c r="DMH241" s="16"/>
      <c r="DMI241" s="16"/>
      <c r="DMJ241" s="15"/>
      <c r="DMK241" s="15"/>
      <c r="DML241" s="10"/>
      <c r="DMM241" s="10"/>
      <c r="DMN241" s="19"/>
      <c r="DMO241" s="19"/>
      <c r="DMR241" s="16"/>
      <c r="DMS241" s="15"/>
      <c r="DMT241" s="15"/>
      <c r="DMU241" s="15"/>
      <c r="DMV241" s="16"/>
      <c r="DMW241" s="16"/>
      <c r="DMX241" s="16"/>
      <c r="DMY241" s="16"/>
      <c r="DMZ241" s="16"/>
      <c r="DNA241" s="15"/>
      <c r="DNB241" s="15"/>
      <c r="DNC241" s="10"/>
      <c r="DND241" s="10"/>
      <c r="DNE241" s="19"/>
      <c r="DNF241" s="19"/>
      <c r="DNI241" s="16"/>
      <c r="DNJ241" s="15"/>
      <c r="DNK241" s="15"/>
      <c r="DNL241" s="15"/>
      <c r="DNM241" s="16"/>
      <c r="DNN241" s="16"/>
      <c r="DNO241" s="16"/>
      <c r="DNP241" s="16"/>
      <c r="DNQ241" s="16"/>
      <c r="DNR241" s="15"/>
      <c r="DNS241" s="15"/>
      <c r="DNT241" s="10"/>
      <c r="DNU241" s="10"/>
      <c r="DNV241" s="19"/>
      <c r="DNW241" s="19"/>
      <c r="DNZ241" s="16"/>
      <c r="DOA241" s="15"/>
      <c r="DOB241" s="15"/>
      <c r="DOC241" s="15"/>
      <c r="DOD241" s="16"/>
      <c r="DOE241" s="16"/>
      <c r="DOF241" s="16"/>
      <c r="DOG241" s="16"/>
      <c r="DOH241" s="16"/>
      <c r="DOI241" s="15"/>
      <c r="DOJ241" s="15"/>
      <c r="DOK241" s="10"/>
      <c r="DOL241" s="10"/>
      <c r="DOM241" s="19"/>
      <c r="DON241" s="19"/>
      <c r="DOQ241" s="16"/>
      <c r="DOR241" s="15"/>
      <c r="DOS241" s="15"/>
      <c r="DOT241" s="15"/>
      <c r="DOU241" s="16"/>
      <c r="DOV241" s="16"/>
      <c r="DOW241" s="16"/>
      <c r="DOX241" s="16"/>
      <c r="DOY241" s="16"/>
      <c r="DOZ241" s="15"/>
      <c r="DPA241" s="15"/>
      <c r="DPB241" s="10"/>
      <c r="DPC241" s="10"/>
      <c r="DPD241" s="19"/>
      <c r="DPE241" s="19"/>
      <c r="DPH241" s="16"/>
      <c r="DPI241" s="15"/>
      <c r="DPJ241" s="15"/>
      <c r="DPK241" s="15"/>
      <c r="DPL241" s="16"/>
      <c r="DPM241" s="16"/>
      <c r="DPN241" s="16"/>
      <c r="DPO241" s="16"/>
      <c r="DPP241" s="16"/>
      <c r="DPQ241" s="15"/>
      <c r="DPR241" s="15"/>
      <c r="DPS241" s="10"/>
      <c r="DPT241" s="10"/>
      <c r="DPU241" s="19"/>
      <c r="DPV241" s="19"/>
      <c r="DPY241" s="16"/>
      <c r="DPZ241" s="15"/>
      <c r="DQA241" s="15"/>
      <c r="DQB241" s="15"/>
      <c r="DQC241" s="16"/>
      <c r="DQD241" s="16"/>
      <c r="DQE241" s="16"/>
      <c r="DQF241" s="16"/>
      <c r="DQG241" s="16"/>
      <c r="DQH241" s="15"/>
      <c r="DQI241" s="15"/>
      <c r="DQJ241" s="10"/>
      <c r="DQK241" s="10"/>
      <c r="DQL241" s="19"/>
      <c r="DQM241" s="19"/>
      <c r="DQP241" s="16"/>
      <c r="DQQ241" s="15"/>
      <c r="DQR241" s="15"/>
      <c r="DQS241" s="15"/>
      <c r="DQT241" s="16"/>
      <c r="DQU241" s="16"/>
      <c r="DQV241" s="16"/>
      <c r="DQW241" s="16"/>
      <c r="DQX241" s="16"/>
      <c r="DQY241" s="15"/>
      <c r="DQZ241" s="15"/>
      <c r="DRA241" s="10"/>
      <c r="DRB241" s="10"/>
      <c r="DRC241" s="19"/>
      <c r="DRD241" s="19"/>
      <c r="DRG241" s="16"/>
      <c r="DRH241" s="15"/>
      <c r="DRI241" s="15"/>
      <c r="DRJ241" s="15"/>
      <c r="DRK241" s="16"/>
      <c r="DRL241" s="16"/>
      <c r="DRM241" s="16"/>
      <c r="DRN241" s="16"/>
      <c r="DRO241" s="16"/>
      <c r="DRP241" s="15"/>
      <c r="DRQ241" s="15"/>
      <c r="DRR241" s="10"/>
      <c r="DRS241" s="10"/>
      <c r="DRT241" s="19"/>
      <c r="DRU241" s="19"/>
      <c r="DRX241" s="16"/>
      <c r="DRY241" s="15"/>
      <c r="DRZ241" s="15"/>
      <c r="DSA241" s="15"/>
      <c r="DSB241" s="16"/>
      <c r="DSC241" s="16"/>
      <c r="DSD241" s="16"/>
      <c r="DSE241" s="16"/>
      <c r="DSF241" s="16"/>
      <c r="DSG241" s="15"/>
      <c r="DSH241" s="15"/>
      <c r="DSI241" s="10"/>
      <c r="DSJ241" s="10"/>
      <c r="DSK241" s="19"/>
      <c r="DSL241" s="19"/>
      <c r="DSO241" s="16"/>
      <c r="DSP241" s="15"/>
      <c r="DSQ241" s="15"/>
      <c r="DSR241" s="15"/>
      <c r="DSS241" s="16"/>
      <c r="DST241" s="16"/>
      <c r="DSU241" s="16"/>
      <c r="DSV241" s="16"/>
      <c r="DSW241" s="16"/>
      <c r="DSX241" s="15"/>
      <c r="DSY241" s="15"/>
      <c r="DSZ241" s="10"/>
      <c r="DTA241" s="10"/>
      <c r="DTB241" s="19"/>
      <c r="DTC241" s="19"/>
      <c r="DTF241" s="16"/>
      <c r="DTG241" s="15"/>
      <c r="DTH241" s="15"/>
      <c r="DTI241" s="15"/>
      <c r="DTJ241" s="16"/>
      <c r="DTK241" s="16"/>
      <c r="DTL241" s="16"/>
      <c r="DTM241" s="16"/>
      <c r="DTN241" s="16"/>
      <c r="DTO241" s="15"/>
      <c r="DTP241" s="15"/>
      <c r="DTQ241" s="10"/>
      <c r="DTR241" s="10"/>
      <c r="DTS241" s="19"/>
      <c r="DTT241" s="19"/>
      <c r="DTW241" s="16"/>
      <c r="DTX241" s="15"/>
      <c r="DTY241" s="15"/>
      <c r="DTZ241" s="15"/>
      <c r="DUA241" s="16"/>
      <c r="DUB241" s="16"/>
      <c r="DUC241" s="16"/>
      <c r="DUD241" s="16"/>
      <c r="DUE241" s="16"/>
      <c r="DUF241" s="15"/>
      <c r="DUG241" s="15"/>
      <c r="DUH241" s="10"/>
      <c r="DUI241" s="10"/>
      <c r="DUJ241" s="19"/>
      <c r="DUK241" s="19"/>
      <c r="DUN241" s="16"/>
      <c r="DUO241" s="15"/>
      <c r="DUP241" s="15"/>
      <c r="DUQ241" s="15"/>
      <c r="DUR241" s="16"/>
      <c r="DUS241" s="16"/>
      <c r="DUT241" s="16"/>
      <c r="DUU241" s="16"/>
      <c r="DUV241" s="16"/>
      <c r="DUW241" s="15"/>
      <c r="DUX241" s="15"/>
      <c r="DUY241" s="10"/>
      <c r="DUZ241" s="10"/>
      <c r="DVA241" s="19"/>
      <c r="DVB241" s="19"/>
      <c r="DVE241" s="16"/>
      <c r="DVF241" s="15"/>
      <c r="DVG241" s="15"/>
      <c r="DVH241" s="15"/>
      <c r="DVI241" s="16"/>
      <c r="DVJ241" s="16"/>
      <c r="DVK241" s="16"/>
      <c r="DVL241" s="16"/>
      <c r="DVM241" s="16"/>
      <c r="DVN241" s="15"/>
      <c r="DVO241" s="15"/>
      <c r="DVP241" s="10"/>
      <c r="DVQ241" s="10"/>
      <c r="DVR241" s="19"/>
      <c r="DVS241" s="19"/>
      <c r="DVV241" s="16"/>
      <c r="DVW241" s="15"/>
      <c r="DVX241" s="15"/>
      <c r="DVY241" s="15"/>
      <c r="DVZ241" s="16"/>
      <c r="DWA241" s="16"/>
      <c r="DWB241" s="16"/>
      <c r="DWC241" s="16"/>
      <c r="DWD241" s="16"/>
      <c r="DWE241" s="15"/>
      <c r="DWF241" s="15"/>
      <c r="DWG241" s="10"/>
      <c r="DWH241" s="10"/>
      <c r="DWI241" s="19"/>
      <c r="DWJ241" s="19"/>
      <c r="DWM241" s="16"/>
      <c r="DWN241" s="15"/>
      <c r="DWO241" s="15"/>
      <c r="DWP241" s="15"/>
      <c r="DWQ241" s="16"/>
      <c r="DWR241" s="16"/>
      <c r="DWS241" s="16"/>
      <c r="DWT241" s="16"/>
      <c r="DWU241" s="16"/>
      <c r="DWV241" s="15"/>
      <c r="DWW241" s="15"/>
      <c r="DWX241" s="10"/>
      <c r="DWY241" s="10"/>
      <c r="DWZ241" s="19"/>
      <c r="DXA241" s="19"/>
      <c r="DXD241" s="16"/>
      <c r="DXE241" s="15"/>
      <c r="DXF241" s="15"/>
      <c r="DXG241" s="15"/>
      <c r="DXH241" s="16"/>
      <c r="DXI241" s="16"/>
      <c r="DXJ241" s="16"/>
      <c r="DXK241" s="16"/>
      <c r="DXL241" s="16"/>
      <c r="DXM241" s="15"/>
      <c r="DXN241" s="15"/>
      <c r="DXO241" s="10"/>
      <c r="DXP241" s="10"/>
      <c r="DXQ241" s="19"/>
      <c r="DXR241" s="19"/>
      <c r="DXU241" s="16"/>
      <c r="DXV241" s="15"/>
      <c r="DXW241" s="15"/>
      <c r="DXX241" s="15"/>
      <c r="DXY241" s="16"/>
      <c r="DXZ241" s="16"/>
      <c r="DYA241" s="16"/>
      <c r="DYB241" s="16"/>
      <c r="DYC241" s="16"/>
      <c r="DYD241" s="15"/>
      <c r="DYE241" s="15"/>
      <c r="DYF241" s="10"/>
      <c r="DYG241" s="10"/>
      <c r="DYH241" s="19"/>
      <c r="DYI241" s="19"/>
      <c r="DYL241" s="16"/>
      <c r="DYM241" s="15"/>
      <c r="DYN241" s="15"/>
      <c r="DYO241" s="15"/>
      <c r="DYP241" s="16"/>
      <c r="DYQ241" s="16"/>
      <c r="DYR241" s="16"/>
      <c r="DYS241" s="16"/>
      <c r="DYT241" s="16"/>
      <c r="DYU241" s="15"/>
      <c r="DYV241" s="15"/>
      <c r="DYW241" s="10"/>
      <c r="DYX241" s="10"/>
      <c r="DYY241" s="19"/>
      <c r="DYZ241" s="19"/>
      <c r="DZC241" s="16"/>
      <c r="DZD241" s="15"/>
      <c r="DZE241" s="15"/>
      <c r="DZF241" s="15"/>
      <c r="DZG241" s="16"/>
      <c r="DZH241" s="16"/>
      <c r="DZI241" s="16"/>
      <c r="DZJ241" s="16"/>
      <c r="DZK241" s="16"/>
      <c r="DZL241" s="15"/>
      <c r="DZM241" s="15"/>
      <c r="DZN241" s="10"/>
      <c r="DZO241" s="10"/>
      <c r="DZP241" s="19"/>
      <c r="DZQ241" s="19"/>
      <c r="DZT241" s="16"/>
      <c r="DZU241" s="15"/>
      <c r="DZV241" s="15"/>
      <c r="DZW241" s="15"/>
      <c r="DZX241" s="16"/>
      <c r="DZY241" s="16"/>
      <c r="DZZ241" s="16"/>
      <c r="EAA241" s="16"/>
      <c r="EAB241" s="16"/>
      <c r="EAC241" s="15"/>
      <c r="EAD241" s="15"/>
      <c r="EAE241" s="10"/>
      <c r="EAF241" s="10"/>
      <c r="EAG241" s="19"/>
      <c r="EAH241" s="19"/>
      <c r="EAK241" s="16"/>
      <c r="EAL241" s="15"/>
      <c r="EAM241" s="15"/>
      <c r="EAN241" s="15"/>
      <c r="EAO241" s="16"/>
      <c r="EAP241" s="16"/>
      <c r="EAQ241" s="16"/>
      <c r="EAR241" s="16"/>
      <c r="EAS241" s="16"/>
      <c r="EAT241" s="15"/>
      <c r="EAU241" s="15"/>
      <c r="EAV241" s="10"/>
      <c r="EAW241" s="10"/>
      <c r="EAX241" s="19"/>
      <c r="EAY241" s="19"/>
      <c r="EBB241" s="16"/>
      <c r="EBC241" s="15"/>
      <c r="EBD241" s="15"/>
      <c r="EBE241" s="15"/>
      <c r="EBF241" s="16"/>
      <c r="EBG241" s="16"/>
      <c r="EBH241" s="16"/>
      <c r="EBI241" s="16"/>
      <c r="EBJ241" s="16"/>
      <c r="EBK241" s="15"/>
      <c r="EBL241" s="15"/>
      <c r="EBM241" s="10"/>
      <c r="EBN241" s="10"/>
      <c r="EBO241" s="19"/>
      <c r="EBP241" s="19"/>
      <c r="EBS241" s="16"/>
      <c r="EBT241" s="15"/>
      <c r="EBU241" s="15"/>
      <c r="EBV241" s="15"/>
      <c r="EBW241" s="16"/>
      <c r="EBX241" s="16"/>
      <c r="EBY241" s="16"/>
      <c r="EBZ241" s="16"/>
      <c r="ECA241" s="16"/>
      <c r="ECB241" s="15"/>
      <c r="ECC241" s="15"/>
      <c r="ECD241" s="10"/>
      <c r="ECE241" s="10"/>
      <c r="ECF241" s="19"/>
      <c r="ECG241" s="19"/>
      <c r="ECJ241" s="16"/>
      <c r="ECK241" s="15"/>
      <c r="ECL241" s="15"/>
      <c r="ECM241" s="15"/>
      <c r="ECN241" s="16"/>
      <c r="ECO241" s="16"/>
      <c r="ECP241" s="16"/>
      <c r="ECQ241" s="16"/>
      <c r="ECR241" s="16"/>
      <c r="ECS241" s="15"/>
      <c r="ECT241" s="15"/>
      <c r="ECU241" s="10"/>
      <c r="ECV241" s="10"/>
      <c r="ECW241" s="19"/>
      <c r="ECX241" s="19"/>
      <c r="EDA241" s="16"/>
      <c r="EDB241" s="15"/>
      <c r="EDC241" s="15"/>
      <c r="EDD241" s="15"/>
      <c r="EDE241" s="16"/>
      <c r="EDF241" s="16"/>
      <c r="EDG241" s="16"/>
      <c r="EDH241" s="16"/>
      <c r="EDI241" s="16"/>
      <c r="EDJ241" s="15"/>
      <c r="EDK241" s="15"/>
      <c r="EDL241" s="10"/>
      <c r="EDM241" s="10"/>
      <c r="EDN241" s="19"/>
      <c r="EDO241" s="19"/>
      <c r="EDR241" s="16"/>
      <c r="EDS241" s="15"/>
      <c r="EDT241" s="15"/>
      <c r="EDU241" s="15"/>
      <c r="EDV241" s="16"/>
      <c r="EDW241" s="16"/>
      <c r="EDX241" s="16"/>
      <c r="EDY241" s="16"/>
      <c r="EDZ241" s="16"/>
      <c r="EEA241" s="15"/>
      <c r="EEB241" s="15"/>
      <c r="EEC241" s="10"/>
      <c r="EED241" s="10"/>
      <c r="EEE241" s="19"/>
      <c r="EEF241" s="19"/>
      <c r="EEI241" s="16"/>
      <c r="EEJ241" s="15"/>
      <c r="EEK241" s="15"/>
      <c r="EEL241" s="15"/>
      <c r="EEM241" s="16"/>
      <c r="EEN241" s="16"/>
      <c r="EEO241" s="16"/>
      <c r="EEP241" s="16"/>
      <c r="EEQ241" s="16"/>
      <c r="EER241" s="15"/>
      <c r="EES241" s="15"/>
      <c r="EET241" s="10"/>
      <c r="EEU241" s="10"/>
      <c r="EEV241" s="19"/>
      <c r="EEW241" s="19"/>
      <c r="EEZ241" s="16"/>
      <c r="EFA241" s="15"/>
      <c r="EFB241" s="15"/>
      <c r="EFC241" s="15"/>
      <c r="EFD241" s="16"/>
      <c r="EFE241" s="16"/>
      <c r="EFF241" s="16"/>
      <c r="EFG241" s="16"/>
      <c r="EFH241" s="16"/>
      <c r="EFI241" s="15"/>
      <c r="EFJ241" s="15"/>
      <c r="EFK241" s="10"/>
      <c r="EFL241" s="10"/>
      <c r="EFM241" s="19"/>
      <c r="EFN241" s="19"/>
      <c r="EFQ241" s="16"/>
      <c r="EFR241" s="15"/>
      <c r="EFS241" s="15"/>
      <c r="EFT241" s="15"/>
      <c r="EFU241" s="16"/>
      <c r="EFV241" s="16"/>
      <c r="EFW241" s="16"/>
      <c r="EFX241" s="16"/>
      <c r="EFY241" s="16"/>
      <c r="EFZ241" s="15"/>
      <c r="EGA241" s="15"/>
      <c r="EGB241" s="10"/>
      <c r="EGC241" s="10"/>
      <c r="EGD241" s="19"/>
      <c r="EGE241" s="19"/>
      <c r="EGH241" s="16"/>
      <c r="EGI241" s="15"/>
      <c r="EGJ241" s="15"/>
      <c r="EGK241" s="15"/>
      <c r="EGL241" s="16"/>
      <c r="EGM241" s="16"/>
      <c r="EGN241" s="16"/>
      <c r="EGO241" s="16"/>
      <c r="EGP241" s="16"/>
      <c r="EGQ241" s="15"/>
      <c r="EGR241" s="15"/>
      <c r="EGS241" s="10"/>
      <c r="EGT241" s="10"/>
      <c r="EGU241" s="19"/>
      <c r="EGV241" s="19"/>
      <c r="EGY241" s="16"/>
      <c r="EGZ241" s="15"/>
      <c r="EHA241" s="15"/>
      <c r="EHB241" s="15"/>
      <c r="EHC241" s="16"/>
      <c r="EHD241" s="16"/>
      <c r="EHE241" s="16"/>
      <c r="EHF241" s="16"/>
      <c r="EHG241" s="16"/>
      <c r="EHH241" s="15"/>
      <c r="EHI241" s="15"/>
      <c r="EHJ241" s="10"/>
      <c r="EHK241" s="10"/>
      <c r="EHL241" s="19"/>
      <c r="EHM241" s="19"/>
      <c r="EHP241" s="16"/>
      <c r="EHQ241" s="15"/>
      <c r="EHR241" s="15"/>
      <c r="EHS241" s="15"/>
      <c r="EHT241" s="16"/>
      <c r="EHU241" s="16"/>
      <c r="EHV241" s="16"/>
      <c r="EHW241" s="16"/>
      <c r="EHX241" s="16"/>
      <c r="EHY241" s="15"/>
      <c r="EHZ241" s="15"/>
      <c r="EIA241" s="10"/>
      <c r="EIB241" s="10"/>
      <c r="EIC241" s="19"/>
      <c r="EID241" s="19"/>
      <c r="EIG241" s="16"/>
      <c r="EIH241" s="15"/>
      <c r="EII241" s="15"/>
      <c r="EIJ241" s="15"/>
      <c r="EIK241" s="16"/>
      <c r="EIL241" s="16"/>
      <c r="EIM241" s="16"/>
      <c r="EIN241" s="16"/>
      <c r="EIO241" s="16"/>
      <c r="EIP241" s="15"/>
      <c r="EIQ241" s="15"/>
      <c r="EIR241" s="10"/>
      <c r="EIS241" s="10"/>
      <c r="EIT241" s="19"/>
      <c r="EIU241" s="19"/>
      <c r="EIX241" s="16"/>
      <c r="EIY241" s="15"/>
      <c r="EIZ241" s="15"/>
      <c r="EJA241" s="15"/>
      <c r="EJB241" s="16"/>
      <c r="EJC241" s="16"/>
      <c r="EJD241" s="16"/>
      <c r="EJE241" s="16"/>
      <c r="EJF241" s="16"/>
      <c r="EJG241" s="15"/>
      <c r="EJH241" s="15"/>
      <c r="EJI241" s="10"/>
      <c r="EJJ241" s="10"/>
      <c r="EJK241" s="19"/>
      <c r="EJL241" s="19"/>
      <c r="EJO241" s="16"/>
      <c r="EJP241" s="15"/>
      <c r="EJQ241" s="15"/>
      <c r="EJR241" s="15"/>
      <c r="EJS241" s="16"/>
      <c r="EJT241" s="16"/>
      <c r="EJU241" s="16"/>
      <c r="EJV241" s="16"/>
      <c r="EJW241" s="16"/>
      <c r="EJX241" s="15"/>
      <c r="EJY241" s="15"/>
      <c r="EJZ241" s="10"/>
      <c r="EKA241" s="10"/>
      <c r="EKB241" s="19"/>
      <c r="EKC241" s="19"/>
      <c r="EKF241" s="16"/>
      <c r="EKG241" s="15"/>
      <c r="EKH241" s="15"/>
      <c r="EKI241" s="15"/>
      <c r="EKJ241" s="16"/>
      <c r="EKK241" s="16"/>
      <c r="EKL241" s="16"/>
      <c r="EKM241" s="16"/>
      <c r="EKN241" s="16"/>
      <c r="EKO241" s="15"/>
      <c r="EKP241" s="15"/>
      <c r="EKQ241" s="10"/>
      <c r="EKR241" s="10"/>
      <c r="EKS241" s="19"/>
      <c r="EKT241" s="19"/>
      <c r="EKW241" s="16"/>
      <c r="EKX241" s="15"/>
      <c r="EKY241" s="15"/>
      <c r="EKZ241" s="15"/>
      <c r="ELA241" s="16"/>
      <c r="ELB241" s="16"/>
      <c r="ELC241" s="16"/>
      <c r="ELD241" s="16"/>
      <c r="ELE241" s="16"/>
      <c r="ELF241" s="15"/>
      <c r="ELG241" s="15"/>
      <c r="ELH241" s="10"/>
      <c r="ELI241" s="10"/>
      <c r="ELJ241" s="19"/>
      <c r="ELK241" s="19"/>
      <c r="ELN241" s="16"/>
      <c r="ELO241" s="15"/>
      <c r="ELP241" s="15"/>
      <c r="ELQ241" s="15"/>
      <c r="ELR241" s="16"/>
      <c r="ELS241" s="16"/>
      <c r="ELT241" s="16"/>
      <c r="ELU241" s="16"/>
      <c r="ELV241" s="16"/>
      <c r="ELW241" s="15"/>
      <c r="ELX241" s="15"/>
      <c r="ELY241" s="10"/>
      <c r="ELZ241" s="10"/>
      <c r="EMA241" s="19"/>
      <c r="EMB241" s="19"/>
      <c r="EME241" s="16"/>
      <c r="EMF241" s="15"/>
      <c r="EMG241" s="15"/>
      <c r="EMH241" s="15"/>
      <c r="EMI241" s="16"/>
      <c r="EMJ241" s="16"/>
      <c r="EMK241" s="16"/>
      <c r="EML241" s="16"/>
      <c r="EMM241" s="16"/>
      <c r="EMN241" s="15"/>
      <c r="EMO241" s="15"/>
      <c r="EMP241" s="10"/>
      <c r="EMQ241" s="10"/>
      <c r="EMR241" s="19"/>
      <c r="EMS241" s="19"/>
      <c r="EMV241" s="16"/>
      <c r="EMW241" s="15"/>
      <c r="EMX241" s="15"/>
      <c r="EMY241" s="15"/>
      <c r="EMZ241" s="16"/>
      <c r="ENA241" s="16"/>
      <c r="ENB241" s="16"/>
      <c r="ENC241" s="16"/>
      <c r="END241" s="16"/>
      <c r="ENE241" s="15"/>
      <c r="ENF241" s="15"/>
      <c r="ENG241" s="10"/>
      <c r="ENH241" s="10"/>
      <c r="ENI241" s="19"/>
      <c r="ENJ241" s="19"/>
      <c r="ENM241" s="16"/>
      <c r="ENN241" s="15"/>
      <c r="ENO241" s="15"/>
      <c r="ENP241" s="15"/>
      <c r="ENQ241" s="16"/>
      <c r="ENR241" s="16"/>
      <c r="ENS241" s="16"/>
      <c r="ENT241" s="16"/>
      <c r="ENU241" s="16"/>
      <c r="ENV241" s="15"/>
      <c r="ENW241" s="15"/>
      <c r="ENX241" s="10"/>
      <c r="ENY241" s="10"/>
      <c r="ENZ241" s="19"/>
      <c r="EOA241" s="19"/>
      <c r="EOD241" s="16"/>
      <c r="EOE241" s="15"/>
      <c r="EOF241" s="15"/>
      <c r="EOG241" s="15"/>
      <c r="EOH241" s="16"/>
      <c r="EOI241" s="16"/>
      <c r="EOJ241" s="16"/>
      <c r="EOK241" s="16"/>
      <c r="EOL241" s="16"/>
      <c r="EOM241" s="15"/>
      <c r="EON241" s="15"/>
      <c r="EOO241" s="10"/>
      <c r="EOP241" s="10"/>
      <c r="EOQ241" s="19"/>
      <c r="EOR241" s="19"/>
      <c r="EOU241" s="16"/>
      <c r="EOV241" s="15"/>
      <c r="EOW241" s="15"/>
      <c r="EOX241" s="15"/>
      <c r="EOY241" s="16"/>
      <c r="EOZ241" s="16"/>
      <c r="EPA241" s="16"/>
      <c r="EPB241" s="16"/>
      <c r="EPC241" s="16"/>
      <c r="EPD241" s="15"/>
      <c r="EPE241" s="15"/>
      <c r="EPF241" s="10"/>
      <c r="EPG241" s="10"/>
      <c r="EPH241" s="19"/>
      <c r="EPI241" s="19"/>
      <c r="EPL241" s="16"/>
      <c r="EPM241" s="15"/>
      <c r="EPN241" s="15"/>
      <c r="EPO241" s="15"/>
      <c r="EPP241" s="16"/>
      <c r="EPQ241" s="16"/>
      <c r="EPR241" s="16"/>
      <c r="EPS241" s="16"/>
      <c r="EPT241" s="16"/>
      <c r="EPU241" s="15"/>
      <c r="EPV241" s="15"/>
      <c r="EPW241" s="10"/>
      <c r="EPX241" s="10"/>
      <c r="EPY241" s="19"/>
      <c r="EPZ241" s="19"/>
      <c r="EQC241" s="16"/>
      <c r="EQD241" s="15"/>
      <c r="EQE241" s="15"/>
      <c r="EQF241" s="15"/>
      <c r="EQG241" s="16"/>
      <c r="EQH241" s="16"/>
      <c r="EQI241" s="16"/>
      <c r="EQJ241" s="16"/>
      <c r="EQK241" s="16"/>
      <c r="EQL241" s="15"/>
      <c r="EQM241" s="15"/>
      <c r="EQN241" s="10"/>
      <c r="EQO241" s="10"/>
      <c r="EQP241" s="19"/>
      <c r="EQQ241" s="19"/>
      <c r="EQT241" s="16"/>
      <c r="EQU241" s="15"/>
      <c r="EQV241" s="15"/>
      <c r="EQW241" s="15"/>
      <c r="EQX241" s="16"/>
      <c r="EQY241" s="16"/>
      <c r="EQZ241" s="16"/>
      <c r="ERA241" s="16"/>
      <c r="ERB241" s="16"/>
      <c r="ERC241" s="15"/>
      <c r="ERD241" s="15"/>
      <c r="ERE241" s="10"/>
      <c r="ERF241" s="10"/>
      <c r="ERG241" s="19"/>
      <c r="ERH241" s="19"/>
      <c r="ERK241" s="16"/>
      <c r="ERL241" s="15"/>
      <c r="ERM241" s="15"/>
      <c r="ERN241" s="15"/>
      <c r="ERO241" s="16"/>
      <c r="ERP241" s="16"/>
      <c r="ERQ241" s="16"/>
      <c r="ERR241" s="16"/>
      <c r="ERS241" s="16"/>
      <c r="ERT241" s="15"/>
      <c r="ERU241" s="15"/>
      <c r="ERV241" s="10"/>
      <c r="ERW241" s="10"/>
      <c r="ERX241" s="19"/>
      <c r="ERY241" s="19"/>
      <c r="ESB241" s="16"/>
      <c r="ESC241" s="15"/>
      <c r="ESD241" s="15"/>
      <c r="ESE241" s="15"/>
      <c r="ESF241" s="16"/>
      <c r="ESG241" s="16"/>
      <c r="ESH241" s="16"/>
      <c r="ESI241" s="16"/>
      <c r="ESJ241" s="16"/>
      <c r="ESK241" s="15"/>
      <c r="ESL241" s="15"/>
      <c r="ESM241" s="10"/>
      <c r="ESN241" s="10"/>
      <c r="ESO241" s="19"/>
      <c r="ESP241" s="19"/>
      <c r="ESS241" s="16"/>
      <c r="EST241" s="15"/>
      <c r="ESU241" s="15"/>
      <c r="ESV241" s="15"/>
      <c r="ESW241" s="16"/>
      <c r="ESX241" s="16"/>
      <c r="ESY241" s="16"/>
      <c r="ESZ241" s="16"/>
      <c r="ETA241" s="16"/>
      <c r="ETB241" s="15"/>
      <c r="ETC241" s="15"/>
      <c r="ETD241" s="10"/>
      <c r="ETE241" s="10"/>
      <c r="ETF241" s="19"/>
      <c r="ETG241" s="19"/>
      <c r="ETJ241" s="16"/>
      <c r="ETK241" s="15"/>
      <c r="ETL241" s="15"/>
      <c r="ETM241" s="15"/>
      <c r="ETN241" s="16"/>
      <c r="ETO241" s="16"/>
      <c r="ETP241" s="16"/>
      <c r="ETQ241" s="16"/>
      <c r="ETR241" s="16"/>
      <c r="ETS241" s="15"/>
      <c r="ETT241" s="15"/>
      <c r="ETU241" s="10"/>
      <c r="ETV241" s="10"/>
      <c r="ETW241" s="19"/>
      <c r="ETX241" s="19"/>
      <c r="EUA241" s="16"/>
      <c r="EUB241" s="15"/>
      <c r="EUC241" s="15"/>
      <c r="EUD241" s="15"/>
      <c r="EUE241" s="16"/>
      <c r="EUF241" s="16"/>
      <c r="EUG241" s="16"/>
      <c r="EUH241" s="16"/>
      <c r="EUI241" s="16"/>
      <c r="EUJ241" s="15"/>
      <c r="EUK241" s="15"/>
      <c r="EUL241" s="10"/>
      <c r="EUM241" s="10"/>
      <c r="EUN241" s="19"/>
      <c r="EUO241" s="19"/>
      <c r="EUR241" s="16"/>
      <c r="EUS241" s="15"/>
      <c r="EUT241" s="15"/>
      <c r="EUU241" s="15"/>
      <c r="EUV241" s="16"/>
      <c r="EUW241" s="16"/>
      <c r="EUX241" s="16"/>
      <c r="EUY241" s="16"/>
      <c r="EUZ241" s="16"/>
      <c r="EVA241" s="15"/>
      <c r="EVB241" s="15"/>
      <c r="EVC241" s="10"/>
      <c r="EVD241" s="10"/>
      <c r="EVE241" s="19"/>
      <c r="EVF241" s="19"/>
      <c r="EVI241" s="16"/>
      <c r="EVJ241" s="15"/>
      <c r="EVK241" s="15"/>
      <c r="EVL241" s="15"/>
      <c r="EVM241" s="16"/>
      <c r="EVN241" s="16"/>
      <c r="EVO241" s="16"/>
      <c r="EVP241" s="16"/>
      <c r="EVQ241" s="16"/>
      <c r="EVR241" s="15"/>
      <c r="EVS241" s="15"/>
      <c r="EVT241" s="10"/>
      <c r="EVU241" s="10"/>
      <c r="EVV241" s="19"/>
      <c r="EVW241" s="19"/>
      <c r="EVZ241" s="16"/>
      <c r="EWA241" s="15"/>
      <c r="EWB241" s="15"/>
      <c r="EWC241" s="15"/>
      <c r="EWD241" s="16"/>
      <c r="EWE241" s="16"/>
      <c r="EWF241" s="16"/>
      <c r="EWG241" s="16"/>
      <c r="EWH241" s="16"/>
      <c r="EWI241" s="15"/>
      <c r="EWJ241" s="15"/>
      <c r="EWK241" s="10"/>
      <c r="EWL241" s="10"/>
      <c r="EWM241" s="19"/>
      <c r="EWN241" s="19"/>
      <c r="EWQ241" s="16"/>
      <c r="EWR241" s="15"/>
      <c r="EWS241" s="15"/>
      <c r="EWT241" s="15"/>
      <c r="EWU241" s="16"/>
      <c r="EWV241" s="16"/>
      <c r="EWW241" s="16"/>
      <c r="EWX241" s="16"/>
      <c r="EWY241" s="16"/>
      <c r="EWZ241" s="15"/>
      <c r="EXA241" s="15"/>
      <c r="EXB241" s="10"/>
      <c r="EXC241" s="10"/>
      <c r="EXD241" s="19"/>
      <c r="EXE241" s="19"/>
      <c r="EXH241" s="16"/>
      <c r="EXI241" s="15"/>
      <c r="EXJ241" s="15"/>
      <c r="EXK241" s="15"/>
      <c r="EXL241" s="16"/>
      <c r="EXM241" s="16"/>
      <c r="EXN241" s="16"/>
      <c r="EXO241" s="16"/>
      <c r="EXP241" s="16"/>
      <c r="EXQ241" s="15"/>
      <c r="EXR241" s="15"/>
      <c r="EXS241" s="10"/>
      <c r="EXT241" s="10"/>
      <c r="EXU241" s="19"/>
      <c r="EXV241" s="19"/>
      <c r="EXY241" s="16"/>
      <c r="EXZ241" s="15"/>
      <c r="EYA241" s="15"/>
      <c r="EYB241" s="15"/>
      <c r="EYC241" s="16"/>
      <c r="EYD241" s="16"/>
      <c r="EYE241" s="16"/>
      <c r="EYF241" s="16"/>
      <c r="EYG241" s="16"/>
      <c r="EYH241" s="15"/>
      <c r="EYI241" s="15"/>
      <c r="EYJ241" s="10"/>
      <c r="EYK241" s="10"/>
      <c r="EYL241" s="19"/>
      <c r="EYM241" s="19"/>
      <c r="EYP241" s="16"/>
      <c r="EYQ241" s="15"/>
      <c r="EYR241" s="15"/>
      <c r="EYS241" s="15"/>
      <c r="EYT241" s="16"/>
      <c r="EYU241" s="16"/>
      <c r="EYV241" s="16"/>
      <c r="EYW241" s="16"/>
      <c r="EYX241" s="16"/>
      <c r="EYY241" s="15"/>
      <c r="EYZ241" s="15"/>
      <c r="EZA241" s="10"/>
      <c r="EZB241" s="10"/>
      <c r="EZC241" s="19"/>
      <c r="EZD241" s="19"/>
      <c r="EZG241" s="16"/>
      <c r="EZH241" s="15"/>
      <c r="EZI241" s="15"/>
      <c r="EZJ241" s="15"/>
      <c r="EZK241" s="16"/>
      <c r="EZL241" s="16"/>
      <c r="EZM241" s="16"/>
      <c r="EZN241" s="16"/>
      <c r="EZO241" s="16"/>
      <c r="EZP241" s="15"/>
      <c r="EZQ241" s="15"/>
      <c r="EZR241" s="10"/>
      <c r="EZS241" s="10"/>
      <c r="EZT241" s="19"/>
      <c r="EZU241" s="19"/>
      <c r="EZX241" s="16"/>
      <c r="EZY241" s="15"/>
      <c r="EZZ241" s="15"/>
      <c r="FAA241" s="15"/>
      <c r="FAB241" s="16"/>
      <c r="FAC241" s="16"/>
      <c r="FAD241" s="16"/>
      <c r="FAE241" s="16"/>
      <c r="FAF241" s="16"/>
      <c r="FAG241" s="15"/>
      <c r="FAH241" s="15"/>
      <c r="FAI241" s="10"/>
      <c r="FAJ241" s="10"/>
      <c r="FAK241" s="19"/>
      <c r="FAL241" s="19"/>
      <c r="FAO241" s="16"/>
      <c r="FAP241" s="15"/>
      <c r="FAQ241" s="15"/>
      <c r="FAR241" s="15"/>
      <c r="FAS241" s="16"/>
      <c r="FAT241" s="16"/>
      <c r="FAU241" s="16"/>
      <c r="FAV241" s="16"/>
      <c r="FAW241" s="16"/>
      <c r="FAX241" s="15"/>
      <c r="FAY241" s="15"/>
      <c r="FAZ241" s="10"/>
      <c r="FBA241" s="10"/>
      <c r="FBB241" s="19"/>
      <c r="FBC241" s="19"/>
      <c r="FBF241" s="16"/>
      <c r="FBG241" s="15"/>
      <c r="FBH241" s="15"/>
      <c r="FBI241" s="15"/>
      <c r="FBJ241" s="16"/>
      <c r="FBK241" s="16"/>
      <c r="FBL241" s="16"/>
      <c r="FBM241" s="16"/>
      <c r="FBN241" s="16"/>
      <c r="FBO241" s="15"/>
      <c r="FBP241" s="15"/>
      <c r="FBQ241" s="10"/>
      <c r="FBR241" s="10"/>
      <c r="FBS241" s="19"/>
      <c r="FBT241" s="19"/>
      <c r="FBW241" s="16"/>
      <c r="FBX241" s="15"/>
      <c r="FBY241" s="15"/>
      <c r="FBZ241" s="15"/>
      <c r="FCA241" s="16"/>
      <c r="FCB241" s="16"/>
      <c r="FCC241" s="16"/>
      <c r="FCD241" s="16"/>
      <c r="FCE241" s="16"/>
      <c r="FCF241" s="15"/>
      <c r="FCG241" s="15"/>
      <c r="FCH241" s="10"/>
      <c r="FCI241" s="10"/>
      <c r="FCJ241" s="19"/>
      <c r="FCK241" s="19"/>
      <c r="FCN241" s="16"/>
      <c r="FCO241" s="15"/>
      <c r="FCP241" s="15"/>
      <c r="FCQ241" s="15"/>
      <c r="FCR241" s="16"/>
      <c r="FCS241" s="16"/>
      <c r="FCT241" s="16"/>
      <c r="FCU241" s="16"/>
      <c r="FCV241" s="16"/>
      <c r="FCW241" s="15"/>
      <c r="FCX241" s="15"/>
      <c r="FCY241" s="10"/>
      <c r="FCZ241" s="10"/>
      <c r="FDA241" s="19"/>
      <c r="FDB241" s="19"/>
      <c r="FDE241" s="16"/>
      <c r="FDF241" s="15"/>
      <c r="FDG241" s="15"/>
      <c r="FDH241" s="15"/>
      <c r="FDI241" s="16"/>
      <c r="FDJ241" s="16"/>
      <c r="FDK241" s="16"/>
      <c r="FDL241" s="16"/>
      <c r="FDM241" s="16"/>
      <c r="FDN241" s="15"/>
      <c r="FDO241" s="15"/>
      <c r="FDP241" s="10"/>
      <c r="FDQ241" s="10"/>
      <c r="FDR241" s="19"/>
      <c r="FDS241" s="19"/>
      <c r="FDV241" s="16"/>
      <c r="FDW241" s="15"/>
      <c r="FDX241" s="15"/>
      <c r="FDY241" s="15"/>
      <c r="FDZ241" s="16"/>
      <c r="FEA241" s="16"/>
      <c r="FEB241" s="16"/>
      <c r="FEC241" s="16"/>
      <c r="FED241" s="16"/>
      <c r="FEE241" s="15"/>
      <c r="FEF241" s="15"/>
      <c r="FEG241" s="10"/>
      <c r="FEH241" s="10"/>
      <c r="FEI241" s="19"/>
      <c r="FEJ241" s="19"/>
      <c r="FEM241" s="16"/>
      <c r="FEN241" s="15"/>
      <c r="FEO241" s="15"/>
      <c r="FEP241" s="15"/>
      <c r="FEQ241" s="16"/>
      <c r="FER241" s="16"/>
      <c r="FES241" s="16"/>
      <c r="FET241" s="16"/>
      <c r="FEU241" s="16"/>
      <c r="FEV241" s="15"/>
      <c r="FEW241" s="15"/>
      <c r="FEX241" s="10"/>
      <c r="FEY241" s="10"/>
      <c r="FEZ241" s="19"/>
      <c r="FFA241" s="19"/>
      <c r="FFD241" s="16"/>
      <c r="FFE241" s="15"/>
      <c r="FFF241" s="15"/>
      <c r="FFG241" s="15"/>
      <c r="FFH241" s="16"/>
      <c r="FFI241" s="16"/>
      <c r="FFJ241" s="16"/>
      <c r="FFK241" s="16"/>
      <c r="FFL241" s="16"/>
      <c r="FFM241" s="15"/>
      <c r="FFN241" s="15"/>
      <c r="FFO241" s="10"/>
      <c r="FFP241" s="10"/>
      <c r="FFQ241" s="19"/>
      <c r="FFR241" s="19"/>
      <c r="FFU241" s="16"/>
      <c r="FFV241" s="15"/>
      <c r="FFW241" s="15"/>
      <c r="FFX241" s="15"/>
      <c r="FFY241" s="16"/>
      <c r="FFZ241" s="16"/>
      <c r="FGA241" s="16"/>
      <c r="FGB241" s="16"/>
      <c r="FGC241" s="16"/>
      <c r="FGD241" s="15"/>
      <c r="FGE241" s="15"/>
      <c r="FGF241" s="10"/>
      <c r="FGG241" s="10"/>
      <c r="FGH241" s="19"/>
      <c r="FGI241" s="19"/>
      <c r="FGL241" s="16"/>
      <c r="FGM241" s="15"/>
      <c r="FGN241" s="15"/>
      <c r="FGO241" s="15"/>
      <c r="FGP241" s="16"/>
      <c r="FGQ241" s="16"/>
      <c r="FGR241" s="16"/>
      <c r="FGS241" s="16"/>
      <c r="FGT241" s="16"/>
      <c r="FGU241" s="15"/>
      <c r="FGV241" s="15"/>
      <c r="FGW241" s="10"/>
      <c r="FGX241" s="10"/>
      <c r="FGY241" s="19"/>
      <c r="FGZ241" s="19"/>
      <c r="FHC241" s="16"/>
      <c r="FHD241" s="15"/>
      <c r="FHE241" s="15"/>
      <c r="FHF241" s="15"/>
      <c r="FHG241" s="16"/>
      <c r="FHH241" s="16"/>
      <c r="FHI241" s="16"/>
      <c r="FHJ241" s="16"/>
      <c r="FHK241" s="16"/>
      <c r="FHL241" s="15"/>
      <c r="FHM241" s="15"/>
      <c r="FHN241" s="10"/>
      <c r="FHO241" s="10"/>
      <c r="FHP241" s="19"/>
      <c r="FHQ241" s="19"/>
      <c r="FHT241" s="16"/>
      <c r="FHU241" s="15"/>
      <c r="FHV241" s="15"/>
      <c r="FHW241" s="15"/>
      <c r="FHX241" s="16"/>
      <c r="FHY241" s="16"/>
      <c r="FHZ241" s="16"/>
      <c r="FIA241" s="16"/>
      <c r="FIB241" s="16"/>
      <c r="FIC241" s="15"/>
      <c r="FID241" s="15"/>
      <c r="FIE241" s="10"/>
      <c r="FIF241" s="10"/>
      <c r="FIG241" s="19"/>
      <c r="FIH241" s="19"/>
      <c r="FIK241" s="16"/>
      <c r="FIL241" s="15"/>
      <c r="FIM241" s="15"/>
      <c r="FIN241" s="15"/>
      <c r="FIO241" s="16"/>
      <c r="FIP241" s="16"/>
      <c r="FIQ241" s="16"/>
      <c r="FIR241" s="16"/>
      <c r="FIS241" s="16"/>
      <c r="FIT241" s="15"/>
      <c r="FIU241" s="15"/>
      <c r="FIV241" s="10"/>
      <c r="FIW241" s="10"/>
      <c r="FIX241" s="19"/>
      <c r="FIY241" s="19"/>
      <c r="FJB241" s="16"/>
      <c r="FJC241" s="15"/>
      <c r="FJD241" s="15"/>
      <c r="FJE241" s="15"/>
      <c r="FJF241" s="16"/>
      <c r="FJG241" s="16"/>
      <c r="FJH241" s="16"/>
      <c r="FJI241" s="16"/>
      <c r="FJJ241" s="16"/>
      <c r="FJK241" s="15"/>
      <c r="FJL241" s="15"/>
      <c r="FJM241" s="10"/>
      <c r="FJN241" s="10"/>
      <c r="FJO241" s="19"/>
      <c r="FJP241" s="19"/>
      <c r="FJS241" s="16"/>
      <c r="FJT241" s="15"/>
      <c r="FJU241" s="15"/>
      <c r="FJV241" s="15"/>
      <c r="FJW241" s="16"/>
      <c r="FJX241" s="16"/>
      <c r="FJY241" s="16"/>
      <c r="FJZ241" s="16"/>
      <c r="FKA241" s="16"/>
      <c r="FKB241" s="15"/>
      <c r="FKC241" s="15"/>
      <c r="FKD241" s="10"/>
      <c r="FKE241" s="10"/>
      <c r="FKF241" s="19"/>
      <c r="FKG241" s="19"/>
      <c r="FKJ241" s="16"/>
      <c r="FKK241" s="15"/>
      <c r="FKL241" s="15"/>
      <c r="FKM241" s="15"/>
      <c r="FKN241" s="16"/>
      <c r="FKO241" s="16"/>
      <c r="FKP241" s="16"/>
      <c r="FKQ241" s="16"/>
      <c r="FKR241" s="16"/>
      <c r="FKS241" s="15"/>
      <c r="FKT241" s="15"/>
      <c r="FKU241" s="10"/>
      <c r="FKV241" s="10"/>
      <c r="FKW241" s="19"/>
      <c r="FKX241" s="19"/>
      <c r="FLA241" s="16"/>
      <c r="FLB241" s="15"/>
      <c r="FLC241" s="15"/>
      <c r="FLD241" s="15"/>
      <c r="FLE241" s="16"/>
      <c r="FLF241" s="16"/>
      <c r="FLG241" s="16"/>
      <c r="FLH241" s="16"/>
      <c r="FLI241" s="16"/>
      <c r="FLJ241" s="15"/>
      <c r="FLK241" s="15"/>
      <c r="FLL241" s="10"/>
      <c r="FLM241" s="10"/>
      <c r="FLN241" s="19"/>
      <c r="FLO241" s="19"/>
      <c r="FLR241" s="16"/>
      <c r="FLS241" s="15"/>
      <c r="FLT241" s="15"/>
      <c r="FLU241" s="15"/>
      <c r="FLV241" s="16"/>
      <c r="FLW241" s="16"/>
      <c r="FLX241" s="16"/>
      <c r="FLY241" s="16"/>
      <c r="FLZ241" s="16"/>
      <c r="FMA241" s="15"/>
      <c r="FMB241" s="15"/>
      <c r="FMC241" s="10"/>
      <c r="FMD241" s="10"/>
      <c r="FME241" s="19"/>
      <c r="FMF241" s="19"/>
      <c r="FMI241" s="16"/>
      <c r="FMJ241" s="15"/>
      <c r="FMK241" s="15"/>
      <c r="FML241" s="15"/>
      <c r="FMM241" s="16"/>
      <c r="FMN241" s="16"/>
      <c r="FMO241" s="16"/>
      <c r="FMP241" s="16"/>
      <c r="FMQ241" s="16"/>
      <c r="FMR241" s="15"/>
      <c r="FMS241" s="15"/>
      <c r="FMT241" s="10"/>
      <c r="FMU241" s="10"/>
      <c r="FMV241" s="19"/>
      <c r="FMW241" s="19"/>
      <c r="FMZ241" s="16"/>
      <c r="FNA241" s="15"/>
      <c r="FNB241" s="15"/>
      <c r="FNC241" s="15"/>
      <c r="FND241" s="16"/>
      <c r="FNE241" s="16"/>
      <c r="FNF241" s="16"/>
      <c r="FNG241" s="16"/>
      <c r="FNH241" s="16"/>
      <c r="FNI241" s="15"/>
      <c r="FNJ241" s="15"/>
      <c r="FNK241" s="10"/>
      <c r="FNL241" s="10"/>
      <c r="FNM241" s="19"/>
      <c r="FNN241" s="19"/>
      <c r="FNQ241" s="16"/>
      <c r="FNR241" s="15"/>
      <c r="FNS241" s="15"/>
      <c r="FNT241" s="15"/>
      <c r="FNU241" s="16"/>
      <c r="FNV241" s="16"/>
      <c r="FNW241" s="16"/>
      <c r="FNX241" s="16"/>
      <c r="FNY241" s="16"/>
      <c r="FNZ241" s="15"/>
      <c r="FOA241" s="15"/>
      <c r="FOB241" s="10"/>
      <c r="FOC241" s="10"/>
      <c r="FOD241" s="19"/>
      <c r="FOE241" s="19"/>
      <c r="FOH241" s="16"/>
      <c r="FOI241" s="15"/>
      <c r="FOJ241" s="15"/>
      <c r="FOK241" s="15"/>
      <c r="FOL241" s="16"/>
      <c r="FOM241" s="16"/>
      <c r="FON241" s="16"/>
      <c r="FOO241" s="16"/>
      <c r="FOP241" s="16"/>
      <c r="FOQ241" s="15"/>
      <c r="FOR241" s="15"/>
      <c r="FOS241" s="10"/>
      <c r="FOT241" s="10"/>
      <c r="FOU241" s="19"/>
      <c r="FOV241" s="19"/>
      <c r="FOY241" s="16"/>
      <c r="FOZ241" s="15"/>
      <c r="FPA241" s="15"/>
      <c r="FPB241" s="15"/>
      <c r="FPC241" s="16"/>
      <c r="FPD241" s="16"/>
      <c r="FPE241" s="16"/>
      <c r="FPF241" s="16"/>
      <c r="FPG241" s="16"/>
      <c r="FPH241" s="15"/>
      <c r="FPI241" s="15"/>
      <c r="FPJ241" s="10"/>
      <c r="FPK241" s="10"/>
      <c r="FPL241" s="19"/>
      <c r="FPM241" s="19"/>
      <c r="FPP241" s="16"/>
      <c r="FPQ241" s="15"/>
      <c r="FPR241" s="15"/>
      <c r="FPS241" s="15"/>
      <c r="FPT241" s="16"/>
      <c r="FPU241" s="16"/>
      <c r="FPV241" s="16"/>
      <c r="FPW241" s="16"/>
      <c r="FPX241" s="16"/>
      <c r="FPY241" s="15"/>
      <c r="FPZ241" s="15"/>
      <c r="FQA241" s="10"/>
      <c r="FQB241" s="10"/>
      <c r="FQC241" s="19"/>
      <c r="FQD241" s="19"/>
      <c r="FQG241" s="16"/>
      <c r="FQH241" s="15"/>
      <c r="FQI241" s="15"/>
      <c r="FQJ241" s="15"/>
      <c r="FQK241" s="16"/>
      <c r="FQL241" s="16"/>
      <c r="FQM241" s="16"/>
      <c r="FQN241" s="16"/>
      <c r="FQO241" s="16"/>
      <c r="FQP241" s="15"/>
      <c r="FQQ241" s="15"/>
      <c r="FQR241" s="10"/>
      <c r="FQS241" s="10"/>
      <c r="FQT241" s="19"/>
      <c r="FQU241" s="19"/>
      <c r="FQX241" s="16"/>
      <c r="FQY241" s="15"/>
      <c r="FQZ241" s="15"/>
      <c r="FRA241" s="15"/>
      <c r="FRB241" s="16"/>
      <c r="FRC241" s="16"/>
      <c r="FRD241" s="16"/>
      <c r="FRE241" s="16"/>
      <c r="FRF241" s="16"/>
      <c r="FRG241" s="15"/>
      <c r="FRH241" s="15"/>
      <c r="FRI241" s="10"/>
      <c r="FRJ241" s="10"/>
      <c r="FRK241" s="19"/>
      <c r="FRL241" s="19"/>
      <c r="FRO241" s="16"/>
      <c r="FRP241" s="15"/>
      <c r="FRQ241" s="15"/>
      <c r="FRR241" s="15"/>
      <c r="FRS241" s="16"/>
      <c r="FRT241" s="16"/>
      <c r="FRU241" s="16"/>
      <c r="FRV241" s="16"/>
      <c r="FRW241" s="16"/>
      <c r="FRX241" s="15"/>
      <c r="FRY241" s="15"/>
      <c r="FRZ241" s="10"/>
      <c r="FSA241" s="10"/>
      <c r="FSB241" s="19"/>
      <c r="FSC241" s="19"/>
      <c r="FSF241" s="16"/>
      <c r="FSG241" s="15"/>
      <c r="FSH241" s="15"/>
      <c r="FSI241" s="15"/>
      <c r="FSJ241" s="16"/>
      <c r="FSK241" s="16"/>
      <c r="FSL241" s="16"/>
      <c r="FSM241" s="16"/>
      <c r="FSN241" s="16"/>
      <c r="FSO241" s="15"/>
      <c r="FSP241" s="15"/>
      <c r="FSQ241" s="10"/>
      <c r="FSR241" s="10"/>
      <c r="FSS241" s="19"/>
      <c r="FST241" s="19"/>
      <c r="FSW241" s="16"/>
      <c r="FSX241" s="15"/>
      <c r="FSY241" s="15"/>
      <c r="FSZ241" s="15"/>
      <c r="FTA241" s="16"/>
      <c r="FTB241" s="16"/>
      <c r="FTC241" s="16"/>
      <c r="FTD241" s="16"/>
      <c r="FTE241" s="16"/>
      <c r="FTF241" s="15"/>
      <c r="FTG241" s="15"/>
      <c r="FTH241" s="10"/>
      <c r="FTI241" s="10"/>
      <c r="FTJ241" s="19"/>
      <c r="FTK241" s="19"/>
      <c r="FTN241" s="16"/>
      <c r="FTO241" s="15"/>
      <c r="FTP241" s="15"/>
      <c r="FTQ241" s="15"/>
      <c r="FTR241" s="16"/>
      <c r="FTS241" s="16"/>
      <c r="FTT241" s="16"/>
      <c r="FTU241" s="16"/>
      <c r="FTV241" s="16"/>
      <c r="FTW241" s="15"/>
      <c r="FTX241" s="15"/>
      <c r="FTY241" s="10"/>
      <c r="FTZ241" s="10"/>
      <c r="FUA241" s="19"/>
      <c r="FUB241" s="19"/>
      <c r="FUE241" s="16"/>
      <c r="FUF241" s="15"/>
      <c r="FUG241" s="15"/>
      <c r="FUH241" s="15"/>
      <c r="FUI241" s="16"/>
      <c r="FUJ241" s="16"/>
      <c r="FUK241" s="16"/>
      <c r="FUL241" s="16"/>
      <c r="FUM241" s="16"/>
      <c r="FUN241" s="15"/>
      <c r="FUO241" s="15"/>
      <c r="FUP241" s="10"/>
      <c r="FUQ241" s="10"/>
      <c r="FUR241" s="19"/>
      <c r="FUS241" s="19"/>
      <c r="FUV241" s="16"/>
      <c r="FUW241" s="15"/>
      <c r="FUX241" s="15"/>
      <c r="FUY241" s="15"/>
      <c r="FUZ241" s="16"/>
      <c r="FVA241" s="16"/>
      <c r="FVB241" s="16"/>
      <c r="FVC241" s="16"/>
      <c r="FVD241" s="16"/>
      <c r="FVE241" s="15"/>
      <c r="FVF241" s="15"/>
      <c r="FVG241" s="10"/>
      <c r="FVH241" s="10"/>
      <c r="FVI241" s="19"/>
      <c r="FVJ241" s="19"/>
      <c r="FVM241" s="16"/>
      <c r="FVN241" s="15"/>
      <c r="FVO241" s="15"/>
      <c r="FVP241" s="15"/>
      <c r="FVQ241" s="16"/>
      <c r="FVR241" s="16"/>
      <c r="FVS241" s="16"/>
      <c r="FVT241" s="16"/>
      <c r="FVU241" s="16"/>
      <c r="FVV241" s="15"/>
      <c r="FVW241" s="15"/>
      <c r="FVX241" s="10"/>
      <c r="FVY241" s="10"/>
      <c r="FVZ241" s="19"/>
      <c r="FWA241" s="19"/>
      <c r="FWD241" s="16"/>
      <c r="FWE241" s="15"/>
      <c r="FWF241" s="15"/>
      <c r="FWG241" s="15"/>
      <c r="FWH241" s="16"/>
      <c r="FWI241" s="16"/>
      <c r="FWJ241" s="16"/>
      <c r="FWK241" s="16"/>
      <c r="FWL241" s="16"/>
      <c r="FWM241" s="15"/>
      <c r="FWN241" s="15"/>
      <c r="FWO241" s="10"/>
      <c r="FWP241" s="10"/>
      <c r="FWQ241" s="19"/>
      <c r="FWR241" s="19"/>
      <c r="FWU241" s="16"/>
      <c r="FWV241" s="15"/>
      <c r="FWW241" s="15"/>
      <c r="FWX241" s="15"/>
      <c r="FWY241" s="16"/>
      <c r="FWZ241" s="16"/>
      <c r="FXA241" s="16"/>
      <c r="FXB241" s="16"/>
      <c r="FXC241" s="16"/>
      <c r="FXD241" s="15"/>
      <c r="FXE241" s="15"/>
      <c r="FXF241" s="10"/>
      <c r="FXG241" s="10"/>
      <c r="FXH241" s="19"/>
      <c r="FXI241" s="19"/>
      <c r="FXL241" s="16"/>
      <c r="FXM241" s="15"/>
      <c r="FXN241" s="15"/>
      <c r="FXO241" s="15"/>
      <c r="FXP241" s="16"/>
      <c r="FXQ241" s="16"/>
      <c r="FXR241" s="16"/>
      <c r="FXS241" s="16"/>
      <c r="FXT241" s="16"/>
      <c r="FXU241" s="15"/>
      <c r="FXV241" s="15"/>
      <c r="FXW241" s="10"/>
      <c r="FXX241" s="10"/>
      <c r="FXY241" s="19"/>
      <c r="FXZ241" s="19"/>
      <c r="FYC241" s="16"/>
      <c r="FYD241" s="15"/>
      <c r="FYE241" s="15"/>
      <c r="FYF241" s="15"/>
      <c r="FYG241" s="16"/>
      <c r="FYH241" s="16"/>
      <c r="FYI241" s="16"/>
      <c r="FYJ241" s="16"/>
      <c r="FYK241" s="16"/>
      <c r="FYL241" s="15"/>
      <c r="FYM241" s="15"/>
      <c r="FYN241" s="10"/>
      <c r="FYO241" s="10"/>
      <c r="FYP241" s="19"/>
      <c r="FYQ241" s="19"/>
      <c r="FYT241" s="16"/>
      <c r="FYU241" s="15"/>
      <c r="FYV241" s="15"/>
      <c r="FYW241" s="15"/>
      <c r="FYX241" s="16"/>
      <c r="FYY241" s="16"/>
      <c r="FYZ241" s="16"/>
      <c r="FZA241" s="16"/>
      <c r="FZB241" s="16"/>
      <c r="FZC241" s="15"/>
      <c r="FZD241" s="15"/>
      <c r="FZE241" s="10"/>
      <c r="FZF241" s="10"/>
      <c r="FZG241" s="19"/>
      <c r="FZH241" s="19"/>
      <c r="FZK241" s="16"/>
      <c r="FZL241" s="15"/>
      <c r="FZM241" s="15"/>
      <c r="FZN241" s="15"/>
      <c r="FZO241" s="16"/>
      <c r="FZP241" s="16"/>
      <c r="FZQ241" s="16"/>
      <c r="FZR241" s="16"/>
      <c r="FZS241" s="16"/>
      <c r="FZT241" s="15"/>
      <c r="FZU241" s="15"/>
      <c r="FZV241" s="10"/>
      <c r="FZW241" s="10"/>
      <c r="FZX241" s="19"/>
      <c r="FZY241" s="19"/>
      <c r="GAB241" s="16"/>
      <c r="GAC241" s="15"/>
      <c r="GAD241" s="15"/>
      <c r="GAE241" s="15"/>
      <c r="GAF241" s="16"/>
      <c r="GAG241" s="16"/>
      <c r="GAH241" s="16"/>
      <c r="GAI241" s="16"/>
      <c r="GAJ241" s="16"/>
      <c r="GAK241" s="15"/>
      <c r="GAL241" s="15"/>
      <c r="GAM241" s="10"/>
      <c r="GAN241" s="10"/>
      <c r="GAO241" s="19"/>
      <c r="GAP241" s="19"/>
      <c r="GAS241" s="16"/>
      <c r="GAT241" s="15"/>
      <c r="GAU241" s="15"/>
      <c r="GAV241" s="15"/>
      <c r="GAW241" s="16"/>
      <c r="GAX241" s="16"/>
      <c r="GAY241" s="16"/>
      <c r="GAZ241" s="16"/>
      <c r="GBA241" s="16"/>
      <c r="GBB241" s="15"/>
      <c r="GBC241" s="15"/>
      <c r="GBD241" s="10"/>
      <c r="GBE241" s="10"/>
      <c r="GBF241" s="19"/>
      <c r="GBG241" s="19"/>
      <c r="GBJ241" s="16"/>
      <c r="GBK241" s="15"/>
      <c r="GBL241" s="15"/>
      <c r="GBM241" s="15"/>
      <c r="GBN241" s="16"/>
      <c r="GBO241" s="16"/>
      <c r="GBP241" s="16"/>
      <c r="GBQ241" s="16"/>
      <c r="GBR241" s="16"/>
      <c r="GBS241" s="15"/>
      <c r="GBT241" s="15"/>
      <c r="GBU241" s="10"/>
      <c r="GBV241" s="10"/>
      <c r="GBW241" s="19"/>
      <c r="GBX241" s="19"/>
      <c r="GCA241" s="16"/>
      <c r="GCB241" s="15"/>
      <c r="GCC241" s="15"/>
      <c r="GCD241" s="15"/>
      <c r="GCE241" s="16"/>
      <c r="GCF241" s="16"/>
      <c r="GCG241" s="16"/>
      <c r="GCH241" s="16"/>
      <c r="GCI241" s="16"/>
      <c r="GCJ241" s="15"/>
      <c r="GCK241" s="15"/>
      <c r="GCL241" s="10"/>
      <c r="GCM241" s="10"/>
      <c r="GCN241" s="19"/>
      <c r="GCO241" s="19"/>
      <c r="GCR241" s="16"/>
      <c r="GCS241" s="15"/>
      <c r="GCT241" s="15"/>
      <c r="GCU241" s="15"/>
      <c r="GCV241" s="16"/>
      <c r="GCW241" s="16"/>
      <c r="GCX241" s="16"/>
      <c r="GCY241" s="16"/>
      <c r="GCZ241" s="16"/>
      <c r="GDA241" s="15"/>
      <c r="GDB241" s="15"/>
      <c r="GDC241" s="10"/>
      <c r="GDD241" s="10"/>
      <c r="GDE241" s="19"/>
      <c r="GDF241" s="19"/>
      <c r="GDI241" s="16"/>
      <c r="GDJ241" s="15"/>
      <c r="GDK241" s="15"/>
      <c r="GDL241" s="15"/>
      <c r="GDM241" s="16"/>
      <c r="GDN241" s="16"/>
      <c r="GDO241" s="16"/>
      <c r="GDP241" s="16"/>
      <c r="GDQ241" s="16"/>
      <c r="GDR241" s="15"/>
      <c r="GDS241" s="15"/>
      <c r="GDT241" s="10"/>
      <c r="GDU241" s="10"/>
      <c r="GDV241" s="19"/>
      <c r="GDW241" s="19"/>
      <c r="GDZ241" s="16"/>
      <c r="GEA241" s="15"/>
      <c r="GEB241" s="15"/>
      <c r="GEC241" s="15"/>
      <c r="GED241" s="16"/>
      <c r="GEE241" s="16"/>
      <c r="GEF241" s="16"/>
      <c r="GEG241" s="16"/>
      <c r="GEH241" s="16"/>
      <c r="GEI241" s="15"/>
      <c r="GEJ241" s="15"/>
      <c r="GEK241" s="10"/>
      <c r="GEL241" s="10"/>
      <c r="GEM241" s="19"/>
      <c r="GEN241" s="19"/>
      <c r="GEQ241" s="16"/>
      <c r="GER241" s="15"/>
      <c r="GES241" s="15"/>
      <c r="GET241" s="15"/>
      <c r="GEU241" s="16"/>
      <c r="GEV241" s="16"/>
      <c r="GEW241" s="16"/>
      <c r="GEX241" s="16"/>
      <c r="GEY241" s="16"/>
      <c r="GEZ241" s="15"/>
      <c r="GFA241" s="15"/>
      <c r="GFB241" s="10"/>
      <c r="GFC241" s="10"/>
      <c r="GFD241" s="19"/>
      <c r="GFE241" s="19"/>
      <c r="GFH241" s="16"/>
      <c r="GFI241" s="15"/>
      <c r="GFJ241" s="15"/>
      <c r="GFK241" s="15"/>
      <c r="GFL241" s="16"/>
      <c r="GFM241" s="16"/>
      <c r="GFN241" s="16"/>
      <c r="GFO241" s="16"/>
      <c r="GFP241" s="16"/>
      <c r="GFQ241" s="15"/>
      <c r="GFR241" s="15"/>
      <c r="GFS241" s="10"/>
      <c r="GFT241" s="10"/>
      <c r="GFU241" s="19"/>
      <c r="GFV241" s="19"/>
      <c r="GFY241" s="16"/>
      <c r="GFZ241" s="15"/>
      <c r="GGA241" s="15"/>
      <c r="GGB241" s="15"/>
      <c r="GGC241" s="16"/>
      <c r="GGD241" s="16"/>
      <c r="GGE241" s="16"/>
      <c r="GGF241" s="16"/>
      <c r="GGG241" s="16"/>
      <c r="GGH241" s="15"/>
      <c r="GGI241" s="15"/>
      <c r="GGJ241" s="10"/>
      <c r="GGK241" s="10"/>
      <c r="GGL241" s="19"/>
      <c r="GGM241" s="19"/>
      <c r="GGP241" s="16"/>
      <c r="GGQ241" s="15"/>
      <c r="GGR241" s="15"/>
      <c r="GGS241" s="15"/>
      <c r="GGT241" s="16"/>
      <c r="GGU241" s="16"/>
      <c r="GGV241" s="16"/>
      <c r="GGW241" s="16"/>
      <c r="GGX241" s="16"/>
      <c r="GGY241" s="15"/>
      <c r="GGZ241" s="15"/>
      <c r="GHA241" s="10"/>
      <c r="GHB241" s="10"/>
      <c r="GHC241" s="19"/>
      <c r="GHD241" s="19"/>
      <c r="GHG241" s="16"/>
      <c r="GHH241" s="15"/>
      <c r="GHI241" s="15"/>
      <c r="GHJ241" s="15"/>
      <c r="GHK241" s="16"/>
      <c r="GHL241" s="16"/>
      <c r="GHM241" s="16"/>
      <c r="GHN241" s="16"/>
      <c r="GHO241" s="16"/>
      <c r="GHP241" s="15"/>
      <c r="GHQ241" s="15"/>
      <c r="GHR241" s="10"/>
      <c r="GHS241" s="10"/>
      <c r="GHT241" s="19"/>
      <c r="GHU241" s="19"/>
      <c r="GHX241" s="16"/>
      <c r="GHY241" s="15"/>
      <c r="GHZ241" s="15"/>
      <c r="GIA241" s="15"/>
      <c r="GIB241" s="16"/>
      <c r="GIC241" s="16"/>
      <c r="GID241" s="16"/>
      <c r="GIE241" s="16"/>
      <c r="GIF241" s="16"/>
      <c r="GIG241" s="15"/>
      <c r="GIH241" s="15"/>
      <c r="GII241" s="10"/>
      <c r="GIJ241" s="10"/>
      <c r="GIK241" s="19"/>
      <c r="GIL241" s="19"/>
      <c r="GIO241" s="16"/>
      <c r="GIP241" s="15"/>
      <c r="GIQ241" s="15"/>
      <c r="GIR241" s="15"/>
      <c r="GIS241" s="16"/>
      <c r="GIT241" s="16"/>
      <c r="GIU241" s="16"/>
      <c r="GIV241" s="16"/>
      <c r="GIW241" s="16"/>
      <c r="GIX241" s="15"/>
      <c r="GIY241" s="15"/>
      <c r="GIZ241" s="10"/>
      <c r="GJA241" s="10"/>
      <c r="GJB241" s="19"/>
      <c r="GJC241" s="19"/>
      <c r="GJF241" s="16"/>
      <c r="GJG241" s="15"/>
      <c r="GJH241" s="15"/>
      <c r="GJI241" s="15"/>
      <c r="GJJ241" s="16"/>
      <c r="GJK241" s="16"/>
      <c r="GJL241" s="16"/>
      <c r="GJM241" s="16"/>
      <c r="GJN241" s="16"/>
      <c r="GJO241" s="15"/>
      <c r="GJP241" s="15"/>
      <c r="GJQ241" s="10"/>
      <c r="GJR241" s="10"/>
      <c r="GJS241" s="19"/>
      <c r="GJT241" s="19"/>
      <c r="GJW241" s="16"/>
      <c r="GJX241" s="15"/>
      <c r="GJY241" s="15"/>
      <c r="GJZ241" s="15"/>
      <c r="GKA241" s="16"/>
      <c r="GKB241" s="16"/>
      <c r="GKC241" s="16"/>
      <c r="GKD241" s="16"/>
      <c r="GKE241" s="16"/>
      <c r="GKF241" s="15"/>
      <c r="GKG241" s="15"/>
      <c r="GKH241" s="10"/>
      <c r="GKI241" s="10"/>
      <c r="GKJ241" s="19"/>
      <c r="GKK241" s="19"/>
      <c r="GKN241" s="16"/>
      <c r="GKO241" s="15"/>
      <c r="GKP241" s="15"/>
      <c r="GKQ241" s="15"/>
      <c r="GKR241" s="16"/>
      <c r="GKS241" s="16"/>
      <c r="GKT241" s="16"/>
      <c r="GKU241" s="16"/>
      <c r="GKV241" s="16"/>
      <c r="GKW241" s="15"/>
      <c r="GKX241" s="15"/>
      <c r="GKY241" s="10"/>
      <c r="GKZ241" s="10"/>
      <c r="GLA241" s="19"/>
      <c r="GLB241" s="19"/>
      <c r="GLE241" s="16"/>
      <c r="GLF241" s="15"/>
      <c r="GLG241" s="15"/>
      <c r="GLH241" s="15"/>
      <c r="GLI241" s="16"/>
      <c r="GLJ241" s="16"/>
      <c r="GLK241" s="16"/>
      <c r="GLL241" s="16"/>
      <c r="GLM241" s="16"/>
      <c r="GLN241" s="15"/>
      <c r="GLO241" s="15"/>
      <c r="GLP241" s="10"/>
      <c r="GLQ241" s="10"/>
      <c r="GLR241" s="19"/>
      <c r="GLS241" s="19"/>
      <c r="GLV241" s="16"/>
      <c r="GLW241" s="15"/>
      <c r="GLX241" s="15"/>
      <c r="GLY241" s="15"/>
      <c r="GLZ241" s="16"/>
      <c r="GMA241" s="16"/>
      <c r="GMB241" s="16"/>
      <c r="GMC241" s="16"/>
      <c r="GMD241" s="16"/>
      <c r="GME241" s="15"/>
      <c r="GMF241" s="15"/>
      <c r="GMG241" s="10"/>
      <c r="GMH241" s="10"/>
      <c r="GMI241" s="19"/>
      <c r="GMJ241" s="19"/>
      <c r="GMM241" s="16"/>
      <c r="GMN241" s="15"/>
      <c r="GMO241" s="15"/>
      <c r="GMP241" s="15"/>
      <c r="GMQ241" s="16"/>
      <c r="GMR241" s="16"/>
      <c r="GMS241" s="16"/>
      <c r="GMT241" s="16"/>
      <c r="GMU241" s="16"/>
      <c r="GMV241" s="15"/>
      <c r="GMW241" s="15"/>
      <c r="GMX241" s="10"/>
      <c r="GMY241" s="10"/>
      <c r="GMZ241" s="19"/>
      <c r="GNA241" s="19"/>
      <c r="GND241" s="16"/>
      <c r="GNE241" s="15"/>
      <c r="GNF241" s="15"/>
      <c r="GNG241" s="15"/>
      <c r="GNH241" s="16"/>
      <c r="GNI241" s="16"/>
      <c r="GNJ241" s="16"/>
      <c r="GNK241" s="16"/>
      <c r="GNL241" s="16"/>
      <c r="GNM241" s="15"/>
      <c r="GNN241" s="15"/>
      <c r="GNO241" s="10"/>
      <c r="GNP241" s="10"/>
      <c r="GNQ241" s="19"/>
      <c r="GNR241" s="19"/>
      <c r="GNU241" s="16"/>
      <c r="GNV241" s="15"/>
      <c r="GNW241" s="15"/>
      <c r="GNX241" s="15"/>
      <c r="GNY241" s="16"/>
      <c r="GNZ241" s="16"/>
      <c r="GOA241" s="16"/>
      <c r="GOB241" s="16"/>
      <c r="GOC241" s="16"/>
      <c r="GOD241" s="15"/>
      <c r="GOE241" s="15"/>
      <c r="GOF241" s="10"/>
      <c r="GOG241" s="10"/>
      <c r="GOH241" s="19"/>
      <c r="GOI241" s="19"/>
      <c r="GOL241" s="16"/>
      <c r="GOM241" s="15"/>
      <c r="GON241" s="15"/>
      <c r="GOO241" s="15"/>
      <c r="GOP241" s="16"/>
      <c r="GOQ241" s="16"/>
      <c r="GOR241" s="16"/>
      <c r="GOS241" s="16"/>
      <c r="GOT241" s="16"/>
      <c r="GOU241" s="15"/>
      <c r="GOV241" s="15"/>
      <c r="GOW241" s="10"/>
      <c r="GOX241" s="10"/>
      <c r="GOY241" s="19"/>
      <c r="GOZ241" s="19"/>
      <c r="GPC241" s="16"/>
      <c r="GPD241" s="15"/>
      <c r="GPE241" s="15"/>
      <c r="GPF241" s="15"/>
      <c r="GPG241" s="16"/>
      <c r="GPH241" s="16"/>
      <c r="GPI241" s="16"/>
      <c r="GPJ241" s="16"/>
      <c r="GPK241" s="16"/>
      <c r="GPL241" s="15"/>
      <c r="GPM241" s="15"/>
      <c r="GPN241" s="10"/>
      <c r="GPO241" s="10"/>
      <c r="GPP241" s="19"/>
      <c r="GPQ241" s="19"/>
      <c r="GPT241" s="16"/>
      <c r="GPU241" s="15"/>
      <c r="GPV241" s="15"/>
      <c r="GPW241" s="15"/>
      <c r="GPX241" s="16"/>
      <c r="GPY241" s="16"/>
      <c r="GPZ241" s="16"/>
      <c r="GQA241" s="16"/>
      <c r="GQB241" s="16"/>
      <c r="GQC241" s="15"/>
      <c r="GQD241" s="15"/>
      <c r="GQE241" s="10"/>
      <c r="GQF241" s="10"/>
      <c r="GQG241" s="19"/>
      <c r="GQH241" s="19"/>
      <c r="GQK241" s="16"/>
      <c r="GQL241" s="15"/>
      <c r="GQM241" s="15"/>
      <c r="GQN241" s="15"/>
      <c r="GQO241" s="16"/>
      <c r="GQP241" s="16"/>
      <c r="GQQ241" s="16"/>
      <c r="GQR241" s="16"/>
      <c r="GQS241" s="16"/>
      <c r="GQT241" s="15"/>
      <c r="GQU241" s="15"/>
      <c r="GQV241" s="10"/>
      <c r="GQW241" s="10"/>
      <c r="GQX241" s="19"/>
      <c r="GQY241" s="19"/>
      <c r="GRB241" s="16"/>
      <c r="GRC241" s="15"/>
      <c r="GRD241" s="15"/>
      <c r="GRE241" s="15"/>
      <c r="GRF241" s="16"/>
      <c r="GRG241" s="16"/>
      <c r="GRH241" s="16"/>
      <c r="GRI241" s="16"/>
      <c r="GRJ241" s="16"/>
      <c r="GRK241" s="15"/>
      <c r="GRL241" s="15"/>
      <c r="GRM241" s="10"/>
      <c r="GRN241" s="10"/>
      <c r="GRO241" s="19"/>
      <c r="GRP241" s="19"/>
      <c r="GRS241" s="16"/>
      <c r="GRT241" s="15"/>
      <c r="GRU241" s="15"/>
      <c r="GRV241" s="15"/>
      <c r="GRW241" s="16"/>
      <c r="GRX241" s="16"/>
      <c r="GRY241" s="16"/>
      <c r="GRZ241" s="16"/>
      <c r="GSA241" s="16"/>
      <c r="GSB241" s="15"/>
      <c r="GSC241" s="15"/>
      <c r="GSD241" s="10"/>
      <c r="GSE241" s="10"/>
      <c r="GSF241" s="19"/>
      <c r="GSG241" s="19"/>
      <c r="GSJ241" s="16"/>
      <c r="GSK241" s="15"/>
      <c r="GSL241" s="15"/>
      <c r="GSM241" s="15"/>
      <c r="GSN241" s="16"/>
      <c r="GSO241" s="16"/>
      <c r="GSP241" s="16"/>
      <c r="GSQ241" s="16"/>
      <c r="GSR241" s="16"/>
      <c r="GSS241" s="15"/>
      <c r="GST241" s="15"/>
      <c r="GSU241" s="10"/>
      <c r="GSV241" s="10"/>
      <c r="GSW241" s="19"/>
      <c r="GSX241" s="19"/>
      <c r="GTA241" s="16"/>
      <c r="GTB241" s="15"/>
      <c r="GTC241" s="15"/>
      <c r="GTD241" s="15"/>
      <c r="GTE241" s="16"/>
      <c r="GTF241" s="16"/>
      <c r="GTG241" s="16"/>
      <c r="GTH241" s="16"/>
      <c r="GTI241" s="16"/>
      <c r="GTJ241" s="15"/>
      <c r="GTK241" s="15"/>
      <c r="GTL241" s="10"/>
      <c r="GTM241" s="10"/>
      <c r="GTN241" s="19"/>
      <c r="GTO241" s="19"/>
      <c r="GTR241" s="16"/>
      <c r="GTS241" s="15"/>
      <c r="GTT241" s="15"/>
      <c r="GTU241" s="15"/>
      <c r="GTV241" s="16"/>
      <c r="GTW241" s="16"/>
      <c r="GTX241" s="16"/>
      <c r="GTY241" s="16"/>
      <c r="GTZ241" s="16"/>
      <c r="GUA241" s="15"/>
      <c r="GUB241" s="15"/>
      <c r="GUC241" s="10"/>
      <c r="GUD241" s="10"/>
      <c r="GUE241" s="19"/>
      <c r="GUF241" s="19"/>
      <c r="GUI241" s="16"/>
      <c r="GUJ241" s="15"/>
      <c r="GUK241" s="15"/>
      <c r="GUL241" s="15"/>
      <c r="GUM241" s="16"/>
      <c r="GUN241" s="16"/>
      <c r="GUO241" s="16"/>
      <c r="GUP241" s="16"/>
      <c r="GUQ241" s="16"/>
      <c r="GUR241" s="15"/>
      <c r="GUS241" s="15"/>
      <c r="GUT241" s="10"/>
      <c r="GUU241" s="10"/>
      <c r="GUV241" s="19"/>
      <c r="GUW241" s="19"/>
      <c r="GUZ241" s="16"/>
      <c r="GVA241" s="15"/>
      <c r="GVB241" s="15"/>
      <c r="GVC241" s="15"/>
      <c r="GVD241" s="16"/>
      <c r="GVE241" s="16"/>
      <c r="GVF241" s="16"/>
      <c r="GVG241" s="16"/>
      <c r="GVH241" s="16"/>
      <c r="GVI241" s="15"/>
      <c r="GVJ241" s="15"/>
      <c r="GVK241" s="10"/>
      <c r="GVL241" s="10"/>
      <c r="GVM241" s="19"/>
      <c r="GVN241" s="19"/>
      <c r="GVQ241" s="16"/>
      <c r="GVR241" s="15"/>
      <c r="GVS241" s="15"/>
      <c r="GVT241" s="15"/>
      <c r="GVU241" s="16"/>
      <c r="GVV241" s="16"/>
      <c r="GVW241" s="16"/>
      <c r="GVX241" s="16"/>
      <c r="GVY241" s="16"/>
      <c r="GVZ241" s="15"/>
      <c r="GWA241" s="15"/>
      <c r="GWB241" s="10"/>
      <c r="GWC241" s="10"/>
      <c r="GWD241" s="19"/>
      <c r="GWE241" s="19"/>
      <c r="GWH241" s="16"/>
      <c r="GWI241" s="15"/>
      <c r="GWJ241" s="15"/>
      <c r="GWK241" s="15"/>
      <c r="GWL241" s="16"/>
      <c r="GWM241" s="16"/>
      <c r="GWN241" s="16"/>
      <c r="GWO241" s="16"/>
      <c r="GWP241" s="16"/>
      <c r="GWQ241" s="15"/>
      <c r="GWR241" s="15"/>
      <c r="GWS241" s="10"/>
      <c r="GWT241" s="10"/>
      <c r="GWU241" s="19"/>
      <c r="GWV241" s="19"/>
      <c r="GWY241" s="16"/>
      <c r="GWZ241" s="15"/>
      <c r="GXA241" s="15"/>
      <c r="GXB241" s="15"/>
      <c r="GXC241" s="16"/>
      <c r="GXD241" s="16"/>
      <c r="GXE241" s="16"/>
      <c r="GXF241" s="16"/>
      <c r="GXG241" s="16"/>
      <c r="GXH241" s="15"/>
      <c r="GXI241" s="15"/>
      <c r="GXJ241" s="10"/>
      <c r="GXK241" s="10"/>
      <c r="GXL241" s="19"/>
      <c r="GXM241" s="19"/>
      <c r="GXP241" s="16"/>
      <c r="GXQ241" s="15"/>
      <c r="GXR241" s="15"/>
      <c r="GXS241" s="15"/>
      <c r="GXT241" s="16"/>
      <c r="GXU241" s="16"/>
      <c r="GXV241" s="16"/>
      <c r="GXW241" s="16"/>
      <c r="GXX241" s="16"/>
      <c r="GXY241" s="15"/>
      <c r="GXZ241" s="15"/>
      <c r="GYA241" s="10"/>
      <c r="GYB241" s="10"/>
      <c r="GYC241" s="19"/>
      <c r="GYD241" s="19"/>
      <c r="GYG241" s="16"/>
      <c r="GYH241" s="15"/>
      <c r="GYI241" s="15"/>
      <c r="GYJ241" s="15"/>
      <c r="GYK241" s="16"/>
      <c r="GYL241" s="16"/>
      <c r="GYM241" s="16"/>
      <c r="GYN241" s="16"/>
      <c r="GYO241" s="16"/>
      <c r="GYP241" s="15"/>
      <c r="GYQ241" s="15"/>
      <c r="GYR241" s="10"/>
      <c r="GYS241" s="10"/>
      <c r="GYT241" s="19"/>
      <c r="GYU241" s="19"/>
      <c r="GYX241" s="16"/>
      <c r="GYY241" s="15"/>
      <c r="GYZ241" s="15"/>
      <c r="GZA241" s="15"/>
      <c r="GZB241" s="16"/>
      <c r="GZC241" s="16"/>
      <c r="GZD241" s="16"/>
      <c r="GZE241" s="16"/>
      <c r="GZF241" s="16"/>
      <c r="GZG241" s="15"/>
      <c r="GZH241" s="15"/>
      <c r="GZI241" s="10"/>
      <c r="GZJ241" s="10"/>
      <c r="GZK241" s="19"/>
      <c r="GZL241" s="19"/>
      <c r="GZO241" s="16"/>
      <c r="GZP241" s="15"/>
      <c r="GZQ241" s="15"/>
      <c r="GZR241" s="15"/>
      <c r="GZS241" s="16"/>
      <c r="GZT241" s="16"/>
      <c r="GZU241" s="16"/>
      <c r="GZV241" s="16"/>
      <c r="GZW241" s="16"/>
      <c r="GZX241" s="15"/>
      <c r="GZY241" s="15"/>
      <c r="GZZ241" s="10"/>
      <c r="HAA241" s="10"/>
      <c r="HAB241" s="19"/>
      <c r="HAC241" s="19"/>
      <c r="HAF241" s="16"/>
      <c r="HAG241" s="15"/>
      <c r="HAH241" s="15"/>
      <c r="HAI241" s="15"/>
      <c r="HAJ241" s="16"/>
      <c r="HAK241" s="16"/>
      <c r="HAL241" s="16"/>
      <c r="HAM241" s="16"/>
      <c r="HAN241" s="16"/>
      <c r="HAO241" s="15"/>
      <c r="HAP241" s="15"/>
      <c r="HAQ241" s="10"/>
      <c r="HAR241" s="10"/>
      <c r="HAS241" s="19"/>
      <c r="HAT241" s="19"/>
      <c r="HAW241" s="16"/>
      <c r="HAX241" s="15"/>
      <c r="HAY241" s="15"/>
      <c r="HAZ241" s="15"/>
      <c r="HBA241" s="16"/>
      <c r="HBB241" s="16"/>
      <c r="HBC241" s="16"/>
      <c r="HBD241" s="16"/>
      <c r="HBE241" s="16"/>
      <c r="HBF241" s="15"/>
      <c r="HBG241" s="15"/>
      <c r="HBH241" s="10"/>
      <c r="HBI241" s="10"/>
      <c r="HBJ241" s="19"/>
      <c r="HBK241" s="19"/>
      <c r="HBN241" s="16"/>
      <c r="HBO241" s="15"/>
      <c r="HBP241" s="15"/>
      <c r="HBQ241" s="15"/>
      <c r="HBR241" s="16"/>
      <c r="HBS241" s="16"/>
      <c r="HBT241" s="16"/>
      <c r="HBU241" s="16"/>
      <c r="HBV241" s="16"/>
      <c r="HBW241" s="15"/>
      <c r="HBX241" s="15"/>
      <c r="HBY241" s="10"/>
      <c r="HBZ241" s="10"/>
      <c r="HCA241" s="19"/>
      <c r="HCB241" s="19"/>
      <c r="HCE241" s="16"/>
      <c r="HCF241" s="15"/>
      <c r="HCG241" s="15"/>
      <c r="HCH241" s="15"/>
      <c r="HCI241" s="16"/>
      <c r="HCJ241" s="16"/>
      <c r="HCK241" s="16"/>
      <c r="HCL241" s="16"/>
      <c r="HCM241" s="16"/>
      <c r="HCN241" s="15"/>
      <c r="HCO241" s="15"/>
      <c r="HCP241" s="10"/>
      <c r="HCQ241" s="10"/>
      <c r="HCR241" s="19"/>
      <c r="HCS241" s="19"/>
      <c r="HCV241" s="16"/>
      <c r="HCW241" s="15"/>
      <c r="HCX241" s="15"/>
      <c r="HCY241" s="15"/>
      <c r="HCZ241" s="16"/>
      <c r="HDA241" s="16"/>
      <c r="HDB241" s="16"/>
      <c r="HDC241" s="16"/>
      <c r="HDD241" s="16"/>
      <c r="HDE241" s="15"/>
      <c r="HDF241" s="15"/>
      <c r="HDG241" s="10"/>
      <c r="HDH241" s="10"/>
      <c r="HDI241" s="19"/>
      <c r="HDJ241" s="19"/>
      <c r="HDM241" s="16"/>
      <c r="HDN241" s="15"/>
      <c r="HDO241" s="15"/>
      <c r="HDP241" s="15"/>
      <c r="HDQ241" s="16"/>
      <c r="HDR241" s="16"/>
      <c r="HDS241" s="16"/>
      <c r="HDT241" s="16"/>
      <c r="HDU241" s="16"/>
      <c r="HDV241" s="15"/>
      <c r="HDW241" s="15"/>
      <c r="HDX241" s="10"/>
      <c r="HDY241" s="10"/>
      <c r="HDZ241" s="19"/>
      <c r="HEA241" s="19"/>
      <c r="HED241" s="16"/>
      <c r="HEE241" s="15"/>
      <c r="HEF241" s="15"/>
      <c r="HEG241" s="15"/>
      <c r="HEH241" s="16"/>
      <c r="HEI241" s="16"/>
      <c r="HEJ241" s="16"/>
      <c r="HEK241" s="16"/>
      <c r="HEL241" s="16"/>
      <c r="HEM241" s="15"/>
      <c r="HEN241" s="15"/>
      <c r="HEO241" s="10"/>
      <c r="HEP241" s="10"/>
      <c r="HEQ241" s="19"/>
      <c r="HER241" s="19"/>
      <c r="HEU241" s="16"/>
      <c r="HEV241" s="15"/>
      <c r="HEW241" s="15"/>
      <c r="HEX241" s="15"/>
      <c r="HEY241" s="16"/>
      <c r="HEZ241" s="16"/>
      <c r="HFA241" s="16"/>
      <c r="HFB241" s="16"/>
      <c r="HFC241" s="16"/>
      <c r="HFD241" s="15"/>
      <c r="HFE241" s="15"/>
      <c r="HFF241" s="10"/>
      <c r="HFG241" s="10"/>
      <c r="HFH241" s="19"/>
      <c r="HFI241" s="19"/>
      <c r="HFL241" s="16"/>
      <c r="HFM241" s="15"/>
      <c r="HFN241" s="15"/>
      <c r="HFO241" s="15"/>
      <c r="HFP241" s="16"/>
      <c r="HFQ241" s="16"/>
      <c r="HFR241" s="16"/>
      <c r="HFS241" s="16"/>
      <c r="HFT241" s="16"/>
      <c r="HFU241" s="15"/>
      <c r="HFV241" s="15"/>
      <c r="HFW241" s="10"/>
      <c r="HFX241" s="10"/>
      <c r="HFY241" s="19"/>
      <c r="HFZ241" s="19"/>
      <c r="HGC241" s="16"/>
      <c r="HGD241" s="15"/>
      <c r="HGE241" s="15"/>
      <c r="HGF241" s="15"/>
      <c r="HGG241" s="16"/>
      <c r="HGH241" s="16"/>
      <c r="HGI241" s="16"/>
      <c r="HGJ241" s="16"/>
      <c r="HGK241" s="16"/>
      <c r="HGL241" s="15"/>
      <c r="HGM241" s="15"/>
      <c r="HGN241" s="10"/>
      <c r="HGO241" s="10"/>
      <c r="HGP241" s="19"/>
      <c r="HGQ241" s="19"/>
      <c r="HGT241" s="16"/>
      <c r="HGU241" s="15"/>
      <c r="HGV241" s="15"/>
      <c r="HGW241" s="15"/>
      <c r="HGX241" s="16"/>
      <c r="HGY241" s="16"/>
      <c r="HGZ241" s="16"/>
      <c r="HHA241" s="16"/>
      <c r="HHB241" s="16"/>
      <c r="HHC241" s="15"/>
      <c r="HHD241" s="15"/>
      <c r="HHE241" s="10"/>
      <c r="HHF241" s="10"/>
      <c r="HHG241" s="19"/>
      <c r="HHH241" s="19"/>
      <c r="HHK241" s="16"/>
      <c r="HHL241" s="15"/>
      <c r="HHM241" s="15"/>
      <c r="HHN241" s="15"/>
      <c r="HHO241" s="16"/>
      <c r="HHP241" s="16"/>
      <c r="HHQ241" s="16"/>
      <c r="HHR241" s="16"/>
      <c r="HHS241" s="16"/>
      <c r="HHT241" s="15"/>
      <c r="HHU241" s="15"/>
      <c r="HHV241" s="10"/>
      <c r="HHW241" s="10"/>
      <c r="HHX241" s="19"/>
      <c r="HHY241" s="19"/>
      <c r="HIB241" s="16"/>
      <c r="HIC241" s="15"/>
      <c r="HID241" s="15"/>
      <c r="HIE241" s="15"/>
      <c r="HIF241" s="16"/>
      <c r="HIG241" s="16"/>
      <c r="HIH241" s="16"/>
      <c r="HII241" s="16"/>
      <c r="HIJ241" s="16"/>
      <c r="HIK241" s="15"/>
      <c r="HIL241" s="15"/>
      <c r="HIM241" s="10"/>
      <c r="HIN241" s="10"/>
      <c r="HIO241" s="19"/>
      <c r="HIP241" s="19"/>
      <c r="HIS241" s="16"/>
      <c r="HIT241" s="15"/>
      <c r="HIU241" s="15"/>
      <c r="HIV241" s="15"/>
      <c r="HIW241" s="16"/>
      <c r="HIX241" s="16"/>
      <c r="HIY241" s="16"/>
      <c r="HIZ241" s="16"/>
      <c r="HJA241" s="16"/>
      <c r="HJB241" s="15"/>
      <c r="HJC241" s="15"/>
      <c r="HJD241" s="10"/>
      <c r="HJE241" s="10"/>
      <c r="HJF241" s="19"/>
      <c r="HJG241" s="19"/>
      <c r="HJJ241" s="16"/>
      <c r="HJK241" s="15"/>
      <c r="HJL241" s="15"/>
      <c r="HJM241" s="15"/>
      <c r="HJN241" s="16"/>
      <c r="HJO241" s="16"/>
      <c r="HJP241" s="16"/>
      <c r="HJQ241" s="16"/>
      <c r="HJR241" s="16"/>
      <c r="HJS241" s="15"/>
      <c r="HJT241" s="15"/>
      <c r="HJU241" s="10"/>
      <c r="HJV241" s="10"/>
      <c r="HJW241" s="19"/>
      <c r="HJX241" s="19"/>
      <c r="HKA241" s="16"/>
      <c r="HKB241" s="15"/>
      <c r="HKC241" s="15"/>
      <c r="HKD241" s="15"/>
      <c r="HKE241" s="16"/>
      <c r="HKF241" s="16"/>
      <c r="HKG241" s="16"/>
      <c r="HKH241" s="16"/>
      <c r="HKI241" s="16"/>
      <c r="HKJ241" s="15"/>
      <c r="HKK241" s="15"/>
      <c r="HKL241" s="10"/>
      <c r="HKM241" s="10"/>
      <c r="HKN241" s="19"/>
      <c r="HKO241" s="19"/>
      <c r="HKR241" s="16"/>
      <c r="HKS241" s="15"/>
      <c r="HKT241" s="15"/>
      <c r="HKU241" s="15"/>
      <c r="HKV241" s="16"/>
      <c r="HKW241" s="16"/>
      <c r="HKX241" s="16"/>
      <c r="HKY241" s="16"/>
      <c r="HKZ241" s="16"/>
      <c r="HLA241" s="15"/>
      <c r="HLB241" s="15"/>
      <c r="HLC241" s="10"/>
      <c r="HLD241" s="10"/>
      <c r="HLE241" s="19"/>
      <c r="HLF241" s="19"/>
      <c r="HLI241" s="16"/>
      <c r="HLJ241" s="15"/>
      <c r="HLK241" s="15"/>
      <c r="HLL241" s="15"/>
      <c r="HLM241" s="16"/>
      <c r="HLN241" s="16"/>
      <c r="HLO241" s="16"/>
      <c r="HLP241" s="16"/>
      <c r="HLQ241" s="16"/>
      <c r="HLR241" s="15"/>
      <c r="HLS241" s="15"/>
      <c r="HLT241" s="10"/>
      <c r="HLU241" s="10"/>
      <c r="HLV241" s="19"/>
      <c r="HLW241" s="19"/>
      <c r="HLZ241" s="16"/>
      <c r="HMA241" s="15"/>
      <c r="HMB241" s="15"/>
      <c r="HMC241" s="15"/>
      <c r="HMD241" s="16"/>
      <c r="HME241" s="16"/>
      <c r="HMF241" s="16"/>
      <c r="HMG241" s="16"/>
      <c r="HMH241" s="16"/>
      <c r="HMI241" s="15"/>
      <c r="HMJ241" s="15"/>
      <c r="HMK241" s="10"/>
      <c r="HML241" s="10"/>
      <c r="HMM241" s="19"/>
      <c r="HMN241" s="19"/>
      <c r="HMQ241" s="16"/>
      <c r="HMR241" s="15"/>
      <c r="HMS241" s="15"/>
      <c r="HMT241" s="15"/>
      <c r="HMU241" s="16"/>
      <c r="HMV241" s="16"/>
      <c r="HMW241" s="16"/>
      <c r="HMX241" s="16"/>
      <c r="HMY241" s="16"/>
      <c r="HMZ241" s="15"/>
      <c r="HNA241" s="15"/>
      <c r="HNB241" s="10"/>
      <c r="HNC241" s="10"/>
      <c r="HND241" s="19"/>
      <c r="HNE241" s="19"/>
      <c r="HNH241" s="16"/>
      <c r="HNI241" s="15"/>
      <c r="HNJ241" s="15"/>
      <c r="HNK241" s="15"/>
      <c r="HNL241" s="16"/>
      <c r="HNM241" s="16"/>
      <c r="HNN241" s="16"/>
      <c r="HNO241" s="16"/>
      <c r="HNP241" s="16"/>
      <c r="HNQ241" s="15"/>
      <c r="HNR241" s="15"/>
      <c r="HNS241" s="10"/>
      <c r="HNT241" s="10"/>
      <c r="HNU241" s="19"/>
      <c r="HNV241" s="19"/>
      <c r="HNY241" s="16"/>
      <c r="HNZ241" s="15"/>
      <c r="HOA241" s="15"/>
      <c r="HOB241" s="15"/>
      <c r="HOC241" s="16"/>
      <c r="HOD241" s="16"/>
      <c r="HOE241" s="16"/>
      <c r="HOF241" s="16"/>
      <c r="HOG241" s="16"/>
      <c r="HOH241" s="15"/>
      <c r="HOI241" s="15"/>
      <c r="HOJ241" s="10"/>
      <c r="HOK241" s="10"/>
      <c r="HOL241" s="19"/>
      <c r="HOM241" s="19"/>
      <c r="HOP241" s="16"/>
      <c r="HOQ241" s="15"/>
      <c r="HOR241" s="15"/>
      <c r="HOS241" s="15"/>
      <c r="HOT241" s="16"/>
      <c r="HOU241" s="16"/>
      <c r="HOV241" s="16"/>
      <c r="HOW241" s="16"/>
      <c r="HOX241" s="16"/>
      <c r="HOY241" s="15"/>
      <c r="HOZ241" s="15"/>
      <c r="HPA241" s="10"/>
      <c r="HPB241" s="10"/>
      <c r="HPC241" s="19"/>
      <c r="HPD241" s="19"/>
      <c r="HPG241" s="16"/>
      <c r="HPH241" s="15"/>
      <c r="HPI241" s="15"/>
      <c r="HPJ241" s="15"/>
      <c r="HPK241" s="16"/>
      <c r="HPL241" s="16"/>
      <c r="HPM241" s="16"/>
      <c r="HPN241" s="16"/>
      <c r="HPO241" s="16"/>
      <c r="HPP241" s="15"/>
      <c r="HPQ241" s="15"/>
      <c r="HPR241" s="10"/>
      <c r="HPS241" s="10"/>
      <c r="HPT241" s="19"/>
      <c r="HPU241" s="19"/>
      <c r="HPX241" s="16"/>
      <c r="HPY241" s="15"/>
      <c r="HPZ241" s="15"/>
      <c r="HQA241" s="15"/>
      <c r="HQB241" s="16"/>
      <c r="HQC241" s="16"/>
      <c r="HQD241" s="16"/>
      <c r="HQE241" s="16"/>
      <c r="HQF241" s="16"/>
      <c r="HQG241" s="15"/>
      <c r="HQH241" s="15"/>
      <c r="HQI241" s="10"/>
      <c r="HQJ241" s="10"/>
      <c r="HQK241" s="19"/>
      <c r="HQL241" s="19"/>
      <c r="HQO241" s="16"/>
      <c r="HQP241" s="15"/>
      <c r="HQQ241" s="15"/>
      <c r="HQR241" s="15"/>
      <c r="HQS241" s="16"/>
      <c r="HQT241" s="16"/>
      <c r="HQU241" s="16"/>
      <c r="HQV241" s="16"/>
      <c r="HQW241" s="16"/>
      <c r="HQX241" s="15"/>
      <c r="HQY241" s="15"/>
      <c r="HQZ241" s="10"/>
      <c r="HRA241" s="10"/>
      <c r="HRB241" s="19"/>
      <c r="HRC241" s="19"/>
      <c r="HRF241" s="16"/>
      <c r="HRG241" s="15"/>
      <c r="HRH241" s="15"/>
      <c r="HRI241" s="15"/>
      <c r="HRJ241" s="16"/>
      <c r="HRK241" s="16"/>
      <c r="HRL241" s="16"/>
      <c r="HRM241" s="16"/>
      <c r="HRN241" s="16"/>
      <c r="HRO241" s="15"/>
      <c r="HRP241" s="15"/>
      <c r="HRQ241" s="10"/>
      <c r="HRR241" s="10"/>
      <c r="HRS241" s="19"/>
      <c r="HRT241" s="19"/>
      <c r="HRW241" s="16"/>
      <c r="HRX241" s="15"/>
      <c r="HRY241" s="15"/>
      <c r="HRZ241" s="15"/>
      <c r="HSA241" s="16"/>
      <c r="HSB241" s="16"/>
      <c r="HSC241" s="16"/>
      <c r="HSD241" s="16"/>
      <c r="HSE241" s="16"/>
      <c r="HSF241" s="15"/>
      <c r="HSG241" s="15"/>
      <c r="HSH241" s="10"/>
      <c r="HSI241" s="10"/>
      <c r="HSJ241" s="19"/>
      <c r="HSK241" s="19"/>
      <c r="HSN241" s="16"/>
      <c r="HSO241" s="15"/>
      <c r="HSP241" s="15"/>
      <c r="HSQ241" s="15"/>
      <c r="HSR241" s="16"/>
      <c r="HSS241" s="16"/>
      <c r="HST241" s="16"/>
      <c r="HSU241" s="16"/>
      <c r="HSV241" s="16"/>
      <c r="HSW241" s="15"/>
      <c r="HSX241" s="15"/>
      <c r="HSY241" s="10"/>
      <c r="HSZ241" s="10"/>
      <c r="HTA241" s="19"/>
      <c r="HTB241" s="19"/>
      <c r="HTE241" s="16"/>
      <c r="HTF241" s="15"/>
      <c r="HTG241" s="15"/>
      <c r="HTH241" s="15"/>
      <c r="HTI241" s="16"/>
      <c r="HTJ241" s="16"/>
      <c r="HTK241" s="16"/>
      <c r="HTL241" s="16"/>
      <c r="HTM241" s="16"/>
      <c r="HTN241" s="15"/>
      <c r="HTO241" s="15"/>
      <c r="HTP241" s="10"/>
      <c r="HTQ241" s="10"/>
      <c r="HTR241" s="19"/>
      <c r="HTS241" s="19"/>
      <c r="HTV241" s="16"/>
      <c r="HTW241" s="15"/>
      <c r="HTX241" s="15"/>
      <c r="HTY241" s="15"/>
      <c r="HTZ241" s="16"/>
      <c r="HUA241" s="16"/>
      <c r="HUB241" s="16"/>
      <c r="HUC241" s="16"/>
      <c r="HUD241" s="16"/>
      <c r="HUE241" s="15"/>
      <c r="HUF241" s="15"/>
      <c r="HUG241" s="10"/>
      <c r="HUH241" s="10"/>
      <c r="HUI241" s="19"/>
      <c r="HUJ241" s="19"/>
      <c r="HUM241" s="16"/>
      <c r="HUN241" s="15"/>
      <c r="HUO241" s="15"/>
      <c r="HUP241" s="15"/>
      <c r="HUQ241" s="16"/>
      <c r="HUR241" s="16"/>
      <c r="HUS241" s="16"/>
      <c r="HUT241" s="16"/>
      <c r="HUU241" s="16"/>
      <c r="HUV241" s="15"/>
      <c r="HUW241" s="15"/>
      <c r="HUX241" s="10"/>
      <c r="HUY241" s="10"/>
      <c r="HUZ241" s="19"/>
      <c r="HVA241" s="19"/>
      <c r="HVD241" s="16"/>
      <c r="HVE241" s="15"/>
      <c r="HVF241" s="15"/>
      <c r="HVG241" s="15"/>
      <c r="HVH241" s="16"/>
      <c r="HVI241" s="16"/>
      <c r="HVJ241" s="16"/>
      <c r="HVK241" s="16"/>
      <c r="HVL241" s="16"/>
      <c r="HVM241" s="15"/>
      <c r="HVN241" s="15"/>
      <c r="HVO241" s="10"/>
      <c r="HVP241" s="10"/>
      <c r="HVQ241" s="19"/>
      <c r="HVR241" s="19"/>
      <c r="HVU241" s="16"/>
      <c r="HVV241" s="15"/>
      <c r="HVW241" s="15"/>
      <c r="HVX241" s="15"/>
      <c r="HVY241" s="16"/>
      <c r="HVZ241" s="16"/>
      <c r="HWA241" s="16"/>
      <c r="HWB241" s="16"/>
      <c r="HWC241" s="16"/>
      <c r="HWD241" s="15"/>
      <c r="HWE241" s="15"/>
      <c r="HWF241" s="10"/>
      <c r="HWG241" s="10"/>
      <c r="HWH241" s="19"/>
      <c r="HWI241" s="19"/>
      <c r="HWL241" s="16"/>
      <c r="HWM241" s="15"/>
      <c r="HWN241" s="15"/>
      <c r="HWO241" s="15"/>
      <c r="HWP241" s="16"/>
      <c r="HWQ241" s="16"/>
      <c r="HWR241" s="16"/>
      <c r="HWS241" s="16"/>
      <c r="HWT241" s="16"/>
      <c r="HWU241" s="15"/>
      <c r="HWV241" s="15"/>
      <c r="HWW241" s="10"/>
      <c r="HWX241" s="10"/>
      <c r="HWY241" s="19"/>
      <c r="HWZ241" s="19"/>
      <c r="HXC241" s="16"/>
      <c r="HXD241" s="15"/>
      <c r="HXE241" s="15"/>
      <c r="HXF241" s="15"/>
      <c r="HXG241" s="16"/>
      <c r="HXH241" s="16"/>
      <c r="HXI241" s="16"/>
      <c r="HXJ241" s="16"/>
      <c r="HXK241" s="16"/>
      <c r="HXL241" s="15"/>
      <c r="HXM241" s="15"/>
      <c r="HXN241" s="10"/>
      <c r="HXO241" s="10"/>
      <c r="HXP241" s="19"/>
      <c r="HXQ241" s="19"/>
      <c r="HXT241" s="16"/>
      <c r="HXU241" s="15"/>
      <c r="HXV241" s="15"/>
      <c r="HXW241" s="15"/>
      <c r="HXX241" s="16"/>
      <c r="HXY241" s="16"/>
      <c r="HXZ241" s="16"/>
      <c r="HYA241" s="16"/>
      <c r="HYB241" s="16"/>
      <c r="HYC241" s="15"/>
      <c r="HYD241" s="15"/>
      <c r="HYE241" s="10"/>
      <c r="HYF241" s="10"/>
      <c r="HYG241" s="19"/>
      <c r="HYH241" s="19"/>
      <c r="HYK241" s="16"/>
      <c r="HYL241" s="15"/>
      <c r="HYM241" s="15"/>
      <c r="HYN241" s="15"/>
      <c r="HYO241" s="16"/>
      <c r="HYP241" s="16"/>
      <c r="HYQ241" s="16"/>
      <c r="HYR241" s="16"/>
      <c r="HYS241" s="16"/>
      <c r="HYT241" s="15"/>
      <c r="HYU241" s="15"/>
      <c r="HYV241" s="10"/>
      <c r="HYW241" s="10"/>
      <c r="HYX241" s="19"/>
      <c r="HYY241" s="19"/>
      <c r="HZB241" s="16"/>
      <c r="HZC241" s="15"/>
      <c r="HZD241" s="15"/>
      <c r="HZE241" s="15"/>
      <c r="HZF241" s="16"/>
      <c r="HZG241" s="16"/>
      <c r="HZH241" s="16"/>
      <c r="HZI241" s="16"/>
      <c r="HZJ241" s="16"/>
      <c r="HZK241" s="15"/>
      <c r="HZL241" s="15"/>
      <c r="HZM241" s="10"/>
      <c r="HZN241" s="10"/>
      <c r="HZO241" s="19"/>
      <c r="HZP241" s="19"/>
      <c r="HZS241" s="16"/>
      <c r="HZT241" s="15"/>
      <c r="HZU241" s="15"/>
      <c r="HZV241" s="15"/>
      <c r="HZW241" s="16"/>
      <c r="HZX241" s="16"/>
      <c r="HZY241" s="16"/>
      <c r="HZZ241" s="16"/>
      <c r="IAA241" s="16"/>
      <c r="IAB241" s="15"/>
      <c r="IAC241" s="15"/>
      <c r="IAD241" s="10"/>
      <c r="IAE241" s="10"/>
      <c r="IAF241" s="19"/>
      <c r="IAG241" s="19"/>
      <c r="IAJ241" s="16"/>
      <c r="IAK241" s="15"/>
      <c r="IAL241" s="15"/>
      <c r="IAM241" s="15"/>
      <c r="IAN241" s="16"/>
      <c r="IAO241" s="16"/>
      <c r="IAP241" s="16"/>
      <c r="IAQ241" s="16"/>
      <c r="IAR241" s="16"/>
      <c r="IAS241" s="15"/>
      <c r="IAT241" s="15"/>
      <c r="IAU241" s="10"/>
      <c r="IAV241" s="10"/>
      <c r="IAW241" s="19"/>
      <c r="IAX241" s="19"/>
      <c r="IBA241" s="16"/>
      <c r="IBB241" s="15"/>
      <c r="IBC241" s="15"/>
      <c r="IBD241" s="15"/>
      <c r="IBE241" s="16"/>
      <c r="IBF241" s="16"/>
      <c r="IBG241" s="16"/>
      <c r="IBH241" s="16"/>
      <c r="IBI241" s="16"/>
      <c r="IBJ241" s="15"/>
      <c r="IBK241" s="15"/>
      <c r="IBL241" s="10"/>
      <c r="IBM241" s="10"/>
      <c r="IBN241" s="19"/>
      <c r="IBO241" s="19"/>
      <c r="IBR241" s="16"/>
      <c r="IBS241" s="15"/>
      <c r="IBT241" s="15"/>
      <c r="IBU241" s="15"/>
      <c r="IBV241" s="16"/>
      <c r="IBW241" s="16"/>
      <c r="IBX241" s="16"/>
      <c r="IBY241" s="16"/>
      <c r="IBZ241" s="16"/>
      <c r="ICA241" s="15"/>
      <c r="ICB241" s="15"/>
      <c r="ICC241" s="10"/>
      <c r="ICD241" s="10"/>
      <c r="ICE241" s="19"/>
      <c r="ICF241" s="19"/>
      <c r="ICI241" s="16"/>
      <c r="ICJ241" s="15"/>
      <c r="ICK241" s="15"/>
      <c r="ICL241" s="15"/>
      <c r="ICM241" s="16"/>
      <c r="ICN241" s="16"/>
      <c r="ICO241" s="16"/>
      <c r="ICP241" s="16"/>
      <c r="ICQ241" s="16"/>
      <c r="ICR241" s="15"/>
      <c r="ICS241" s="15"/>
      <c r="ICT241" s="10"/>
      <c r="ICU241" s="10"/>
      <c r="ICV241" s="19"/>
      <c r="ICW241" s="19"/>
      <c r="ICZ241" s="16"/>
      <c r="IDA241" s="15"/>
      <c r="IDB241" s="15"/>
      <c r="IDC241" s="15"/>
      <c r="IDD241" s="16"/>
      <c r="IDE241" s="16"/>
      <c r="IDF241" s="16"/>
      <c r="IDG241" s="16"/>
      <c r="IDH241" s="16"/>
      <c r="IDI241" s="15"/>
      <c r="IDJ241" s="15"/>
      <c r="IDK241" s="10"/>
      <c r="IDL241" s="10"/>
      <c r="IDM241" s="19"/>
      <c r="IDN241" s="19"/>
      <c r="IDQ241" s="16"/>
      <c r="IDR241" s="15"/>
      <c r="IDS241" s="15"/>
      <c r="IDT241" s="15"/>
      <c r="IDU241" s="16"/>
      <c r="IDV241" s="16"/>
      <c r="IDW241" s="16"/>
      <c r="IDX241" s="16"/>
      <c r="IDY241" s="16"/>
      <c r="IDZ241" s="15"/>
      <c r="IEA241" s="15"/>
      <c r="IEB241" s="10"/>
      <c r="IEC241" s="10"/>
      <c r="IED241" s="19"/>
      <c r="IEE241" s="19"/>
      <c r="IEH241" s="16"/>
      <c r="IEI241" s="15"/>
      <c r="IEJ241" s="15"/>
      <c r="IEK241" s="15"/>
      <c r="IEL241" s="16"/>
      <c r="IEM241" s="16"/>
      <c r="IEN241" s="16"/>
      <c r="IEO241" s="16"/>
      <c r="IEP241" s="16"/>
      <c r="IEQ241" s="15"/>
      <c r="IER241" s="15"/>
      <c r="IES241" s="10"/>
      <c r="IET241" s="10"/>
      <c r="IEU241" s="19"/>
      <c r="IEV241" s="19"/>
      <c r="IEY241" s="16"/>
      <c r="IEZ241" s="15"/>
      <c r="IFA241" s="15"/>
      <c r="IFB241" s="15"/>
      <c r="IFC241" s="16"/>
      <c r="IFD241" s="16"/>
      <c r="IFE241" s="16"/>
      <c r="IFF241" s="16"/>
      <c r="IFG241" s="16"/>
      <c r="IFH241" s="15"/>
      <c r="IFI241" s="15"/>
      <c r="IFJ241" s="10"/>
      <c r="IFK241" s="10"/>
      <c r="IFL241" s="19"/>
      <c r="IFM241" s="19"/>
      <c r="IFP241" s="16"/>
      <c r="IFQ241" s="15"/>
      <c r="IFR241" s="15"/>
      <c r="IFS241" s="15"/>
      <c r="IFT241" s="16"/>
      <c r="IFU241" s="16"/>
      <c r="IFV241" s="16"/>
      <c r="IFW241" s="16"/>
      <c r="IFX241" s="16"/>
      <c r="IFY241" s="15"/>
      <c r="IFZ241" s="15"/>
      <c r="IGA241" s="10"/>
      <c r="IGB241" s="10"/>
      <c r="IGC241" s="19"/>
      <c r="IGD241" s="19"/>
      <c r="IGG241" s="16"/>
      <c r="IGH241" s="15"/>
      <c r="IGI241" s="15"/>
      <c r="IGJ241" s="15"/>
      <c r="IGK241" s="16"/>
      <c r="IGL241" s="16"/>
      <c r="IGM241" s="16"/>
      <c r="IGN241" s="16"/>
      <c r="IGO241" s="16"/>
      <c r="IGP241" s="15"/>
      <c r="IGQ241" s="15"/>
      <c r="IGR241" s="10"/>
      <c r="IGS241" s="10"/>
      <c r="IGT241" s="19"/>
      <c r="IGU241" s="19"/>
      <c r="IGX241" s="16"/>
      <c r="IGY241" s="15"/>
      <c r="IGZ241" s="15"/>
      <c r="IHA241" s="15"/>
      <c r="IHB241" s="16"/>
      <c r="IHC241" s="16"/>
      <c r="IHD241" s="16"/>
      <c r="IHE241" s="16"/>
      <c r="IHF241" s="16"/>
      <c r="IHG241" s="15"/>
      <c r="IHH241" s="15"/>
      <c r="IHI241" s="10"/>
      <c r="IHJ241" s="10"/>
      <c r="IHK241" s="19"/>
      <c r="IHL241" s="19"/>
      <c r="IHO241" s="16"/>
      <c r="IHP241" s="15"/>
      <c r="IHQ241" s="15"/>
      <c r="IHR241" s="15"/>
      <c r="IHS241" s="16"/>
      <c r="IHT241" s="16"/>
      <c r="IHU241" s="16"/>
      <c r="IHV241" s="16"/>
      <c r="IHW241" s="16"/>
      <c r="IHX241" s="15"/>
      <c r="IHY241" s="15"/>
      <c r="IHZ241" s="10"/>
      <c r="IIA241" s="10"/>
      <c r="IIB241" s="19"/>
      <c r="IIC241" s="19"/>
      <c r="IIF241" s="16"/>
      <c r="IIG241" s="15"/>
      <c r="IIH241" s="15"/>
      <c r="III241" s="15"/>
      <c r="IIJ241" s="16"/>
      <c r="IIK241" s="16"/>
      <c r="IIL241" s="16"/>
      <c r="IIM241" s="16"/>
      <c r="IIN241" s="16"/>
      <c r="IIO241" s="15"/>
      <c r="IIP241" s="15"/>
      <c r="IIQ241" s="10"/>
      <c r="IIR241" s="10"/>
      <c r="IIS241" s="19"/>
      <c r="IIT241" s="19"/>
      <c r="IIW241" s="16"/>
      <c r="IIX241" s="15"/>
      <c r="IIY241" s="15"/>
      <c r="IIZ241" s="15"/>
      <c r="IJA241" s="16"/>
      <c r="IJB241" s="16"/>
      <c r="IJC241" s="16"/>
      <c r="IJD241" s="16"/>
      <c r="IJE241" s="16"/>
      <c r="IJF241" s="15"/>
      <c r="IJG241" s="15"/>
      <c r="IJH241" s="10"/>
      <c r="IJI241" s="10"/>
      <c r="IJJ241" s="19"/>
      <c r="IJK241" s="19"/>
      <c r="IJN241" s="16"/>
      <c r="IJO241" s="15"/>
      <c r="IJP241" s="15"/>
      <c r="IJQ241" s="15"/>
      <c r="IJR241" s="16"/>
      <c r="IJS241" s="16"/>
      <c r="IJT241" s="16"/>
      <c r="IJU241" s="16"/>
      <c r="IJV241" s="16"/>
      <c r="IJW241" s="15"/>
      <c r="IJX241" s="15"/>
      <c r="IJY241" s="10"/>
      <c r="IJZ241" s="10"/>
      <c r="IKA241" s="19"/>
      <c r="IKB241" s="19"/>
      <c r="IKE241" s="16"/>
      <c r="IKF241" s="15"/>
      <c r="IKG241" s="15"/>
      <c r="IKH241" s="15"/>
      <c r="IKI241" s="16"/>
      <c r="IKJ241" s="16"/>
      <c r="IKK241" s="16"/>
      <c r="IKL241" s="16"/>
      <c r="IKM241" s="16"/>
      <c r="IKN241" s="15"/>
      <c r="IKO241" s="15"/>
      <c r="IKP241" s="10"/>
      <c r="IKQ241" s="10"/>
      <c r="IKR241" s="19"/>
      <c r="IKS241" s="19"/>
      <c r="IKV241" s="16"/>
      <c r="IKW241" s="15"/>
      <c r="IKX241" s="15"/>
      <c r="IKY241" s="15"/>
      <c r="IKZ241" s="16"/>
      <c r="ILA241" s="16"/>
      <c r="ILB241" s="16"/>
      <c r="ILC241" s="16"/>
      <c r="ILD241" s="16"/>
      <c r="ILE241" s="15"/>
      <c r="ILF241" s="15"/>
      <c r="ILG241" s="10"/>
      <c r="ILH241" s="10"/>
      <c r="ILI241" s="19"/>
      <c r="ILJ241" s="19"/>
      <c r="ILM241" s="16"/>
      <c r="ILN241" s="15"/>
      <c r="ILO241" s="15"/>
      <c r="ILP241" s="15"/>
      <c r="ILQ241" s="16"/>
      <c r="ILR241" s="16"/>
      <c r="ILS241" s="16"/>
      <c r="ILT241" s="16"/>
      <c r="ILU241" s="16"/>
      <c r="ILV241" s="15"/>
      <c r="ILW241" s="15"/>
      <c r="ILX241" s="10"/>
      <c r="ILY241" s="10"/>
      <c r="ILZ241" s="19"/>
      <c r="IMA241" s="19"/>
      <c r="IMD241" s="16"/>
      <c r="IME241" s="15"/>
      <c r="IMF241" s="15"/>
      <c r="IMG241" s="15"/>
      <c r="IMH241" s="16"/>
      <c r="IMI241" s="16"/>
      <c r="IMJ241" s="16"/>
      <c r="IMK241" s="16"/>
      <c r="IML241" s="16"/>
      <c r="IMM241" s="15"/>
      <c r="IMN241" s="15"/>
      <c r="IMO241" s="10"/>
      <c r="IMP241" s="10"/>
      <c r="IMQ241" s="19"/>
      <c r="IMR241" s="19"/>
      <c r="IMU241" s="16"/>
      <c r="IMV241" s="15"/>
      <c r="IMW241" s="15"/>
      <c r="IMX241" s="15"/>
      <c r="IMY241" s="16"/>
      <c r="IMZ241" s="16"/>
      <c r="INA241" s="16"/>
      <c r="INB241" s="16"/>
      <c r="INC241" s="16"/>
      <c r="IND241" s="15"/>
      <c r="INE241" s="15"/>
      <c r="INF241" s="10"/>
      <c r="ING241" s="10"/>
      <c r="INH241" s="19"/>
      <c r="INI241" s="19"/>
      <c r="INL241" s="16"/>
      <c r="INM241" s="15"/>
      <c r="INN241" s="15"/>
      <c r="INO241" s="15"/>
      <c r="INP241" s="16"/>
      <c r="INQ241" s="16"/>
      <c r="INR241" s="16"/>
      <c r="INS241" s="16"/>
      <c r="INT241" s="16"/>
      <c r="INU241" s="15"/>
      <c r="INV241" s="15"/>
      <c r="INW241" s="10"/>
      <c r="INX241" s="10"/>
      <c r="INY241" s="19"/>
      <c r="INZ241" s="19"/>
      <c r="IOC241" s="16"/>
      <c r="IOD241" s="15"/>
      <c r="IOE241" s="15"/>
      <c r="IOF241" s="15"/>
      <c r="IOG241" s="16"/>
      <c r="IOH241" s="16"/>
      <c r="IOI241" s="16"/>
      <c r="IOJ241" s="16"/>
      <c r="IOK241" s="16"/>
      <c r="IOL241" s="15"/>
      <c r="IOM241" s="15"/>
      <c r="ION241" s="10"/>
      <c r="IOO241" s="10"/>
      <c r="IOP241" s="19"/>
      <c r="IOQ241" s="19"/>
      <c r="IOT241" s="16"/>
      <c r="IOU241" s="15"/>
      <c r="IOV241" s="15"/>
      <c r="IOW241" s="15"/>
      <c r="IOX241" s="16"/>
      <c r="IOY241" s="16"/>
      <c r="IOZ241" s="16"/>
      <c r="IPA241" s="16"/>
      <c r="IPB241" s="16"/>
      <c r="IPC241" s="15"/>
      <c r="IPD241" s="15"/>
      <c r="IPE241" s="10"/>
      <c r="IPF241" s="10"/>
      <c r="IPG241" s="19"/>
      <c r="IPH241" s="19"/>
      <c r="IPK241" s="16"/>
      <c r="IPL241" s="15"/>
      <c r="IPM241" s="15"/>
      <c r="IPN241" s="15"/>
      <c r="IPO241" s="16"/>
      <c r="IPP241" s="16"/>
      <c r="IPQ241" s="16"/>
      <c r="IPR241" s="16"/>
      <c r="IPS241" s="16"/>
      <c r="IPT241" s="15"/>
      <c r="IPU241" s="15"/>
      <c r="IPV241" s="10"/>
      <c r="IPW241" s="10"/>
      <c r="IPX241" s="19"/>
      <c r="IPY241" s="19"/>
      <c r="IQB241" s="16"/>
      <c r="IQC241" s="15"/>
      <c r="IQD241" s="15"/>
      <c r="IQE241" s="15"/>
      <c r="IQF241" s="16"/>
      <c r="IQG241" s="16"/>
      <c r="IQH241" s="16"/>
      <c r="IQI241" s="16"/>
      <c r="IQJ241" s="16"/>
      <c r="IQK241" s="15"/>
      <c r="IQL241" s="15"/>
      <c r="IQM241" s="10"/>
      <c r="IQN241" s="10"/>
      <c r="IQO241" s="19"/>
      <c r="IQP241" s="19"/>
      <c r="IQS241" s="16"/>
      <c r="IQT241" s="15"/>
      <c r="IQU241" s="15"/>
      <c r="IQV241" s="15"/>
      <c r="IQW241" s="16"/>
      <c r="IQX241" s="16"/>
      <c r="IQY241" s="16"/>
      <c r="IQZ241" s="16"/>
      <c r="IRA241" s="16"/>
      <c r="IRB241" s="15"/>
      <c r="IRC241" s="15"/>
      <c r="IRD241" s="10"/>
      <c r="IRE241" s="10"/>
      <c r="IRF241" s="19"/>
      <c r="IRG241" s="19"/>
      <c r="IRJ241" s="16"/>
      <c r="IRK241" s="15"/>
      <c r="IRL241" s="15"/>
      <c r="IRM241" s="15"/>
      <c r="IRN241" s="16"/>
      <c r="IRO241" s="16"/>
      <c r="IRP241" s="16"/>
      <c r="IRQ241" s="16"/>
      <c r="IRR241" s="16"/>
      <c r="IRS241" s="15"/>
      <c r="IRT241" s="15"/>
      <c r="IRU241" s="10"/>
      <c r="IRV241" s="10"/>
      <c r="IRW241" s="19"/>
      <c r="IRX241" s="19"/>
      <c r="ISA241" s="16"/>
      <c r="ISB241" s="15"/>
      <c r="ISC241" s="15"/>
      <c r="ISD241" s="15"/>
      <c r="ISE241" s="16"/>
      <c r="ISF241" s="16"/>
      <c r="ISG241" s="16"/>
      <c r="ISH241" s="16"/>
      <c r="ISI241" s="16"/>
      <c r="ISJ241" s="15"/>
      <c r="ISK241" s="15"/>
      <c r="ISL241" s="10"/>
      <c r="ISM241" s="10"/>
      <c r="ISN241" s="19"/>
      <c r="ISO241" s="19"/>
      <c r="ISR241" s="16"/>
      <c r="ISS241" s="15"/>
      <c r="IST241" s="15"/>
      <c r="ISU241" s="15"/>
      <c r="ISV241" s="16"/>
      <c r="ISW241" s="16"/>
      <c r="ISX241" s="16"/>
      <c r="ISY241" s="16"/>
      <c r="ISZ241" s="16"/>
      <c r="ITA241" s="15"/>
      <c r="ITB241" s="15"/>
      <c r="ITC241" s="10"/>
      <c r="ITD241" s="10"/>
      <c r="ITE241" s="19"/>
      <c r="ITF241" s="19"/>
      <c r="ITI241" s="16"/>
      <c r="ITJ241" s="15"/>
      <c r="ITK241" s="15"/>
      <c r="ITL241" s="15"/>
      <c r="ITM241" s="16"/>
      <c r="ITN241" s="16"/>
      <c r="ITO241" s="16"/>
      <c r="ITP241" s="16"/>
      <c r="ITQ241" s="16"/>
      <c r="ITR241" s="15"/>
      <c r="ITS241" s="15"/>
      <c r="ITT241" s="10"/>
      <c r="ITU241" s="10"/>
      <c r="ITV241" s="19"/>
      <c r="ITW241" s="19"/>
      <c r="ITZ241" s="16"/>
      <c r="IUA241" s="15"/>
      <c r="IUB241" s="15"/>
      <c r="IUC241" s="15"/>
      <c r="IUD241" s="16"/>
      <c r="IUE241" s="16"/>
      <c r="IUF241" s="16"/>
      <c r="IUG241" s="16"/>
      <c r="IUH241" s="16"/>
      <c r="IUI241" s="15"/>
      <c r="IUJ241" s="15"/>
      <c r="IUK241" s="10"/>
      <c r="IUL241" s="10"/>
      <c r="IUM241" s="19"/>
      <c r="IUN241" s="19"/>
      <c r="IUQ241" s="16"/>
      <c r="IUR241" s="15"/>
      <c r="IUS241" s="15"/>
      <c r="IUT241" s="15"/>
      <c r="IUU241" s="16"/>
      <c r="IUV241" s="16"/>
      <c r="IUW241" s="16"/>
      <c r="IUX241" s="16"/>
      <c r="IUY241" s="16"/>
      <c r="IUZ241" s="15"/>
      <c r="IVA241" s="15"/>
      <c r="IVB241" s="10"/>
      <c r="IVC241" s="10"/>
      <c r="IVD241" s="19"/>
      <c r="IVE241" s="19"/>
      <c r="IVH241" s="16"/>
      <c r="IVI241" s="15"/>
      <c r="IVJ241" s="15"/>
      <c r="IVK241" s="15"/>
      <c r="IVL241" s="16"/>
      <c r="IVM241" s="16"/>
      <c r="IVN241" s="16"/>
      <c r="IVO241" s="16"/>
      <c r="IVP241" s="16"/>
      <c r="IVQ241" s="15"/>
      <c r="IVR241" s="15"/>
      <c r="IVS241" s="10"/>
      <c r="IVT241" s="10"/>
      <c r="IVU241" s="19"/>
      <c r="IVV241" s="19"/>
      <c r="IVY241" s="16"/>
      <c r="IVZ241" s="15"/>
      <c r="IWA241" s="15"/>
      <c r="IWB241" s="15"/>
      <c r="IWC241" s="16"/>
      <c r="IWD241" s="16"/>
      <c r="IWE241" s="16"/>
      <c r="IWF241" s="16"/>
      <c r="IWG241" s="16"/>
      <c r="IWH241" s="15"/>
      <c r="IWI241" s="15"/>
      <c r="IWJ241" s="10"/>
      <c r="IWK241" s="10"/>
      <c r="IWL241" s="19"/>
      <c r="IWM241" s="19"/>
      <c r="IWP241" s="16"/>
      <c r="IWQ241" s="15"/>
      <c r="IWR241" s="15"/>
      <c r="IWS241" s="15"/>
      <c r="IWT241" s="16"/>
      <c r="IWU241" s="16"/>
      <c r="IWV241" s="16"/>
      <c r="IWW241" s="16"/>
      <c r="IWX241" s="16"/>
      <c r="IWY241" s="15"/>
      <c r="IWZ241" s="15"/>
      <c r="IXA241" s="10"/>
      <c r="IXB241" s="10"/>
      <c r="IXC241" s="19"/>
      <c r="IXD241" s="19"/>
      <c r="IXG241" s="16"/>
      <c r="IXH241" s="15"/>
      <c r="IXI241" s="15"/>
      <c r="IXJ241" s="15"/>
      <c r="IXK241" s="16"/>
      <c r="IXL241" s="16"/>
      <c r="IXM241" s="16"/>
      <c r="IXN241" s="16"/>
      <c r="IXO241" s="16"/>
      <c r="IXP241" s="15"/>
      <c r="IXQ241" s="15"/>
      <c r="IXR241" s="10"/>
      <c r="IXS241" s="10"/>
      <c r="IXT241" s="19"/>
      <c r="IXU241" s="19"/>
      <c r="IXX241" s="16"/>
      <c r="IXY241" s="15"/>
      <c r="IXZ241" s="15"/>
      <c r="IYA241" s="15"/>
      <c r="IYB241" s="16"/>
      <c r="IYC241" s="16"/>
      <c r="IYD241" s="16"/>
      <c r="IYE241" s="16"/>
      <c r="IYF241" s="16"/>
      <c r="IYG241" s="15"/>
      <c r="IYH241" s="15"/>
      <c r="IYI241" s="10"/>
      <c r="IYJ241" s="10"/>
      <c r="IYK241" s="19"/>
      <c r="IYL241" s="19"/>
      <c r="IYO241" s="16"/>
      <c r="IYP241" s="15"/>
      <c r="IYQ241" s="15"/>
      <c r="IYR241" s="15"/>
      <c r="IYS241" s="16"/>
      <c r="IYT241" s="16"/>
      <c r="IYU241" s="16"/>
      <c r="IYV241" s="16"/>
      <c r="IYW241" s="16"/>
      <c r="IYX241" s="15"/>
      <c r="IYY241" s="15"/>
      <c r="IYZ241" s="10"/>
      <c r="IZA241" s="10"/>
      <c r="IZB241" s="19"/>
      <c r="IZC241" s="19"/>
      <c r="IZF241" s="16"/>
      <c r="IZG241" s="15"/>
      <c r="IZH241" s="15"/>
      <c r="IZI241" s="15"/>
      <c r="IZJ241" s="16"/>
      <c r="IZK241" s="16"/>
      <c r="IZL241" s="16"/>
      <c r="IZM241" s="16"/>
      <c r="IZN241" s="16"/>
      <c r="IZO241" s="15"/>
      <c r="IZP241" s="15"/>
      <c r="IZQ241" s="10"/>
      <c r="IZR241" s="10"/>
      <c r="IZS241" s="19"/>
      <c r="IZT241" s="19"/>
      <c r="IZW241" s="16"/>
      <c r="IZX241" s="15"/>
      <c r="IZY241" s="15"/>
      <c r="IZZ241" s="15"/>
      <c r="JAA241" s="16"/>
      <c r="JAB241" s="16"/>
      <c r="JAC241" s="16"/>
      <c r="JAD241" s="16"/>
      <c r="JAE241" s="16"/>
      <c r="JAF241" s="15"/>
      <c r="JAG241" s="15"/>
      <c r="JAH241" s="10"/>
      <c r="JAI241" s="10"/>
      <c r="JAJ241" s="19"/>
      <c r="JAK241" s="19"/>
      <c r="JAN241" s="16"/>
      <c r="JAO241" s="15"/>
      <c r="JAP241" s="15"/>
      <c r="JAQ241" s="15"/>
      <c r="JAR241" s="16"/>
      <c r="JAS241" s="16"/>
      <c r="JAT241" s="16"/>
      <c r="JAU241" s="16"/>
      <c r="JAV241" s="16"/>
      <c r="JAW241" s="15"/>
      <c r="JAX241" s="15"/>
      <c r="JAY241" s="10"/>
      <c r="JAZ241" s="10"/>
      <c r="JBA241" s="19"/>
      <c r="JBB241" s="19"/>
      <c r="JBE241" s="16"/>
      <c r="JBF241" s="15"/>
      <c r="JBG241" s="15"/>
      <c r="JBH241" s="15"/>
      <c r="JBI241" s="16"/>
      <c r="JBJ241" s="16"/>
      <c r="JBK241" s="16"/>
      <c r="JBL241" s="16"/>
      <c r="JBM241" s="16"/>
      <c r="JBN241" s="15"/>
      <c r="JBO241" s="15"/>
      <c r="JBP241" s="10"/>
      <c r="JBQ241" s="10"/>
      <c r="JBR241" s="19"/>
      <c r="JBS241" s="19"/>
      <c r="JBV241" s="16"/>
      <c r="JBW241" s="15"/>
      <c r="JBX241" s="15"/>
      <c r="JBY241" s="15"/>
      <c r="JBZ241" s="16"/>
      <c r="JCA241" s="16"/>
      <c r="JCB241" s="16"/>
      <c r="JCC241" s="16"/>
      <c r="JCD241" s="16"/>
      <c r="JCE241" s="15"/>
      <c r="JCF241" s="15"/>
      <c r="JCG241" s="10"/>
      <c r="JCH241" s="10"/>
      <c r="JCI241" s="19"/>
      <c r="JCJ241" s="19"/>
      <c r="JCM241" s="16"/>
      <c r="JCN241" s="15"/>
      <c r="JCO241" s="15"/>
      <c r="JCP241" s="15"/>
      <c r="JCQ241" s="16"/>
      <c r="JCR241" s="16"/>
      <c r="JCS241" s="16"/>
      <c r="JCT241" s="16"/>
      <c r="JCU241" s="16"/>
      <c r="JCV241" s="15"/>
      <c r="JCW241" s="15"/>
      <c r="JCX241" s="10"/>
      <c r="JCY241" s="10"/>
      <c r="JCZ241" s="19"/>
      <c r="JDA241" s="19"/>
      <c r="JDD241" s="16"/>
      <c r="JDE241" s="15"/>
      <c r="JDF241" s="15"/>
      <c r="JDG241" s="15"/>
      <c r="JDH241" s="16"/>
      <c r="JDI241" s="16"/>
      <c r="JDJ241" s="16"/>
      <c r="JDK241" s="16"/>
      <c r="JDL241" s="16"/>
      <c r="JDM241" s="15"/>
      <c r="JDN241" s="15"/>
      <c r="JDO241" s="10"/>
      <c r="JDP241" s="10"/>
      <c r="JDQ241" s="19"/>
      <c r="JDR241" s="19"/>
      <c r="JDU241" s="16"/>
      <c r="JDV241" s="15"/>
      <c r="JDW241" s="15"/>
      <c r="JDX241" s="15"/>
      <c r="JDY241" s="16"/>
      <c r="JDZ241" s="16"/>
      <c r="JEA241" s="16"/>
      <c r="JEB241" s="16"/>
      <c r="JEC241" s="16"/>
      <c r="JED241" s="15"/>
      <c r="JEE241" s="15"/>
      <c r="JEF241" s="10"/>
      <c r="JEG241" s="10"/>
      <c r="JEH241" s="19"/>
      <c r="JEI241" s="19"/>
      <c r="JEL241" s="16"/>
      <c r="JEM241" s="15"/>
      <c r="JEN241" s="15"/>
      <c r="JEO241" s="15"/>
      <c r="JEP241" s="16"/>
      <c r="JEQ241" s="16"/>
      <c r="JER241" s="16"/>
      <c r="JES241" s="16"/>
      <c r="JET241" s="16"/>
      <c r="JEU241" s="15"/>
      <c r="JEV241" s="15"/>
      <c r="JEW241" s="10"/>
      <c r="JEX241" s="10"/>
      <c r="JEY241" s="19"/>
      <c r="JEZ241" s="19"/>
      <c r="JFC241" s="16"/>
      <c r="JFD241" s="15"/>
      <c r="JFE241" s="15"/>
      <c r="JFF241" s="15"/>
      <c r="JFG241" s="16"/>
      <c r="JFH241" s="16"/>
      <c r="JFI241" s="16"/>
      <c r="JFJ241" s="16"/>
      <c r="JFK241" s="16"/>
      <c r="JFL241" s="15"/>
      <c r="JFM241" s="15"/>
      <c r="JFN241" s="10"/>
      <c r="JFO241" s="10"/>
      <c r="JFP241" s="19"/>
      <c r="JFQ241" s="19"/>
      <c r="JFT241" s="16"/>
      <c r="JFU241" s="15"/>
      <c r="JFV241" s="15"/>
      <c r="JFW241" s="15"/>
      <c r="JFX241" s="16"/>
      <c r="JFY241" s="16"/>
      <c r="JFZ241" s="16"/>
      <c r="JGA241" s="16"/>
      <c r="JGB241" s="16"/>
      <c r="JGC241" s="15"/>
      <c r="JGD241" s="15"/>
      <c r="JGE241" s="10"/>
      <c r="JGF241" s="10"/>
      <c r="JGG241" s="19"/>
      <c r="JGH241" s="19"/>
      <c r="JGK241" s="16"/>
      <c r="JGL241" s="15"/>
      <c r="JGM241" s="15"/>
      <c r="JGN241" s="15"/>
      <c r="JGO241" s="16"/>
      <c r="JGP241" s="16"/>
      <c r="JGQ241" s="16"/>
      <c r="JGR241" s="16"/>
      <c r="JGS241" s="16"/>
      <c r="JGT241" s="15"/>
      <c r="JGU241" s="15"/>
      <c r="JGV241" s="10"/>
      <c r="JGW241" s="10"/>
      <c r="JGX241" s="19"/>
      <c r="JGY241" s="19"/>
      <c r="JHB241" s="16"/>
      <c r="JHC241" s="15"/>
      <c r="JHD241" s="15"/>
      <c r="JHE241" s="15"/>
      <c r="JHF241" s="16"/>
      <c r="JHG241" s="16"/>
      <c r="JHH241" s="16"/>
      <c r="JHI241" s="16"/>
      <c r="JHJ241" s="16"/>
      <c r="JHK241" s="15"/>
      <c r="JHL241" s="15"/>
      <c r="JHM241" s="10"/>
      <c r="JHN241" s="10"/>
      <c r="JHO241" s="19"/>
      <c r="JHP241" s="19"/>
      <c r="JHS241" s="16"/>
      <c r="JHT241" s="15"/>
      <c r="JHU241" s="15"/>
      <c r="JHV241" s="15"/>
      <c r="JHW241" s="16"/>
      <c r="JHX241" s="16"/>
      <c r="JHY241" s="16"/>
      <c r="JHZ241" s="16"/>
      <c r="JIA241" s="16"/>
      <c r="JIB241" s="15"/>
      <c r="JIC241" s="15"/>
      <c r="JID241" s="10"/>
      <c r="JIE241" s="10"/>
      <c r="JIF241" s="19"/>
      <c r="JIG241" s="19"/>
      <c r="JIJ241" s="16"/>
      <c r="JIK241" s="15"/>
      <c r="JIL241" s="15"/>
      <c r="JIM241" s="15"/>
      <c r="JIN241" s="16"/>
      <c r="JIO241" s="16"/>
      <c r="JIP241" s="16"/>
      <c r="JIQ241" s="16"/>
      <c r="JIR241" s="16"/>
      <c r="JIS241" s="15"/>
      <c r="JIT241" s="15"/>
      <c r="JIU241" s="10"/>
      <c r="JIV241" s="10"/>
      <c r="JIW241" s="19"/>
      <c r="JIX241" s="19"/>
      <c r="JJA241" s="16"/>
      <c r="JJB241" s="15"/>
      <c r="JJC241" s="15"/>
      <c r="JJD241" s="15"/>
      <c r="JJE241" s="16"/>
      <c r="JJF241" s="16"/>
      <c r="JJG241" s="16"/>
      <c r="JJH241" s="16"/>
      <c r="JJI241" s="16"/>
      <c r="JJJ241" s="15"/>
      <c r="JJK241" s="15"/>
      <c r="JJL241" s="10"/>
      <c r="JJM241" s="10"/>
      <c r="JJN241" s="19"/>
      <c r="JJO241" s="19"/>
      <c r="JJR241" s="16"/>
      <c r="JJS241" s="15"/>
      <c r="JJT241" s="15"/>
      <c r="JJU241" s="15"/>
      <c r="JJV241" s="16"/>
      <c r="JJW241" s="16"/>
      <c r="JJX241" s="16"/>
      <c r="JJY241" s="16"/>
      <c r="JJZ241" s="16"/>
      <c r="JKA241" s="15"/>
      <c r="JKB241" s="15"/>
      <c r="JKC241" s="10"/>
      <c r="JKD241" s="10"/>
      <c r="JKE241" s="19"/>
      <c r="JKF241" s="19"/>
      <c r="JKI241" s="16"/>
      <c r="JKJ241" s="15"/>
      <c r="JKK241" s="15"/>
      <c r="JKL241" s="15"/>
      <c r="JKM241" s="16"/>
      <c r="JKN241" s="16"/>
      <c r="JKO241" s="16"/>
      <c r="JKP241" s="16"/>
      <c r="JKQ241" s="16"/>
      <c r="JKR241" s="15"/>
      <c r="JKS241" s="15"/>
      <c r="JKT241" s="10"/>
      <c r="JKU241" s="10"/>
      <c r="JKV241" s="19"/>
      <c r="JKW241" s="19"/>
      <c r="JKZ241" s="16"/>
      <c r="JLA241" s="15"/>
      <c r="JLB241" s="15"/>
      <c r="JLC241" s="15"/>
      <c r="JLD241" s="16"/>
      <c r="JLE241" s="16"/>
      <c r="JLF241" s="16"/>
      <c r="JLG241" s="16"/>
      <c r="JLH241" s="16"/>
      <c r="JLI241" s="15"/>
      <c r="JLJ241" s="15"/>
      <c r="JLK241" s="10"/>
      <c r="JLL241" s="10"/>
      <c r="JLM241" s="19"/>
      <c r="JLN241" s="19"/>
      <c r="JLQ241" s="16"/>
      <c r="JLR241" s="15"/>
      <c r="JLS241" s="15"/>
      <c r="JLT241" s="15"/>
      <c r="JLU241" s="16"/>
      <c r="JLV241" s="16"/>
      <c r="JLW241" s="16"/>
      <c r="JLX241" s="16"/>
      <c r="JLY241" s="16"/>
      <c r="JLZ241" s="15"/>
      <c r="JMA241" s="15"/>
      <c r="JMB241" s="10"/>
      <c r="JMC241" s="10"/>
      <c r="JMD241" s="19"/>
      <c r="JME241" s="19"/>
      <c r="JMH241" s="16"/>
      <c r="JMI241" s="15"/>
      <c r="JMJ241" s="15"/>
      <c r="JMK241" s="15"/>
      <c r="JML241" s="16"/>
      <c r="JMM241" s="16"/>
      <c r="JMN241" s="16"/>
      <c r="JMO241" s="16"/>
      <c r="JMP241" s="16"/>
      <c r="JMQ241" s="15"/>
      <c r="JMR241" s="15"/>
      <c r="JMS241" s="10"/>
      <c r="JMT241" s="10"/>
      <c r="JMU241" s="19"/>
      <c r="JMV241" s="19"/>
      <c r="JMY241" s="16"/>
      <c r="JMZ241" s="15"/>
      <c r="JNA241" s="15"/>
      <c r="JNB241" s="15"/>
      <c r="JNC241" s="16"/>
      <c r="JND241" s="16"/>
      <c r="JNE241" s="16"/>
      <c r="JNF241" s="16"/>
      <c r="JNG241" s="16"/>
      <c r="JNH241" s="15"/>
      <c r="JNI241" s="15"/>
      <c r="JNJ241" s="10"/>
      <c r="JNK241" s="10"/>
      <c r="JNL241" s="19"/>
      <c r="JNM241" s="19"/>
      <c r="JNP241" s="16"/>
      <c r="JNQ241" s="15"/>
      <c r="JNR241" s="15"/>
      <c r="JNS241" s="15"/>
      <c r="JNT241" s="16"/>
      <c r="JNU241" s="16"/>
      <c r="JNV241" s="16"/>
      <c r="JNW241" s="16"/>
      <c r="JNX241" s="16"/>
      <c r="JNY241" s="15"/>
      <c r="JNZ241" s="15"/>
      <c r="JOA241" s="10"/>
      <c r="JOB241" s="10"/>
      <c r="JOC241" s="19"/>
      <c r="JOD241" s="19"/>
      <c r="JOG241" s="16"/>
      <c r="JOH241" s="15"/>
      <c r="JOI241" s="15"/>
      <c r="JOJ241" s="15"/>
      <c r="JOK241" s="16"/>
      <c r="JOL241" s="16"/>
      <c r="JOM241" s="16"/>
      <c r="JON241" s="16"/>
      <c r="JOO241" s="16"/>
      <c r="JOP241" s="15"/>
      <c r="JOQ241" s="15"/>
      <c r="JOR241" s="10"/>
      <c r="JOS241" s="10"/>
      <c r="JOT241" s="19"/>
      <c r="JOU241" s="19"/>
      <c r="JOX241" s="16"/>
      <c r="JOY241" s="15"/>
      <c r="JOZ241" s="15"/>
      <c r="JPA241" s="15"/>
      <c r="JPB241" s="16"/>
      <c r="JPC241" s="16"/>
      <c r="JPD241" s="16"/>
      <c r="JPE241" s="16"/>
      <c r="JPF241" s="16"/>
      <c r="JPG241" s="15"/>
      <c r="JPH241" s="15"/>
      <c r="JPI241" s="10"/>
      <c r="JPJ241" s="10"/>
      <c r="JPK241" s="19"/>
      <c r="JPL241" s="19"/>
      <c r="JPO241" s="16"/>
      <c r="JPP241" s="15"/>
      <c r="JPQ241" s="15"/>
      <c r="JPR241" s="15"/>
      <c r="JPS241" s="16"/>
      <c r="JPT241" s="16"/>
      <c r="JPU241" s="16"/>
      <c r="JPV241" s="16"/>
      <c r="JPW241" s="16"/>
      <c r="JPX241" s="15"/>
      <c r="JPY241" s="15"/>
      <c r="JPZ241" s="10"/>
      <c r="JQA241" s="10"/>
      <c r="JQB241" s="19"/>
      <c r="JQC241" s="19"/>
      <c r="JQF241" s="16"/>
      <c r="JQG241" s="15"/>
      <c r="JQH241" s="15"/>
      <c r="JQI241" s="15"/>
      <c r="JQJ241" s="16"/>
      <c r="JQK241" s="16"/>
      <c r="JQL241" s="16"/>
      <c r="JQM241" s="16"/>
      <c r="JQN241" s="16"/>
      <c r="JQO241" s="15"/>
      <c r="JQP241" s="15"/>
      <c r="JQQ241" s="10"/>
      <c r="JQR241" s="10"/>
      <c r="JQS241" s="19"/>
      <c r="JQT241" s="19"/>
      <c r="JQW241" s="16"/>
      <c r="JQX241" s="15"/>
      <c r="JQY241" s="15"/>
      <c r="JQZ241" s="15"/>
      <c r="JRA241" s="16"/>
      <c r="JRB241" s="16"/>
      <c r="JRC241" s="16"/>
      <c r="JRD241" s="16"/>
      <c r="JRE241" s="16"/>
      <c r="JRF241" s="15"/>
      <c r="JRG241" s="15"/>
      <c r="JRH241" s="10"/>
      <c r="JRI241" s="10"/>
      <c r="JRJ241" s="19"/>
      <c r="JRK241" s="19"/>
      <c r="JRN241" s="16"/>
      <c r="JRO241" s="15"/>
      <c r="JRP241" s="15"/>
      <c r="JRQ241" s="15"/>
      <c r="JRR241" s="16"/>
      <c r="JRS241" s="16"/>
      <c r="JRT241" s="16"/>
      <c r="JRU241" s="16"/>
      <c r="JRV241" s="16"/>
      <c r="JRW241" s="15"/>
      <c r="JRX241" s="15"/>
      <c r="JRY241" s="10"/>
      <c r="JRZ241" s="10"/>
      <c r="JSA241" s="19"/>
      <c r="JSB241" s="19"/>
      <c r="JSE241" s="16"/>
      <c r="JSF241" s="15"/>
      <c r="JSG241" s="15"/>
      <c r="JSH241" s="15"/>
      <c r="JSI241" s="16"/>
      <c r="JSJ241" s="16"/>
      <c r="JSK241" s="16"/>
      <c r="JSL241" s="16"/>
      <c r="JSM241" s="16"/>
      <c r="JSN241" s="15"/>
      <c r="JSO241" s="15"/>
      <c r="JSP241" s="10"/>
      <c r="JSQ241" s="10"/>
      <c r="JSR241" s="19"/>
      <c r="JSS241" s="19"/>
      <c r="JSV241" s="16"/>
      <c r="JSW241" s="15"/>
      <c r="JSX241" s="15"/>
      <c r="JSY241" s="15"/>
      <c r="JSZ241" s="16"/>
      <c r="JTA241" s="16"/>
      <c r="JTB241" s="16"/>
      <c r="JTC241" s="16"/>
      <c r="JTD241" s="16"/>
      <c r="JTE241" s="15"/>
      <c r="JTF241" s="15"/>
      <c r="JTG241" s="10"/>
      <c r="JTH241" s="10"/>
      <c r="JTI241" s="19"/>
      <c r="JTJ241" s="19"/>
      <c r="JTM241" s="16"/>
      <c r="JTN241" s="15"/>
      <c r="JTO241" s="15"/>
      <c r="JTP241" s="15"/>
      <c r="JTQ241" s="16"/>
      <c r="JTR241" s="16"/>
      <c r="JTS241" s="16"/>
      <c r="JTT241" s="16"/>
      <c r="JTU241" s="16"/>
      <c r="JTV241" s="15"/>
      <c r="JTW241" s="15"/>
      <c r="JTX241" s="10"/>
      <c r="JTY241" s="10"/>
      <c r="JTZ241" s="19"/>
      <c r="JUA241" s="19"/>
      <c r="JUD241" s="16"/>
      <c r="JUE241" s="15"/>
      <c r="JUF241" s="15"/>
      <c r="JUG241" s="15"/>
      <c r="JUH241" s="16"/>
      <c r="JUI241" s="16"/>
      <c r="JUJ241" s="16"/>
      <c r="JUK241" s="16"/>
      <c r="JUL241" s="16"/>
      <c r="JUM241" s="15"/>
      <c r="JUN241" s="15"/>
      <c r="JUO241" s="10"/>
      <c r="JUP241" s="10"/>
      <c r="JUQ241" s="19"/>
      <c r="JUR241" s="19"/>
      <c r="JUU241" s="16"/>
      <c r="JUV241" s="15"/>
      <c r="JUW241" s="15"/>
      <c r="JUX241" s="15"/>
      <c r="JUY241" s="16"/>
      <c r="JUZ241" s="16"/>
      <c r="JVA241" s="16"/>
      <c r="JVB241" s="16"/>
      <c r="JVC241" s="16"/>
      <c r="JVD241" s="15"/>
      <c r="JVE241" s="15"/>
      <c r="JVF241" s="10"/>
      <c r="JVG241" s="10"/>
      <c r="JVH241" s="19"/>
      <c r="JVI241" s="19"/>
      <c r="JVL241" s="16"/>
      <c r="JVM241" s="15"/>
      <c r="JVN241" s="15"/>
      <c r="JVO241" s="15"/>
      <c r="JVP241" s="16"/>
      <c r="JVQ241" s="16"/>
      <c r="JVR241" s="16"/>
      <c r="JVS241" s="16"/>
      <c r="JVT241" s="16"/>
      <c r="JVU241" s="15"/>
      <c r="JVV241" s="15"/>
      <c r="JVW241" s="10"/>
      <c r="JVX241" s="10"/>
      <c r="JVY241" s="19"/>
      <c r="JVZ241" s="19"/>
      <c r="JWC241" s="16"/>
      <c r="JWD241" s="15"/>
      <c r="JWE241" s="15"/>
      <c r="JWF241" s="15"/>
      <c r="JWG241" s="16"/>
      <c r="JWH241" s="16"/>
      <c r="JWI241" s="16"/>
      <c r="JWJ241" s="16"/>
      <c r="JWK241" s="16"/>
      <c r="JWL241" s="15"/>
      <c r="JWM241" s="15"/>
      <c r="JWN241" s="10"/>
      <c r="JWO241" s="10"/>
      <c r="JWP241" s="19"/>
      <c r="JWQ241" s="19"/>
      <c r="JWT241" s="16"/>
      <c r="JWU241" s="15"/>
      <c r="JWV241" s="15"/>
      <c r="JWW241" s="15"/>
      <c r="JWX241" s="16"/>
      <c r="JWY241" s="16"/>
      <c r="JWZ241" s="16"/>
      <c r="JXA241" s="16"/>
      <c r="JXB241" s="16"/>
      <c r="JXC241" s="15"/>
      <c r="JXD241" s="15"/>
      <c r="JXE241" s="10"/>
      <c r="JXF241" s="10"/>
      <c r="JXG241" s="19"/>
      <c r="JXH241" s="19"/>
      <c r="JXK241" s="16"/>
      <c r="JXL241" s="15"/>
      <c r="JXM241" s="15"/>
      <c r="JXN241" s="15"/>
      <c r="JXO241" s="16"/>
      <c r="JXP241" s="16"/>
      <c r="JXQ241" s="16"/>
      <c r="JXR241" s="16"/>
      <c r="JXS241" s="16"/>
      <c r="JXT241" s="15"/>
      <c r="JXU241" s="15"/>
      <c r="JXV241" s="10"/>
      <c r="JXW241" s="10"/>
      <c r="JXX241" s="19"/>
      <c r="JXY241" s="19"/>
      <c r="JYB241" s="16"/>
      <c r="JYC241" s="15"/>
      <c r="JYD241" s="15"/>
      <c r="JYE241" s="15"/>
      <c r="JYF241" s="16"/>
      <c r="JYG241" s="16"/>
      <c r="JYH241" s="16"/>
      <c r="JYI241" s="16"/>
      <c r="JYJ241" s="16"/>
      <c r="JYK241" s="15"/>
      <c r="JYL241" s="15"/>
      <c r="JYM241" s="10"/>
      <c r="JYN241" s="10"/>
      <c r="JYO241" s="19"/>
      <c r="JYP241" s="19"/>
      <c r="JYS241" s="16"/>
      <c r="JYT241" s="15"/>
      <c r="JYU241" s="15"/>
      <c r="JYV241" s="15"/>
      <c r="JYW241" s="16"/>
      <c r="JYX241" s="16"/>
      <c r="JYY241" s="16"/>
      <c r="JYZ241" s="16"/>
      <c r="JZA241" s="16"/>
      <c r="JZB241" s="15"/>
      <c r="JZC241" s="15"/>
      <c r="JZD241" s="10"/>
      <c r="JZE241" s="10"/>
      <c r="JZF241" s="19"/>
      <c r="JZG241" s="19"/>
      <c r="JZJ241" s="16"/>
      <c r="JZK241" s="15"/>
      <c r="JZL241" s="15"/>
      <c r="JZM241" s="15"/>
      <c r="JZN241" s="16"/>
      <c r="JZO241" s="16"/>
      <c r="JZP241" s="16"/>
      <c r="JZQ241" s="16"/>
      <c r="JZR241" s="16"/>
      <c r="JZS241" s="15"/>
      <c r="JZT241" s="15"/>
      <c r="JZU241" s="10"/>
      <c r="JZV241" s="10"/>
      <c r="JZW241" s="19"/>
      <c r="JZX241" s="19"/>
      <c r="KAA241" s="16"/>
      <c r="KAB241" s="15"/>
      <c r="KAC241" s="15"/>
      <c r="KAD241" s="15"/>
      <c r="KAE241" s="16"/>
      <c r="KAF241" s="16"/>
      <c r="KAG241" s="16"/>
      <c r="KAH241" s="16"/>
      <c r="KAI241" s="16"/>
      <c r="KAJ241" s="15"/>
      <c r="KAK241" s="15"/>
      <c r="KAL241" s="10"/>
      <c r="KAM241" s="10"/>
      <c r="KAN241" s="19"/>
      <c r="KAO241" s="19"/>
      <c r="KAR241" s="16"/>
      <c r="KAS241" s="15"/>
      <c r="KAT241" s="15"/>
      <c r="KAU241" s="15"/>
      <c r="KAV241" s="16"/>
      <c r="KAW241" s="16"/>
      <c r="KAX241" s="16"/>
      <c r="KAY241" s="16"/>
      <c r="KAZ241" s="16"/>
      <c r="KBA241" s="15"/>
      <c r="KBB241" s="15"/>
      <c r="KBC241" s="10"/>
      <c r="KBD241" s="10"/>
      <c r="KBE241" s="19"/>
      <c r="KBF241" s="19"/>
      <c r="KBI241" s="16"/>
      <c r="KBJ241" s="15"/>
      <c r="KBK241" s="15"/>
      <c r="KBL241" s="15"/>
      <c r="KBM241" s="16"/>
      <c r="KBN241" s="16"/>
      <c r="KBO241" s="16"/>
      <c r="KBP241" s="16"/>
      <c r="KBQ241" s="16"/>
      <c r="KBR241" s="15"/>
      <c r="KBS241" s="15"/>
      <c r="KBT241" s="10"/>
      <c r="KBU241" s="10"/>
      <c r="KBV241" s="19"/>
      <c r="KBW241" s="19"/>
      <c r="KBZ241" s="16"/>
      <c r="KCA241" s="15"/>
      <c r="KCB241" s="15"/>
      <c r="KCC241" s="15"/>
      <c r="KCD241" s="16"/>
      <c r="KCE241" s="16"/>
      <c r="KCF241" s="16"/>
      <c r="KCG241" s="16"/>
      <c r="KCH241" s="16"/>
      <c r="KCI241" s="15"/>
      <c r="KCJ241" s="15"/>
      <c r="KCK241" s="10"/>
      <c r="KCL241" s="10"/>
      <c r="KCM241" s="19"/>
      <c r="KCN241" s="19"/>
      <c r="KCQ241" s="16"/>
      <c r="KCR241" s="15"/>
      <c r="KCS241" s="15"/>
      <c r="KCT241" s="15"/>
      <c r="KCU241" s="16"/>
      <c r="KCV241" s="16"/>
      <c r="KCW241" s="16"/>
      <c r="KCX241" s="16"/>
      <c r="KCY241" s="16"/>
      <c r="KCZ241" s="15"/>
      <c r="KDA241" s="15"/>
      <c r="KDB241" s="10"/>
      <c r="KDC241" s="10"/>
      <c r="KDD241" s="19"/>
      <c r="KDE241" s="19"/>
      <c r="KDH241" s="16"/>
      <c r="KDI241" s="15"/>
      <c r="KDJ241" s="15"/>
      <c r="KDK241" s="15"/>
      <c r="KDL241" s="16"/>
      <c r="KDM241" s="16"/>
      <c r="KDN241" s="16"/>
      <c r="KDO241" s="16"/>
      <c r="KDP241" s="16"/>
      <c r="KDQ241" s="15"/>
      <c r="KDR241" s="15"/>
      <c r="KDS241" s="10"/>
      <c r="KDT241" s="10"/>
      <c r="KDU241" s="19"/>
      <c r="KDV241" s="19"/>
      <c r="KDY241" s="16"/>
      <c r="KDZ241" s="15"/>
      <c r="KEA241" s="15"/>
      <c r="KEB241" s="15"/>
      <c r="KEC241" s="16"/>
      <c r="KED241" s="16"/>
      <c r="KEE241" s="16"/>
      <c r="KEF241" s="16"/>
      <c r="KEG241" s="16"/>
      <c r="KEH241" s="15"/>
      <c r="KEI241" s="15"/>
      <c r="KEJ241" s="10"/>
      <c r="KEK241" s="10"/>
      <c r="KEL241" s="19"/>
      <c r="KEM241" s="19"/>
      <c r="KEP241" s="16"/>
      <c r="KEQ241" s="15"/>
      <c r="KER241" s="15"/>
      <c r="KES241" s="15"/>
      <c r="KET241" s="16"/>
      <c r="KEU241" s="16"/>
      <c r="KEV241" s="16"/>
      <c r="KEW241" s="16"/>
      <c r="KEX241" s="16"/>
      <c r="KEY241" s="15"/>
      <c r="KEZ241" s="15"/>
      <c r="KFA241" s="10"/>
      <c r="KFB241" s="10"/>
      <c r="KFC241" s="19"/>
      <c r="KFD241" s="19"/>
      <c r="KFG241" s="16"/>
      <c r="KFH241" s="15"/>
      <c r="KFI241" s="15"/>
      <c r="KFJ241" s="15"/>
      <c r="KFK241" s="16"/>
      <c r="KFL241" s="16"/>
      <c r="KFM241" s="16"/>
      <c r="KFN241" s="16"/>
      <c r="KFO241" s="16"/>
      <c r="KFP241" s="15"/>
      <c r="KFQ241" s="15"/>
      <c r="KFR241" s="10"/>
      <c r="KFS241" s="10"/>
      <c r="KFT241" s="19"/>
      <c r="KFU241" s="19"/>
      <c r="KFX241" s="16"/>
      <c r="KFY241" s="15"/>
      <c r="KFZ241" s="15"/>
      <c r="KGA241" s="15"/>
      <c r="KGB241" s="16"/>
      <c r="KGC241" s="16"/>
      <c r="KGD241" s="16"/>
      <c r="KGE241" s="16"/>
      <c r="KGF241" s="16"/>
      <c r="KGG241" s="15"/>
      <c r="KGH241" s="15"/>
      <c r="KGI241" s="10"/>
      <c r="KGJ241" s="10"/>
      <c r="KGK241" s="19"/>
      <c r="KGL241" s="19"/>
      <c r="KGO241" s="16"/>
      <c r="KGP241" s="15"/>
      <c r="KGQ241" s="15"/>
      <c r="KGR241" s="15"/>
      <c r="KGS241" s="16"/>
      <c r="KGT241" s="16"/>
      <c r="KGU241" s="16"/>
      <c r="KGV241" s="16"/>
      <c r="KGW241" s="16"/>
      <c r="KGX241" s="15"/>
      <c r="KGY241" s="15"/>
      <c r="KGZ241" s="10"/>
      <c r="KHA241" s="10"/>
      <c r="KHB241" s="19"/>
      <c r="KHC241" s="19"/>
      <c r="KHF241" s="16"/>
      <c r="KHG241" s="15"/>
      <c r="KHH241" s="15"/>
      <c r="KHI241" s="15"/>
      <c r="KHJ241" s="16"/>
      <c r="KHK241" s="16"/>
      <c r="KHL241" s="16"/>
      <c r="KHM241" s="16"/>
      <c r="KHN241" s="16"/>
      <c r="KHO241" s="15"/>
      <c r="KHP241" s="15"/>
      <c r="KHQ241" s="10"/>
      <c r="KHR241" s="10"/>
      <c r="KHS241" s="19"/>
      <c r="KHT241" s="19"/>
      <c r="KHW241" s="16"/>
      <c r="KHX241" s="15"/>
      <c r="KHY241" s="15"/>
      <c r="KHZ241" s="15"/>
      <c r="KIA241" s="16"/>
      <c r="KIB241" s="16"/>
      <c r="KIC241" s="16"/>
      <c r="KID241" s="16"/>
      <c r="KIE241" s="16"/>
      <c r="KIF241" s="15"/>
      <c r="KIG241" s="15"/>
      <c r="KIH241" s="10"/>
      <c r="KII241" s="10"/>
      <c r="KIJ241" s="19"/>
      <c r="KIK241" s="19"/>
      <c r="KIN241" s="16"/>
      <c r="KIO241" s="15"/>
      <c r="KIP241" s="15"/>
      <c r="KIQ241" s="15"/>
      <c r="KIR241" s="16"/>
      <c r="KIS241" s="16"/>
      <c r="KIT241" s="16"/>
      <c r="KIU241" s="16"/>
      <c r="KIV241" s="16"/>
      <c r="KIW241" s="15"/>
      <c r="KIX241" s="15"/>
      <c r="KIY241" s="10"/>
      <c r="KIZ241" s="10"/>
      <c r="KJA241" s="19"/>
      <c r="KJB241" s="19"/>
      <c r="KJE241" s="16"/>
      <c r="KJF241" s="15"/>
      <c r="KJG241" s="15"/>
      <c r="KJH241" s="15"/>
      <c r="KJI241" s="16"/>
      <c r="KJJ241" s="16"/>
      <c r="KJK241" s="16"/>
      <c r="KJL241" s="16"/>
      <c r="KJM241" s="16"/>
      <c r="KJN241" s="15"/>
      <c r="KJO241" s="15"/>
      <c r="KJP241" s="10"/>
      <c r="KJQ241" s="10"/>
      <c r="KJR241" s="19"/>
      <c r="KJS241" s="19"/>
      <c r="KJV241" s="16"/>
      <c r="KJW241" s="15"/>
      <c r="KJX241" s="15"/>
      <c r="KJY241" s="15"/>
      <c r="KJZ241" s="16"/>
      <c r="KKA241" s="16"/>
      <c r="KKB241" s="16"/>
      <c r="KKC241" s="16"/>
      <c r="KKD241" s="16"/>
      <c r="KKE241" s="15"/>
      <c r="KKF241" s="15"/>
      <c r="KKG241" s="10"/>
      <c r="KKH241" s="10"/>
      <c r="KKI241" s="19"/>
      <c r="KKJ241" s="19"/>
      <c r="KKM241" s="16"/>
      <c r="KKN241" s="15"/>
      <c r="KKO241" s="15"/>
      <c r="KKP241" s="15"/>
      <c r="KKQ241" s="16"/>
      <c r="KKR241" s="16"/>
      <c r="KKS241" s="16"/>
      <c r="KKT241" s="16"/>
      <c r="KKU241" s="16"/>
      <c r="KKV241" s="15"/>
      <c r="KKW241" s="15"/>
      <c r="KKX241" s="10"/>
      <c r="KKY241" s="10"/>
      <c r="KKZ241" s="19"/>
      <c r="KLA241" s="19"/>
      <c r="KLD241" s="16"/>
      <c r="KLE241" s="15"/>
      <c r="KLF241" s="15"/>
      <c r="KLG241" s="15"/>
      <c r="KLH241" s="16"/>
      <c r="KLI241" s="16"/>
      <c r="KLJ241" s="16"/>
      <c r="KLK241" s="16"/>
      <c r="KLL241" s="16"/>
      <c r="KLM241" s="15"/>
      <c r="KLN241" s="15"/>
      <c r="KLO241" s="10"/>
      <c r="KLP241" s="10"/>
      <c r="KLQ241" s="19"/>
      <c r="KLR241" s="19"/>
      <c r="KLU241" s="16"/>
      <c r="KLV241" s="15"/>
      <c r="KLW241" s="15"/>
      <c r="KLX241" s="15"/>
      <c r="KLY241" s="16"/>
      <c r="KLZ241" s="16"/>
      <c r="KMA241" s="16"/>
      <c r="KMB241" s="16"/>
      <c r="KMC241" s="16"/>
      <c r="KMD241" s="15"/>
      <c r="KME241" s="15"/>
      <c r="KMF241" s="10"/>
      <c r="KMG241" s="10"/>
      <c r="KMH241" s="19"/>
      <c r="KMI241" s="19"/>
      <c r="KML241" s="16"/>
      <c r="KMM241" s="15"/>
      <c r="KMN241" s="15"/>
      <c r="KMO241" s="15"/>
      <c r="KMP241" s="16"/>
      <c r="KMQ241" s="16"/>
      <c r="KMR241" s="16"/>
      <c r="KMS241" s="16"/>
      <c r="KMT241" s="16"/>
      <c r="KMU241" s="15"/>
      <c r="KMV241" s="15"/>
      <c r="KMW241" s="10"/>
      <c r="KMX241" s="10"/>
      <c r="KMY241" s="19"/>
      <c r="KMZ241" s="19"/>
      <c r="KNC241" s="16"/>
      <c r="KND241" s="15"/>
      <c r="KNE241" s="15"/>
      <c r="KNF241" s="15"/>
      <c r="KNG241" s="16"/>
      <c r="KNH241" s="16"/>
      <c r="KNI241" s="16"/>
      <c r="KNJ241" s="16"/>
      <c r="KNK241" s="16"/>
      <c r="KNL241" s="15"/>
      <c r="KNM241" s="15"/>
      <c r="KNN241" s="10"/>
      <c r="KNO241" s="10"/>
      <c r="KNP241" s="19"/>
      <c r="KNQ241" s="19"/>
      <c r="KNT241" s="16"/>
      <c r="KNU241" s="15"/>
      <c r="KNV241" s="15"/>
      <c r="KNW241" s="15"/>
      <c r="KNX241" s="16"/>
      <c r="KNY241" s="16"/>
      <c r="KNZ241" s="16"/>
      <c r="KOA241" s="16"/>
      <c r="KOB241" s="16"/>
      <c r="KOC241" s="15"/>
      <c r="KOD241" s="15"/>
      <c r="KOE241" s="10"/>
      <c r="KOF241" s="10"/>
      <c r="KOG241" s="19"/>
      <c r="KOH241" s="19"/>
      <c r="KOK241" s="16"/>
      <c r="KOL241" s="15"/>
      <c r="KOM241" s="15"/>
      <c r="KON241" s="15"/>
      <c r="KOO241" s="16"/>
      <c r="KOP241" s="16"/>
      <c r="KOQ241" s="16"/>
      <c r="KOR241" s="16"/>
      <c r="KOS241" s="16"/>
      <c r="KOT241" s="15"/>
      <c r="KOU241" s="15"/>
      <c r="KOV241" s="10"/>
      <c r="KOW241" s="10"/>
      <c r="KOX241" s="19"/>
      <c r="KOY241" s="19"/>
      <c r="KPB241" s="16"/>
      <c r="KPC241" s="15"/>
      <c r="KPD241" s="15"/>
      <c r="KPE241" s="15"/>
      <c r="KPF241" s="16"/>
      <c r="KPG241" s="16"/>
      <c r="KPH241" s="16"/>
      <c r="KPI241" s="16"/>
      <c r="KPJ241" s="16"/>
      <c r="KPK241" s="15"/>
      <c r="KPL241" s="15"/>
      <c r="KPM241" s="10"/>
      <c r="KPN241" s="10"/>
      <c r="KPO241" s="19"/>
      <c r="KPP241" s="19"/>
      <c r="KPS241" s="16"/>
      <c r="KPT241" s="15"/>
      <c r="KPU241" s="15"/>
      <c r="KPV241" s="15"/>
      <c r="KPW241" s="16"/>
      <c r="KPX241" s="16"/>
      <c r="KPY241" s="16"/>
      <c r="KPZ241" s="16"/>
      <c r="KQA241" s="16"/>
      <c r="KQB241" s="15"/>
      <c r="KQC241" s="15"/>
      <c r="KQD241" s="10"/>
      <c r="KQE241" s="10"/>
      <c r="KQF241" s="19"/>
      <c r="KQG241" s="19"/>
      <c r="KQJ241" s="16"/>
      <c r="KQK241" s="15"/>
      <c r="KQL241" s="15"/>
      <c r="KQM241" s="15"/>
      <c r="KQN241" s="16"/>
      <c r="KQO241" s="16"/>
      <c r="KQP241" s="16"/>
      <c r="KQQ241" s="16"/>
      <c r="KQR241" s="16"/>
      <c r="KQS241" s="15"/>
      <c r="KQT241" s="15"/>
      <c r="KQU241" s="10"/>
      <c r="KQV241" s="10"/>
      <c r="KQW241" s="19"/>
      <c r="KQX241" s="19"/>
      <c r="KRA241" s="16"/>
      <c r="KRB241" s="15"/>
      <c r="KRC241" s="15"/>
      <c r="KRD241" s="15"/>
      <c r="KRE241" s="16"/>
      <c r="KRF241" s="16"/>
      <c r="KRG241" s="16"/>
      <c r="KRH241" s="16"/>
      <c r="KRI241" s="16"/>
      <c r="KRJ241" s="15"/>
      <c r="KRK241" s="15"/>
      <c r="KRL241" s="10"/>
      <c r="KRM241" s="10"/>
      <c r="KRN241" s="19"/>
      <c r="KRO241" s="19"/>
      <c r="KRR241" s="16"/>
      <c r="KRS241" s="15"/>
      <c r="KRT241" s="15"/>
      <c r="KRU241" s="15"/>
      <c r="KRV241" s="16"/>
      <c r="KRW241" s="16"/>
      <c r="KRX241" s="16"/>
      <c r="KRY241" s="16"/>
      <c r="KRZ241" s="16"/>
      <c r="KSA241" s="15"/>
      <c r="KSB241" s="15"/>
      <c r="KSC241" s="10"/>
      <c r="KSD241" s="10"/>
      <c r="KSE241" s="19"/>
      <c r="KSF241" s="19"/>
      <c r="KSI241" s="16"/>
      <c r="KSJ241" s="15"/>
      <c r="KSK241" s="15"/>
      <c r="KSL241" s="15"/>
      <c r="KSM241" s="16"/>
      <c r="KSN241" s="16"/>
      <c r="KSO241" s="16"/>
      <c r="KSP241" s="16"/>
      <c r="KSQ241" s="16"/>
      <c r="KSR241" s="15"/>
      <c r="KSS241" s="15"/>
      <c r="KST241" s="10"/>
      <c r="KSU241" s="10"/>
      <c r="KSV241" s="19"/>
      <c r="KSW241" s="19"/>
      <c r="KSZ241" s="16"/>
      <c r="KTA241" s="15"/>
      <c r="KTB241" s="15"/>
      <c r="KTC241" s="15"/>
      <c r="KTD241" s="16"/>
      <c r="KTE241" s="16"/>
      <c r="KTF241" s="16"/>
      <c r="KTG241" s="16"/>
      <c r="KTH241" s="16"/>
      <c r="KTI241" s="15"/>
      <c r="KTJ241" s="15"/>
      <c r="KTK241" s="10"/>
      <c r="KTL241" s="10"/>
      <c r="KTM241" s="19"/>
      <c r="KTN241" s="19"/>
      <c r="KTQ241" s="16"/>
      <c r="KTR241" s="15"/>
      <c r="KTS241" s="15"/>
      <c r="KTT241" s="15"/>
      <c r="KTU241" s="16"/>
      <c r="KTV241" s="16"/>
      <c r="KTW241" s="16"/>
      <c r="KTX241" s="16"/>
      <c r="KTY241" s="16"/>
      <c r="KTZ241" s="15"/>
      <c r="KUA241" s="15"/>
      <c r="KUB241" s="10"/>
      <c r="KUC241" s="10"/>
      <c r="KUD241" s="19"/>
      <c r="KUE241" s="19"/>
      <c r="KUH241" s="16"/>
      <c r="KUI241" s="15"/>
      <c r="KUJ241" s="15"/>
      <c r="KUK241" s="15"/>
      <c r="KUL241" s="16"/>
      <c r="KUM241" s="16"/>
      <c r="KUN241" s="16"/>
      <c r="KUO241" s="16"/>
      <c r="KUP241" s="16"/>
      <c r="KUQ241" s="15"/>
      <c r="KUR241" s="15"/>
      <c r="KUS241" s="10"/>
      <c r="KUT241" s="10"/>
      <c r="KUU241" s="19"/>
      <c r="KUV241" s="19"/>
      <c r="KUY241" s="16"/>
      <c r="KUZ241" s="15"/>
      <c r="KVA241" s="15"/>
      <c r="KVB241" s="15"/>
      <c r="KVC241" s="16"/>
      <c r="KVD241" s="16"/>
      <c r="KVE241" s="16"/>
      <c r="KVF241" s="16"/>
      <c r="KVG241" s="16"/>
      <c r="KVH241" s="15"/>
      <c r="KVI241" s="15"/>
      <c r="KVJ241" s="10"/>
      <c r="KVK241" s="10"/>
      <c r="KVL241" s="19"/>
      <c r="KVM241" s="19"/>
      <c r="KVP241" s="16"/>
      <c r="KVQ241" s="15"/>
      <c r="KVR241" s="15"/>
      <c r="KVS241" s="15"/>
      <c r="KVT241" s="16"/>
      <c r="KVU241" s="16"/>
      <c r="KVV241" s="16"/>
      <c r="KVW241" s="16"/>
      <c r="KVX241" s="16"/>
      <c r="KVY241" s="15"/>
      <c r="KVZ241" s="15"/>
      <c r="KWA241" s="10"/>
      <c r="KWB241" s="10"/>
      <c r="KWC241" s="19"/>
      <c r="KWD241" s="19"/>
      <c r="KWG241" s="16"/>
      <c r="KWH241" s="15"/>
      <c r="KWI241" s="15"/>
      <c r="KWJ241" s="15"/>
      <c r="KWK241" s="16"/>
      <c r="KWL241" s="16"/>
      <c r="KWM241" s="16"/>
      <c r="KWN241" s="16"/>
      <c r="KWO241" s="16"/>
      <c r="KWP241" s="15"/>
      <c r="KWQ241" s="15"/>
      <c r="KWR241" s="10"/>
      <c r="KWS241" s="10"/>
      <c r="KWT241" s="19"/>
      <c r="KWU241" s="19"/>
      <c r="KWX241" s="16"/>
      <c r="KWY241" s="15"/>
      <c r="KWZ241" s="15"/>
      <c r="KXA241" s="15"/>
      <c r="KXB241" s="16"/>
      <c r="KXC241" s="16"/>
      <c r="KXD241" s="16"/>
      <c r="KXE241" s="16"/>
      <c r="KXF241" s="16"/>
      <c r="KXG241" s="15"/>
      <c r="KXH241" s="15"/>
      <c r="KXI241" s="10"/>
      <c r="KXJ241" s="10"/>
      <c r="KXK241" s="19"/>
      <c r="KXL241" s="19"/>
      <c r="KXO241" s="16"/>
      <c r="KXP241" s="15"/>
      <c r="KXQ241" s="15"/>
      <c r="KXR241" s="15"/>
      <c r="KXS241" s="16"/>
      <c r="KXT241" s="16"/>
      <c r="KXU241" s="16"/>
      <c r="KXV241" s="16"/>
      <c r="KXW241" s="16"/>
      <c r="KXX241" s="15"/>
      <c r="KXY241" s="15"/>
      <c r="KXZ241" s="10"/>
      <c r="KYA241" s="10"/>
      <c r="KYB241" s="19"/>
      <c r="KYC241" s="19"/>
      <c r="KYF241" s="16"/>
      <c r="KYG241" s="15"/>
      <c r="KYH241" s="15"/>
      <c r="KYI241" s="15"/>
      <c r="KYJ241" s="16"/>
      <c r="KYK241" s="16"/>
      <c r="KYL241" s="16"/>
      <c r="KYM241" s="16"/>
      <c r="KYN241" s="16"/>
      <c r="KYO241" s="15"/>
      <c r="KYP241" s="15"/>
      <c r="KYQ241" s="10"/>
      <c r="KYR241" s="10"/>
      <c r="KYS241" s="19"/>
      <c r="KYT241" s="19"/>
      <c r="KYW241" s="16"/>
      <c r="KYX241" s="15"/>
      <c r="KYY241" s="15"/>
      <c r="KYZ241" s="15"/>
      <c r="KZA241" s="16"/>
      <c r="KZB241" s="16"/>
      <c r="KZC241" s="16"/>
      <c r="KZD241" s="16"/>
      <c r="KZE241" s="16"/>
      <c r="KZF241" s="15"/>
      <c r="KZG241" s="15"/>
      <c r="KZH241" s="10"/>
      <c r="KZI241" s="10"/>
      <c r="KZJ241" s="19"/>
      <c r="KZK241" s="19"/>
      <c r="KZN241" s="16"/>
      <c r="KZO241" s="15"/>
      <c r="KZP241" s="15"/>
      <c r="KZQ241" s="15"/>
      <c r="KZR241" s="16"/>
      <c r="KZS241" s="16"/>
      <c r="KZT241" s="16"/>
      <c r="KZU241" s="16"/>
      <c r="KZV241" s="16"/>
      <c r="KZW241" s="15"/>
      <c r="KZX241" s="15"/>
      <c r="KZY241" s="10"/>
      <c r="KZZ241" s="10"/>
      <c r="LAA241" s="19"/>
      <c r="LAB241" s="19"/>
      <c r="LAE241" s="16"/>
      <c r="LAF241" s="15"/>
      <c r="LAG241" s="15"/>
      <c r="LAH241" s="15"/>
      <c r="LAI241" s="16"/>
      <c r="LAJ241" s="16"/>
      <c r="LAK241" s="16"/>
      <c r="LAL241" s="16"/>
      <c r="LAM241" s="16"/>
      <c r="LAN241" s="15"/>
      <c r="LAO241" s="15"/>
      <c r="LAP241" s="10"/>
      <c r="LAQ241" s="10"/>
      <c r="LAR241" s="19"/>
      <c r="LAS241" s="19"/>
      <c r="LAV241" s="16"/>
      <c r="LAW241" s="15"/>
      <c r="LAX241" s="15"/>
      <c r="LAY241" s="15"/>
      <c r="LAZ241" s="16"/>
      <c r="LBA241" s="16"/>
      <c r="LBB241" s="16"/>
      <c r="LBC241" s="16"/>
      <c r="LBD241" s="16"/>
      <c r="LBE241" s="15"/>
      <c r="LBF241" s="15"/>
      <c r="LBG241" s="10"/>
      <c r="LBH241" s="10"/>
      <c r="LBI241" s="19"/>
      <c r="LBJ241" s="19"/>
      <c r="LBM241" s="16"/>
      <c r="LBN241" s="15"/>
      <c r="LBO241" s="15"/>
      <c r="LBP241" s="15"/>
      <c r="LBQ241" s="16"/>
      <c r="LBR241" s="16"/>
      <c r="LBS241" s="16"/>
      <c r="LBT241" s="16"/>
      <c r="LBU241" s="16"/>
      <c r="LBV241" s="15"/>
      <c r="LBW241" s="15"/>
      <c r="LBX241" s="10"/>
      <c r="LBY241" s="10"/>
      <c r="LBZ241" s="19"/>
      <c r="LCA241" s="19"/>
      <c r="LCD241" s="16"/>
      <c r="LCE241" s="15"/>
      <c r="LCF241" s="15"/>
      <c r="LCG241" s="15"/>
      <c r="LCH241" s="16"/>
      <c r="LCI241" s="16"/>
      <c r="LCJ241" s="16"/>
      <c r="LCK241" s="16"/>
      <c r="LCL241" s="16"/>
      <c r="LCM241" s="15"/>
      <c r="LCN241" s="15"/>
      <c r="LCO241" s="10"/>
      <c r="LCP241" s="10"/>
      <c r="LCQ241" s="19"/>
      <c r="LCR241" s="19"/>
      <c r="LCU241" s="16"/>
      <c r="LCV241" s="15"/>
      <c r="LCW241" s="15"/>
      <c r="LCX241" s="15"/>
      <c r="LCY241" s="16"/>
      <c r="LCZ241" s="16"/>
      <c r="LDA241" s="16"/>
      <c r="LDB241" s="16"/>
      <c r="LDC241" s="16"/>
      <c r="LDD241" s="15"/>
      <c r="LDE241" s="15"/>
      <c r="LDF241" s="10"/>
      <c r="LDG241" s="10"/>
      <c r="LDH241" s="19"/>
      <c r="LDI241" s="19"/>
      <c r="LDL241" s="16"/>
      <c r="LDM241" s="15"/>
      <c r="LDN241" s="15"/>
      <c r="LDO241" s="15"/>
      <c r="LDP241" s="16"/>
      <c r="LDQ241" s="16"/>
      <c r="LDR241" s="16"/>
      <c r="LDS241" s="16"/>
      <c r="LDT241" s="16"/>
      <c r="LDU241" s="15"/>
      <c r="LDV241" s="15"/>
      <c r="LDW241" s="10"/>
      <c r="LDX241" s="10"/>
      <c r="LDY241" s="19"/>
      <c r="LDZ241" s="19"/>
      <c r="LEC241" s="16"/>
      <c r="LED241" s="15"/>
      <c r="LEE241" s="15"/>
      <c r="LEF241" s="15"/>
      <c r="LEG241" s="16"/>
      <c r="LEH241" s="16"/>
      <c r="LEI241" s="16"/>
      <c r="LEJ241" s="16"/>
      <c r="LEK241" s="16"/>
      <c r="LEL241" s="15"/>
      <c r="LEM241" s="15"/>
      <c r="LEN241" s="10"/>
      <c r="LEO241" s="10"/>
      <c r="LEP241" s="19"/>
      <c r="LEQ241" s="19"/>
      <c r="LET241" s="16"/>
      <c r="LEU241" s="15"/>
      <c r="LEV241" s="15"/>
      <c r="LEW241" s="15"/>
      <c r="LEX241" s="16"/>
      <c r="LEY241" s="16"/>
      <c r="LEZ241" s="16"/>
      <c r="LFA241" s="16"/>
      <c r="LFB241" s="16"/>
      <c r="LFC241" s="15"/>
      <c r="LFD241" s="15"/>
      <c r="LFE241" s="10"/>
      <c r="LFF241" s="10"/>
      <c r="LFG241" s="19"/>
      <c r="LFH241" s="19"/>
      <c r="LFK241" s="16"/>
      <c r="LFL241" s="15"/>
      <c r="LFM241" s="15"/>
      <c r="LFN241" s="15"/>
      <c r="LFO241" s="16"/>
      <c r="LFP241" s="16"/>
      <c r="LFQ241" s="16"/>
      <c r="LFR241" s="16"/>
      <c r="LFS241" s="16"/>
      <c r="LFT241" s="15"/>
      <c r="LFU241" s="15"/>
      <c r="LFV241" s="10"/>
      <c r="LFW241" s="10"/>
      <c r="LFX241" s="19"/>
      <c r="LFY241" s="19"/>
      <c r="LGB241" s="16"/>
      <c r="LGC241" s="15"/>
      <c r="LGD241" s="15"/>
      <c r="LGE241" s="15"/>
      <c r="LGF241" s="16"/>
      <c r="LGG241" s="16"/>
      <c r="LGH241" s="16"/>
      <c r="LGI241" s="16"/>
      <c r="LGJ241" s="16"/>
      <c r="LGK241" s="15"/>
      <c r="LGL241" s="15"/>
      <c r="LGM241" s="10"/>
      <c r="LGN241" s="10"/>
      <c r="LGO241" s="19"/>
      <c r="LGP241" s="19"/>
      <c r="LGS241" s="16"/>
      <c r="LGT241" s="15"/>
      <c r="LGU241" s="15"/>
      <c r="LGV241" s="15"/>
      <c r="LGW241" s="16"/>
      <c r="LGX241" s="16"/>
      <c r="LGY241" s="16"/>
      <c r="LGZ241" s="16"/>
      <c r="LHA241" s="16"/>
      <c r="LHB241" s="15"/>
      <c r="LHC241" s="15"/>
      <c r="LHD241" s="10"/>
      <c r="LHE241" s="10"/>
      <c r="LHF241" s="19"/>
      <c r="LHG241" s="19"/>
      <c r="LHJ241" s="16"/>
      <c r="LHK241" s="15"/>
      <c r="LHL241" s="15"/>
      <c r="LHM241" s="15"/>
      <c r="LHN241" s="16"/>
      <c r="LHO241" s="16"/>
      <c r="LHP241" s="16"/>
      <c r="LHQ241" s="16"/>
      <c r="LHR241" s="16"/>
      <c r="LHS241" s="15"/>
      <c r="LHT241" s="15"/>
      <c r="LHU241" s="10"/>
      <c r="LHV241" s="10"/>
      <c r="LHW241" s="19"/>
      <c r="LHX241" s="19"/>
      <c r="LIA241" s="16"/>
      <c r="LIB241" s="15"/>
      <c r="LIC241" s="15"/>
      <c r="LID241" s="15"/>
      <c r="LIE241" s="16"/>
      <c r="LIF241" s="16"/>
      <c r="LIG241" s="16"/>
      <c r="LIH241" s="16"/>
      <c r="LII241" s="16"/>
      <c r="LIJ241" s="15"/>
      <c r="LIK241" s="15"/>
      <c r="LIL241" s="10"/>
      <c r="LIM241" s="10"/>
      <c r="LIN241" s="19"/>
      <c r="LIO241" s="19"/>
      <c r="LIR241" s="16"/>
      <c r="LIS241" s="15"/>
      <c r="LIT241" s="15"/>
      <c r="LIU241" s="15"/>
      <c r="LIV241" s="16"/>
      <c r="LIW241" s="16"/>
      <c r="LIX241" s="16"/>
      <c r="LIY241" s="16"/>
      <c r="LIZ241" s="16"/>
      <c r="LJA241" s="15"/>
      <c r="LJB241" s="15"/>
      <c r="LJC241" s="10"/>
      <c r="LJD241" s="10"/>
      <c r="LJE241" s="19"/>
      <c r="LJF241" s="19"/>
      <c r="LJI241" s="16"/>
      <c r="LJJ241" s="15"/>
      <c r="LJK241" s="15"/>
      <c r="LJL241" s="15"/>
      <c r="LJM241" s="16"/>
      <c r="LJN241" s="16"/>
      <c r="LJO241" s="16"/>
      <c r="LJP241" s="16"/>
      <c r="LJQ241" s="16"/>
      <c r="LJR241" s="15"/>
      <c r="LJS241" s="15"/>
      <c r="LJT241" s="10"/>
      <c r="LJU241" s="10"/>
      <c r="LJV241" s="19"/>
      <c r="LJW241" s="19"/>
      <c r="LJZ241" s="16"/>
      <c r="LKA241" s="15"/>
      <c r="LKB241" s="15"/>
      <c r="LKC241" s="15"/>
      <c r="LKD241" s="16"/>
      <c r="LKE241" s="16"/>
      <c r="LKF241" s="16"/>
      <c r="LKG241" s="16"/>
      <c r="LKH241" s="16"/>
      <c r="LKI241" s="15"/>
      <c r="LKJ241" s="15"/>
      <c r="LKK241" s="10"/>
      <c r="LKL241" s="10"/>
      <c r="LKM241" s="19"/>
      <c r="LKN241" s="19"/>
      <c r="LKQ241" s="16"/>
      <c r="LKR241" s="15"/>
      <c r="LKS241" s="15"/>
      <c r="LKT241" s="15"/>
      <c r="LKU241" s="16"/>
      <c r="LKV241" s="16"/>
      <c r="LKW241" s="16"/>
      <c r="LKX241" s="16"/>
      <c r="LKY241" s="16"/>
      <c r="LKZ241" s="15"/>
      <c r="LLA241" s="15"/>
      <c r="LLB241" s="10"/>
      <c r="LLC241" s="10"/>
      <c r="LLD241" s="19"/>
      <c r="LLE241" s="19"/>
      <c r="LLH241" s="16"/>
      <c r="LLI241" s="15"/>
      <c r="LLJ241" s="15"/>
      <c r="LLK241" s="15"/>
      <c r="LLL241" s="16"/>
      <c r="LLM241" s="16"/>
      <c r="LLN241" s="16"/>
      <c r="LLO241" s="16"/>
      <c r="LLP241" s="16"/>
      <c r="LLQ241" s="15"/>
      <c r="LLR241" s="15"/>
      <c r="LLS241" s="10"/>
      <c r="LLT241" s="10"/>
      <c r="LLU241" s="19"/>
      <c r="LLV241" s="19"/>
      <c r="LLY241" s="16"/>
      <c r="LLZ241" s="15"/>
      <c r="LMA241" s="15"/>
      <c r="LMB241" s="15"/>
      <c r="LMC241" s="16"/>
      <c r="LMD241" s="16"/>
      <c r="LME241" s="16"/>
      <c r="LMF241" s="16"/>
      <c r="LMG241" s="16"/>
      <c r="LMH241" s="15"/>
      <c r="LMI241" s="15"/>
      <c r="LMJ241" s="10"/>
      <c r="LMK241" s="10"/>
      <c r="LML241" s="19"/>
      <c r="LMM241" s="19"/>
      <c r="LMP241" s="16"/>
      <c r="LMQ241" s="15"/>
      <c r="LMR241" s="15"/>
      <c r="LMS241" s="15"/>
      <c r="LMT241" s="16"/>
      <c r="LMU241" s="16"/>
      <c r="LMV241" s="16"/>
      <c r="LMW241" s="16"/>
      <c r="LMX241" s="16"/>
      <c r="LMY241" s="15"/>
      <c r="LMZ241" s="15"/>
      <c r="LNA241" s="10"/>
      <c r="LNB241" s="10"/>
      <c r="LNC241" s="19"/>
      <c r="LND241" s="19"/>
      <c r="LNG241" s="16"/>
      <c r="LNH241" s="15"/>
      <c r="LNI241" s="15"/>
      <c r="LNJ241" s="15"/>
      <c r="LNK241" s="16"/>
      <c r="LNL241" s="16"/>
      <c r="LNM241" s="16"/>
      <c r="LNN241" s="16"/>
      <c r="LNO241" s="16"/>
      <c r="LNP241" s="15"/>
      <c r="LNQ241" s="15"/>
      <c r="LNR241" s="10"/>
      <c r="LNS241" s="10"/>
      <c r="LNT241" s="19"/>
      <c r="LNU241" s="19"/>
      <c r="LNX241" s="16"/>
      <c r="LNY241" s="15"/>
      <c r="LNZ241" s="15"/>
      <c r="LOA241" s="15"/>
      <c r="LOB241" s="16"/>
      <c r="LOC241" s="16"/>
      <c r="LOD241" s="16"/>
      <c r="LOE241" s="16"/>
      <c r="LOF241" s="16"/>
      <c r="LOG241" s="15"/>
      <c r="LOH241" s="15"/>
      <c r="LOI241" s="10"/>
      <c r="LOJ241" s="10"/>
      <c r="LOK241" s="19"/>
      <c r="LOL241" s="19"/>
      <c r="LOO241" s="16"/>
      <c r="LOP241" s="15"/>
      <c r="LOQ241" s="15"/>
      <c r="LOR241" s="15"/>
      <c r="LOS241" s="16"/>
      <c r="LOT241" s="16"/>
      <c r="LOU241" s="16"/>
      <c r="LOV241" s="16"/>
      <c r="LOW241" s="16"/>
      <c r="LOX241" s="15"/>
      <c r="LOY241" s="15"/>
      <c r="LOZ241" s="10"/>
      <c r="LPA241" s="10"/>
      <c r="LPB241" s="19"/>
      <c r="LPC241" s="19"/>
      <c r="LPF241" s="16"/>
      <c r="LPG241" s="15"/>
      <c r="LPH241" s="15"/>
      <c r="LPI241" s="15"/>
      <c r="LPJ241" s="16"/>
      <c r="LPK241" s="16"/>
      <c r="LPL241" s="16"/>
      <c r="LPM241" s="16"/>
      <c r="LPN241" s="16"/>
      <c r="LPO241" s="15"/>
      <c r="LPP241" s="15"/>
      <c r="LPQ241" s="10"/>
      <c r="LPR241" s="10"/>
      <c r="LPS241" s="19"/>
      <c r="LPT241" s="19"/>
      <c r="LPW241" s="16"/>
      <c r="LPX241" s="15"/>
      <c r="LPY241" s="15"/>
      <c r="LPZ241" s="15"/>
      <c r="LQA241" s="16"/>
      <c r="LQB241" s="16"/>
      <c r="LQC241" s="16"/>
      <c r="LQD241" s="16"/>
      <c r="LQE241" s="16"/>
      <c r="LQF241" s="15"/>
      <c r="LQG241" s="15"/>
      <c r="LQH241" s="10"/>
      <c r="LQI241" s="10"/>
      <c r="LQJ241" s="19"/>
      <c r="LQK241" s="19"/>
      <c r="LQN241" s="16"/>
      <c r="LQO241" s="15"/>
      <c r="LQP241" s="15"/>
      <c r="LQQ241" s="15"/>
      <c r="LQR241" s="16"/>
      <c r="LQS241" s="16"/>
      <c r="LQT241" s="16"/>
      <c r="LQU241" s="16"/>
      <c r="LQV241" s="16"/>
      <c r="LQW241" s="15"/>
      <c r="LQX241" s="15"/>
      <c r="LQY241" s="10"/>
      <c r="LQZ241" s="10"/>
      <c r="LRA241" s="19"/>
      <c r="LRB241" s="19"/>
      <c r="LRE241" s="16"/>
      <c r="LRF241" s="15"/>
      <c r="LRG241" s="15"/>
      <c r="LRH241" s="15"/>
      <c r="LRI241" s="16"/>
      <c r="LRJ241" s="16"/>
      <c r="LRK241" s="16"/>
      <c r="LRL241" s="16"/>
      <c r="LRM241" s="16"/>
      <c r="LRN241" s="15"/>
      <c r="LRO241" s="15"/>
      <c r="LRP241" s="10"/>
      <c r="LRQ241" s="10"/>
      <c r="LRR241" s="19"/>
      <c r="LRS241" s="19"/>
      <c r="LRV241" s="16"/>
      <c r="LRW241" s="15"/>
      <c r="LRX241" s="15"/>
      <c r="LRY241" s="15"/>
      <c r="LRZ241" s="16"/>
      <c r="LSA241" s="16"/>
      <c r="LSB241" s="16"/>
      <c r="LSC241" s="16"/>
      <c r="LSD241" s="16"/>
      <c r="LSE241" s="15"/>
      <c r="LSF241" s="15"/>
      <c r="LSG241" s="10"/>
      <c r="LSH241" s="10"/>
      <c r="LSI241" s="19"/>
      <c r="LSJ241" s="19"/>
      <c r="LSM241" s="16"/>
      <c r="LSN241" s="15"/>
      <c r="LSO241" s="15"/>
      <c r="LSP241" s="15"/>
      <c r="LSQ241" s="16"/>
      <c r="LSR241" s="16"/>
      <c r="LSS241" s="16"/>
      <c r="LST241" s="16"/>
      <c r="LSU241" s="16"/>
      <c r="LSV241" s="15"/>
      <c r="LSW241" s="15"/>
      <c r="LSX241" s="10"/>
      <c r="LSY241" s="10"/>
      <c r="LSZ241" s="19"/>
      <c r="LTA241" s="19"/>
      <c r="LTD241" s="16"/>
      <c r="LTE241" s="15"/>
      <c r="LTF241" s="15"/>
      <c r="LTG241" s="15"/>
      <c r="LTH241" s="16"/>
      <c r="LTI241" s="16"/>
      <c r="LTJ241" s="16"/>
      <c r="LTK241" s="16"/>
      <c r="LTL241" s="16"/>
      <c r="LTM241" s="15"/>
      <c r="LTN241" s="15"/>
      <c r="LTO241" s="10"/>
      <c r="LTP241" s="10"/>
      <c r="LTQ241" s="19"/>
      <c r="LTR241" s="19"/>
      <c r="LTU241" s="16"/>
      <c r="LTV241" s="15"/>
      <c r="LTW241" s="15"/>
      <c r="LTX241" s="15"/>
      <c r="LTY241" s="16"/>
      <c r="LTZ241" s="16"/>
      <c r="LUA241" s="16"/>
      <c r="LUB241" s="16"/>
      <c r="LUC241" s="16"/>
      <c r="LUD241" s="15"/>
      <c r="LUE241" s="15"/>
      <c r="LUF241" s="10"/>
      <c r="LUG241" s="10"/>
      <c r="LUH241" s="19"/>
      <c r="LUI241" s="19"/>
      <c r="LUL241" s="16"/>
      <c r="LUM241" s="15"/>
      <c r="LUN241" s="15"/>
      <c r="LUO241" s="15"/>
      <c r="LUP241" s="16"/>
      <c r="LUQ241" s="16"/>
      <c r="LUR241" s="16"/>
      <c r="LUS241" s="16"/>
      <c r="LUT241" s="16"/>
      <c r="LUU241" s="15"/>
      <c r="LUV241" s="15"/>
      <c r="LUW241" s="10"/>
      <c r="LUX241" s="10"/>
      <c r="LUY241" s="19"/>
      <c r="LUZ241" s="19"/>
      <c r="LVC241" s="16"/>
      <c r="LVD241" s="15"/>
      <c r="LVE241" s="15"/>
      <c r="LVF241" s="15"/>
      <c r="LVG241" s="16"/>
      <c r="LVH241" s="16"/>
      <c r="LVI241" s="16"/>
      <c r="LVJ241" s="16"/>
      <c r="LVK241" s="16"/>
      <c r="LVL241" s="15"/>
      <c r="LVM241" s="15"/>
      <c r="LVN241" s="10"/>
      <c r="LVO241" s="10"/>
      <c r="LVP241" s="19"/>
      <c r="LVQ241" s="19"/>
      <c r="LVT241" s="16"/>
      <c r="LVU241" s="15"/>
      <c r="LVV241" s="15"/>
      <c r="LVW241" s="15"/>
      <c r="LVX241" s="16"/>
      <c r="LVY241" s="16"/>
      <c r="LVZ241" s="16"/>
      <c r="LWA241" s="16"/>
      <c r="LWB241" s="16"/>
      <c r="LWC241" s="15"/>
      <c r="LWD241" s="15"/>
      <c r="LWE241" s="10"/>
      <c r="LWF241" s="10"/>
      <c r="LWG241" s="19"/>
      <c r="LWH241" s="19"/>
      <c r="LWK241" s="16"/>
      <c r="LWL241" s="15"/>
      <c r="LWM241" s="15"/>
      <c r="LWN241" s="15"/>
      <c r="LWO241" s="16"/>
      <c r="LWP241" s="16"/>
      <c r="LWQ241" s="16"/>
      <c r="LWR241" s="16"/>
      <c r="LWS241" s="16"/>
      <c r="LWT241" s="15"/>
      <c r="LWU241" s="15"/>
      <c r="LWV241" s="10"/>
      <c r="LWW241" s="10"/>
      <c r="LWX241" s="19"/>
      <c r="LWY241" s="19"/>
      <c r="LXB241" s="16"/>
      <c r="LXC241" s="15"/>
      <c r="LXD241" s="15"/>
      <c r="LXE241" s="15"/>
      <c r="LXF241" s="16"/>
      <c r="LXG241" s="16"/>
      <c r="LXH241" s="16"/>
      <c r="LXI241" s="16"/>
      <c r="LXJ241" s="16"/>
      <c r="LXK241" s="15"/>
      <c r="LXL241" s="15"/>
      <c r="LXM241" s="10"/>
      <c r="LXN241" s="10"/>
      <c r="LXO241" s="19"/>
      <c r="LXP241" s="19"/>
      <c r="LXS241" s="16"/>
      <c r="LXT241" s="15"/>
      <c r="LXU241" s="15"/>
      <c r="LXV241" s="15"/>
      <c r="LXW241" s="16"/>
      <c r="LXX241" s="16"/>
      <c r="LXY241" s="16"/>
      <c r="LXZ241" s="16"/>
      <c r="LYA241" s="16"/>
      <c r="LYB241" s="15"/>
      <c r="LYC241" s="15"/>
      <c r="LYD241" s="10"/>
      <c r="LYE241" s="10"/>
      <c r="LYF241" s="19"/>
      <c r="LYG241" s="19"/>
      <c r="LYJ241" s="16"/>
      <c r="LYK241" s="15"/>
      <c r="LYL241" s="15"/>
      <c r="LYM241" s="15"/>
      <c r="LYN241" s="16"/>
      <c r="LYO241" s="16"/>
      <c r="LYP241" s="16"/>
      <c r="LYQ241" s="16"/>
      <c r="LYR241" s="16"/>
      <c r="LYS241" s="15"/>
      <c r="LYT241" s="15"/>
      <c r="LYU241" s="10"/>
      <c r="LYV241" s="10"/>
      <c r="LYW241" s="19"/>
      <c r="LYX241" s="19"/>
      <c r="LZA241" s="16"/>
      <c r="LZB241" s="15"/>
      <c r="LZC241" s="15"/>
      <c r="LZD241" s="15"/>
      <c r="LZE241" s="16"/>
      <c r="LZF241" s="16"/>
      <c r="LZG241" s="16"/>
      <c r="LZH241" s="16"/>
      <c r="LZI241" s="16"/>
      <c r="LZJ241" s="15"/>
      <c r="LZK241" s="15"/>
      <c r="LZL241" s="10"/>
      <c r="LZM241" s="10"/>
      <c r="LZN241" s="19"/>
      <c r="LZO241" s="19"/>
      <c r="LZR241" s="16"/>
      <c r="LZS241" s="15"/>
      <c r="LZT241" s="15"/>
      <c r="LZU241" s="15"/>
      <c r="LZV241" s="16"/>
      <c r="LZW241" s="16"/>
      <c r="LZX241" s="16"/>
      <c r="LZY241" s="16"/>
      <c r="LZZ241" s="16"/>
      <c r="MAA241" s="15"/>
      <c r="MAB241" s="15"/>
      <c r="MAC241" s="10"/>
      <c r="MAD241" s="10"/>
      <c r="MAE241" s="19"/>
      <c r="MAF241" s="19"/>
      <c r="MAI241" s="16"/>
      <c r="MAJ241" s="15"/>
      <c r="MAK241" s="15"/>
      <c r="MAL241" s="15"/>
      <c r="MAM241" s="16"/>
      <c r="MAN241" s="16"/>
      <c r="MAO241" s="16"/>
      <c r="MAP241" s="16"/>
      <c r="MAQ241" s="16"/>
      <c r="MAR241" s="15"/>
      <c r="MAS241" s="15"/>
      <c r="MAT241" s="10"/>
      <c r="MAU241" s="10"/>
      <c r="MAV241" s="19"/>
      <c r="MAW241" s="19"/>
      <c r="MAZ241" s="16"/>
      <c r="MBA241" s="15"/>
      <c r="MBB241" s="15"/>
      <c r="MBC241" s="15"/>
      <c r="MBD241" s="16"/>
      <c r="MBE241" s="16"/>
      <c r="MBF241" s="16"/>
      <c r="MBG241" s="16"/>
      <c r="MBH241" s="16"/>
      <c r="MBI241" s="15"/>
      <c r="MBJ241" s="15"/>
      <c r="MBK241" s="10"/>
      <c r="MBL241" s="10"/>
      <c r="MBM241" s="19"/>
      <c r="MBN241" s="19"/>
      <c r="MBQ241" s="16"/>
      <c r="MBR241" s="15"/>
      <c r="MBS241" s="15"/>
      <c r="MBT241" s="15"/>
      <c r="MBU241" s="16"/>
      <c r="MBV241" s="16"/>
      <c r="MBW241" s="16"/>
      <c r="MBX241" s="16"/>
      <c r="MBY241" s="16"/>
      <c r="MBZ241" s="15"/>
      <c r="MCA241" s="15"/>
      <c r="MCB241" s="10"/>
      <c r="MCC241" s="10"/>
      <c r="MCD241" s="19"/>
      <c r="MCE241" s="19"/>
      <c r="MCH241" s="16"/>
      <c r="MCI241" s="15"/>
      <c r="MCJ241" s="15"/>
      <c r="MCK241" s="15"/>
      <c r="MCL241" s="16"/>
      <c r="MCM241" s="16"/>
      <c r="MCN241" s="16"/>
      <c r="MCO241" s="16"/>
      <c r="MCP241" s="16"/>
      <c r="MCQ241" s="15"/>
      <c r="MCR241" s="15"/>
      <c r="MCS241" s="10"/>
      <c r="MCT241" s="10"/>
      <c r="MCU241" s="19"/>
      <c r="MCV241" s="19"/>
      <c r="MCY241" s="16"/>
      <c r="MCZ241" s="15"/>
      <c r="MDA241" s="15"/>
      <c r="MDB241" s="15"/>
      <c r="MDC241" s="16"/>
      <c r="MDD241" s="16"/>
      <c r="MDE241" s="16"/>
      <c r="MDF241" s="16"/>
      <c r="MDG241" s="16"/>
      <c r="MDH241" s="15"/>
      <c r="MDI241" s="15"/>
      <c r="MDJ241" s="10"/>
      <c r="MDK241" s="10"/>
      <c r="MDL241" s="19"/>
      <c r="MDM241" s="19"/>
      <c r="MDP241" s="16"/>
      <c r="MDQ241" s="15"/>
      <c r="MDR241" s="15"/>
      <c r="MDS241" s="15"/>
      <c r="MDT241" s="16"/>
      <c r="MDU241" s="16"/>
      <c r="MDV241" s="16"/>
      <c r="MDW241" s="16"/>
      <c r="MDX241" s="16"/>
      <c r="MDY241" s="15"/>
      <c r="MDZ241" s="15"/>
      <c r="MEA241" s="10"/>
      <c r="MEB241" s="10"/>
      <c r="MEC241" s="19"/>
      <c r="MED241" s="19"/>
      <c r="MEG241" s="16"/>
      <c r="MEH241" s="15"/>
      <c r="MEI241" s="15"/>
      <c r="MEJ241" s="15"/>
      <c r="MEK241" s="16"/>
      <c r="MEL241" s="16"/>
      <c r="MEM241" s="16"/>
      <c r="MEN241" s="16"/>
      <c r="MEO241" s="16"/>
      <c r="MEP241" s="15"/>
      <c r="MEQ241" s="15"/>
      <c r="MER241" s="10"/>
      <c r="MES241" s="10"/>
      <c r="MET241" s="19"/>
      <c r="MEU241" s="19"/>
      <c r="MEX241" s="16"/>
      <c r="MEY241" s="15"/>
      <c r="MEZ241" s="15"/>
      <c r="MFA241" s="15"/>
      <c r="MFB241" s="16"/>
      <c r="MFC241" s="16"/>
      <c r="MFD241" s="16"/>
      <c r="MFE241" s="16"/>
      <c r="MFF241" s="16"/>
      <c r="MFG241" s="15"/>
      <c r="MFH241" s="15"/>
      <c r="MFI241" s="10"/>
      <c r="MFJ241" s="10"/>
      <c r="MFK241" s="19"/>
      <c r="MFL241" s="19"/>
      <c r="MFO241" s="16"/>
      <c r="MFP241" s="15"/>
      <c r="MFQ241" s="15"/>
      <c r="MFR241" s="15"/>
      <c r="MFS241" s="16"/>
      <c r="MFT241" s="16"/>
      <c r="MFU241" s="16"/>
      <c r="MFV241" s="16"/>
      <c r="MFW241" s="16"/>
      <c r="MFX241" s="15"/>
      <c r="MFY241" s="15"/>
      <c r="MFZ241" s="10"/>
      <c r="MGA241" s="10"/>
      <c r="MGB241" s="19"/>
      <c r="MGC241" s="19"/>
      <c r="MGF241" s="16"/>
      <c r="MGG241" s="15"/>
      <c r="MGH241" s="15"/>
      <c r="MGI241" s="15"/>
      <c r="MGJ241" s="16"/>
      <c r="MGK241" s="16"/>
      <c r="MGL241" s="16"/>
      <c r="MGM241" s="16"/>
      <c r="MGN241" s="16"/>
      <c r="MGO241" s="15"/>
      <c r="MGP241" s="15"/>
      <c r="MGQ241" s="10"/>
      <c r="MGR241" s="10"/>
      <c r="MGS241" s="19"/>
      <c r="MGT241" s="19"/>
      <c r="MGW241" s="16"/>
      <c r="MGX241" s="15"/>
      <c r="MGY241" s="15"/>
      <c r="MGZ241" s="15"/>
      <c r="MHA241" s="16"/>
      <c r="MHB241" s="16"/>
      <c r="MHC241" s="16"/>
      <c r="MHD241" s="16"/>
      <c r="MHE241" s="16"/>
      <c r="MHF241" s="15"/>
      <c r="MHG241" s="15"/>
      <c r="MHH241" s="10"/>
      <c r="MHI241" s="10"/>
      <c r="MHJ241" s="19"/>
      <c r="MHK241" s="19"/>
      <c r="MHN241" s="16"/>
      <c r="MHO241" s="15"/>
      <c r="MHP241" s="15"/>
      <c r="MHQ241" s="15"/>
      <c r="MHR241" s="16"/>
      <c r="MHS241" s="16"/>
      <c r="MHT241" s="16"/>
      <c r="MHU241" s="16"/>
      <c r="MHV241" s="16"/>
      <c r="MHW241" s="15"/>
      <c r="MHX241" s="15"/>
      <c r="MHY241" s="10"/>
      <c r="MHZ241" s="10"/>
      <c r="MIA241" s="19"/>
      <c r="MIB241" s="19"/>
      <c r="MIE241" s="16"/>
      <c r="MIF241" s="15"/>
      <c r="MIG241" s="15"/>
      <c r="MIH241" s="15"/>
      <c r="MII241" s="16"/>
      <c r="MIJ241" s="16"/>
      <c r="MIK241" s="16"/>
      <c r="MIL241" s="16"/>
      <c r="MIM241" s="16"/>
      <c r="MIN241" s="15"/>
      <c r="MIO241" s="15"/>
      <c r="MIP241" s="10"/>
      <c r="MIQ241" s="10"/>
      <c r="MIR241" s="19"/>
      <c r="MIS241" s="19"/>
      <c r="MIV241" s="16"/>
      <c r="MIW241" s="15"/>
      <c r="MIX241" s="15"/>
      <c r="MIY241" s="15"/>
      <c r="MIZ241" s="16"/>
      <c r="MJA241" s="16"/>
      <c r="MJB241" s="16"/>
      <c r="MJC241" s="16"/>
      <c r="MJD241" s="16"/>
      <c r="MJE241" s="15"/>
      <c r="MJF241" s="15"/>
      <c r="MJG241" s="10"/>
      <c r="MJH241" s="10"/>
      <c r="MJI241" s="19"/>
      <c r="MJJ241" s="19"/>
      <c r="MJM241" s="16"/>
      <c r="MJN241" s="15"/>
      <c r="MJO241" s="15"/>
      <c r="MJP241" s="15"/>
      <c r="MJQ241" s="16"/>
      <c r="MJR241" s="16"/>
      <c r="MJS241" s="16"/>
      <c r="MJT241" s="16"/>
      <c r="MJU241" s="16"/>
      <c r="MJV241" s="15"/>
      <c r="MJW241" s="15"/>
      <c r="MJX241" s="10"/>
      <c r="MJY241" s="10"/>
      <c r="MJZ241" s="19"/>
      <c r="MKA241" s="19"/>
      <c r="MKD241" s="16"/>
      <c r="MKE241" s="15"/>
      <c r="MKF241" s="15"/>
      <c r="MKG241" s="15"/>
      <c r="MKH241" s="16"/>
      <c r="MKI241" s="16"/>
      <c r="MKJ241" s="16"/>
      <c r="MKK241" s="16"/>
      <c r="MKL241" s="16"/>
      <c r="MKM241" s="15"/>
      <c r="MKN241" s="15"/>
      <c r="MKO241" s="10"/>
      <c r="MKP241" s="10"/>
      <c r="MKQ241" s="19"/>
      <c r="MKR241" s="19"/>
      <c r="MKU241" s="16"/>
      <c r="MKV241" s="15"/>
      <c r="MKW241" s="15"/>
      <c r="MKX241" s="15"/>
      <c r="MKY241" s="16"/>
      <c r="MKZ241" s="16"/>
      <c r="MLA241" s="16"/>
      <c r="MLB241" s="16"/>
      <c r="MLC241" s="16"/>
      <c r="MLD241" s="15"/>
      <c r="MLE241" s="15"/>
      <c r="MLF241" s="10"/>
      <c r="MLG241" s="10"/>
      <c r="MLH241" s="19"/>
      <c r="MLI241" s="19"/>
      <c r="MLL241" s="16"/>
      <c r="MLM241" s="15"/>
      <c r="MLN241" s="15"/>
      <c r="MLO241" s="15"/>
      <c r="MLP241" s="16"/>
      <c r="MLQ241" s="16"/>
      <c r="MLR241" s="16"/>
      <c r="MLS241" s="16"/>
      <c r="MLT241" s="16"/>
      <c r="MLU241" s="15"/>
      <c r="MLV241" s="15"/>
      <c r="MLW241" s="10"/>
      <c r="MLX241" s="10"/>
      <c r="MLY241" s="19"/>
      <c r="MLZ241" s="19"/>
      <c r="MMC241" s="16"/>
      <c r="MMD241" s="15"/>
      <c r="MME241" s="15"/>
      <c r="MMF241" s="15"/>
      <c r="MMG241" s="16"/>
      <c r="MMH241" s="16"/>
      <c r="MMI241" s="16"/>
      <c r="MMJ241" s="16"/>
      <c r="MMK241" s="16"/>
      <c r="MML241" s="15"/>
      <c r="MMM241" s="15"/>
      <c r="MMN241" s="10"/>
      <c r="MMO241" s="10"/>
      <c r="MMP241" s="19"/>
      <c r="MMQ241" s="19"/>
      <c r="MMT241" s="16"/>
      <c r="MMU241" s="15"/>
      <c r="MMV241" s="15"/>
      <c r="MMW241" s="15"/>
      <c r="MMX241" s="16"/>
      <c r="MMY241" s="16"/>
      <c r="MMZ241" s="16"/>
      <c r="MNA241" s="16"/>
      <c r="MNB241" s="16"/>
      <c r="MNC241" s="15"/>
      <c r="MND241" s="15"/>
      <c r="MNE241" s="10"/>
      <c r="MNF241" s="10"/>
      <c r="MNG241" s="19"/>
      <c r="MNH241" s="19"/>
      <c r="MNK241" s="16"/>
      <c r="MNL241" s="15"/>
      <c r="MNM241" s="15"/>
      <c r="MNN241" s="15"/>
      <c r="MNO241" s="16"/>
      <c r="MNP241" s="16"/>
      <c r="MNQ241" s="16"/>
      <c r="MNR241" s="16"/>
      <c r="MNS241" s="16"/>
      <c r="MNT241" s="15"/>
      <c r="MNU241" s="15"/>
      <c r="MNV241" s="10"/>
      <c r="MNW241" s="10"/>
      <c r="MNX241" s="19"/>
      <c r="MNY241" s="19"/>
      <c r="MOB241" s="16"/>
      <c r="MOC241" s="15"/>
      <c r="MOD241" s="15"/>
      <c r="MOE241" s="15"/>
      <c r="MOF241" s="16"/>
      <c r="MOG241" s="16"/>
      <c r="MOH241" s="16"/>
      <c r="MOI241" s="16"/>
      <c r="MOJ241" s="16"/>
      <c r="MOK241" s="15"/>
      <c r="MOL241" s="15"/>
      <c r="MOM241" s="10"/>
      <c r="MON241" s="10"/>
      <c r="MOO241" s="19"/>
      <c r="MOP241" s="19"/>
      <c r="MOS241" s="16"/>
      <c r="MOT241" s="15"/>
      <c r="MOU241" s="15"/>
      <c r="MOV241" s="15"/>
      <c r="MOW241" s="16"/>
      <c r="MOX241" s="16"/>
      <c r="MOY241" s="16"/>
      <c r="MOZ241" s="16"/>
      <c r="MPA241" s="16"/>
      <c r="MPB241" s="15"/>
      <c r="MPC241" s="15"/>
      <c r="MPD241" s="10"/>
      <c r="MPE241" s="10"/>
      <c r="MPF241" s="19"/>
      <c r="MPG241" s="19"/>
      <c r="MPJ241" s="16"/>
      <c r="MPK241" s="15"/>
      <c r="MPL241" s="15"/>
      <c r="MPM241" s="15"/>
      <c r="MPN241" s="16"/>
      <c r="MPO241" s="16"/>
      <c r="MPP241" s="16"/>
      <c r="MPQ241" s="16"/>
      <c r="MPR241" s="16"/>
      <c r="MPS241" s="15"/>
      <c r="MPT241" s="15"/>
      <c r="MPU241" s="10"/>
      <c r="MPV241" s="10"/>
      <c r="MPW241" s="19"/>
      <c r="MPX241" s="19"/>
      <c r="MQA241" s="16"/>
      <c r="MQB241" s="15"/>
      <c r="MQC241" s="15"/>
      <c r="MQD241" s="15"/>
      <c r="MQE241" s="16"/>
      <c r="MQF241" s="16"/>
      <c r="MQG241" s="16"/>
      <c r="MQH241" s="16"/>
      <c r="MQI241" s="16"/>
      <c r="MQJ241" s="15"/>
      <c r="MQK241" s="15"/>
      <c r="MQL241" s="10"/>
      <c r="MQM241" s="10"/>
      <c r="MQN241" s="19"/>
      <c r="MQO241" s="19"/>
      <c r="MQR241" s="16"/>
      <c r="MQS241" s="15"/>
      <c r="MQT241" s="15"/>
      <c r="MQU241" s="15"/>
      <c r="MQV241" s="16"/>
      <c r="MQW241" s="16"/>
      <c r="MQX241" s="16"/>
      <c r="MQY241" s="16"/>
      <c r="MQZ241" s="16"/>
      <c r="MRA241" s="15"/>
      <c r="MRB241" s="15"/>
      <c r="MRC241" s="10"/>
      <c r="MRD241" s="10"/>
      <c r="MRE241" s="19"/>
      <c r="MRF241" s="19"/>
      <c r="MRI241" s="16"/>
      <c r="MRJ241" s="15"/>
      <c r="MRK241" s="15"/>
      <c r="MRL241" s="15"/>
      <c r="MRM241" s="16"/>
      <c r="MRN241" s="16"/>
      <c r="MRO241" s="16"/>
      <c r="MRP241" s="16"/>
      <c r="MRQ241" s="16"/>
      <c r="MRR241" s="15"/>
      <c r="MRS241" s="15"/>
      <c r="MRT241" s="10"/>
      <c r="MRU241" s="10"/>
      <c r="MRV241" s="19"/>
      <c r="MRW241" s="19"/>
      <c r="MRZ241" s="16"/>
      <c r="MSA241" s="15"/>
      <c r="MSB241" s="15"/>
      <c r="MSC241" s="15"/>
      <c r="MSD241" s="16"/>
      <c r="MSE241" s="16"/>
      <c r="MSF241" s="16"/>
      <c r="MSG241" s="16"/>
      <c r="MSH241" s="16"/>
      <c r="MSI241" s="15"/>
      <c r="MSJ241" s="15"/>
      <c r="MSK241" s="10"/>
      <c r="MSL241" s="10"/>
      <c r="MSM241" s="19"/>
      <c r="MSN241" s="19"/>
      <c r="MSQ241" s="16"/>
      <c r="MSR241" s="15"/>
      <c r="MSS241" s="15"/>
      <c r="MST241" s="15"/>
      <c r="MSU241" s="16"/>
      <c r="MSV241" s="16"/>
      <c r="MSW241" s="16"/>
      <c r="MSX241" s="16"/>
      <c r="MSY241" s="16"/>
      <c r="MSZ241" s="15"/>
      <c r="MTA241" s="15"/>
      <c r="MTB241" s="10"/>
      <c r="MTC241" s="10"/>
      <c r="MTD241" s="19"/>
      <c r="MTE241" s="19"/>
      <c r="MTH241" s="16"/>
      <c r="MTI241" s="15"/>
      <c r="MTJ241" s="15"/>
      <c r="MTK241" s="15"/>
      <c r="MTL241" s="16"/>
      <c r="MTM241" s="16"/>
      <c r="MTN241" s="16"/>
      <c r="MTO241" s="16"/>
      <c r="MTP241" s="16"/>
      <c r="MTQ241" s="15"/>
      <c r="MTR241" s="15"/>
      <c r="MTS241" s="10"/>
      <c r="MTT241" s="10"/>
      <c r="MTU241" s="19"/>
      <c r="MTV241" s="19"/>
      <c r="MTY241" s="16"/>
      <c r="MTZ241" s="15"/>
      <c r="MUA241" s="15"/>
      <c r="MUB241" s="15"/>
      <c r="MUC241" s="16"/>
      <c r="MUD241" s="16"/>
      <c r="MUE241" s="16"/>
      <c r="MUF241" s="16"/>
      <c r="MUG241" s="16"/>
      <c r="MUH241" s="15"/>
      <c r="MUI241" s="15"/>
      <c r="MUJ241" s="10"/>
      <c r="MUK241" s="10"/>
      <c r="MUL241" s="19"/>
      <c r="MUM241" s="19"/>
      <c r="MUP241" s="16"/>
      <c r="MUQ241" s="15"/>
      <c r="MUR241" s="15"/>
      <c r="MUS241" s="15"/>
      <c r="MUT241" s="16"/>
      <c r="MUU241" s="16"/>
      <c r="MUV241" s="16"/>
      <c r="MUW241" s="16"/>
      <c r="MUX241" s="16"/>
      <c r="MUY241" s="15"/>
      <c r="MUZ241" s="15"/>
      <c r="MVA241" s="10"/>
      <c r="MVB241" s="10"/>
      <c r="MVC241" s="19"/>
      <c r="MVD241" s="19"/>
      <c r="MVG241" s="16"/>
      <c r="MVH241" s="15"/>
      <c r="MVI241" s="15"/>
      <c r="MVJ241" s="15"/>
      <c r="MVK241" s="16"/>
      <c r="MVL241" s="16"/>
      <c r="MVM241" s="16"/>
      <c r="MVN241" s="16"/>
      <c r="MVO241" s="16"/>
      <c r="MVP241" s="15"/>
      <c r="MVQ241" s="15"/>
      <c r="MVR241" s="10"/>
      <c r="MVS241" s="10"/>
      <c r="MVT241" s="19"/>
      <c r="MVU241" s="19"/>
      <c r="MVX241" s="16"/>
      <c r="MVY241" s="15"/>
      <c r="MVZ241" s="15"/>
      <c r="MWA241" s="15"/>
      <c r="MWB241" s="16"/>
      <c r="MWC241" s="16"/>
      <c r="MWD241" s="16"/>
      <c r="MWE241" s="16"/>
      <c r="MWF241" s="16"/>
      <c r="MWG241" s="15"/>
      <c r="MWH241" s="15"/>
      <c r="MWI241" s="10"/>
      <c r="MWJ241" s="10"/>
      <c r="MWK241" s="19"/>
      <c r="MWL241" s="19"/>
      <c r="MWO241" s="16"/>
      <c r="MWP241" s="15"/>
      <c r="MWQ241" s="15"/>
      <c r="MWR241" s="15"/>
      <c r="MWS241" s="16"/>
      <c r="MWT241" s="16"/>
      <c r="MWU241" s="16"/>
      <c r="MWV241" s="16"/>
      <c r="MWW241" s="16"/>
      <c r="MWX241" s="15"/>
      <c r="MWY241" s="15"/>
      <c r="MWZ241" s="10"/>
      <c r="MXA241" s="10"/>
      <c r="MXB241" s="19"/>
      <c r="MXC241" s="19"/>
      <c r="MXF241" s="16"/>
      <c r="MXG241" s="15"/>
      <c r="MXH241" s="15"/>
      <c r="MXI241" s="15"/>
      <c r="MXJ241" s="16"/>
      <c r="MXK241" s="16"/>
      <c r="MXL241" s="16"/>
      <c r="MXM241" s="16"/>
      <c r="MXN241" s="16"/>
      <c r="MXO241" s="15"/>
      <c r="MXP241" s="15"/>
      <c r="MXQ241" s="10"/>
      <c r="MXR241" s="10"/>
      <c r="MXS241" s="19"/>
      <c r="MXT241" s="19"/>
      <c r="MXW241" s="16"/>
      <c r="MXX241" s="15"/>
      <c r="MXY241" s="15"/>
      <c r="MXZ241" s="15"/>
      <c r="MYA241" s="16"/>
      <c r="MYB241" s="16"/>
      <c r="MYC241" s="16"/>
      <c r="MYD241" s="16"/>
      <c r="MYE241" s="16"/>
      <c r="MYF241" s="15"/>
      <c r="MYG241" s="15"/>
      <c r="MYH241" s="10"/>
      <c r="MYI241" s="10"/>
      <c r="MYJ241" s="19"/>
      <c r="MYK241" s="19"/>
      <c r="MYN241" s="16"/>
      <c r="MYO241" s="15"/>
      <c r="MYP241" s="15"/>
      <c r="MYQ241" s="15"/>
      <c r="MYR241" s="16"/>
      <c r="MYS241" s="16"/>
      <c r="MYT241" s="16"/>
      <c r="MYU241" s="16"/>
      <c r="MYV241" s="16"/>
      <c r="MYW241" s="15"/>
      <c r="MYX241" s="15"/>
      <c r="MYY241" s="10"/>
      <c r="MYZ241" s="10"/>
      <c r="MZA241" s="19"/>
      <c r="MZB241" s="19"/>
      <c r="MZE241" s="16"/>
      <c r="MZF241" s="15"/>
      <c r="MZG241" s="15"/>
      <c r="MZH241" s="15"/>
      <c r="MZI241" s="16"/>
      <c r="MZJ241" s="16"/>
      <c r="MZK241" s="16"/>
      <c r="MZL241" s="16"/>
      <c r="MZM241" s="16"/>
      <c r="MZN241" s="15"/>
      <c r="MZO241" s="15"/>
      <c r="MZP241" s="10"/>
      <c r="MZQ241" s="10"/>
      <c r="MZR241" s="19"/>
      <c r="MZS241" s="19"/>
      <c r="MZV241" s="16"/>
      <c r="MZW241" s="15"/>
      <c r="MZX241" s="15"/>
      <c r="MZY241" s="15"/>
      <c r="MZZ241" s="16"/>
      <c r="NAA241" s="16"/>
      <c r="NAB241" s="16"/>
      <c r="NAC241" s="16"/>
      <c r="NAD241" s="16"/>
      <c r="NAE241" s="15"/>
      <c r="NAF241" s="15"/>
      <c r="NAG241" s="10"/>
      <c r="NAH241" s="10"/>
      <c r="NAI241" s="19"/>
      <c r="NAJ241" s="19"/>
      <c r="NAM241" s="16"/>
      <c r="NAN241" s="15"/>
      <c r="NAO241" s="15"/>
      <c r="NAP241" s="15"/>
      <c r="NAQ241" s="16"/>
      <c r="NAR241" s="16"/>
      <c r="NAS241" s="16"/>
      <c r="NAT241" s="16"/>
      <c r="NAU241" s="16"/>
      <c r="NAV241" s="15"/>
      <c r="NAW241" s="15"/>
      <c r="NAX241" s="10"/>
      <c r="NAY241" s="10"/>
      <c r="NAZ241" s="19"/>
      <c r="NBA241" s="19"/>
      <c r="NBD241" s="16"/>
      <c r="NBE241" s="15"/>
      <c r="NBF241" s="15"/>
      <c r="NBG241" s="15"/>
      <c r="NBH241" s="16"/>
      <c r="NBI241" s="16"/>
      <c r="NBJ241" s="16"/>
      <c r="NBK241" s="16"/>
      <c r="NBL241" s="16"/>
      <c r="NBM241" s="15"/>
      <c r="NBN241" s="15"/>
      <c r="NBO241" s="10"/>
      <c r="NBP241" s="10"/>
      <c r="NBQ241" s="19"/>
      <c r="NBR241" s="19"/>
      <c r="NBU241" s="16"/>
      <c r="NBV241" s="15"/>
      <c r="NBW241" s="15"/>
      <c r="NBX241" s="15"/>
      <c r="NBY241" s="16"/>
      <c r="NBZ241" s="16"/>
      <c r="NCA241" s="16"/>
      <c r="NCB241" s="16"/>
      <c r="NCC241" s="16"/>
      <c r="NCD241" s="15"/>
      <c r="NCE241" s="15"/>
      <c r="NCF241" s="10"/>
      <c r="NCG241" s="10"/>
      <c r="NCH241" s="19"/>
      <c r="NCI241" s="19"/>
      <c r="NCL241" s="16"/>
      <c r="NCM241" s="15"/>
      <c r="NCN241" s="15"/>
      <c r="NCO241" s="15"/>
      <c r="NCP241" s="16"/>
      <c r="NCQ241" s="16"/>
      <c r="NCR241" s="16"/>
      <c r="NCS241" s="16"/>
      <c r="NCT241" s="16"/>
      <c r="NCU241" s="15"/>
      <c r="NCV241" s="15"/>
      <c r="NCW241" s="10"/>
      <c r="NCX241" s="10"/>
      <c r="NCY241" s="19"/>
      <c r="NCZ241" s="19"/>
      <c r="NDC241" s="16"/>
      <c r="NDD241" s="15"/>
      <c r="NDE241" s="15"/>
      <c r="NDF241" s="15"/>
      <c r="NDG241" s="16"/>
      <c r="NDH241" s="16"/>
      <c r="NDI241" s="16"/>
      <c r="NDJ241" s="16"/>
      <c r="NDK241" s="16"/>
      <c r="NDL241" s="15"/>
      <c r="NDM241" s="15"/>
      <c r="NDN241" s="10"/>
      <c r="NDO241" s="10"/>
      <c r="NDP241" s="19"/>
      <c r="NDQ241" s="19"/>
      <c r="NDT241" s="16"/>
      <c r="NDU241" s="15"/>
      <c r="NDV241" s="15"/>
      <c r="NDW241" s="15"/>
      <c r="NDX241" s="16"/>
      <c r="NDY241" s="16"/>
      <c r="NDZ241" s="16"/>
      <c r="NEA241" s="16"/>
      <c r="NEB241" s="16"/>
      <c r="NEC241" s="15"/>
      <c r="NED241" s="15"/>
      <c r="NEE241" s="10"/>
      <c r="NEF241" s="10"/>
      <c r="NEG241" s="19"/>
      <c r="NEH241" s="19"/>
      <c r="NEK241" s="16"/>
      <c r="NEL241" s="15"/>
      <c r="NEM241" s="15"/>
      <c r="NEN241" s="15"/>
      <c r="NEO241" s="16"/>
      <c r="NEP241" s="16"/>
      <c r="NEQ241" s="16"/>
      <c r="NER241" s="16"/>
      <c r="NES241" s="16"/>
      <c r="NET241" s="15"/>
      <c r="NEU241" s="15"/>
      <c r="NEV241" s="10"/>
      <c r="NEW241" s="10"/>
      <c r="NEX241" s="19"/>
      <c r="NEY241" s="19"/>
      <c r="NFB241" s="16"/>
      <c r="NFC241" s="15"/>
      <c r="NFD241" s="15"/>
      <c r="NFE241" s="15"/>
      <c r="NFF241" s="16"/>
      <c r="NFG241" s="16"/>
      <c r="NFH241" s="16"/>
      <c r="NFI241" s="16"/>
      <c r="NFJ241" s="16"/>
      <c r="NFK241" s="15"/>
      <c r="NFL241" s="15"/>
      <c r="NFM241" s="10"/>
      <c r="NFN241" s="10"/>
      <c r="NFO241" s="19"/>
      <c r="NFP241" s="19"/>
      <c r="NFS241" s="16"/>
      <c r="NFT241" s="15"/>
      <c r="NFU241" s="15"/>
      <c r="NFV241" s="15"/>
      <c r="NFW241" s="16"/>
      <c r="NFX241" s="16"/>
      <c r="NFY241" s="16"/>
      <c r="NFZ241" s="16"/>
      <c r="NGA241" s="16"/>
      <c r="NGB241" s="15"/>
      <c r="NGC241" s="15"/>
      <c r="NGD241" s="10"/>
      <c r="NGE241" s="10"/>
      <c r="NGF241" s="19"/>
      <c r="NGG241" s="19"/>
      <c r="NGJ241" s="16"/>
      <c r="NGK241" s="15"/>
      <c r="NGL241" s="15"/>
      <c r="NGM241" s="15"/>
      <c r="NGN241" s="16"/>
      <c r="NGO241" s="16"/>
      <c r="NGP241" s="16"/>
      <c r="NGQ241" s="16"/>
      <c r="NGR241" s="16"/>
      <c r="NGS241" s="15"/>
      <c r="NGT241" s="15"/>
      <c r="NGU241" s="10"/>
      <c r="NGV241" s="10"/>
      <c r="NGW241" s="19"/>
      <c r="NGX241" s="19"/>
      <c r="NHA241" s="16"/>
      <c r="NHB241" s="15"/>
      <c r="NHC241" s="15"/>
      <c r="NHD241" s="15"/>
      <c r="NHE241" s="16"/>
      <c r="NHF241" s="16"/>
      <c r="NHG241" s="16"/>
      <c r="NHH241" s="16"/>
      <c r="NHI241" s="16"/>
      <c r="NHJ241" s="15"/>
      <c r="NHK241" s="15"/>
      <c r="NHL241" s="10"/>
      <c r="NHM241" s="10"/>
      <c r="NHN241" s="19"/>
      <c r="NHO241" s="19"/>
      <c r="NHR241" s="16"/>
      <c r="NHS241" s="15"/>
      <c r="NHT241" s="15"/>
      <c r="NHU241" s="15"/>
      <c r="NHV241" s="16"/>
      <c r="NHW241" s="16"/>
      <c r="NHX241" s="16"/>
      <c r="NHY241" s="16"/>
      <c r="NHZ241" s="16"/>
      <c r="NIA241" s="15"/>
      <c r="NIB241" s="15"/>
      <c r="NIC241" s="10"/>
      <c r="NID241" s="10"/>
      <c r="NIE241" s="19"/>
      <c r="NIF241" s="19"/>
      <c r="NII241" s="16"/>
      <c r="NIJ241" s="15"/>
      <c r="NIK241" s="15"/>
      <c r="NIL241" s="15"/>
      <c r="NIM241" s="16"/>
      <c r="NIN241" s="16"/>
      <c r="NIO241" s="16"/>
      <c r="NIP241" s="16"/>
      <c r="NIQ241" s="16"/>
      <c r="NIR241" s="15"/>
      <c r="NIS241" s="15"/>
      <c r="NIT241" s="10"/>
      <c r="NIU241" s="10"/>
      <c r="NIV241" s="19"/>
      <c r="NIW241" s="19"/>
      <c r="NIZ241" s="16"/>
      <c r="NJA241" s="15"/>
      <c r="NJB241" s="15"/>
      <c r="NJC241" s="15"/>
      <c r="NJD241" s="16"/>
      <c r="NJE241" s="16"/>
      <c r="NJF241" s="16"/>
      <c r="NJG241" s="16"/>
      <c r="NJH241" s="16"/>
      <c r="NJI241" s="15"/>
      <c r="NJJ241" s="15"/>
      <c r="NJK241" s="10"/>
      <c r="NJL241" s="10"/>
      <c r="NJM241" s="19"/>
      <c r="NJN241" s="19"/>
      <c r="NJQ241" s="16"/>
      <c r="NJR241" s="15"/>
      <c r="NJS241" s="15"/>
      <c r="NJT241" s="15"/>
      <c r="NJU241" s="16"/>
      <c r="NJV241" s="16"/>
      <c r="NJW241" s="16"/>
      <c r="NJX241" s="16"/>
      <c r="NJY241" s="16"/>
      <c r="NJZ241" s="15"/>
      <c r="NKA241" s="15"/>
      <c r="NKB241" s="10"/>
      <c r="NKC241" s="10"/>
      <c r="NKD241" s="19"/>
      <c r="NKE241" s="19"/>
      <c r="NKH241" s="16"/>
      <c r="NKI241" s="15"/>
      <c r="NKJ241" s="15"/>
      <c r="NKK241" s="15"/>
      <c r="NKL241" s="16"/>
      <c r="NKM241" s="16"/>
      <c r="NKN241" s="16"/>
      <c r="NKO241" s="16"/>
      <c r="NKP241" s="16"/>
      <c r="NKQ241" s="15"/>
      <c r="NKR241" s="15"/>
      <c r="NKS241" s="10"/>
      <c r="NKT241" s="10"/>
      <c r="NKU241" s="19"/>
      <c r="NKV241" s="19"/>
      <c r="NKY241" s="16"/>
      <c r="NKZ241" s="15"/>
      <c r="NLA241" s="15"/>
      <c r="NLB241" s="15"/>
      <c r="NLC241" s="16"/>
      <c r="NLD241" s="16"/>
      <c r="NLE241" s="16"/>
      <c r="NLF241" s="16"/>
      <c r="NLG241" s="16"/>
      <c r="NLH241" s="15"/>
      <c r="NLI241" s="15"/>
      <c r="NLJ241" s="10"/>
      <c r="NLK241" s="10"/>
      <c r="NLL241" s="19"/>
      <c r="NLM241" s="19"/>
      <c r="NLP241" s="16"/>
      <c r="NLQ241" s="15"/>
      <c r="NLR241" s="15"/>
      <c r="NLS241" s="15"/>
      <c r="NLT241" s="16"/>
      <c r="NLU241" s="16"/>
      <c r="NLV241" s="16"/>
      <c r="NLW241" s="16"/>
      <c r="NLX241" s="16"/>
      <c r="NLY241" s="15"/>
      <c r="NLZ241" s="15"/>
      <c r="NMA241" s="10"/>
      <c r="NMB241" s="10"/>
      <c r="NMC241" s="19"/>
      <c r="NMD241" s="19"/>
      <c r="NMG241" s="16"/>
      <c r="NMH241" s="15"/>
      <c r="NMI241" s="15"/>
      <c r="NMJ241" s="15"/>
      <c r="NMK241" s="16"/>
      <c r="NML241" s="16"/>
      <c r="NMM241" s="16"/>
      <c r="NMN241" s="16"/>
      <c r="NMO241" s="16"/>
      <c r="NMP241" s="15"/>
      <c r="NMQ241" s="15"/>
      <c r="NMR241" s="10"/>
      <c r="NMS241" s="10"/>
      <c r="NMT241" s="19"/>
      <c r="NMU241" s="19"/>
      <c r="NMX241" s="16"/>
      <c r="NMY241" s="15"/>
      <c r="NMZ241" s="15"/>
      <c r="NNA241" s="15"/>
      <c r="NNB241" s="16"/>
      <c r="NNC241" s="16"/>
      <c r="NND241" s="16"/>
      <c r="NNE241" s="16"/>
      <c r="NNF241" s="16"/>
      <c r="NNG241" s="15"/>
      <c r="NNH241" s="15"/>
      <c r="NNI241" s="10"/>
      <c r="NNJ241" s="10"/>
      <c r="NNK241" s="19"/>
      <c r="NNL241" s="19"/>
      <c r="NNO241" s="16"/>
      <c r="NNP241" s="15"/>
      <c r="NNQ241" s="15"/>
      <c r="NNR241" s="15"/>
      <c r="NNS241" s="16"/>
      <c r="NNT241" s="16"/>
      <c r="NNU241" s="16"/>
      <c r="NNV241" s="16"/>
      <c r="NNW241" s="16"/>
      <c r="NNX241" s="15"/>
      <c r="NNY241" s="15"/>
      <c r="NNZ241" s="10"/>
      <c r="NOA241" s="10"/>
      <c r="NOB241" s="19"/>
      <c r="NOC241" s="19"/>
      <c r="NOF241" s="16"/>
      <c r="NOG241" s="15"/>
      <c r="NOH241" s="15"/>
      <c r="NOI241" s="15"/>
      <c r="NOJ241" s="16"/>
      <c r="NOK241" s="16"/>
      <c r="NOL241" s="16"/>
      <c r="NOM241" s="16"/>
      <c r="NON241" s="16"/>
      <c r="NOO241" s="15"/>
      <c r="NOP241" s="15"/>
      <c r="NOQ241" s="10"/>
      <c r="NOR241" s="10"/>
      <c r="NOS241" s="19"/>
      <c r="NOT241" s="19"/>
      <c r="NOW241" s="16"/>
      <c r="NOX241" s="15"/>
      <c r="NOY241" s="15"/>
      <c r="NOZ241" s="15"/>
      <c r="NPA241" s="16"/>
      <c r="NPB241" s="16"/>
      <c r="NPC241" s="16"/>
      <c r="NPD241" s="16"/>
      <c r="NPE241" s="16"/>
      <c r="NPF241" s="15"/>
      <c r="NPG241" s="15"/>
      <c r="NPH241" s="10"/>
      <c r="NPI241" s="10"/>
      <c r="NPJ241" s="19"/>
      <c r="NPK241" s="19"/>
      <c r="NPN241" s="16"/>
      <c r="NPO241" s="15"/>
      <c r="NPP241" s="15"/>
      <c r="NPQ241" s="15"/>
      <c r="NPR241" s="16"/>
      <c r="NPS241" s="16"/>
      <c r="NPT241" s="16"/>
      <c r="NPU241" s="16"/>
      <c r="NPV241" s="16"/>
      <c r="NPW241" s="15"/>
      <c r="NPX241" s="15"/>
      <c r="NPY241" s="10"/>
      <c r="NPZ241" s="10"/>
      <c r="NQA241" s="19"/>
      <c r="NQB241" s="19"/>
      <c r="NQE241" s="16"/>
      <c r="NQF241" s="15"/>
      <c r="NQG241" s="15"/>
      <c r="NQH241" s="15"/>
      <c r="NQI241" s="16"/>
      <c r="NQJ241" s="16"/>
      <c r="NQK241" s="16"/>
      <c r="NQL241" s="16"/>
      <c r="NQM241" s="16"/>
      <c r="NQN241" s="15"/>
      <c r="NQO241" s="15"/>
      <c r="NQP241" s="10"/>
      <c r="NQQ241" s="10"/>
      <c r="NQR241" s="19"/>
      <c r="NQS241" s="19"/>
      <c r="NQV241" s="16"/>
      <c r="NQW241" s="15"/>
      <c r="NQX241" s="15"/>
      <c r="NQY241" s="15"/>
      <c r="NQZ241" s="16"/>
      <c r="NRA241" s="16"/>
      <c r="NRB241" s="16"/>
      <c r="NRC241" s="16"/>
      <c r="NRD241" s="16"/>
      <c r="NRE241" s="15"/>
      <c r="NRF241" s="15"/>
      <c r="NRG241" s="10"/>
      <c r="NRH241" s="10"/>
      <c r="NRI241" s="19"/>
      <c r="NRJ241" s="19"/>
      <c r="NRM241" s="16"/>
      <c r="NRN241" s="15"/>
      <c r="NRO241" s="15"/>
      <c r="NRP241" s="15"/>
      <c r="NRQ241" s="16"/>
      <c r="NRR241" s="16"/>
      <c r="NRS241" s="16"/>
      <c r="NRT241" s="16"/>
      <c r="NRU241" s="16"/>
      <c r="NRV241" s="15"/>
      <c r="NRW241" s="15"/>
      <c r="NRX241" s="10"/>
      <c r="NRY241" s="10"/>
      <c r="NRZ241" s="19"/>
      <c r="NSA241" s="19"/>
      <c r="NSD241" s="16"/>
      <c r="NSE241" s="15"/>
      <c r="NSF241" s="15"/>
      <c r="NSG241" s="15"/>
      <c r="NSH241" s="16"/>
      <c r="NSI241" s="16"/>
      <c r="NSJ241" s="16"/>
      <c r="NSK241" s="16"/>
      <c r="NSL241" s="16"/>
      <c r="NSM241" s="15"/>
      <c r="NSN241" s="15"/>
      <c r="NSO241" s="10"/>
      <c r="NSP241" s="10"/>
      <c r="NSQ241" s="19"/>
      <c r="NSR241" s="19"/>
      <c r="NSU241" s="16"/>
      <c r="NSV241" s="15"/>
      <c r="NSW241" s="15"/>
      <c r="NSX241" s="15"/>
      <c r="NSY241" s="16"/>
      <c r="NSZ241" s="16"/>
      <c r="NTA241" s="16"/>
      <c r="NTB241" s="16"/>
      <c r="NTC241" s="16"/>
      <c r="NTD241" s="15"/>
      <c r="NTE241" s="15"/>
      <c r="NTF241" s="10"/>
      <c r="NTG241" s="10"/>
      <c r="NTH241" s="19"/>
      <c r="NTI241" s="19"/>
      <c r="NTL241" s="16"/>
      <c r="NTM241" s="15"/>
      <c r="NTN241" s="15"/>
      <c r="NTO241" s="15"/>
      <c r="NTP241" s="16"/>
      <c r="NTQ241" s="16"/>
      <c r="NTR241" s="16"/>
      <c r="NTS241" s="16"/>
      <c r="NTT241" s="16"/>
      <c r="NTU241" s="15"/>
      <c r="NTV241" s="15"/>
      <c r="NTW241" s="10"/>
      <c r="NTX241" s="10"/>
      <c r="NTY241" s="19"/>
      <c r="NTZ241" s="19"/>
      <c r="NUC241" s="16"/>
      <c r="NUD241" s="15"/>
      <c r="NUE241" s="15"/>
      <c r="NUF241" s="15"/>
      <c r="NUG241" s="16"/>
      <c r="NUH241" s="16"/>
      <c r="NUI241" s="16"/>
      <c r="NUJ241" s="16"/>
      <c r="NUK241" s="16"/>
      <c r="NUL241" s="15"/>
      <c r="NUM241" s="15"/>
      <c r="NUN241" s="10"/>
      <c r="NUO241" s="10"/>
      <c r="NUP241" s="19"/>
      <c r="NUQ241" s="19"/>
      <c r="NUT241" s="16"/>
      <c r="NUU241" s="15"/>
      <c r="NUV241" s="15"/>
      <c r="NUW241" s="15"/>
      <c r="NUX241" s="16"/>
      <c r="NUY241" s="16"/>
      <c r="NUZ241" s="16"/>
      <c r="NVA241" s="16"/>
      <c r="NVB241" s="16"/>
      <c r="NVC241" s="15"/>
      <c r="NVD241" s="15"/>
      <c r="NVE241" s="10"/>
      <c r="NVF241" s="10"/>
      <c r="NVG241" s="19"/>
      <c r="NVH241" s="19"/>
      <c r="NVK241" s="16"/>
      <c r="NVL241" s="15"/>
      <c r="NVM241" s="15"/>
      <c r="NVN241" s="15"/>
      <c r="NVO241" s="16"/>
      <c r="NVP241" s="16"/>
      <c r="NVQ241" s="16"/>
      <c r="NVR241" s="16"/>
      <c r="NVS241" s="16"/>
      <c r="NVT241" s="15"/>
      <c r="NVU241" s="15"/>
      <c r="NVV241" s="10"/>
      <c r="NVW241" s="10"/>
      <c r="NVX241" s="19"/>
      <c r="NVY241" s="19"/>
      <c r="NWB241" s="16"/>
      <c r="NWC241" s="15"/>
      <c r="NWD241" s="15"/>
      <c r="NWE241" s="15"/>
      <c r="NWF241" s="16"/>
      <c r="NWG241" s="16"/>
      <c r="NWH241" s="16"/>
      <c r="NWI241" s="16"/>
      <c r="NWJ241" s="16"/>
      <c r="NWK241" s="15"/>
      <c r="NWL241" s="15"/>
      <c r="NWM241" s="10"/>
      <c r="NWN241" s="10"/>
      <c r="NWO241" s="19"/>
      <c r="NWP241" s="19"/>
      <c r="NWS241" s="16"/>
      <c r="NWT241" s="15"/>
      <c r="NWU241" s="15"/>
      <c r="NWV241" s="15"/>
      <c r="NWW241" s="16"/>
      <c r="NWX241" s="16"/>
      <c r="NWY241" s="16"/>
      <c r="NWZ241" s="16"/>
      <c r="NXA241" s="16"/>
      <c r="NXB241" s="15"/>
      <c r="NXC241" s="15"/>
      <c r="NXD241" s="10"/>
      <c r="NXE241" s="10"/>
      <c r="NXF241" s="19"/>
      <c r="NXG241" s="19"/>
      <c r="NXJ241" s="16"/>
      <c r="NXK241" s="15"/>
      <c r="NXL241" s="15"/>
      <c r="NXM241" s="15"/>
      <c r="NXN241" s="16"/>
      <c r="NXO241" s="16"/>
      <c r="NXP241" s="16"/>
      <c r="NXQ241" s="16"/>
      <c r="NXR241" s="16"/>
      <c r="NXS241" s="15"/>
      <c r="NXT241" s="15"/>
      <c r="NXU241" s="10"/>
      <c r="NXV241" s="10"/>
      <c r="NXW241" s="19"/>
      <c r="NXX241" s="19"/>
      <c r="NYA241" s="16"/>
      <c r="NYB241" s="15"/>
      <c r="NYC241" s="15"/>
      <c r="NYD241" s="15"/>
      <c r="NYE241" s="16"/>
      <c r="NYF241" s="16"/>
      <c r="NYG241" s="16"/>
      <c r="NYH241" s="16"/>
      <c r="NYI241" s="16"/>
      <c r="NYJ241" s="15"/>
      <c r="NYK241" s="15"/>
      <c r="NYL241" s="10"/>
      <c r="NYM241" s="10"/>
      <c r="NYN241" s="19"/>
      <c r="NYO241" s="19"/>
      <c r="NYR241" s="16"/>
      <c r="NYS241" s="15"/>
      <c r="NYT241" s="15"/>
      <c r="NYU241" s="15"/>
      <c r="NYV241" s="16"/>
      <c r="NYW241" s="16"/>
      <c r="NYX241" s="16"/>
      <c r="NYY241" s="16"/>
      <c r="NYZ241" s="16"/>
      <c r="NZA241" s="15"/>
      <c r="NZB241" s="15"/>
      <c r="NZC241" s="10"/>
      <c r="NZD241" s="10"/>
      <c r="NZE241" s="19"/>
      <c r="NZF241" s="19"/>
      <c r="NZI241" s="16"/>
      <c r="NZJ241" s="15"/>
      <c r="NZK241" s="15"/>
      <c r="NZL241" s="15"/>
      <c r="NZM241" s="16"/>
      <c r="NZN241" s="16"/>
      <c r="NZO241" s="16"/>
      <c r="NZP241" s="16"/>
      <c r="NZQ241" s="16"/>
      <c r="NZR241" s="15"/>
      <c r="NZS241" s="15"/>
      <c r="NZT241" s="10"/>
      <c r="NZU241" s="10"/>
      <c r="NZV241" s="19"/>
      <c r="NZW241" s="19"/>
      <c r="NZZ241" s="16"/>
      <c r="OAA241" s="15"/>
      <c r="OAB241" s="15"/>
      <c r="OAC241" s="15"/>
      <c r="OAD241" s="16"/>
      <c r="OAE241" s="16"/>
      <c r="OAF241" s="16"/>
      <c r="OAG241" s="16"/>
      <c r="OAH241" s="16"/>
      <c r="OAI241" s="15"/>
      <c r="OAJ241" s="15"/>
      <c r="OAK241" s="10"/>
      <c r="OAL241" s="10"/>
      <c r="OAM241" s="19"/>
      <c r="OAN241" s="19"/>
      <c r="OAQ241" s="16"/>
      <c r="OAR241" s="15"/>
      <c r="OAS241" s="15"/>
      <c r="OAT241" s="15"/>
      <c r="OAU241" s="16"/>
      <c r="OAV241" s="16"/>
      <c r="OAW241" s="16"/>
      <c r="OAX241" s="16"/>
      <c r="OAY241" s="16"/>
      <c r="OAZ241" s="15"/>
      <c r="OBA241" s="15"/>
      <c r="OBB241" s="10"/>
      <c r="OBC241" s="10"/>
      <c r="OBD241" s="19"/>
      <c r="OBE241" s="19"/>
      <c r="OBH241" s="16"/>
      <c r="OBI241" s="15"/>
      <c r="OBJ241" s="15"/>
      <c r="OBK241" s="15"/>
      <c r="OBL241" s="16"/>
      <c r="OBM241" s="16"/>
      <c r="OBN241" s="16"/>
      <c r="OBO241" s="16"/>
      <c r="OBP241" s="16"/>
      <c r="OBQ241" s="15"/>
      <c r="OBR241" s="15"/>
      <c r="OBS241" s="10"/>
      <c r="OBT241" s="10"/>
      <c r="OBU241" s="19"/>
      <c r="OBV241" s="19"/>
      <c r="OBY241" s="16"/>
      <c r="OBZ241" s="15"/>
      <c r="OCA241" s="15"/>
      <c r="OCB241" s="15"/>
      <c r="OCC241" s="16"/>
      <c r="OCD241" s="16"/>
      <c r="OCE241" s="16"/>
      <c r="OCF241" s="16"/>
      <c r="OCG241" s="16"/>
      <c r="OCH241" s="15"/>
      <c r="OCI241" s="15"/>
      <c r="OCJ241" s="10"/>
      <c r="OCK241" s="10"/>
      <c r="OCL241" s="19"/>
      <c r="OCM241" s="19"/>
      <c r="OCP241" s="16"/>
      <c r="OCQ241" s="15"/>
      <c r="OCR241" s="15"/>
      <c r="OCS241" s="15"/>
      <c r="OCT241" s="16"/>
      <c r="OCU241" s="16"/>
      <c r="OCV241" s="16"/>
      <c r="OCW241" s="16"/>
      <c r="OCX241" s="16"/>
      <c r="OCY241" s="15"/>
      <c r="OCZ241" s="15"/>
      <c r="ODA241" s="10"/>
      <c r="ODB241" s="10"/>
      <c r="ODC241" s="19"/>
      <c r="ODD241" s="19"/>
      <c r="ODG241" s="16"/>
      <c r="ODH241" s="15"/>
      <c r="ODI241" s="15"/>
      <c r="ODJ241" s="15"/>
      <c r="ODK241" s="16"/>
      <c r="ODL241" s="16"/>
      <c r="ODM241" s="16"/>
      <c r="ODN241" s="16"/>
      <c r="ODO241" s="16"/>
      <c r="ODP241" s="15"/>
      <c r="ODQ241" s="15"/>
      <c r="ODR241" s="10"/>
      <c r="ODS241" s="10"/>
      <c r="ODT241" s="19"/>
      <c r="ODU241" s="19"/>
      <c r="ODX241" s="16"/>
      <c r="ODY241" s="15"/>
      <c r="ODZ241" s="15"/>
      <c r="OEA241" s="15"/>
      <c r="OEB241" s="16"/>
      <c r="OEC241" s="16"/>
      <c r="OED241" s="16"/>
      <c r="OEE241" s="16"/>
      <c r="OEF241" s="16"/>
      <c r="OEG241" s="15"/>
      <c r="OEH241" s="15"/>
      <c r="OEI241" s="10"/>
      <c r="OEJ241" s="10"/>
      <c r="OEK241" s="19"/>
      <c r="OEL241" s="19"/>
      <c r="OEO241" s="16"/>
      <c r="OEP241" s="15"/>
      <c r="OEQ241" s="15"/>
      <c r="OER241" s="15"/>
      <c r="OES241" s="16"/>
      <c r="OET241" s="16"/>
      <c r="OEU241" s="16"/>
      <c r="OEV241" s="16"/>
      <c r="OEW241" s="16"/>
      <c r="OEX241" s="15"/>
      <c r="OEY241" s="15"/>
      <c r="OEZ241" s="10"/>
      <c r="OFA241" s="10"/>
      <c r="OFB241" s="19"/>
      <c r="OFC241" s="19"/>
      <c r="OFF241" s="16"/>
      <c r="OFG241" s="15"/>
      <c r="OFH241" s="15"/>
      <c r="OFI241" s="15"/>
      <c r="OFJ241" s="16"/>
      <c r="OFK241" s="16"/>
      <c r="OFL241" s="16"/>
      <c r="OFM241" s="16"/>
      <c r="OFN241" s="16"/>
      <c r="OFO241" s="15"/>
      <c r="OFP241" s="15"/>
      <c r="OFQ241" s="10"/>
      <c r="OFR241" s="10"/>
      <c r="OFS241" s="19"/>
      <c r="OFT241" s="19"/>
      <c r="OFW241" s="16"/>
      <c r="OFX241" s="15"/>
      <c r="OFY241" s="15"/>
      <c r="OFZ241" s="15"/>
      <c r="OGA241" s="16"/>
      <c r="OGB241" s="16"/>
      <c r="OGC241" s="16"/>
      <c r="OGD241" s="16"/>
      <c r="OGE241" s="16"/>
      <c r="OGF241" s="15"/>
      <c r="OGG241" s="15"/>
      <c r="OGH241" s="10"/>
      <c r="OGI241" s="10"/>
      <c r="OGJ241" s="19"/>
      <c r="OGK241" s="19"/>
      <c r="OGN241" s="16"/>
      <c r="OGO241" s="15"/>
      <c r="OGP241" s="15"/>
      <c r="OGQ241" s="15"/>
      <c r="OGR241" s="16"/>
      <c r="OGS241" s="16"/>
      <c r="OGT241" s="16"/>
      <c r="OGU241" s="16"/>
      <c r="OGV241" s="16"/>
      <c r="OGW241" s="15"/>
      <c r="OGX241" s="15"/>
      <c r="OGY241" s="10"/>
      <c r="OGZ241" s="10"/>
      <c r="OHA241" s="19"/>
      <c r="OHB241" s="19"/>
      <c r="OHE241" s="16"/>
      <c r="OHF241" s="15"/>
      <c r="OHG241" s="15"/>
      <c r="OHH241" s="15"/>
      <c r="OHI241" s="16"/>
      <c r="OHJ241" s="16"/>
      <c r="OHK241" s="16"/>
      <c r="OHL241" s="16"/>
      <c r="OHM241" s="16"/>
      <c r="OHN241" s="15"/>
      <c r="OHO241" s="15"/>
      <c r="OHP241" s="10"/>
      <c r="OHQ241" s="10"/>
      <c r="OHR241" s="19"/>
      <c r="OHS241" s="19"/>
      <c r="OHV241" s="16"/>
      <c r="OHW241" s="15"/>
      <c r="OHX241" s="15"/>
      <c r="OHY241" s="15"/>
      <c r="OHZ241" s="16"/>
      <c r="OIA241" s="16"/>
      <c r="OIB241" s="16"/>
      <c r="OIC241" s="16"/>
      <c r="OID241" s="16"/>
      <c r="OIE241" s="15"/>
      <c r="OIF241" s="15"/>
      <c r="OIG241" s="10"/>
      <c r="OIH241" s="10"/>
      <c r="OII241" s="19"/>
      <c r="OIJ241" s="19"/>
      <c r="OIM241" s="16"/>
      <c r="OIN241" s="15"/>
      <c r="OIO241" s="15"/>
      <c r="OIP241" s="15"/>
      <c r="OIQ241" s="16"/>
      <c r="OIR241" s="16"/>
      <c r="OIS241" s="16"/>
      <c r="OIT241" s="16"/>
      <c r="OIU241" s="16"/>
      <c r="OIV241" s="15"/>
      <c r="OIW241" s="15"/>
      <c r="OIX241" s="10"/>
      <c r="OIY241" s="10"/>
      <c r="OIZ241" s="19"/>
      <c r="OJA241" s="19"/>
      <c r="OJD241" s="16"/>
      <c r="OJE241" s="15"/>
      <c r="OJF241" s="15"/>
      <c r="OJG241" s="15"/>
      <c r="OJH241" s="16"/>
      <c r="OJI241" s="16"/>
      <c r="OJJ241" s="16"/>
      <c r="OJK241" s="16"/>
      <c r="OJL241" s="16"/>
      <c r="OJM241" s="15"/>
      <c r="OJN241" s="15"/>
      <c r="OJO241" s="10"/>
      <c r="OJP241" s="10"/>
      <c r="OJQ241" s="19"/>
      <c r="OJR241" s="19"/>
      <c r="OJU241" s="16"/>
      <c r="OJV241" s="15"/>
      <c r="OJW241" s="15"/>
      <c r="OJX241" s="15"/>
      <c r="OJY241" s="16"/>
      <c r="OJZ241" s="16"/>
      <c r="OKA241" s="16"/>
      <c r="OKB241" s="16"/>
      <c r="OKC241" s="16"/>
      <c r="OKD241" s="15"/>
      <c r="OKE241" s="15"/>
      <c r="OKF241" s="10"/>
      <c r="OKG241" s="10"/>
      <c r="OKH241" s="19"/>
      <c r="OKI241" s="19"/>
      <c r="OKL241" s="16"/>
      <c r="OKM241" s="15"/>
      <c r="OKN241" s="15"/>
      <c r="OKO241" s="15"/>
      <c r="OKP241" s="16"/>
      <c r="OKQ241" s="16"/>
      <c r="OKR241" s="16"/>
      <c r="OKS241" s="16"/>
      <c r="OKT241" s="16"/>
      <c r="OKU241" s="15"/>
      <c r="OKV241" s="15"/>
      <c r="OKW241" s="10"/>
      <c r="OKX241" s="10"/>
      <c r="OKY241" s="19"/>
      <c r="OKZ241" s="19"/>
      <c r="OLC241" s="16"/>
      <c r="OLD241" s="15"/>
      <c r="OLE241" s="15"/>
      <c r="OLF241" s="15"/>
      <c r="OLG241" s="16"/>
      <c r="OLH241" s="16"/>
      <c r="OLI241" s="16"/>
      <c r="OLJ241" s="16"/>
      <c r="OLK241" s="16"/>
      <c r="OLL241" s="15"/>
      <c r="OLM241" s="15"/>
      <c r="OLN241" s="10"/>
      <c r="OLO241" s="10"/>
      <c r="OLP241" s="19"/>
      <c r="OLQ241" s="19"/>
      <c r="OLT241" s="16"/>
      <c r="OLU241" s="15"/>
      <c r="OLV241" s="15"/>
      <c r="OLW241" s="15"/>
      <c r="OLX241" s="16"/>
      <c r="OLY241" s="16"/>
      <c r="OLZ241" s="16"/>
      <c r="OMA241" s="16"/>
      <c r="OMB241" s="16"/>
      <c r="OMC241" s="15"/>
      <c r="OMD241" s="15"/>
      <c r="OME241" s="10"/>
      <c r="OMF241" s="10"/>
      <c r="OMG241" s="19"/>
      <c r="OMH241" s="19"/>
      <c r="OMK241" s="16"/>
      <c r="OML241" s="15"/>
      <c r="OMM241" s="15"/>
      <c r="OMN241" s="15"/>
      <c r="OMO241" s="16"/>
      <c r="OMP241" s="16"/>
      <c r="OMQ241" s="16"/>
      <c r="OMR241" s="16"/>
      <c r="OMS241" s="16"/>
      <c r="OMT241" s="15"/>
      <c r="OMU241" s="15"/>
      <c r="OMV241" s="10"/>
      <c r="OMW241" s="10"/>
      <c r="OMX241" s="19"/>
      <c r="OMY241" s="19"/>
      <c r="ONB241" s="16"/>
      <c r="ONC241" s="15"/>
      <c r="OND241" s="15"/>
      <c r="ONE241" s="15"/>
      <c r="ONF241" s="16"/>
      <c r="ONG241" s="16"/>
      <c r="ONH241" s="16"/>
      <c r="ONI241" s="16"/>
      <c r="ONJ241" s="16"/>
      <c r="ONK241" s="15"/>
      <c r="ONL241" s="15"/>
      <c r="ONM241" s="10"/>
      <c r="ONN241" s="10"/>
      <c r="ONO241" s="19"/>
      <c r="ONP241" s="19"/>
      <c r="ONS241" s="16"/>
      <c r="ONT241" s="15"/>
      <c r="ONU241" s="15"/>
      <c r="ONV241" s="15"/>
      <c r="ONW241" s="16"/>
      <c r="ONX241" s="16"/>
      <c r="ONY241" s="16"/>
      <c r="ONZ241" s="16"/>
      <c r="OOA241" s="16"/>
      <c r="OOB241" s="15"/>
      <c r="OOC241" s="15"/>
      <c r="OOD241" s="10"/>
      <c r="OOE241" s="10"/>
      <c r="OOF241" s="19"/>
      <c r="OOG241" s="19"/>
      <c r="OOJ241" s="16"/>
      <c r="OOK241" s="15"/>
      <c r="OOL241" s="15"/>
      <c r="OOM241" s="15"/>
      <c r="OON241" s="16"/>
      <c r="OOO241" s="16"/>
      <c r="OOP241" s="16"/>
      <c r="OOQ241" s="16"/>
      <c r="OOR241" s="16"/>
      <c r="OOS241" s="15"/>
      <c r="OOT241" s="15"/>
      <c r="OOU241" s="10"/>
      <c r="OOV241" s="10"/>
      <c r="OOW241" s="19"/>
      <c r="OOX241" s="19"/>
      <c r="OPA241" s="16"/>
      <c r="OPB241" s="15"/>
      <c r="OPC241" s="15"/>
      <c r="OPD241" s="15"/>
      <c r="OPE241" s="16"/>
      <c r="OPF241" s="16"/>
      <c r="OPG241" s="16"/>
      <c r="OPH241" s="16"/>
      <c r="OPI241" s="16"/>
      <c r="OPJ241" s="15"/>
      <c r="OPK241" s="15"/>
      <c r="OPL241" s="10"/>
      <c r="OPM241" s="10"/>
      <c r="OPN241" s="19"/>
      <c r="OPO241" s="19"/>
      <c r="OPR241" s="16"/>
      <c r="OPS241" s="15"/>
      <c r="OPT241" s="15"/>
      <c r="OPU241" s="15"/>
      <c r="OPV241" s="16"/>
      <c r="OPW241" s="16"/>
      <c r="OPX241" s="16"/>
      <c r="OPY241" s="16"/>
      <c r="OPZ241" s="16"/>
      <c r="OQA241" s="15"/>
      <c r="OQB241" s="15"/>
      <c r="OQC241" s="10"/>
      <c r="OQD241" s="10"/>
      <c r="OQE241" s="19"/>
      <c r="OQF241" s="19"/>
      <c r="OQI241" s="16"/>
      <c r="OQJ241" s="15"/>
      <c r="OQK241" s="15"/>
      <c r="OQL241" s="15"/>
      <c r="OQM241" s="16"/>
      <c r="OQN241" s="16"/>
      <c r="OQO241" s="16"/>
      <c r="OQP241" s="16"/>
      <c r="OQQ241" s="16"/>
      <c r="OQR241" s="15"/>
      <c r="OQS241" s="15"/>
      <c r="OQT241" s="10"/>
      <c r="OQU241" s="10"/>
      <c r="OQV241" s="19"/>
      <c r="OQW241" s="19"/>
      <c r="OQZ241" s="16"/>
      <c r="ORA241" s="15"/>
      <c r="ORB241" s="15"/>
      <c r="ORC241" s="15"/>
      <c r="ORD241" s="16"/>
      <c r="ORE241" s="16"/>
      <c r="ORF241" s="16"/>
      <c r="ORG241" s="16"/>
      <c r="ORH241" s="16"/>
      <c r="ORI241" s="15"/>
      <c r="ORJ241" s="15"/>
      <c r="ORK241" s="10"/>
      <c r="ORL241" s="10"/>
      <c r="ORM241" s="19"/>
      <c r="ORN241" s="19"/>
      <c r="ORQ241" s="16"/>
      <c r="ORR241" s="15"/>
      <c r="ORS241" s="15"/>
      <c r="ORT241" s="15"/>
      <c r="ORU241" s="16"/>
      <c r="ORV241" s="16"/>
      <c r="ORW241" s="16"/>
      <c r="ORX241" s="16"/>
      <c r="ORY241" s="16"/>
      <c r="ORZ241" s="15"/>
      <c r="OSA241" s="15"/>
      <c r="OSB241" s="10"/>
      <c r="OSC241" s="10"/>
      <c r="OSD241" s="19"/>
      <c r="OSE241" s="19"/>
      <c r="OSH241" s="16"/>
      <c r="OSI241" s="15"/>
      <c r="OSJ241" s="15"/>
      <c r="OSK241" s="15"/>
      <c r="OSL241" s="16"/>
      <c r="OSM241" s="16"/>
      <c r="OSN241" s="16"/>
      <c r="OSO241" s="16"/>
      <c r="OSP241" s="16"/>
      <c r="OSQ241" s="15"/>
      <c r="OSR241" s="15"/>
      <c r="OSS241" s="10"/>
      <c r="OST241" s="10"/>
      <c r="OSU241" s="19"/>
      <c r="OSV241" s="19"/>
      <c r="OSY241" s="16"/>
      <c r="OSZ241" s="15"/>
      <c r="OTA241" s="15"/>
      <c r="OTB241" s="15"/>
      <c r="OTC241" s="16"/>
      <c r="OTD241" s="16"/>
      <c r="OTE241" s="16"/>
      <c r="OTF241" s="16"/>
      <c r="OTG241" s="16"/>
      <c r="OTH241" s="15"/>
      <c r="OTI241" s="15"/>
      <c r="OTJ241" s="10"/>
      <c r="OTK241" s="10"/>
      <c r="OTL241" s="19"/>
      <c r="OTM241" s="19"/>
      <c r="OTP241" s="16"/>
      <c r="OTQ241" s="15"/>
      <c r="OTR241" s="15"/>
      <c r="OTS241" s="15"/>
      <c r="OTT241" s="16"/>
      <c r="OTU241" s="16"/>
      <c r="OTV241" s="16"/>
      <c r="OTW241" s="16"/>
      <c r="OTX241" s="16"/>
      <c r="OTY241" s="15"/>
      <c r="OTZ241" s="15"/>
      <c r="OUA241" s="10"/>
      <c r="OUB241" s="10"/>
      <c r="OUC241" s="19"/>
      <c r="OUD241" s="19"/>
      <c r="OUG241" s="16"/>
      <c r="OUH241" s="15"/>
      <c r="OUI241" s="15"/>
      <c r="OUJ241" s="15"/>
      <c r="OUK241" s="16"/>
      <c r="OUL241" s="16"/>
      <c r="OUM241" s="16"/>
      <c r="OUN241" s="16"/>
      <c r="OUO241" s="16"/>
      <c r="OUP241" s="15"/>
      <c r="OUQ241" s="15"/>
      <c r="OUR241" s="10"/>
      <c r="OUS241" s="10"/>
      <c r="OUT241" s="19"/>
      <c r="OUU241" s="19"/>
      <c r="OUX241" s="16"/>
      <c r="OUY241" s="15"/>
      <c r="OUZ241" s="15"/>
      <c r="OVA241" s="15"/>
      <c r="OVB241" s="16"/>
      <c r="OVC241" s="16"/>
      <c r="OVD241" s="16"/>
      <c r="OVE241" s="16"/>
      <c r="OVF241" s="16"/>
      <c r="OVG241" s="15"/>
      <c r="OVH241" s="15"/>
      <c r="OVI241" s="10"/>
      <c r="OVJ241" s="10"/>
      <c r="OVK241" s="19"/>
      <c r="OVL241" s="19"/>
      <c r="OVO241" s="16"/>
      <c r="OVP241" s="15"/>
      <c r="OVQ241" s="15"/>
      <c r="OVR241" s="15"/>
      <c r="OVS241" s="16"/>
      <c r="OVT241" s="16"/>
      <c r="OVU241" s="16"/>
      <c r="OVV241" s="16"/>
      <c r="OVW241" s="16"/>
      <c r="OVX241" s="15"/>
      <c r="OVY241" s="15"/>
      <c r="OVZ241" s="10"/>
      <c r="OWA241" s="10"/>
      <c r="OWB241" s="19"/>
      <c r="OWC241" s="19"/>
      <c r="OWF241" s="16"/>
      <c r="OWG241" s="15"/>
      <c r="OWH241" s="15"/>
      <c r="OWI241" s="15"/>
      <c r="OWJ241" s="16"/>
      <c r="OWK241" s="16"/>
      <c r="OWL241" s="16"/>
      <c r="OWM241" s="16"/>
      <c r="OWN241" s="16"/>
      <c r="OWO241" s="15"/>
      <c r="OWP241" s="15"/>
      <c r="OWQ241" s="10"/>
      <c r="OWR241" s="10"/>
      <c r="OWS241" s="19"/>
      <c r="OWT241" s="19"/>
      <c r="OWW241" s="16"/>
      <c r="OWX241" s="15"/>
      <c r="OWY241" s="15"/>
      <c r="OWZ241" s="15"/>
      <c r="OXA241" s="16"/>
      <c r="OXB241" s="16"/>
      <c r="OXC241" s="16"/>
      <c r="OXD241" s="16"/>
      <c r="OXE241" s="16"/>
      <c r="OXF241" s="15"/>
      <c r="OXG241" s="15"/>
      <c r="OXH241" s="10"/>
      <c r="OXI241" s="10"/>
      <c r="OXJ241" s="19"/>
      <c r="OXK241" s="19"/>
      <c r="OXN241" s="16"/>
      <c r="OXO241" s="15"/>
      <c r="OXP241" s="15"/>
      <c r="OXQ241" s="15"/>
      <c r="OXR241" s="16"/>
      <c r="OXS241" s="16"/>
      <c r="OXT241" s="16"/>
      <c r="OXU241" s="16"/>
      <c r="OXV241" s="16"/>
      <c r="OXW241" s="15"/>
      <c r="OXX241" s="15"/>
      <c r="OXY241" s="10"/>
      <c r="OXZ241" s="10"/>
      <c r="OYA241" s="19"/>
      <c r="OYB241" s="19"/>
      <c r="OYE241" s="16"/>
      <c r="OYF241" s="15"/>
      <c r="OYG241" s="15"/>
      <c r="OYH241" s="15"/>
      <c r="OYI241" s="16"/>
      <c r="OYJ241" s="16"/>
      <c r="OYK241" s="16"/>
      <c r="OYL241" s="16"/>
      <c r="OYM241" s="16"/>
      <c r="OYN241" s="15"/>
      <c r="OYO241" s="15"/>
      <c r="OYP241" s="10"/>
      <c r="OYQ241" s="10"/>
      <c r="OYR241" s="19"/>
      <c r="OYS241" s="19"/>
      <c r="OYV241" s="16"/>
      <c r="OYW241" s="15"/>
      <c r="OYX241" s="15"/>
      <c r="OYY241" s="15"/>
      <c r="OYZ241" s="16"/>
      <c r="OZA241" s="16"/>
      <c r="OZB241" s="16"/>
      <c r="OZC241" s="16"/>
      <c r="OZD241" s="16"/>
      <c r="OZE241" s="15"/>
      <c r="OZF241" s="15"/>
      <c r="OZG241" s="10"/>
      <c r="OZH241" s="10"/>
      <c r="OZI241" s="19"/>
      <c r="OZJ241" s="19"/>
      <c r="OZM241" s="16"/>
      <c r="OZN241" s="15"/>
      <c r="OZO241" s="15"/>
      <c r="OZP241" s="15"/>
      <c r="OZQ241" s="16"/>
      <c r="OZR241" s="16"/>
      <c r="OZS241" s="16"/>
      <c r="OZT241" s="16"/>
      <c r="OZU241" s="16"/>
      <c r="OZV241" s="15"/>
      <c r="OZW241" s="15"/>
      <c r="OZX241" s="10"/>
      <c r="OZY241" s="10"/>
      <c r="OZZ241" s="19"/>
      <c r="PAA241" s="19"/>
      <c r="PAD241" s="16"/>
      <c r="PAE241" s="15"/>
      <c r="PAF241" s="15"/>
      <c r="PAG241" s="15"/>
      <c r="PAH241" s="16"/>
      <c r="PAI241" s="16"/>
      <c r="PAJ241" s="16"/>
      <c r="PAK241" s="16"/>
      <c r="PAL241" s="16"/>
      <c r="PAM241" s="15"/>
      <c r="PAN241" s="15"/>
      <c r="PAO241" s="10"/>
      <c r="PAP241" s="10"/>
      <c r="PAQ241" s="19"/>
      <c r="PAR241" s="19"/>
      <c r="PAU241" s="16"/>
      <c r="PAV241" s="15"/>
      <c r="PAW241" s="15"/>
      <c r="PAX241" s="15"/>
      <c r="PAY241" s="16"/>
      <c r="PAZ241" s="16"/>
      <c r="PBA241" s="16"/>
      <c r="PBB241" s="16"/>
      <c r="PBC241" s="16"/>
      <c r="PBD241" s="15"/>
      <c r="PBE241" s="15"/>
      <c r="PBF241" s="10"/>
      <c r="PBG241" s="10"/>
      <c r="PBH241" s="19"/>
      <c r="PBI241" s="19"/>
      <c r="PBL241" s="16"/>
      <c r="PBM241" s="15"/>
      <c r="PBN241" s="15"/>
      <c r="PBO241" s="15"/>
      <c r="PBP241" s="16"/>
      <c r="PBQ241" s="16"/>
      <c r="PBR241" s="16"/>
      <c r="PBS241" s="16"/>
      <c r="PBT241" s="16"/>
      <c r="PBU241" s="15"/>
      <c r="PBV241" s="15"/>
      <c r="PBW241" s="10"/>
      <c r="PBX241" s="10"/>
      <c r="PBY241" s="19"/>
      <c r="PBZ241" s="19"/>
      <c r="PCC241" s="16"/>
      <c r="PCD241" s="15"/>
      <c r="PCE241" s="15"/>
      <c r="PCF241" s="15"/>
      <c r="PCG241" s="16"/>
      <c r="PCH241" s="16"/>
      <c r="PCI241" s="16"/>
      <c r="PCJ241" s="16"/>
      <c r="PCK241" s="16"/>
      <c r="PCL241" s="15"/>
      <c r="PCM241" s="15"/>
      <c r="PCN241" s="10"/>
      <c r="PCO241" s="10"/>
      <c r="PCP241" s="19"/>
      <c r="PCQ241" s="19"/>
      <c r="PCT241" s="16"/>
      <c r="PCU241" s="15"/>
      <c r="PCV241" s="15"/>
      <c r="PCW241" s="15"/>
      <c r="PCX241" s="16"/>
      <c r="PCY241" s="16"/>
      <c r="PCZ241" s="16"/>
      <c r="PDA241" s="16"/>
      <c r="PDB241" s="16"/>
      <c r="PDC241" s="15"/>
      <c r="PDD241" s="15"/>
      <c r="PDE241" s="10"/>
      <c r="PDF241" s="10"/>
      <c r="PDG241" s="19"/>
      <c r="PDH241" s="19"/>
      <c r="PDK241" s="16"/>
      <c r="PDL241" s="15"/>
      <c r="PDM241" s="15"/>
      <c r="PDN241" s="15"/>
      <c r="PDO241" s="16"/>
      <c r="PDP241" s="16"/>
      <c r="PDQ241" s="16"/>
      <c r="PDR241" s="16"/>
      <c r="PDS241" s="16"/>
      <c r="PDT241" s="15"/>
      <c r="PDU241" s="15"/>
      <c r="PDV241" s="10"/>
      <c r="PDW241" s="10"/>
      <c r="PDX241" s="19"/>
      <c r="PDY241" s="19"/>
      <c r="PEB241" s="16"/>
      <c r="PEC241" s="15"/>
      <c r="PED241" s="15"/>
      <c r="PEE241" s="15"/>
      <c r="PEF241" s="16"/>
      <c r="PEG241" s="16"/>
      <c r="PEH241" s="16"/>
      <c r="PEI241" s="16"/>
      <c r="PEJ241" s="16"/>
      <c r="PEK241" s="15"/>
      <c r="PEL241" s="15"/>
      <c r="PEM241" s="10"/>
      <c r="PEN241" s="10"/>
      <c r="PEO241" s="19"/>
      <c r="PEP241" s="19"/>
      <c r="PES241" s="16"/>
      <c r="PET241" s="15"/>
      <c r="PEU241" s="15"/>
      <c r="PEV241" s="15"/>
      <c r="PEW241" s="16"/>
      <c r="PEX241" s="16"/>
      <c r="PEY241" s="16"/>
      <c r="PEZ241" s="16"/>
      <c r="PFA241" s="16"/>
      <c r="PFB241" s="15"/>
      <c r="PFC241" s="15"/>
      <c r="PFD241" s="10"/>
      <c r="PFE241" s="10"/>
      <c r="PFF241" s="19"/>
      <c r="PFG241" s="19"/>
      <c r="PFJ241" s="16"/>
      <c r="PFK241" s="15"/>
      <c r="PFL241" s="15"/>
      <c r="PFM241" s="15"/>
      <c r="PFN241" s="16"/>
      <c r="PFO241" s="16"/>
      <c r="PFP241" s="16"/>
      <c r="PFQ241" s="16"/>
      <c r="PFR241" s="16"/>
      <c r="PFS241" s="15"/>
      <c r="PFT241" s="15"/>
      <c r="PFU241" s="10"/>
      <c r="PFV241" s="10"/>
      <c r="PFW241" s="19"/>
      <c r="PFX241" s="19"/>
      <c r="PGA241" s="16"/>
      <c r="PGB241" s="15"/>
      <c r="PGC241" s="15"/>
      <c r="PGD241" s="15"/>
      <c r="PGE241" s="16"/>
      <c r="PGF241" s="16"/>
      <c r="PGG241" s="16"/>
      <c r="PGH241" s="16"/>
      <c r="PGI241" s="16"/>
      <c r="PGJ241" s="15"/>
      <c r="PGK241" s="15"/>
      <c r="PGL241" s="10"/>
      <c r="PGM241" s="10"/>
      <c r="PGN241" s="19"/>
      <c r="PGO241" s="19"/>
      <c r="PGR241" s="16"/>
      <c r="PGS241" s="15"/>
      <c r="PGT241" s="15"/>
      <c r="PGU241" s="15"/>
      <c r="PGV241" s="16"/>
      <c r="PGW241" s="16"/>
      <c r="PGX241" s="16"/>
      <c r="PGY241" s="16"/>
      <c r="PGZ241" s="16"/>
      <c r="PHA241" s="15"/>
      <c r="PHB241" s="15"/>
      <c r="PHC241" s="10"/>
      <c r="PHD241" s="10"/>
      <c r="PHE241" s="19"/>
      <c r="PHF241" s="19"/>
      <c r="PHI241" s="16"/>
      <c r="PHJ241" s="15"/>
      <c r="PHK241" s="15"/>
      <c r="PHL241" s="15"/>
      <c r="PHM241" s="16"/>
      <c r="PHN241" s="16"/>
      <c r="PHO241" s="16"/>
      <c r="PHP241" s="16"/>
      <c r="PHQ241" s="16"/>
      <c r="PHR241" s="15"/>
      <c r="PHS241" s="15"/>
      <c r="PHT241" s="10"/>
      <c r="PHU241" s="10"/>
      <c r="PHV241" s="19"/>
      <c r="PHW241" s="19"/>
      <c r="PHZ241" s="16"/>
      <c r="PIA241" s="15"/>
      <c r="PIB241" s="15"/>
      <c r="PIC241" s="15"/>
      <c r="PID241" s="16"/>
      <c r="PIE241" s="16"/>
      <c r="PIF241" s="16"/>
      <c r="PIG241" s="16"/>
      <c r="PIH241" s="16"/>
      <c r="PII241" s="15"/>
      <c r="PIJ241" s="15"/>
      <c r="PIK241" s="10"/>
      <c r="PIL241" s="10"/>
      <c r="PIM241" s="19"/>
      <c r="PIN241" s="19"/>
      <c r="PIQ241" s="16"/>
      <c r="PIR241" s="15"/>
      <c r="PIS241" s="15"/>
      <c r="PIT241" s="15"/>
      <c r="PIU241" s="16"/>
      <c r="PIV241" s="16"/>
      <c r="PIW241" s="16"/>
      <c r="PIX241" s="16"/>
      <c r="PIY241" s="16"/>
      <c r="PIZ241" s="15"/>
      <c r="PJA241" s="15"/>
      <c r="PJB241" s="10"/>
      <c r="PJC241" s="10"/>
      <c r="PJD241" s="19"/>
      <c r="PJE241" s="19"/>
      <c r="PJH241" s="16"/>
      <c r="PJI241" s="15"/>
      <c r="PJJ241" s="15"/>
      <c r="PJK241" s="15"/>
      <c r="PJL241" s="16"/>
      <c r="PJM241" s="16"/>
      <c r="PJN241" s="16"/>
      <c r="PJO241" s="16"/>
      <c r="PJP241" s="16"/>
      <c r="PJQ241" s="15"/>
      <c r="PJR241" s="15"/>
      <c r="PJS241" s="10"/>
      <c r="PJT241" s="10"/>
      <c r="PJU241" s="19"/>
      <c r="PJV241" s="19"/>
      <c r="PJY241" s="16"/>
      <c r="PJZ241" s="15"/>
      <c r="PKA241" s="15"/>
      <c r="PKB241" s="15"/>
      <c r="PKC241" s="16"/>
      <c r="PKD241" s="16"/>
      <c r="PKE241" s="16"/>
      <c r="PKF241" s="16"/>
      <c r="PKG241" s="16"/>
      <c r="PKH241" s="15"/>
      <c r="PKI241" s="15"/>
      <c r="PKJ241" s="10"/>
      <c r="PKK241" s="10"/>
      <c r="PKL241" s="19"/>
      <c r="PKM241" s="19"/>
      <c r="PKP241" s="16"/>
      <c r="PKQ241" s="15"/>
      <c r="PKR241" s="15"/>
      <c r="PKS241" s="15"/>
      <c r="PKT241" s="16"/>
      <c r="PKU241" s="16"/>
      <c r="PKV241" s="16"/>
      <c r="PKW241" s="16"/>
      <c r="PKX241" s="16"/>
      <c r="PKY241" s="15"/>
      <c r="PKZ241" s="15"/>
      <c r="PLA241" s="10"/>
      <c r="PLB241" s="10"/>
      <c r="PLC241" s="19"/>
      <c r="PLD241" s="19"/>
      <c r="PLG241" s="16"/>
      <c r="PLH241" s="15"/>
      <c r="PLI241" s="15"/>
      <c r="PLJ241" s="15"/>
      <c r="PLK241" s="16"/>
      <c r="PLL241" s="16"/>
      <c r="PLM241" s="16"/>
      <c r="PLN241" s="16"/>
      <c r="PLO241" s="16"/>
      <c r="PLP241" s="15"/>
      <c r="PLQ241" s="15"/>
      <c r="PLR241" s="10"/>
      <c r="PLS241" s="10"/>
      <c r="PLT241" s="19"/>
      <c r="PLU241" s="19"/>
      <c r="PLX241" s="16"/>
      <c r="PLY241" s="15"/>
      <c r="PLZ241" s="15"/>
      <c r="PMA241" s="15"/>
      <c r="PMB241" s="16"/>
      <c r="PMC241" s="16"/>
      <c r="PMD241" s="16"/>
      <c r="PME241" s="16"/>
      <c r="PMF241" s="16"/>
      <c r="PMG241" s="15"/>
      <c r="PMH241" s="15"/>
      <c r="PMI241" s="10"/>
      <c r="PMJ241" s="10"/>
      <c r="PMK241" s="19"/>
      <c r="PML241" s="19"/>
      <c r="PMO241" s="16"/>
      <c r="PMP241" s="15"/>
      <c r="PMQ241" s="15"/>
      <c r="PMR241" s="15"/>
      <c r="PMS241" s="16"/>
      <c r="PMT241" s="16"/>
      <c r="PMU241" s="16"/>
      <c r="PMV241" s="16"/>
      <c r="PMW241" s="16"/>
      <c r="PMX241" s="15"/>
      <c r="PMY241" s="15"/>
      <c r="PMZ241" s="10"/>
      <c r="PNA241" s="10"/>
      <c r="PNB241" s="19"/>
      <c r="PNC241" s="19"/>
      <c r="PNF241" s="16"/>
      <c r="PNG241" s="15"/>
      <c r="PNH241" s="15"/>
      <c r="PNI241" s="15"/>
      <c r="PNJ241" s="16"/>
      <c r="PNK241" s="16"/>
      <c r="PNL241" s="16"/>
      <c r="PNM241" s="16"/>
      <c r="PNN241" s="16"/>
      <c r="PNO241" s="15"/>
      <c r="PNP241" s="15"/>
      <c r="PNQ241" s="10"/>
      <c r="PNR241" s="10"/>
      <c r="PNS241" s="19"/>
      <c r="PNT241" s="19"/>
      <c r="PNW241" s="16"/>
      <c r="PNX241" s="15"/>
      <c r="PNY241" s="15"/>
      <c r="PNZ241" s="15"/>
      <c r="POA241" s="16"/>
      <c r="POB241" s="16"/>
      <c r="POC241" s="16"/>
      <c r="POD241" s="16"/>
      <c r="POE241" s="16"/>
      <c r="POF241" s="15"/>
      <c r="POG241" s="15"/>
      <c r="POH241" s="10"/>
      <c r="POI241" s="10"/>
      <c r="POJ241" s="19"/>
      <c r="POK241" s="19"/>
      <c r="PON241" s="16"/>
      <c r="POO241" s="15"/>
      <c r="POP241" s="15"/>
      <c r="POQ241" s="15"/>
      <c r="POR241" s="16"/>
      <c r="POS241" s="16"/>
      <c r="POT241" s="16"/>
      <c r="POU241" s="16"/>
      <c r="POV241" s="16"/>
      <c r="POW241" s="15"/>
      <c r="POX241" s="15"/>
      <c r="POY241" s="10"/>
      <c r="POZ241" s="10"/>
      <c r="PPA241" s="19"/>
      <c r="PPB241" s="19"/>
      <c r="PPE241" s="16"/>
      <c r="PPF241" s="15"/>
      <c r="PPG241" s="15"/>
      <c r="PPH241" s="15"/>
      <c r="PPI241" s="16"/>
      <c r="PPJ241" s="16"/>
      <c r="PPK241" s="16"/>
      <c r="PPL241" s="16"/>
      <c r="PPM241" s="16"/>
      <c r="PPN241" s="15"/>
      <c r="PPO241" s="15"/>
      <c r="PPP241" s="10"/>
      <c r="PPQ241" s="10"/>
      <c r="PPR241" s="19"/>
      <c r="PPS241" s="19"/>
      <c r="PPV241" s="16"/>
      <c r="PPW241" s="15"/>
      <c r="PPX241" s="15"/>
      <c r="PPY241" s="15"/>
      <c r="PPZ241" s="16"/>
      <c r="PQA241" s="16"/>
      <c r="PQB241" s="16"/>
      <c r="PQC241" s="16"/>
      <c r="PQD241" s="16"/>
      <c r="PQE241" s="15"/>
      <c r="PQF241" s="15"/>
      <c r="PQG241" s="10"/>
      <c r="PQH241" s="10"/>
      <c r="PQI241" s="19"/>
      <c r="PQJ241" s="19"/>
      <c r="PQM241" s="16"/>
      <c r="PQN241" s="15"/>
      <c r="PQO241" s="15"/>
      <c r="PQP241" s="15"/>
      <c r="PQQ241" s="16"/>
      <c r="PQR241" s="16"/>
      <c r="PQS241" s="16"/>
      <c r="PQT241" s="16"/>
      <c r="PQU241" s="16"/>
      <c r="PQV241" s="15"/>
      <c r="PQW241" s="15"/>
      <c r="PQX241" s="10"/>
      <c r="PQY241" s="10"/>
      <c r="PQZ241" s="19"/>
      <c r="PRA241" s="19"/>
      <c r="PRD241" s="16"/>
      <c r="PRE241" s="15"/>
      <c r="PRF241" s="15"/>
      <c r="PRG241" s="15"/>
      <c r="PRH241" s="16"/>
      <c r="PRI241" s="16"/>
      <c r="PRJ241" s="16"/>
      <c r="PRK241" s="16"/>
      <c r="PRL241" s="16"/>
      <c r="PRM241" s="15"/>
      <c r="PRN241" s="15"/>
      <c r="PRO241" s="10"/>
      <c r="PRP241" s="10"/>
      <c r="PRQ241" s="19"/>
      <c r="PRR241" s="19"/>
      <c r="PRU241" s="16"/>
      <c r="PRV241" s="15"/>
      <c r="PRW241" s="15"/>
      <c r="PRX241" s="15"/>
      <c r="PRY241" s="16"/>
      <c r="PRZ241" s="16"/>
      <c r="PSA241" s="16"/>
      <c r="PSB241" s="16"/>
      <c r="PSC241" s="16"/>
      <c r="PSD241" s="15"/>
      <c r="PSE241" s="15"/>
      <c r="PSF241" s="10"/>
      <c r="PSG241" s="10"/>
      <c r="PSH241" s="19"/>
      <c r="PSI241" s="19"/>
      <c r="PSL241" s="16"/>
      <c r="PSM241" s="15"/>
      <c r="PSN241" s="15"/>
      <c r="PSO241" s="15"/>
      <c r="PSP241" s="16"/>
      <c r="PSQ241" s="16"/>
      <c r="PSR241" s="16"/>
      <c r="PSS241" s="16"/>
      <c r="PST241" s="16"/>
      <c r="PSU241" s="15"/>
      <c r="PSV241" s="15"/>
      <c r="PSW241" s="10"/>
      <c r="PSX241" s="10"/>
      <c r="PSY241" s="19"/>
      <c r="PSZ241" s="19"/>
      <c r="PTC241" s="16"/>
      <c r="PTD241" s="15"/>
      <c r="PTE241" s="15"/>
      <c r="PTF241" s="15"/>
      <c r="PTG241" s="16"/>
      <c r="PTH241" s="16"/>
      <c r="PTI241" s="16"/>
      <c r="PTJ241" s="16"/>
      <c r="PTK241" s="16"/>
      <c r="PTL241" s="15"/>
      <c r="PTM241" s="15"/>
      <c r="PTN241" s="10"/>
      <c r="PTO241" s="10"/>
      <c r="PTP241" s="19"/>
      <c r="PTQ241" s="19"/>
      <c r="PTT241" s="16"/>
      <c r="PTU241" s="15"/>
      <c r="PTV241" s="15"/>
      <c r="PTW241" s="15"/>
      <c r="PTX241" s="16"/>
      <c r="PTY241" s="16"/>
      <c r="PTZ241" s="16"/>
      <c r="PUA241" s="16"/>
      <c r="PUB241" s="16"/>
      <c r="PUC241" s="15"/>
      <c r="PUD241" s="15"/>
      <c r="PUE241" s="10"/>
      <c r="PUF241" s="10"/>
      <c r="PUG241" s="19"/>
      <c r="PUH241" s="19"/>
      <c r="PUK241" s="16"/>
      <c r="PUL241" s="15"/>
      <c r="PUM241" s="15"/>
      <c r="PUN241" s="15"/>
      <c r="PUO241" s="16"/>
      <c r="PUP241" s="16"/>
      <c r="PUQ241" s="16"/>
      <c r="PUR241" s="16"/>
      <c r="PUS241" s="16"/>
      <c r="PUT241" s="15"/>
      <c r="PUU241" s="15"/>
      <c r="PUV241" s="10"/>
      <c r="PUW241" s="10"/>
      <c r="PUX241" s="19"/>
      <c r="PUY241" s="19"/>
      <c r="PVB241" s="16"/>
      <c r="PVC241" s="15"/>
      <c r="PVD241" s="15"/>
      <c r="PVE241" s="15"/>
      <c r="PVF241" s="16"/>
      <c r="PVG241" s="16"/>
      <c r="PVH241" s="16"/>
      <c r="PVI241" s="16"/>
      <c r="PVJ241" s="16"/>
      <c r="PVK241" s="15"/>
      <c r="PVL241" s="15"/>
      <c r="PVM241" s="10"/>
      <c r="PVN241" s="10"/>
      <c r="PVO241" s="19"/>
      <c r="PVP241" s="19"/>
      <c r="PVS241" s="16"/>
      <c r="PVT241" s="15"/>
      <c r="PVU241" s="15"/>
      <c r="PVV241" s="15"/>
      <c r="PVW241" s="16"/>
      <c r="PVX241" s="16"/>
      <c r="PVY241" s="16"/>
      <c r="PVZ241" s="16"/>
      <c r="PWA241" s="16"/>
      <c r="PWB241" s="15"/>
      <c r="PWC241" s="15"/>
      <c r="PWD241" s="10"/>
      <c r="PWE241" s="10"/>
      <c r="PWF241" s="19"/>
      <c r="PWG241" s="19"/>
      <c r="PWJ241" s="16"/>
      <c r="PWK241" s="15"/>
      <c r="PWL241" s="15"/>
      <c r="PWM241" s="15"/>
      <c r="PWN241" s="16"/>
      <c r="PWO241" s="16"/>
      <c r="PWP241" s="16"/>
      <c r="PWQ241" s="16"/>
      <c r="PWR241" s="16"/>
      <c r="PWS241" s="15"/>
      <c r="PWT241" s="15"/>
      <c r="PWU241" s="10"/>
      <c r="PWV241" s="10"/>
      <c r="PWW241" s="19"/>
      <c r="PWX241" s="19"/>
      <c r="PXA241" s="16"/>
      <c r="PXB241" s="15"/>
      <c r="PXC241" s="15"/>
      <c r="PXD241" s="15"/>
      <c r="PXE241" s="16"/>
      <c r="PXF241" s="16"/>
      <c r="PXG241" s="16"/>
      <c r="PXH241" s="16"/>
      <c r="PXI241" s="16"/>
      <c r="PXJ241" s="15"/>
      <c r="PXK241" s="15"/>
      <c r="PXL241" s="10"/>
      <c r="PXM241" s="10"/>
      <c r="PXN241" s="19"/>
      <c r="PXO241" s="19"/>
      <c r="PXR241" s="16"/>
      <c r="PXS241" s="15"/>
      <c r="PXT241" s="15"/>
      <c r="PXU241" s="15"/>
      <c r="PXV241" s="16"/>
      <c r="PXW241" s="16"/>
      <c r="PXX241" s="16"/>
      <c r="PXY241" s="16"/>
      <c r="PXZ241" s="16"/>
      <c r="PYA241" s="15"/>
      <c r="PYB241" s="15"/>
      <c r="PYC241" s="10"/>
      <c r="PYD241" s="10"/>
      <c r="PYE241" s="19"/>
      <c r="PYF241" s="19"/>
      <c r="PYI241" s="16"/>
      <c r="PYJ241" s="15"/>
      <c r="PYK241" s="15"/>
      <c r="PYL241" s="15"/>
      <c r="PYM241" s="16"/>
      <c r="PYN241" s="16"/>
      <c r="PYO241" s="16"/>
      <c r="PYP241" s="16"/>
      <c r="PYQ241" s="16"/>
      <c r="PYR241" s="15"/>
      <c r="PYS241" s="15"/>
      <c r="PYT241" s="10"/>
      <c r="PYU241" s="10"/>
      <c r="PYV241" s="19"/>
      <c r="PYW241" s="19"/>
      <c r="PYZ241" s="16"/>
      <c r="PZA241" s="15"/>
      <c r="PZB241" s="15"/>
      <c r="PZC241" s="15"/>
      <c r="PZD241" s="16"/>
      <c r="PZE241" s="16"/>
      <c r="PZF241" s="16"/>
      <c r="PZG241" s="16"/>
      <c r="PZH241" s="16"/>
      <c r="PZI241" s="15"/>
      <c r="PZJ241" s="15"/>
      <c r="PZK241" s="10"/>
      <c r="PZL241" s="10"/>
      <c r="PZM241" s="19"/>
      <c r="PZN241" s="19"/>
      <c r="PZQ241" s="16"/>
      <c r="PZR241" s="15"/>
      <c r="PZS241" s="15"/>
      <c r="PZT241" s="15"/>
      <c r="PZU241" s="16"/>
      <c r="PZV241" s="16"/>
      <c r="PZW241" s="16"/>
      <c r="PZX241" s="16"/>
      <c r="PZY241" s="16"/>
      <c r="PZZ241" s="15"/>
      <c r="QAA241" s="15"/>
      <c r="QAB241" s="10"/>
      <c r="QAC241" s="10"/>
      <c r="QAD241" s="19"/>
      <c r="QAE241" s="19"/>
      <c r="QAH241" s="16"/>
      <c r="QAI241" s="15"/>
      <c r="QAJ241" s="15"/>
      <c r="QAK241" s="15"/>
      <c r="QAL241" s="16"/>
      <c r="QAM241" s="16"/>
      <c r="QAN241" s="16"/>
      <c r="QAO241" s="16"/>
      <c r="QAP241" s="16"/>
      <c r="QAQ241" s="15"/>
      <c r="QAR241" s="15"/>
      <c r="QAS241" s="10"/>
      <c r="QAT241" s="10"/>
      <c r="QAU241" s="19"/>
      <c r="QAV241" s="19"/>
      <c r="QAY241" s="16"/>
      <c r="QAZ241" s="15"/>
      <c r="QBA241" s="15"/>
      <c r="QBB241" s="15"/>
      <c r="QBC241" s="16"/>
      <c r="QBD241" s="16"/>
      <c r="QBE241" s="16"/>
      <c r="QBF241" s="16"/>
      <c r="QBG241" s="16"/>
      <c r="QBH241" s="15"/>
      <c r="QBI241" s="15"/>
      <c r="QBJ241" s="10"/>
      <c r="QBK241" s="10"/>
      <c r="QBL241" s="19"/>
      <c r="QBM241" s="19"/>
      <c r="QBP241" s="16"/>
      <c r="QBQ241" s="15"/>
      <c r="QBR241" s="15"/>
      <c r="QBS241" s="15"/>
      <c r="QBT241" s="16"/>
      <c r="QBU241" s="16"/>
      <c r="QBV241" s="16"/>
      <c r="QBW241" s="16"/>
      <c r="QBX241" s="16"/>
      <c r="QBY241" s="15"/>
      <c r="QBZ241" s="15"/>
      <c r="QCA241" s="10"/>
      <c r="QCB241" s="10"/>
      <c r="QCC241" s="19"/>
      <c r="QCD241" s="19"/>
      <c r="QCG241" s="16"/>
      <c r="QCH241" s="15"/>
      <c r="QCI241" s="15"/>
      <c r="QCJ241" s="15"/>
      <c r="QCK241" s="16"/>
      <c r="QCL241" s="16"/>
      <c r="QCM241" s="16"/>
      <c r="QCN241" s="16"/>
      <c r="QCO241" s="16"/>
      <c r="QCP241" s="15"/>
      <c r="QCQ241" s="15"/>
      <c r="QCR241" s="10"/>
      <c r="QCS241" s="10"/>
      <c r="QCT241" s="19"/>
      <c r="QCU241" s="19"/>
      <c r="QCX241" s="16"/>
      <c r="QCY241" s="15"/>
      <c r="QCZ241" s="15"/>
      <c r="QDA241" s="15"/>
      <c r="QDB241" s="16"/>
      <c r="QDC241" s="16"/>
      <c r="QDD241" s="16"/>
      <c r="QDE241" s="16"/>
      <c r="QDF241" s="16"/>
      <c r="QDG241" s="15"/>
      <c r="QDH241" s="15"/>
      <c r="QDI241" s="10"/>
      <c r="QDJ241" s="10"/>
      <c r="QDK241" s="19"/>
      <c r="QDL241" s="19"/>
      <c r="QDO241" s="16"/>
      <c r="QDP241" s="15"/>
      <c r="QDQ241" s="15"/>
      <c r="QDR241" s="15"/>
      <c r="QDS241" s="16"/>
      <c r="QDT241" s="16"/>
      <c r="QDU241" s="16"/>
      <c r="QDV241" s="16"/>
      <c r="QDW241" s="16"/>
      <c r="QDX241" s="15"/>
      <c r="QDY241" s="15"/>
      <c r="QDZ241" s="10"/>
      <c r="QEA241" s="10"/>
      <c r="QEB241" s="19"/>
      <c r="QEC241" s="19"/>
      <c r="QEF241" s="16"/>
      <c r="QEG241" s="15"/>
      <c r="QEH241" s="15"/>
      <c r="QEI241" s="15"/>
      <c r="QEJ241" s="16"/>
      <c r="QEK241" s="16"/>
      <c r="QEL241" s="16"/>
      <c r="QEM241" s="16"/>
      <c r="QEN241" s="16"/>
      <c r="QEO241" s="15"/>
      <c r="QEP241" s="15"/>
      <c r="QEQ241" s="10"/>
      <c r="QER241" s="10"/>
      <c r="QES241" s="19"/>
      <c r="QET241" s="19"/>
      <c r="QEW241" s="16"/>
      <c r="QEX241" s="15"/>
      <c r="QEY241" s="15"/>
      <c r="QEZ241" s="15"/>
      <c r="QFA241" s="16"/>
      <c r="QFB241" s="16"/>
      <c r="QFC241" s="16"/>
      <c r="QFD241" s="16"/>
      <c r="QFE241" s="16"/>
      <c r="QFF241" s="15"/>
      <c r="QFG241" s="15"/>
      <c r="QFH241" s="10"/>
      <c r="QFI241" s="10"/>
      <c r="QFJ241" s="19"/>
      <c r="QFK241" s="19"/>
      <c r="QFN241" s="16"/>
      <c r="QFO241" s="15"/>
      <c r="QFP241" s="15"/>
      <c r="QFQ241" s="15"/>
      <c r="QFR241" s="16"/>
      <c r="QFS241" s="16"/>
      <c r="QFT241" s="16"/>
      <c r="QFU241" s="16"/>
      <c r="QFV241" s="16"/>
      <c r="QFW241" s="15"/>
      <c r="QFX241" s="15"/>
      <c r="QFY241" s="10"/>
      <c r="QFZ241" s="10"/>
      <c r="QGA241" s="19"/>
      <c r="QGB241" s="19"/>
      <c r="QGE241" s="16"/>
      <c r="QGF241" s="15"/>
      <c r="QGG241" s="15"/>
      <c r="QGH241" s="15"/>
      <c r="QGI241" s="16"/>
      <c r="QGJ241" s="16"/>
      <c r="QGK241" s="16"/>
      <c r="QGL241" s="16"/>
      <c r="QGM241" s="16"/>
      <c r="QGN241" s="15"/>
      <c r="QGO241" s="15"/>
      <c r="QGP241" s="10"/>
      <c r="QGQ241" s="10"/>
      <c r="QGR241" s="19"/>
      <c r="QGS241" s="19"/>
      <c r="QGV241" s="16"/>
      <c r="QGW241" s="15"/>
      <c r="QGX241" s="15"/>
      <c r="QGY241" s="15"/>
      <c r="QGZ241" s="16"/>
      <c r="QHA241" s="16"/>
      <c r="QHB241" s="16"/>
      <c r="QHC241" s="16"/>
      <c r="QHD241" s="16"/>
      <c r="QHE241" s="15"/>
      <c r="QHF241" s="15"/>
      <c r="QHG241" s="10"/>
      <c r="QHH241" s="10"/>
      <c r="QHI241" s="19"/>
      <c r="QHJ241" s="19"/>
      <c r="QHM241" s="16"/>
      <c r="QHN241" s="15"/>
      <c r="QHO241" s="15"/>
      <c r="QHP241" s="15"/>
      <c r="QHQ241" s="16"/>
      <c r="QHR241" s="16"/>
      <c r="QHS241" s="16"/>
      <c r="QHT241" s="16"/>
      <c r="QHU241" s="16"/>
      <c r="QHV241" s="15"/>
      <c r="QHW241" s="15"/>
      <c r="QHX241" s="10"/>
      <c r="QHY241" s="10"/>
      <c r="QHZ241" s="19"/>
      <c r="QIA241" s="19"/>
      <c r="QID241" s="16"/>
      <c r="QIE241" s="15"/>
      <c r="QIF241" s="15"/>
      <c r="QIG241" s="15"/>
      <c r="QIH241" s="16"/>
      <c r="QII241" s="16"/>
      <c r="QIJ241" s="16"/>
      <c r="QIK241" s="16"/>
      <c r="QIL241" s="16"/>
      <c r="QIM241" s="15"/>
      <c r="QIN241" s="15"/>
      <c r="QIO241" s="10"/>
      <c r="QIP241" s="10"/>
      <c r="QIQ241" s="19"/>
      <c r="QIR241" s="19"/>
      <c r="QIU241" s="16"/>
      <c r="QIV241" s="15"/>
      <c r="QIW241" s="15"/>
      <c r="QIX241" s="15"/>
      <c r="QIY241" s="16"/>
      <c r="QIZ241" s="16"/>
      <c r="QJA241" s="16"/>
      <c r="QJB241" s="16"/>
      <c r="QJC241" s="16"/>
      <c r="QJD241" s="15"/>
      <c r="QJE241" s="15"/>
      <c r="QJF241" s="10"/>
      <c r="QJG241" s="10"/>
      <c r="QJH241" s="19"/>
      <c r="QJI241" s="19"/>
      <c r="QJL241" s="16"/>
      <c r="QJM241" s="15"/>
      <c r="QJN241" s="15"/>
      <c r="QJO241" s="15"/>
      <c r="QJP241" s="16"/>
      <c r="QJQ241" s="16"/>
      <c r="QJR241" s="16"/>
      <c r="QJS241" s="16"/>
      <c r="QJT241" s="16"/>
      <c r="QJU241" s="15"/>
      <c r="QJV241" s="15"/>
      <c r="QJW241" s="10"/>
      <c r="QJX241" s="10"/>
      <c r="QJY241" s="19"/>
      <c r="QJZ241" s="19"/>
      <c r="QKC241" s="16"/>
      <c r="QKD241" s="15"/>
      <c r="QKE241" s="15"/>
      <c r="QKF241" s="15"/>
      <c r="QKG241" s="16"/>
      <c r="QKH241" s="16"/>
      <c r="QKI241" s="16"/>
      <c r="QKJ241" s="16"/>
      <c r="QKK241" s="16"/>
      <c r="QKL241" s="15"/>
      <c r="QKM241" s="15"/>
      <c r="QKN241" s="10"/>
      <c r="QKO241" s="10"/>
      <c r="QKP241" s="19"/>
      <c r="QKQ241" s="19"/>
      <c r="QKT241" s="16"/>
      <c r="QKU241" s="15"/>
      <c r="QKV241" s="15"/>
      <c r="QKW241" s="15"/>
      <c r="QKX241" s="16"/>
      <c r="QKY241" s="16"/>
      <c r="QKZ241" s="16"/>
      <c r="QLA241" s="16"/>
      <c r="QLB241" s="16"/>
      <c r="QLC241" s="15"/>
      <c r="QLD241" s="15"/>
      <c r="QLE241" s="10"/>
      <c r="QLF241" s="10"/>
      <c r="QLG241" s="19"/>
      <c r="QLH241" s="19"/>
      <c r="QLK241" s="16"/>
      <c r="QLL241" s="15"/>
      <c r="QLM241" s="15"/>
      <c r="QLN241" s="15"/>
      <c r="QLO241" s="16"/>
      <c r="QLP241" s="16"/>
      <c r="QLQ241" s="16"/>
      <c r="QLR241" s="16"/>
      <c r="QLS241" s="16"/>
      <c r="QLT241" s="15"/>
      <c r="QLU241" s="15"/>
      <c r="QLV241" s="10"/>
      <c r="QLW241" s="10"/>
      <c r="QLX241" s="19"/>
      <c r="QLY241" s="19"/>
      <c r="QMB241" s="16"/>
      <c r="QMC241" s="15"/>
      <c r="QMD241" s="15"/>
      <c r="QME241" s="15"/>
      <c r="QMF241" s="16"/>
      <c r="QMG241" s="16"/>
      <c r="QMH241" s="16"/>
      <c r="QMI241" s="16"/>
      <c r="QMJ241" s="16"/>
      <c r="QMK241" s="15"/>
      <c r="QML241" s="15"/>
      <c r="QMM241" s="10"/>
      <c r="QMN241" s="10"/>
      <c r="QMO241" s="19"/>
      <c r="QMP241" s="19"/>
      <c r="QMS241" s="16"/>
      <c r="QMT241" s="15"/>
      <c r="QMU241" s="15"/>
      <c r="QMV241" s="15"/>
      <c r="QMW241" s="16"/>
      <c r="QMX241" s="16"/>
      <c r="QMY241" s="16"/>
      <c r="QMZ241" s="16"/>
      <c r="QNA241" s="16"/>
      <c r="QNB241" s="15"/>
      <c r="QNC241" s="15"/>
      <c r="QND241" s="10"/>
      <c r="QNE241" s="10"/>
      <c r="QNF241" s="19"/>
      <c r="QNG241" s="19"/>
      <c r="QNJ241" s="16"/>
      <c r="QNK241" s="15"/>
      <c r="QNL241" s="15"/>
      <c r="QNM241" s="15"/>
      <c r="QNN241" s="16"/>
      <c r="QNO241" s="16"/>
      <c r="QNP241" s="16"/>
      <c r="QNQ241" s="16"/>
      <c r="QNR241" s="16"/>
      <c r="QNS241" s="15"/>
      <c r="QNT241" s="15"/>
      <c r="QNU241" s="10"/>
      <c r="QNV241" s="10"/>
      <c r="QNW241" s="19"/>
      <c r="QNX241" s="19"/>
      <c r="QOA241" s="16"/>
      <c r="QOB241" s="15"/>
      <c r="QOC241" s="15"/>
      <c r="QOD241" s="15"/>
      <c r="QOE241" s="16"/>
      <c r="QOF241" s="16"/>
      <c r="QOG241" s="16"/>
      <c r="QOH241" s="16"/>
      <c r="QOI241" s="16"/>
      <c r="QOJ241" s="15"/>
      <c r="QOK241" s="15"/>
      <c r="QOL241" s="10"/>
      <c r="QOM241" s="10"/>
      <c r="QON241" s="19"/>
      <c r="QOO241" s="19"/>
      <c r="QOR241" s="16"/>
      <c r="QOS241" s="15"/>
      <c r="QOT241" s="15"/>
      <c r="QOU241" s="15"/>
      <c r="QOV241" s="16"/>
      <c r="QOW241" s="16"/>
      <c r="QOX241" s="16"/>
      <c r="QOY241" s="16"/>
      <c r="QOZ241" s="16"/>
      <c r="QPA241" s="15"/>
      <c r="QPB241" s="15"/>
      <c r="QPC241" s="10"/>
      <c r="QPD241" s="10"/>
      <c r="QPE241" s="19"/>
      <c r="QPF241" s="19"/>
      <c r="QPI241" s="16"/>
      <c r="QPJ241" s="15"/>
      <c r="QPK241" s="15"/>
      <c r="QPL241" s="15"/>
      <c r="QPM241" s="16"/>
      <c r="QPN241" s="16"/>
      <c r="QPO241" s="16"/>
      <c r="QPP241" s="16"/>
      <c r="QPQ241" s="16"/>
      <c r="QPR241" s="15"/>
      <c r="QPS241" s="15"/>
      <c r="QPT241" s="10"/>
      <c r="QPU241" s="10"/>
      <c r="QPV241" s="19"/>
      <c r="QPW241" s="19"/>
      <c r="QPZ241" s="16"/>
      <c r="QQA241" s="15"/>
      <c r="QQB241" s="15"/>
      <c r="QQC241" s="15"/>
      <c r="QQD241" s="16"/>
      <c r="QQE241" s="16"/>
      <c r="QQF241" s="16"/>
      <c r="QQG241" s="16"/>
      <c r="QQH241" s="16"/>
      <c r="QQI241" s="15"/>
      <c r="QQJ241" s="15"/>
      <c r="QQK241" s="10"/>
      <c r="QQL241" s="10"/>
      <c r="QQM241" s="19"/>
      <c r="QQN241" s="19"/>
      <c r="QQQ241" s="16"/>
      <c r="QQR241" s="15"/>
      <c r="QQS241" s="15"/>
      <c r="QQT241" s="15"/>
      <c r="QQU241" s="16"/>
      <c r="QQV241" s="16"/>
      <c r="QQW241" s="16"/>
      <c r="QQX241" s="16"/>
      <c r="QQY241" s="16"/>
      <c r="QQZ241" s="15"/>
      <c r="QRA241" s="15"/>
      <c r="QRB241" s="10"/>
      <c r="QRC241" s="10"/>
      <c r="QRD241" s="19"/>
      <c r="QRE241" s="19"/>
      <c r="QRH241" s="16"/>
      <c r="QRI241" s="15"/>
      <c r="QRJ241" s="15"/>
      <c r="QRK241" s="15"/>
      <c r="QRL241" s="16"/>
      <c r="QRM241" s="16"/>
      <c r="QRN241" s="16"/>
      <c r="QRO241" s="16"/>
      <c r="QRP241" s="16"/>
      <c r="QRQ241" s="15"/>
      <c r="QRR241" s="15"/>
      <c r="QRS241" s="10"/>
      <c r="QRT241" s="10"/>
      <c r="QRU241" s="19"/>
      <c r="QRV241" s="19"/>
      <c r="QRY241" s="16"/>
      <c r="QRZ241" s="15"/>
      <c r="QSA241" s="15"/>
      <c r="QSB241" s="15"/>
      <c r="QSC241" s="16"/>
      <c r="QSD241" s="16"/>
      <c r="QSE241" s="16"/>
      <c r="QSF241" s="16"/>
      <c r="QSG241" s="16"/>
      <c r="QSH241" s="15"/>
      <c r="QSI241" s="15"/>
      <c r="QSJ241" s="10"/>
      <c r="QSK241" s="10"/>
      <c r="QSL241" s="19"/>
      <c r="QSM241" s="19"/>
      <c r="QSP241" s="16"/>
      <c r="QSQ241" s="15"/>
      <c r="QSR241" s="15"/>
      <c r="QSS241" s="15"/>
      <c r="QST241" s="16"/>
      <c r="QSU241" s="16"/>
      <c r="QSV241" s="16"/>
      <c r="QSW241" s="16"/>
      <c r="QSX241" s="16"/>
      <c r="QSY241" s="15"/>
      <c r="QSZ241" s="15"/>
      <c r="QTA241" s="10"/>
      <c r="QTB241" s="10"/>
      <c r="QTC241" s="19"/>
      <c r="QTD241" s="19"/>
      <c r="QTG241" s="16"/>
      <c r="QTH241" s="15"/>
      <c r="QTI241" s="15"/>
      <c r="QTJ241" s="15"/>
      <c r="QTK241" s="16"/>
      <c r="QTL241" s="16"/>
      <c r="QTM241" s="16"/>
      <c r="QTN241" s="16"/>
      <c r="QTO241" s="16"/>
      <c r="QTP241" s="15"/>
      <c r="QTQ241" s="15"/>
      <c r="QTR241" s="10"/>
      <c r="QTS241" s="10"/>
      <c r="QTT241" s="19"/>
      <c r="QTU241" s="19"/>
      <c r="QTX241" s="16"/>
      <c r="QTY241" s="15"/>
      <c r="QTZ241" s="15"/>
      <c r="QUA241" s="15"/>
      <c r="QUB241" s="16"/>
      <c r="QUC241" s="16"/>
      <c r="QUD241" s="16"/>
      <c r="QUE241" s="16"/>
      <c r="QUF241" s="16"/>
      <c r="QUG241" s="15"/>
      <c r="QUH241" s="15"/>
      <c r="QUI241" s="10"/>
      <c r="QUJ241" s="10"/>
      <c r="QUK241" s="19"/>
      <c r="QUL241" s="19"/>
      <c r="QUO241" s="16"/>
      <c r="QUP241" s="15"/>
      <c r="QUQ241" s="15"/>
      <c r="QUR241" s="15"/>
      <c r="QUS241" s="16"/>
      <c r="QUT241" s="16"/>
      <c r="QUU241" s="16"/>
      <c r="QUV241" s="16"/>
      <c r="QUW241" s="16"/>
      <c r="QUX241" s="15"/>
      <c r="QUY241" s="15"/>
      <c r="QUZ241" s="10"/>
      <c r="QVA241" s="10"/>
      <c r="QVB241" s="19"/>
      <c r="QVC241" s="19"/>
      <c r="QVF241" s="16"/>
      <c r="QVG241" s="15"/>
      <c r="QVH241" s="15"/>
      <c r="QVI241" s="15"/>
      <c r="QVJ241" s="16"/>
      <c r="QVK241" s="16"/>
      <c r="QVL241" s="16"/>
      <c r="QVM241" s="16"/>
      <c r="QVN241" s="16"/>
      <c r="QVO241" s="15"/>
      <c r="QVP241" s="15"/>
      <c r="QVQ241" s="10"/>
      <c r="QVR241" s="10"/>
      <c r="QVS241" s="19"/>
      <c r="QVT241" s="19"/>
      <c r="QVW241" s="16"/>
      <c r="QVX241" s="15"/>
      <c r="QVY241" s="15"/>
      <c r="QVZ241" s="15"/>
      <c r="QWA241" s="16"/>
      <c r="QWB241" s="16"/>
      <c r="QWC241" s="16"/>
      <c r="QWD241" s="16"/>
      <c r="QWE241" s="16"/>
      <c r="QWF241" s="15"/>
      <c r="QWG241" s="15"/>
      <c r="QWH241" s="10"/>
      <c r="QWI241" s="10"/>
      <c r="QWJ241" s="19"/>
      <c r="QWK241" s="19"/>
      <c r="QWN241" s="16"/>
      <c r="QWO241" s="15"/>
      <c r="QWP241" s="15"/>
      <c r="QWQ241" s="15"/>
      <c r="QWR241" s="16"/>
      <c r="QWS241" s="16"/>
      <c r="QWT241" s="16"/>
      <c r="QWU241" s="16"/>
      <c r="QWV241" s="16"/>
      <c r="QWW241" s="15"/>
      <c r="QWX241" s="15"/>
      <c r="QWY241" s="10"/>
      <c r="QWZ241" s="10"/>
      <c r="QXA241" s="19"/>
      <c r="QXB241" s="19"/>
      <c r="QXE241" s="16"/>
      <c r="QXF241" s="15"/>
      <c r="QXG241" s="15"/>
      <c r="QXH241" s="15"/>
      <c r="QXI241" s="16"/>
      <c r="QXJ241" s="16"/>
      <c r="QXK241" s="16"/>
      <c r="QXL241" s="16"/>
      <c r="QXM241" s="16"/>
      <c r="QXN241" s="15"/>
      <c r="QXO241" s="15"/>
      <c r="QXP241" s="10"/>
      <c r="QXQ241" s="10"/>
      <c r="QXR241" s="19"/>
      <c r="QXS241" s="19"/>
      <c r="QXV241" s="16"/>
      <c r="QXW241" s="15"/>
      <c r="QXX241" s="15"/>
      <c r="QXY241" s="15"/>
      <c r="QXZ241" s="16"/>
      <c r="QYA241" s="16"/>
      <c r="QYB241" s="16"/>
      <c r="QYC241" s="16"/>
      <c r="QYD241" s="16"/>
      <c r="QYE241" s="15"/>
      <c r="QYF241" s="15"/>
      <c r="QYG241" s="10"/>
      <c r="QYH241" s="10"/>
      <c r="QYI241" s="19"/>
      <c r="QYJ241" s="19"/>
      <c r="QYM241" s="16"/>
      <c r="QYN241" s="15"/>
      <c r="QYO241" s="15"/>
      <c r="QYP241" s="15"/>
      <c r="QYQ241" s="16"/>
      <c r="QYR241" s="16"/>
      <c r="QYS241" s="16"/>
      <c r="QYT241" s="16"/>
      <c r="QYU241" s="16"/>
      <c r="QYV241" s="15"/>
      <c r="QYW241" s="15"/>
      <c r="QYX241" s="10"/>
      <c r="QYY241" s="10"/>
      <c r="QYZ241" s="19"/>
      <c r="QZA241" s="19"/>
      <c r="QZD241" s="16"/>
      <c r="QZE241" s="15"/>
      <c r="QZF241" s="15"/>
      <c r="QZG241" s="15"/>
      <c r="QZH241" s="16"/>
      <c r="QZI241" s="16"/>
      <c r="QZJ241" s="16"/>
      <c r="QZK241" s="16"/>
      <c r="QZL241" s="16"/>
      <c r="QZM241" s="15"/>
      <c r="QZN241" s="15"/>
      <c r="QZO241" s="10"/>
      <c r="QZP241" s="10"/>
      <c r="QZQ241" s="19"/>
      <c r="QZR241" s="19"/>
      <c r="QZU241" s="16"/>
      <c r="QZV241" s="15"/>
      <c r="QZW241" s="15"/>
      <c r="QZX241" s="15"/>
      <c r="QZY241" s="16"/>
      <c r="QZZ241" s="16"/>
      <c r="RAA241" s="16"/>
      <c r="RAB241" s="16"/>
      <c r="RAC241" s="16"/>
      <c r="RAD241" s="15"/>
      <c r="RAE241" s="15"/>
      <c r="RAF241" s="10"/>
      <c r="RAG241" s="10"/>
      <c r="RAH241" s="19"/>
      <c r="RAI241" s="19"/>
      <c r="RAL241" s="16"/>
      <c r="RAM241" s="15"/>
      <c r="RAN241" s="15"/>
      <c r="RAO241" s="15"/>
      <c r="RAP241" s="16"/>
      <c r="RAQ241" s="16"/>
      <c r="RAR241" s="16"/>
      <c r="RAS241" s="16"/>
      <c r="RAT241" s="16"/>
      <c r="RAU241" s="15"/>
      <c r="RAV241" s="15"/>
      <c r="RAW241" s="10"/>
      <c r="RAX241" s="10"/>
      <c r="RAY241" s="19"/>
      <c r="RAZ241" s="19"/>
      <c r="RBC241" s="16"/>
      <c r="RBD241" s="15"/>
      <c r="RBE241" s="15"/>
      <c r="RBF241" s="15"/>
      <c r="RBG241" s="16"/>
      <c r="RBH241" s="16"/>
      <c r="RBI241" s="16"/>
      <c r="RBJ241" s="16"/>
      <c r="RBK241" s="16"/>
      <c r="RBL241" s="15"/>
      <c r="RBM241" s="15"/>
      <c r="RBN241" s="10"/>
      <c r="RBO241" s="10"/>
      <c r="RBP241" s="19"/>
      <c r="RBQ241" s="19"/>
      <c r="RBT241" s="16"/>
      <c r="RBU241" s="15"/>
      <c r="RBV241" s="15"/>
      <c r="RBW241" s="15"/>
      <c r="RBX241" s="16"/>
      <c r="RBY241" s="16"/>
      <c r="RBZ241" s="16"/>
      <c r="RCA241" s="16"/>
      <c r="RCB241" s="16"/>
      <c r="RCC241" s="15"/>
      <c r="RCD241" s="15"/>
      <c r="RCE241" s="10"/>
      <c r="RCF241" s="10"/>
      <c r="RCG241" s="19"/>
      <c r="RCH241" s="19"/>
      <c r="RCK241" s="16"/>
      <c r="RCL241" s="15"/>
      <c r="RCM241" s="15"/>
      <c r="RCN241" s="15"/>
      <c r="RCO241" s="16"/>
      <c r="RCP241" s="16"/>
      <c r="RCQ241" s="16"/>
      <c r="RCR241" s="16"/>
      <c r="RCS241" s="16"/>
      <c r="RCT241" s="15"/>
      <c r="RCU241" s="15"/>
      <c r="RCV241" s="10"/>
      <c r="RCW241" s="10"/>
      <c r="RCX241" s="19"/>
      <c r="RCY241" s="19"/>
      <c r="RDB241" s="16"/>
      <c r="RDC241" s="15"/>
      <c r="RDD241" s="15"/>
      <c r="RDE241" s="15"/>
      <c r="RDF241" s="16"/>
      <c r="RDG241" s="16"/>
      <c r="RDH241" s="16"/>
      <c r="RDI241" s="16"/>
      <c r="RDJ241" s="16"/>
      <c r="RDK241" s="15"/>
      <c r="RDL241" s="15"/>
      <c r="RDM241" s="10"/>
      <c r="RDN241" s="10"/>
      <c r="RDO241" s="19"/>
      <c r="RDP241" s="19"/>
      <c r="RDS241" s="16"/>
      <c r="RDT241" s="15"/>
      <c r="RDU241" s="15"/>
      <c r="RDV241" s="15"/>
      <c r="RDW241" s="16"/>
      <c r="RDX241" s="16"/>
      <c r="RDY241" s="16"/>
      <c r="RDZ241" s="16"/>
      <c r="REA241" s="16"/>
      <c r="REB241" s="15"/>
      <c r="REC241" s="15"/>
      <c r="RED241" s="10"/>
      <c r="REE241" s="10"/>
      <c r="REF241" s="19"/>
      <c r="REG241" s="19"/>
      <c r="REJ241" s="16"/>
      <c r="REK241" s="15"/>
      <c r="REL241" s="15"/>
      <c r="REM241" s="15"/>
      <c r="REN241" s="16"/>
      <c r="REO241" s="16"/>
      <c r="REP241" s="16"/>
      <c r="REQ241" s="16"/>
      <c r="RER241" s="16"/>
      <c r="RES241" s="15"/>
      <c r="RET241" s="15"/>
      <c r="REU241" s="10"/>
      <c r="REV241" s="10"/>
      <c r="REW241" s="19"/>
      <c r="REX241" s="19"/>
      <c r="RFA241" s="16"/>
      <c r="RFB241" s="15"/>
      <c r="RFC241" s="15"/>
      <c r="RFD241" s="15"/>
      <c r="RFE241" s="16"/>
      <c r="RFF241" s="16"/>
      <c r="RFG241" s="16"/>
      <c r="RFH241" s="16"/>
      <c r="RFI241" s="16"/>
      <c r="RFJ241" s="15"/>
      <c r="RFK241" s="15"/>
      <c r="RFL241" s="10"/>
      <c r="RFM241" s="10"/>
      <c r="RFN241" s="19"/>
      <c r="RFO241" s="19"/>
      <c r="RFR241" s="16"/>
      <c r="RFS241" s="15"/>
      <c r="RFT241" s="15"/>
      <c r="RFU241" s="15"/>
      <c r="RFV241" s="16"/>
      <c r="RFW241" s="16"/>
      <c r="RFX241" s="16"/>
      <c r="RFY241" s="16"/>
      <c r="RFZ241" s="16"/>
      <c r="RGA241" s="15"/>
      <c r="RGB241" s="15"/>
      <c r="RGC241" s="10"/>
      <c r="RGD241" s="10"/>
      <c r="RGE241" s="19"/>
      <c r="RGF241" s="19"/>
      <c r="RGI241" s="16"/>
      <c r="RGJ241" s="15"/>
      <c r="RGK241" s="15"/>
      <c r="RGL241" s="15"/>
      <c r="RGM241" s="16"/>
      <c r="RGN241" s="16"/>
      <c r="RGO241" s="16"/>
      <c r="RGP241" s="16"/>
      <c r="RGQ241" s="16"/>
      <c r="RGR241" s="15"/>
      <c r="RGS241" s="15"/>
      <c r="RGT241" s="10"/>
      <c r="RGU241" s="10"/>
      <c r="RGV241" s="19"/>
      <c r="RGW241" s="19"/>
      <c r="RGZ241" s="16"/>
      <c r="RHA241" s="15"/>
      <c r="RHB241" s="15"/>
      <c r="RHC241" s="15"/>
      <c r="RHD241" s="16"/>
      <c r="RHE241" s="16"/>
      <c r="RHF241" s="16"/>
      <c r="RHG241" s="16"/>
      <c r="RHH241" s="16"/>
      <c r="RHI241" s="15"/>
      <c r="RHJ241" s="15"/>
      <c r="RHK241" s="10"/>
      <c r="RHL241" s="10"/>
      <c r="RHM241" s="19"/>
      <c r="RHN241" s="19"/>
      <c r="RHQ241" s="16"/>
      <c r="RHR241" s="15"/>
      <c r="RHS241" s="15"/>
      <c r="RHT241" s="15"/>
      <c r="RHU241" s="16"/>
      <c r="RHV241" s="16"/>
      <c r="RHW241" s="16"/>
      <c r="RHX241" s="16"/>
      <c r="RHY241" s="16"/>
      <c r="RHZ241" s="15"/>
      <c r="RIA241" s="15"/>
      <c r="RIB241" s="10"/>
      <c r="RIC241" s="10"/>
      <c r="RID241" s="19"/>
      <c r="RIE241" s="19"/>
      <c r="RIH241" s="16"/>
      <c r="RII241" s="15"/>
      <c r="RIJ241" s="15"/>
      <c r="RIK241" s="15"/>
      <c r="RIL241" s="16"/>
      <c r="RIM241" s="16"/>
      <c r="RIN241" s="16"/>
      <c r="RIO241" s="16"/>
      <c r="RIP241" s="16"/>
      <c r="RIQ241" s="15"/>
      <c r="RIR241" s="15"/>
      <c r="RIS241" s="10"/>
      <c r="RIT241" s="10"/>
      <c r="RIU241" s="19"/>
      <c r="RIV241" s="19"/>
      <c r="RIY241" s="16"/>
      <c r="RIZ241" s="15"/>
      <c r="RJA241" s="15"/>
      <c r="RJB241" s="15"/>
      <c r="RJC241" s="16"/>
      <c r="RJD241" s="16"/>
      <c r="RJE241" s="16"/>
      <c r="RJF241" s="16"/>
      <c r="RJG241" s="16"/>
      <c r="RJH241" s="15"/>
      <c r="RJI241" s="15"/>
      <c r="RJJ241" s="10"/>
      <c r="RJK241" s="10"/>
      <c r="RJL241" s="19"/>
      <c r="RJM241" s="19"/>
      <c r="RJP241" s="16"/>
      <c r="RJQ241" s="15"/>
      <c r="RJR241" s="15"/>
      <c r="RJS241" s="15"/>
      <c r="RJT241" s="16"/>
      <c r="RJU241" s="16"/>
      <c r="RJV241" s="16"/>
      <c r="RJW241" s="16"/>
      <c r="RJX241" s="16"/>
      <c r="RJY241" s="15"/>
      <c r="RJZ241" s="15"/>
      <c r="RKA241" s="10"/>
      <c r="RKB241" s="10"/>
      <c r="RKC241" s="19"/>
      <c r="RKD241" s="19"/>
      <c r="RKG241" s="16"/>
      <c r="RKH241" s="15"/>
      <c r="RKI241" s="15"/>
      <c r="RKJ241" s="15"/>
      <c r="RKK241" s="16"/>
      <c r="RKL241" s="16"/>
      <c r="RKM241" s="16"/>
      <c r="RKN241" s="16"/>
      <c r="RKO241" s="16"/>
      <c r="RKP241" s="15"/>
      <c r="RKQ241" s="15"/>
      <c r="RKR241" s="10"/>
      <c r="RKS241" s="10"/>
      <c r="RKT241" s="19"/>
      <c r="RKU241" s="19"/>
      <c r="RKX241" s="16"/>
      <c r="RKY241" s="15"/>
      <c r="RKZ241" s="15"/>
      <c r="RLA241" s="15"/>
      <c r="RLB241" s="16"/>
      <c r="RLC241" s="16"/>
      <c r="RLD241" s="16"/>
      <c r="RLE241" s="16"/>
      <c r="RLF241" s="16"/>
      <c r="RLG241" s="15"/>
      <c r="RLH241" s="15"/>
      <c r="RLI241" s="10"/>
      <c r="RLJ241" s="10"/>
      <c r="RLK241" s="19"/>
      <c r="RLL241" s="19"/>
      <c r="RLO241" s="16"/>
      <c r="RLP241" s="15"/>
      <c r="RLQ241" s="15"/>
      <c r="RLR241" s="15"/>
      <c r="RLS241" s="16"/>
      <c r="RLT241" s="16"/>
      <c r="RLU241" s="16"/>
      <c r="RLV241" s="16"/>
      <c r="RLW241" s="16"/>
      <c r="RLX241" s="15"/>
      <c r="RLY241" s="15"/>
      <c r="RLZ241" s="10"/>
      <c r="RMA241" s="10"/>
      <c r="RMB241" s="19"/>
      <c r="RMC241" s="19"/>
      <c r="RMF241" s="16"/>
      <c r="RMG241" s="15"/>
      <c r="RMH241" s="15"/>
      <c r="RMI241" s="15"/>
      <c r="RMJ241" s="16"/>
      <c r="RMK241" s="16"/>
      <c r="RML241" s="16"/>
      <c r="RMM241" s="16"/>
      <c r="RMN241" s="16"/>
      <c r="RMO241" s="15"/>
      <c r="RMP241" s="15"/>
      <c r="RMQ241" s="10"/>
      <c r="RMR241" s="10"/>
      <c r="RMS241" s="19"/>
      <c r="RMT241" s="19"/>
      <c r="RMW241" s="16"/>
      <c r="RMX241" s="15"/>
      <c r="RMY241" s="15"/>
      <c r="RMZ241" s="15"/>
      <c r="RNA241" s="16"/>
      <c r="RNB241" s="16"/>
      <c r="RNC241" s="16"/>
      <c r="RND241" s="16"/>
      <c r="RNE241" s="16"/>
      <c r="RNF241" s="15"/>
      <c r="RNG241" s="15"/>
      <c r="RNH241" s="10"/>
      <c r="RNI241" s="10"/>
      <c r="RNJ241" s="19"/>
      <c r="RNK241" s="19"/>
      <c r="RNN241" s="16"/>
      <c r="RNO241" s="15"/>
      <c r="RNP241" s="15"/>
      <c r="RNQ241" s="15"/>
      <c r="RNR241" s="16"/>
      <c r="RNS241" s="16"/>
      <c r="RNT241" s="16"/>
      <c r="RNU241" s="16"/>
      <c r="RNV241" s="16"/>
      <c r="RNW241" s="15"/>
      <c r="RNX241" s="15"/>
      <c r="RNY241" s="10"/>
      <c r="RNZ241" s="10"/>
      <c r="ROA241" s="19"/>
      <c r="ROB241" s="19"/>
      <c r="ROE241" s="16"/>
      <c r="ROF241" s="15"/>
      <c r="ROG241" s="15"/>
      <c r="ROH241" s="15"/>
      <c r="ROI241" s="16"/>
      <c r="ROJ241" s="16"/>
      <c r="ROK241" s="16"/>
      <c r="ROL241" s="16"/>
      <c r="ROM241" s="16"/>
      <c r="RON241" s="15"/>
      <c r="ROO241" s="15"/>
      <c r="ROP241" s="10"/>
      <c r="ROQ241" s="10"/>
      <c r="ROR241" s="19"/>
      <c r="ROS241" s="19"/>
      <c r="ROV241" s="16"/>
      <c r="ROW241" s="15"/>
      <c r="ROX241" s="15"/>
      <c r="ROY241" s="15"/>
      <c r="ROZ241" s="16"/>
      <c r="RPA241" s="16"/>
      <c r="RPB241" s="16"/>
      <c r="RPC241" s="16"/>
      <c r="RPD241" s="16"/>
      <c r="RPE241" s="15"/>
      <c r="RPF241" s="15"/>
      <c r="RPG241" s="10"/>
      <c r="RPH241" s="10"/>
      <c r="RPI241" s="19"/>
      <c r="RPJ241" s="19"/>
      <c r="RPM241" s="16"/>
      <c r="RPN241" s="15"/>
      <c r="RPO241" s="15"/>
      <c r="RPP241" s="15"/>
      <c r="RPQ241" s="16"/>
      <c r="RPR241" s="16"/>
      <c r="RPS241" s="16"/>
      <c r="RPT241" s="16"/>
      <c r="RPU241" s="16"/>
      <c r="RPV241" s="15"/>
      <c r="RPW241" s="15"/>
      <c r="RPX241" s="10"/>
      <c r="RPY241" s="10"/>
      <c r="RPZ241" s="19"/>
      <c r="RQA241" s="19"/>
      <c r="RQD241" s="16"/>
      <c r="RQE241" s="15"/>
      <c r="RQF241" s="15"/>
      <c r="RQG241" s="15"/>
      <c r="RQH241" s="16"/>
      <c r="RQI241" s="16"/>
      <c r="RQJ241" s="16"/>
      <c r="RQK241" s="16"/>
      <c r="RQL241" s="16"/>
      <c r="RQM241" s="15"/>
      <c r="RQN241" s="15"/>
      <c r="RQO241" s="10"/>
      <c r="RQP241" s="10"/>
      <c r="RQQ241" s="19"/>
      <c r="RQR241" s="19"/>
      <c r="RQU241" s="16"/>
      <c r="RQV241" s="15"/>
      <c r="RQW241" s="15"/>
      <c r="RQX241" s="15"/>
      <c r="RQY241" s="16"/>
      <c r="RQZ241" s="16"/>
      <c r="RRA241" s="16"/>
      <c r="RRB241" s="16"/>
      <c r="RRC241" s="16"/>
      <c r="RRD241" s="15"/>
      <c r="RRE241" s="15"/>
      <c r="RRF241" s="10"/>
      <c r="RRG241" s="10"/>
      <c r="RRH241" s="19"/>
      <c r="RRI241" s="19"/>
      <c r="RRL241" s="16"/>
      <c r="RRM241" s="15"/>
      <c r="RRN241" s="15"/>
      <c r="RRO241" s="15"/>
      <c r="RRP241" s="16"/>
      <c r="RRQ241" s="16"/>
      <c r="RRR241" s="16"/>
      <c r="RRS241" s="16"/>
      <c r="RRT241" s="16"/>
      <c r="RRU241" s="15"/>
      <c r="RRV241" s="15"/>
      <c r="RRW241" s="10"/>
      <c r="RRX241" s="10"/>
      <c r="RRY241" s="19"/>
      <c r="RRZ241" s="19"/>
      <c r="RSC241" s="16"/>
      <c r="RSD241" s="15"/>
      <c r="RSE241" s="15"/>
      <c r="RSF241" s="15"/>
      <c r="RSG241" s="16"/>
      <c r="RSH241" s="16"/>
      <c r="RSI241" s="16"/>
      <c r="RSJ241" s="16"/>
      <c r="RSK241" s="16"/>
      <c r="RSL241" s="15"/>
      <c r="RSM241" s="15"/>
      <c r="RSN241" s="10"/>
      <c r="RSO241" s="10"/>
      <c r="RSP241" s="19"/>
      <c r="RSQ241" s="19"/>
      <c r="RST241" s="16"/>
      <c r="RSU241" s="15"/>
      <c r="RSV241" s="15"/>
      <c r="RSW241" s="15"/>
      <c r="RSX241" s="16"/>
      <c r="RSY241" s="16"/>
      <c r="RSZ241" s="16"/>
      <c r="RTA241" s="16"/>
      <c r="RTB241" s="16"/>
      <c r="RTC241" s="15"/>
      <c r="RTD241" s="15"/>
      <c r="RTE241" s="10"/>
      <c r="RTF241" s="10"/>
      <c r="RTG241" s="19"/>
      <c r="RTH241" s="19"/>
      <c r="RTK241" s="16"/>
      <c r="RTL241" s="15"/>
      <c r="RTM241" s="15"/>
      <c r="RTN241" s="15"/>
      <c r="RTO241" s="16"/>
      <c r="RTP241" s="16"/>
      <c r="RTQ241" s="16"/>
      <c r="RTR241" s="16"/>
      <c r="RTS241" s="16"/>
      <c r="RTT241" s="15"/>
      <c r="RTU241" s="15"/>
      <c r="RTV241" s="10"/>
      <c r="RTW241" s="10"/>
      <c r="RTX241" s="19"/>
      <c r="RTY241" s="19"/>
      <c r="RUB241" s="16"/>
      <c r="RUC241" s="15"/>
      <c r="RUD241" s="15"/>
      <c r="RUE241" s="15"/>
      <c r="RUF241" s="16"/>
      <c r="RUG241" s="16"/>
      <c r="RUH241" s="16"/>
      <c r="RUI241" s="16"/>
      <c r="RUJ241" s="16"/>
      <c r="RUK241" s="15"/>
      <c r="RUL241" s="15"/>
      <c r="RUM241" s="10"/>
      <c r="RUN241" s="10"/>
      <c r="RUO241" s="19"/>
      <c r="RUP241" s="19"/>
      <c r="RUS241" s="16"/>
      <c r="RUT241" s="15"/>
      <c r="RUU241" s="15"/>
      <c r="RUV241" s="15"/>
      <c r="RUW241" s="16"/>
      <c r="RUX241" s="16"/>
      <c r="RUY241" s="16"/>
      <c r="RUZ241" s="16"/>
      <c r="RVA241" s="16"/>
      <c r="RVB241" s="15"/>
      <c r="RVC241" s="15"/>
      <c r="RVD241" s="10"/>
      <c r="RVE241" s="10"/>
      <c r="RVF241" s="19"/>
      <c r="RVG241" s="19"/>
      <c r="RVJ241" s="16"/>
      <c r="RVK241" s="15"/>
      <c r="RVL241" s="15"/>
      <c r="RVM241" s="15"/>
      <c r="RVN241" s="16"/>
      <c r="RVO241" s="16"/>
      <c r="RVP241" s="16"/>
      <c r="RVQ241" s="16"/>
      <c r="RVR241" s="16"/>
      <c r="RVS241" s="15"/>
      <c r="RVT241" s="15"/>
      <c r="RVU241" s="10"/>
      <c r="RVV241" s="10"/>
      <c r="RVW241" s="19"/>
      <c r="RVX241" s="19"/>
      <c r="RWA241" s="16"/>
      <c r="RWB241" s="15"/>
      <c r="RWC241" s="15"/>
      <c r="RWD241" s="15"/>
      <c r="RWE241" s="16"/>
      <c r="RWF241" s="16"/>
      <c r="RWG241" s="16"/>
      <c r="RWH241" s="16"/>
      <c r="RWI241" s="16"/>
      <c r="RWJ241" s="15"/>
      <c r="RWK241" s="15"/>
      <c r="RWL241" s="10"/>
      <c r="RWM241" s="10"/>
      <c r="RWN241" s="19"/>
      <c r="RWO241" s="19"/>
      <c r="RWR241" s="16"/>
      <c r="RWS241" s="15"/>
      <c r="RWT241" s="15"/>
      <c r="RWU241" s="15"/>
      <c r="RWV241" s="16"/>
      <c r="RWW241" s="16"/>
      <c r="RWX241" s="16"/>
      <c r="RWY241" s="16"/>
      <c r="RWZ241" s="16"/>
      <c r="RXA241" s="15"/>
      <c r="RXB241" s="15"/>
      <c r="RXC241" s="10"/>
      <c r="RXD241" s="10"/>
      <c r="RXE241" s="19"/>
      <c r="RXF241" s="19"/>
      <c r="RXI241" s="16"/>
      <c r="RXJ241" s="15"/>
      <c r="RXK241" s="15"/>
      <c r="RXL241" s="15"/>
      <c r="RXM241" s="16"/>
      <c r="RXN241" s="16"/>
      <c r="RXO241" s="16"/>
      <c r="RXP241" s="16"/>
      <c r="RXQ241" s="16"/>
      <c r="RXR241" s="15"/>
      <c r="RXS241" s="15"/>
      <c r="RXT241" s="10"/>
      <c r="RXU241" s="10"/>
      <c r="RXV241" s="19"/>
      <c r="RXW241" s="19"/>
      <c r="RXZ241" s="16"/>
      <c r="RYA241" s="15"/>
      <c r="RYB241" s="15"/>
      <c r="RYC241" s="15"/>
      <c r="RYD241" s="16"/>
      <c r="RYE241" s="16"/>
      <c r="RYF241" s="16"/>
      <c r="RYG241" s="16"/>
      <c r="RYH241" s="16"/>
      <c r="RYI241" s="15"/>
      <c r="RYJ241" s="15"/>
      <c r="RYK241" s="10"/>
      <c r="RYL241" s="10"/>
      <c r="RYM241" s="19"/>
      <c r="RYN241" s="19"/>
      <c r="RYQ241" s="16"/>
      <c r="RYR241" s="15"/>
      <c r="RYS241" s="15"/>
      <c r="RYT241" s="15"/>
      <c r="RYU241" s="16"/>
      <c r="RYV241" s="16"/>
      <c r="RYW241" s="16"/>
      <c r="RYX241" s="16"/>
      <c r="RYY241" s="16"/>
      <c r="RYZ241" s="15"/>
      <c r="RZA241" s="15"/>
      <c r="RZB241" s="10"/>
      <c r="RZC241" s="10"/>
      <c r="RZD241" s="19"/>
      <c r="RZE241" s="19"/>
      <c r="RZH241" s="16"/>
      <c r="RZI241" s="15"/>
      <c r="RZJ241" s="15"/>
      <c r="RZK241" s="15"/>
      <c r="RZL241" s="16"/>
      <c r="RZM241" s="16"/>
      <c r="RZN241" s="16"/>
      <c r="RZO241" s="16"/>
      <c r="RZP241" s="16"/>
      <c r="RZQ241" s="15"/>
      <c r="RZR241" s="15"/>
      <c r="RZS241" s="10"/>
      <c r="RZT241" s="10"/>
      <c r="RZU241" s="19"/>
      <c r="RZV241" s="19"/>
      <c r="RZY241" s="16"/>
      <c r="RZZ241" s="15"/>
      <c r="SAA241" s="15"/>
      <c r="SAB241" s="15"/>
      <c r="SAC241" s="16"/>
      <c r="SAD241" s="16"/>
      <c r="SAE241" s="16"/>
      <c r="SAF241" s="16"/>
      <c r="SAG241" s="16"/>
      <c r="SAH241" s="15"/>
      <c r="SAI241" s="15"/>
      <c r="SAJ241" s="10"/>
      <c r="SAK241" s="10"/>
      <c r="SAL241" s="19"/>
      <c r="SAM241" s="19"/>
      <c r="SAP241" s="16"/>
      <c r="SAQ241" s="15"/>
      <c r="SAR241" s="15"/>
      <c r="SAS241" s="15"/>
      <c r="SAT241" s="16"/>
      <c r="SAU241" s="16"/>
      <c r="SAV241" s="16"/>
      <c r="SAW241" s="16"/>
      <c r="SAX241" s="16"/>
      <c r="SAY241" s="15"/>
      <c r="SAZ241" s="15"/>
      <c r="SBA241" s="10"/>
      <c r="SBB241" s="10"/>
      <c r="SBC241" s="19"/>
      <c r="SBD241" s="19"/>
      <c r="SBG241" s="16"/>
      <c r="SBH241" s="15"/>
      <c r="SBI241" s="15"/>
      <c r="SBJ241" s="15"/>
      <c r="SBK241" s="16"/>
      <c r="SBL241" s="16"/>
      <c r="SBM241" s="16"/>
      <c r="SBN241" s="16"/>
      <c r="SBO241" s="16"/>
      <c r="SBP241" s="15"/>
      <c r="SBQ241" s="15"/>
      <c r="SBR241" s="10"/>
      <c r="SBS241" s="10"/>
      <c r="SBT241" s="19"/>
      <c r="SBU241" s="19"/>
      <c r="SBX241" s="16"/>
      <c r="SBY241" s="15"/>
      <c r="SBZ241" s="15"/>
      <c r="SCA241" s="15"/>
      <c r="SCB241" s="16"/>
      <c r="SCC241" s="16"/>
      <c r="SCD241" s="16"/>
      <c r="SCE241" s="16"/>
      <c r="SCF241" s="16"/>
      <c r="SCG241" s="15"/>
      <c r="SCH241" s="15"/>
      <c r="SCI241" s="10"/>
      <c r="SCJ241" s="10"/>
      <c r="SCK241" s="19"/>
      <c r="SCL241" s="19"/>
      <c r="SCO241" s="16"/>
      <c r="SCP241" s="15"/>
      <c r="SCQ241" s="15"/>
      <c r="SCR241" s="15"/>
      <c r="SCS241" s="16"/>
      <c r="SCT241" s="16"/>
      <c r="SCU241" s="16"/>
      <c r="SCV241" s="16"/>
      <c r="SCW241" s="16"/>
      <c r="SCX241" s="15"/>
      <c r="SCY241" s="15"/>
      <c r="SCZ241" s="10"/>
      <c r="SDA241" s="10"/>
      <c r="SDB241" s="19"/>
      <c r="SDC241" s="19"/>
      <c r="SDF241" s="16"/>
      <c r="SDG241" s="15"/>
      <c r="SDH241" s="15"/>
      <c r="SDI241" s="15"/>
      <c r="SDJ241" s="16"/>
      <c r="SDK241" s="16"/>
      <c r="SDL241" s="16"/>
      <c r="SDM241" s="16"/>
      <c r="SDN241" s="16"/>
      <c r="SDO241" s="15"/>
      <c r="SDP241" s="15"/>
      <c r="SDQ241" s="10"/>
      <c r="SDR241" s="10"/>
      <c r="SDS241" s="19"/>
      <c r="SDT241" s="19"/>
      <c r="SDW241" s="16"/>
      <c r="SDX241" s="15"/>
      <c r="SDY241" s="15"/>
      <c r="SDZ241" s="15"/>
      <c r="SEA241" s="16"/>
      <c r="SEB241" s="16"/>
      <c r="SEC241" s="16"/>
      <c r="SED241" s="16"/>
      <c r="SEE241" s="16"/>
      <c r="SEF241" s="15"/>
      <c r="SEG241" s="15"/>
      <c r="SEH241" s="10"/>
      <c r="SEI241" s="10"/>
      <c r="SEJ241" s="19"/>
      <c r="SEK241" s="19"/>
      <c r="SEN241" s="16"/>
      <c r="SEO241" s="15"/>
      <c r="SEP241" s="15"/>
      <c r="SEQ241" s="15"/>
      <c r="SER241" s="16"/>
      <c r="SES241" s="16"/>
      <c r="SET241" s="16"/>
      <c r="SEU241" s="16"/>
      <c r="SEV241" s="16"/>
      <c r="SEW241" s="15"/>
      <c r="SEX241" s="15"/>
      <c r="SEY241" s="10"/>
      <c r="SEZ241" s="10"/>
      <c r="SFA241" s="19"/>
      <c r="SFB241" s="19"/>
      <c r="SFE241" s="16"/>
      <c r="SFF241" s="15"/>
      <c r="SFG241" s="15"/>
      <c r="SFH241" s="15"/>
      <c r="SFI241" s="16"/>
      <c r="SFJ241" s="16"/>
      <c r="SFK241" s="16"/>
      <c r="SFL241" s="16"/>
      <c r="SFM241" s="16"/>
      <c r="SFN241" s="15"/>
      <c r="SFO241" s="15"/>
      <c r="SFP241" s="10"/>
      <c r="SFQ241" s="10"/>
      <c r="SFR241" s="19"/>
      <c r="SFS241" s="19"/>
      <c r="SFV241" s="16"/>
      <c r="SFW241" s="15"/>
      <c r="SFX241" s="15"/>
      <c r="SFY241" s="15"/>
      <c r="SFZ241" s="16"/>
      <c r="SGA241" s="16"/>
      <c r="SGB241" s="16"/>
      <c r="SGC241" s="16"/>
      <c r="SGD241" s="16"/>
      <c r="SGE241" s="15"/>
      <c r="SGF241" s="15"/>
      <c r="SGG241" s="10"/>
      <c r="SGH241" s="10"/>
      <c r="SGI241" s="19"/>
      <c r="SGJ241" s="19"/>
      <c r="SGM241" s="16"/>
      <c r="SGN241" s="15"/>
      <c r="SGO241" s="15"/>
      <c r="SGP241" s="15"/>
      <c r="SGQ241" s="16"/>
      <c r="SGR241" s="16"/>
      <c r="SGS241" s="16"/>
      <c r="SGT241" s="16"/>
      <c r="SGU241" s="16"/>
      <c r="SGV241" s="15"/>
      <c r="SGW241" s="15"/>
      <c r="SGX241" s="10"/>
      <c r="SGY241" s="10"/>
      <c r="SGZ241" s="19"/>
      <c r="SHA241" s="19"/>
      <c r="SHD241" s="16"/>
      <c r="SHE241" s="15"/>
      <c r="SHF241" s="15"/>
      <c r="SHG241" s="15"/>
      <c r="SHH241" s="16"/>
      <c r="SHI241" s="16"/>
      <c r="SHJ241" s="16"/>
      <c r="SHK241" s="16"/>
      <c r="SHL241" s="16"/>
      <c r="SHM241" s="15"/>
      <c r="SHN241" s="15"/>
      <c r="SHO241" s="10"/>
      <c r="SHP241" s="10"/>
      <c r="SHQ241" s="19"/>
      <c r="SHR241" s="19"/>
      <c r="SHU241" s="16"/>
      <c r="SHV241" s="15"/>
      <c r="SHW241" s="15"/>
      <c r="SHX241" s="15"/>
      <c r="SHY241" s="16"/>
      <c r="SHZ241" s="16"/>
      <c r="SIA241" s="16"/>
      <c r="SIB241" s="16"/>
      <c r="SIC241" s="16"/>
      <c r="SID241" s="15"/>
      <c r="SIE241" s="15"/>
      <c r="SIF241" s="10"/>
      <c r="SIG241" s="10"/>
      <c r="SIH241" s="19"/>
      <c r="SII241" s="19"/>
      <c r="SIL241" s="16"/>
      <c r="SIM241" s="15"/>
      <c r="SIN241" s="15"/>
      <c r="SIO241" s="15"/>
      <c r="SIP241" s="16"/>
      <c r="SIQ241" s="16"/>
      <c r="SIR241" s="16"/>
      <c r="SIS241" s="16"/>
      <c r="SIT241" s="16"/>
      <c r="SIU241" s="15"/>
      <c r="SIV241" s="15"/>
      <c r="SIW241" s="10"/>
      <c r="SIX241" s="10"/>
      <c r="SIY241" s="19"/>
      <c r="SIZ241" s="19"/>
      <c r="SJC241" s="16"/>
      <c r="SJD241" s="15"/>
      <c r="SJE241" s="15"/>
      <c r="SJF241" s="15"/>
      <c r="SJG241" s="16"/>
      <c r="SJH241" s="16"/>
      <c r="SJI241" s="16"/>
      <c r="SJJ241" s="16"/>
      <c r="SJK241" s="16"/>
      <c r="SJL241" s="15"/>
      <c r="SJM241" s="15"/>
      <c r="SJN241" s="10"/>
      <c r="SJO241" s="10"/>
      <c r="SJP241" s="19"/>
      <c r="SJQ241" s="19"/>
      <c r="SJT241" s="16"/>
      <c r="SJU241" s="15"/>
      <c r="SJV241" s="15"/>
      <c r="SJW241" s="15"/>
      <c r="SJX241" s="16"/>
      <c r="SJY241" s="16"/>
      <c r="SJZ241" s="16"/>
      <c r="SKA241" s="16"/>
      <c r="SKB241" s="16"/>
      <c r="SKC241" s="15"/>
      <c r="SKD241" s="15"/>
      <c r="SKE241" s="10"/>
      <c r="SKF241" s="10"/>
      <c r="SKG241" s="19"/>
      <c r="SKH241" s="19"/>
      <c r="SKK241" s="16"/>
      <c r="SKL241" s="15"/>
      <c r="SKM241" s="15"/>
      <c r="SKN241" s="15"/>
      <c r="SKO241" s="16"/>
      <c r="SKP241" s="16"/>
      <c r="SKQ241" s="16"/>
      <c r="SKR241" s="16"/>
      <c r="SKS241" s="16"/>
      <c r="SKT241" s="15"/>
      <c r="SKU241" s="15"/>
      <c r="SKV241" s="10"/>
      <c r="SKW241" s="10"/>
      <c r="SKX241" s="19"/>
      <c r="SKY241" s="19"/>
      <c r="SLB241" s="16"/>
      <c r="SLC241" s="15"/>
      <c r="SLD241" s="15"/>
      <c r="SLE241" s="15"/>
      <c r="SLF241" s="16"/>
      <c r="SLG241" s="16"/>
      <c r="SLH241" s="16"/>
      <c r="SLI241" s="16"/>
      <c r="SLJ241" s="16"/>
      <c r="SLK241" s="15"/>
      <c r="SLL241" s="15"/>
      <c r="SLM241" s="10"/>
      <c r="SLN241" s="10"/>
      <c r="SLO241" s="19"/>
      <c r="SLP241" s="19"/>
      <c r="SLS241" s="16"/>
      <c r="SLT241" s="15"/>
      <c r="SLU241" s="15"/>
      <c r="SLV241" s="15"/>
      <c r="SLW241" s="16"/>
      <c r="SLX241" s="16"/>
      <c r="SLY241" s="16"/>
      <c r="SLZ241" s="16"/>
      <c r="SMA241" s="16"/>
      <c r="SMB241" s="15"/>
      <c r="SMC241" s="15"/>
      <c r="SMD241" s="10"/>
      <c r="SME241" s="10"/>
      <c r="SMF241" s="19"/>
      <c r="SMG241" s="19"/>
      <c r="SMJ241" s="16"/>
      <c r="SMK241" s="15"/>
      <c r="SML241" s="15"/>
      <c r="SMM241" s="15"/>
      <c r="SMN241" s="16"/>
      <c r="SMO241" s="16"/>
      <c r="SMP241" s="16"/>
      <c r="SMQ241" s="16"/>
      <c r="SMR241" s="16"/>
      <c r="SMS241" s="15"/>
      <c r="SMT241" s="15"/>
      <c r="SMU241" s="10"/>
      <c r="SMV241" s="10"/>
      <c r="SMW241" s="19"/>
      <c r="SMX241" s="19"/>
      <c r="SNA241" s="16"/>
      <c r="SNB241" s="15"/>
      <c r="SNC241" s="15"/>
      <c r="SND241" s="15"/>
      <c r="SNE241" s="16"/>
      <c r="SNF241" s="16"/>
      <c r="SNG241" s="16"/>
      <c r="SNH241" s="16"/>
      <c r="SNI241" s="16"/>
      <c r="SNJ241" s="15"/>
      <c r="SNK241" s="15"/>
      <c r="SNL241" s="10"/>
      <c r="SNM241" s="10"/>
      <c r="SNN241" s="19"/>
      <c r="SNO241" s="19"/>
      <c r="SNR241" s="16"/>
      <c r="SNS241" s="15"/>
      <c r="SNT241" s="15"/>
      <c r="SNU241" s="15"/>
      <c r="SNV241" s="16"/>
      <c r="SNW241" s="16"/>
      <c r="SNX241" s="16"/>
      <c r="SNY241" s="16"/>
      <c r="SNZ241" s="16"/>
      <c r="SOA241" s="15"/>
      <c r="SOB241" s="15"/>
      <c r="SOC241" s="10"/>
      <c r="SOD241" s="10"/>
      <c r="SOE241" s="19"/>
      <c r="SOF241" s="19"/>
      <c r="SOI241" s="16"/>
      <c r="SOJ241" s="15"/>
      <c r="SOK241" s="15"/>
      <c r="SOL241" s="15"/>
      <c r="SOM241" s="16"/>
      <c r="SON241" s="16"/>
      <c r="SOO241" s="16"/>
      <c r="SOP241" s="16"/>
      <c r="SOQ241" s="16"/>
      <c r="SOR241" s="15"/>
      <c r="SOS241" s="15"/>
      <c r="SOT241" s="10"/>
      <c r="SOU241" s="10"/>
      <c r="SOV241" s="19"/>
      <c r="SOW241" s="19"/>
      <c r="SOZ241" s="16"/>
      <c r="SPA241" s="15"/>
      <c r="SPB241" s="15"/>
      <c r="SPC241" s="15"/>
      <c r="SPD241" s="16"/>
      <c r="SPE241" s="16"/>
      <c r="SPF241" s="16"/>
      <c r="SPG241" s="16"/>
      <c r="SPH241" s="16"/>
      <c r="SPI241" s="15"/>
      <c r="SPJ241" s="15"/>
      <c r="SPK241" s="10"/>
      <c r="SPL241" s="10"/>
      <c r="SPM241" s="19"/>
      <c r="SPN241" s="19"/>
      <c r="SPQ241" s="16"/>
      <c r="SPR241" s="15"/>
      <c r="SPS241" s="15"/>
      <c r="SPT241" s="15"/>
      <c r="SPU241" s="16"/>
      <c r="SPV241" s="16"/>
      <c r="SPW241" s="16"/>
      <c r="SPX241" s="16"/>
      <c r="SPY241" s="16"/>
      <c r="SPZ241" s="15"/>
      <c r="SQA241" s="15"/>
      <c r="SQB241" s="10"/>
      <c r="SQC241" s="10"/>
      <c r="SQD241" s="19"/>
      <c r="SQE241" s="19"/>
      <c r="SQH241" s="16"/>
      <c r="SQI241" s="15"/>
      <c r="SQJ241" s="15"/>
      <c r="SQK241" s="15"/>
      <c r="SQL241" s="16"/>
      <c r="SQM241" s="16"/>
      <c r="SQN241" s="16"/>
      <c r="SQO241" s="16"/>
      <c r="SQP241" s="16"/>
      <c r="SQQ241" s="15"/>
      <c r="SQR241" s="15"/>
      <c r="SQS241" s="10"/>
      <c r="SQT241" s="10"/>
      <c r="SQU241" s="19"/>
      <c r="SQV241" s="19"/>
      <c r="SQY241" s="16"/>
      <c r="SQZ241" s="15"/>
      <c r="SRA241" s="15"/>
      <c r="SRB241" s="15"/>
      <c r="SRC241" s="16"/>
      <c r="SRD241" s="16"/>
      <c r="SRE241" s="16"/>
      <c r="SRF241" s="16"/>
      <c r="SRG241" s="16"/>
      <c r="SRH241" s="15"/>
      <c r="SRI241" s="15"/>
      <c r="SRJ241" s="10"/>
      <c r="SRK241" s="10"/>
      <c r="SRL241" s="19"/>
      <c r="SRM241" s="19"/>
      <c r="SRP241" s="16"/>
      <c r="SRQ241" s="15"/>
      <c r="SRR241" s="15"/>
      <c r="SRS241" s="15"/>
      <c r="SRT241" s="16"/>
      <c r="SRU241" s="16"/>
      <c r="SRV241" s="16"/>
      <c r="SRW241" s="16"/>
      <c r="SRX241" s="16"/>
      <c r="SRY241" s="15"/>
      <c r="SRZ241" s="15"/>
      <c r="SSA241" s="10"/>
      <c r="SSB241" s="10"/>
      <c r="SSC241" s="19"/>
      <c r="SSD241" s="19"/>
      <c r="SSG241" s="16"/>
      <c r="SSH241" s="15"/>
      <c r="SSI241" s="15"/>
      <c r="SSJ241" s="15"/>
      <c r="SSK241" s="16"/>
      <c r="SSL241" s="16"/>
      <c r="SSM241" s="16"/>
      <c r="SSN241" s="16"/>
      <c r="SSO241" s="16"/>
      <c r="SSP241" s="15"/>
      <c r="SSQ241" s="15"/>
      <c r="SSR241" s="10"/>
      <c r="SSS241" s="10"/>
      <c r="SST241" s="19"/>
      <c r="SSU241" s="19"/>
      <c r="SSX241" s="16"/>
      <c r="SSY241" s="15"/>
      <c r="SSZ241" s="15"/>
      <c r="STA241" s="15"/>
      <c r="STB241" s="16"/>
      <c r="STC241" s="16"/>
      <c r="STD241" s="16"/>
      <c r="STE241" s="16"/>
      <c r="STF241" s="16"/>
      <c r="STG241" s="15"/>
      <c r="STH241" s="15"/>
      <c r="STI241" s="10"/>
      <c r="STJ241" s="10"/>
      <c r="STK241" s="19"/>
      <c r="STL241" s="19"/>
      <c r="STO241" s="16"/>
      <c r="STP241" s="15"/>
      <c r="STQ241" s="15"/>
      <c r="STR241" s="15"/>
      <c r="STS241" s="16"/>
      <c r="STT241" s="16"/>
      <c r="STU241" s="16"/>
      <c r="STV241" s="16"/>
      <c r="STW241" s="16"/>
      <c r="STX241" s="15"/>
      <c r="STY241" s="15"/>
      <c r="STZ241" s="10"/>
      <c r="SUA241" s="10"/>
      <c r="SUB241" s="19"/>
      <c r="SUC241" s="19"/>
      <c r="SUF241" s="16"/>
      <c r="SUG241" s="15"/>
      <c r="SUH241" s="15"/>
      <c r="SUI241" s="15"/>
      <c r="SUJ241" s="16"/>
      <c r="SUK241" s="16"/>
      <c r="SUL241" s="16"/>
      <c r="SUM241" s="16"/>
      <c r="SUN241" s="16"/>
      <c r="SUO241" s="15"/>
      <c r="SUP241" s="15"/>
      <c r="SUQ241" s="10"/>
      <c r="SUR241" s="10"/>
      <c r="SUS241" s="19"/>
      <c r="SUT241" s="19"/>
      <c r="SUW241" s="16"/>
      <c r="SUX241" s="15"/>
      <c r="SUY241" s="15"/>
      <c r="SUZ241" s="15"/>
      <c r="SVA241" s="16"/>
      <c r="SVB241" s="16"/>
      <c r="SVC241" s="16"/>
      <c r="SVD241" s="16"/>
      <c r="SVE241" s="16"/>
      <c r="SVF241" s="15"/>
      <c r="SVG241" s="15"/>
      <c r="SVH241" s="10"/>
      <c r="SVI241" s="10"/>
      <c r="SVJ241" s="19"/>
      <c r="SVK241" s="19"/>
      <c r="SVN241" s="16"/>
      <c r="SVO241" s="15"/>
      <c r="SVP241" s="15"/>
      <c r="SVQ241" s="15"/>
      <c r="SVR241" s="16"/>
      <c r="SVS241" s="16"/>
      <c r="SVT241" s="16"/>
      <c r="SVU241" s="16"/>
      <c r="SVV241" s="16"/>
      <c r="SVW241" s="15"/>
      <c r="SVX241" s="15"/>
      <c r="SVY241" s="10"/>
      <c r="SVZ241" s="10"/>
      <c r="SWA241" s="19"/>
      <c r="SWB241" s="19"/>
      <c r="SWE241" s="16"/>
      <c r="SWF241" s="15"/>
      <c r="SWG241" s="15"/>
      <c r="SWH241" s="15"/>
      <c r="SWI241" s="16"/>
      <c r="SWJ241" s="16"/>
      <c r="SWK241" s="16"/>
      <c r="SWL241" s="16"/>
      <c r="SWM241" s="16"/>
      <c r="SWN241" s="15"/>
      <c r="SWO241" s="15"/>
      <c r="SWP241" s="10"/>
      <c r="SWQ241" s="10"/>
      <c r="SWR241" s="19"/>
      <c r="SWS241" s="19"/>
      <c r="SWV241" s="16"/>
      <c r="SWW241" s="15"/>
      <c r="SWX241" s="15"/>
      <c r="SWY241" s="15"/>
      <c r="SWZ241" s="16"/>
      <c r="SXA241" s="16"/>
      <c r="SXB241" s="16"/>
      <c r="SXC241" s="16"/>
      <c r="SXD241" s="16"/>
      <c r="SXE241" s="15"/>
      <c r="SXF241" s="15"/>
      <c r="SXG241" s="10"/>
      <c r="SXH241" s="10"/>
      <c r="SXI241" s="19"/>
      <c r="SXJ241" s="19"/>
      <c r="SXM241" s="16"/>
      <c r="SXN241" s="15"/>
      <c r="SXO241" s="15"/>
      <c r="SXP241" s="15"/>
      <c r="SXQ241" s="16"/>
      <c r="SXR241" s="16"/>
      <c r="SXS241" s="16"/>
      <c r="SXT241" s="16"/>
      <c r="SXU241" s="16"/>
      <c r="SXV241" s="15"/>
      <c r="SXW241" s="15"/>
      <c r="SXX241" s="10"/>
      <c r="SXY241" s="10"/>
      <c r="SXZ241" s="19"/>
      <c r="SYA241" s="19"/>
      <c r="SYD241" s="16"/>
      <c r="SYE241" s="15"/>
      <c r="SYF241" s="15"/>
      <c r="SYG241" s="15"/>
      <c r="SYH241" s="16"/>
      <c r="SYI241" s="16"/>
      <c r="SYJ241" s="16"/>
      <c r="SYK241" s="16"/>
      <c r="SYL241" s="16"/>
      <c r="SYM241" s="15"/>
      <c r="SYN241" s="15"/>
      <c r="SYO241" s="10"/>
      <c r="SYP241" s="10"/>
      <c r="SYQ241" s="19"/>
      <c r="SYR241" s="19"/>
      <c r="SYU241" s="16"/>
      <c r="SYV241" s="15"/>
      <c r="SYW241" s="15"/>
      <c r="SYX241" s="15"/>
      <c r="SYY241" s="16"/>
      <c r="SYZ241" s="16"/>
      <c r="SZA241" s="16"/>
      <c r="SZB241" s="16"/>
      <c r="SZC241" s="16"/>
      <c r="SZD241" s="15"/>
      <c r="SZE241" s="15"/>
      <c r="SZF241" s="10"/>
      <c r="SZG241" s="10"/>
      <c r="SZH241" s="19"/>
      <c r="SZI241" s="19"/>
      <c r="SZL241" s="16"/>
      <c r="SZM241" s="15"/>
      <c r="SZN241" s="15"/>
      <c r="SZO241" s="15"/>
      <c r="SZP241" s="16"/>
      <c r="SZQ241" s="16"/>
      <c r="SZR241" s="16"/>
      <c r="SZS241" s="16"/>
      <c r="SZT241" s="16"/>
      <c r="SZU241" s="15"/>
      <c r="SZV241" s="15"/>
      <c r="SZW241" s="10"/>
      <c r="SZX241" s="10"/>
      <c r="SZY241" s="19"/>
      <c r="SZZ241" s="19"/>
      <c r="TAC241" s="16"/>
      <c r="TAD241" s="15"/>
      <c r="TAE241" s="15"/>
      <c r="TAF241" s="15"/>
      <c r="TAG241" s="16"/>
      <c r="TAH241" s="16"/>
      <c r="TAI241" s="16"/>
      <c r="TAJ241" s="16"/>
      <c r="TAK241" s="16"/>
      <c r="TAL241" s="15"/>
      <c r="TAM241" s="15"/>
      <c r="TAN241" s="10"/>
      <c r="TAO241" s="10"/>
      <c r="TAP241" s="19"/>
      <c r="TAQ241" s="19"/>
      <c r="TAT241" s="16"/>
      <c r="TAU241" s="15"/>
      <c r="TAV241" s="15"/>
      <c r="TAW241" s="15"/>
      <c r="TAX241" s="16"/>
      <c r="TAY241" s="16"/>
      <c r="TAZ241" s="16"/>
      <c r="TBA241" s="16"/>
      <c r="TBB241" s="16"/>
      <c r="TBC241" s="15"/>
      <c r="TBD241" s="15"/>
      <c r="TBE241" s="10"/>
      <c r="TBF241" s="10"/>
      <c r="TBG241" s="19"/>
      <c r="TBH241" s="19"/>
      <c r="TBK241" s="16"/>
      <c r="TBL241" s="15"/>
      <c r="TBM241" s="15"/>
      <c r="TBN241" s="15"/>
      <c r="TBO241" s="16"/>
      <c r="TBP241" s="16"/>
      <c r="TBQ241" s="16"/>
      <c r="TBR241" s="16"/>
      <c r="TBS241" s="16"/>
      <c r="TBT241" s="15"/>
      <c r="TBU241" s="15"/>
      <c r="TBV241" s="10"/>
      <c r="TBW241" s="10"/>
      <c r="TBX241" s="19"/>
      <c r="TBY241" s="19"/>
      <c r="TCB241" s="16"/>
      <c r="TCC241" s="15"/>
      <c r="TCD241" s="15"/>
      <c r="TCE241" s="15"/>
      <c r="TCF241" s="16"/>
      <c r="TCG241" s="16"/>
      <c r="TCH241" s="16"/>
      <c r="TCI241" s="16"/>
      <c r="TCJ241" s="16"/>
      <c r="TCK241" s="15"/>
      <c r="TCL241" s="15"/>
      <c r="TCM241" s="10"/>
      <c r="TCN241" s="10"/>
      <c r="TCO241" s="19"/>
      <c r="TCP241" s="19"/>
      <c r="TCS241" s="16"/>
      <c r="TCT241" s="15"/>
      <c r="TCU241" s="15"/>
      <c r="TCV241" s="15"/>
      <c r="TCW241" s="16"/>
      <c r="TCX241" s="16"/>
      <c r="TCY241" s="16"/>
      <c r="TCZ241" s="16"/>
      <c r="TDA241" s="16"/>
      <c r="TDB241" s="15"/>
      <c r="TDC241" s="15"/>
      <c r="TDD241" s="10"/>
      <c r="TDE241" s="10"/>
      <c r="TDF241" s="19"/>
      <c r="TDG241" s="19"/>
      <c r="TDJ241" s="16"/>
      <c r="TDK241" s="15"/>
      <c r="TDL241" s="15"/>
      <c r="TDM241" s="15"/>
      <c r="TDN241" s="16"/>
      <c r="TDO241" s="16"/>
      <c r="TDP241" s="16"/>
      <c r="TDQ241" s="16"/>
      <c r="TDR241" s="16"/>
      <c r="TDS241" s="15"/>
      <c r="TDT241" s="15"/>
      <c r="TDU241" s="10"/>
      <c r="TDV241" s="10"/>
      <c r="TDW241" s="19"/>
      <c r="TDX241" s="19"/>
      <c r="TEA241" s="16"/>
      <c r="TEB241" s="15"/>
      <c r="TEC241" s="15"/>
      <c r="TED241" s="15"/>
      <c r="TEE241" s="16"/>
      <c r="TEF241" s="16"/>
      <c r="TEG241" s="16"/>
      <c r="TEH241" s="16"/>
      <c r="TEI241" s="16"/>
      <c r="TEJ241" s="15"/>
      <c r="TEK241" s="15"/>
      <c r="TEL241" s="10"/>
      <c r="TEM241" s="10"/>
      <c r="TEN241" s="19"/>
      <c r="TEO241" s="19"/>
      <c r="TER241" s="16"/>
      <c r="TES241" s="15"/>
      <c r="TET241" s="15"/>
      <c r="TEU241" s="15"/>
      <c r="TEV241" s="16"/>
      <c r="TEW241" s="16"/>
      <c r="TEX241" s="16"/>
      <c r="TEY241" s="16"/>
      <c r="TEZ241" s="16"/>
      <c r="TFA241" s="15"/>
      <c r="TFB241" s="15"/>
      <c r="TFC241" s="10"/>
      <c r="TFD241" s="10"/>
      <c r="TFE241" s="19"/>
      <c r="TFF241" s="19"/>
      <c r="TFI241" s="16"/>
      <c r="TFJ241" s="15"/>
      <c r="TFK241" s="15"/>
      <c r="TFL241" s="15"/>
      <c r="TFM241" s="16"/>
      <c r="TFN241" s="16"/>
      <c r="TFO241" s="16"/>
      <c r="TFP241" s="16"/>
      <c r="TFQ241" s="16"/>
      <c r="TFR241" s="15"/>
      <c r="TFS241" s="15"/>
      <c r="TFT241" s="10"/>
      <c r="TFU241" s="10"/>
      <c r="TFV241" s="19"/>
      <c r="TFW241" s="19"/>
      <c r="TFZ241" s="16"/>
      <c r="TGA241" s="15"/>
      <c r="TGB241" s="15"/>
      <c r="TGC241" s="15"/>
      <c r="TGD241" s="16"/>
      <c r="TGE241" s="16"/>
      <c r="TGF241" s="16"/>
      <c r="TGG241" s="16"/>
      <c r="TGH241" s="16"/>
      <c r="TGI241" s="15"/>
      <c r="TGJ241" s="15"/>
      <c r="TGK241" s="10"/>
      <c r="TGL241" s="10"/>
      <c r="TGM241" s="19"/>
      <c r="TGN241" s="19"/>
      <c r="TGQ241" s="16"/>
      <c r="TGR241" s="15"/>
      <c r="TGS241" s="15"/>
      <c r="TGT241" s="15"/>
      <c r="TGU241" s="16"/>
      <c r="TGV241" s="16"/>
      <c r="TGW241" s="16"/>
      <c r="TGX241" s="16"/>
      <c r="TGY241" s="16"/>
      <c r="TGZ241" s="15"/>
      <c r="THA241" s="15"/>
      <c r="THB241" s="10"/>
      <c r="THC241" s="10"/>
      <c r="THD241" s="19"/>
      <c r="THE241" s="19"/>
      <c r="THH241" s="16"/>
      <c r="THI241" s="15"/>
      <c r="THJ241" s="15"/>
      <c r="THK241" s="15"/>
      <c r="THL241" s="16"/>
      <c r="THM241" s="16"/>
      <c r="THN241" s="16"/>
      <c r="THO241" s="16"/>
      <c r="THP241" s="16"/>
      <c r="THQ241" s="15"/>
      <c r="THR241" s="15"/>
      <c r="THS241" s="10"/>
      <c r="THT241" s="10"/>
      <c r="THU241" s="19"/>
      <c r="THV241" s="19"/>
      <c r="THY241" s="16"/>
      <c r="THZ241" s="15"/>
      <c r="TIA241" s="15"/>
      <c r="TIB241" s="15"/>
      <c r="TIC241" s="16"/>
      <c r="TID241" s="16"/>
      <c r="TIE241" s="16"/>
      <c r="TIF241" s="16"/>
      <c r="TIG241" s="16"/>
      <c r="TIH241" s="15"/>
      <c r="TII241" s="15"/>
      <c r="TIJ241" s="10"/>
      <c r="TIK241" s="10"/>
      <c r="TIL241" s="19"/>
      <c r="TIM241" s="19"/>
      <c r="TIP241" s="16"/>
      <c r="TIQ241" s="15"/>
      <c r="TIR241" s="15"/>
      <c r="TIS241" s="15"/>
      <c r="TIT241" s="16"/>
      <c r="TIU241" s="16"/>
      <c r="TIV241" s="16"/>
      <c r="TIW241" s="16"/>
      <c r="TIX241" s="16"/>
      <c r="TIY241" s="15"/>
      <c r="TIZ241" s="15"/>
      <c r="TJA241" s="10"/>
      <c r="TJB241" s="10"/>
      <c r="TJC241" s="19"/>
      <c r="TJD241" s="19"/>
      <c r="TJG241" s="16"/>
      <c r="TJH241" s="15"/>
      <c r="TJI241" s="15"/>
      <c r="TJJ241" s="15"/>
      <c r="TJK241" s="16"/>
      <c r="TJL241" s="16"/>
      <c r="TJM241" s="16"/>
      <c r="TJN241" s="16"/>
      <c r="TJO241" s="16"/>
      <c r="TJP241" s="15"/>
      <c r="TJQ241" s="15"/>
      <c r="TJR241" s="10"/>
      <c r="TJS241" s="10"/>
      <c r="TJT241" s="19"/>
      <c r="TJU241" s="19"/>
      <c r="TJX241" s="16"/>
      <c r="TJY241" s="15"/>
      <c r="TJZ241" s="15"/>
      <c r="TKA241" s="15"/>
      <c r="TKB241" s="16"/>
      <c r="TKC241" s="16"/>
      <c r="TKD241" s="16"/>
      <c r="TKE241" s="16"/>
      <c r="TKF241" s="16"/>
      <c r="TKG241" s="15"/>
      <c r="TKH241" s="15"/>
      <c r="TKI241" s="10"/>
      <c r="TKJ241" s="10"/>
      <c r="TKK241" s="19"/>
      <c r="TKL241" s="19"/>
      <c r="TKO241" s="16"/>
      <c r="TKP241" s="15"/>
      <c r="TKQ241" s="15"/>
      <c r="TKR241" s="15"/>
      <c r="TKS241" s="16"/>
      <c r="TKT241" s="16"/>
      <c r="TKU241" s="16"/>
      <c r="TKV241" s="16"/>
      <c r="TKW241" s="16"/>
      <c r="TKX241" s="15"/>
      <c r="TKY241" s="15"/>
      <c r="TKZ241" s="10"/>
      <c r="TLA241" s="10"/>
      <c r="TLB241" s="19"/>
      <c r="TLC241" s="19"/>
      <c r="TLF241" s="16"/>
      <c r="TLG241" s="15"/>
      <c r="TLH241" s="15"/>
      <c r="TLI241" s="15"/>
      <c r="TLJ241" s="16"/>
      <c r="TLK241" s="16"/>
      <c r="TLL241" s="16"/>
      <c r="TLM241" s="16"/>
      <c r="TLN241" s="16"/>
      <c r="TLO241" s="15"/>
      <c r="TLP241" s="15"/>
      <c r="TLQ241" s="10"/>
      <c r="TLR241" s="10"/>
      <c r="TLS241" s="19"/>
      <c r="TLT241" s="19"/>
      <c r="TLW241" s="16"/>
      <c r="TLX241" s="15"/>
      <c r="TLY241" s="15"/>
      <c r="TLZ241" s="15"/>
      <c r="TMA241" s="16"/>
      <c r="TMB241" s="16"/>
      <c r="TMC241" s="16"/>
      <c r="TMD241" s="16"/>
      <c r="TME241" s="16"/>
      <c r="TMF241" s="15"/>
      <c r="TMG241" s="15"/>
      <c r="TMH241" s="10"/>
      <c r="TMI241" s="10"/>
      <c r="TMJ241" s="19"/>
      <c r="TMK241" s="19"/>
      <c r="TMN241" s="16"/>
      <c r="TMO241" s="15"/>
      <c r="TMP241" s="15"/>
      <c r="TMQ241" s="15"/>
      <c r="TMR241" s="16"/>
      <c r="TMS241" s="16"/>
      <c r="TMT241" s="16"/>
      <c r="TMU241" s="16"/>
      <c r="TMV241" s="16"/>
      <c r="TMW241" s="15"/>
      <c r="TMX241" s="15"/>
      <c r="TMY241" s="10"/>
      <c r="TMZ241" s="10"/>
      <c r="TNA241" s="19"/>
      <c r="TNB241" s="19"/>
      <c r="TNE241" s="16"/>
      <c r="TNF241" s="15"/>
      <c r="TNG241" s="15"/>
      <c r="TNH241" s="15"/>
      <c r="TNI241" s="16"/>
      <c r="TNJ241" s="16"/>
      <c r="TNK241" s="16"/>
      <c r="TNL241" s="16"/>
      <c r="TNM241" s="16"/>
      <c r="TNN241" s="15"/>
      <c r="TNO241" s="15"/>
      <c r="TNP241" s="10"/>
      <c r="TNQ241" s="10"/>
      <c r="TNR241" s="19"/>
      <c r="TNS241" s="19"/>
      <c r="TNV241" s="16"/>
      <c r="TNW241" s="15"/>
      <c r="TNX241" s="15"/>
      <c r="TNY241" s="15"/>
      <c r="TNZ241" s="16"/>
      <c r="TOA241" s="16"/>
      <c r="TOB241" s="16"/>
      <c r="TOC241" s="16"/>
      <c r="TOD241" s="16"/>
      <c r="TOE241" s="15"/>
      <c r="TOF241" s="15"/>
      <c r="TOG241" s="10"/>
      <c r="TOH241" s="10"/>
      <c r="TOI241" s="19"/>
      <c r="TOJ241" s="19"/>
      <c r="TOM241" s="16"/>
      <c r="TON241" s="15"/>
      <c r="TOO241" s="15"/>
      <c r="TOP241" s="15"/>
      <c r="TOQ241" s="16"/>
      <c r="TOR241" s="16"/>
      <c r="TOS241" s="16"/>
      <c r="TOT241" s="16"/>
      <c r="TOU241" s="16"/>
      <c r="TOV241" s="15"/>
      <c r="TOW241" s="15"/>
      <c r="TOX241" s="10"/>
      <c r="TOY241" s="10"/>
      <c r="TOZ241" s="19"/>
      <c r="TPA241" s="19"/>
      <c r="TPD241" s="16"/>
      <c r="TPE241" s="15"/>
      <c r="TPF241" s="15"/>
      <c r="TPG241" s="15"/>
      <c r="TPH241" s="16"/>
      <c r="TPI241" s="16"/>
      <c r="TPJ241" s="16"/>
      <c r="TPK241" s="16"/>
      <c r="TPL241" s="16"/>
      <c r="TPM241" s="15"/>
      <c r="TPN241" s="15"/>
      <c r="TPO241" s="10"/>
      <c r="TPP241" s="10"/>
      <c r="TPQ241" s="19"/>
      <c r="TPR241" s="19"/>
      <c r="TPU241" s="16"/>
      <c r="TPV241" s="15"/>
      <c r="TPW241" s="15"/>
      <c r="TPX241" s="15"/>
      <c r="TPY241" s="16"/>
      <c r="TPZ241" s="16"/>
      <c r="TQA241" s="16"/>
      <c r="TQB241" s="16"/>
      <c r="TQC241" s="16"/>
      <c r="TQD241" s="15"/>
      <c r="TQE241" s="15"/>
      <c r="TQF241" s="10"/>
      <c r="TQG241" s="10"/>
      <c r="TQH241" s="19"/>
      <c r="TQI241" s="19"/>
      <c r="TQL241" s="16"/>
      <c r="TQM241" s="15"/>
      <c r="TQN241" s="15"/>
      <c r="TQO241" s="15"/>
      <c r="TQP241" s="16"/>
      <c r="TQQ241" s="16"/>
      <c r="TQR241" s="16"/>
      <c r="TQS241" s="16"/>
      <c r="TQT241" s="16"/>
      <c r="TQU241" s="15"/>
      <c r="TQV241" s="15"/>
      <c r="TQW241" s="10"/>
      <c r="TQX241" s="10"/>
      <c r="TQY241" s="19"/>
      <c r="TQZ241" s="19"/>
      <c r="TRC241" s="16"/>
      <c r="TRD241" s="15"/>
      <c r="TRE241" s="15"/>
      <c r="TRF241" s="15"/>
      <c r="TRG241" s="16"/>
      <c r="TRH241" s="16"/>
      <c r="TRI241" s="16"/>
      <c r="TRJ241" s="16"/>
      <c r="TRK241" s="16"/>
      <c r="TRL241" s="15"/>
      <c r="TRM241" s="15"/>
      <c r="TRN241" s="10"/>
      <c r="TRO241" s="10"/>
      <c r="TRP241" s="19"/>
      <c r="TRQ241" s="19"/>
      <c r="TRT241" s="16"/>
      <c r="TRU241" s="15"/>
      <c r="TRV241" s="15"/>
      <c r="TRW241" s="15"/>
      <c r="TRX241" s="16"/>
      <c r="TRY241" s="16"/>
      <c r="TRZ241" s="16"/>
      <c r="TSA241" s="16"/>
      <c r="TSB241" s="16"/>
      <c r="TSC241" s="15"/>
      <c r="TSD241" s="15"/>
      <c r="TSE241" s="10"/>
      <c r="TSF241" s="10"/>
      <c r="TSG241" s="19"/>
      <c r="TSH241" s="19"/>
      <c r="TSK241" s="16"/>
      <c r="TSL241" s="15"/>
      <c r="TSM241" s="15"/>
      <c r="TSN241" s="15"/>
      <c r="TSO241" s="16"/>
      <c r="TSP241" s="16"/>
      <c r="TSQ241" s="16"/>
      <c r="TSR241" s="16"/>
      <c r="TSS241" s="16"/>
      <c r="TST241" s="15"/>
      <c r="TSU241" s="15"/>
      <c r="TSV241" s="10"/>
      <c r="TSW241" s="10"/>
      <c r="TSX241" s="19"/>
      <c r="TSY241" s="19"/>
      <c r="TTB241" s="16"/>
      <c r="TTC241" s="15"/>
      <c r="TTD241" s="15"/>
      <c r="TTE241" s="15"/>
      <c r="TTF241" s="16"/>
      <c r="TTG241" s="16"/>
      <c r="TTH241" s="16"/>
      <c r="TTI241" s="16"/>
      <c r="TTJ241" s="16"/>
      <c r="TTK241" s="15"/>
      <c r="TTL241" s="15"/>
      <c r="TTM241" s="10"/>
      <c r="TTN241" s="10"/>
      <c r="TTO241" s="19"/>
      <c r="TTP241" s="19"/>
      <c r="TTS241" s="16"/>
      <c r="TTT241" s="15"/>
      <c r="TTU241" s="15"/>
      <c r="TTV241" s="15"/>
      <c r="TTW241" s="16"/>
      <c r="TTX241" s="16"/>
      <c r="TTY241" s="16"/>
      <c r="TTZ241" s="16"/>
      <c r="TUA241" s="16"/>
      <c r="TUB241" s="15"/>
      <c r="TUC241" s="15"/>
      <c r="TUD241" s="10"/>
      <c r="TUE241" s="10"/>
      <c r="TUF241" s="19"/>
      <c r="TUG241" s="19"/>
      <c r="TUJ241" s="16"/>
      <c r="TUK241" s="15"/>
      <c r="TUL241" s="15"/>
      <c r="TUM241" s="15"/>
      <c r="TUN241" s="16"/>
      <c r="TUO241" s="16"/>
      <c r="TUP241" s="16"/>
      <c r="TUQ241" s="16"/>
      <c r="TUR241" s="16"/>
      <c r="TUS241" s="15"/>
      <c r="TUT241" s="15"/>
      <c r="TUU241" s="10"/>
      <c r="TUV241" s="10"/>
      <c r="TUW241" s="19"/>
      <c r="TUX241" s="19"/>
      <c r="TVA241" s="16"/>
      <c r="TVB241" s="15"/>
      <c r="TVC241" s="15"/>
      <c r="TVD241" s="15"/>
      <c r="TVE241" s="16"/>
      <c r="TVF241" s="16"/>
      <c r="TVG241" s="16"/>
      <c r="TVH241" s="16"/>
      <c r="TVI241" s="16"/>
      <c r="TVJ241" s="15"/>
      <c r="TVK241" s="15"/>
      <c r="TVL241" s="10"/>
      <c r="TVM241" s="10"/>
      <c r="TVN241" s="19"/>
      <c r="TVO241" s="19"/>
      <c r="TVR241" s="16"/>
      <c r="TVS241" s="15"/>
      <c r="TVT241" s="15"/>
      <c r="TVU241" s="15"/>
      <c r="TVV241" s="16"/>
      <c r="TVW241" s="16"/>
      <c r="TVX241" s="16"/>
      <c r="TVY241" s="16"/>
      <c r="TVZ241" s="16"/>
      <c r="TWA241" s="15"/>
      <c r="TWB241" s="15"/>
      <c r="TWC241" s="10"/>
      <c r="TWD241" s="10"/>
      <c r="TWE241" s="19"/>
      <c r="TWF241" s="19"/>
      <c r="TWI241" s="16"/>
      <c r="TWJ241" s="15"/>
      <c r="TWK241" s="15"/>
      <c r="TWL241" s="15"/>
      <c r="TWM241" s="16"/>
      <c r="TWN241" s="16"/>
      <c r="TWO241" s="16"/>
      <c r="TWP241" s="16"/>
      <c r="TWQ241" s="16"/>
      <c r="TWR241" s="15"/>
      <c r="TWS241" s="15"/>
      <c r="TWT241" s="10"/>
      <c r="TWU241" s="10"/>
      <c r="TWV241" s="19"/>
      <c r="TWW241" s="19"/>
      <c r="TWZ241" s="16"/>
      <c r="TXA241" s="15"/>
      <c r="TXB241" s="15"/>
      <c r="TXC241" s="15"/>
      <c r="TXD241" s="16"/>
      <c r="TXE241" s="16"/>
      <c r="TXF241" s="16"/>
      <c r="TXG241" s="16"/>
      <c r="TXH241" s="16"/>
      <c r="TXI241" s="15"/>
      <c r="TXJ241" s="15"/>
      <c r="TXK241" s="10"/>
      <c r="TXL241" s="10"/>
      <c r="TXM241" s="19"/>
      <c r="TXN241" s="19"/>
      <c r="TXQ241" s="16"/>
      <c r="TXR241" s="15"/>
      <c r="TXS241" s="15"/>
      <c r="TXT241" s="15"/>
      <c r="TXU241" s="16"/>
      <c r="TXV241" s="16"/>
      <c r="TXW241" s="16"/>
      <c r="TXX241" s="16"/>
      <c r="TXY241" s="16"/>
      <c r="TXZ241" s="15"/>
      <c r="TYA241" s="15"/>
      <c r="TYB241" s="10"/>
      <c r="TYC241" s="10"/>
      <c r="TYD241" s="19"/>
      <c r="TYE241" s="19"/>
      <c r="TYH241" s="16"/>
      <c r="TYI241" s="15"/>
      <c r="TYJ241" s="15"/>
      <c r="TYK241" s="15"/>
      <c r="TYL241" s="16"/>
      <c r="TYM241" s="16"/>
      <c r="TYN241" s="16"/>
      <c r="TYO241" s="16"/>
      <c r="TYP241" s="16"/>
      <c r="TYQ241" s="15"/>
      <c r="TYR241" s="15"/>
      <c r="TYS241" s="10"/>
      <c r="TYT241" s="10"/>
      <c r="TYU241" s="19"/>
      <c r="TYV241" s="19"/>
      <c r="TYY241" s="16"/>
      <c r="TYZ241" s="15"/>
      <c r="TZA241" s="15"/>
      <c r="TZB241" s="15"/>
      <c r="TZC241" s="16"/>
      <c r="TZD241" s="16"/>
      <c r="TZE241" s="16"/>
      <c r="TZF241" s="16"/>
      <c r="TZG241" s="16"/>
      <c r="TZH241" s="15"/>
      <c r="TZI241" s="15"/>
      <c r="TZJ241" s="10"/>
      <c r="TZK241" s="10"/>
      <c r="TZL241" s="19"/>
      <c r="TZM241" s="19"/>
      <c r="TZP241" s="16"/>
      <c r="TZQ241" s="15"/>
      <c r="TZR241" s="15"/>
      <c r="TZS241" s="15"/>
      <c r="TZT241" s="16"/>
      <c r="TZU241" s="16"/>
      <c r="TZV241" s="16"/>
      <c r="TZW241" s="16"/>
      <c r="TZX241" s="16"/>
      <c r="TZY241" s="15"/>
      <c r="TZZ241" s="15"/>
      <c r="UAA241" s="10"/>
      <c r="UAB241" s="10"/>
      <c r="UAC241" s="19"/>
      <c r="UAD241" s="19"/>
      <c r="UAG241" s="16"/>
      <c r="UAH241" s="15"/>
      <c r="UAI241" s="15"/>
      <c r="UAJ241" s="15"/>
      <c r="UAK241" s="16"/>
      <c r="UAL241" s="16"/>
      <c r="UAM241" s="16"/>
      <c r="UAN241" s="16"/>
      <c r="UAO241" s="16"/>
      <c r="UAP241" s="15"/>
      <c r="UAQ241" s="15"/>
      <c r="UAR241" s="10"/>
      <c r="UAS241" s="10"/>
      <c r="UAT241" s="19"/>
      <c r="UAU241" s="19"/>
      <c r="UAX241" s="16"/>
      <c r="UAY241" s="15"/>
      <c r="UAZ241" s="15"/>
      <c r="UBA241" s="15"/>
      <c r="UBB241" s="16"/>
      <c r="UBC241" s="16"/>
      <c r="UBD241" s="16"/>
      <c r="UBE241" s="16"/>
      <c r="UBF241" s="16"/>
      <c r="UBG241" s="15"/>
      <c r="UBH241" s="15"/>
      <c r="UBI241" s="10"/>
      <c r="UBJ241" s="10"/>
      <c r="UBK241" s="19"/>
      <c r="UBL241" s="19"/>
      <c r="UBO241" s="16"/>
      <c r="UBP241" s="15"/>
      <c r="UBQ241" s="15"/>
      <c r="UBR241" s="15"/>
      <c r="UBS241" s="16"/>
      <c r="UBT241" s="16"/>
      <c r="UBU241" s="16"/>
      <c r="UBV241" s="16"/>
      <c r="UBW241" s="16"/>
      <c r="UBX241" s="15"/>
      <c r="UBY241" s="15"/>
      <c r="UBZ241" s="10"/>
      <c r="UCA241" s="10"/>
      <c r="UCB241" s="19"/>
      <c r="UCC241" s="19"/>
      <c r="UCF241" s="16"/>
      <c r="UCG241" s="15"/>
      <c r="UCH241" s="15"/>
      <c r="UCI241" s="15"/>
      <c r="UCJ241" s="16"/>
      <c r="UCK241" s="16"/>
      <c r="UCL241" s="16"/>
      <c r="UCM241" s="16"/>
      <c r="UCN241" s="16"/>
      <c r="UCO241" s="15"/>
      <c r="UCP241" s="15"/>
      <c r="UCQ241" s="10"/>
      <c r="UCR241" s="10"/>
      <c r="UCS241" s="19"/>
      <c r="UCT241" s="19"/>
      <c r="UCW241" s="16"/>
      <c r="UCX241" s="15"/>
      <c r="UCY241" s="15"/>
      <c r="UCZ241" s="15"/>
      <c r="UDA241" s="16"/>
      <c r="UDB241" s="16"/>
      <c r="UDC241" s="16"/>
      <c r="UDD241" s="16"/>
      <c r="UDE241" s="16"/>
      <c r="UDF241" s="15"/>
      <c r="UDG241" s="15"/>
      <c r="UDH241" s="10"/>
      <c r="UDI241" s="10"/>
      <c r="UDJ241" s="19"/>
      <c r="UDK241" s="19"/>
      <c r="UDN241" s="16"/>
      <c r="UDO241" s="15"/>
      <c r="UDP241" s="15"/>
      <c r="UDQ241" s="15"/>
      <c r="UDR241" s="16"/>
      <c r="UDS241" s="16"/>
      <c r="UDT241" s="16"/>
      <c r="UDU241" s="16"/>
      <c r="UDV241" s="16"/>
      <c r="UDW241" s="15"/>
      <c r="UDX241" s="15"/>
      <c r="UDY241" s="10"/>
      <c r="UDZ241" s="10"/>
      <c r="UEA241" s="19"/>
      <c r="UEB241" s="19"/>
      <c r="UEE241" s="16"/>
      <c r="UEF241" s="15"/>
      <c r="UEG241" s="15"/>
      <c r="UEH241" s="15"/>
      <c r="UEI241" s="16"/>
      <c r="UEJ241" s="16"/>
      <c r="UEK241" s="16"/>
      <c r="UEL241" s="16"/>
      <c r="UEM241" s="16"/>
      <c r="UEN241" s="15"/>
      <c r="UEO241" s="15"/>
      <c r="UEP241" s="10"/>
      <c r="UEQ241" s="10"/>
      <c r="UER241" s="19"/>
      <c r="UES241" s="19"/>
      <c r="UEV241" s="16"/>
      <c r="UEW241" s="15"/>
      <c r="UEX241" s="15"/>
      <c r="UEY241" s="15"/>
      <c r="UEZ241" s="16"/>
      <c r="UFA241" s="16"/>
      <c r="UFB241" s="16"/>
      <c r="UFC241" s="16"/>
      <c r="UFD241" s="16"/>
      <c r="UFE241" s="15"/>
      <c r="UFF241" s="15"/>
      <c r="UFG241" s="10"/>
      <c r="UFH241" s="10"/>
      <c r="UFI241" s="19"/>
      <c r="UFJ241" s="19"/>
      <c r="UFM241" s="16"/>
      <c r="UFN241" s="15"/>
      <c r="UFO241" s="15"/>
      <c r="UFP241" s="15"/>
      <c r="UFQ241" s="16"/>
      <c r="UFR241" s="16"/>
      <c r="UFS241" s="16"/>
      <c r="UFT241" s="16"/>
      <c r="UFU241" s="16"/>
      <c r="UFV241" s="15"/>
      <c r="UFW241" s="15"/>
      <c r="UFX241" s="10"/>
      <c r="UFY241" s="10"/>
      <c r="UFZ241" s="19"/>
      <c r="UGA241" s="19"/>
      <c r="UGD241" s="16"/>
      <c r="UGE241" s="15"/>
      <c r="UGF241" s="15"/>
      <c r="UGG241" s="15"/>
      <c r="UGH241" s="16"/>
      <c r="UGI241" s="16"/>
      <c r="UGJ241" s="16"/>
      <c r="UGK241" s="16"/>
      <c r="UGL241" s="16"/>
      <c r="UGM241" s="15"/>
      <c r="UGN241" s="15"/>
      <c r="UGO241" s="10"/>
      <c r="UGP241" s="10"/>
      <c r="UGQ241" s="19"/>
      <c r="UGR241" s="19"/>
      <c r="UGU241" s="16"/>
      <c r="UGV241" s="15"/>
      <c r="UGW241" s="15"/>
      <c r="UGX241" s="15"/>
      <c r="UGY241" s="16"/>
      <c r="UGZ241" s="16"/>
      <c r="UHA241" s="16"/>
      <c r="UHB241" s="16"/>
      <c r="UHC241" s="16"/>
      <c r="UHD241" s="15"/>
      <c r="UHE241" s="15"/>
      <c r="UHF241" s="10"/>
      <c r="UHG241" s="10"/>
      <c r="UHH241" s="19"/>
      <c r="UHI241" s="19"/>
      <c r="UHL241" s="16"/>
      <c r="UHM241" s="15"/>
      <c r="UHN241" s="15"/>
      <c r="UHO241" s="15"/>
      <c r="UHP241" s="16"/>
      <c r="UHQ241" s="16"/>
      <c r="UHR241" s="16"/>
      <c r="UHS241" s="16"/>
      <c r="UHT241" s="16"/>
      <c r="UHU241" s="15"/>
      <c r="UHV241" s="15"/>
      <c r="UHW241" s="10"/>
      <c r="UHX241" s="10"/>
      <c r="UHY241" s="19"/>
      <c r="UHZ241" s="19"/>
      <c r="UIC241" s="16"/>
      <c r="UID241" s="15"/>
      <c r="UIE241" s="15"/>
      <c r="UIF241" s="15"/>
      <c r="UIG241" s="16"/>
      <c r="UIH241" s="16"/>
      <c r="UII241" s="16"/>
      <c r="UIJ241" s="16"/>
      <c r="UIK241" s="16"/>
      <c r="UIL241" s="15"/>
      <c r="UIM241" s="15"/>
      <c r="UIN241" s="10"/>
      <c r="UIO241" s="10"/>
      <c r="UIP241" s="19"/>
      <c r="UIQ241" s="19"/>
      <c r="UIT241" s="16"/>
      <c r="UIU241" s="15"/>
      <c r="UIV241" s="15"/>
      <c r="UIW241" s="15"/>
      <c r="UIX241" s="16"/>
      <c r="UIY241" s="16"/>
      <c r="UIZ241" s="16"/>
      <c r="UJA241" s="16"/>
      <c r="UJB241" s="16"/>
      <c r="UJC241" s="15"/>
      <c r="UJD241" s="15"/>
      <c r="UJE241" s="10"/>
      <c r="UJF241" s="10"/>
      <c r="UJG241" s="19"/>
      <c r="UJH241" s="19"/>
      <c r="UJK241" s="16"/>
      <c r="UJL241" s="15"/>
      <c r="UJM241" s="15"/>
      <c r="UJN241" s="15"/>
      <c r="UJO241" s="16"/>
      <c r="UJP241" s="16"/>
      <c r="UJQ241" s="16"/>
      <c r="UJR241" s="16"/>
      <c r="UJS241" s="16"/>
      <c r="UJT241" s="15"/>
      <c r="UJU241" s="15"/>
      <c r="UJV241" s="10"/>
      <c r="UJW241" s="10"/>
      <c r="UJX241" s="19"/>
      <c r="UJY241" s="19"/>
      <c r="UKB241" s="16"/>
      <c r="UKC241" s="15"/>
      <c r="UKD241" s="15"/>
      <c r="UKE241" s="15"/>
      <c r="UKF241" s="16"/>
      <c r="UKG241" s="16"/>
      <c r="UKH241" s="16"/>
      <c r="UKI241" s="16"/>
      <c r="UKJ241" s="16"/>
      <c r="UKK241" s="15"/>
      <c r="UKL241" s="15"/>
      <c r="UKM241" s="10"/>
      <c r="UKN241" s="10"/>
      <c r="UKO241" s="19"/>
      <c r="UKP241" s="19"/>
      <c r="UKS241" s="16"/>
      <c r="UKT241" s="15"/>
      <c r="UKU241" s="15"/>
      <c r="UKV241" s="15"/>
      <c r="UKW241" s="16"/>
      <c r="UKX241" s="16"/>
      <c r="UKY241" s="16"/>
      <c r="UKZ241" s="16"/>
      <c r="ULA241" s="16"/>
      <c r="ULB241" s="15"/>
      <c r="ULC241" s="15"/>
      <c r="ULD241" s="10"/>
      <c r="ULE241" s="10"/>
      <c r="ULF241" s="19"/>
      <c r="ULG241" s="19"/>
      <c r="ULJ241" s="16"/>
      <c r="ULK241" s="15"/>
      <c r="ULL241" s="15"/>
      <c r="ULM241" s="15"/>
      <c r="ULN241" s="16"/>
      <c r="ULO241" s="16"/>
      <c r="ULP241" s="16"/>
      <c r="ULQ241" s="16"/>
      <c r="ULR241" s="16"/>
      <c r="ULS241" s="15"/>
      <c r="ULT241" s="15"/>
      <c r="ULU241" s="10"/>
      <c r="ULV241" s="10"/>
      <c r="ULW241" s="19"/>
      <c r="ULX241" s="19"/>
      <c r="UMA241" s="16"/>
      <c r="UMB241" s="15"/>
      <c r="UMC241" s="15"/>
      <c r="UMD241" s="15"/>
      <c r="UME241" s="16"/>
      <c r="UMF241" s="16"/>
      <c r="UMG241" s="16"/>
      <c r="UMH241" s="16"/>
      <c r="UMI241" s="16"/>
      <c r="UMJ241" s="15"/>
      <c r="UMK241" s="15"/>
      <c r="UML241" s="10"/>
      <c r="UMM241" s="10"/>
      <c r="UMN241" s="19"/>
      <c r="UMO241" s="19"/>
      <c r="UMR241" s="16"/>
      <c r="UMS241" s="15"/>
      <c r="UMT241" s="15"/>
      <c r="UMU241" s="15"/>
      <c r="UMV241" s="16"/>
      <c r="UMW241" s="16"/>
      <c r="UMX241" s="16"/>
      <c r="UMY241" s="16"/>
      <c r="UMZ241" s="16"/>
      <c r="UNA241" s="15"/>
      <c r="UNB241" s="15"/>
      <c r="UNC241" s="10"/>
      <c r="UND241" s="10"/>
      <c r="UNE241" s="19"/>
      <c r="UNF241" s="19"/>
      <c r="UNI241" s="16"/>
      <c r="UNJ241" s="15"/>
      <c r="UNK241" s="15"/>
      <c r="UNL241" s="15"/>
      <c r="UNM241" s="16"/>
      <c r="UNN241" s="16"/>
      <c r="UNO241" s="16"/>
      <c r="UNP241" s="16"/>
      <c r="UNQ241" s="16"/>
      <c r="UNR241" s="15"/>
      <c r="UNS241" s="15"/>
      <c r="UNT241" s="10"/>
      <c r="UNU241" s="10"/>
      <c r="UNV241" s="19"/>
      <c r="UNW241" s="19"/>
      <c r="UNZ241" s="16"/>
      <c r="UOA241" s="15"/>
      <c r="UOB241" s="15"/>
      <c r="UOC241" s="15"/>
      <c r="UOD241" s="16"/>
      <c r="UOE241" s="16"/>
      <c r="UOF241" s="16"/>
      <c r="UOG241" s="16"/>
      <c r="UOH241" s="16"/>
      <c r="UOI241" s="15"/>
      <c r="UOJ241" s="15"/>
      <c r="UOK241" s="10"/>
      <c r="UOL241" s="10"/>
      <c r="UOM241" s="19"/>
      <c r="UON241" s="19"/>
      <c r="UOQ241" s="16"/>
      <c r="UOR241" s="15"/>
      <c r="UOS241" s="15"/>
      <c r="UOT241" s="15"/>
      <c r="UOU241" s="16"/>
      <c r="UOV241" s="16"/>
      <c r="UOW241" s="16"/>
      <c r="UOX241" s="16"/>
      <c r="UOY241" s="16"/>
      <c r="UOZ241" s="15"/>
      <c r="UPA241" s="15"/>
      <c r="UPB241" s="10"/>
      <c r="UPC241" s="10"/>
      <c r="UPD241" s="19"/>
      <c r="UPE241" s="19"/>
      <c r="UPH241" s="16"/>
      <c r="UPI241" s="15"/>
      <c r="UPJ241" s="15"/>
      <c r="UPK241" s="15"/>
      <c r="UPL241" s="16"/>
      <c r="UPM241" s="16"/>
      <c r="UPN241" s="16"/>
      <c r="UPO241" s="16"/>
      <c r="UPP241" s="16"/>
      <c r="UPQ241" s="15"/>
      <c r="UPR241" s="15"/>
      <c r="UPS241" s="10"/>
      <c r="UPT241" s="10"/>
      <c r="UPU241" s="19"/>
      <c r="UPV241" s="19"/>
      <c r="UPY241" s="16"/>
      <c r="UPZ241" s="15"/>
      <c r="UQA241" s="15"/>
      <c r="UQB241" s="15"/>
      <c r="UQC241" s="16"/>
      <c r="UQD241" s="16"/>
      <c r="UQE241" s="16"/>
      <c r="UQF241" s="16"/>
      <c r="UQG241" s="16"/>
      <c r="UQH241" s="15"/>
      <c r="UQI241" s="15"/>
      <c r="UQJ241" s="10"/>
      <c r="UQK241" s="10"/>
      <c r="UQL241" s="19"/>
      <c r="UQM241" s="19"/>
      <c r="UQP241" s="16"/>
      <c r="UQQ241" s="15"/>
      <c r="UQR241" s="15"/>
      <c r="UQS241" s="15"/>
      <c r="UQT241" s="16"/>
      <c r="UQU241" s="16"/>
      <c r="UQV241" s="16"/>
      <c r="UQW241" s="16"/>
      <c r="UQX241" s="16"/>
      <c r="UQY241" s="15"/>
      <c r="UQZ241" s="15"/>
      <c r="URA241" s="10"/>
      <c r="URB241" s="10"/>
      <c r="URC241" s="19"/>
      <c r="URD241" s="19"/>
      <c r="URG241" s="16"/>
      <c r="URH241" s="15"/>
      <c r="URI241" s="15"/>
      <c r="URJ241" s="15"/>
      <c r="URK241" s="16"/>
      <c r="URL241" s="16"/>
      <c r="URM241" s="16"/>
      <c r="URN241" s="16"/>
      <c r="URO241" s="16"/>
      <c r="URP241" s="15"/>
      <c r="URQ241" s="15"/>
      <c r="URR241" s="10"/>
      <c r="URS241" s="10"/>
      <c r="URT241" s="19"/>
      <c r="URU241" s="19"/>
      <c r="URX241" s="16"/>
      <c r="URY241" s="15"/>
      <c r="URZ241" s="15"/>
      <c r="USA241" s="15"/>
      <c r="USB241" s="16"/>
      <c r="USC241" s="16"/>
      <c r="USD241" s="16"/>
      <c r="USE241" s="16"/>
      <c r="USF241" s="16"/>
      <c r="USG241" s="15"/>
      <c r="USH241" s="15"/>
      <c r="USI241" s="10"/>
      <c r="USJ241" s="10"/>
      <c r="USK241" s="19"/>
      <c r="USL241" s="19"/>
      <c r="USO241" s="16"/>
      <c r="USP241" s="15"/>
      <c r="USQ241" s="15"/>
      <c r="USR241" s="15"/>
      <c r="USS241" s="16"/>
      <c r="UST241" s="16"/>
      <c r="USU241" s="16"/>
      <c r="USV241" s="16"/>
      <c r="USW241" s="16"/>
      <c r="USX241" s="15"/>
      <c r="USY241" s="15"/>
      <c r="USZ241" s="10"/>
      <c r="UTA241" s="10"/>
      <c r="UTB241" s="19"/>
      <c r="UTC241" s="19"/>
      <c r="UTF241" s="16"/>
      <c r="UTG241" s="15"/>
      <c r="UTH241" s="15"/>
      <c r="UTI241" s="15"/>
      <c r="UTJ241" s="16"/>
      <c r="UTK241" s="16"/>
      <c r="UTL241" s="16"/>
      <c r="UTM241" s="16"/>
      <c r="UTN241" s="16"/>
      <c r="UTO241" s="15"/>
      <c r="UTP241" s="15"/>
      <c r="UTQ241" s="10"/>
      <c r="UTR241" s="10"/>
      <c r="UTS241" s="19"/>
      <c r="UTT241" s="19"/>
      <c r="UTW241" s="16"/>
      <c r="UTX241" s="15"/>
      <c r="UTY241" s="15"/>
      <c r="UTZ241" s="15"/>
      <c r="UUA241" s="16"/>
      <c r="UUB241" s="16"/>
      <c r="UUC241" s="16"/>
      <c r="UUD241" s="16"/>
      <c r="UUE241" s="16"/>
      <c r="UUF241" s="15"/>
      <c r="UUG241" s="15"/>
      <c r="UUH241" s="10"/>
      <c r="UUI241" s="10"/>
      <c r="UUJ241" s="19"/>
      <c r="UUK241" s="19"/>
      <c r="UUN241" s="16"/>
      <c r="UUO241" s="15"/>
      <c r="UUP241" s="15"/>
      <c r="UUQ241" s="15"/>
      <c r="UUR241" s="16"/>
      <c r="UUS241" s="16"/>
      <c r="UUT241" s="16"/>
      <c r="UUU241" s="16"/>
      <c r="UUV241" s="16"/>
      <c r="UUW241" s="15"/>
      <c r="UUX241" s="15"/>
      <c r="UUY241" s="10"/>
      <c r="UUZ241" s="10"/>
      <c r="UVA241" s="19"/>
      <c r="UVB241" s="19"/>
      <c r="UVE241" s="16"/>
      <c r="UVF241" s="15"/>
      <c r="UVG241" s="15"/>
      <c r="UVH241" s="15"/>
      <c r="UVI241" s="16"/>
      <c r="UVJ241" s="16"/>
      <c r="UVK241" s="16"/>
      <c r="UVL241" s="16"/>
      <c r="UVM241" s="16"/>
      <c r="UVN241" s="15"/>
      <c r="UVO241" s="15"/>
      <c r="UVP241" s="10"/>
      <c r="UVQ241" s="10"/>
      <c r="UVR241" s="19"/>
      <c r="UVS241" s="19"/>
      <c r="UVV241" s="16"/>
      <c r="UVW241" s="15"/>
      <c r="UVX241" s="15"/>
      <c r="UVY241" s="15"/>
      <c r="UVZ241" s="16"/>
      <c r="UWA241" s="16"/>
      <c r="UWB241" s="16"/>
      <c r="UWC241" s="16"/>
      <c r="UWD241" s="16"/>
      <c r="UWE241" s="15"/>
      <c r="UWF241" s="15"/>
      <c r="UWG241" s="10"/>
      <c r="UWH241" s="10"/>
      <c r="UWI241" s="19"/>
      <c r="UWJ241" s="19"/>
      <c r="UWM241" s="16"/>
      <c r="UWN241" s="15"/>
      <c r="UWO241" s="15"/>
      <c r="UWP241" s="15"/>
      <c r="UWQ241" s="16"/>
      <c r="UWR241" s="16"/>
      <c r="UWS241" s="16"/>
      <c r="UWT241" s="16"/>
      <c r="UWU241" s="16"/>
      <c r="UWV241" s="15"/>
      <c r="UWW241" s="15"/>
      <c r="UWX241" s="10"/>
      <c r="UWY241" s="10"/>
      <c r="UWZ241" s="19"/>
      <c r="UXA241" s="19"/>
      <c r="UXD241" s="16"/>
      <c r="UXE241" s="15"/>
      <c r="UXF241" s="15"/>
      <c r="UXG241" s="15"/>
      <c r="UXH241" s="16"/>
      <c r="UXI241" s="16"/>
      <c r="UXJ241" s="16"/>
      <c r="UXK241" s="16"/>
      <c r="UXL241" s="16"/>
      <c r="UXM241" s="15"/>
      <c r="UXN241" s="15"/>
      <c r="UXO241" s="10"/>
      <c r="UXP241" s="10"/>
      <c r="UXQ241" s="19"/>
      <c r="UXR241" s="19"/>
      <c r="UXU241" s="16"/>
      <c r="UXV241" s="15"/>
      <c r="UXW241" s="15"/>
      <c r="UXX241" s="15"/>
      <c r="UXY241" s="16"/>
      <c r="UXZ241" s="16"/>
      <c r="UYA241" s="16"/>
      <c r="UYB241" s="16"/>
      <c r="UYC241" s="16"/>
      <c r="UYD241" s="15"/>
      <c r="UYE241" s="15"/>
      <c r="UYF241" s="10"/>
      <c r="UYG241" s="10"/>
      <c r="UYH241" s="19"/>
      <c r="UYI241" s="19"/>
      <c r="UYL241" s="16"/>
      <c r="UYM241" s="15"/>
      <c r="UYN241" s="15"/>
      <c r="UYO241" s="15"/>
      <c r="UYP241" s="16"/>
      <c r="UYQ241" s="16"/>
      <c r="UYR241" s="16"/>
      <c r="UYS241" s="16"/>
      <c r="UYT241" s="16"/>
      <c r="UYU241" s="15"/>
      <c r="UYV241" s="15"/>
      <c r="UYW241" s="10"/>
      <c r="UYX241" s="10"/>
      <c r="UYY241" s="19"/>
      <c r="UYZ241" s="19"/>
      <c r="UZC241" s="16"/>
      <c r="UZD241" s="15"/>
      <c r="UZE241" s="15"/>
      <c r="UZF241" s="15"/>
      <c r="UZG241" s="16"/>
      <c r="UZH241" s="16"/>
      <c r="UZI241" s="16"/>
      <c r="UZJ241" s="16"/>
      <c r="UZK241" s="16"/>
      <c r="UZL241" s="15"/>
      <c r="UZM241" s="15"/>
      <c r="UZN241" s="10"/>
      <c r="UZO241" s="10"/>
      <c r="UZP241" s="19"/>
      <c r="UZQ241" s="19"/>
      <c r="UZT241" s="16"/>
      <c r="UZU241" s="15"/>
      <c r="UZV241" s="15"/>
      <c r="UZW241" s="15"/>
      <c r="UZX241" s="16"/>
      <c r="UZY241" s="16"/>
      <c r="UZZ241" s="16"/>
      <c r="VAA241" s="16"/>
      <c r="VAB241" s="16"/>
      <c r="VAC241" s="15"/>
      <c r="VAD241" s="15"/>
      <c r="VAE241" s="10"/>
      <c r="VAF241" s="10"/>
      <c r="VAG241" s="19"/>
      <c r="VAH241" s="19"/>
      <c r="VAK241" s="16"/>
      <c r="VAL241" s="15"/>
      <c r="VAM241" s="15"/>
      <c r="VAN241" s="15"/>
      <c r="VAO241" s="16"/>
      <c r="VAP241" s="16"/>
      <c r="VAQ241" s="16"/>
      <c r="VAR241" s="16"/>
      <c r="VAS241" s="16"/>
      <c r="VAT241" s="15"/>
      <c r="VAU241" s="15"/>
      <c r="VAV241" s="10"/>
      <c r="VAW241" s="10"/>
      <c r="VAX241" s="19"/>
      <c r="VAY241" s="19"/>
      <c r="VBB241" s="16"/>
      <c r="VBC241" s="15"/>
      <c r="VBD241" s="15"/>
      <c r="VBE241" s="15"/>
      <c r="VBF241" s="16"/>
      <c r="VBG241" s="16"/>
      <c r="VBH241" s="16"/>
      <c r="VBI241" s="16"/>
      <c r="VBJ241" s="16"/>
      <c r="VBK241" s="15"/>
      <c r="VBL241" s="15"/>
      <c r="VBM241" s="10"/>
      <c r="VBN241" s="10"/>
      <c r="VBO241" s="19"/>
      <c r="VBP241" s="19"/>
      <c r="VBS241" s="16"/>
      <c r="VBT241" s="15"/>
      <c r="VBU241" s="15"/>
      <c r="VBV241" s="15"/>
      <c r="VBW241" s="16"/>
      <c r="VBX241" s="16"/>
      <c r="VBY241" s="16"/>
      <c r="VBZ241" s="16"/>
      <c r="VCA241" s="16"/>
      <c r="VCB241" s="15"/>
      <c r="VCC241" s="15"/>
      <c r="VCD241" s="10"/>
      <c r="VCE241" s="10"/>
      <c r="VCF241" s="19"/>
      <c r="VCG241" s="19"/>
      <c r="VCJ241" s="16"/>
      <c r="VCK241" s="15"/>
      <c r="VCL241" s="15"/>
      <c r="VCM241" s="15"/>
      <c r="VCN241" s="16"/>
      <c r="VCO241" s="16"/>
      <c r="VCP241" s="16"/>
      <c r="VCQ241" s="16"/>
      <c r="VCR241" s="16"/>
      <c r="VCS241" s="15"/>
      <c r="VCT241" s="15"/>
      <c r="VCU241" s="10"/>
      <c r="VCV241" s="10"/>
      <c r="VCW241" s="19"/>
      <c r="VCX241" s="19"/>
      <c r="VDA241" s="16"/>
      <c r="VDB241" s="15"/>
      <c r="VDC241" s="15"/>
      <c r="VDD241" s="15"/>
      <c r="VDE241" s="16"/>
      <c r="VDF241" s="16"/>
      <c r="VDG241" s="16"/>
      <c r="VDH241" s="16"/>
      <c r="VDI241" s="16"/>
      <c r="VDJ241" s="15"/>
      <c r="VDK241" s="15"/>
      <c r="VDL241" s="10"/>
      <c r="VDM241" s="10"/>
      <c r="VDN241" s="19"/>
      <c r="VDO241" s="19"/>
      <c r="VDR241" s="16"/>
      <c r="VDS241" s="15"/>
      <c r="VDT241" s="15"/>
      <c r="VDU241" s="15"/>
      <c r="VDV241" s="16"/>
      <c r="VDW241" s="16"/>
      <c r="VDX241" s="16"/>
      <c r="VDY241" s="16"/>
      <c r="VDZ241" s="16"/>
      <c r="VEA241" s="15"/>
      <c r="VEB241" s="15"/>
      <c r="VEC241" s="10"/>
      <c r="VED241" s="10"/>
      <c r="VEE241" s="19"/>
      <c r="VEF241" s="19"/>
      <c r="VEI241" s="16"/>
      <c r="VEJ241" s="15"/>
      <c r="VEK241" s="15"/>
      <c r="VEL241" s="15"/>
      <c r="VEM241" s="16"/>
      <c r="VEN241" s="16"/>
      <c r="VEO241" s="16"/>
      <c r="VEP241" s="16"/>
      <c r="VEQ241" s="16"/>
      <c r="VER241" s="15"/>
      <c r="VES241" s="15"/>
      <c r="VET241" s="10"/>
      <c r="VEU241" s="10"/>
      <c r="VEV241" s="19"/>
      <c r="VEW241" s="19"/>
      <c r="VEZ241" s="16"/>
      <c r="VFA241" s="15"/>
      <c r="VFB241" s="15"/>
      <c r="VFC241" s="15"/>
      <c r="VFD241" s="16"/>
      <c r="VFE241" s="16"/>
      <c r="VFF241" s="16"/>
      <c r="VFG241" s="16"/>
      <c r="VFH241" s="16"/>
      <c r="VFI241" s="15"/>
      <c r="VFJ241" s="15"/>
      <c r="VFK241" s="10"/>
      <c r="VFL241" s="10"/>
      <c r="VFM241" s="19"/>
      <c r="VFN241" s="19"/>
      <c r="VFQ241" s="16"/>
      <c r="VFR241" s="15"/>
      <c r="VFS241" s="15"/>
      <c r="VFT241" s="15"/>
      <c r="VFU241" s="16"/>
      <c r="VFV241" s="16"/>
      <c r="VFW241" s="16"/>
      <c r="VFX241" s="16"/>
      <c r="VFY241" s="16"/>
      <c r="VFZ241" s="15"/>
      <c r="VGA241" s="15"/>
      <c r="VGB241" s="10"/>
      <c r="VGC241" s="10"/>
      <c r="VGD241" s="19"/>
      <c r="VGE241" s="19"/>
      <c r="VGH241" s="16"/>
      <c r="VGI241" s="15"/>
      <c r="VGJ241" s="15"/>
      <c r="VGK241" s="15"/>
      <c r="VGL241" s="16"/>
      <c r="VGM241" s="16"/>
      <c r="VGN241" s="16"/>
      <c r="VGO241" s="16"/>
      <c r="VGP241" s="16"/>
      <c r="VGQ241" s="15"/>
      <c r="VGR241" s="15"/>
      <c r="VGS241" s="10"/>
      <c r="VGT241" s="10"/>
      <c r="VGU241" s="19"/>
      <c r="VGV241" s="19"/>
      <c r="VGY241" s="16"/>
      <c r="VGZ241" s="15"/>
      <c r="VHA241" s="15"/>
      <c r="VHB241" s="15"/>
      <c r="VHC241" s="16"/>
      <c r="VHD241" s="16"/>
      <c r="VHE241" s="16"/>
      <c r="VHF241" s="16"/>
      <c r="VHG241" s="16"/>
      <c r="VHH241" s="15"/>
      <c r="VHI241" s="15"/>
      <c r="VHJ241" s="10"/>
      <c r="VHK241" s="10"/>
      <c r="VHL241" s="19"/>
      <c r="VHM241" s="19"/>
      <c r="VHP241" s="16"/>
      <c r="VHQ241" s="15"/>
      <c r="VHR241" s="15"/>
      <c r="VHS241" s="15"/>
      <c r="VHT241" s="16"/>
      <c r="VHU241" s="16"/>
      <c r="VHV241" s="16"/>
      <c r="VHW241" s="16"/>
      <c r="VHX241" s="16"/>
      <c r="VHY241" s="15"/>
      <c r="VHZ241" s="15"/>
      <c r="VIA241" s="10"/>
      <c r="VIB241" s="10"/>
      <c r="VIC241" s="19"/>
      <c r="VID241" s="19"/>
      <c r="VIG241" s="16"/>
      <c r="VIH241" s="15"/>
      <c r="VII241" s="15"/>
      <c r="VIJ241" s="15"/>
      <c r="VIK241" s="16"/>
      <c r="VIL241" s="16"/>
      <c r="VIM241" s="16"/>
      <c r="VIN241" s="16"/>
      <c r="VIO241" s="16"/>
      <c r="VIP241" s="15"/>
      <c r="VIQ241" s="15"/>
      <c r="VIR241" s="10"/>
      <c r="VIS241" s="10"/>
      <c r="VIT241" s="19"/>
      <c r="VIU241" s="19"/>
      <c r="VIX241" s="16"/>
      <c r="VIY241" s="15"/>
      <c r="VIZ241" s="15"/>
      <c r="VJA241" s="15"/>
      <c r="VJB241" s="16"/>
      <c r="VJC241" s="16"/>
      <c r="VJD241" s="16"/>
      <c r="VJE241" s="16"/>
      <c r="VJF241" s="16"/>
      <c r="VJG241" s="15"/>
      <c r="VJH241" s="15"/>
      <c r="VJI241" s="10"/>
      <c r="VJJ241" s="10"/>
      <c r="VJK241" s="19"/>
      <c r="VJL241" s="19"/>
      <c r="VJO241" s="16"/>
      <c r="VJP241" s="15"/>
      <c r="VJQ241" s="15"/>
      <c r="VJR241" s="15"/>
      <c r="VJS241" s="16"/>
      <c r="VJT241" s="16"/>
      <c r="VJU241" s="16"/>
      <c r="VJV241" s="16"/>
      <c r="VJW241" s="16"/>
      <c r="VJX241" s="15"/>
      <c r="VJY241" s="15"/>
      <c r="VJZ241" s="10"/>
      <c r="VKA241" s="10"/>
      <c r="VKB241" s="19"/>
      <c r="VKC241" s="19"/>
      <c r="VKF241" s="16"/>
      <c r="VKG241" s="15"/>
      <c r="VKH241" s="15"/>
      <c r="VKI241" s="15"/>
      <c r="VKJ241" s="16"/>
      <c r="VKK241" s="16"/>
      <c r="VKL241" s="16"/>
      <c r="VKM241" s="16"/>
      <c r="VKN241" s="16"/>
      <c r="VKO241" s="15"/>
      <c r="VKP241" s="15"/>
      <c r="VKQ241" s="10"/>
      <c r="VKR241" s="10"/>
      <c r="VKS241" s="19"/>
      <c r="VKT241" s="19"/>
      <c r="VKW241" s="16"/>
      <c r="VKX241" s="15"/>
      <c r="VKY241" s="15"/>
      <c r="VKZ241" s="15"/>
      <c r="VLA241" s="16"/>
      <c r="VLB241" s="16"/>
      <c r="VLC241" s="16"/>
      <c r="VLD241" s="16"/>
      <c r="VLE241" s="16"/>
      <c r="VLF241" s="15"/>
      <c r="VLG241" s="15"/>
      <c r="VLH241" s="10"/>
      <c r="VLI241" s="10"/>
      <c r="VLJ241" s="19"/>
      <c r="VLK241" s="19"/>
      <c r="VLN241" s="16"/>
      <c r="VLO241" s="15"/>
      <c r="VLP241" s="15"/>
      <c r="VLQ241" s="15"/>
      <c r="VLR241" s="16"/>
      <c r="VLS241" s="16"/>
      <c r="VLT241" s="16"/>
      <c r="VLU241" s="16"/>
      <c r="VLV241" s="16"/>
      <c r="VLW241" s="15"/>
      <c r="VLX241" s="15"/>
      <c r="VLY241" s="10"/>
      <c r="VLZ241" s="10"/>
      <c r="VMA241" s="19"/>
      <c r="VMB241" s="19"/>
      <c r="VME241" s="16"/>
      <c r="VMF241" s="15"/>
      <c r="VMG241" s="15"/>
      <c r="VMH241" s="15"/>
      <c r="VMI241" s="16"/>
      <c r="VMJ241" s="16"/>
      <c r="VMK241" s="16"/>
      <c r="VML241" s="16"/>
      <c r="VMM241" s="16"/>
      <c r="VMN241" s="15"/>
      <c r="VMO241" s="15"/>
      <c r="VMP241" s="10"/>
      <c r="VMQ241" s="10"/>
      <c r="VMR241" s="19"/>
      <c r="VMS241" s="19"/>
      <c r="VMV241" s="16"/>
      <c r="VMW241" s="15"/>
      <c r="VMX241" s="15"/>
      <c r="VMY241" s="15"/>
      <c r="VMZ241" s="16"/>
      <c r="VNA241" s="16"/>
      <c r="VNB241" s="16"/>
      <c r="VNC241" s="16"/>
      <c r="VND241" s="16"/>
      <c r="VNE241" s="15"/>
      <c r="VNF241" s="15"/>
      <c r="VNG241" s="10"/>
      <c r="VNH241" s="10"/>
      <c r="VNI241" s="19"/>
      <c r="VNJ241" s="19"/>
      <c r="VNM241" s="16"/>
      <c r="VNN241" s="15"/>
      <c r="VNO241" s="15"/>
      <c r="VNP241" s="15"/>
      <c r="VNQ241" s="16"/>
      <c r="VNR241" s="16"/>
      <c r="VNS241" s="16"/>
      <c r="VNT241" s="16"/>
      <c r="VNU241" s="16"/>
      <c r="VNV241" s="15"/>
      <c r="VNW241" s="15"/>
      <c r="VNX241" s="10"/>
      <c r="VNY241" s="10"/>
      <c r="VNZ241" s="19"/>
      <c r="VOA241" s="19"/>
      <c r="VOD241" s="16"/>
      <c r="VOE241" s="15"/>
      <c r="VOF241" s="15"/>
      <c r="VOG241" s="15"/>
      <c r="VOH241" s="16"/>
      <c r="VOI241" s="16"/>
      <c r="VOJ241" s="16"/>
      <c r="VOK241" s="16"/>
      <c r="VOL241" s="16"/>
      <c r="VOM241" s="15"/>
      <c r="VON241" s="15"/>
      <c r="VOO241" s="10"/>
      <c r="VOP241" s="10"/>
      <c r="VOQ241" s="19"/>
      <c r="VOR241" s="19"/>
      <c r="VOU241" s="16"/>
      <c r="VOV241" s="15"/>
      <c r="VOW241" s="15"/>
      <c r="VOX241" s="15"/>
      <c r="VOY241" s="16"/>
      <c r="VOZ241" s="16"/>
      <c r="VPA241" s="16"/>
      <c r="VPB241" s="16"/>
      <c r="VPC241" s="16"/>
      <c r="VPD241" s="15"/>
      <c r="VPE241" s="15"/>
      <c r="VPF241" s="10"/>
      <c r="VPG241" s="10"/>
      <c r="VPH241" s="19"/>
      <c r="VPI241" s="19"/>
      <c r="VPL241" s="16"/>
      <c r="VPM241" s="15"/>
      <c r="VPN241" s="15"/>
      <c r="VPO241" s="15"/>
      <c r="VPP241" s="16"/>
      <c r="VPQ241" s="16"/>
      <c r="VPR241" s="16"/>
      <c r="VPS241" s="16"/>
      <c r="VPT241" s="16"/>
      <c r="VPU241" s="15"/>
      <c r="VPV241" s="15"/>
      <c r="VPW241" s="10"/>
      <c r="VPX241" s="10"/>
      <c r="VPY241" s="19"/>
      <c r="VPZ241" s="19"/>
      <c r="VQC241" s="16"/>
      <c r="VQD241" s="15"/>
      <c r="VQE241" s="15"/>
      <c r="VQF241" s="15"/>
      <c r="VQG241" s="16"/>
      <c r="VQH241" s="16"/>
      <c r="VQI241" s="16"/>
      <c r="VQJ241" s="16"/>
      <c r="VQK241" s="16"/>
      <c r="VQL241" s="15"/>
      <c r="VQM241" s="15"/>
      <c r="VQN241" s="10"/>
      <c r="VQO241" s="10"/>
      <c r="VQP241" s="19"/>
      <c r="VQQ241" s="19"/>
      <c r="VQT241" s="16"/>
      <c r="VQU241" s="15"/>
      <c r="VQV241" s="15"/>
      <c r="VQW241" s="15"/>
      <c r="VQX241" s="16"/>
      <c r="VQY241" s="16"/>
      <c r="VQZ241" s="16"/>
      <c r="VRA241" s="16"/>
      <c r="VRB241" s="16"/>
      <c r="VRC241" s="15"/>
      <c r="VRD241" s="15"/>
      <c r="VRE241" s="10"/>
      <c r="VRF241" s="10"/>
      <c r="VRG241" s="19"/>
      <c r="VRH241" s="19"/>
      <c r="VRK241" s="16"/>
      <c r="VRL241" s="15"/>
      <c r="VRM241" s="15"/>
      <c r="VRN241" s="15"/>
      <c r="VRO241" s="16"/>
      <c r="VRP241" s="16"/>
      <c r="VRQ241" s="16"/>
      <c r="VRR241" s="16"/>
      <c r="VRS241" s="16"/>
      <c r="VRT241" s="15"/>
      <c r="VRU241" s="15"/>
      <c r="VRV241" s="10"/>
      <c r="VRW241" s="10"/>
      <c r="VRX241" s="19"/>
      <c r="VRY241" s="19"/>
      <c r="VSB241" s="16"/>
      <c r="VSC241" s="15"/>
      <c r="VSD241" s="15"/>
      <c r="VSE241" s="15"/>
      <c r="VSF241" s="16"/>
      <c r="VSG241" s="16"/>
      <c r="VSH241" s="16"/>
      <c r="VSI241" s="16"/>
      <c r="VSJ241" s="16"/>
      <c r="VSK241" s="15"/>
      <c r="VSL241" s="15"/>
      <c r="VSM241" s="10"/>
      <c r="VSN241" s="10"/>
      <c r="VSO241" s="19"/>
      <c r="VSP241" s="19"/>
      <c r="VSS241" s="16"/>
      <c r="VST241" s="15"/>
      <c r="VSU241" s="15"/>
      <c r="VSV241" s="15"/>
      <c r="VSW241" s="16"/>
      <c r="VSX241" s="16"/>
      <c r="VSY241" s="16"/>
      <c r="VSZ241" s="16"/>
      <c r="VTA241" s="16"/>
      <c r="VTB241" s="15"/>
      <c r="VTC241" s="15"/>
      <c r="VTD241" s="10"/>
      <c r="VTE241" s="10"/>
      <c r="VTF241" s="19"/>
      <c r="VTG241" s="19"/>
      <c r="VTJ241" s="16"/>
      <c r="VTK241" s="15"/>
      <c r="VTL241" s="15"/>
      <c r="VTM241" s="15"/>
      <c r="VTN241" s="16"/>
      <c r="VTO241" s="16"/>
      <c r="VTP241" s="16"/>
      <c r="VTQ241" s="16"/>
      <c r="VTR241" s="16"/>
      <c r="VTS241" s="15"/>
      <c r="VTT241" s="15"/>
      <c r="VTU241" s="10"/>
      <c r="VTV241" s="10"/>
      <c r="VTW241" s="19"/>
      <c r="VTX241" s="19"/>
      <c r="VUA241" s="16"/>
      <c r="VUB241" s="15"/>
      <c r="VUC241" s="15"/>
      <c r="VUD241" s="15"/>
      <c r="VUE241" s="16"/>
      <c r="VUF241" s="16"/>
      <c r="VUG241" s="16"/>
      <c r="VUH241" s="16"/>
      <c r="VUI241" s="16"/>
      <c r="VUJ241" s="15"/>
      <c r="VUK241" s="15"/>
      <c r="VUL241" s="10"/>
      <c r="VUM241" s="10"/>
      <c r="VUN241" s="19"/>
      <c r="VUO241" s="19"/>
      <c r="VUR241" s="16"/>
      <c r="VUS241" s="15"/>
      <c r="VUT241" s="15"/>
      <c r="VUU241" s="15"/>
      <c r="VUV241" s="16"/>
      <c r="VUW241" s="16"/>
      <c r="VUX241" s="16"/>
      <c r="VUY241" s="16"/>
      <c r="VUZ241" s="16"/>
      <c r="VVA241" s="15"/>
      <c r="VVB241" s="15"/>
      <c r="VVC241" s="10"/>
      <c r="VVD241" s="10"/>
      <c r="VVE241" s="19"/>
      <c r="VVF241" s="19"/>
      <c r="VVI241" s="16"/>
      <c r="VVJ241" s="15"/>
      <c r="VVK241" s="15"/>
      <c r="VVL241" s="15"/>
      <c r="VVM241" s="16"/>
      <c r="VVN241" s="16"/>
      <c r="VVO241" s="16"/>
      <c r="VVP241" s="16"/>
      <c r="VVQ241" s="16"/>
      <c r="VVR241" s="15"/>
      <c r="VVS241" s="15"/>
      <c r="VVT241" s="10"/>
      <c r="VVU241" s="10"/>
      <c r="VVV241" s="19"/>
      <c r="VVW241" s="19"/>
      <c r="VVZ241" s="16"/>
      <c r="VWA241" s="15"/>
      <c r="VWB241" s="15"/>
      <c r="VWC241" s="15"/>
      <c r="VWD241" s="16"/>
      <c r="VWE241" s="16"/>
      <c r="VWF241" s="16"/>
      <c r="VWG241" s="16"/>
      <c r="VWH241" s="16"/>
      <c r="VWI241" s="15"/>
      <c r="VWJ241" s="15"/>
      <c r="VWK241" s="10"/>
      <c r="VWL241" s="10"/>
      <c r="VWM241" s="19"/>
      <c r="VWN241" s="19"/>
      <c r="VWQ241" s="16"/>
      <c r="VWR241" s="15"/>
      <c r="VWS241" s="15"/>
      <c r="VWT241" s="15"/>
      <c r="VWU241" s="16"/>
      <c r="VWV241" s="16"/>
      <c r="VWW241" s="16"/>
      <c r="VWX241" s="16"/>
      <c r="VWY241" s="16"/>
      <c r="VWZ241" s="15"/>
      <c r="VXA241" s="15"/>
      <c r="VXB241" s="10"/>
      <c r="VXC241" s="10"/>
      <c r="VXD241" s="19"/>
      <c r="VXE241" s="19"/>
      <c r="VXH241" s="16"/>
      <c r="VXI241" s="15"/>
      <c r="VXJ241" s="15"/>
      <c r="VXK241" s="15"/>
      <c r="VXL241" s="16"/>
      <c r="VXM241" s="16"/>
      <c r="VXN241" s="16"/>
      <c r="VXO241" s="16"/>
      <c r="VXP241" s="16"/>
      <c r="VXQ241" s="15"/>
      <c r="VXR241" s="15"/>
      <c r="VXS241" s="10"/>
      <c r="VXT241" s="10"/>
      <c r="VXU241" s="19"/>
      <c r="VXV241" s="19"/>
      <c r="VXY241" s="16"/>
      <c r="VXZ241" s="15"/>
      <c r="VYA241" s="15"/>
      <c r="VYB241" s="15"/>
      <c r="VYC241" s="16"/>
      <c r="VYD241" s="16"/>
      <c r="VYE241" s="16"/>
      <c r="VYF241" s="16"/>
      <c r="VYG241" s="16"/>
      <c r="VYH241" s="15"/>
      <c r="VYI241" s="15"/>
      <c r="VYJ241" s="10"/>
      <c r="VYK241" s="10"/>
      <c r="VYL241" s="19"/>
      <c r="VYM241" s="19"/>
      <c r="VYP241" s="16"/>
      <c r="VYQ241" s="15"/>
      <c r="VYR241" s="15"/>
      <c r="VYS241" s="15"/>
      <c r="VYT241" s="16"/>
      <c r="VYU241" s="16"/>
      <c r="VYV241" s="16"/>
      <c r="VYW241" s="16"/>
      <c r="VYX241" s="16"/>
      <c r="VYY241" s="15"/>
      <c r="VYZ241" s="15"/>
      <c r="VZA241" s="10"/>
      <c r="VZB241" s="10"/>
      <c r="VZC241" s="19"/>
      <c r="VZD241" s="19"/>
      <c r="VZG241" s="16"/>
      <c r="VZH241" s="15"/>
      <c r="VZI241" s="15"/>
      <c r="VZJ241" s="15"/>
      <c r="VZK241" s="16"/>
      <c r="VZL241" s="16"/>
      <c r="VZM241" s="16"/>
      <c r="VZN241" s="16"/>
      <c r="VZO241" s="16"/>
      <c r="VZP241" s="15"/>
      <c r="VZQ241" s="15"/>
      <c r="VZR241" s="10"/>
      <c r="VZS241" s="10"/>
      <c r="VZT241" s="19"/>
      <c r="VZU241" s="19"/>
      <c r="VZX241" s="16"/>
      <c r="VZY241" s="15"/>
      <c r="VZZ241" s="15"/>
      <c r="WAA241" s="15"/>
      <c r="WAB241" s="16"/>
      <c r="WAC241" s="16"/>
      <c r="WAD241" s="16"/>
      <c r="WAE241" s="16"/>
      <c r="WAF241" s="16"/>
      <c r="WAG241" s="15"/>
      <c r="WAH241" s="15"/>
      <c r="WAI241" s="10"/>
      <c r="WAJ241" s="10"/>
      <c r="WAK241" s="19"/>
      <c r="WAL241" s="19"/>
      <c r="WAO241" s="16"/>
      <c r="WAP241" s="15"/>
      <c r="WAQ241" s="15"/>
      <c r="WAR241" s="15"/>
      <c r="WAS241" s="16"/>
      <c r="WAT241" s="16"/>
      <c r="WAU241" s="16"/>
      <c r="WAV241" s="16"/>
      <c r="WAW241" s="16"/>
      <c r="WAX241" s="15"/>
      <c r="WAY241" s="15"/>
      <c r="WAZ241" s="10"/>
      <c r="WBA241" s="10"/>
      <c r="WBB241" s="19"/>
      <c r="WBC241" s="19"/>
      <c r="WBF241" s="16"/>
      <c r="WBG241" s="15"/>
      <c r="WBH241" s="15"/>
      <c r="WBI241" s="15"/>
      <c r="WBJ241" s="16"/>
      <c r="WBK241" s="16"/>
      <c r="WBL241" s="16"/>
      <c r="WBM241" s="16"/>
      <c r="WBN241" s="16"/>
      <c r="WBO241" s="15"/>
      <c r="WBP241" s="15"/>
      <c r="WBQ241" s="10"/>
      <c r="WBR241" s="10"/>
      <c r="WBS241" s="19"/>
      <c r="WBT241" s="19"/>
      <c r="WBW241" s="16"/>
      <c r="WBX241" s="15"/>
      <c r="WBY241" s="15"/>
      <c r="WBZ241" s="15"/>
      <c r="WCA241" s="16"/>
      <c r="WCB241" s="16"/>
      <c r="WCC241" s="16"/>
      <c r="WCD241" s="16"/>
      <c r="WCE241" s="16"/>
      <c r="WCF241" s="15"/>
      <c r="WCG241" s="15"/>
      <c r="WCH241" s="10"/>
      <c r="WCI241" s="10"/>
      <c r="WCJ241" s="19"/>
      <c r="WCK241" s="19"/>
      <c r="WCN241" s="16"/>
      <c r="WCO241" s="15"/>
      <c r="WCP241" s="15"/>
      <c r="WCQ241" s="15"/>
      <c r="WCR241" s="16"/>
      <c r="WCS241" s="16"/>
      <c r="WCT241" s="16"/>
      <c r="WCU241" s="16"/>
      <c r="WCV241" s="16"/>
      <c r="WCW241" s="15"/>
      <c r="WCX241" s="15"/>
      <c r="WCY241" s="10"/>
      <c r="WCZ241" s="10"/>
      <c r="WDA241" s="19"/>
      <c r="WDB241" s="19"/>
      <c r="WDE241" s="16"/>
      <c r="WDF241" s="15"/>
      <c r="WDG241" s="15"/>
      <c r="WDH241" s="15"/>
      <c r="WDI241" s="16"/>
      <c r="WDJ241" s="16"/>
      <c r="WDK241" s="16"/>
      <c r="WDL241" s="16"/>
      <c r="WDM241" s="16"/>
      <c r="WDN241" s="15"/>
      <c r="WDO241" s="15"/>
      <c r="WDP241" s="10"/>
      <c r="WDQ241" s="10"/>
      <c r="WDR241" s="19"/>
      <c r="WDS241" s="19"/>
      <c r="WDV241" s="16"/>
      <c r="WDW241" s="15"/>
      <c r="WDX241" s="15"/>
      <c r="WDY241" s="15"/>
      <c r="WDZ241" s="16"/>
      <c r="WEA241" s="16"/>
      <c r="WEB241" s="16"/>
      <c r="WEC241" s="16"/>
      <c r="WED241" s="16"/>
      <c r="WEE241" s="15"/>
      <c r="WEF241" s="15"/>
      <c r="WEG241" s="10"/>
      <c r="WEH241" s="10"/>
      <c r="WEI241" s="19"/>
      <c r="WEJ241" s="19"/>
      <c r="WEM241" s="16"/>
      <c r="WEN241" s="15"/>
      <c r="WEO241" s="15"/>
      <c r="WEP241" s="15"/>
      <c r="WEQ241" s="16"/>
      <c r="WER241" s="16"/>
      <c r="WES241" s="16"/>
      <c r="WET241" s="16"/>
      <c r="WEU241" s="16"/>
      <c r="WEV241" s="15"/>
      <c r="WEW241" s="15"/>
      <c r="WEX241" s="10"/>
      <c r="WEY241" s="10"/>
      <c r="WEZ241" s="19"/>
      <c r="WFA241" s="19"/>
      <c r="WFD241" s="16"/>
      <c r="WFE241" s="15"/>
      <c r="WFF241" s="15"/>
      <c r="WFG241" s="15"/>
      <c r="WFH241" s="16"/>
      <c r="WFI241" s="16"/>
      <c r="WFJ241" s="16"/>
      <c r="WFK241" s="16"/>
      <c r="WFL241" s="16"/>
      <c r="WFM241" s="15"/>
      <c r="WFN241" s="15"/>
      <c r="WFO241" s="10"/>
      <c r="WFP241" s="10"/>
      <c r="WFQ241" s="19"/>
      <c r="WFR241" s="19"/>
      <c r="WFU241" s="16"/>
      <c r="WFV241" s="15"/>
      <c r="WFW241" s="15"/>
      <c r="WFX241" s="15"/>
      <c r="WFY241" s="16"/>
      <c r="WFZ241" s="16"/>
      <c r="WGA241" s="16"/>
      <c r="WGB241" s="16"/>
      <c r="WGC241" s="16"/>
      <c r="WGD241" s="15"/>
      <c r="WGE241" s="15"/>
      <c r="WGF241" s="10"/>
      <c r="WGG241" s="10"/>
      <c r="WGH241" s="19"/>
      <c r="WGI241" s="19"/>
      <c r="WGL241" s="16"/>
      <c r="WGM241" s="15"/>
      <c r="WGN241" s="15"/>
      <c r="WGO241" s="15"/>
      <c r="WGP241" s="16"/>
      <c r="WGQ241" s="16"/>
      <c r="WGR241" s="16"/>
      <c r="WGS241" s="16"/>
      <c r="WGT241" s="16"/>
      <c r="WGU241" s="15"/>
      <c r="WGV241" s="15"/>
      <c r="WGW241" s="10"/>
      <c r="WGX241" s="10"/>
      <c r="WGY241" s="19"/>
      <c r="WGZ241" s="19"/>
      <c r="WHC241" s="16"/>
      <c r="WHD241" s="15"/>
      <c r="WHE241" s="15"/>
      <c r="WHF241" s="15"/>
      <c r="WHG241" s="16"/>
      <c r="WHH241" s="16"/>
      <c r="WHI241" s="16"/>
      <c r="WHJ241" s="16"/>
      <c r="WHK241" s="16"/>
      <c r="WHL241" s="15"/>
      <c r="WHM241" s="15"/>
      <c r="WHN241" s="10"/>
      <c r="WHO241" s="10"/>
      <c r="WHP241" s="19"/>
      <c r="WHQ241" s="19"/>
      <c r="WHT241" s="16"/>
      <c r="WHU241" s="15"/>
      <c r="WHV241" s="15"/>
      <c r="WHW241" s="15"/>
      <c r="WHX241" s="16"/>
      <c r="WHY241" s="16"/>
      <c r="WHZ241" s="16"/>
      <c r="WIA241" s="16"/>
      <c r="WIB241" s="16"/>
      <c r="WIC241" s="15"/>
      <c r="WID241" s="15"/>
      <c r="WIE241" s="10"/>
      <c r="WIF241" s="10"/>
      <c r="WIG241" s="19"/>
      <c r="WIH241" s="19"/>
      <c r="WIK241" s="16"/>
      <c r="WIL241" s="15"/>
      <c r="WIM241" s="15"/>
      <c r="WIN241" s="15"/>
      <c r="WIO241" s="16"/>
      <c r="WIP241" s="16"/>
      <c r="WIQ241" s="16"/>
      <c r="WIR241" s="16"/>
      <c r="WIS241" s="16"/>
      <c r="WIT241" s="15"/>
      <c r="WIU241" s="15"/>
      <c r="WIV241" s="10"/>
      <c r="WIW241" s="10"/>
      <c r="WIX241" s="19"/>
      <c r="WIY241" s="19"/>
      <c r="WJB241" s="16"/>
      <c r="WJC241" s="15"/>
      <c r="WJD241" s="15"/>
      <c r="WJE241" s="15"/>
      <c r="WJF241" s="16"/>
      <c r="WJG241" s="16"/>
      <c r="WJH241" s="16"/>
      <c r="WJI241" s="16"/>
      <c r="WJJ241" s="16"/>
      <c r="WJK241" s="15"/>
      <c r="WJL241" s="15"/>
      <c r="WJM241" s="10"/>
      <c r="WJN241" s="10"/>
      <c r="WJO241" s="19"/>
      <c r="WJP241" s="19"/>
      <c r="WJS241" s="16"/>
      <c r="WJT241" s="15"/>
      <c r="WJU241" s="15"/>
      <c r="WJV241" s="15"/>
      <c r="WJW241" s="16"/>
      <c r="WJX241" s="16"/>
      <c r="WJY241" s="16"/>
      <c r="WJZ241" s="16"/>
      <c r="WKA241" s="16"/>
      <c r="WKB241" s="15"/>
      <c r="WKC241" s="15"/>
      <c r="WKD241" s="10"/>
      <c r="WKE241" s="10"/>
      <c r="WKF241" s="19"/>
      <c r="WKG241" s="19"/>
      <c r="WKJ241" s="16"/>
      <c r="WKK241" s="15"/>
      <c r="WKL241" s="15"/>
      <c r="WKM241" s="15"/>
      <c r="WKN241" s="16"/>
      <c r="WKO241" s="16"/>
      <c r="WKP241" s="16"/>
      <c r="WKQ241" s="16"/>
      <c r="WKR241" s="16"/>
      <c r="WKS241" s="15"/>
      <c r="WKT241" s="15"/>
      <c r="WKU241" s="10"/>
      <c r="WKV241" s="10"/>
      <c r="WKW241" s="19"/>
      <c r="WKX241" s="19"/>
      <c r="WLA241" s="16"/>
      <c r="WLB241" s="15"/>
      <c r="WLC241" s="15"/>
      <c r="WLD241" s="15"/>
      <c r="WLE241" s="16"/>
      <c r="WLF241" s="16"/>
      <c r="WLG241" s="16"/>
      <c r="WLH241" s="16"/>
      <c r="WLI241" s="16"/>
      <c r="WLJ241" s="15"/>
      <c r="WLK241" s="15"/>
      <c r="WLL241" s="10"/>
      <c r="WLM241" s="10"/>
      <c r="WLN241" s="19"/>
      <c r="WLO241" s="19"/>
      <c r="WLR241" s="16"/>
      <c r="WLS241" s="15"/>
      <c r="WLT241" s="15"/>
      <c r="WLU241" s="15"/>
      <c r="WLV241" s="16"/>
      <c r="WLW241" s="16"/>
      <c r="WLX241" s="16"/>
      <c r="WLY241" s="16"/>
      <c r="WLZ241" s="16"/>
      <c r="WMA241" s="15"/>
      <c r="WMB241" s="15"/>
      <c r="WMC241" s="10"/>
      <c r="WMD241" s="10"/>
      <c r="WME241" s="19"/>
      <c r="WMF241" s="19"/>
      <c r="WMI241" s="16"/>
      <c r="WMJ241" s="15"/>
      <c r="WMK241" s="15"/>
      <c r="WML241" s="15"/>
      <c r="WMM241" s="16"/>
      <c r="WMN241" s="16"/>
      <c r="WMO241" s="16"/>
      <c r="WMP241" s="16"/>
      <c r="WMQ241" s="16"/>
      <c r="WMR241" s="15"/>
      <c r="WMS241" s="15"/>
      <c r="WMT241" s="10"/>
      <c r="WMU241" s="10"/>
      <c r="WMV241" s="19"/>
      <c r="WMW241" s="19"/>
      <c r="WMZ241" s="16"/>
      <c r="WNA241" s="15"/>
      <c r="WNB241" s="15"/>
      <c r="WNC241" s="15"/>
      <c r="WND241" s="16"/>
      <c r="WNE241" s="16"/>
      <c r="WNF241" s="16"/>
      <c r="WNG241" s="16"/>
      <c r="WNH241" s="16"/>
      <c r="WNI241" s="15"/>
      <c r="WNJ241" s="15"/>
      <c r="WNK241" s="10"/>
      <c r="WNL241" s="10"/>
      <c r="WNM241" s="19"/>
      <c r="WNN241" s="19"/>
      <c r="WNQ241" s="16"/>
      <c r="WNR241" s="15"/>
      <c r="WNS241" s="15"/>
      <c r="WNT241" s="15"/>
      <c r="WNU241" s="16"/>
      <c r="WNV241" s="16"/>
      <c r="WNW241" s="16"/>
      <c r="WNX241" s="16"/>
      <c r="WNY241" s="16"/>
      <c r="WNZ241" s="15"/>
      <c r="WOA241" s="15"/>
      <c r="WOB241" s="10"/>
      <c r="WOC241" s="10"/>
      <c r="WOD241" s="19"/>
      <c r="WOE241" s="19"/>
      <c r="WOH241" s="16"/>
      <c r="WOI241" s="15"/>
      <c r="WOJ241" s="15"/>
      <c r="WOK241" s="15"/>
      <c r="WOL241" s="16"/>
      <c r="WOM241" s="16"/>
      <c r="WON241" s="16"/>
      <c r="WOO241" s="16"/>
      <c r="WOP241" s="16"/>
      <c r="WOQ241" s="15"/>
      <c r="WOR241" s="15"/>
      <c r="WOS241" s="10"/>
      <c r="WOT241" s="10"/>
      <c r="WOU241" s="19"/>
      <c r="WOV241" s="19"/>
      <c r="WOY241" s="16"/>
      <c r="WOZ241" s="15"/>
      <c r="WPA241" s="15"/>
      <c r="WPB241" s="15"/>
      <c r="WPC241" s="16"/>
      <c r="WPD241" s="16"/>
      <c r="WPE241" s="16"/>
      <c r="WPF241" s="16"/>
      <c r="WPG241" s="16"/>
      <c r="WPH241" s="15"/>
      <c r="WPI241" s="15"/>
      <c r="WPJ241" s="10"/>
      <c r="WPK241" s="10"/>
      <c r="WPL241" s="19"/>
      <c r="WPM241" s="19"/>
      <c r="WPP241" s="16"/>
      <c r="WPQ241" s="15"/>
      <c r="WPR241" s="15"/>
      <c r="WPS241" s="15"/>
      <c r="WPT241" s="16"/>
      <c r="WPU241" s="16"/>
      <c r="WPV241" s="16"/>
      <c r="WPW241" s="16"/>
      <c r="WPX241" s="16"/>
      <c r="WPY241" s="15"/>
      <c r="WPZ241" s="15"/>
      <c r="WQA241" s="10"/>
      <c r="WQB241" s="10"/>
      <c r="WQC241" s="19"/>
      <c r="WQD241" s="19"/>
      <c r="WQG241" s="16"/>
      <c r="WQH241" s="15"/>
      <c r="WQI241" s="15"/>
      <c r="WQJ241" s="15"/>
      <c r="WQK241" s="16"/>
      <c r="WQL241" s="16"/>
      <c r="WQM241" s="16"/>
      <c r="WQN241" s="16"/>
      <c r="WQO241" s="16"/>
      <c r="WQP241" s="15"/>
      <c r="WQQ241" s="15"/>
      <c r="WQR241" s="10"/>
      <c r="WQS241" s="10"/>
      <c r="WQT241" s="19"/>
      <c r="WQU241" s="19"/>
      <c r="WQX241" s="16"/>
      <c r="WQY241" s="15"/>
      <c r="WQZ241" s="15"/>
      <c r="WRA241" s="15"/>
      <c r="WRB241" s="16"/>
      <c r="WRC241" s="16"/>
      <c r="WRD241" s="16"/>
      <c r="WRE241" s="16"/>
      <c r="WRF241" s="16"/>
      <c r="WRG241" s="15"/>
      <c r="WRH241" s="15"/>
      <c r="WRI241" s="10"/>
      <c r="WRJ241" s="10"/>
      <c r="WRK241" s="19"/>
      <c r="WRL241" s="19"/>
      <c r="WRO241" s="16"/>
      <c r="WRP241" s="15"/>
      <c r="WRQ241" s="15"/>
      <c r="WRR241" s="15"/>
      <c r="WRS241" s="16"/>
      <c r="WRT241" s="16"/>
      <c r="WRU241" s="16"/>
      <c r="WRV241" s="16"/>
      <c r="WRW241" s="16"/>
      <c r="WRX241" s="15"/>
      <c r="WRY241" s="15"/>
      <c r="WRZ241" s="10"/>
      <c r="WSA241" s="10"/>
      <c r="WSB241" s="19"/>
      <c r="WSC241" s="19"/>
      <c r="WSF241" s="16"/>
      <c r="WSG241" s="15"/>
      <c r="WSH241" s="15"/>
      <c r="WSI241" s="15"/>
      <c r="WSJ241" s="16"/>
      <c r="WSK241" s="16"/>
      <c r="WSL241" s="16"/>
      <c r="WSM241" s="16"/>
      <c r="WSN241" s="16"/>
      <c r="WSO241" s="15"/>
      <c r="WSP241" s="15"/>
      <c r="WSQ241" s="10"/>
      <c r="WSR241" s="10"/>
      <c r="WSS241" s="19"/>
      <c r="WST241" s="19"/>
      <c r="WSW241" s="16"/>
      <c r="WSX241" s="15"/>
      <c r="WSY241" s="15"/>
      <c r="WSZ241" s="15"/>
      <c r="WTA241" s="16"/>
      <c r="WTB241" s="16"/>
      <c r="WTC241" s="16"/>
      <c r="WTD241" s="16"/>
      <c r="WTE241" s="16"/>
      <c r="WTF241" s="15"/>
      <c r="WTG241" s="15"/>
      <c r="WTH241" s="10"/>
      <c r="WTI241" s="10"/>
      <c r="WTJ241" s="19"/>
      <c r="WTK241" s="19"/>
      <c r="WTN241" s="16"/>
      <c r="WTO241" s="15"/>
      <c r="WTP241" s="15"/>
      <c r="WTQ241" s="15"/>
      <c r="WTR241" s="16"/>
      <c r="WTS241" s="16"/>
      <c r="WTT241" s="16"/>
      <c r="WTU241" s="16"/>
      <c r="WTV241" s="16"/>
      <c r="WTW241" s="15"/>
      <c r="WTX241" s="15"/>
      <c r="WTY241" s="10"/>
      <c r="WTZ241" s="10"/>
      <c r="WUA241" s="19"/>
      <c r="WUB241" s="19"/>
      <c r="WUE241" s="16"/>
      <c r="WUF241" s="15"/>
      <c r="WUG241" s="15"/>
      <c r="WUH241" s="15"/>
      <c r="WUI241" s="16"/>
      <c r="WUJ241" s="16"/>
      <c r="WUK241" s="16"/>
      <c r="WUL241" s="16"/>
      <c r="WUM241" s="16"/>
      <c r="WUN241" s="15"/>
      <c r="WUO241" s="15"/>
      <c r="WUP241" s="10"/>
      <c r="WUQ241" s="10"/>
      <c r="WUR241" s="19"/>
      <c r="WUS241" s="19"/>
      <c r="WUV241" s="16"/>
      <c r="WUW241" s="15"/>
      <c r="WUX241" s="15"/>
      <c r="WUY241" s="15"/>
      <c r="WUZ241" s="16"/>
      <c r="WVA241" s="16"/>
      <c r="WVB241" s="16"/>
      <c r="WVC241" s="16"/>
      <c r="WVD241" s="16"/>
      <c r="WVE241" s="15"/>
      <c r="WVF241" s="15"/>
      <c r="WVG241" s="10"/>
      <c r="WVH241" s="10"/>
      <c r="WVI241" s="19"/>
      <c r="WVJ241" s="19"/>
      <c r="WVM241" s="16"/>
      <c r="WVN241" s="15"/>
      <c r="WVO241" s="15"/>
      <c r="WVP241" s="15"/>
      <c r="WVQ241" s="16"/>
      <c r="WVR241" s="16"/>
      <c r="WVS241" s="16"/>
      <c r="WVT241" s="16"/>
      <c r="WVU241" s="16"/>
      <c r="WVV241" s="15"/>
      <c r="WVW241" s="15"/>
      <c r="WVX241" s="10"/>
      <c r="WVY241" s="10"/>
      <c r="WVZ241" s="19"/>
      <c r="WWA241" s="19"/>
      <c r="WWD241" s="16"/>
      <c r="WWE241" s="15"/>
      <c r="WWF241" s="15"/>
      <c r="WWG241" s="15"/>
      <c r="WWH241" s="16"/>
      <c r="WWI241" s="16"/>
      <c r="WWJ241" s="16"/>
      <c r="WWK241" s="16"/>
      <c r="WWL241" s="16"/>
      <c r="WWM241" s="15"/>
      <c r="WWN241" s="15"/>
      <c r="WWO241" s="10"/>
      <c r="WWP241" s="10"/>
      <c r="WWQ241" s="19"/>
      <c r="WWR241" s="19"/>
      <c r="WWU241" s="16"/>
      <c r="WWV241" s="15"/>
      <c r="WWW241" s="15"/>
      <c r="WWX241" s="15"/>
      <c r="WWY241" s="16"/>
      <c r="WWZ241" s="16"/>
      <c r="WXA241" s="16"/>
      <c r="WXB241" s="16"/>
      <c r="WXC241" s="16"/>
      <c r="WXD241" s="15"/>
      <c r="WXE241" s="15"/>
      <c r="WXF241" s="10"/>
      <c r="WXG241" s="10"/>
      <c r="WXH241" s="19"/>
      <c r="WXI241" s="19"/>
      <c r="WXL241" s="16"/>
      <c r="WXM241" s="15"/>
      <c r="WXN241" s="15"/>
      <c r="WXO241" s="15"/>
      <c r="WXP241" s="16"/>
      <c r="WXQ241" s="16"/>
      <c r="WXR241" s="16"/>
      <c r="WXS241" s="16"/>
      <c r="WXT241" s="16"/>
      <c r="WXU241" s="15"/>
      <c r="WXV241" s="15"/>
      <c r="WXW241" s="10"/>
      <c r="WXX241" s="10"/>
      <c r="WXY241" s="19"/>
      <c r="WXZ241" s="19"/>
      <c r="WYC241" s="16"/>
      <c r="WYD241" s="15"/>
      <c r="WYE241" s="15"/>
      <c r="WYF241" s="15"/>
      <c r="WYG241" s="16"/>
      <c r="WYH241" s="16"/>
      <c r="WYI241" s="16"/>
      <c r="WYJ241" s="16"/>
      <c r="WYK241" s="16"/>
      <c r="WYL241" s="15"/>
      <c r="WYM241" s="15"/>
      <c r="WYN241" s="10"/>
      <c r="WYO241" s="10"/>
      <c r="WYP241" s="19"/>
      <c r="WYQ241" s="19"/>
      <c r="WYT241" s="16"/>
      <c r="WYU241" s="15"/>
      <c r="WYV241" s="15"/>
      <c r="WYW241" s="15"/>
      <c r="WYX241" s="16"/>
      <c r="WYY241" s="16"/>
      <c r="WYZ241" s="16"/>
      <c r="WZA241" s="16"/>
      <c r="WZB241" s="16"/>
      <c r="WZC241" s="15"/>
      <c r="WZD241" s="15"/>
      <c r="WZE241" s="10"/>
      <c r="WZF241" s="10"/>
      <c r="WZG241" s="19"/>
      <c r="WZH241" s="19"/>
      <c r="WZK241" s="16"/>
      <c r="WZL241" s="15"/>
      <c r="WZM241" s="15"/>
      <c r="WZN241" s="15"/>
      <c r="WZO241" s="16"/>
      <c r="WZP241" s="16"/>
      <c r="WZQ241" s="16"/>
      <c r="WZR241" s="16"/>
      <c r="WZS241" s="16"/>
      <c r="WZT241" s="15"/>
      <c r="WZU241" s="15"/>
      <c r="WZV241" s="10"/>
      <c r="WZW241" s="10"/>
      <c r="WZX241" s="19"/>
      <c r="WZY241" s="19"/>
      <c r="XAB241" s="16"/>
      <c r="XAC241" s="15"/>
      <c r="XAD241" s="15"/>
      <c r="XAE241" s="15"/>
      <c r="XAF241" s="16"/>
      <c r="XAG241" s="16"/>
      <c r="XAH241" s="16"/>
      <c r="XAI241" s="16"/>
      <c r="XAJ241" s="16"/>
      <c r="XAK241" s="15"/>
      <c r="XAL241" s="15"/>
      <c r="XAM241" s="10"/>
      <c r="XAN241" s="10"/>
      <c r="XAO241" s="19"/>
      <c r="XAP241" s="19"/>
      <c r="XAS241" s="16"/>
      <c r="XAT241" s="15"/>
      <c r="XAU241" s="15"/>
      <c r="XAV241" s="15"/>
      <c r="XAW241" s="16"/>
      <c r="XAX241" s="16"/>
      <c r="XAY241" s="16"/>
      <c r="XAZ241" s="16"/>
      <c r="XBA241" s="16"/>
      <c r="XBB241" s="15"/>
      <c r="XBC241" s="15"/>
      <c r="XBD241" s="10"/>
      <c r="XBE241" s="10"/>
      <c r="XBF241" s="19"/>
      <c r="XBG241" s="19"/>
      <c r="XBJ241" s="16"/>
      <c r="XBK241" s="15"/>
      <c r="XBL241" s="15"/>
      <c r="XBM241" s="15"/>
      <c r="XBN241" s="16"/>
      <c r="XBO241" s="16"/>
      <c r="XBP241" s="16"/>
      <c r="XBQ241" s="16"/>
      <c r="XBR241" s="16"/>
      <c r="XBS241" s="15"/>
      <c r="XBT241" s="15"/>
      <c r="XBU241" s="10"/>
      <c r="XBV241" s="10"/>
      <c r="XBW241" s="19"/>
      <c r="XBX241" s="19"/>
      <c r="XCA241" s="16"/>
      <c r="XCB241" s="15"/>
      <c r="XCC241" s="15"/>
      <c r="XCD241" s="15"/>
      <c r="XCE241" s="16"/>
      <c r="XCF241" s="16"/>
      <c r="XCG241" s="16"/>
      <c r="XCH241" s="16"/>
      <c r="XCI241" s="16"/>
      <c r="XCJ241" s="15"/>
      <c r="XCK241" s="15"/>
      <c r="XCL241" s="10"/>
      <c r="XCM241" s="10"/>
      <c r="XCN241" s="19"/>
      <c r="XCO241" s="19"/>
      <c r="XCR241" s="16"/>
      <c r="XCS241" s="15"/>
      <c r="XCT241" s="15"/>
      <c r="XCU241" s="15"/>
      <c r="XCV241" s="16"/>
      <c r="XCW241" s="16"/>
      <c r="XCX241" s="16"/>
      <c r="XCY241" s="16"/>
      <c r="XCZ241" s="16"/>
      <c r="XDA241" s="15"/>
      <c r="XDB241" s="15"/>
      <c r="XDC241" s="10"/>
      <c r="XDD241" s="10"/>
      <c r="XDE241" s="19"/>
      <c r="XDF241" s="19"/>
      <c r="XDI241" s="16"/>
      <c r="XDJ241" s="15"/>
      <c r="XDK241" s="15"/>
      <c r="XDL241" s="15"/>
      <c r="XDM241" s="16"/>
      <c r="XDN241" s="16"/>
      <c r="XDO241" s="16"/>
      <c r="XDP241" s="16"/>
      <c r="XDQ241" s="16"/>
      <c r="XDR241" s="15"/>
      <c r="XDS241" s="15"/>
      <c r="XDT241" s="10"/>
      <c r="XDU241" s="10"/>
      <c r="XDV241" s="19"/>
      <c r="XDW241" s="19"/>
      <c r="XDZ241" s="16"/>
      <c r="XEA241" s="15"/>
      <c r="XEB241" s="15"/>
      <c r="XEC241" s="15"/>
      <c r="XED241" s="16"/>
      <c r="XEE241" s="16"/>
      <c r="XEF241" s="16"/>
      <c r="XEG241" s="16"/>
      <c r="XEH241" s="16"/>
      <c r="XEI241" s="15"/>
      <c r="XEJ241" s="15"/>
      <c r="XEK241" s="10"/>
      <c r="XEL241" s="10"/>
      <c r="XEM241" s="19"/>
      <c r="XEN241" s="19"/>
      <c r="XEQ241" s="16"/>
      <c r="XER241" s="15"/>
      <c r="XES241" s="15"/>
      <c r="XET241" s="15"/>
      <c r="XEU241" s="16"/>
      <c r="XEV241" s="16"/>
      <c r="XEW241" s="16"/>
      <c r="XEX241" s="16"/>
      <c r="XEY241" s="16"/>
      <c r="XEZ241" s="15"/>
      <c r="XFA241" s="15"/>
      <c r="XFB241" s="10"/>
      <c r="XFC241" s="10"/>
      <c r="XFD241" s="19"/>
    </row>
    <row r="242" spans="1:4094 4097:8191 8194:12288 12291:16384" ht="14.25" customHeight="1" x14ac:dyDescent="0.25">
      <c r="A242" s="31">
        <v>0</v>
      </c>
      <c r="B242" s="31">
        <v>1</v>
      </c>
      <c r="C242" s="31">
        <v>6</v>
      </c>
      <c r="D242" s="32" t="s">
        <v>1204</v>
      </c>
      <c r="E242" s="32" t="s">
        <v>164</v>
      </c>
      <c r="F242" s="32" t="s">
        <v>1205</v>
      </c>
      <c r="G242" s="32" t="s">
        <v>1207</v>
      </c>
      <c r="H242" s="32" t="s">
        <v>352</v>
      </c>
      <c r="I242" s="31" t="s">
        <v>1206</v>
      </c>
      <c r="J242" s="31">
        <v>99</v>
      </c>
      <c r="K242" s="33" t="s">
        <v>713</v>
      </c>
      <c r="L242" s="33" t="s">
        <v>684</v>
      </c>
      <c r="M242" s="34" t="s">
        <v>1372</v>
      </c>
      <c r="N242" s="34" t="s">
        <v>1705</v>
      </c>
      <c r="O242" s="35">
        <v>1</v>
      </c>
      <c r="P242" s="35"/>
      <c r="Q242" s="32"/>
      <c r="S242" s="1">
        <f t="shared" si="71"/>
        <v>0</v>
      </c>
      <c r="T242" s="1">
        <f t="shared" si="72"/>
        <v>0</v>
      </c>
      <c r="U242" s="1">
        <f t="shared" si="73"/>
        <v>0</v>
      </c>
      <c r="V242" s="1">
        <f t="shared" si="74"/>
        <v>0</v>
      </c>
      <c r="W242" s="1">
        <f t="shared" si="75"/>
        <v>0</v>
      </c>
      <c r="X242" s="1">
        <f t="shared" si="76"/>
        <v>0</v>
      </c>
      <c r="Y242" s="1">
        <f t="shared" si="77"/>
        <v>0</v>
      </c>
      <c r="Z242" s="1">
        <f t="shared" si="78"/>
        <v>0</v>
      </c>
      <c r="AA242" s="1">
        <f t="shared" si="79"/>
        <v>0</v>
      </c>
      <c r="AB242" s="1">
        <f t="shared" si="80"/>
        <v>0</v>
      </c>
      <c r="AD242" s="1">
        <f t="shared" si="81"/>
        <v>0</v>
      </c>
      <c r="AE242" s="1">
        <f t="shared" si="82"/>
        <v>1</v>
      </c>
      <c r="AF242" s="1">
        <f t="shared" si="83"/>
        <v>0</v>
      </c>
      <c r="AG242" s="1">
        <f t="shared" si="84"/>
        <v>1</v>
      </c>
      <c r="AH242" s="1">
        <f t="shared" si="85"/>
        <v>0</v>
      </c>
      <c r="AI242" s="1">
        <f t="shared" si="86"/>
        <v>1</v>
      </c>
    </row>
    <row r="243" spans="1:4094 4097:8191 8194:12288 12291:16384" ht="14.25" customHeight="1" x14ac:dyDescent="0.25">
      <c r="A243" s="31">
        <v>0</v>
      </c>
      <c r="B243" s="31">
        <v>1</v>
      </c>
      <c r="C243" s="31">
        <v>6</v>
      </c>
      <c r="D243" s="32" t="s">
        <v>959</v>
      </c>
      <c r="E243" s="32" t="s">
        <v>164</v>
      </c>
      <c r="F243" s="32" t="s">
        <v>957</v>
      </c>
      <c r="G243" s="32" t="s">
        <v>1086</v>
      </c>
      <c r="H243" s="32" t="s">
        <v>352</v>
      </c>
      <c r="I243" s="31" t="s">
        <v>958</v>
      </c>
      <c r="J243" s="31">
        <v>1</v>
      </c>
      <c r="K243" s="33" t="s">
        <v>937</v>
      </c>
      <c r="L243" s="33" t="s">
        <v>680</v>
      </c>
      <c r="M243" s="34" t="s">
        <v>1373</v>
      </c>
      <c r="N243" s="34" t="s">
        <v>1709</v>
      </c>
      <c r="O243" s="35">
        <v>1</v>
      </c>
      <c r="P243" s="35"/>
      <c r="Q243" s="32"/>
      <c r="R243" s="15"/>
      <c r="S243" s="1">
        <f t="shared" si="71"/>
        <v>1</v>
      </c>
      <c r="T243" s="1">
        <f t="shared" si="72"/>
        <v>0</v>
      </c>
      <c r="U243" s="1">
        <f t="shared" si="73"/>
        <v>0</v>
      </c>
      <c r="V243" s="1">
        <f t="shared" si="74"/>
        <v>0</v>
      </c>
      <c r="W243" s="1">
        <f t="shared" si="75"/>
        <v>0</v>
      </c>
      <c r="X243" s="1">
        <f t="shared" si="76"/>
        <v>0</v>
      </c>
      <c r="Y243" s="1">
        <f t="shared" si="77"/>
        <v>0</v>
      </c>
      <c r="Z243" s="1">
        <f t="shared" si="78"/>
        <v>0</v>
      </c>
      <c r="AA243" s="1">
        <f t="shared" si="79"/>
        <v>0</v>
      </c>
      <c r="AB243" s="1">
        <f t="shared" si="80"/>
        <v>0</v>
      </c>
      <c r="AD243" s="1">
        <f t="shared" si="81"/>
        <v>0</v>
      </c>
      <c r="AE243" s="1">
        <f t="shared" si="82"/>
        <v>1</v>
      </c>
      <c r="AF243" s="1">
        <f t="shared" si="83"/>
        <v>0</v>
      </c>
      <c r="AG243" s="1">
        <f t="shared" si="84"/>
        <v>1</v>
      </c>
      <c r="AH243" s="1">
        <f t="shared" si="85"/>
        <v>0</v>
      </c>
      <c r="AI243" s="1">
        <f t="shared" si="86"/>
        <v>1</v>
      </c>
      <c r="AJ243" s="15"/>
      <c r="AK243" s="15"/>
      <c r="AL243" s="15"/>
      <c r="AM243" s="15"/>
      <c r="AN243" s="15"/>
      <c r="AO243" s="15"/>
      <c r="AP243" s="15"/>
      <c r="AQ243" s="15"/>
      <c r="AR243" s="15"/>
      <c r="AS243" s="10"/>
      <c r="AT243" s="10"/>
      <c r="AU243" s="21"/>
      <c r="AV243" s="21"/>
      <c r="AY243" s="21"/>
      <c r="AZ243" s="15"/>
      <c r="BA243" s="15"/>
      <c r="BB243" s="15"/>
      <c r="BC243" s="15"/>
      <c r="BD243" s="15"/>
      <c r="BE243" s="15"/>
      <c r="BF243" s="15"/>
      <c r="BG243" s="15"/>
      <c r="BH243" s="15"/>
      <c r="BI243" s="15"/>
      <c r="BJ243" s="10"/>
      <c r="BK243" s="10"/>
      <c r="BL243" s="21"/>
      <c r="BM243" s="21"/>
      <c r="BP243" s="21"/>
      <c r="BQ243" s="15"/>
      <c r="BR243" s="15"/>
      <c r="BS243" s="15"/>
      <c r="BT243" s="15"/>
      <c r="BU243" s="15"/>
      <c r="BV243" s="15"/>
      <c r="BW243" s="15"/>
      <c r="BX243" s="15"/>
      <c r="BY243" s="15"/>
      <c r="BZ243" s="15"/>
      <c r="CA243" s="10"/>
      <c r="CB243" s="10"/>
      <c r="CC243" s="21"/>
      <c r="CD243" s="21"/>
      <c r="CG243" s="21"/>
      <c r="CH243" s="15"/>
      <c r="CI243" s="15"/>
      <c r="CJ243" s="15"/>
      <c r="CK243" s="15"/>
      <c r="CL243" s="15"/>
      <c r="CM243" s="15"/>
      <c r="CN243" s="15"/>
      <c r="CO243" s="15"/>
      <c r="CP243" s="15"/>
      <c r="CQ243" s="15"/>
      <c r="CR243" s="10"/>
      <c r="CS243" s="10"/>
      <c r="CT243" s="21"/>
      <c r="CU243" s="21"/>
      <c r="CX243" s="21"/>
      <c r="CY243" s="15"/>
      <c r="CZ243" s="15"/>
      <c r="DA243" s="15"/>
      <c r="DB243" s="15"/>
      <c r="DC243" s="15"/>
      <c r="DD243" s="15"/>
      <c r="DE243" s="15"/>
      <c r="DF243" s="15"/>
      <c r="DG243" s="15"/>
      <c r="DH243" s="15"/>
      <c r="DI243" s="10"/>
      <c r="DJ243" s="10"/>
      <c r="DK243" s="21"/>
      <c r="DL243" s="21"/>
      <c r="DO243" s="21"/>
      <c r="DP243" s="15"/>
      <c r="DQ243" s="15"/>
      <c r="DR243" s="15"/>
      <c r="DS243" s="15"/>
      <c r="DT243" s="15"/>
      <c r="DU243" s="15"/>
      <c r="DV243" s="15"/>
      <c r="DW243" s="15"/>
      <c r="DX243" s="15"/>
      <c r="DY243" s="15"/>
      <c r="DZ243" s="10"/>
      <c r="EA243" s="10"/>
      <c r="EB243" s="21"/>
      <c r="EC243" s="21"/>
      <c r="EF243" s="21"/>
      <c r="EG243" s="15"/>
      <c r="EH243" s="15"/>
      <c r="EI243" s="15"/>
      <c r="EJ243" s="15"/>
      <c r="EK243" s="15"/>
      <c r="EL243" s="15"/>
      <c r="EM243" s="15"/>
      <c r="EN243" s="15"/>
      <c r="EO243" s="15"/>
      <c r="EP243" s="15"/>
      <c r="EQ243" s="10"/>
      <c r="ER243" s="10"/>
      <c r="ES243" s="21"/>
      <c r="ET243" s="21"/>
      <c r="EW243" s="21"/>
      <c r="EX243" s="15"/>
      <c r="EY243" s="15"/>
      <c r="EZ243" s="15"/>
      <c r="FA243" s="15"/>
      <c r="FB243" s="15"/>
      <c r="FC243" s="15"/>
      <c r="FD243" s="15"/>
      <c r="FE243" s="15"/>
      <c r="FF243" s="15"/>
      <c r="FG243" s="15"/>
      <c r="FH243" s="10"/>
      <c r="FI243" s="10"/>
      <c r="FJ243" s="21"/>
      <c r="FK243" s="21"/>
      <c r="FN243" s="21"/>
      <c r="FO243" s="15"/>
      <c r="FP243" s="15"/>
      <c r="FQ243" s="15"/>
      <c r="FR243" s="15"/>
      <c r="FS243" s="15"/>
      <c r="FT243" s="15"/>
      <c r="FU243" s="15"/>
      <c r="FV243" s="15"/>
      <c r="FW243" s="15"/>
      <c r="FX243" s="15"/>
      <c r="FY243" s="10"/>
      <c r="FZ243" s="10"/>
      <c r="GA243" s="21"/>
      <c r="GB243" s="21"/>
      <c r="GE243" s="21"/>
      <c r="GF243" s="15"/>
      <c r="GG243" s="15"/>
      <c r="GH243" s="15"/>
      <c r="GI243" s="15"/>
      <c r="GJ243" s="15"/>
      <c r="GK243" s="15"/>
      <c r="GL243" s="15"/>
      <c r="GM243" s="15"/>
      <c r="GN243" s="15"/>
      <c r="GO243" s="15"/>
      <c r="GP243" s="10"/>
      <c r="GQ243" s="10"/>
      <c r="GR243" s="21"/>
      <c r="GS243" s="21"/>
      <c r="GV243" s="21"/>
      <c r="GW243" s="15"/>
      <c r="GX243" s="15"/>
      <c r="GY243" s="15"/>
      <c r="GZ243" s="15"/>
      <c r="HA243" s="15"/>
      <c r="HB243" s="15"/>
      <c r="HC243" s="15"/>
      <c r="HD243" s="15"/>
      <c r="HE243" s="15"/>
      <c r="HF243" s="15"/>
      <c r="HG243" s="10"/>
      <c r="HH243" s="10"/>
      <c r="HI243" s="21"/>
      <c r="HJ243" s="21"/>
      <c r="HM243" s="21"/>
      <c r="HN243" s="15"/>
      <c r="HO243" s="15"/>
      <c r="HP243" s="15"/>
      <c r="HQ243" s="15"/>
      <c r="HR243" s="15"/>
      <c r="HS243" s="15"/>
      <c r="HT243" s="15"/>
      <c r="HU243" s="15"/>
      <c r="HV243" s="15"/>
      <c r="HW243" s="15"/>
      <c r="HX243" s="10"/>
      <c r="HY243" s="10"/>
      <c r="HZ243" s="21"/>
      <c r="IA243" s="21"/>
      <c r="ID243" s="21"/>
      <c r="IE243" s="15"/>
      <c r="IF243" s="15"/>
      <c r="IG243" s="15"/>
      <c r="IH243" s="15"/>
      <c r="II243" s="15"/>
      <c r="IJ243" s="15"/>
      <c r="IK243" s="15"/>
      <c r="IL243" s="15"/>
      <c r="IM243" s="15"/>
      <c r="IN243" s="15"/>
      <c r="IO243" s="10"/>
      <c r="IP243" s="10"/>
      <c r="IQ243" s="21"/>
      <c r="IR243" s="21"/>
      <c r="IU243" s="21"/>
      <c r="IV243" s="15"/>
      <c r="IW243" s="15"/>
      <c r="IX243" s="15"/>
      <c r="IY243" s="15"/>
      <c r="IZ243" s="15"/>
      <c r="JA243" s="15"/>
      <c r="JB243" s="15"/>
      <c r="JC243" s="15"/>
      <c r="JD243" s="15"/>
      <c r="JE243" s="15"/>
      <c r="JF243" s="10"/>
      <c r="JG243" s="10"/>
      <c r="JH243" s="21"/>
      <c r="JI243" s="21"/>
      <c r="JL243" s="21"/>
      <c r="JM243" s="15"/>
      <c r="JN243" s="15"/>
      <c r="JO243" s="15"/>
      <c r="JP243" s="15"/>
      <c r="JQ243" s="15"/>
      <c r="JR243" s="15"/>
      <c r="JS243" s="15"/>
      <c r="JT243" s="15"/>
      <c r="JU243" s="15"/>
      <c r="JV243" s="15"/>
      <c r="JW243" s="10"/>
      <c r="JX243" s="10"/>
      <c r="JY243" s="21"/>
      <c r="JZ243" s="21"/>
      <c r="KC243" s="21"/>
      <c r="KD243" s="15"/>
      <c r="KE243" s="15"/>
      <c r="KF243" s="15"/>
      <c r="KG243" s="15"/>
      <c r="KH243" s="15"/>
      <c r="KI243" s="15"/>
      <c r="KJ243" s="15"/>
      <c r="KK243" s="15"/>
      <c r="KL243" s="15"/>
      <c r="KM243" s="15"/>
      <c r="KN243" s="10"/>
      <c r="KO243" s="10"/>
      <c r="KP243" s="21"/>
      <c r="KQ243" s="21"/>
      <c r="KT243" s="21"/>
      <c r="KU243" s="15"/>
      <c r="KV243" s="15"/>
      <c r="KW243" s="15"/>
      <c r="KX243" s="15"/>
      <c r="KY243" s="15"/>
      <c r="KZ243" s="15"/>
      <c r="LA243" s="15"/>
      <c r="LB243" s="15"/>
      <c r="LC243" s="15"/>
      <c r="LD243" s="15"/>
      <c r="LE243" s="10"/>
      <c r="LF243" s="10"/>
      <c r="LG243" s="21"/>
      <c r="LH243" s="21"/>
      <c r="LK243" s="21"/>
      <c r="LL243" s="15"/>
      <c r="LM243" s="15"/>
      <c r="LN243" s="15"/>
      <c r="LO243" s="15"/>
      <c r="LP243" s="15"/>
      <c r="LQ243" s="15"/>
      <c r="LR243" s="15"/>
      <c r="LS243" s="15"/>
      <c r="LT243" s="15"/>
      <c r="LU243" s="15"/>
      <c r="LV243" s="10"/>
      <c r="LW243" s="10"/>
      <c r="LX243" s="21"/>
      <c r="LY243" s="21"/>
      <c r="MB243" s="21"/>
      <c r="MC243" s="15"/>
      <c r="MD243" s="15"/>
      <c r="ME243" s="15"/>
      <c r="MF243" s="15"/>
      <c r="MG243" s="15"/>
      <c r="MH243" s="15"/>
      <c r="MI243" s="15"/>
      <c r="MJ243" s="15"/>
      <c r="MK243" s="15"/>
      <c r="ML243" s="15"/>
      <c r="MM243" s="10"/>
      <c r="MN243" s="10"/>
      <c r="MO243" s="21"/>
      <c r="MP243" s="21"/>
      <c r="MS243" s="21"/>
      <c r="MT243" s="15"/>
      <c r="MU243" s="15"/>
      <c r="MV243" s="15"/>
      <c r="MW243" s="15"/>
      <c r="MX243" s="15"/>
      <c r="MY243" s="15"/>
      <c r="MZ243" s="15"/>
      <c r="NA243" s="15"/>
      <c r="NB243" s="15"/>
      <c r="NC243" s="15"/>
      <c r="ND243" s="10"/>
      <c r="NE243" s="10"/>
      <c r="NF243" s="21"/>
      <c r="NG243" s="21"/>
      <c r="NJ243" s="21"/>
      <c r="NK243" s="15"/>
      <c r="NL243" s="15"/>
      <c r="NM243" s="15"/>
      <c r="NN243" s="15"/>
      <c r="NO243" s="15"/>
      <c r="NP243" s="15"/>
      <c r="NQ243" s="15"/>
      <c r="NR243" s="15"/>
      <c r="NS243" s="15"/>
      <c r="NT243" s="15"/>
      <c r="NU243" s="10"/>
      <c r="NV243" s="10"/>
      <c r="NW243" s="21"/>
      <c r="NX243" s="21"/>
      <c r="OA243" s="21"/>
      <c r="OB243" s="15"/>
      <c r="OC243" s="15"/>
      <c r="OD243" s="15"/>
      <c r="OE243" s="15"/>
      <c r="OF243" s="15"/>
      <c r="OG243" s="15"/>
      <c r="OH243" s="15"/>
      <c r="OI243" s="15"/>
      <c r="OJ243" s="15"/>
      <c r="OK243" s="15"/>
      <c r="OL243" s="10"/>
      <c r="OM243" s="10"/>
      <c r="ON243" s="21"/>
      <c r="OO243" s="21"/>
      <c r="OR243" s="21"/>
      <c r="OS243" s="15"/>
      <c r="OT243" s="15"/>
      <c r="OU243" s="15"/>
      <c r="OV243" s="15"/>
      <c r="OW243" s="15"/>
      <c r="OX243" s="15"/>
      <c r="OY243" s="15"/>
      <c r="OZ243" s="15"/>
      <c r="PA243" s="15"/>
      <c r="PB243" s="15"/>
      <c r="PC243" s="10"/>
      <c r="PD243" s="10"/>
      <c r="PE243" s="21"/>
      <c r="PF243" s="21"/>
      <c r="PI243" s="21"/>
      <c r="PJ243" s="15"/>
      <c r="PK243" s="15"/>
      <c r="PL243" s="15"/>
      <c r="PM243" s="15"/>
      <c r="PN243" s="15"/>
      <c r="PO243" s="15"/>
      <c r="PP243" s="15"/>
      <c r="PQ243" s="15"/>
      <c r="PR243" s="15"/>
      <c r="PS243" s="15"/>
      <c r="PT243" s="10"/>
      <c r="PU243" s="10"/>
      <c r="PV243" s="21"/>
      <c r="PW243" s="21"/>
      <c r="PZ243" s="21"/>
      <c r="QA243" s="15"/>
      <c r="QB243" s="15"/>
      <c r="QC243" s="15"/>
      <c r="QD243" s="15"/>
      <c r="QE243" s="15"/>
      <c r="QF243" s="15"/>
      <c r="QG243" s="15"/>
      <c r="QH243" s="15"/>
      <c r="QI243" s="15"/>
      <c r="QJ243" s="15"/>
      <c r="QK243" s="10"/>
      <c r="QL243" s="10"/>
      <c r="QM243" s="21"/>
      <c r="QN243" s="21"/>
      <c r="QQ243" s="21"/>
      <c r="QR243" s="15"/>
      <c r="QS243" s="15"/>
      <c r="QT243" s="15"/>
      <c r="QU243" s="15"/>
      <c r="QV243" s="15"/>
      <c r="QW243" s="15"/>
      <c r="QX243" s="15"/>
      <c r="QY243" s="15"/>
      <c r="QZ243" s="15"/>
      <c r="RA243" s="15"/>
      <c r="RB243" s="10"/>
      <c r="RC243" s="10"/>
      <c r="RD243" s="21"/>
      <c r="RE243" s="21"/>
      <c r="RH243" s="21"/>
      <c r="RI243" s="15"/>
      <c r="RJ243" s="15"/>
      <c r="RK243" s="15"/>
      <c r="RL243" s="15"/>
      <c r="RM243" s="15"/>
      <c r="RN243" s="15"/>
      <c r="RO243" s="15"/>
      <c r="RP243" s="15"/>
      <c r="RQ243" s="15"/>
      <c r="RR243" s="15"/>
      <c r="RS243" s="10"/>
      <c r="RT243" s="10"/>
      <c r="RU243" s="21"/>
      <c r="RV243" s="21"/>
      <c r="RY243" s="21"/>
      <c r="RZ243" s="15"/>
      <c r="SA243" s="15"/>
      <c r="SB243" s="15"/>
      <c r="SC243" s="15"/>
      <c r="SD243" s="15"/>
      <c r="SE243" s="15"/>
      <c r="SF243" s="15"/>
      <c r="SG243" s="15"/>
      <c r="SH243" s="15"/>
      <c r="SI243" s="15"/>
      <c r="SJ243" s="10"/>
      <c r="SK243" s="10"/>
      <c r="SL243" s="21"/>
      <c r="SM243" s="21"/>
      <c r="SP243" s="21"/>
      <c r="SQ243" s="15"/>
      <c r="SR243" s="15"/>
      <c r="SS243" s="15"/>
      <c r="ST243" s="15"/>
      <c r="SU243" s="15"/>
      <c r="SV243" s="15"/>
      <c r="SW243" s="15"/>
      <c r="SX243" s="15"/>
      <c r="SY243" s="15"/>
      <c r="SZ243" s="15"/>
      <c r="TA243" s="10"/>
      <c r="TB243" s="10"/>
      <c r="TC243" s="21"/>
      <c r="TD243" s="21"/>
      <c r="TG243" s="21"/>
      <c r="TH243" s="15"/>
      <c r="TI243" s="15"/>
      <c r="TJ243" s="15"/>
      <c r="TK243" s="15"/>
      <c r="TL243" s="15"/>
      <c r="TM243" s="15"/>
      <c r="TN243" s="15"/>
      <c r="TO243" s="15"/>
      <c r="TP243" s="15"/>
      <c r="TQ243" s="15"/>
      <c r="TR243" s="10"/>
      <c r="TS243" s="10"/>
      <c r="TT243" s="21"/>
      <c r="TU243" s="21"/>
      <c r="TX243" s="21"/>
      <c r="TY243" s="15"/>
      <c r="TZ243" s="15"/>
      <c r="UA243" s="15"/>
      <c r="UB243" s="15"/>
      <c r="UC243" s="15"/>
      <c r="UD243" s="15"/>
      <c r="UE243" s="15"/>
      <c r="UF243" s="15"/>
      <c r="UG243" s="15"/>
      <c r="UH243" s="15"/>
      <c r="UI243" s="10"/>
      <c r="UJ243" s="10"/>
      <c r="UK243" s="21"/>
      <c r="UL243" s="21"/>
      <c r="UO243" s="21"/>
      <c r="UP243" s="15"/>
      <c r="UQ243" s="15"/>
      <c r="UR243" s="15"/>
      <c r="US243" s="15"/>
      <c r="UT243" s="15"/>
      <c r="UU243" s="15"/>
      <c r="UV243" s="15"/>
      <c r="UW243" s="15"/>
      <c r="UX243" s="15"/>
      <c r="UY243" s="15"/>
      <c r="UZ243" s="10"/>
      <c r="VA243" s="10"/>
      <c r="VB243" s="21"/>
      <c r="VC243" s="21"/>
      <c r="VF243" s="21"/>
      <c r="VG243" s="15"/>
      <c r="VH243" s="15"/>
      <c r="VI243" s="15"/>
      <c r="VJ243" s="15"/>
      <c r="VK243" s="15"/>
      <c r="VL243" s="15"/>
      <c r="VM243" s="15"/>
      <c r="VN243" s="15"/>
      <c r="VO243" s="15"/>
      <c r="VP243" s="15"/>
      <c r="VQ243" s="10"/>
      <c r="VR243" s="10"/>
      <c r="VS243" s="21"/>
      <c r="VT243" s="21"/>
      <c r="VW243" s="21"/>
      <c r="VX243" s="15"/>
      <c r="VY243" s="15"/>
      <c r="VZ243" s="15"/>
      <c r="WA243" s="15"/>
      <c r="WB243" s="15"/>
      <c r="WC243" s="15"/>
      <c r="WD243" s="15"/>
      <c r="WE243" s="15"/>
      <c r="WF243" s="15"/>
      <c r="WG243" s="15"/>
      <c r="WH243" s="10"/>
      <c r="WI243" s="10"/>
      <c r="WJ243" s="21"/>
      <c r="WK243" s="21"/>
      <c r="WN243" s="21"/>
      <c r="WO243" s="15"/>
      <c r="WP243" s="15"/>
      <c r="WQ243" s="15"/>
      <c r="WR243" s="15"/>
      <c r="WS243" s="15"/>
      <c r="WT243" s="15"/>
      <c r="WU243" s="15"/>
      <c r="WV243" s="15"/>
      <c r="WW243" s="15"/>
      <c r="WX243" s="15"/>
      <c r="WY243" s="10"/>
      <c r="WZ243" s="10"/>
      <c r="XA243" s="21"/>
      <c r="XB243" s="21"/>
      <c r="XE243" s="21"/>
      <c r="XF243" s="15"/>
      <c r="XG243" s="15"/>
      <c r="XH243" s="15"/>
      <c r="XI243" s="15"/>
      <c r="XJ243" s="15"/>
      <c r="XK243" s="15"/>
      <c r="XL243" s="15"/>
      <c r="XM243" s="15"/>
      <c r="XN243" s="15"/>
      <c r="XO243" s="15"/>
      <c r="XP243" s="10"/>
      <c r="XQ243" s="10"/>
      <c r="XR243" s="21"/>
      <c r="XS243" s="21"/>
      <c r="XV243" s="21"/>
      <c r="XW243" s="15"/>
      <c r="XX243" s="15"/>
      <c r="XY243" s="15"/>
      <c r="XZ243" s="15"/>
      <c r="YA243" s="15"/>
      <c r="YB243" s="15"/>
      <c r="YC243" s="15"/>
      <c r="YD243" s="15"/>
      <c r="YE243" s="15"/>
      <c r="YF243" s="15"/>
      <c r="YG243" s="10"/>
      <c r="YH243" s="10"/>
      <c r="YI243" s="21"/>
      <c r="YJ243" s="21"/>
      <c r="YM243" s="21"/>
      <c r="YN243" s="15"/>
      <c r="YO243" s="15"/>
      <c r="YP243" s="15"/>
      <c r="YQ243" s="15"/>
      <c r="YR243" s="15"/>
      <c r="YS243" s="15"/>
      <c r="YT243" s="15"/>
      <c r="YU243" s="15"/>
      <c r="YV243" s="15"/>
      <c r="YW243" s="15"/>
      <c r="YX243" s="10"/>
      <c r="YY243" s="10"/>
      <c r="YZ243" s="21"/>
      <c r="ZA243" s="21"/>
      <c r="ZD243" s="21"/>
      <c r="ZE243" s="15"/>
      <c r="ZF243" s="15"/>
      <c r="ZG243" s="15"/>
      <c r="ZH243" s="15"/>
      <c r="ZI243" s="15"/>
      <c r="ZJ243" s="15"/>
      <c r="ZK243" s="15"/>
      <c r="ZL243" s="15"/>
      <c r="ZM243" s="15"/>
      <c r="ZN243" s="15"/>
      <c r="ZO243" s="10"/>
      <c r="ZP243" s="10"/>
      <c r="ZQ243" s="21"/>
      <c r="ZR243" s="21"/>
      <c r="ZU243" s="21"/>
      <c r="ZV243" s="15"/>
      <c r="ZW243" s="15"/>
      <c r="ZX243" s="15"/>
      <c r="ZY243" s="15"/>
      <c r="ZZ243" s="15"/>
      <c r="AAA243" s="15"/>
      <c r="AAB243" s="15"/>
      <c r="AAC243" s="15"/>
      <c r="AAD243" s="15"/>
      <c r="AAE243" s="15"/>
      <c r="AAF243" s="10"/>
      <c r="AAG243" s="10"/>
      <c r="AAH243" s="21"/>
      <c r="AAI243" s="21"/>
      <c r="AAL243" s="21"/>
      <c r="AAM243" s="15"/>
      <c r="AAN243" s="15"/>
      <c r="AAO243" s="15"/>
      <c r="AAP243" s="15"/>
      <c r="AAQ243" s="15"/>
      <c r="AAR243" s="15"/>
      <c r="AAS243" s="15"/>
      <c r="AAT243" s="15"/>
      <c r="AAU243" s="15"/>
      <c r="AAV243" s="15"/>
      <c r="AAW243" s="10"/>
      <c r="AAX243" s="10"/>
      <c r="AAY243" s="21"/>
      <c r="AAZ243" s="21"/>
      <c r="ABC243" s="21"/>
      <c r="ABD243" s="15"/>
      <c r="ABE243" s="15"/>
      <c r="ABF243" s="15"/>
      <c r="ABG243" s="15"/>
      <c r="ABH243" s="15"/>
      <c r="ABI243" s="15"/>
      <c r="ABJ243" s="15"/>
      <c r="ABK243" s="15"/>
      <c r="ABL243" s="15"/>
      <c r="ABM243" s="15"/>
      <c r="ABN243" s="10"/>
      <c r="ABO243" s="10"/>
      <c r="ABP243" s="21"/>
      <c r="ABQ243" s="21"/>
      <c r="ABT243" s="21"/>
      <c r="ABU243" s="15"/>
      <c r="ABV243" s="15"/>
      <c r="ABW243" s="15"/>
      <c r="ABX243" s="15"/>
      <c r="ABY243" s="15"/>
      <c r="ABZ243" s="15"/>
      <c r="ACA243" s="15"/>
      <c r="ACB243" s="15"/>
      <c r="ACC243" s="15"/>
      <c r="ACD243" s="15"/>
      <c r="ACE243" s="10"/>
      <c r="ACF243" s="10"/>
      <c r="ACG243" s="21"/>
      <c r="ACH243" s="21"/>
      <c r="ACK243" s="21"/>
      <c r="ACL243" s="15"/>
      <c r="ACM243" s="15"/>
      <c r="ACN243" s="15"/>
      <c r="ACO243" s="15"/>
      <c r="ACP243" s="15"/>
      <c r="ACQ243" s="15"/>
      <c r="ACR243" s="15"/>
      <c r="ACS243" s="15"/>
      <c r="ACT243" s="15"/>
      <c r="ACU243" s="15"/>
      <c r="ACV243" s="10"/>
      <c r="ACW243" s="10"/>
      <c r="ACX243" s="21"/>
      <c r="ACY243" s="21"/>
      <c r="ADB243" s="21"/>
      <c r="ADC243" s="15"/>
      <c r="ADD243" s="15"/>
      <c r="ADE243" s="15"/>
      <c r="ADF243" s="15"/>
      <c r="ADG243" s="15"/>
      <c r="ADH243" s="15"/>
      <c r="ADI243" s="15"/>
      <c r="ADJ243" s="15"/>
      <c r="ADK243" s="15"/>
      <c r="ADL243" s="15"/>
      <c r="ADM243" s="10"/>
      <c r="ADN243" s="10"/>
      <c r="ADO243" s="21"/>
      <c r="ADP243" s="21"/>
      <c r="ADS243" s="21"/>
      <c r="ADT243" s="15"/>
      <c r="ADU243" s="15"/>
      <c r="ADV243" s="15"/>
      <c r="ADW243" s="15"/>
      <c r="ADX243" s="15"/>
      <c r="ADY243" s="15"/>
      <c r="ADZ243" s="15"/>
      <c r="AEA243" s="15"/>
      <c r="AEB243" s="15"/>
      <c r="AEC243" s="15"/>
      <c r="AED243" s="10"/>
      <c r="AEE243" s="10"/>
      <c r="AEF243" s="21"/>
      <c r="AEG243" s="21"/>
      <c r="AEJ243" s="21"/>
      <c r="AEK243" s="15"/>
      <c r="AEL243" s="15"/>
      <c r="AEM243" s="15"/>
      <c r="AEN243" s="15"/>
      <c r="AEO243" s="15"/>
      <c r="AEP243" s="15"/>
      <c r="AEQ243" s="15"/>
      <c r="AER243" s="15"/>
      <c r="AES243" s="15"/>
      <c r="AET243" s="15"/>
      <c r="AEU243" s="10"/>
      <c r="AEV243" s="10"/>
      <c r="AEW243" s="21"/>
      <c r="AEX243" s="21"/>
      <c r="AFA243" s="21"/>
      <c r="AFB243" s="15"/>
      <c r="AFC243" s="15"/>
      <c r="AFD243" s="15"/>
      <c r="AFE243" s="15"/>
      <c r="AFF243" s="15"/>
      <c r="AFG243" s="15"/>
      <c r="AFH243" s="15"/>
      <c r="AFI243" s="15"/>
      <c r="AFJ243" s="15"/>
      <c r="AFK243" s="15"/>
      <c r="AFL243" s="10"/>
      <c r="AFM243" s="10"/>
      <c r="AFN243" s="21"/>
      <c r="AFO243" s="21"/>
      <c r="AFR243" s="21"/>
      <c r="AFS243" s="15"/>
      <c r="AFT243" s="15"/>
      <c r="AFU243" s="15"/>
      <c r="AFV243" s="15"/>
      <c r="AFW243" s="15"/>
      <c r="AFX243" s="15"/>
      <c r="AFY243" s="15"/>
      <c r="AFZ243" s="15"/>
      <c r="AGA243" s="15"/>
      <c r="AGB243" s="15"/>
      <c r="AGC243" s="10"/>
      <c r="AGD243" s="10"/>
      <c r="AGE243" s="21"/>
      <c r="AGF243" s="21"/>
      <c r="AGI243" s="21"/>
      <c r="AGJ243" s="15"/>
      <c r="AGK243" s="15"/>
      <c r="AGL243" s="15"/>
      <c r="AGM243" s="15"/>
      <c r="AGN243" s="15"/>
      <c r="AGO243" s="15"/>
      <c r="AGP243" s="15"/>
      <c r="AGQ243" s="15"/>
      <c r="AGR243" s="15"/>
      <c r="AGS243" s="15"/>
      <c r="AGT243" s="10"/>
      <c r="AGU243" s="10"/>
      <c r="AGV243" s="21"/>
      <c r="AGW243" s="21"/>
      <c r="AGZ243" s="21"/>
      <c r="AHA243" s="15"/>
      <c r="AHB243" s="15"/>
      <c r="AHC243" s="15"/>
      <c r="AHD243" s="15"/>
      <c r="AHE243" s="15"/>
      <c r="AHF243" s="15"/>
      <c r="AHG243" s="15"/>
      <c r="AHH243" s="15"/>
      <c r="AHI243" s="15"/>
      <c r="AHJ243" s="15"/>
      <c r="AHK243" s="10"/>
      <c r="AHL243" s="10"/>
      <c r="AHM243" s="21"/>
      <c r="AHN243" s="21"/>
      <c r="AHQ243" s="21"/>
      <c r="AHR243" s="15"/>
      <c r="AHS243" s="15"/>
      <c r="AHT243" s="15"/>
      <c r="AHU243" s="15"/>
      <c r="AHV243" s="15"/>
      <c r="AHW243" s="15"/>
      <c r="AHX243" s="15"/>
      <c r="AHY243" s="15"/>
      <c r="AHZ243" s="15"/>
      <c r="AIA243" s="15"/>
      <c r="AIB243" s="10"/>
      <c r="AIC243" s="10"/>
      <c r="AID243" s="21"/>
      <c r="AIE243" s="21"/>
      <c r="AIH243" s="21"/>
      <c r="AII243" s="15"/>
      <c r="AIJ243" s="15"/>
      <c r="AIK243" s="15"/>
      <c r="AIL243" s="15"/>
      <c r="AIM243" s="15"/>
      <c r="AIN243" s="15"/>
      <c r="AIO243" s="15"/>
      <c r="AIP243" s="15"/>
      <c r="AIQ243" s="15"/>
      <c r="AIR243" s="15"/>
      <c r="AIS243" s="10"/>
      <c r="AIT243" s="10"/>
      <c r="AIU243" s="21"/>
      <c r="AIV243" s="21"/>
      <c r="AIY243" s="21"/>
      <c r="AIZ243" s="15"/>
      <c r="AJA243" s="15"/>
      <c r="AJB243" s="15"/>
      <c r="AJC243" s="15"/>
      <c r="AJD243" s="15"/>
      <c r="AJE243" s="15"/>
      <c r="AJF243" s="15"/>
      <c r="AJG243" s="15"/>
      <c r="AJH243" s="15"/>
      <c r="AJI243" s="15"/>
      <c r="AJJ243" s="10"/>
      <c r="AJK243" s="10"/>
      <c r="AJL243" s="21"/>
      <c r="AJM243" s="21"/>
      <c r="AJP243" s="21"/>
      <c r="AJQ243" s="15"/>
      <c r="AJR243" s="15"/>
      <c r="AJS243" s="15"/>
      <c r="AJT243" s="15"/>
      <c r="AJU243" s="15"/>
      <c r="AJV243" s="15"/>
      <c r="AJW243" s="15"/>
      <c r="AJX243" s="15"/>
      <c r="AJY243" s="15"/>
      <c r="AJZ243" s="15"/>
      <c r="AKA243" s="10"/>
      <c r="AKB243" s="10"/>
      <c r="AKC243" s="21"/>
      <c r="AKD243" s="21"/>
      <c r="AKG243" s="21"/>
      <c r="AKH243" s="15"/>
      <c r="AKI243" s="15"/>
      <c r="AKJ243" s="15"/>
      <c r="AKK243" s="15"/>
      <c r="AKL243" s="15"/>
      <c r="AKM243" s="15"/>
      <c r="AKN243" s="15"/>
      <c r="AKO243" s="15"/>
      <c r="AKP243" s="15"/>
      <c r="AKQ243" s="15"/>
      <c r="AKR243" s="10"/>
      <c r="AKS243" s="10"/>
      <c r="AKT243" s="21"/>
      <c r="AKU243" s="21"/>
      <c r="AKX243" s="21"/>
      <c r="AKY243" s="15"/>
      <c r="AKZ243" s="15"/>
      <c r="ALA243" s="15"/>
      <c r="ALB243" s="15"/>
      <c r="ALC243" s="15"/>
      <c r="ALD243" s="15"/>
      <c r="ALE243" s="15"/>
      <c r="ALF243" s="15"/>
      <c r="ALG243" s="15"/>
      <c r="ALH243" s="15"/>
      <c r="ALI243" s="10"/>
      <c r="ALJ243" s="10"/>
      <c r="ALK243" s="21"/>
      <c r="ALL243" s="21"/>
      <c r="ALO243" s="21"/>
      <c r="ALP243" s="15"/>
      <c r="ALQ243" s="15"/>
      <c r="ALR243" s="15"/>
      <c r="ALS243" s="15"/>
      <c r="ALT243" s="15"/>
      <c r="ALU243" s="15"/>
      <c r="ALV243" s="15"/>
      <c r="ALW243" s="15"/>
      <c r="ALX243" s="15"/>
      <c r="ALY243" s="15"/>
      <c r="ALZ243" s="10"/>
      <c r="AMA243" s="10"/>
      <c r="AMB243" s="21"/>
      <c r="AMC243" s="21"/>
      <c r="AMF243" s="21"/>
      <c r="AMG243" s="15"/>
      <c r="AMH243" s="15"/>
      <c r="AMI243" s="15"/>
      <c r="AMJ243" s="15"/>
      <c r="AMK243" s="15"/>
      <c r="AML243" s="15"/>
      <c r="AMM243" s="15"/>
      <c r="AMN243" s="15"/>
      <c r="AMO243" s="15"/>
      <c r="AMP243" s="15"/>
      <c r="AMQ243" s="10"/>
      <c r="AMR243" s="10"/>
      <c r="AMS243" s="21"/>
      <c r="AMT243" s="21"/>
      <c r="AMW243" s="21"/>
      <c r="AMX243" s="15"/>
      <c r="AMY243" s="15"/>
      <c r="AMZ243" s="15"/>
      <c r="ANA243" s="15"/>
      <c r="ANB243" s="15"/>
      <c r="ANC243" s="15"/>
      <c r="AND243" s="15"/>
      <c r="ANE243" s="15"/>
      <c r="ANF243" s="15"/>
      <c r="ANG243" s="15"/>
      <c r="ANH243" s="10"/>
      <c r="ANI243" s="10"/>
      <c r="ANJ243" s="21"/>
      <c r="ANK243" s="21"/>
      <c r="ANN243" s="21"/>
      <c r="ANO243" s="15"/>
      <c r="ANP243" s="15"/>
      <c r="ANQ243" s="15"/>
      <c r="ANR243" s="15"/>
      <c r="ANS243" s="15"/>
      <c r="ANT243" s="15"/>
      <c r="ANU243" s="15"/>
      <c r="ANV243" s="15"/>
      <c r="ANW243" s="15"/>
      <c r="ANX243" s="15"/>
      <c r="ANY243" s="10"/>
      <c r="ANZ243" s="10"/>
      <c r="AOA243" s="21"/>
      <c r="AOB243" s="21"/>
      <c r="AOE243" s="21"/>
      <c r="AOF243" s="15"/>
      <c r="AOG243" s="15"/>
      <c r="AOH243" s="15"/>
      <c r="AOI243" s="15"/>
      <c r="AOJ243" s="15"/>
      <c r="AOK243" s="15"/>
      <c r="AOL243" s="15"/>
      <c r="AOM243" s="15"/>
      <c r="AON243" s="15"/>
      <c r="AOO243" s="15"/>
      <c r="AOP243" s="10"/>
      <c r="AOQ243" s="10"/>
      <c r="AOR243" s="21"/>
      <c r="AOS243" s="21"/>
      <c r="AOV243" s="21"/>
      <c r="AOW243" s="15"/>
      <c r="AOX243" s="15"/>
      <c r="AOY243" s="15"/>
      <c r="AOZ243" s="15"/>
      <c r="APA243" s="15"/>
      <c r="APB243" s="15"/>
      <c r="APC243" s="15"/>
      <c r="APD243" s="15"/>
      <c r="APE243" s="15"/>
      <c r="APF243" s="15"/>
      <c r="APG243" s="10"/>
      <c r="APH243" s="10"/>
      <c r="API243" s="21"/>
      <c r="APJ243" s="21"/>
      <c r="APM243" s="21"/>
      <c r="APN243" s="15"/>
      <c r="APO243" s="15"/>
      <c r="APP243" s="15"/>
      <c r="APQ243" s="15"/>
      <c r="APR243" s="15"/>
      <c r="APS243" s="15"/>
      <c r="APT243" s="15"/>
      <c r="APU243" s="15"/>
      <c r="APV243" s="15"/>
      <c r="APW243" s="15"/>
      <c r="APX243" s="10"/>
      <c r="APY243" s="10"/>
      <c r="APZ243" s="21"/>
      <c r="AQA243" s="21"/>
      <c r="AQD243" s="21"/>
      <c r="AQE243" s="15"/>
      <c r="AQF243" s="15"/>
      <c r="AQG243" s="15"/>
      <c r="AQH243" s="15"/>
      <c r="AQI243" s="15"/>
      <c r="AQJ243" s="15"/>
      <c r="AQK243" s="15"/>
      <c r="AQL243" s="15"/>
      <c r="AQM243" s="15"/>
      <c r="AQN243" s="15"/>
      <c r="AQO243" s="10"/>
      <c r="AQP243" s="10"/>
      <c r="AQQ243" s="21"/>
      <c r="AQR243" s="21"/>
      <c r="AQU243" s="21"/>
      <c r="AQV243" s="15"/>
      <c r="AQW243" s="15"/>
      <c r="AQX243" s="15"/>
      <c r="AQY243" s="15"/>
      <c r="AQZ243" s="15"/>
      <c r="ARA243" s="15"/>
      <c r="ARB243" s="15"/>
      <c r="ARC243" s="15"/>
      <c r="ARD243" s="15"/>
      <c r="ARE243" s="15"/>
      <c r="ARF243" s="10"/>
      <c r="ARG243" s="10"/>
      <c r="ARH243" s="21"/>
      <c r="ARI243" s="21"/>
      <c r="ARL243" s="21"/>
      <c r="ARM243" s="15"/>
      <c r="ARN243" s="15"/>
      <c r="ARO243" s="15"/>
      <c r="ARP243" s="15"/>
      <c r="ARQ243" s="15"/>
      <c r="ARR243" s="15"/>
      <c r="ARS243" s="15"/>
      <c r="ART243" s="15"/>
      <c r="ARU243" s="15"/>
      <c r="ARV243" s="15"/>
      <c r="ARW243" s="10"/>
      <c r="ARX243" s="10"/>
      <c r="ARY243" s="21"/>
      <c r="ARZ243" s="21"/>
      <c r="ASC243" s="21"/>
      <c r="ASD243" s="15"/>
      <c r="ASE243" s="15"/>
      <c r="ASF243" s="15"/>
      <c r="ASG243" s="15"/>
      <c r="ASH243" s="15"/>
      <c r="ASI243" s="15"/>
      <c r="ASJ243" s="15"/>
      <c r="ASK243" s="15"/>
      <c r="ASL243" s="15"/>
      <c r="ASM243" s="15"/>
      <c r="ASN243" s="10"/>
      <c r="ASO243" s="10"/>
      <c r="ASP243" s="21"/>
      <c r="ASQ243" s="21"/>
      <c r="AST243" s="21"/>
      <c r="ASU243" s="15"/>
      <c r="ASV243" s="15"/>
      <c r="ASW243" s="15"/>
      <c r="ASX243" s="15"/>
      <c r="ASY243" s="15"/>
      <c r="ASZ243" s="15"/>
      <c r="ATA243" s="15"/>
      <c r="ATB243" s="15"/>
      <c r="ATC243" s="15"/>
      <c r="ATD243" s="15"/>
      <c r="ATE243" s="10"/>
      <c r="ATF243" s="10"/>
      <c r="ATG243" s="21"/>
      <c r="ATH243" s="21"/>
      <c r="ATK243" s="21"/>
      <c r="ATL243" s="15"/>
      <c r="ATM243" s="15"/>
      <c r="ATN243" s="15"/>
      <c r="ATO243" s="15"/>
      <c r="ATP243" s="15"/>
      <c r="ATQ243" s="15"/>
      <c r="ATR243" s="15"/>
      <c r="ATS243" s="15"/>
      <c r="ATT243" s="15"/>
      <c r="ATU243" s="15"/>
      <c r="ATV243" s="10"/>
      <c r="ATW243" s="10"/>
      <c r="ATX243" s="21"/>
      <c r="ATY243" s="21"/>
      <c r="AUB243" s="21"/>
      <c r="AUC243" s="15"/>
      <c r="AUD243" s="15"/>
      <c r="AUE243" s="15"/>
      <c r="AUF243" s="15"/>
      <c r="AUG243" s="15"/>
      <c r="AUH243" s="15"/>
      <c r="AUI243" s="15"/>
      <c r="AUJ243" s="15"/>
      <c r="AUK243" s="15"/>
      <c r="AUL243" s="15"/>
      <c r="AUM243" s="10"/>
      <c r="AUN243" s="10"/>
      <c r="AUO243" s="21"/>
      <c r="AUP243" s="21"/>
      <c r="AUS243" s="21"/>
      <c r="AUT243" s="15"/>
      <c r="AUU243" s="15"/>
      <c r="AUV243" s="15"/>
      <c r="AUW243" s="15"/>
      <c r="AUX243" s="15"/>
      <c r="AUY243" s="15"/>
      <c r="AUZ243" s="15"/>
      <c r="AVA243" s="15"/>
      <c r="AVB243" s="15"/>
      <c r="AVC243" s="15"/>
      <c r="AVD243" s="10"/>
      <c r="AVE243" s="10"/>
      <c r="AVF243" s="21"/>
      <c r="AVG243" s="21"/>
      <c r="AVJ243" s="21"/>
      <c r="AVK243" s="15"/>
      <c r="AVL243" s="15"/>
      <c r="AVM243" s="15"/>
      <c r="AVN243" s="15"/>
      <c r="AVO243" s="15"/>
      <c r="AVP243" s="15"/>
      <c r="AVQ243" s="15"/>
      <c r="AVR243" s="15"/>
      <c r="AVS243" s="15"/>
      <c r="AVT243" s="15"/>
      <c r="AVU243" s="10"/>
      <c r="AVV243" s="10"/>
      <c r="AVW243" s="21"/>
      <c r="AVX243" s="21"/>
      <c r="AWA243" s="21"/>
      <c r="AWB243" s="15"/>
      <c r="AWC243" s="15"/>
      <c r="AWD243" s="15"/>
      <c r="AWE243" s="15"/>
      <c r="AWF243" s="15"/>
      <c r="AWG243" s="15"/>
      <c r="AWH243" s="15"/>
      <c r="AWI243" s="15"/>
      <c r="AWJ243" s="15"/>
      <c r="AWK243" s="15"/>
      <c r="AWL243" s="10"/>
      <c r="AWM243" s="10"/>
      <c r="AWN243" s="21"/>
      <c r="AWO243" s="21"/>
      <c r="AWR243" s="21"/>
      <c r="AWS243" s="15"/>
      <c r="AWT243" s="15"/>
      <c r="AWU243" s="15"/>
      <c r="AWV243" s="15"/>
      <c r="AWW243" s="15"/>
      <c r="AWX243" s="15"/>
      <c r="AWY243" s="15"/>
      <c r="AWZ243" s="15"/>
      <c r="AXA243" s="15"/>
      <c r="AXB243" s="15"/>
      <c r="AXC243" s="10"/>
      <c r="AXD243" s="10"/>
      <c r="AXE243" s="21"/>
      <c r="AXF243" s="21"/>
      <c r="AXI243" s="21"/>
      <c r="AXJ243" s="15"/>
      <c r="AXK243" s="15"/>
      <c r="AXL243" s="15"/>
      <c r="AXM243" s="15"/>
      <c r="AXN243" s="15"/>
      <c r="AXO243" s="15"/>
      <c r="AXP243" s="15"/>
      <c r="AXQ243" s="15"/>
      <c r="AXR243" s="15"/>
      <c r="AXS243" s="15"/>
      <c r="AXT243" s="10"/>
      <c r="AXU243" s="10"/>
      <c r="AXV243" s="21"/>
      <c r="AXW243" s="21"/>
      <c r="AXZ243" s="21"/>
      <c r="AYA243" s="15"/>
      <c r="AYB243" s="15"/>
      <c r="AYC243" s="15"/>
      <c r="AYD243" s="15"/>
      <c r="AYE243" s="15"/>
      <c r="AYF243" s="15"/>
      <c r="AYG243" s="15"/>
      <c r="AYH243" s="15"/>
      <c r="AYI243" s="15"/>
      <c r="AYJ243" s="15"/>
      <c r="AYK243" s="10"/>
      <c r="AYL243" s="10"/>
      <c r="AYM243" s="21"/>
      <c r="AYN243" s="21"/>
      <c r="AYQ243" s="21"/>
      <c r="AYR243" s="15"/>
      <c r="AYS243" s="15"/>
      <c r="AYT243" s="15"/>
      <c r="AYU243" s="15"/>
      <c r="AYV243" s="15"/>
      <c r="AYW243" s="15"/>
      <c r="AYX243" s="15"/>
      <c r="AYY243" s="15"/>
      <c r="AYZ243" s="15"/>
      <c r="AZA243" s="15"/>
      <c r="AZB243" s="10"/>
      <c r="AZC243" s="10"/>
      <c r="AZD243" s="21"/>
      <c r="AZE243" s="21"/>
      <c r="AZH243" s="21"/>
      <c r="AZI243" s="15"/>
      <c r="AZJ243" s="15"/>
      <c r="AZK243" s="15"/>
      <c r="AZL243" s="15"/>
      <c r="AZM243" s="15"/>
      <c r="AZN243" s="15"/>
      <c r="AZO243" s="15"/>
      <c r="AZP243" s="15"/>
      <c r="AZQ243" s="15"/>
      <c r="AZR243" s="15"/>
      <c r="AZS243" s="10"/>
      <c r="AZT243" s="10"/>
      <c r="AZU243" s="21"/>
      <c r="AZV243" s="21"/>
      <c r="AZY243" s="21"/>
      <c r="AZZ243" s="15"/>
      <c r="BAA243" s="15"/>
      <c r="BAB243" s="15"/>
      <c r="BAC243" s="15"/>
      <c r="BAD243" s="15"/>
      <c r="BAE243" s="15"/>
      <c r="BAF243" s="15"/>
      <c r="BAG243" s="15"/>
      <c r="BAH243" s="15"/>
      <c r="BAI243" s="15"/>
      <c r="BAJ243" s="10"/>
      <c r="BAK243" s="10"/>
      <c r="BAL243" s="21"/>
      <c r="BAM243" s="21"/>
      <c r="BAP243" s="21"/>
      <c r="BAQ243" s="15"/>
      <c r="BAR243" s="15"/>
      <c r="BAS243" s="15"/>
      <c r="BAT243" s="15"/>
      <c r="BAU243" s="15"/>
      <c r="BAV243" s="15"/>
      <c r="BAW243" s="15"/>
      <c r="BAX243" s="15"/>
      <c r="BAY243" s="15"/>
      <c r="BAZ243" s="15"/>
      <c r="BBA243" s="10"/>
      <c r="BBB243" s="10"/>
      <c r="BBC243" s="21"/>
      <c r="BBD243" s="21"/>
      <c r="BBG243" s="21"/>
      <c r="BBH243" s="15"/>
      <c r="BBI243" s="15"/>
      <c r="BBJ243" s="15"/>
      <c r="BBK243" s="15"/>
      <c r="BBL243" s="15"/>
      <c r="BBM243" s="15"/>
      <c r="BBN243" s="15"/>
      <c r="BBO243" s="15"/>
      <c r="BBP243" s="15"/>
      <c r="BBQ243" s="15"/>
      <c r="BBR243" s="10"/>
      <c r="BBS243" s="10"/>
      <c r="BBT243" s="21"/>
      <c r="BBU243" s="21"/>
      <c r="BBX243" s="21"/>
      <c r="BBY243" s="15"/>
      <c r="BBZ243" s="15"/>
      <c r="BCA243" s="15"/>
      <c r="BCB243" s="15"/>
      <c r="BCC243" s="15"/>
      <c r="BCD243" s="15"/>
      <c r="BCE243" s="15"/>
      <c r="BCF243" s="15"/>
      <c r="BCG243" s="15"/>
      <c r="BCH243" s="15"/>
      <c r="BCI243" s="10"/>
      <c r="BCJ243" s="10"/>
      <c r="BCK243" s="21"/>
      <c r="BCL243" s="21"/>
      <c r="BCO243" s="21"/>
      <c r="BCP243" s="15"/>
      <c r="BCQ243" s="15"/>
      <c r="BCR243" s="15"/>
      <c r="BCS243" s="15"/>
      <c r="BCT243" s="15"/>
      <c r="BCU243" s="15"/>
      <c r="BCV243" s="15"/>
      <c r="BCW243" s="15"/>
      <c r="BCX243" s="15"/>
      <c r="BCY243" s="15"/>
      <c r="BCZ243" s="10"/>
      <c r="BDA243" s="10"/>
      <c r="BDB243" s="21"/>
      <c r="BDC243" s="21"/>
      <c r="BDF243" s="21"/>
      <c r="BDG243" s="15"/>
      <c r="BDH243" s="15"/>
      <c r="BDI243" s="15"/>
      <c r="BDJ243" s="15"/>
      <c r="BDK243" s="15"/>
      <c r="BDL243" s="15"/>
      <c r="BDM243" s="15"/>
      <c r="BDN243" s="15"/>
      <c r="BDO243" s="15"/>
      <c r="BDP243" s="15"/>
      <c r="BDQ243" s="10"/>
      <c r="BDR243" s="10"/>
      <c r="BDS243" s="21"/>
      <c r="BDT243" s="21"/>
      <c r="BDW243" s="21"/>
      <c r="BDX243" s="15"/>
      <c r="BDY243" s="15"/>
      <c r="BDZ243" s="15"/>
      <c r="BEA243" s="15"/>
      <c r="BEB243" s="15"/>
      <c r="BEC243" s="15"/>
      <c r="BED243" s="15"/>
      <c r="BEE243" s="15"/>
      <c r="BEF243" s="15"/>
      <c r="BEG243" s="15"/>
      <c r="BEH243" s="10"/>
      <c r="BEI243" s="10"/>
      <c r="BEJ243" s="21"/>
      <c r="BEK243" s="21"/>
      <c r="BEN243" s="21"/>
      <c r="BEO243" s="15"/>
      <c r="BEP243" s="15"/>
      <c r="BEQ243" s="15"/>
      <c r="BER243" s="15"/>
      <c r="BES243" s="15"/>
      <c r="BET243" s="15"/>
      <c r="BEU243" s="15"/>
      <c r="BEV243" s="15"/>
      <c r="BEW243" s="15"/>
      <c r="BEX243" s="15"/>
      <c r="BEY243" s="10"/>
      <c r="BEZ243" s="10"/>
      <c r="BFA243" s="21"/>
      <c r="BFB243" s="21"/>
      <c r="BFE243" s="21"/>
      <c r="BFF243" s="15"/>
      <c r="BFG243" s="15"/>
      <c r="BFH243" s="15"/>
      <c r="BFI243" s="15"/>
      <c r="BFJ243" s="15"/>
      <c r="BFK243" s="15"/>
      <c r="BFL243" s="15"/>
      <c r="BFM243" s="15"/>
      <c r="BFN243" s="15"/>
      <c r="BFO243" s="15"/>
      <c r="BFP243" s="10"/>
      <c r="BFQ243" s="10"/>
      <c r="BFR243" s="21"/>
      <c r="BFS243" s="21"/>
      <c r="BFV243" s="21"/>
      <c r="BFW243" s="15"/>
      <c r="BFX243" s="15"/>
      <c r="BFY243" s="15"/>
      <c r="BFZ243" s="15"/>
      <c r="BGA243" s="15"/>
      <c r="BGB243" s="15"/>
      <c r="BGC243" s="15"/>
      <c r="BGD243" s="15"/>
      <c r="BGE243" s="15"/>
      <c r="BGF243" s="15"/>
      <c r="BGG243" s="10"/>
      <c r="BGH243" s="10"/>
      <c r="BGI243" s="21"/>
      <c r="BGJ243" s="21"/>
      <c r="BGM243" s="21"/>
      <c r="BGN243" s="15"/>
      <c r="BGO243" s="15"/>
      <c r="BGP243" s="15"/>
      <c r="BGQ243" s="15"/>
      <c r="BGR243" s="15"/>
      <c r="BGS243" s="15"/>
      <c r="BGT243" s="15"/>
      <c r="BGU243" s="15"/>
      <c r="BGV243" s="15"/>
      <c r="BGW243" s="15"/>
      <c r="BGX243" s="10"/>
      <c r="BGY243" s="10"/>
      <c r="BGZ243" s="21"/>
      <c r="BHA243" s="21"/>
      <c r="BHD243" s="21"/>
      <c r="BHE243" s="15"/>
      <c r="BHF243" s="15"/>
      <c r="BHG243" s="15"/>
      <c r="BHH243" s="15"/>
      <c r="BHI243" s="15"/>
      <c r="BHJ243" s="15"/>
      <c r="BHK243" s="15"/>
      <c r="BHL243" s="15"/>
      <c r="BHM243" s="15"/>
      <c r="BHN243" s="15"/>
      <c r="BHO243" s="10"/>
      <c r="BHP243" s="10"/>
      <c r="BHQ243" s="21"/>
      <c r="BHR243" s="21"/>
      <c r="BHU243" s="21"/>
      <c r="BHV243" s="15"/>
      <c r="BHW243" s="15"/>
      <c r="BHX243" s="15"/>
      <c r="BHY243" s="15"/>
      <c r="BHZ243" s="15"/>
      <c r="BIA243" s="15"/>
      <c r="BIB243" s="15"/>
      <c r="BIC243" s="15"/>
      <c r="BID243" s="15"/>
      <c r="BIE243" s="15"/>
      <c r="BIF243" s="10"/>
      <c r="BIG243" s="10"/>
      <c r="BIH243" s="21"/>
      <c r="BII243" s="21"/>
      <c r="BIL243" s="21"/>
      <c r="BIM243" s="15"/>
      <c r="BIN243" s="15"/>
      <c r="BIO243" s="15"/>
      <c r="BIP243" s="15"/>
      <c r="BIQ243" s="15"/>
      <c r="BIR243" s="15"/>
      <c r="BIS243" s="15"/>
      <c r="BIT243" s="15"/>
      <c r="BIU243" s="15"/>
      <c r="BIV243" s="15"/>
      <c r="BIW243" s="10"/>
      <c r="BIX243" s="10"/>
      <c r="BIY243" s="21"/>
      <c r="BIZ243" s="21"/>
      <c r="BJC243" s="21"/>
      <c r="BJD243" s="15"/>
      <c r="BJE243" s="15"/>
      <c r="BJF243" s="15"/>
      <c r="BJG243" s="15"/>
      <c r="BJH243" s="15"/>
      <c r="BJI243" s="15"/>
      <c r="BJJ243" s="15"/>
      <c r="BJK243" s="15"/>
      <c r="BJL243" s="15"/>
      <c r="BJM243" s="15"/>
      <c r="BJN243" s="10"/>
      <c r="BJO243" s="10"/>
      <c r="BJP243" s="21"/>
      <c r="BJQ243" s="21"/>
      <c r="BJT243" s="21"/>
      <c r="BJU243" s="15"/>
      <c r="BJV243" s="15"/>
      <c r="BJW243" s="15"/>
      <c r="BJX243" s="15"/>
      <c r="BJY243" s="15"/>
      <c r="BJZ243" s="15"/>
      <c r="BKA243" s="15"/>
      <c r="BKB243" s="15"/>
      <c r="BKC243" s="15"/>
      <c r="BKD243" s="15"/>
      <c r="BKE243" s="10"/>
      <c r="BKF243" s="10"/>
      <c r="BKG243" s="21"/>
      <c r="BKH243" s="21"/>
      <c r="BKK243" s="21"/>
      <c r="BKL243" s="15"/>
      <c r="BKM243" s="15"/>
      <c r="BKN243" s="15"/>
      <c r="BKO243" s="15"/>
      <c r="BKP243" s="15"/>
      <c r="BKQ243" s="15"/>
      <c r="BKR243" s="15"/>
      <c r="BKS243" s="15"/>
      <c r="BKT243" s="15"/>
      <c r="BKU243" s="15"/>
      <c r="BKV243" s="10"/>
      <c r="BKW243" s="10"/>
      <c r="BKX243" s="21"/>
      <c r="BKY243" s="21"/>
      <c r="BLB243" s="21"/>
      <c r="BLC243" s="15"/>
      <c r="BLD243" s="15"/>
      <c r="BLE243" s="15"/>
      <c r="BLF243" s="15"/>
      <c r="BLG243" s="15"/>
      <c r="BLH243" s="15"/>
      <c r="BLI243" s="15"/>
      <c r="BLJ243" s="15"/>
      <c r="BLK243" s="15"/>
      <c r="BLL243" s="15"/>
      <c r="BLM243" s="10"/>
      <c r="BLN243" s="10"/>
      <c r="BLO243" s="21"/>
      <c r="BLP243" s="21"/>
      <c r="BLS243" s="21"/>
      <c r="BLT243" s="15"/>
      <c r="BLU243" s="15"/>
      <c r="BLV243" s="15"/>
      <c r="BLW243" s="15"/>
      <c r="BLX243" s="15"/>
      <c r="BLY243" s="15"/>
      <c r="BLZ243" s="15"/>
      <c r="BMA243" s="15"/>
      <c r="BMB243" s="15"/>
      <c r="BMC243" s="15"/>
      <c r="BMD243" s="10"/>
      <c r="BME243" s="10"/>
      <c r="BMF243" s="21"/>
      <c r="BMG243" s="21"/>
      <c r="BMJ243" s="21"/>
      <c r="BMK243" s="15"/>
      <c r="BML243" s="15"/>
      <c r="BMM243" s="15"/>
      <c r="BMN243" s="15"/>
      <c r="BMO243" s="15"/>
      <c r="BMP243" s="15"/>
      <c r="BMQ243" s="15"/>
      <c r="BMR243" s="15"/>
      <c r="BMS243" s="15"/>
      <c r="BMT243" s="15"/>
      <c r="BMU243" s="10"/>
      <c r="BMV243" s="10"/>
      <c r="BMW243" s="21"/>
      <c r="BMX243" s="21"/>
      <c r="BNA243" s="21"/>
      <c r="BNB243" s="15"/>
      <c r="BNC243" s="15"/>
      <c r="BND243" s="15"/>
      <c r="BNE243" s="15"/>
      <c r="BNF243" s="15"/>
      <c r="BNG243" s="15"/>
      <c r="BNH243" s="15"/>
      <c r="BNI243" s="15"/>
      <c r="BNJ243" s="15"/>
      <c r="BNK243" s="15"/>
      <c r="BNL243" s="10"/>
      <c r="BNM243" s="10"/>
      <c r="BNN243" s="21"/>
      <c r="BNO243" s="21"/>
      <c r="BNR243" s="21"/>
      <c r="BNS243" s="15"/>
      <c r="BNT243" s="15"/>
      <c r="BNU243" s="15"/>
      <c r="BNV243" s="15"/>
      <c r="BNW243" s="15"/>
      <c r="BNX243" s="15"/>
      <c r="BNY243" s="15"/>
      <c r="BNZ243" s="15"/>
      <c r="BOA243" s="15"/>
      <c r="BOB243" s="15"/>
      <c r="BOC243" s="10"/>
      <c r="BOD243" s="10"/>
      <c r="BOE243" s="21"/>
      <c r="BOF243" s="21"/>
      <c r="BOI243" s="21"/>
      <c r="BOJ243" s="15"/>
      <c r="BOK243" s="15"/>
      <c r="BOL243" s="15"/>
      <c r="BOM243" s="15"/>
      <c r="BON243" s="15"/>
      <c r="BOO243" s="15"/>
      <c r="BOP243" s="15"/>
      <c r="BOQ243" s="15"/>
      <c r="BOR243" s="15"/>
      <c r="BOS243" s="15"/>
      <c r="BOT243" s="10"/>
      <c r="BOU243" s="10"/>
      <c r="BOV243" s="21"/>
      <c r="BOW243" s="21"/>
      <c r="BOZ243" s="21"/>
      <c r="BPA243" s="15"/>
      <c r="BPB243" s="15"/>
      <c r="BPC243" s="15"/>
      <c r="BPD243" s="15"/>
      <c r="BPE243" s="15"/>
      <c r="BPF243" s="15"/>
      <c r="BPG243" s="15"/>
      <c r="BPH243" s="15"/>
      <c r="BPI243" s="15"/>
      <c r="BPJ243" s="15"/>
      <c r="BPK243" s="10"/>
      <c r="BPL243" s="10"/>
      <c r="BPM243" s="21"/>
      <c r="BPN243" s="21"/>
      <c r="BPQ243" s="21"/>
      <c r="BPR243" s="15"/>
      <c r="BPS243" s="15"/>
      <c r="BPT243" s="15"/>
      <c r="BPU243" s="15"/>
      <c r="BPV243" s="15"/>
      <c r="BPW243" s="15"/>
      <c r="BPX243" s="15"/>
      <c r="BPY243" s="15"/>
      <c r="BPZ243" s="15"/>
      <c r="BQA243" s="15"/>
      <c r="BQB243" s="10"/>
      <c r="BQC243" s="10"/>
      <c r="BQD243" s="21"/>
      <c r="BQE243" s="21"/>
      <c r="BQH243" s="21"/>
      <c r="BQI243" s="15"/>
      <c r="BQJ243" s="15"/>
      <c r="BQK243" s="15"/>
      <c r="BQL243" s="15"/>
      <c r="BQM243" s="15"/>
      <c r="BQN243" s="15"/>
      <c r="BQO243" s="15"/>
      <c r="BQP243" s="15"/>
      <c r="BQQ243" s="15"/>
      <c r="BQR243" s="15"/>
      <c r="BQS243" s="10"/>
      <c r="BQT243" s="10"/>
      <c r="BQU243" s="21"/>
      <c r="BQV243" s="21"/>
      <c r="BQY243" s="21"/>
      <c r="BQZ243" s="15"/>
      <c r="BRA243" s="15"/>
      <c r="BRB243" s="15"/>
      <c r="BRC243" s="15"/>
      <c r="BRD243" s="15"/>
      <c r="BRE243" s="15"/>
      <c r="BRF243" s="15"/>
      <c r="BRG243" s="15"/>
      <c r="BRH243" s="15"/>
      <c r="BRI243" s="15"/>
      <c r="BRJ243" s="10"/>
      <c r="BRK243" s="10"/>
      <c r="BRL243" s="21"/>
      <c r="BRM243" s="21"/>
      <c r="BRP243" s="21"/>
      <c r="BRQ243" s="15"/>
      <c r="BRR243" s="15"/>
      <c r="BRS243" s="15"/>
      <c r="BRT243" s="15"/>
      <c r="BRU243" s="15"/>
      <c r="BRV243" s="15"/>
      <c r="BRW243" s="15"/>
      <c r="BRX243" s="15"/>
      <c r="BRY243" s="15"/>
      <c r="BRZ243" s="15"/>
      <c r="BSA243" s="10"/>
      <c r="BSB243" s="10"/>
      <c r="BSC243" s="21"/>
      <c r="BSD243" s="21"/>
      <c r="BSG243" s="21"/>
      <c r="BSH243" s="15"/>
      <c r="BSI243" s="15"/>
      <c r="BSJ243" s="15"/>
      <c r="BSK243" s="15"/>
      <c r="BSL243" s="15"/>
      <c r="BSM243" s="15"/>
      <c r="BSN243" s="15"/>
      <c r="BSO243" s="15"/>
      <c r="BSP243" s="15"/>
      <c r="BSQ243" s="15"/>
      <c r="BSR243" s="10"/>
      <c r="BSS243" s="10"/>
      <c r="BST243" s="21"/>
      <c r="BSU243" s="21"/>
      <c r="BSX243" s="21"/>
      <c r="BSY243" s="15"/>
      <c r="BSZ243" s="15"/>
      <c r="BTA243" s="15"/>
      <c r="BTB243" s="15"/>
      <c r="BTC243" s="15"/>
      <c r="BTD243" s="15"/>
      <c r="BTE243" s="15"/>
      <c r="BTF243" s="15"/>
      <c r="BTG243" s="15"/>
      <c r="BTH243" s="15"/>
      <c r="BTI243" s="10"/>
      <c r="BTJ243" s="10"/>
      <c r="BTK243" s="21"/>
      <c r="BTL243" s="21"/>
      <c r="BTO243" s="21"/>
      <c r="BTP243" s="15"/>
      <c r="BTQ243" s="15"/>
      <c r="BTR243" s="15"/>
      <c r="BTS243" s="15"/>
      <c r="BTT243" s="15"/>
      <c r="BTU243" s="15"/>
      <c r="BTV243" s="15"/>
      <c r="BTW243" s="15"/>
      <c r="BTX243" s="15"/>
      <c r="BTY243" s="15"/>
      <c r="BTZ243" s="10"/>
      <c r="BUA243" s="10"/>
      <c r="BUB243" s="21"/>
      <c r="BUC243" s="21"/>
      <c r="BUF243" s="21"/>
      <c r="BUG243" s="15"/>
      <c r="BUH243" s="15"/>
      <c r="BUI243" s="15"/>
      <c r="BUJ243" s="15"/>
      <c r="BUK243" s="15"/>
      <c r="BUL243" s="15"/>
      <c r="BUM243" s="15"/>
      <c r="BUN243" s="15"/>
      <c r="BUO243" s="15"/>
      <c r="BUP243" s="15"/>
      <c r="BUQ243" s="10"/>
      <c r="BUR243" s="10"/>
      <c r="BUS243" s="21"/>
      <c r="BUT243" s="21"/>
      <c r="BUW243" s="21"/>
      <c r="BUX243" s="15"/>
      <c r="BUY243" s="15"/>
      <c r="BUZ243" s="15"/>
      <c r="BVA243" s="15"/>
      <c r="BVB243" s="15"/>
      <c r="BVC243" s="15"/>
      <c r="BVD243" s="15"/>
      <c r="BVE243" s="15"/>
      <c r="BVF243" s="15"/>
      <c r="BVG243" s="15"/>
      <c r="BVH243" s="10"/>
      <c r="BVI243" s="10"/>
      <c r="BVJ243" s="21"/>
      <c r="BVK243" s="21"/>
      <c r="BVN243" s="21"/>
      <c r="BVO243" s="15"/>
      <c r="BVP243" s="15"/>
      <c r="BVQ243" s="15"/>
      <c r="BVR243" s="15"/>
      <c r="BVS243" s="15"/>
      <c r="BVT243" s="15"/>
      <c r="BVU243" s="15"/>
      <c r="BVV243" s="15"/>
      <c r="BVW243" s="15"/>
      <c r="BVX243" s="15"/>
      <c r="BVY243" s="10"/>
      <c r="BVZ243" s="10"/>
      <c r="BWA243" s="21"/>
      <c r="BWB243" s="21"/>
      <c r="BWE243" s="21"/>
      <c r="BWF243" s="15"/>
      <c r="BWG243" s="15"/>
      <c r="BWH243" s="15"/>
      <c r="BWI243" s="15"/>
      <c r="BWJ243" s="15"/>
      <c r="BWK243" s="15"/>
      <c r="BWL243" s="15"/>
      <c r="BWM243" s="15"/>
      <c r="BWN243" s="15"/>
      <c r="BWO243" s="15"/>
      <c r="BWP243" s="10"/>
      <c r="BWQ243" s="10"/>
      <c r="BWR243" s="21"/>
      <c r="BWS243" s="21"/>
      <c r="BWV243" s="21"/>
      <c r="BWW243" s="15"/>
      <c r="BWX243" s="15"/>
      <c r="BWY243" s="15"/>
      <c r="BWZ243" s="15"/>
      <c r="BXA243" s="15"/>
      <c r="BXB243" s="15"/>
      <c r="BXC243" s="15"/>
      <c r="BXD243" s="15"/>
      <c r="BXE243" s="15"/>
      <c r="BXF243" s="15"/>
      <c r="BXG243" s="10"/>
      <c r="BXH243" s="10"/>
      <c r="BXI243" s="21"/>
      <c r="BXJ243" s="21"/>
      <c r="BXM243" s="21"/>
      <c r="BXN243" s="15"/>
      <c r="BXO243" s="15"/>
      <c r="BXP243" s="15"/>
      <c r="BXQ243" s="15"/>
      <c r="BXR243" s="15"/>
      <c r="BXS243" s="15"/>
      <c r="BXT243" s="15"/>
      <c r="BXU243" s="15"/>
      <c r="BXV243" s="15"/>
      <c r="BXW243" s="15"/>
      <c r="BXX243" s="10"/>
      <c r="BXY243" s="10"/>
      <c r="BXZ243" s="21"/>
      <c r="BYA243" s="21"/>
      <c r="BYD243" s="21"/>
      <c r="BYE243" s="15"/>
      <c r="BYF243" s="15"/>
      <c r="BYG243" s="15"/>
      <c r="BYH243" s="15"/>
      <c r="BYI243" s="15"/>
      <c r="BYJ243" s="15"/>
      <c r="BYK243" s="15"/>
      <c r="BYL243" s="15"/>
      <c r="BYM243" s="15"/>
      <c r="BYN243" s="15"/>
      <c r="BYO243" s="10"/>
      <c r="BYP243" s="10"/>
      <c r="BYQ243" s="21"/>
      <c r="BYR243" s="21"/>
      <c r="BYU243" s="21"/>
      <c r="BYV243" s="15"/>
      <c r="BYW243" s="15"/>
      <c r="BYX243" s="15"/>
      <c r="BYY243" s="15"/>
      <c r="BYZ243" s="15"/>
      <c r="BZA243" s="15"/>
      <c r="BZB243" s="15"/>
      <c r="BZC243" s="15"/>
      <c r="BZD243" s="15"/>
      <c r="BZE243" s="15"/>
      <c r="BZF243" s="10"/>
      <c r="BZG243" s="10"/>
      <c r="BZH243" s="21"/>
      <c r="BZI243" s="21"/>
      <c r="BZL243" s="21"/>
      <c r="BZM243" s="15"/>
      <c r="BZN243" s="15"/>
      <c r="BZO243" s="15"/>
      <c r="BZP243" s="15"/>
      <c r="BZQ243" s="15"/>
      <c r="BZR243" s="15"/>
      <c r="BZS243" s="15"/>
      <c r="BZT243" s="15"/>
      <c r="BZU243" s="15"/>
      <c r="BZV243" s="15"/>
      <c r="BZW243" s="10"/>
      <c r="BZX243" s="10"/>
      <c r="BZY243" s="21"/>
      <c r="BZZ243" s="21"/>
      <c r="CAC243" s="21"/>
      <c r="CAD243" s="15"/>
      <c r="CAE243" s="15"/>
      <c r="CAF243" s="15"/>
      <c r="CAG243" s="15"/>
      <c r="CAH243" s="15"/>
      <c r="CAI243" s="15"/>
      <c r="CAJ243" s="15"/>
      <c r="CAK243" s="15"/>
      <c r="CAL243" s="15"/>
      <c r="CAM243" s="15"/>
      <c r="CAN243" s="10"/>
      <c r="CAO243" s="10"/>
      <c r="CAP243" s="21"/>
      <c r="CAQ243" s="21"/>
      <c r="CAT243" s="21"/>
      <c r="CAU243" s="15"/>
      <c r="CAV243" s="15"/>
      <c r="CAW243" s="15"/>
      <c r="CAX243" s="15"/>
      <c r="CAY243" s="15"/>
      <c r="CAZ243" s="15"/>
      <c r="CBA243" s="15"/>
      <c r="CBB243" s="15"/>
      <c r="CBC243" s="15"/>
      <c r="CBD243" s="15"/>
      <c r="CBE243" s="10"/>
      <c r="CBF243" s="10"/>
      <c r="CBG243" s="21"/>
      <c r="CBH243" s="21"/>
      <c r="CBK243" s="21"/>
      <c r="CBL243" s="15"/>
      <c r="CBM243" s="15"/>
      <c r="CBN243" s="15"/>
      <c r="CBO243" s="15"/>
      <c r="CBP243" s="15"/>
      <c r="CBQ243" s="15"/>
      <c r="CBR243" s="15"/>
      <c r="CBS243" s="15"/>
      <c r="CBT243" s="15"/>
      <c r="CBU243" s="15"/>
      <c r="CBV243" s="10"/>
      <c r="CBW243" s="10"/>
      <c r="CBX243" s="21"/>
      <c r="CBY243" s="21"/>
      <c r="CCB243" s="21"/>
      <c r="CCC243" s="15"/>
      <c r="CCD243" s="15"/>
      <c r="CCE243" s="15"/>
      <c r="CCF243" s="15"/>
      <c r="CCG243" s="15"/>
      <c r="CCH243" s="15"/>
      <c r="CCI243" s="15"/>
      <c r="CCJ243" s="15"/>
      <c r="CCK243" s="15"/>
      <c r="CCL243" s="15"/>
      <c r="CCM243" s="10"/>
      <c r="CCN243" s="10"/>
      <c r="CCO243" s="21"/>
      <c r="CCP243" s="21"/>
      <c r="CCS243" s="21"/>
      <c r="CCT243" s="15"/>
      <c r="CCU243" s="15"/>
      <c r="CCV243" s="15"/>
      <c r="CCW243" s="15"/>
      <c r="CCX243" s="15"/>
      <c r="CCY243" s="15"/>
      <c r="CCZ243" s="15"/>
      <c r="CDA243" s="15"/>
      <c r="CDB243" s="15"/>
      <c r="CDC243" s="15"/>
      <c r="CDD243" s="10"/>
      <c r="CDE243" s="10"/>
      <c r="CDF243" s="21"/>
      <c r="CDG243" s="21"/>
      <c r="CDJ243" s="21"/>
      <c r="CDK243" s="15"/>
      <c r="CDL243" s="15"/>
      <c r="CDM243" s="15"/>
      <c r="CDN243" s="15"/>
      <c r="CDO243" s="15"/>
      <c r="CDP243" s="15"/>
      <c r="CDQ243" s="15"/>
      <c r="CDR243" s="15"/>
      <c r="CDS243" s="15"/>
      <c r="CDT243" s="15"/>
      <c r="CDU243" s="10"/>
      <c r="CDV243" s="10"/>
      <c r="CDW243" s="21"/>
      <c r="CDX243" s="21"/>
      <c r="CEA243" s="21"/>
      <c r="CEB243" s="15"/>
      <c r="CEC243" s="15"/>
      <c r="CED243" s="15"/>
      <c r="CEE243" s="15"/>
      <c r="CEF243" s="15"/>
      <c r="CEG243" s="15"/>
      <c r="CEH243" s="15"/>
      <c r="CEI243" s="15"/>
      <c r="CEJ243" s="15"/>
      <c r="CEK243" s="15"/>
      <c r="CEL243" s="10"/>
      <c r="CEM243" s="10"/>
      <c r="CEN243" s="21"/>
      <c r="CEO243" s="21"/>
      <c r="CER243" s="21"/>
      <c r="CES243" s="15"/>
      <c r="CET243" s="15"/>
      <c r="CEU243" s="15"/>
      <c r="CEV243" s="15"/>
      <c r="CEW243" s="15"/>
      <c r="CEX243" s="15"/>
      <c r="CEY243" s="15"/>
      <c r="CEZ243" s="15"/>
      <c r="CFA243" s="15"/>
      <c r="CFB243" s="15"/>
      <c r="CFC243" s="10"/>
      <c r="CFD243" s="10"/>
      <c r="CFE243" s="21"/>
      <c r="CFF243" s="21"/>
      <c r="CFI243" s="21"/>
      <c r="CFJ243" s="15"/>
      <c r="CFK243" s="15"/>
      <c r="CFL243" s="15"/>
      <c r="CFM243" s="15"/>
      <c r="CFN243" s="15"/>
      <c r="CFO243" s="15"/>
      <c r="CFP243" s="15"/>
      <c r="CFQ243" s="15"/>
      <c r="CFR243" s="15"/>
      <c r="CFS243" s="15"/>
      <c r="CFT243" s="10"/>
      <c r="CFU243" s="10"/>
      <c r="CFV243" s="21"/>
      <c r="CFW243" s="21"/>
      <c r="CFZ243" s="21"/>
      <c r="CGA243" s="15"/>
      <c r="CGB243" s="15"/>
      <c r="CGC243" s="15"/>
      <c r="CGD243" s="15"/>
      <c r="CGE243" s="15"/>
      <c r="CGF243" s="15"/>
      <c r="CGG243" s="15"/>
      <c r="CGH243" s="15"/>
      <c r="CGI243" s="15"/>
      <c r="CGJ243" s="15"/>
      <c r="CGK243" s="10"/>
      <c r="CGL243" s="10"/>
      <c r="CGM243" s="21"/>
      <c r="CGN243" s="21"/>
      <c r="CGQ243" s="21"/>
      <c r="CGR243" s="15"/>
      <c r="CGS243" s="15"/>
      <c r="CGT243" s="15"/>
      <c r="CGU243" s="15"/>
      <c r="CGV243" s="15"/>
      <c r="CGW243" s="15"/>
      <c r="CGX243" s="15"/>
      <c r="CGY243" s="15"/>
      <c r="CGZ243" s="15"/>
      <c r="CHA243" s="15"/>
      <c r="CHB243" s="10"/>
      <c r="CHC243" s="10"/>
      <c r="CHD243" s="21"/>
      <c r="CHE243" s="21"/>
      <c r="CHH243" s="21"/>
      <c r="CHI243" s="15"/>
      <c r="CHJ243" s="15"/>
      <c r="CHK243" s="15"/>
      <c r="CHL243" s="15"/>
      <c r="CHM243" s="15"/>
      <c r="CHN243" s="15"/>
      <c r="CHO243" s="15"/>
      <c r="CHP243" s="15"/>
      <c r="CHQ243" s="15"/>
      <c r="CHR243" s="15"/>
      <c r="CHS243" s="10"/>
      <c r="CHT243" s="10"/>
      <c r="CHU243" s="21"/>
      <c r="CHV243" s="21"/>
      <c r="CHY243" s="21"/>
      <c r="CHZ243" s="15"/>
      <c r="CIA243" s="15"/>
      <c r="CIB243" s="15"/>
      <c r="CIC243" s="15"/>
      <c r="CID243" s="15"/>
      <c r="CIE243" s="15"/>
      <c r="CIF243" s="15"/>
      <c r="CIG243" s="15"/>
      <c r="CIH243" s="15"/>
      <c r="CII243" s="15"/>
      <c r="CIJ243" s="10"/>
      <c r="CIK243" s="10"/>
      <c r="CIL243" s="21"/>
      <c r="CIM243" s="21"/>
      <c r="CIP243" s="21"/>
      <c r="CIQ243" s="15"/>
      <c r="CIR243" s="15"/>
      <c r="CIS243" s="15"/>
      <c r="CIT243" s="15"/>
      <c r="CIU243" s="15"/>
      <c r="CIV243" s="15"/>
      <c r="CIW243" s="15"/>
      <c r="CIX243" s="15"/>
      <c r="CIY243" s="15"/>
      <c r="CIZ243" s="15"/>
      <c r="CJA243" s="10"/>
      <c r="CJB243" s="10"/>
      <c r="CJC243" s="21"/>
      <c r="CJD243" s="21"/>
      <c r="CJG243" s="21"/>
      <c r="CJH243" s="15"/>
      <c r="CJI243" s="15"/>
      <c r="CJJ243" s="15"/>
      <c r="CJK243" s="15"/>
      <c r="CJL243" s="15"/>
      <c r="CJM243" s="15"/>
      <c r="CJN243" s="15"/>
      <c r="CJO243" s="15"/>
      <c r="CJP243" s="15"/>
      <c r="CJQ243" s="15"/>
      <c r="CJR243" s="10"/>
      <c r="CJS243" s="10"/>
      <c r="CJT243" s="21"/>
      <c r="CJU243" s="21"/>
      <c r="CJX243" s="21"/>
      <c r="CJY243" s="15"/>
      <c r="CJZ243" s="15"/>
      <c r="CKA243" s="15"/>
      <c r="CKB243" s="15"/>
      <c r="CKC243" s="15"/>
      <c r="CKD243" s="15"/>
      <c r="CKE243" s="15"/>
      <c r="CKF243" s="15"/>
      <c r="CKG243" s="15"/>
      <c r="CKH243" s="15"/>
      <c r="CKI243" s="10"/>
      <c r="CKJ243" s="10"/>
      <c r="CKK243" s="21"/>
      <c r="CKL243" s="21"/>
      <c r="CKO243" s="21"/>
      <c r="CKP243" s="15"/>
      <c r="CKQ243" s="15"/>
      <c r="CKR243" s="15"/>
      <c r="CKS243" s="15"/>
      <c r="CKT243" s="15"/>
      <c r="CKU243" s="15"/>
      <c r="CKV243" s="15"/>
      <c r="CKW243" s="15"/>
      <c r="CKX243" s="15"/>
      <c r="CKY243" s="15"/>
      <c r="CKZ243" s="10"/>
      <c r="CLA243" s="10"/>
      <c r="CLB243" s="21"/>
      <c r="CLC243" s="21"/>
      <c r="CLF243" s="21"/>
      <c r="CLG243" s="15"/>
      <c r="CLH243" s="15"/>
      <c r="CLI243" s="15"/>
      <c r="CLJ243" s="15"/>
      <c r="CLK243" s="15"/>
      <c r="CLL243" s="15"/>
      <c r="CLM243" s="15"/>
      <c r="CLN243" s="15"/>
      <c r="CLO243" s="15"/>
      <c r="CLP243" s="15"/>
      <c r="CLQ243" s="10"/>
      <c r="CLR243" s="10"/>
      <c r="CLS243" s="21"/>
      <c r="CLT243" s="21"/>
      <c r="CLW243" s="21"/>
      <c r="CLX243" s="15"/>
      <c r="CLY243" s="15"/>
      <c r="CLZ243" s="15"/>
      <c r="CMA243" s="15"/>
      <c r="CMB243" s="15"/>
      <c r="CMC243" s="15"/>
      <c r="CMD243" s="15"/>
      <c r="CME243" s="15"/>
      <c r="CMF243" s="15"/>
      <c r="CMG243" s="15"/>
      <c r="CMH243" s="10"/>
      <c r="CMI243" s="10"/>
      <c r="CMJ243" s="21"/>
      <c r="CMK243" s="21"/>
      <c r="CMN243" s="21"/>
      <c r="CMO243" s="15"/>
      <c r="CMP243" s="15"/>
      <c r="CMQ243" s="15"/>
      <c r="CMR243" s="15"/>
      <c r="CMS243" s="15"/>
      <c r="CMT243" s="15"/>
      <c r="CMU243" s="15"/>
      <c r="CMV243" s="15"/>
      <c r="CMW243" s="15"/>
      <c r="CMX243" s="15"/>
      <c r="CMY243" s="10"/>
      <c r="CMZ243" s="10"/>
      <c r="CNA243" s="21"/>
      <c r="CNB243" s="21"/>
      <c r="CNE243" s="21"/>
      <c r="CNF243" s="15"/>
      <c r="CNG243" s="15"/>
      <c r="CNH243" s="15"/>
      <c r="CNI243" s="15"/>
      <c r="CNJ243" s="15"/>
      <c r="CNK243" s="15"/>
      <c r="CNL243" s="15"/>
      <c r="CNM243" s="15"/>
      <c r="CNN243" s="15"/>
      <c r="CNO243" s="15"/>
      <c r="CNP243" s="10"/>
      <c r="CNQ243" s="10"/>
      <c r="CNR243" s="21"/>
      <c r="CNS243" s="21"/>
      <c r="CNV243" s="21"/>
      <c r="CNW243" s="15"/>
      <c r="CNX243" s="15"/>
      <c r="CNY243" s="15"/>
      <c r="CNZ243" s="15"/>
      <c r="COA243" s="15"/>
      <c r="COB243" s="15"/>
      <c r="COC243" s="15"/>
      <c r="COD243" s="15"/>
      <c r="COE243" s="15"/>
      <c r="COF243" s="15"/>
      <c r="COG243" s="10"/>
      <c r="COH243" s="10"/>
      <c r="COI243" s="21"/>
      <c r="COJ243" s="21"/>
      <c r="COM243" s="21"/>
      <c r="CON243" s="15"/>
      <c r="COO243" s="15"/>
      <c r="COP243" s="15"/>
      <c r="COQ243" s="15"/>
      <c r="COR243" s="15"/>
      <c r="COS243" s="15"/>
      <c r="COT243" s="15"/>
      <c r="COU243" s="15"/>
      <c r="COV243" s="15"/>
      <c r="COW243" s="15"/>
      <c r="COX243" s="10"/>
      <c r="COY243" s="10"/>
      <c r="COZ243" s="21"/>
      <c r="CPA243" s="21"/>
      <c r="CPD243" s="21"/>
      <c r="CPE243" s="15"/>
      <c r="CPF243" s="15"/>
      <c r="CPG243" s="15"/>
      <c r="CPH243" s="15"/>
      <c r="CPI243" s="15"/>
      <c r="CPJ243" s="15"/>
      <c r="CPK243" s="15"/>
      <c r="CPL243" s="15"/>
      <c r="CPM243" s="15"/>
      <c r="CPN243" s="15"/>
      <c r="CPO243" s="10"/>
      <c r="CPP243" s="10"/>
      <c r="CPQ243" s="21"/>
      <c r="CPR243" s="21"/>
      <c r="CPU243" s="21"/>
      <c r="CPV243" s="15"/>
      <c r="CPW243" s="15"/>
      <c r="CPX243" s="15"/>
      <c r="CPY243" s="15"/>
      <c r="CPZ243" s="15"/>
      <c r="CQA243" s="15"/>
      <c r="CQB243" s="15"/>
      <c r="CQC243" s="15"/>
      <c r="CQD243" s="15"/>
      <c r="CQE243" s="15"/>
      <c r="CQF243" s="10"/>
      <c r="CQG243" s="10"/>
      <c r="CQH243" s="21"/>
      <c r="CQI243" s="21"/>
      <c r="CQL243" s="21"/>
      <c r="CQM243" s="15"/>
      <c r="CQN243" s="15"/>
      <c r="CQO243" s="15"/>
      <c r="CQP243" s="15"/>
      <c r="CQQ243" s="15"/>
      <c r="CQR243" s="15"/>
      <c r="CQS243" s="15"/>
      <c r="CQT243" s="15"/>
      <c r="CQU243" s="15"/>
      <c r="CQV243" s="15"/>
      <c r="CQW243" s="10"/>
      <c r="CQX243" s="10"/>
      <c r="CQY243" s="21"/>
      <c r="CQZ243" s="21"/>
      <c r="CRC243" s="21"/>
      <c r="CRD243" s="15"/>
      <c r="CRE243" s="15"/>
      <c r="CRF243" s="15"/>
      <c r="CRG243" s="15"/>
      <c r="CRH243" s="15"/>
      <c r="CRI243" s="15"/>
      <c r="CRJ243" s="15"/>
      <c r="CRK243" s="15"/>
      <c r="CRL243" s="15"/>
      <c r="CRM243" s="15"/>
      <c r="CRN243" s="10"/>
      <c r="CRO243" s="10"/>
      <c r="CRP243" s="21"/>
      <c r="CRQ243" s="21"/>
      <c r="CRT243" s="21"/>
      <c r="CRU243" s="15"/>
      <c r="CRV243" s="15"/>
      <c r="CRW243" s="15"/>
      <c r="CRX243" s="15"/>
      <c r="CRY243" s="15"/>
      <c r="CRZ243" s="15"/>
      <c r="CSA243" s="15"/>
      <c r="CSB243" s="15"/>
      <c r="CSC243" s="15"/>
      <c r="CSD243" s="15"/>
      <c r="CSE243" s="10"/>
      <c r="CSF243" s="10"/>
      <c r="CSG243" s="21"/>
      <c r="CSH243" s="21"/>
      <c r="CSK243" s="21"/>
      <c r="CSL243" s="15"/>
      <c r="CSM243" s="15"/>
      <c r="CSN243" s="15"/>
      <c r="CSO243" s="15"/>
      <c r="CSP243" s="15"/>
      <c r="CSQ243" s="15"/>
      <c r="CSR243" s="15"/>
      <c r="CSS243" s="15"/>
      <c r="CST243" s="15"/>
      <c r="CSU243" s="15"/>
      <c r="CSV243" s="10"/>
      <c r="CSW243" s="10"/>
      <c r="CSX243" s="21"/>
      <c r="CSY243" s="21"/>
      <c r="CTB243" s="21"/>
      <c r="CTC243" s="15"/>
      <c r="CTD243" s="15"/>
      <c r="CTE243" s="15"/>
      <c r="CTF243" s="15"/>
      <c r="CTG243" s="15"/>
      <c r="CTH243" s="15"/>
      <c r="CTI243" s="15"/>
      <c r="CTJ243" s="15"/>
      <c r="CTK243" s="15"/>
      <c r="CTL243" s="15"/>
      <c r="CTM243" s="10"/>
      <c r="CTN243" s="10"/>
      <c r="CTO243" s="21"/>
      <c r="CTP243" s="21"/>
      <c r="CTS243" s="21"/>
      <c r="CTT243" s="15"/>
      <c r="CTU243" s="15"/>
      <c r="CTV243" s="15"/>
      <c r="CTW243" s="15"/>
      <c r="CTX243" s="15"/>
      <c r="CTY243" s="15"/>
      <c r="CTZ243" s="15"/>
      <c r="CUA243" s="15"/>
      <c r="CUB243" s="15"/>
      <c r="CUC243" s="15"/>
      <c r="CUD243" s="10"/>
      <c r="CUE243" s="10"/>
      <c r="CUF243" s="21"/>
      <c r="CUG243" s="21"/>
      <c r="CUJ243" s="21"/>
      <c r="CUK243" s="15"/>
      <c r="CUL243" s="15"/>
      <c r="CUM243" s="15"/>
      <c r="CUN243" s="15"/>
      <c r="CUO243" s="15"/>
      <c r="CUP243" s="15"/>
      <c r="CUQ243" s="15"/>
      <c r="CUR243" s="15"/>
      <c r="CUS243" s="15"/>
      <c r="CUT243" s="15"/>
      <c r="CUU243" s="10"/>
      <c r="CUV243" s="10"/>
      <c r="CUW243" s="21"/>
      <c r="CUX243" s="21"/>
      <c r="CVA243" s="21"/>
      <c r="CVB243" s="15"/>
      <c r="CVC243" s="15"/>
      <c r="CVD243" s="15"/>
      <c r="CVE243" s="15"/>
      <c r="CVF243" s="15"/>
      <c r="CVG243" s="15"/>
      <c r="CVH243" s="15"/>
      <c r="CVI243" s="15"/>
      <c r="CVJ243" s="15"/>
      <c r="CVK243" s="15"/>
      <c r="CVL243" s="10"/>
      <c r="CVM243" s="10"/>
      <c r="CVN243" s="21"/>
      <c r="CVO243" s="21"/>
      <c r="CVR243" s="21"/>
      <c r="CVS243" s="15"/>
      <c r="CVT243" s="15"/>
      <c r="CVU243" s="15"/>
      <c r="CVV243" s="15"/>
      <c r="CVW243" s="15"/>
      <c r="CVX243" s="15"/>
      <c r="CVY243" s="15"/>
      <c r="CVZ243" s="15"/>
      <c r="CWA243" s="15"/>
      <c r="CWB243" s="15"/>
      <c r="CWC243" s="10"/>
      <c r="CWD243" s="10"/>
      <c r="CWE243" s="21"/>
      <c r="CWF243" s="21"/>
      <c r="CWI243" s="21"/>
      <c r="CWJ243" s="15"/>
      <c r="CWK243" s="15"/>
      <c r="CWL243" s="15"/>
      <c r="CWM243" s="15"/>
      <c r="CWN243" s="15"/>
      <c r="CWO243" s="15"/>
      <c r="CWP243" s="15"/>
      <c r="CWQ243" s="15"/>
      <c r="CWR243" s="15"/>
      <c r="CWS243" s="15"/>
      <c r="CWT243" s="10"/>
      <c r="CWU243" s="10"/>
      <c r="CWV243" s="21"/>
      <c r="CWW243" s="21"/>
      <c r="CWZ243" s="21"/>
      <c r="CXA243" s="15"/>
      <c r="CXB243" s="15"/>
      <c r="CXC243" s="15"/>
      <c r="CXD243" s="15"/>
      <c r="CXE243" s="15"/>
      <c r="CXF243" s="15"/>
      <c r="CXG243" s="15"/>
      <c r="CXH243" s="15"/>
      <c r="CXI243" s="15"/>
      <c r="CXJ243" s="15"/>
      <c r="CXK243" s="10"/>
      <c r="CXL243" s="10"/>
      <c r="CXM243" s="21"/>
      <c r="CXN243" s="21"/>
      <c r="CXQ243" s="21"/>
      <c r="CXR243" s="15"/>
      <c r="CXS243" s="15"/>
      <c r="CXT243" s="15"/>
      <c r="CXU243" s="15"/>
      <c r="CXV243" s="15"/>
      <c r="CXW243" s="15"/>
      <c r="CXX243" s="15"/>
      <c r="CXY243" s="15"/>
      <c r="CXZ243" s="15"/>
      <c r="CYA243" s="15"/>
      <c r="CYB243" s="10"/>
      <c r="CYC243" s="10"/>
      <c r="CYD243" s="21"/>
      <c r="CYE243" s="21"/>
      <c r="CYH243" s="21"/>
      <c r="CYI243" s="15"/>
      <c r="CYJ243" s="15"/>
      <c r="CYK243" s="15"/>
      <c r="CYL243" s="15"/>
      <c r="CYM243" s="15"/>
      <c r="CYN243" s="15"/>
      <c r="CYO243" s="15"/>
      <c r="CYP243" s="15"/>
      <c r="CYQ243" s="15"/>
      <c r="CYR243" s="15"/>
      <c r="CYS243" s="10"/>
      <c r="CYT243" s="10"/>
      <c r="CYU243" s="21"/>
      <c r="CYV243" s="21"/>
      <c r="CYY243" s="21"/>
      <c r="CYZ243" s="15"/>
      <c r="CZA243" s="15"/>
      <c r="CZB243" s="15"/>
      <c r="CZC243" s="15"/>
      <c r="CZD243" s="15"/>
      <c r="CZE243" s="15"/>
      <c r="CZF243" s="15"/>
      <c r="CZG243" s="15"/>
      <c r="CZH243" s="15"/>
      <c r="CZI243" s="15"/>
      <c r="CZJ243" s="10"/>
      <c r="CZK243" s="10"/>
      <c r="CZL243" s="21"/>
      <c r="CZM243" s="21"/>
      <c r="CZP243" s="21"/>
      <c r="CZQ243" s="15"/>
      <c r="CZR243" s="15"/>
      <c r="CZS243" s="15"/>
      <c r="CZT243" s="15"/>
      <c r="CZU243" s="15"/>
      <c r="CZV243" s="15"/>
      <c r="CZW243" s="15"/>
      <c r="CZX243" s="15"/>
      <c r="CZY243" s="15"/>
      <c r="CZZ243" s="15"/>
      <c r="DAA243" s="10"/>
      <c r="DAB243" s="10"/>
      <c r="DAC243" s="21"/>
      <c r="DAD243" s="21"/>
      <c r="DAG243" s="21"/>
      <c r="DAH243" s="15"/>
      <c r="DAI243" s="15"/>
      <c r="DAJ243" s="15"/>
      <c r="DAK243" s="15"/>
      <c r="DAL243" s="15"/>
      <c r="DAM243" s="15"/>
      <c r="DAN243" s="15"/>
      <c r="DAO243" s="15"/>
      <c r="DAP243" s="15"/>
      <c r="DAQ243" s="15"/>
      <c r="DAR243" s="10"/>
      <c r="DAS243" s="10"/>
      <c r="DAT243" s="21"/>
      <c r="DAU243" s="21"/>
      <c r="DAX243" s="21"/>
      <c r="DAY243" s="15"/>
      <c r="DAZ243" s="15"/>
      <c r="DBA243" s="15"/>
      <c r="DBB243" s="15"/>
      <c r="DBC243" s="15"/>
      <c r="DBD243" s="15"/>
      <c r="DBE243" s="15"/>
      <c r="DBF243" s="15"/>
      <c r="DBG243" s="15"/>
      <c r="DBH243" s="15"/>
      <c r="DBI243" s="10"/>
      <c r="DBJ243" s="10"/>
      <c r="DBK243" s="21"/>
      <c r="DBL243" s="21"/>
      <c r="DBO243" s="21"/>
      <c r="DBP243" s="15"/>
      <c r="DBQ243" s="15"/>
      <c r="DBR243" s="15"/>
      <c r="DBS243" s="15"/>
      <c r="DBT243" s="15"/>
      <c r="DBU243" s="15"/>
      <c r="DBV243" s="15"/>
      <c r="DBW243" s="15"/>
      <c r="DBX243" s="15"/>
      <c r="DBY243" s="15"/>
      <c r="DBZ243" s="10"/>
      <c r="DCA243" s="10"/>
      <c r="DCB243" s="21"/>
      <c r="DCC243" s="21"/>
      <c r="DCF243" s="21"/>
      <c r="DCG243" s="15"/>
      <c r="DCH243" s="15"/>
      <c r="DCI243" s="15"/>
      <c r="DCJ243" s="15"/>
      <c r="DCK243" s="15"/>
      <c r="DCL243" s="15"/>
      <c r="DCM243" s="15"/>
      <c r="DCN243" s="15"/>
      <c r="DCO243" s="15"/>
      <c r="DCP243" s="15"/>
      <c r="DCQ243" s="10"/>
      <c r="DCR243" s="10"/>
      <c r="DCS243" s="21"/>
      <c r="DCT243" s="21"/>
      <c r="DCW243" s="21"/>
      <c r="DCX243" s="15"/>
      <c r="DCY243" s="15"/>
      <c r="DCZ243" s="15"/>
      <c r="DDA243" s="15"/>
      <c r="DDB243" s="15"/>
      <c r="DDC243" s="15"/>
      <c r="DDD243" s="15"/>
      <c r="DDE243" s="15"/>
      <c r="DDF243" s="15"/>
      <c r="DDG243" s="15"/>
      <c r="DDH243" s="10"/>
      <c r="DDI243" s="10"/>
      <c r="DDJ243" s="21"/>
      <c r="DDK243" s="21"/>
      <c r="DDN243" s="21"/>
      <c r="DDO243" s="15"/>
      <c r="DDP243" s="15"/>
      <c r="DDQ243" s="15"/>
      <c r="DDR243" s="15"/>
      <c r="DDS243" s="15"/>
      <c r="DDT243" s="15"/>
      <c r="DDU243" s="15"/>
      <c r="DDV243" s="15"/>
      <c r="DDW243" s="15"/>
      <c r="DDX243" s="15"/>
      <c r="DDY243" s="10"/>
      <c r="DDZ243" s="10"/>
      <c r="DEA243" s="21"/>
      <c r="DEB243" s="21"/>
      <c r="DEE243" s="21"/>
      <c r="DEF243" s="15"/>
      <c r="DEG243" s="15"/>
      <c r="DEH243" s="15"/>
      <c r="DEI243" s="15"/>
      <c r="DEJ243" s="15"/>
      <c r="DEK243" s="15"/>
      <c r="DEL243" s="15"/>
      <c r="DEM243" s="15"/>
      <c r="DEN243" s="15"/>
      <c r="DEO243" s="15"/>
      <c r="DEP243" s="10"/>
      <c r="DEQ243" s="10"/>
      <c r="DER243" s="21"/>
      <c r="DES243" s="21"/>
      <c r="DEV243" s="21"/>
      <c r="DEW243" s="15"/>
      <c r="DEX243" s="15"/>
      <c r="DEY243" s="15"/>
      <c r="DEZ243" s="15"/>
      <c r="DFA243" s="15"/>
      <c r="DFB243" s="15"/>
      <c r="DFC243" s="15"/>
      <c r="DFD243" s="15"/>
      <c r="DFE243" s="15"/>
      <c r="DFF243" s="15"/>
      <c r="DFG243" s="10"/>
      <c r="DFH243" s="10"/>
      <c r="DFI243" s="21"/>
      <c r="DFJ243" s="21"/>
      <c r="DFM243" s="21"/>
      <c r="DFN243" s="15"/>
      <c r="DFO243" s="15"/>
      <c r="DFP243" s="15"/>
      <c r="DFQ243" s="15"/>
      <c r="DFR243" s="15"/>
      <c r="DFS243" s="15"/>
      <c r="DFT243" s="15"/>
      <c r="DFU243" s="15"/>
      <c r="DFV243" s="15"/>
      <c r="DFW243" s="15"/>
      <c r="DFX243" s="10"/>
      <c r="DFY243" s="10"/>
      <c r="DFZ243" s="21"/>
      <c r="DGA243" s="21"/>
      <c r="DGD243" s="21"/>
      <c r="DGE243" s="15"/>
      <c r="DGF243" s="15"/>
      <c r="DGG243" s="15"/>
      <c r="DGH243" s="15"/>
      <c r="DGI243" s="15"/>
      <c r="DGJ243" s="15"/>
      <c r="DGK243" s="15"/>
      <c r="DGL243" s="15"/>
      <c r="DGM243" s="15"/>
      <c r="DGN243" s="15"/>
      <c r="DGO243" s="10"/>
      <c r="DGP243" s="10"/>
      <c r="DGQ243" s="21"/>
      <c r="DGR243" s="21"/>
      <c r="DGU243" s="21"/>
      <c r="DGV243" s="15"/>
      <c r="DGW243" s="15"/>
      <c r="DGX243" s="15"/>
      <c r="DGY243" s="15"/>
      <c r="DGZ243" s="15"/>
      <c r="DHA243" s="15"/>
      <c r="DHB243" s="15"/>
      <c r="DHC243" s="15"/>
      <c r="DHD243" s="15"/>
      <c r="DHE243" s="15"/>
      <c r="DHF243" s="10"/>
      <c r="DHG243" s="10"/>
      <c r="DHH243" s="21"/>
      <c r="DHI243" s="21"/>
      <c r="DHL243" s="21"/>
      <c r="DHM243" s="15"/>
      <c r="DHN243" s="15"/>
      <c r="DHO243" s="15"/>
      <c r="DHP243" s="15"/>
      <c r="DHQ243" s="15"/>
      <c r="DHR243" s="15"/>
      <c r="DHS243" s="15"/>
      <c r="DHT243" s="15"/>
      <c r="DHU243" s="15"/>
      <c r="DHV243" s="15"/>
      <c r="DHW243" s="10"/>
      <c r="DHX243" s="10"/>
      <c r="DHY243" s="21"/>
      <c r="DHZ243" s="21"/>
      <c r="DIC243" s="21"/>
      <c r="DID243" s="15"/>
      <c r="DIE243" s="15"/>
      <c r="DIF243" s="15"/>
      <c r="DIG243" s="15"/>
      <c r="DIH243" s="15"/>
      <c r="DII243" s="15"/>
      <c r="DIJ243" s="15"/>
      <c r="DIK243" s="15"/>
      <c r="DIL243" s="15"/>
      <c r="DIM243" s="15"/>
      <c r="DIN243" s="10"/>
      <c r="DIO243" s="10"/>
      <c r="DIP243" s="21"/>
      <c r="DIQ243" s="21"/>
      <c r="DIT243" s="21"/>
      <c r="DIU243" s="15"/>
      <c r="DIV243" s="15"/>
      <c r="DIW243" s="15"/>
      <c r="DIX243" s="15"/>
      <c r="DIY243" s="15"/>
      <c r="DIZ243" s="15"/>
      <c r="DJA243" s="15"/>
      <c r="DJB243" s="15"/>
      <c r="DJC243" s="15"/>
      <c r="DJD243" s="15"/>
      <c r="DJE243" s="10"/>
      <c r="DJF243" s="10"/>
      <c r="DJG243" s="21"/>
      <c r="DJH243" s="21"/>
      <c r="DJK243" s="21"/>
      <c r="DJL243" s="15"/>
      <c r="DJM243" s="15"/>
      <c r="DJN243" s="15"/>
      <c r="DJO243" s="15"/>
      <c r="DJP243" s="15"/>
      <c r="DJQ243" s="15"/>
      <c r="DJR243" s="15"/>
      <c r="DJS243" s="15"/>
      <c r="DJT243" s="15"/>
      <c r="DJU243" s="15"/>
      <c r="DJV243" s="10"/>
      <c r="DJW243" s="10"/>
      <c r="DJX243" s="21"/>
      <c r="DJY243" s="21"/>
      <c r="DKB243" s="21"/>
      <c r="DKC243" s="15"/>
      <c r="DKD243" s="15"/>
      <c r="DKE243" s="15"/>
      <c r="DKF243" s="15"/>
      <c r="DKG243" s="15"/>
      <c r="DKH243" s="15"/>
      <c r="DKI243" s="15"/>
      <c r="DKJ243" s="15"/>
      <c r="DKK243" s="15"/>
      <c r="DKL243" s="15"/>
      <c r="DKM243" s="10"/>
      <c r="DKN243" s="10"/>
      <c r="DKO243" s="21"/>
      <c r="DKP243" s="21"/>
      <c r="DKS243" s="21"/>
      <c r="DKT243" s="15"/>
      <c r="DKU243" s="15"/>
      <c r="DKV243" s="15"/>
      <c r="DKW243" s="15"/>
      <c r="DKX243" s="15"/>
      <c r="DKY243" s="15"/>
      <c r="DKZ243" s="15"/>
      <c r="DLA243" s="15"/>
      <c r="DLB243" s="15"/>
      <c r="DLC243" s="15"/>
      <c r="DLD243" s="10"/>
      <c r="DLE243" s="10"/>
      <c r="DLF243" s="21"/>
      <c r="DLG243" s="21"/>
      <c r="DLJ243" s="21"/>
      <c r="DLK243" s="15"/>
      <c r="DLL243" s="15"/>
      <c r="DLM243" s="15"/>
      <c r="DLN243" s="15"/>
      <c r="DLO243" s="15"/>
      <c r="DLP243" s="15"/>
      <c r="DLQ243" s="15"/>
      <c r="DLR243" s="15"/>
      <c r="DLS243" s="15"/>
      <c r="DLT243" s="15"/>
      <c r="DLU243" s="10"/>
      <c r="DLV243" s="10"/>
      <c r="DLW243" s="21"/>
      <c r="DLX243" s="21"/>
      <c r="DMA243" s="21"/>
      <c r="DMB243" s="15"/>
      <c r="DMC243" s="15"/>
      <c r="DMD243" s="15"/>
      <c r="DME243" s="15"/>
      <c r="DMF243" s="15"/>
      <c r="DMG243" s="15"/>
      <c r="DMH243" s="15"/>
      <c r="DMI243" s="15"/>
      <c r="DMJ243" s="15"/>
      <c r="DMK243" s="15"/>
      <c r="DML243" s="10"/>
      <c r="DMM243" s="10"/>
      <c r="DMN243" s="21"/>
      <c r="DMO243" s="21"/>
      <c r="DMR243" s="21"/>
      <c r="DMS243" s="15"/>
      <c r="DMT243" s="15"/>
      <c r="DMU243" s="15"/>
      <c r="DMV243" s="15"/>
      <c r="DMW243" s="15"/>
      <c r="DMX243" s="15"/>
      <c r="DMY243" s="15"/>
      <c r="DMZ243" s="15"/>
      <c r="DNA243" s="15"/>
      <c r="DNB243" s="15"/>
      <c r="DNC243" s="10"/>
      <c r="DND243" s="10"/>
      <c r="DNE243" s="21"/>
      <c r="DNF243" s="21"/>
      <c r="DNI243" s="21"/>
      <c r="DNJ243" s="15"/>
      <c r="DNK243" s="15"/>
      <c r="DNL243" s="15"/>
      <c r="DNM243" s="15"/>
      <c r="DNN243" s="15"/>
      <c r="DNO243" s="15"/>
      <c r="DNP243" s="15"/>
      <c r="DNQ243" s="15"/>
      <c r="DNR243" s="15"/>
      <c r="DNS243" s="15"/>
      <c r="DNT243" s="10"/>
      <c r="DNU243" s="10"/>
      <c r="DNV243" s="21"/>
      <c r="DNW243" s="21"/>
      <c r="DNZ243" s="21"/>
      <c r="DOA243" s="15"/>
      <c r="DOB243" s="15"/>
      <c r="DOC243" s="15"/>
      <c r="DOD243" s="15"/>
      <c r="DOE243" s="15"/>
      <c r="DOF243" s="15"/>
      <c r="DOG243" s="15"/>
      <c r="DOH243" s="15"/>
      <c r="DOI243" s="15"/>
      <c r="DOJ243" s="15"/>
      <c r="DOK243" s="10"/>
      <c r="DOL243" s="10"/>
      <c r="DOM243" s="21"/>
      <c r="DON243" s="21"/>
      <c r="DOQ243" s="21"/>
      <c r="DOR243" s="15"/>
      <c r="DOS243" s="15"/>
      <c r="DOT243" s="15"/>
      <c r="DOU243" s="15"/>
      <c r="DOV243" s="15"/>
      <c r="DOW243" s="15"/>
      <c r="DOX243" s="15"/>
      <c r="DOY243" s="15"/>
      <c r="DOZ243" s="15"/>
      <c r="DPA243" s="15"/>
      <c r="DPB243" s="10"/>
      <c r="DPC243" s="10"/>
      <c r="DPD243" s="21"/>
      <c r="DPE243" s="21"/>
      <c r="DPH243" s="21"/>
      <c r="DPI243" s="15"/>
      <c r="DPJ243" s="15"/>
      <c r="DPK243" s="15"/>
      <c r="DPL243" s="15"/>
      <c r="DPM243" s="15"/>
      <c r="DPN243" s="15"/>
      <c r="DPO243" s="15"/>
      <c r="DPP243" s="15"/>
      <c r="DPQ243" s="15"/>
      <c r="DPR243" s="15"/>
      <c r="DPS243" s="10"/>
      <c r="DPT243" s="10"/>
      <c r="DPU243" s="21"/>
      <c r="DPV243" s="21"/>
      <c r="DPY243" s="21"/>
      <c r="DPZ243" s="15"/>
      <c r="DQA243" s="15"/>
      <c r="DQB243" s="15"/>
      <c r="DQC243" s="15"/>
      <c r="DQD243" s="15"/>
      <c r="DQE243" s="15"/>
      <c r="DQF243" s="15"/>
      <c r="DQG243" s="15"/>
      <c r="DQH243" s="15"/>
      <c r="DQI243" s="15"/>
      <c r="DQJ243" s="10"/>
      <c r="DQK243" s="10"/>
      <c r="DQL243" s="21"/>
      <c r="DQM243" s="21"/>
      <c r="DQP243" s="21"/>
      <c r="DQQ243" s="15"/>
      <c r="DQR243" s="15"/>
      <c r="DQS243" s="15"/>
      <c r="DQT243" s="15"/>
      <c r="DQU243" s="15"/>
      <c r="DQV243" s="15"/>
      <c r="DQW243" s="15"/>
      <c r="DQX243" s="15"/>
      <c r="DQY243" s="15"/>
      <c r="DQZ243" s="15"/>
      <c r="DRA243" s="10"/>
      <c r="DRB243" s="10"/>
      <c r="DRC243" s="21"/>
      <c r="DRD243" s="21"/>
      <c r="DRG243" s="21"/>
      <c r="DRH243" s="15"/>
      <c r="DRI243" s="15"/>
      <c r="DRJ243" s="15"/>
      <c r="DRK243" s="15"/>
      <c r="DRL243" s="15"/>
      <c r="DRM243" s="15"/>
      <c r="DRN243" s="15"/>
      <c r="DRO243" s="15"/>
      <c r="DRP243" s="15"/>
      <c r="DRQ243" s="15"/>
      <c r="DRR243" s="10"/>
      <c r="DRS243" s="10"/>
      <c r="DRT243" s="21"/>
      <c r="DRU243" s="21"/>
      <c r="DRX243" s="21"/>
      <c r="DRY243" s="15"/>
      <c r="DRZ243" s="15"/>
      <c r="DSA243" s="15"/>
      <c r="DSB243" s="15"/>
      <c r="DSC243" s="15"/>
      <c r="DSD243" s="15"/>
      <c r="DSE243" s="15"/>
      <c r="DSF243" s="15"/>
      <c r="DSG243" s="15"/>
      <c r="DSH243" s="15"/>
      <c r="DSI243" s="10"/>
      <c r="DSJ243" s="10"/>
      <c r="DSK243" s="21"/>
      <c r="DSL243" s="21"/>
      <c r="DSO243" s="21"/>
      <c r="DSP243" s="15"/>
      <c r="DSQ243" s="15"/>
      <c r="DSR243" s="15"/>
      <c r="DSS243" s="15"/>
      <c r="DST243" s="15"/>
      <c r="DSU243" s="15"/>
      <c r="DSV243" s="15"/>
      <c r="DSW243" s="15"/>
      <c r="DSX243" s="15"/>
      <c r="DSY243" s="15"/>
      <c r="DSZ243" s="10"/>
      <c r="DTA243" s="10"/>
      <c r="DTB243" s="21"/>
      <c r="DTC243" s="21"/>
      <c r="DTF243" s="21"/>
      <c r="DTG243" s="15"/>
      <c r="DTH243" s="15"/>
      <c r="DTI243" s="15"/>
      <c r="DTJ243" s="15"/>
      <c r="DTK243" s="15"/>
      <c r="DTL243" s="15"/>
      <c r="DTM243" s="15"/>
      <c r="DTN243" s="15"/>
      <c r="DTO243" s="15"/>
      <c r="DTP243" s="15"/>
      <c r="DTQ243" s="10"/>
      <c r="DTR243" s="10"/>
      <c r="DTS243" s="21"/>
      <c r="DTT243" s="21"/>
      <c r="DTW243" s="21"/>
      <c r="DTX243" s="15"/>
      <c r="DTY243" s="15"/>
      <c r="DTZ243" s="15"/>
      <c r="DUA243" s="15"/>
      <c r="DUB243" s="15"/>
      <c r="DUC243" s="15"/>
      <c r="DUD243" s="15"/>
      <c r="DUE243" s="15"/>
      <c r="DUF243" s="15"/>
      <c r="DUG243" s="15"/>
      <c r="DUH243" s="10"/>
      <c r="DUI243" s="10"/>
      <c r="DUJ243" s="21"/>
      <c r="DUK243" s="21"/>
      <c r="DUN243" s="21"/>
      <c r="DUO243" s="15"/>
      <c r="DUP243" s="15"/>
      <c r="DUQ243" s="15"/>
      <c r="DUR243" s="15"/>
      <c r="DUS243" s="15"/>
      <c r="DUT243" s="15"/>
      <c r="DUU243" s="15"/>
      <c r="DUV243" s="15"/>
      <c r="DUW243" s="15"/>
      <c r="DUX243" s="15"/>
      <c r="DUY243" s="10"/>
      <c r="DUZ243" s="10"/>
      <c r="DVA243" s="21"/>
      <c r="DVB243" s="21"/>
      <c r="DVE243" s="21"/>
      <c r="DVF243" s="15"/>
      <c r="DVG243" s="15"/>
      <c r="DVH243" s="15"/>
      <c r="DVI243" s="15"/>
      <c r="DVJ243" s="15"/>
      <c r="DVK243" s="15"/>
      <c r="DVL243" s="15"/>
      <c r="DVM243" s="15"/>
      <c r="DVN243" s="15"/>
      <c r="DVO243" s="15"/>
      <c r="DVP243" s="10"/>
      <c r="DVQ243" s="10"/>
      <c r="DVR243" s="21"/>
      <c r="DVS243" s="21"/>
      <c r="DVV243" s="21"/>
      <c r="DVW243" s="15"/>
      <c r="DVX243" s="15"/>
      <c r="DVY243" s="15"/>
      <c r="DVZ243" s="15"/>
      <c r="DWA243" s="15"/>
      <c r="DWB243" s="15"/>
      <c r="DWC243" s="15"/>
      <c r="DWD243" s="15"/>
      <c r="DWE243" s="15"/>
      <c r="DWF243" s="15"/>
      <c r="DWG243" s="10"/>
      <c r="DWH243" s="10"/>
      <c r="DWI243" s="21"/>
      <c r="DWJ243" s="21"/>
      <c r="DWM243" s="21"/>
      <c r="DWN243" s="15"/>
      <c r="DWO243" s="15"/>
      <c r="DWP243" s="15"/>
      <c r="DWQ243" s="15"/>
      <c r="DWR243" s="15"/>
      <c r="DWS243" s="15"/>
      <c r="DWT243" s="15"/>
      <c r="DWU243" s="15"/>
      <c r="DWV243" s="15"/>
      <c r="DWW243" s="15"/>
      <c r="DWX243" s="10"/>
      <c r="DWY243" s="10"/>
      <c r="DWZ243" s="21"/>
      <c r="DXA243" s="21"/>
      <c r="DXD243" s="21"/>
      <c r="DXE243" s="15"/>
      <c r="DXF243" s="15"/>
      <c r="DXG243" s="15"/>
      <c r="DXH243" s="15"/>
      <c r="DXI243" s="15"/>
      <c r="DXJ243" s="15"/>
      <c r="DXK243" s="15"/>
      <c r="DXL243" s="15"/>
      <c r="DXM243" s="15"/>
      <c r="DXN243" s="15"/>
      <c r="DXO243" s="10"/>
      <c r="DXP243" s="10"/>
      <c r="DXQ243" s="21"/>
      <c r="DXR243" s="21"/>
      <c r="DXU243" s="21"/>
      <c r="DXV243" s="15"/>
      <c r="DXW243" s="15"/>
      <c r="DXX243" s="15"/>
      <c r="DXY243" s="15"/>
      <c r="DXZ243" s="15"/>
      <c r="DYA243" s="15"/>
      <c r="DYB243" s="15"/>
      <c r="DYC243" s="15"/>
      <c r="DYD243" s="15"/>
      <c r="DYE243" s="15"/>
      <c r="DYF243" s="10"/>
      <c r="DYG243" s="10"/>
      <c r="DYH243" s="21"/>
      <c r="DYI243" s="21"/>
      <c r="DYL243" s="21"/>
      <c r="DYM243" s="15"/>
      <c r="DYN243" s="15"/>
      <c r="DYO243" s="15"/>
      <c r="DYP243" s="15"/>
      <c r="DYQ243" s="15"/>
      <c r="DYR243" s="15"/>
      <c r="DYS243" s="15"/>
      <c r="DYT243" s="15"/>
      <c r="DYU243" s="15"/>
      <c r="DYV243" s="15"/>
      <c r="DYW243" s="10"/>
      <c r="DYX243" s="10"/>
      <c r="DYY243" s="21"/>
      <c r="DYZ243" s="21"/>
      <c r="DZC243" s="21"/>
      <c r="DZD243" s="15"/>
      <c r="DZE243" s="15"/>
      <c r="DZF243" s="15"/>
      <c r="DZG243" s="15"/>
      <c r="DZH243" s="15"/>
      <c r="DZI243" s="15"/>
      <c r="DZJ243" s="15"/>
      <c r="DZK243" s="15"/>
      <c r="DZL243" s="15"/>
      <c r="DZM243" s="15"/>
      <c r="DZN243" s="10"/>
      <c r="DZO243" s="10"/>
      <c r="DZP243" s="21"/>
      <c r="DZQ243" s="21"/>
      <c r="DZT243" s="21"/>
      <c r="DZU243" s="15"/>
      <c r="DZV243" s="15"/>
      <c r="DZW243" s="15"/>
      <c r="DZX243" s="15"/>
      <c r="DZY243" s="15"/>
      <c r="DZZ243" s="15"/>
      <c r="EAA243" s="15"/>
      <c r="EAB243" s="15"/>
      <c r="EAC243" s="15"/>
      <c r="EAD243" s="15"/>
      <c r="EAE243" s="10"/>
      <c r="EAF243" s="10"/>
      <c r="EAG243" s="21"/>
      <c r="EAH243" s="21"/>
      <c r="EAK243" s="21"/>
      <c r="EAL243" s="15"/>
      <c r="EAM243" s="15"/>
      <c r="EAN243" s="15"/>
      <c r="EAO243" s="15"/>
      <c r="EAP243" s="15"/>
      <c r="EAQ243" s="15"/>
      <c r="EAR243" s="15"/>
      <c r="EAS243" s="15"/>
      <c r="EAT243" s="15"/>
      <c r="EAU243" s="15"/>
      <c r="EAV243" s="10"/>
      <c r="EAW243" s="10"/>
      <c r="EAX243" s="21"/>
      <c r="EAY243" s="21"/>
      <c r="EBB243" s="21"/>
      <c r="EBC243" s="15"/>
      <c r="EBD243" s="15"/>
      <c r="EBE243" s="15"/>
      <c r="EBF243" s="15"/>
      <c r="EBG243" s="15"/>
      <c r="EBH243" s="15"/>
      <c r="EBI243" s="15"/>
      <c r="EBJ243" s="15"/>
      <c r="EBK243" s="15"/>
      <c r="EBL243" s="15"/>
      <c r="EBM243" s="10"/>
      <c r="EBN243" s="10"/>
      <c r="EBO243" s="21"/>
      <c r="EBP243" s="21"/>
      <c r="EBS243" s="21"/>
      <c r="EBT243" s="15"/>
      <c r="EBU243" s="15"/>
      <c r="EBV243" s="15"/>
      <c r="EBW243" s="15"/>
      <c r="EBX243" s="15"/>
      <c r="EBY243" s="15"/>
      <c r="EBZ243" s="15"/>
      <c r="ECA243" s="15"/>
      <c r="ECB243" s="15"/>
      <c r="ECC243" s="15"/>
      <c r="ECD243" s="10"/>
      <c r="ECE243" s="10"/>
      <c r="ECF243" s="21"/>
      <c r="ECG243" s="21"/>
      <c r="ECJ243" s="21"/>
      <c r="ECK243" s="15"/>
      <c r="ECL243" s="15"/>
      <c r="ECM243" s="15"/>
      <c r="ECN243" s="15"/>
      <c r="ECO243" s="15"/>
      <c r="ECP243" s="15"/>
      <c r="ECQ243" s="15"/>
      <c r="ECR243" s="15"/>
      <c r="ECS243" s="15"/>
      <c r="ECT243" s="15"/>
      <c r="ECU243" s="10"/>
      <c r="ECV243" s="10"/>
      <c r="ECW243" s="21"/>
      <c r="ECX243" s="21"/>
      <c r="EDA243" s="21"/>
      <c r="EDB243" s="15"/>
      <c r="EDC243" s="15"/>
      <c r="EDD243" s="15"/>
      <c r="EDE243" s="15"/>
      <c r="EDF243" s="15"/>
      <c r="EDG243" s="15"/>
      <c r="EDH243" s="15"/>
      <c r="EDI243" s="15"/>
      <c r="EDJ243" s="15"/>
      <c r="EDK243" s="15"/>
      <c r="EDL243" s="10"/>
      <c r="EDM243" s="10"/>
      <c r="EDN243" s="21"/>
      <c r="EDO243" s="21"/>
      <c r="EDR243" s="21"/>
      <c r="EDS243" s="15"/>
      <c r="EDT243" s="15"/>
      <c r="EDU243" s="15"/>
      <c r="EDV243" s="15"/>
      <c r="EDW243" s="15"/>
      <c r="EDX243" s="15"/>
      <c r="EDY243" s="15"/>
      <c r="EDZ243" s="15"/>
      <c r="EEA243" s="15"/>
      <c r="EEB243" s="15"/>
      <c r="EEC243" s="10"/>
      <c r="EED243" s="10"/>
      <c r="EEE243" s="21"/>
      <c r="EEF243" s="21"/>
      <c r="EEI243" s="21"/>
      <c r="EEJ243" s="15"/>
      <c r="EEK243" s="15"/>
      <c r="EEL243" s="15"/>
      <c r="EEM243" s="15"/>
      <c r="EEN243" s="15"/>
      <c r="EEO243" s="15"/>
      <c r="EEP243" s="15"/>
      <c r="EEQ243" s="15"/>
      <c r="EER243" s="15"/>
      <c r="EES243" s="15"/>
      <c r="EET243" s="10"/>
      <c r="EEU243" s="10"/>
      <c r="EEV243" s="21"/>
      <c r="EEW243" s="21"/>
      <c r="EEZ243" s="21"/>
      <c r="EFA243" s="15"/>
      <c r="EFB243" s="15"/>
      <c r="EFC243" s="15"/>
      <c r="EFD243" s="15"/>
      <c r="EFE243" s="15"/>
      <c r="EFF243" s="15"/>
      <c r="EFG243" s="15"/>
      <c r="EFH243" s="15"/>
      <c r="EFI243" s="15"/>
      <c r="EFJ243" s="15"/>
      <c r="EFK243" s="10"/>
      <c r="EFL243" s="10"/>
      <c r="EFM243" s="21"/>
      <c r="EFN243" s="21"/>
      <c r="EFQ243" s="21"/>
      <c r="EFR243" s="15"/>
      <c r="EFS243" s="15"/>
      <c r="EFT243" s="15"/>
      <c r="EFU243" s="15"/>
      <c r="EFV243" s="15"/>
      <c r="EFW243" s="15"/>
      <c r="EFX243" s="15"/>
      <c r="EFY243" s="15"/>
      <c r="EFZ243" s="15"/>
      <c r="EGA243" s="15"/>
      <c r="EGB243" s="10"/>
      <c r="EGC243" s="10"/>
      <c r="EGD243" s="21"/>
      <c r="EGE243" s="21"/>
      <c r="EGH243" s="21"/>
      <c r="EGI243" s="15"/>
      <c r="EGJ243" s="15"/>
      <c r="EGK243" s="15"/>
      <c r="EGL243" s="15"/>
      <c r="EGM243" s="15"/>
      <c r="EGN243" s="15"/>
      <c r="EGO243" s="15"/>
      <c r="EGP243" s="15"/>
      <c r="EGQ243" s="15"/>
      <c r="EGR243" s="15"/>
      <c r="EGS243" s="10"/>
      <c r="EGT243" s="10"/>
      <c r="EGU243" s="21"/>
      <c r="EGV243" s="21"/>
      <c r="EGY243" s="21"/>
      <c r="EGZ243" s="15"/>
      <c r="EHA243" s="15"/>
      <c r="EHB243" s="15"/>
      <c r="EHC243" s="15"/>
      <c r="EHD243" s="15"/>
      <c r="EHE243" s="15"/>
      <c r="EHF243" s="15"/>
      <c r="EHG243" s="15"/>
      <c r="EHH243" s="15"/>
      <c r="EHI243" s="15"/>
      <c r="EHJ243" s="10"/>
      <c r="EHK243" s="10"/>
      <c r="EHL243" s="21"/>
      <c r="EHM243" s="21"/>
      <c r="EHP243" s="21"/>
      <c r="EHQ243" s="15"/>
      <c r="EHR243" s="15"/>
      <c r="EHS243" s="15"/>
      <c r="EHT243" s="15"/>
      <c r="EHU243" s="15"/>
      <c r="EHV243" s="15"/>
      <c r="EHW243" s="15"/>
      <c r="EHX243" s="15"/>
      <c r="EHY243" s="15"/>
      <c r="EHZ243" s="15"/>
      <c r="EIA243" s="10"/>
      <c r="EIB243" s="10"/>
      <c r="EIC243" s="21"/>
      <c r="EID243" s="21"/>
      <c r="EIG243" s="21"/>
      <c r="EIH243" s="15"/>
      <c r="EII243" s="15"/>
      <c r="EIJ243" s="15"/>
      <c r="EIK243" s="15"/>
      <c r="EIL243" s="15"/>
      <c r="EIM243" s="15"/>
      <c r="EIN243" s="15"/>
      <c r="EIO243" s="15"/>
      <c r="EIP243" s="15"/>
      <c r="EIQ243" s="15"/>
      <c r="EIR243" s="10"/>
      <c r="EIS243" s="10"/>
      <c r="EIT243" s="21"/>
      <c r="EIU243" s="21"/>
      <c r="EIX243" s="21"/>
      <c r="EIY243" s="15"/>
      <c r="EIZ243" s="15"/>
      <c r="EJA243" s="15"/>
      <c r="EJB243" s="15"/>
      <c r="EJC243" s="15"/>
      <c r="EJD243" s="15"/>
      <c r="EJE243" s="15"/>
      <c r="EJF243" s="15"/>
      <c r="EJG243" s="15"/>
      <c r="EJH243" s="15"/>
      <c r="EJI243" s="10"/>
      <c r="EJJ243" s="10"/>
      <c r="EJK243" s="21"/>
      <c r="EJL243" s="21"/>
      <c r="EJO243" s="21"/>
      <c r="EJP243" s="15"/>
      <c r="EJQ243" s="15"/>
      <c r="EJR243" s="15"/>
      <c r="EJS243" s="15"/>
      <c r="EJT243" s="15"/>
      <c r="EJU243" s="15"/>
      <c r="EJV243" s="15"/>
      <c r="EJW243" s="15"/>
      <c r="EJX243" s="15"/>
      <c r="EJY243" s="15"/>
      <c r="EJZ243" s="10"/>
      <c r="EKA243" s="10"/>
      <c r="EKB243" s="21"/>
      <c r="EKC243" s="21"/>
      <c r="EKF243" s="21"/>
      <c r="EKG243" s="15"/>
      <c r="EKH243" s="15"/>
      <c r="EKI243" s="15"/>
      <c r="EKJ243" s="15"/>
      <c r="EKK243" s="15"/>
      <c r="EKL243" s="15"/>
      <c r="EKM243" s="15"/>
      <c r="EKN243" s="15"/>
      <c r="EKO243" s="15"/>
      <c r="EKP243" s="15"/>
      <c r="EKQ243" s="10"/>
      <c r="EKR243" s="10"/>
      <c r="EKS243" s="21"/>
      <c r="EKT243" s="21"/>
      <c r="EKW243" s="21"/>
      <c r="EKX243" s="15"/>
      <c r="EKY243" s="15"/>
      <c r="EKZ243" s="15"/>
      <c r="ELA243" s="15"/>
      <c r="ELB243" s="15"/>
      <c r="ELC243" s="15"/>
      <c r="ELD243" s="15"/>
      <c r="ELE243" s="15"/>
      <c r="ELF243" s="15"/>
      <c r="ELG243" s="15"/>
      <c r="ELH243" s="10"/>
      <c r="ELI243" s="10"/>
      <c r="ELJ243" s="21"/>
      <c r="ELK243" s="21"/>
      <c r="ELN243" s="21"/>
      <c r="ELO243" s="15"/>
      <c r="ELP243" s="15"/>
      <c r="ELQ243" s="15"/>
      <c r="ELR243" s="15"/>
      <c r="ELS243" s="15"/>
      <c r="ELT243" s="15"/>
      <c r="ELU243" s="15"/>
      <c r="ELV243" s="15"/>
      <c r="ELW243" s="15"/>
      <c r="ELX243" s="15"/>
      <c r="ELY243" s="10"/>
      <c r="ELZ243" s="10"/>
      <c r="EMA243" s="21"/>
      <c r="EMB243" s="21"/>
      <c r="EME243" s="21"/>
      <c r="EMF243" s="15"/>
      <c r="EMG243" s="15"/>
      <c r="EMH243" s="15"/>
      <c r="EMI243" s="15"/>
      <c r="EMJ243" s="15"/>
      <c r="EMK243" s="15"/>
      <c r="EML243" s="15"/>
      <c r="EMM243" s="15"/>
      <c r="EMN243" s="15"/>
      <c r="EMO243" s="15"/>
      <c r="EMP243" s="10"/>
      <c r="EMQ243" s="10"/>
      <c r="EMR243" s="21"/>
      <c r="EMS243" s="21"/>
      <c r="EMV243" s="21"/>
      <c r="EMW243" s="15"/>
      <c r="EMX243" s="15"/>
      <c r="EMY243" s="15"/>
      <c r="EMZ243" s="15"/>
      <c r="ENA243" s="15"/>
      <c r="ENB243" s="15"/>
      <c r="ENC243" s="15"/>
      <c r="END243" s="15"/>
      <c r="ENE243" s="15"/>
      <c r="ENF243" s="15"/>
      <c r="ENG243" s="10"/>
      <c r="ENH243" s="10"/>
      <c r="ENI243" s="21"/>
      <c r="ENJ243" s="21"/>
      <c r="ENM243" s="21"/>
      <c r="ENN243" s="15"/>
      <c r="ENO243" s="15"/>
      <c r="ENP243" s="15"/>
      <c r="ENQ243" s="15"/>
      <c r="ENR243" s="15"/>
      <c r="ENS243" s="15"/>
      <c r="ENT243" s="15"/>
      <c r="ENU243" s="15"/>
      <c r="ENV243" s="15"/>
      <c r="ENW243" s="15"/>
      <c r="ENX243" s="10"/>
      <c r="ENY243" s="10"/>
      <c r="ENZ243" s="21"/>
      <c r="EOA243" s="21"/>
      <c r="EOD243" s="21"/>
      <c r="EOE243" s="15"/>
      <c r="EOF243" s="15"/>
      <c r="EOG243" s="15"/>
      <c r="EOH243" s="15"/>
      <c r="EOI243" s="15"/>
      <c r="EOJ243" s="15"/>
      <c r="EOK243" s="15"/>
      <c r="EOL243" s="15"/>
      <c r="EOM243" s="15"/>
      <c r="EON243" s="15"/>
      <c r="EOO243" s="10"/>
      <c r="EOP243" s="10"/>
      <c r="EOQ243" s="21"/>
      <c r="EOR243" s="21"/>
      <c r="EOU243" s="21"/>
      <c r="EOV243" s="15"/>
      <c r="EOW243" s="15"/>
      <c r="EOX243" s="15"/>
      <c r="EOY243" s="15"/>
      <c r="EOZ243" s="15"/>
      <c r="EPA243" s="15"/>
      <c r="EPB243" s="15"/>
      <c r="EPC243" s="15"/>
      <c r="EPD243" s="15"/>
      <c r="EPE243" s="15"/>
      <c r="EPF243" s="10"/>
      <c r="EPG243" s="10"/>
      <c r="EPH243" s="21"/>
      <c r="EPI243" s="21"/>
      <c r="EPL243" s="21"/>
      <c r="EPM243" s="15"/>
      <c r="EPN243" s="15"/>
      <c r="EPO243" s="15"/>
      <c r="EPP243" s="15"/>
      <c r="EPQ243" s="15"/>
      <c r="EPR243" s="15"/>
      <c r="EPS243" s="15"/>
      <c r="EPT243" s="15"/>
      <c r="EPU243" s="15"/>
      <c r="EPV243" s="15"/>
      <c r="EPW243" s="10"/>
      <c r="EPX243" s="10"/>
      <c r="EPY243" s="21"/>
      <c r="EPZ243" s="21"/>
      <c r="EQC243" s="21"/>
      <c r="EQD243" s="15"/>
      <c r="EQE243" s="15"/>
      <c r="EQF243" s="15"/>
      <c r="EQG243" s="15"/>
      <c r="EQH243" s="15"/>
      <c r="EQI243" s="15"/>
      <c r="EQJ243" s="15"/>
      <c r="EQK243" s="15"/>
      <c r="EQL243" s="15"/>
      <c r="EQM243" s="15"/>
      <c r="EQN243" s="10"/>
      <c r="EQO243" s="10"/>
      <c r="EQP243" s="21"/>
      <c r="EQQ243" s="21"/>
      <c r="EQT243" s="21"/>
      <c r="EQU243" s="15"/>
      <c r="EQV243" s="15"/>
      <c r="EQW243" s="15"/>
      <c r="EQX243" s="15"/>
      <c r="EQY243" s="15"/>
      <c r="EQZ243" s="15"/>
      <c r="ERA243" s="15"/>
      <c r="ERB243" s="15"/>
      <c r="ERC243" s="15"/>
      <c r="ERD243" s="15"/>
      <c r="ERE243" s="10"/>
      <c r="ERF243" s="10"/>
      <c r="ERG243" s="21"/>
      <c r="ERH243" s="21"/>
      <c r="ERK243" s="21"/>
      <c r="ERL243" s="15"/>
      <c r="ERM243" s="15"/>
      <c r="ERN243" s="15"/>
      <c r="ERO243" s="15"/>
      <c r="ERP243" s="15"/>
      <c r="ERQ243" s="15"/>
      <c r="ERR243" s="15"/>
      <c r="ERS243" s="15"/>
      <c r="ERT243" s="15"/>
      <c r="ERU243" s="15"/>
      <c r="ERV243" s="10"/>
      <c r="ERW243" s="10"/>
      <c r="ERX243" s="21"/>
      <c r="ERY243" s="21"/>
      <c r="ESB243" s="21"/>
      <c r="ESC243" s="15"/>
      <c r="ESD243" s="15"/>
      <c r="ESE243" s="15"/>
      <c r="ESF243" s="15"/>
      <c r="ESG243" s="15"/>
      <c r="ESH243" s="15"/>
      <c r="ESI243" s="15"/>
      <c r="ESJ243" s="15"/>
      <c r="ESK243" s="15"/>
      <c r="ESL243" s="15"/>
      <c r="ESM243" s="10"/>
      <c r="ESN243" s="10"/>
      <c r="ESO243" s="21"/>
      <c r="ESP243" s="21"/>
      <c r="ESS243" s="21"/>
      <c r="EST243" s="15"/>
      <c r="ESU243" s="15"/>
      <c r="ESV243" s="15"/>
      <c r="ESW243" s="15"/>
      <c r="ESX243" s="15"/>
      <c r="ESY243" s="15"/>
      <c r="ESZ243" s="15"/>
      <c r="ETA243" s="15"/>
      <c r="ETB243" s="15"/>
      <c r="ETC243" s="15"/>
      <c r="ETD243" s="10"/>
      <c r="ETE243" s="10"/>
      <c r="ETF243" s="21"/>
      <c r="ETG243" s="21"/>
      <c r="ETJ243" s="21"/>
      <c r="ETK243" s="15"/>
      <c r="ETL243" s="15"/>
      <c r="ETM243" s="15"/>
      <c r="ETN243" s="15"/>
      <c r="ETO243" s="15"/>
      <c r="ETP243" s="15"/>
      <c r="ETQ243" s="15"/>
      <c r="ETR243" s="15"/>
      <c r="ETS243" s="15"/>
      <c r="ETT243" s="15"/>
      <c r="ETU243" s="10"/>
      <c r="ETV243" s="10"/>
      <c r="ETW243" s="21"/>
      <c r="ETX243" s="21"/>
      <c r="EUA243" s="21"/>
      <c r="EUB243" s="15"/>
      <c r="EUC243" s="15"/>
      <c r="EUD243" s="15"/>
      <c r="EUE243" s="15"/>
      <c r="EUF243" s="15"/>
      <c r="EUG243" s="15"/>
      <c r="EUH243" s="15"/>
      <c r="EUI243" s="15"/>
      <c r="EUJ243" s="15"/>
      <c r="EUK243" s="15"/>
      <c r="EUL243" s="10"/>
      <c r="EUM243" s="10"/>
      <c r="EUN243" s="21"/>
      <c r="EUO243" s="21"/>
      <c r="EUR243" s="21"/>
      <c r="EUS243" s="15"/>
      <c r="EUT243" s="15"/>
      <c r="EUU243" s="15"/>
      <c r="EUV243" s="15"/>
      <c r="EUW243" s="15"/>
      <c r="EUX243" s="15"/>
      <c r="EUY243" s="15"/>
      <c r="EUZ243" s="15"/>
      <c r="EVA243" s="15"/>
      <c r="EVB243" s="15"/>
      <c r="EVC243" s="10"/>
      <c r="EVD243" s="10"/>
      <c r="EVE243" s="21"/>
      <c r="EVF243" s="21"/>
      <c r="EVI243" s="21"/>
      <c r="EVJ243" s="15"/>
      <c r="EVK243" s="15"/>
      <c r="EVL243" s="15"/>
      <c r="EVM243" s="15"/>
      <c r="EVN243" s="15"/>
      <c r="EVO243" s="15"/>
      <c r="EVP243" s="15"/>
      <c r="EVQ243" s="15"/>
      <c r="EVR243" s="15"/>
      <c r="EVS243" s="15"/>
      <c r="EVT243" s="10"/>
      <c r="EVU243" s="10"/>
      <c r="EVV243" s="21"/>
      <c r="EVW243" s="21"/>
      <c r="EVZ243" s="21"/>
      <c r="EWA243" s="15"/>
      <c r="EWB243" s="15"/>
      <c r="EWC243" s="15"/>
      <c r="EWD243" s="15"/>
      <c r="EWE243" s="15"/>
      <c r="EWF243" s="15"/>
      <c r="EWG243" s="15"/>
      <c r="EWH243" s="15"/>
      <c r="EWI243" s="15"/>
      <c r="EWJ243" s="15"/>
      <c r="EWK243" s="10"/>
      <c r="EWL243" s="10"/>
      <c r="EWM243" s="21"/>
      <c r="EWN243" s="21"/>
      <c r="EWQ243" s="21"/>
      <c r="EWR243" s="15"/>
      <c r="EWS243" s="15"/>
      <c r="EWT243" s="15"/>
      <c r="EWU243" s="15"/>
      <c r="EWV243" s="15"/>
      <c r="EWW243" s="15"/>
      <c r="EWX243" s="15"/>
      <c r="EWY243" s="15"/>
      <c r="EWZ243" s="15"/>
      <c r="EXA243" s="15"/>
      <c r="EXB243" s="10"/>
      <c r="EXC243" s="10"/>
      <c r="EXD243" s="21"/>
      <c r="EXE243" s="21"/>
      <c r="EXH243" s="21"/>
      <c r="EXI243" s="15"/>
      <c r="EXJ243" s="15"/>
      <c r="EXK243" s="15"/>
      <c r="EXL243" s="15"/>
      <c r="EXM243" s="15"/>
      <c r="EXN243" s="15"/>
      <c r="EXO243" s="15"/>
      <c r="EXP243" s="15"/>
      <c r="EXQ243" s="15"/>
      <c r="EXR243" s="15"/>
      <c r="EXS243" s="10"/>
      <c r="EXT243" s="10"/>
      <c r="EXU243" s="21"/>
      <c r="EXV243" s="21"/>
      <c r="EXY243" s="21"/>
      <c r="EXZ243" s="15"/>
      <c r="EYA243" s="15"/>
      <c r="EYB243" s="15"/>
      <c r="EYC243" s="15"/>
      <c r="EYD243" s="15"/>
      <c r="EYE243" s="15"/>
      <c r="EYF243" s="15"/>
      <c r="EYG243" s="15"/>
      <c r="EYH243" s="15"/>
      <c r="EYI243" s="15"/>
      <c r="EYJ243" s="10"/>
      <c r="EYK243" s="10"/>
      <c r="EYL243" s="21"/>
      <c r="EYM243" s="21"/>
      <c r="EYP243" s="21"/>
      <c r="EYQ243" s="15"/>
      <c r="EYR243" s="15"/>
      <c r="EYS243" s="15"/>
      <c r="EYT243" s="15"/>
      <c r="EYU243" s="15"/>
      <c r="EYV243" s="15"/>
      <c r="EYW243" s="15"/>
      <c r="EYX243" s="15"/>
      <c r="EYY243" s="15"/>
      <c r="EYZ243" s="15"/>
      <c r="EZA243" s="10"/>
      <c r="EZB243" s="10"/>
      <c r="EZC243" s="21"/>
      <c r="EZD243" s="21"/>
      <c r="EZG243" s="21"/>
      <c r="EZH243" s="15"/>
      <c r="EZI243" s="15"/>
      <c r="EZJ243" s="15"/>
      <c r="EZK243" s="15"/>
      <c r="EZL243" s="15"/>
      <c r="EZM243" s="15"/>
      <c r="EZN243" s="15"/>
      <c r="EZO243" s="15"/>
      <c r="EZP243" s="15"/>
      <c r="EZQ243" s="15"/>
      <c r="EZR243" s="10"/>
      <c r="EZS243" s="10"/>
      <c r="EZT243" s="21"/>
      <c r="EZU243" s="21"/>
      <c r="EZX243" s="21"/>
      <c r="EZY243" s="15"/>
      <c r="EZZ243" s="15"/>
      <c r="FAA243" s="15"/>
      <c r="FAB243" s="15"/>
      <c r="FAC243" s="15"/>
      <c r="FAD243" s="15"/>
      <c r="FAE243" s="15"/>
      <c r="FAF243" s="15"/>
      <c r="FAG243" s="15"/>
      <c r="FAH243" s="15"/>
      <c r="FAI243" s="10"/>
      <c r="FAJ243" s="10"/>
      <c r="FAK243" s="21"/>
      <c r="FAL243" s="21"/>
      <c r="FAO243" s="21"/>
      <c r="FAP243" s="15"/>
      <c r="FAQ243" s="15"/>
      <c r="FAR243" s="15"/>
      <c r="FAS243" s="15"/>
      <c r="FAT243" s="15"/>
      <c r="FAU243" s="15"/>
      <c r="FAV243" s="15"/>
      <c r="FAW243" s="15"/>
      <c r="FAX243" s="15"/>
      <c r="FAY243" s="15"/>
      <c r="FAZ243" s="10"/>
      <c r="FBA243" s="10"/>
      <c r="FBB243" s="21"/>
      <c r="FBC243" s="21"/>
      <c r="FBF243" s="21"/>
      <c r="FBG243" s="15"/>
      <c r="FBH243" s="15"/>
      <c r="FBI243" s="15"/>
      <c r="FBJ243" s="15"/>
      <c r="FBK243" s="15"/>
      <c r="FBL243" s="15"/>
      <c r="FBM243" s="15"/>
      <c r="FBN243" s="15"/>
      <c r="FBO243" s="15"/>
      <c r="FBP243" s="15"/>
      <c r="FBQ243" s="10"/>
      <c r="FBR243" s="10"/>
      <c r="FBS243" s="21"/>
      <c r="FBT243" s="21"/>
      <c r="FBW243" s="21"/>
      <c r="FBX243" s="15"/>
      <c r="FBY243" s="15"/>
      <c r="FBZ243" s="15"/>
      <c r="FCA243" s="15"/>
      <c r="FCB243" s="15"/>
      <c r="FCC243" s="15"/>
      <c r="FCD243" s="15"/>
      <c r="FCE243" s="15"/>
      <c r="FCF243" s="15"/>
      <c r="FCG243" s="15"/>
      <c r="FCH243" s="10"/>
      <c r="FCI243" s="10"/>
      <c r="FCJ243" s="21"/>
      <c r="FCK243" s="21"/>
      <c r="FCN243" s="21"/>
      <c r="FCO243" s="15"/>
      <c r="FCP243" s="15"/>
      <c r="FCQ243" s="15"/>
      <c r="FCR243" s="15"/>
      <c r="FCS243" s="15"/>
      <c r="FCT243" s="15"/>
      <c r="FCU243" s="15"/>
      <c r="FCV243" s="15"/>
      <c r="FCW243" s="15"/>
      <c r="FCX243" s="15"/>
      <c r="FCY243" s="10"/>
      <c r="FCZ243" s="10"/>
      <c r="FDA243" s="21"/>
      <c r="FDB243" s="21"/>
      <c r="FDE243" s="21"/>
      <c r="FDF243" s="15"/>
      <c r="FDG243" s="15"/>
      <c r="FDH243" s="15"/>
      <c r="FDI243" s="15"/>
      <c r="FDJ243" s="15"/>
      <c r="FDK243" s="15"/>
      <c r="FDL243" s="15"/>
      <c r="FDM243" s="15"/>
      <c r="FDN243" s="15"/>
      <c r="FDO243" s="15"/>
      <c r="FDP243" s="10"/>
      <c r="FDQ243" s="10"/>
      <c r="FDR243" s="21"/>
      <c r="FDS243" s="21"/>
      <c r="FDV243" s="21"/>
      <c r="FDW243" s="15"/>
      <c r="FDX243" s="15"/>
      <c r="FDY243" s="15"/>
      <c r="FDZ243" s="15"/>
      <c r="FEA243" s="15"/>
      <c r="FEB243" s="15"/>
      <c r="FEC243" s="15"/>
      <c r="FED243" s="15"/>
      <c r="FEE243" s="15"/>
      <c r="FEF243" s="15"/>
      <c r="FEG243" s="10"/>
      <c r="FEH243" s="10"/>
      <c r="FEI243" s="21"/>
      <c r="FEJ243" s="21"/>
      <c r="FEM243" s="21"/>
      <c r="FEN243" s="15"/>
      <c r="FEO243" s="15"/>
      <c r="FEP243" s="15"/>
      <c r="FEQ243" s="15"/>
      <c r="FER243" s="15"/>
      <c r="FES243" s="15"/>
      <c r="FET243" s="15"/>
      <c r="FEU243" s="15"/>
      <c r="FEV243" s="15"/>
      <c r="FEW243" s="15"/>
      <c r="FEX243" s="10"/>
      <c r="FEY243" s="10"/>
      <c r="FEZ243" s="21"/>
      <c r="FFA243" s="21"/>
      <c r="FFD243" s="21"/>
      <c r="FFE243" s="15"/>
      <c r="FFF243" s="15"/>
      <c r="FFG243" s="15"/>
      <c r="FFH243" s="15"/>
      <c r="FFI243" s="15"/>
      <c r="FFJ243" s="15"/>
      <c r="FFK243" s="15"/>
      <c r="FFL243" s="15"/>
      <c r="FFM243" s="15"/>
      <c r="FFN243" s="15"/>
      <c r="FFO243" s="10"/>
      <c r="FFP243" s="10"/>
      <c r="FFQ243" s="21"/>
      <c r="FFR243" s="21"/>
      <c r="FFU243" s="21"/>
      <c r="FFV243" s="15"/>
      <c r="FFW243" s="15"/>
      <c r="FFX243" s="15"/>
      <c r="FFY243" s="15"/>
      <c r="FFZ243" s="15"/>
      <c r="FGA243" s="15"/>
      <c r="FGB243" s="15"/>
      <c r="FGC243" s="15"/>
      <c r="FGD243" s="15"/>
      <c r="FGE243" s="15"/>
      <c r="FGF243" s="10"/>
      <c r="FGG243" s="10"/>
      <c r="FGH243" s="21"/>
      <c r="FGI243" s="21"/>
      <c r="FGL243" s="21"/>
      <c r="FGM243" s="15"/>
      <c r="FGN243" s="15"/>
      <c r="FGO243" s="15"/>
      <c r="FGP243" s="15"/>
      <c r="FGQ243" s="15"/>
      <c r="FGR243" s="15"/>
      <c r="FGS243" s="15"/>
      <c r="FGT243" s="15"/>
      <c r="FGU243" s="15"/>
      <c r="FGV243" s="15"/>
      <c r="FGW243" s="10"/>
      <c r="FGX243" s="10"/>
      <c r="FGY243" s="21"/>
      <c r="FGZ243" s="21"/>
      <c r="FHC243" s="21"/>
      <c r="FHD243" s="15"/>
      <c r="FHE243" s="15"/>
      <c r="FHF243" s="15"/>
      <c r="FHG243" s="15"/>
      <c r="FHH243" s="15"/>
      <c r="FHI243" s="15"/>
      <c r="FHJ243" s="15"/>
      <c r="FHK243" s="15"/>
      <c r="FHL243" s="15"/>
      <c r="FHM243" s="15"/>
      <c r="FHN243" s="10"/>
      <c r="FHO243" s="10"/>
      <c r="FHP243" s="21"/>
      <c r="FHQ243" s="21"/>
      <c r="FHT243" s="21"/>
      <c r="FHU243" s="15"/>
      <c r="FHV243" s="15"/>
      <c r="FHW243" s="15"/>
      <c r="FHX243" s="15"/>
      <c r="FHY243" s="15"/>
      <c r="FHZ243" s="15"/>
      <c r="FIA243" s="15"/>
      <c r="FIB243" s="15"/>
      <c r="FIC243" s="15"/>
      <c r="FID243" s="15"/>
      <c r="FIE243" s="10"/>
      <c r="FIF243" s="10"/>
      <c r="FIG243" s="21"/>
      <c r="FIH243" s="21"/>
      <c r="FIK243" s="21"/>
      <c r="FIL243" s="15"/>
      <c r="FIM243" s="15"/>
      <c r="FIN243" s="15"/>
      <c r="FIO243" s="15"/>
      <c r="FIP243" s="15"/>
      <c r="FIQ243" s="15"/>
      <c r="FIR243" s="15"/>
      <c r="FIS243" s="15"/>
      <c r="FIT243" s="15"/>
      <c r="FIU243" s="15"/>
      <c r="FIV243" s="10"/>
      <c r="FIW243" s="10"/>
      <c r="FIX243" s="21"/>
      <c r="FIY243" s="21"/>
      <c r="FJB243" s="21"/>
      <c r="FJC243" s="15"/>
      <c r="FJD243" s="15"/>
      <c r="FJE243" s="15"/>
      <c r="FJF243" s="15"/>
      <c r="FJG243" s="15"/>
      <c r="FJH243" s="15"/>
      <c r="FJI243" s="15"/>
      <c r="FJJ243" s="15"/>
      <c r="FJK243" s="15"/>
      <c r="FJL243" s="15"/>
      <c r="FJM243" s="10"/>
      <c r="FJN243" s="10"/>
      <c r="FJO243" s="21"/>
      <c r="FJP243" s="21"/>
      <c r="FJS243" s="21"/>
      <c r="FJT243" s="15"/>
      <c r="FJU243" s="15"/>
      <c r="FJV243" s="15"/>
      <c r="FJW243" s="15"/>
      <c r="FJX243" s="15"/>
      <c r="FJY243" s="15"/>
      <c r="FJZ243" s="15"/>
      <c r="FKA243" s="15"/>
      <c r="FKB243" s="15"/>
      <c r="FKC243" s="15"/>
      <c r="FKD243" s="10"/>
      <c r="FKE243" s="10"/>
      <c r="FKF243" s="21"/>
      <c r="FKG243" s="21"/>
      <c r="FKJ243" s="21"/>
      <c r="FKK243" s="15"/>
      <c r="FKL243" s="15"/>
      <c r="FKM243" s="15"/>
      <c r="FKN243" s="15"/>
      <c r="FKO243" s="15"/>
      <c r="FKP243" s="15"/>
      <c r="FKQ243" s="15"/>
      <c r="FKR243" s="15"/>
      <c r="FKS243" s="15"/>
      <c r="FKT243" s="15"/>
      <c r="FKU243" s="10"/>
      <c r="FKV243" s="10"/>
      <c r="FKW243" s="21"/>
      <c r="FKX243" s="21"/>
      <c r="FLA243" s="21"/>
      <c r="FLB243" s="15"/>
      <c r="FLC243" s="15"/>
      <c r="FLD243" s="15"/>
      <c r="FLE243" s="15"/>
      <c r="FLF243" s="15"/>
      <c r="FLG243" s="15"/>
      <c r="FLH243" s="15"/>
      <c r="FLI243" s="15"/>
      <c r="FLJ243" s="15"/>
      <c r="FLK243" s="15"/>
      <c r="FLL243" s="10"/>
      <c r="FLM243" s="10"/>
      <c r="FLN243" s="21"/>
      <c r="FLO243" s="21"/>
      <c r="FLR243" s="21"/>
      <c r="FLS243" s="15"/>
      <c r="FLT243" s="15"/>
      <c r="FLU243" s="15"/>
      <c r="FLV243" s="15"/>
      <c r="FLW243" s="15"/>
      <c r="FLX243" s="15"/>
      <c r="FLY243" s="15"/>
      <c r="FLZ243" s="15"/>
      <c r="FMA243" s="15"/>
      <c r="FMB243" s="15"/>
      <c r="FMC243" s="10"/>
      <c r="FMD243" s="10"/>
      <c r="FME243" s="21"/>
      <c r="FMF243" s="21"/>
      <c r="FMI243" s="21"/>
      <c r="FMJ243" s="15"/>
      <c r="FMK243" s="15"/>
      <c r="FML243" s="15"/>
      <c r="FMM243" s="15"/>
      <c r="FMN243" s="15"/>
      <c r="FMO243" s="15"/>
      <c r="FMP243" s="15"/>
      <c r="FMQ243" s="15"/>
      <c r="FMR243" s="15"/>
      <c r="FMS243" s="15"/>
      <c r="FMT243" s="10"/>
      <c r="FMU243" s="10"/>
      <c r="FMV243" s="21"/>
      <c r="FMW243" s="21"/>
      <c r="FMZ243" s="21"/>
      <c r="FNA243" s="15"/>
      <c r="FNB243" s="15"/>
      <c r="FNC243" s="15"/>
      <c r="FND243" s="15"/>
      <c r="FNE243" s="15"/>
      <c r="FNF243" s="15"/>
      <c r="FNG243" s="15"/>
      <c r="FNH243" s="15"/>
      <c r="FNI243" s="15"/>
      <c r="FNJ243" s="15"/>
      <c r="FNK243" s="10"/>
      <c r="FNL243" s="10"/>
      <c r="FNM243" s="21"/>
      <c r="FNN243" s="21"/>
      <c r="FNQ243" s="21"/>
      <c r="FNR243" s="15"/>
      <c r="FNS243" s="15"/>
      <c r="FNT243" s="15"/>
      <c r="FNU243" s="15"/>
      <c r="FNV243" s="15"/>
      <c r="FNW243" s="15"/>
      <c r="FNX243" s="15"/>
      <c r="FNY243" s="15"/>
      <c r="FNZ243" s="15"/>
      <c r="FOA243" s="15"/>
      <c r="FOB243" s="10"/>
      <c r="FOC243" s="10"/>
      <c r="FOD243" s="21"/>
      <c r="FOE243" s="21"/>
      <c r="FOH243" s="21"/>
      <c r="FOI243" s="15"/>
      <c r="FOJ243" s="15"/>
      <c r="FOK243" s="15"/>
      <c r="FOL243" s="15"/>
      <c r="FOM243" s="15"/>
      <c r="FON243" s="15"/>
      <c r="FOO243" s="15"/>
      <c r="FOP243" s="15"/>
      <c r="FOQ243" s="15"/>
      <c r="FOR243" s="15"/>
      <c r="FOS243" s="10"/>
      <c r="FOT243" s="10"/>
      <c r="FOU243" s="21"/>
      <c r="FOV243" s="21"/>
      <c r="FOY243" s="21"/>
      <c r="FOZ243" s="15"/>
      <c r="FPA243" s="15"/>
      <c r="FPB243" s="15"/>
      <c r="FPC243" s="15"/>
      <c r="FPD243" s="15"/>
      <c r="FPE243" s="15"/>
      <c r="FPF243" s="15"/>
      <c r="FPG243" s="15"/>
      <c r="FPH243" s="15"/>
      <c r="FPI243" s="15"/>
      <c r="FPJ243" s="10"/>
      <c r="FPK243" s="10"/>
      <c r="FPL243" s="21"/>
      <c r="FPM243" s="21"/>
      <c r="FPP243" s="21"/>
      <c r="FPQ243" s="15"/>
      <c r="FPR243" s="15"/>
      <c r="FPS243" s="15"/>
      <c r="FPT243" s="15"/>
      <c r="FPU243" s="15"/>
      <c r="FPV243" s="15"/>
      <c r="FPW243" s="15"/>
      <c r="FPX243" s="15"/>
      <c r="FPY243" s="15"/>
      <c r="FPZ243" s="15"/>
      <c r="FQA243" s="10"/>
      <c r="FQB243" s="10"/>
      <c r="FQC243" s="21"/>
      <c r="FQD243" s="21"/>
      <c r="FQG243" s="21"/>
      <c r="FQH243" s="15"/>
      <c r="FQI243" s="15"/>
      <c r="FQJ243" s="15"/>
      <c r="FQK243" s="15"/>
      <c r="FQL243" s="15"/>
      <c r="FQM243" s="15"/>
      <c r="FQN243" s="15"/>
      <c r="FQO243" s="15"/>
      <c r="FQP243" s="15"/>
      <c r="FQQ243" s="15"/>
      <c r="FQR243" s="10"/>
      <c r="FQS243" s="10"/>
      <c r="FQT243" s="21"/>
      <c r="FQU243" s="21"/>
      <c r="FQX243" s="21"/>
      <c r="FQY243" s="15"/>
      <c r="FQZ243" s="15"/>
      <c r="FRA243" s="15"/>
      <c r="FRB243" s="15"/>
      <c r="FRC243" s="15"/>
      <c r="FRD243" s="15"/>
      <c r="FRE243" s="15"/>
      <c r="FRF243" s="15"/>
      <c r="FRG243" s="15"/>
      <c r="FRH243" s="15"/>
      <c r="FRI243" s="10"/>
      <c r="FRJ243" s="10"/>
      <c r="FRK243" s="21"/>
      <c r="FRL243" s="21"/>
      <c r="FRO243" s="21"/>
      <c r="FRP243" s="15"/>
      <c r="FRQ243" s="15"/>
      <c r="FRR243" s="15"/>
      <c r="FRS243" s="15"/>
      <c r="FRT243" s="15"/>
      <c r="FRU243" s="15"/>
      <c r="FRV243" s="15"/>
      <c r="FRW243" s="15"/>
      <c r="FRX243" s="15"/>
      <c r="FRY243" s="15"/>
      <c r="FRZ243" s="10"/>
      <c r="FSA243" s="10"/>
      <c r="FSB243" s="21"/>
      <c r="FSC243" s="21"/>
      <c r="FSF243" s="21"/>
      <c r="FSG243" s="15"/>
      <c r="FSH243" s="15"/>
      <c r="FSI243" s="15"/>
      <c r="FSJ243" s="15"/>
      <c r="FSK243" s="15"/>
      <c r="FSL243" s="15"/>
      <c r="FSM243" s="15"/>
      <c r="FSN243" s="15"/>
      <c r="FSO243" s="15"/>
      <c r="FSP243" s="15"/>
      <c r="FSQ243" s="10"/>
      <c r="FSR243" s="10"/>
      <c r="FSS243" s="21"/>
      <c r="FST243" s="21"/>
      <c r="FSW243" s="21"/>
      <c r="FSX243" s="15"/>
      <c r="FSY243" s="15"/>
      <c r="FSZ243" s="15"/>
      <c r="FTA243" s="15"/>
      <c r="FTB243" s="15"/>
      <c r="FTC243" s="15"/>
      <c r="FTD243" s="15"/>
      <c r="FTE243" s="15"/>
      <c r="FTF243" s="15"/>
      <c r="FTG243" s="15"/>
      <c r="FTH243" s="10"/>
      <c r="FTI243" s="10"/>
      <c r="FTJ243" s="21"/>
      <c r="FTK243" s="21"/>
      <c r="FTN243" s="21"/>
      <c r="FTO243" s="15"/>
      <c r="FTP243" s="15"/>
      <c r="FTQ243" s="15"/>
      <c r="FTR243" s="15"/>
      <c r="FTS243" s="15"/>
      <c r="FTT243" s="15"/>
      <c r="FTU243" s="15"/>
      <c r="FTV243" s="15"/>
      <c r="FTW243" s="15"/>
      <c r="FTX243" s="15"/>
      <c r="FTY243" s="10"/>
      <c r="FTZ243" s="10"/>
      <c r="FUA243" s="21"/>
      <c r="FUB243" s="21"/>
      <c r="FUE243" s="21"/>
      <c r="FUF243" s="15"/>
      <c r="FUG243" s="15"/>
      <c r="FUH243" s="15"/>
      <c r="FUI243" s="15"/>
      <c r="FUJ243" s="15"/>
      <c r="FUK243" s="15"/>
      <c r="FUL243" s="15"/>
      <c r="FUM243" s="15"/>
      <c r="FUN243" s="15"/>
      <c r="FUO243" s="15"/>
      <c r="FUP243" s="10"/>
      <c r="FUQ243" s="10"/>
      <c r="FUR243" s="21"/>
      <c r="FUS243" s="21"/>
      <c r="FUV243" s="21"/>
      <c r="FUW243" s="15"/>
      <c r="FUX243" s="15"/>
      <c r="FUY243" s="15"/>
      <c r="FUZ243" s="15"/>
      <c r="FVA243" s="15"/>
      <c r="FVB243" s="15"/>
      <c r="FVC243" s="15"/>
      <c r="FVD243" s="15"/>
      <c r="FVE243" s="15"/>
      <c r="FVF243" s="15"/>
      <c r="FVG243" s="10"/>
      <c r="FVH243" s="10"/>
      <c r="FVI243" s="21"/>
      <c r="FVJ243" s="21"/>
      <c r="FVM243" s="21"/>
      <c r="FVN243" s="15"/>
      <c r="FVO243" s="15"/>
      <c r="FVP243" s="15"/>
      <c r="FVQ243" s="15"/>
      <c r="FVR243" s="15"/>
      <c r="FVS243" s="15"/>
      <c r="FVT243" s="15"/>
      <c r="FVU243" s="15"/>
      <c r="FVV243" s="15"/>
      <c r="FVW243" s="15"/>
      <c r="FVX243" s="10"/>
      <c r="FVY243" s="10"/>
      <c r="FVZ243" s="21"/>
      <c r="FWA243" s="21"/>
      <c r="FWD243" s="21"/>
      <c r="FWE243" s="15"/>
      <c r="FWF243" s="15"/>
      <c r="FWG243" s="15"/>
      <c r="FWH243" s="15"/>
      <c r="FWI243" s="15"/>
      <c r="FWJ243" s="15"/>
      <c r="FWK243" s="15"/>
      <c r="FWL243" s="15"/>
      <c r="FWM243" s="15"/>
      <c r="FWN243" s="15"/>
      <c r="FWO243" s="10"/>
      <c r="FWP243" s="10"/>
      <c r="FWQ243" s="21"/>
      <c r="FWR243" s="21"/>
      <c r="FWU243" s="21"/>
      <c r="FWV243" s="15"/>
      <c r="FWW243" s="15"/>
      <c r="FWX243" s="15"/>
      <c r="FWY243" s="15"/>
      <c r="FWZ243" s="15"/>
      <c r="FXA243" s="15"/>
      <c r="FXB243" s="15"/>
      <c r="FXC243" s="15"/>
      <c r="FXD243" s="15"/>
      <c r="FXE243" s="15"/>
      <c r="FXF243" s="10"/>
      <c r="FXG243" s="10"/>
      <c r="FXH243" s="21"/>
      <c r="FXI243" s="21"/>
      <c r="FXL243" s="21"/>
      <c r="FXM243" s="15"/>
      <c r="FXN243" s="15"/>
      <c r="FXO243" s="15"/>
      <c r="FXP243" s="15"/>
      <c r="FXQ243" s="15"/>
      <c r="FXR243" s="15"/>
      <c r="FXS243" s="15"/>
      <c r="FXT243" s="15"/>
      <c r="FXU243" s="15"/>
      <c r="FXV243" s="15"/>
      <c r="FXW243" s="10"/>
      <c r="FXX243" s="10"/>
      <c r="FXY243" s="21"/>
      <c r="FXZ243" s="21"/>
      <c r="FYC243" s="21"/>
      <c r="FYD243" s="15"/>
      <c r="FYE243" s="15"/>
      <c r="FYF243" s="15"/>
      <c r="FYG243" s="15"/>
      <c r="FYH243" s="15"/>
      <c r="FYI243" s="15"/>
      <c r="FYJ243" s="15"/>
      <c r="FYK243" s="15"/>
      <c r="FYL243" s="15"/>
      <c r="FYM243" s="15"/>
      <c r="FYN243" s="10"/>
      <c r="FYO243" s="10"/>
      <c r="FYP243" s="21"/>
      <c r="FYQ243" s="21"/>
      <c r="FYT243" s="21"/>
      <c r="FYU243" s="15"/>
      <c r="FYV243" s="15"/>
      <c r="FYW243" s="15"/>
      <c r="FYX243" s="15"/>
      <c r="FYY243" s="15"/>
      <c r="FYZ243" s="15"/>
      <c r="FZA243" s="15"/>
      <c r="FZB243" s="15"/>
      <c r="FZC243" s="15"/>
      <c r="FZD243" s="15"/>
      <c r="FZE243" s="10"/>
      <c r="FZF243" s="10"/>
      <c r="FZG243" s="21"/>
      <c r="FZH243" s="21"/>
      <c r="FZK243" s="21"/>
      <c r="FZL243" s="15"/>
      <c r="FZM243" s="15"/>
      <c r="FZN243" s="15"/>
      <c r="FZO243" s="15"/>
      <c r="FZP243" s="15"/>
      <c r="FZQ243" s="15"/>
      <c r="FZR243" s="15"/>
      <c r="FZS243" s="15"/>
      <c r="FZT243" s="15"/>
      <c r="FZU243" s="15"/>
      <c r="FZV243" s="10"/>
      <c r="FZW243" s="10"/>
      <c r="FZX243" s="21"/>
      <c r="FZY243" s="21"/>
      <c r="GAB243" s="21"/>
      <c r="GAC243" s="15"/>
      <c r="GAD243" s="15"/>
      <c r="GAE243" s="15"/>
      <c r="GAF243" s="15"/>
      <c r="GAG243" s="15"/>
      <c r="GAH243" s="15"/>
      <c r="GAI243" s="15"/>
      <c r="GAJ243" s="15"/>
      <c r="GAK243" s="15"/>
      <c r="GAL243" s="15"/>
      <c r="GAM243" s="10"/>
      <c r="GAN243" s="10"/>
      <c r="GAO243" s="21"/>
      <c r="GAP243" s="21"/>
      <c r="GAS243" s="21"/>
      <c r="GAT243" s="15"/>
      <c r="GAU243" s="15"/>
      <c r="GAV243" s="15"/>
      <c r="GAW243" s="15"/>
      <c r="GAX243" s="15"/>
      <c r="GAY243" s="15"/>
      <c r="GAZ243" s="15"/>
      <c r="GBA243" s="15"/>
      <c r="GBB243" s="15"/>
      <c r="GBC243" s="15"/>
      <c r="GBD243" s="10"/>
      <c r="GBE243" s="10"/>
      <c r="GBF243" s="21"/>
      <c r="GBG243" s="21"/>
      <c r="GBJ243" s="21"/>
      <c r="GBK243" s="15"/>
      <c r="GBL243" s="15"/>
      <c r="GBM243" s="15"/>
      <c r="GBN243" s="15"/>
      <c r="GBO243" s="15"/>
      <c r="GBP243" s="15"/>
      <c r="GBQ243" s="15"/>
      <c r="GBR243" s="15"/>
      <c r="GBS243" s="15"/>
      <c r="GBT243" s="15"/>
      <c r="GBU243" s="10"/>
      <c r="GBV243" s="10"/>
      <c r="GBW243" s="21"/>
      <c r="GBX243" s="21"/>
      <c r="GCA243" s="21"/>
      <c r="GCB243" s="15"/>
      <c r="GCC243" s="15"/>
      <c r="GCD243" s="15"/>
      <c r="GCE243" s="15"/>
      <c r="GCF243" s="15"/>
      <c r="GCG243" s="15"/>
      <c r="GCH243" s="15"/>
      <c r="GCI243" s="15"/>
      <c r="GCJ243" s="15"/>
      <c r="GCK243" s="15"/>
      <c r="GCL243" s="10"/>
      <c r="GCM243" s="10"/>
      <c r="GCN243" s="21"/>
      <c r="GCO243" s="21"/>
      <c r="GCR243" s="21"/>
      <c r="GCS243" s="15"/>
      <c r="GCT243" s="15"/>
      <c r="GCU243" s="15"/>
      <c r="GCV243" s="15"/>
      <c r="GCW243" s="15"/>
      <c r="GCX243" s="15"/>
      <c r="GCY243" s="15"/>
      <c r="GCZ243" s="15"/>
      <c r="GDA243" s="15"/>
      <c r="GDB243" s="15"/>
      <c r="GDC243" s="10"/>
      <c r="GDD243" s="10"/>
      <c r="GDE243" s="21"/>
      <c r="GDF243" s="21"/>
      <c r="GDI243" s="21"/>
      <c r="GDJ243" s="15"/>
      <c r="GDK243" s="15"/>
      <c r="GDL243" s="15"/>
      <c r="GDM243" s="15"/>
      <c r="GDN243" s="15"/>
      <c r="GDO243" s="15"/>
      <c r="GDP243" s="15"/>
      <c r="GDQ243" s="15"/>
      <c r="GDR243" s="15"/>
      <c r="GDS243" s="15"/>
      <c r="GDT243" s="10"/>
      <c r="GDU243" s="10"/>
      <c r="GDV243" s="21"/>
      <c r="GDW243" s="21"/>
      <c r="GDZ243" s="21"/>
      <c r="GEA243" s="15"/>
      <c r="GEB243" s="15"/>
      <c r="GEC243" s="15"/>
      <c r="GED243" s="15"/>
      <c r="GEE243" s="15"/>
      <c r="GEF243" s="15"/>
      <c r="GEG243" s="15"/>
      <c r="GEH243" s="15"/>
      <c r="GEI243" s="15"/>
      <c r="GEJ243" s="15"/>
      <c r="GEK243" s="10"/>
      <c r="GEL243" s="10"/>
      <c r="GEM243" s="21"/>
      <c r="GEN243" s="21"/>
      <c r="GEQ243" s="21"/>
      <c r="GER243" s="15"/>
      <c r="GES243" s="15"/>
      <c r="GET243" s="15"/>
      <c r="GEU243" s="15"/>
      <c r="GEV243" s="15"/>
      <c r="GEW243" s="15"/>
      <c r="GEX243" s="15"/>
      <c r="GEY243" s="15"/>
      <c r="GEZ243" s="15"/>
      <c r="GFA243" s="15"/>
      <c r="GFB243" s="10"/>
      <c r="GFC243" s="10"/>
      <c r="GFD243" s="21"/>
      <c r="GFE243" s="21"/>
      <c r="GFH243" s="21"/>
      <c r="GFI243" s="15"/>
      <c r="GFJ243" s="15"/>
      <c r="GFK243" s="15"/>
      <c r="GFL243" s="15"/>
      <c r="GFM243" s="15"/>
      <c r="GFN243" s="15"/>
      <c r="GFO243" s="15"/>
      <c r="GFP243" s="15"/>
      <c r="GFQ243" s="15"/>
      <c r="GFR243" s="15"/>
      <c r="GFS243" s="10"/>
      <c r="GFT243" s="10"/>
      <c r="GFU243" s="21"/>
      <c r="GFV243" s="21"/>
      <c r="GFY243" s="21"/>
      <c r="GFZ243" s="15"/>
      <c r="GGA243" s="15"/>
      <c r="GGB243" s="15"/>
      <c r="GGC243" s="15"/>
      <c r="GGD243" s="15"/>
      <c r="GGE243" s="15"/>
      <c r="GGF243" s="15"/>
      <c r="GGG243" s="15"/>
      <c r="GGH243" s="15"/>
      <c r="GGI243" s="15"/>
      <c r="GGJ243" s="10"/>
      <c r="GGK243" s="10"/>
      <c r="GGL243" s="21"/>
      <c r="GGM243" s="21"/>
      <c r="GGP243" s="21"/>
      <c r="GGQ243" s="15"/>
      <c r="GGR243" s="15"/>
      <c r="GGS243" s="15"/>
      <c r="GGT243" s="15"/>
      <c r="GGU243" s="15"/>
      <c r="GGV243" s="15"/>
      <c r="GGW243" s="15"/>
      <c r="GGX243" s="15"/>
      <c r="GGY243" s="15"/>
      <c r="GGZ243" s="15"/>
      <c r="GHA243" s="10"/>
      <c r="GHB243" s="10"/>
      <c r="GHC243" s="21"/>
      <c r="GHD243" s="21"/>
      <c r="GHG243" s="21"/>
      <c r="GHH243" s="15"/>
      <c r="GHI243" s="15"/>
      <c r="GHJ243" s="15"/>
      <c r="GHK243" s="15"/>
      <c r="GHL243" s="15"/>
      <c r="GHM243" s="15"/>
      <c r="GHN243" s="15"/>
      <c r="GHO243" s="15"/>
      <c r="GHP243" s="15"/>
      <c r="GHQ243" s="15"/>
      <c r="GHR243" s="10"/>
      <c r="GHS243" s="10"/>
      <c r="GHT243" s="21"/>
      <c r="GHU243" s="21"/>
      <c r="GHX243" s="21"/>
      <c r="GHY243" s="15"/>
      <c r="GHZ243" s="15"/>
      <c r="GIA243" s="15"/>
      <c r="GIB243" s="15"/>
      <c r="GIC243" s="15"/>
      <c r="GID243" s="15"/>
      <c r="GIE243" s="15"/>
      <c r="GIF243" s="15"/>
      <c r="GIG243" s="15"/>
      <c r="GIH243" s="15"/>
      <c r="GII243" s="10"/>
      <c r="GIJ243" s="10"/>
      <c r="GIK243" s="21"/>
      <c r="GIL243" s="21"/>
      <c r="GIO243" s="21"/>
      <c r="GIP243" s="15"/>
      <c r="GIQ243" s="15"/>
      <c r="GIR243" s="15"/>
      <c r="GIS243" s="15"/>
      <c r="GIT243" s="15"/>
      <c r="GIU243" s="15"/>
      <c r="GIV243" s="15"/>
      <c r="GIW243" s="15"/>
      <c r="GIX243" s="15"/>
      <c r="GIY243" s="15"/>
      <c r="GIZ243" s="10"/>
      <c r="GJA243" s="10"/>
      <c r="GJB243" s="21"/>
      <c r="GJC243" s="21"/>
      <c r="GJF243" s="21"/>
      <c r="GJG243" s="15"/>
      <c r="GJH243" s="15"/>
      <c r="GJI243" s="15"/>
      <c r="GJJ243" s="15"/>
      <c r="GJK243" s="15"/>
      <c r="GJL243" s="15"/>
      <c r="GJM243" s="15"/>
      <c r="GJN243" s="15"/>
      <c r="GJO243" s="15"/>
      <c r="GJP243" s="15"/>
      <c r="GJQ243" s="10"/>
      <c r="GJR243" s="10"/>
      <c r="GJS243" s="21"/>
      <c r="GJT243" s="21"/>
      <c r="GJW243" s="21"/>
      <c r="GJX243" s="15"/>
      <c r="GJY243" s="15"/>
      <c r="GJZ243" s="15"/>
      <c r="GKA243" s="15"/>
      <c r="GKB243" s="15"/>
      <c r="GKC243" s="15"/>
      <c r="GKD243" s="15"/>
      <c r="GKE243" s="15"/>
      <c r="GKF243" s="15"/>
      <c r="GKG243" s="15"/>
      <c r="GKH243" s="10"/>
      <c r="GKI243" s="10"/>
      <c r="GKJ243" s="21"/>
      <c r="GKK243" s="21"/>
      <c r="GKN243" s="21"/>
      <c r="GKO243" s="15"/>
      <c r="GKP243" s="15"/>
      <c r="GKQ243" s="15"/>
      <c r="GKR243" s="15"/>
      <c r="GKS243" s="15"/>
      <c r="GKT243" s="15"/>
      <c r="GKU243" s="15"/>
      <c r="GKV243" s="15"/>
      <c r="GKW243" s="15"/>
      <c r="GKX243" s="15"/>
      <c r="GKY243" s="10"/>
      <c r="GKZ243" s="10"/>
      <c r="GLA243" s="21"/>
      <c r="GLB243" s="21"/>
      <c r="GLE243" s="21"/>
      <c r="GLF243" s="15"/>
      <c r="GLG243" s="15"/>
      <c r="GLH243" s="15"/>
      <c r="GLI243" s="15"/>
      <c r="GLJ243" s="15"/>
      <c r="GLK243" s="15"/>
      <c r="GLL243" s="15"/>
      <c r="GLM243" s="15"/>
      <c r="GLN243" s="15"/>
      <c r="GLO243" s="15"/>
      <c r="GLP243" s="10"/>
      <c r="GLQ243" s="10"/>
      <c r="GLR243" s="21"/>
      <c r="GLS243" s="21"/>
      <c r="GLV243" s="21"/>
      <c r="GLW243" s="15"/>
      <c r="GLX243" s="15"/>
      <c r="GLY243" s="15"/>
      <c r="GLZ243" s="15"/>
      <c r="GMA243" s="15"/>
      <c r="GMB243" s="15"/>
      <c r="GMC243" s="15"/>
      <c r="GMD243" s="15"/>
      <c r="GME243" s="15"/>
      <c r="GMF243" s="15"/>
      <c r="GMG243" s="10"/>
      <c r="GMH243" s="10"/>
      <c r="GMI243" s="21"/>
      <c r="GMJ243" s="21"/>
      <c r="GMM243" s="21"/>
      <c r="GMN243" s="15"/>
      <c r="GMO243" s="15"/>
      <c r="GMP243" s="15"/>
      <c r="GMQ243" s="15"/>
      <c r="GMR243" s="15"/>
      <c r="GMS243" s="15"/>
      <c r="GMT243" s="15"/>
      <c r="GMU243" s="15"/>
      <c r="GMV243" s="15"/>
      <c r="GMW243" s="15"/>
      <c r="GMX243" s="10"/>
      <c r="GMY243" s="10"/>
      <c r="GMZ243" s="21"/>
      <c r="GNA243" s="21"/>
      <c r="GND243" s="21"/>
      <c r="GNE243" s="15"/>
      <c r="GNF243" s="15"/>
      <c r="GNG243" s="15"/>
      <c r="GNH243" s="15"/>
      <c r="GNI243" s="15"/>
      <c r="GNJ243" s="15"/>
      <c r="GNK243" s="15"/>
      <c r="GNL243" s="15"/>
      <c r="GNM243" s="15"/>
      <c r="GNN243" s="15"/>
      <c r="GNO243" s="10"/>
      <c r="GNP243" s="10"/>
      <c r="GNQ243" s="21"/>
      <c r="GNR243" s="21"/>
      <c r="GNU243" s="21"/>
      <c r="GNV243" s="15"/>
      <c r="GNW243" s="15"/>
      <c r="GNX243" s="15"/>
      <c r="GNY243" s="15"/>
      <c r="GNZ243" s="15"/>
      <c r="GOA243" s="15"/>
      <c r="GOB243" s="15"/>
      <c r="GOC243" s="15"/>
      <c r="GOD243" s="15"/>
      <c r="GOE243" s="15"/>
      <c r="GOF243" s="10"/>
      <c r="GOG243" s="10"/>
      <c r="GOH243" s="21"/>
      <c r="GOI243" s="21"/>
      <c r="GOL243" s="21"/>
      <c r="GOM243" s="15"/>
      <c r="GON243" s="15"/>
      <c r="GOO243" s="15"/>
      <c r="GOP243" s="15"/>
      <c r="GOQ243" s="15"/>
      <c r="GOR243" s="15"/>
      <c r="GOS243" s="15"/>
      <c r="GOT243" s="15"/>
      <c r="GOU243" s="15"/>
      <c r="GOV243" s="15"/>
      <c r="GOW243" s="10"/>
      <c r="GOX243" s="10"/>
      <c r="GOY243" s="21"/>
      <c r="GOZ243" s="21"/>
      <c r="GPC243" s="21"/>
      <c r="GPD243" s="15"/>
      <c r="GPE243" s="15"/>
      <c r="GPF243" s="15"/>
      <c r="GPG243" s="15"/>
      <c r="GPH243" s="15"/>
      <c r="GPI243" s="15"/>
      <c r="GPJ243" s="15"/>
      <c r="GPK243" s="15"/>
      <c r="GPL243" s="15"/>
      <c r="GPM243" s="15"/>
      <c r="GPN243" s="10"/>
      <c r="GPO243" s="10"/>
      <c r="GPP243" s="21"/>
      <c r="GPQ243" s="21"/>
      <c r="GPT243" s="21"/>
      <c r="GPU243" s="15"/>
      <c r="GPV243" s="15"/>
      <c r="GPW243" s="15"/>
      <c r="GPX243" s="15"/>
      <c r="GPY243" s="15"/>
      <c r="GPZ243" s="15"/>
      <c r="GQA243" s="15"/>
      <c r="GQB243" s="15"/>
      <c r="GQC243" s="15"/>
      <c r="GQD243" s="15"/>
      <c r="GQE243" s="10"/>
      <c r="GQF243" s="10"/>
      <c r="GQG243" s="21"/>
      <c r="GQH243" s="21"/>
      <c r="GQK243" s="21"/>
      <c r="GQL243" s="15"/>
      <c r="GQM243" s="15"/>
      <c r="GQN243" s="15"/>
      <c r="GQO243" s="15"/>
      <c r="GQP243" s="15"/>
      <c r="GQQ243" s="15"/>
      <c r="GQR243" s="15"/>
      <c r="GQS243" s="15"/>
      <c r="GQT243" s="15"/>
      <c r="GQU243" s="15"/>
      <c r="GQV243" s="10"/>
      <c r="GQW243" s="10"/>
      <c r="GQX243" s="21"/>
      <c r="GQY243" s="21"/>
      <c r="GRB243" s="21"/>
      <c r="GRC243" s="15"/>
      <c r="GRD243" s="15"/>
      <c r="GRE243" s="15"/>
      <c r="GRF243" s="15"/>
      <c r="GRG243" s="15"/>
      <c r="GRH243" s="15"/>
      <c r="GRI243" s="15"/>
      <c r="GRJ243" s="15"/>
      <c r="GRK243" s="15"/>
      <c r="GRL243" s="15"/>
      <c r="GRM243" s="10"/>
      <c r="GRN243" s="10"/>
      <c r="GRO243" s="21"/>
      <c r="GRP243" s="21"/>
      <c r="GRS243" s="21"/>
      <c r="GRT243" s="15"/>
      <c r="GRU243" s="15"/>
      <c r="GRV243" s="15"/>
      <c r="GRW243" s="15"/>
      <c r="GRX243" s="15"/>
      <c r="GRY243" s="15"/>
      <c r="GRZ243" s="15"/>
      <c r="GSA243" s="15"/>
      <c r="GSB243" s="15"/>
      <c r="GSC243" s="15"/>
      <c r="GSD243" s="10"/>
      <c r="GSE243" s="10"/>
      <c r="GSF243" s="21"/>
      <c r="GSG243" s="21"/>
      <c r="GSJ243" s="21"/>
      <c r="GSK243" s="15"/>
      <c r="GSL243" s="15"/>
      <c r="GSM243" s="15"/>
      <c r="GSN243" s="15"/>
      <c r="GSO243" s="15"/>
      <c r="GSP243" s="15"/>
      <c r="GSQ243" s="15"/>
      <c r="GSR243" s="15"/>
      <c r="GSS243" s="15"/>
      <c r="GST243" s="15"/>
      <c r="GSU243" s="10"/>
      <c r="GSV243" s="10"/>
      <c r="GSW243" s="21"/>
      <c r="GSX243" s="21"/>
      <c r="GTA243" s="21"/>
      <c r="GTB243" s="15"/>
      <c r="GTC243" s="15"/>
      <c r="GTD243" s="15"/>
      <c r="GTE243" s="15"/>
      <c r="GTF243" s="15"/>
      <c r="GTG243" s="15"/>
      <c r="GTH243" s="15"/>
      <c r="GTI243" s="15"/>
      <c r="GTJ243" s="15"/>
      <c r="GTK243" s="15"/>
      <c r="GTL243" s="10"/>
      <c r="GTM243" s="10"/>
      <c r="GTN243" s="21"/>
      <c r="GTO243" s="21"/>
      <c r="GTR243" s="21"/>
      <c r="GTS243" s="15"/>
      <c r="GTT243" s="15"/>
      <c r="GTU243" s="15"/>
      <c r="GTV243" s="15"/>
      <c r="GTW243" s="15"/>
      <c r="GTX243" s="15"/>
      <c r="GTY243" s="15"/>
      <c r="GTZ243" s="15"/>
      <c r="GUA243" s="15"/>
      <c r="GUB243" s="15"/>
      <c r="GUC243" s="10"/>
      <c r="GUD243" s="10"/>
      <c r="GUE243" s="21"/>
      <c r="GUF243" s="21"/>
      <c r="GUI243" s="21"/>
      <c r="GUJ243" s="15"/>
      <c r="GUK243" s="15"/>
      <c r="GUL243" s="15"/>
      <c r="GUM243" s="15"/>
      <c r="GUN243" s="15"/>
      <c r="GUO243" s="15"/>
      <c r="GUP243" s="15"/>
      <c r="GUQ243" s="15"/>
      <c r="GUR243" s="15"/>
      <c r="GUS243" s="15"/>
      <c r="GUT243" s="10"/>
      <c r="GUU243" s="10"/>
      <c r="GUV243" s="21"/>
      <c r="GUW243" s="21"/>
      <c r="GUZ243" s="21"/>
      <c r="GVA243" s="15"/>
      <c r="GVB243" s="15"/>
      <c r="GVC243" s="15"/>
      <c r="GVD243" s="15"/>
      <c r="GVE243" s="15"/>
      <c r="GVF243" s="15"/>
      <c r="GVG243" s="15"/>
      <c r="GVH243" s="15"/>
      <c r="GVI243" s="15"/>
      <c r="GVJ243" s="15"/>
      <c r="GVK243" s="10"/>
      <c r="GVL243" s="10"/>
      <c r="GVM243" s="21"/>
      <c r="GVN243" s="21"/>
      <c r="GVQ243" s="21"/>
      <c r="GVR243" s="15"/>
      <c r="GVS243" s="15"/>
      <c r="GVT243" s="15"/>
      <c r="GVU243" s="15"/>
      <c r="GVV243" s="15"/>
      <c r="GVW243" s="15"/>
      <c r="GVX243" s="15"/>
      <c r="GVY243" s="15"/>
      <c r="GVZ243" s="15"/>
      <c r="GWA243" s="15"/>
      <c r="GWB243" s="10"/>
      <c r="GWC243" s="10"/>
      <c r="GWD243" s="21"/>
      <c r="GWE243" s="21"/>
      <c r="GWH243" s="21"/>
      <c r="GWI243" s="15"/>
      <c r="GWJ243" s="15"/>
      <c r="GWK243" s="15"/>
      <c r="GWL243" s="15"/>
      <c r="GWM243" s="15"/>
      <c r="GWN243" s="15"/>
      <c r="GWO243" s="15"/>
      <c r="GWP243" s="15"/>
      <c r="GWQ243" s="15"/>
      <c r="GWR243" s="15"/>
      <c r="GWS243" s="10"/>
      <c r="GWT243" s="10"/>
      <c r="GWU243" s="21"/>
      <c r="GWV243" s="21"/>
      <c r="GWY243" s="21"/>
      <c r="GWZ243" s="15"/>
      <c r="GXA243" s="15"/>
      <c r="GXB243" s="15"/>
      <c r="GXC243" s="15"/>
      <c r="GXD243" s="15"/>
      <c r="GXE243" s="15"/>
      <c r="GXF243" s="15"/>
      <c r="GXG243" s="15"/>
      <c r="GXH243" s="15"/>
      <c r="GXI243" s="15"/>
      <c r="GXJ243" s="10"/>
      <c r="GXK243" s="10"/>
      <c r="GXL243" s="21"/>
      <c r="GXM243" s="21"/>
      <c r="GXP243" s="21"/>
      <c r="GXQ243" s="15"/>
      <c r="GXR243" s="15"/>
      <c r="GXS243" s="15"/>
      <c r="GXT243" s="15"/>
      <c r="GXU243" s="15"/>
      <c r="GXV243" s="15"/>
      <c r="GXW243" s="15"/>
      <c r="GXX243" s="15"/>
      <c r="GXY243" s="15"/>
      <c r="GXZ243" s="15"/>
      <c r="GYA243" s="10"/>
      <c r="GYB243" s="10"/>
      <c r="GYC243" s="21"/>
      <c r="GYD243" s="21"/>
      <c r="GYG243" s="21"/>
      <c r="GYH243" s="15"/>
      <c r="GYI243" s="15"/>
      <c r="GYJ243" s="15"/>
      <c r="GYK243" s="15"/>
      <c r="GYL243" s="15"/>
      <c r="GYM243" s="15"/>
      <c r="GYN243" s="15"/>
      <c r="GYO243" s="15"/>
      <c r="GYP243" s="15"/>
      <c r="GYQ243" s="15"/>
      <c r="GYR243" s="10"/>
      <c r="GYS243" s="10"/>
      <c r="GYT243" s="21"/>
      <c r="GYU243" s="21"/>
      <c r="GYX243" s="21"/>
      <c r="GYY243" s="15"/>
      <c r="GYZ243" s="15"/>
      <c r="GZA243" s="15"/>
      <c r="GZB243" s="15"/>
      <c r="GZC243" s="15"/>
      <c r="GZD243" s="15"/>
      <c r="GZE243" s="15"/>
      <c r="GZF243" s="15"/>
      <c r="GZG243" s="15"/>
      <c r="GZH243" s="15"/>
      <c r="GZI243" s="10"/>
      <c r="GZJ243" s="10"/>
      <c r="GZK243" s="21"/>
      <c r="GZL243" s="21"/>
      <c r="GZO243" s="21"/>
      <c r="GZP243" s="15"/>
      <c r="GZQ243" s="15"/>
      <c r="GZR243" s="15"/>
      <c r="GZS243" s="15"/>
      <c r="GZT243" s="15"/>
      <c r="GZU243" s="15"/>
      <c r="GZV243" s="15"/>
      <c r="GZW243" s="15"/>
      <c r="GZX243" s="15"/>
      <c r="GZY243" s="15"/>
      <c r="GZZ243" s="10"/>
      <c r="HAA243" s="10"/>
      <c r="HAB243" s="21"/>
      <c r="HAC243" s="21"/>
      <c r="HAF243" s="21"/>
      <c r="HAG243" s="15"/>
      <c r="HAH243" s="15"/>
      <c r="HAI243" s="15"/>
      <c r="HAJ243" s="15"/>
      <c r="HAK243" s="15"/>
      <c r="HAL243" s="15"/>
      <c r="HAM243" s="15"/>
      <c r="HAN243" s="15"/>
      <c r="HAO243" s="15"/>
      <c r="HAP243" s="15"/>
      <c r="HAQ243" s="10"/>
      <c r="HAR243" s="10"/>
      <c r="HAS243" s="21"/>
      <c r="HAT243" s="21"/>
      <c r="HAW243" s="21"/>
      <c r="HAX243" s="15"/>
      <c r="HAY243" s="15"/>
      <c r="HAZ243" s="15"/>
      <c r="HBA243" s="15"/>
      <c r="HBB243" s="15"/>
      <c r="HBC243" s="15"/>
      <c r="HBD243" s="15"/>
      <c r="HBE243" s="15"/>
      <c r="HBF243" s="15"/>
      <c r="HBG243" s="15"/>
      <c r="HBH243" s="10"/>
      <c r="HBI243" s="10"/>
      <c r="HBJ243" s="21"/>
      <c r="HBK243" s="21"/>
      <c r="HBN243" s="21"/>
      <c r="HBO243" s="15"/>
      <c r="HBP243" s="15"/>
      <c r="HBQ243" s="15"/>
      <c r="HBR243" s="15"/>
      <c r="HBS243" s="15"/>
      <c r="HBT243" s="15"/>
      <c r="HBU243" s="15"/>
      <c r="HBV243" s="15"/>
      <c r="HBW243" s="15"/>
      <c r="HBX243" s="15"/>
      <c r="HBY243" s="10"/>
      <c r="HBZ243" s="10"/>
      <c r="HCA243" s="21"/>
      <c r="HCB243" s="21"/>
      <c r="HCE243" s="21"/>
      <c r="HCF243" s="15"/>
      <c r="HCG243" s="15"/>
      <c r="HCH243" s="15"/>
      <c r="HCI243" s="15"/>
      <c r="HCJ243" s="15"/>
      <c r="HCK243" s="15"/>
      <c r="HCL243" s="15"/>
      <c r="HCM243" s="15"/>
      <c r="HCN243" s="15"/>
      <c r="HCO243" s="15"/>
      <c r="HCP243" s="10"/>
      <c r="HCQ243" s="10"/>
      <c r="HCR243" s="21"/>
      <c r="HCS243" s="21"/>
      <c r="HCV243" s="21"/>
      <c r="HCW243" s="15"/>
      <c r="HCX243" s="15"/>
      <c r="HCY243" s="15"/>
      <c r="HCZ243" s="15"/>
      <c r="HDA243" s="15"/>
      <c r="HDB243" s="15"/>
      <c r="HDC243" s="15"/>
      <c r="HDD243" s="15"/>
      <c r="HDE243" s="15"/>
      <c r="HDF243" s="15"/>
      <c r="HDG243" s="10"/>
      <c r="HDH243" s="10"/>
      <c r="HDI243" s="21"/>
      <c r="HDJ243" s="21"/>
      <c r="HDM243" s="21"/>
      <c r="HDN243" s="15"/>
      <c r="HDO243" s="15"/>
      <c r="HDP243" s="15"/>
      <c r="HDQ243" s="15"/>
      <c r="HDR243" s="15"/>
      <c r="HDS243" s="15"/>
      <c r="HDT243" s="15"/>
      <c r="HDU243" s="15"/>
      <c r="HDV243" s="15"/>
      <c r="HDW243" s="15"/>
      <c r="HDX243" s="10"/>
      <c r="HDY243" s="10"/>
      <c r="HDZ243" s="21"/>
      <c r="HEA243" s="21"/>
      <c r="HED243" s="21"/>
      <c r="HEE243" s="15"/>
      <c r="HEF243" s="15"/>
      <c r="HEG243" s="15"/>
      <c r="HEH243" s="15"/>
      <c r="HEI243" s="15"/>
      <c r="HEJ243" s="15"/>
      <c r="HEK243" s="15"/>
      <c r="HEL243" s="15"/>
      <c r="HEM243" s="15"/>
      <c r="HEN243" s="15"/>
      <c r="HEO243" s="10"/>
      <c r="HEP243" s="10"/>
      <c r="HEQ243" s="21"/>
      <c r="HER243" s="21"/>
      <c r="HEU243" s="21"/>
      <c r="HEV243" s="15"/>
      <c r="HEW243" s="15"/>
      <c r="HEX243" s="15"/>
      <c r="HEY243" s="15"/>
      <c r="HEZ243" s="15"/>
      <c r="HFA243" s="15"/>
      <c r="HFB243" s="15"/>
      <c r="HFC243" s="15"/>
      <c r="HFD243" s="15"/>
      <c r="HFE243" s="15"/>
      <c r="HFF243" s="10"/>
      <c r="HFG243" s="10"/>
      <c r="HFH243" s="21"/>
      <c r="HFI243" s="21"/>
      <c r="HFL243" s="21"/>
      <c r="HFM243" s="15"/>
      <c r="HFN243" s="15"/>
      <c r="HFO243" s="15"/>
      <c r="HFP243" s="15"/>
      <c r="HFQ243" s="15"/>
      <c r="HFR243" s="15"/>
      <c r="HFS243" s="15"/>
      <c r="HFT243" s="15"/>
      <c r="HFU243" s="15"/>
      <c r="HFV243" s="15"/>
      <c r="HFW243" s="10"/>
      <c r="HFX243" s="10"/>
      <c r="HFY243" s="21"/>
      <c r="HFZ243" s="21"/>
      <c r="HGC243" s="21"/>
      <c r="HGD243" s="15"/>
      <c r="HGE243" s="15"/>
      <c r="HGF243" s="15"/>
      <c r="HGG243" s="15"/>
      <c r="HGH243" s="15"/>
      <c r="HGI243" s="15"/>
      <c r="HGJ243" s="15"/>
      <c r="HGK243" s="15"/>
      <c r="HGL243" s="15"/>
      <c r="HGM243" s="15"/>
      <c r="HGN243" s="10"/>
      <c r="HGO243" s="10"/>
      <c r="HGP243" s="21"/>
      <c r="HGQ243" s="21"/>
      <c r="HGT243" s="21"/>
      <c r="HGU243" s="15"/>
      <c r="HGV243" s="15"/>
      <c r="HGW243" s="15"/>
      <c r="HGX243" s="15"/>
      <c r="HGY243" s="15"/>
      <c r="HGZ243" s="15"/>
      <c r="HHA243" s="15"/>
      <c r="HHB243" s="15"/>
      <c r="HHC243" s="15"/>
      <c r="HHD243" s="15"/>
      <c r="HHE243" s="10"/>
      <c r="HHF243" s="10"/>
      <c r="HHG243" s="21"/>
      <c r="HHH243" s="21"/>
      <c r="HHK243" s="21"/>
      <c r="HHL243" s="15"/>
      <c r="HHM243" s="15"/>
      <c r="HHN243" s="15"/>
      <c r="HHO243" s="15"/>
      <c r="HHP243" s="15"/>
      <c r="HHQ243" s="15"/>
      <c r="HHR243" s="15"/>
      <c r="HHS243" s="15"/>
      <c r="HHT243" s="15"/>
      <c r="HHU243" s="15"/>
      <c r="HHV243" s="10"/>
      <c r="HHW243" s="10"/>
      <c r="HHX243" s="21"/>
      <c r="HHY243" s="21"/>
      <c r="HIB243" s="21"/>
      <c r="HIC243" s="15"/>
      <c r="HID243" s="15"/>
      <c r="HIE243" s="15"/>
      <c r="HIF243" s="15"/>
      <c r="HIG243" s="15"/>
      <c r="HIH243" s="15"/>
      <c r="HII243" s="15"/>
      <c r="HIJ243" s="15"/>
      <c r="HIK243" s="15"/>
      <c r="HIL243" s="15"/>
      <c r="HIM243" s="10"/>
      <c r="HIN243" s="10"/>
      <c r="HIO243" s="21"/>
      <c r="HIP243" s="21"/>
      <c r="HIS243" s="21"/>
      <c r="HIT243" s="15"/>
      <c r="HIU243" s="15"/>
      <c r="HIV243" s="15"/>
      <c r="HIW243" s="15"/>
      <c r="HIX243" s="15"/>
      <c r="HIY243" s="15"/>
      <c r="HIZ243" s="15"/>
      <c r="HJA243" s="15"/>
      <c r="HJB243" s="15"/>
      <c r="HJC243" s="15"/>
      <c r="HJD243" s="10"/>
      <c r="HJE243" s="10"/>
      <c r="HJF243" s="21"/>
      <c r="HJG243" s="21"/>
      <c r="HJJ243" s="21"/>
      <c r="HJK243" s="15"/>
      <c r="HJL243" s="15"/>
      <c r="HJM243" s="15"/>
      <c r="HJN243" s="15"/>
      <c r="HJO243" s="15"/>
      <c r="HJP243" s="15"/>
      <c r="HJQ243" s="15"/>
      <c r="HJR243" s="15"/>
      <c r="HJS243" s="15"/>
      <c r="HJT243" s="15"/>
      <c r="HJU243" s="10"/>
      <c r="HJV243" s="10"/>
      <c r="HJW243" s="21"/>
      <c r="HJX243" s="21"/>
      <c r="HKA243" s="21"/>
      <c r="HKB243" s="15"/>
      <c r="HKC243" s="15"/>
      <c r="HKD243" s="15"/>
      <c r="HKE243" s="15"/>
      <c r="HKF243" s="15"/>
      <c r="HKG243" s="15"/>
      <c r="HKH243" s="15"/>
      <c r="HKI243" s="15"/>
      <c r="HKJ243" s="15"/>
      <c r="HKK243" s="15"/>
      <c r="HKL243" s="10"/>
      <c r="HKM243" s="10"/>
      <c r="HKN243" s="21"/>
      <c r="HKO243" s="21"/>
      <c r="HKR243" s="21"/>
      <c r="HKS243" s="15"/>
      <c r="HKT243" s="15"/>
      <c r="HKU243" s="15"/>
      <c r="HKV243" s="15"/>
      <c r="HKW243" s="15"/>
      <c r="HKX243" s="15"/>
      <c r="HKY243" s="15"/>
      <c r="HKZ243" s="15"/>
      <c r="HLA243" s="15"/>
      <c r="HLB243" s="15"/>
      <c r="HLC243" s="10"/>
      <c r="HLD243" s="10"/>
      <c r="HLE243" s="21"/>
      <c r="HLF243" s="21"/>
      <c r="HLI243" s="21"/>
      <c r="HLJ243" s="15"/>
      <c r="HLK243" s="15"/>
      <c r="HLL243" s="15"/>
      <c r="HLM243" s="15"/>
      <c r="HLN243" s="15"/>
      <c r="HLO243" s="15"/>
      <c r="HLP243" s="15"/>
      <c r="HLQ243" s="15"/>
      <c r="HLR243" s="15"/>
      <c r="HLS243" s="15"/>
      <c r="HLT243" s="10"/>
      <c r="HLU243" s="10"/>
      <c r="HLV243" s="21"/>
      <c r="HLW243" s="21"/>
      <c r="HLZ243" s="21"/>
      <c r="HMA243" s="15"/>
      <c r="HMB243" s="15"/>
      <c r="HMC243" s="15"/>
      <c r="HMD243" s="15"/>
      <c r="HME243" s="15"/>
      <c r="HMF243" s="15"/>
      <c r="HMG243" s="15"/>
      <c r="HMH243" s="15"/>
      <c r="HMI243" s="15"/>
      <c r="HMJ243" s="15"/>
      <c r="HMK243" s="10"/>
      <c r="HML243" s="10"/>
      <c r="HMM243" s="21"/>
      <c r="HMN243" s="21"/>
      <c r="HMQ243" s="21"/>
      <c r="HMR243" s="15"/>
      <c r="HMS243" s="15"/>
      <c r="HMT243" s="15"/>
      <c r="HMU243" s="15"/>
      <c r="HMV243" s="15"/>
      <c r="HMW243" s="15"/>
      <c r="HMX243" s="15"/>
      <c r="HMY243" s="15"/>
      <c r="HMZ243" s="15"/>
      <c r="HNA243" s="15"/>
      <c r="HNB243" s="10"/>
      <c r="HNC243" s="10"/>
      <c r="HND243" s="21"/>
      <c r="HNE243" s="21"/>
      <c r="HNH243" s="21"/>
      <c r="HNI243" s="15"/>
      <c r="HNJ243" s="15"/>
      <c r="HNK243" s="15"/>
      <c r="HNL243" s="15"/>
      <c r="HNM243" s="15"/>
      <c r="HNN243" s="15"/>
      <c r="HNO243" s="15"/>
      <c r="HNP243" s="15"/>
      <c r="HNQ243" s="15"/>
      <c r="HNR243" s="15"/>
      <c r="HNS243" s="10"/>
      <c r="HNT243" s="10"/>
      <c r="HNU243" s="21"/>
      <c r="HNV243" s="21"/>
      <c r="HNY243" s="21"/>
      <c r="HNZ243" s="15"/>
      <c r="HOA243" s="15"/>
      <c r="HOB243" s="15"/>
      <c r="HOC243" s="15"/>
      <c r="HOD243" s="15"/>
      <c r="HOE243" s="15"/>
      <c r="HOF243" s="15"/>
      <c r="HOG243" s="15"/>
      <c r="HOH243" s="15"/>
      <c r="HOI243" s="15"/>
      <c r="HOJ243" s="10"/>
      <c r="HOK243" s="10"/>
      <c r="HOL243" s="21"/>
      <c r="HOM243" s="21"/>
      <c r="HOP243" s="21"/>
      <c r="HOQ243" s="15"/>
      <c r="HOR243" s="15"/>
      <c r="HOS243" s="15"/>
      <c r="HOT243" s="15"/>
      <c r="HOU243" s="15"/>
      <c r="HOV243" s="15"/>
      <c r="HOW243" s="15"/>
      <c r="HOX243" s="15"/>
      <c r="HOY243" s="15"/>
      <c r="HOZ243" s="15"/>
      <c r="HPA243" s="10"/>
      <c r="HPB243" s="10"/>
      <c r="HPC243" s="21"/>
      <c r="HPD243" s="21"/>
      <c r="HPG243" s="21"/>
      <c r="HPH243" s="15"/>
      <c r="HPI243" s="15"/>
      <c r="HPJ243" s="15"/>
      <c r="HPK243" s="15"/>
      <c r="HPL243" s="15"/>
      <c r="HPM243" s="15"/>
      <c r="HPN243" s="15"/>
      <c r="HPO243" s="15"/>
      <c r="HPP243" s="15"/>
      <c r="HPQ243" s="15"/>
      <c r="HPR243" s="10"/>
      <c r="HPS243" s="10"/>
      <c r="HPT243" s="21"/>
      <c r="HPU243" s="21"/>
      <c r="HPX243" s="21"/>
      <c r="HPY243" s="15"/>
      <c r="HPZ243" s="15"/>
      <c r="HQA243" s="15"/>
      <c r="HQB243" s="15"/>
      <c r="HQC243" s="15"/>
      <c r="HQD243" s="15"/>
      <c r="HQE243" s="15"/>
      <c r="HQF243" s="15"/>
      <c r="HQG243" s="15"/>
      <c r="HQH243" s="15"/>
      <c r="HQI243" s="10"/>
      <c r="HQJ243" s="10"/>
      <c r="HQK243" s="21"/>
      <c r="HQL243" s="21"/>
      <c r="HQO243" s="21"/>
      <c r="HQP243" s="15"/>
      <c r="HQQ243" s="15"/>
      <c r="HQR243" s="15"/>
      <c r="HQS243" s="15"/>
      <c r="HQT243" s="15"/>
      <c r="HQU243" s="15"/>
      <c r="HQV243" s="15"/>
      <c r="HQW243" s="15"/>
      <c r="HQX243" s="15"/>
      <c r="HQY243" s="15"/>
      <c r="HQZ243" s="10"/>
      <c r="HRA243" s="10"/>
      <c r="HRB243" s="21"/>
      <c r="HRC243" s="21"/>
      <c r="HRF243" s="21"/>
      <c r="HRG243" s="15"/>
      <c r="HRH243" s="15"/>
      <c r="HRI243" s="15"/>
      <c r="HRJ243" s="15"/>
      <c r="HRK243" s="15"/>
      <c r="HRL243" s="15"/>
      <c r="HRM243" s="15"/>
      <c r="HRN243" s="15"/>
      <c r="HRO243" s="15"/>
      <c r="HRP243" s="15"/>
      <c r="HRQ243" s="10"/>
      <c r="HRR243" s="10"/>
      <c r="HRS243" s="21"/>
      <c r="HRT243" s="21"/>
      <c r="HRW243" s="21"/>
      <c r="HRX243" s="15"/>
      <c r="HRY243" s="15"/>
      <c r="HRZ243" s="15"/>
      <c r="HSA243" s="15"/>
      <c r="HSB243" s="15"/>
      <c r="HSC243" s="15"/>
      <c r="HSD243" s="15"/>
      <c r="HSE243" s="15"/>
      <c r="HSF243" s="15"/>
      <c r="HSG243" s="15"/>
      <c r="HSH243" s="10"/>
      <c r="HSI243" s="10"/>
      <c r="HSJ243" s="21"/>
      <c r="HSK243" s="21"/>
      <c r="HSN243" s="21"/>
      <c r="HSO243" s="15"/>
      <c r="HSP243" s="15"/>
      <c r="HSQ243" s="15"/>
      <c r="HSR243" s="15"/>
      <c r="HSS243" s="15"/>
      <c r="HST243" s="15"/>
      <c r="HSU243" s="15"/>
      <c r="HSV243" s="15"/>
      <c r="HSW243" s="15"/>
      <c r="HSX243" s="15"/>
      <c r="HSY243" s="10"/>
      <c r="HSZ243" s="10"/>
      <c r="HTA243" s="21"/>
      <c r="HTB243" s="21"/>
      <c r="HTE243" s="21"/>
      <c r="HTF243" s="15"/>
      <c r="HTG243" s="15"/>
      <c r="HTH243" s="15"/>
      <c r="HTI243" s="15"/>
      <c r="HTJ243" s="15"/>
      <c r="HTK243" s="15"/>
      <c r="HTL243" s="15"/>
      <c r="HTM243" s="15"/>
      <c r="HTN243" s="15"/>
      <c r="HTO243" s="15"/>
      <c r="HTP243" s="10"/>
      <c r="HTQ243" s="10"/>
      <c r="HTR243" s="21"/>
      <c r="HTS243" s="21"/>
      <c r="HTV243" s="21"/>
      <c r="HTW243" s="15"/>
      <c r="HTX243" s="15"/>
      <c r="HTY243" s="15"/>
      <c r="HTZ243" s="15"/>
      <c r="HUA243" s="15"/>
      <c r="HUB243" s="15"/>
      <c r="HUC243" s="15"/>
      <c r="HUD243" s="15"/>
      <c r="HUE243" s="15"/>
      <c r="HUF243" s="15"/>
      <c r="HUG243" s="10"/>
      <c r="HUH243" s="10"/>
      <c r="HUI243" s="21"/>
      <c r="HUJ243" s="21"/>
      <c r="HUM243" s="21"/>
      <c r="HUN243" s="15"/>
      <c r="HUO243" s="15"/>
      <c r="HUP243" s="15"/>
      <c r="HUQ243" s="15"/>
      <c r="HUR243" s="15"/>
      <c r="HUS243" s="15"/>
      <c r="HUT243" s="15"/>
      <c r="HUU243" s="15"/>
      <c r="HUV243" s="15"/>
      <c r="HUW243" s="15"/>
      <c r="HUX243" s="10"/>
      <c r="HUY243" s="10"/>
      <c r="HUZ243" s="21"/>
      <c r="HVA243" s="21"/>
      <c r="HVD243" s="21"/>
      <c r="HVE243" s="15"/>
      <c r="HVF243" s="15"/>
      <c r="HVG243" s="15"/>
      <c r="HVH243" s="15"/>
      <c r="HVI243" s="15"/>
      <c r="HVJ243" s="15"/>
      <c r="HVK243" s="15"/>
      <c r="HVL243" s="15"/>
      <c r="HVM243" s="15"/>
      <c r="HVN243" s="15"/>
      <c r="HVO243" s="10"/>
      <c r="HVP243" s="10"/>
      <c r="HVQ243" s="21"/>
      <c r="HVR243" s="21"/>
      <c r="HVU243" s="21"/>
      <c r="HVV243" s="15"/>
      <c r="HVW243" s="15"/>
      <c r="HVX243" s="15"/>
      <c r="HVY243" s="15"/>
      <c r="HVZ243" s="15"/>
      <c r="HWA243" s="15"/>
      <c r="HWB243" s="15"/>
      <c r="HWC243" s="15"/>
      <c r="HWD243" s="15"/>
      <c r="HWE243" s="15"/>
      <c r="HWF243" s="10"/>
      <c r="HWG243" s="10"/>
      <c r="HWH243" s="21"/>
      <c r="HWI243" s="21"/>
      <c r="HWL243" s="21"/>
      <c r="HWM243" s="15"/>
      <c r="HWN243" s="15"/>
      <c r="HWO243" s="15"/>
      <c r="HWP243" s="15"/>
      <c r="HWQ243" s="15"/>
      <c r="HWR243" s="15"/>
      <c r="HWS243" s="15"/>
      <c r="HWT243" s="15"/>
      <c r="HWU243" s="15"/>
      <c r="HWV243" s="15"/>
      <c r="HWW243" s="10"/>
      <c r="HWX243" s="10"/>
      <c r="HWY243" s="21"/>
      <c r="HWZ243" s="21"/>
      <c r="HXC243" s="21"/>
      <c r="HXD243" s="15"/>
      <c r="HXE243" s="15"/>
      <c r="HXF243" s="15"/>
      <c r="HXG243" s="15"/>
      <c r="HXH243" s="15"/>
      <c r="HXI243" s="15"/>
      <c r="HXJ243" s="15"/>
      <c r="HXK243" s="15"/>
      <c r="HXL243" s="15"/>
      <c r="HXM243" s="15"/>
      <c r="HXN243" s="10"/>
      <c r="HXO243" s="10"/>
      <c r="HXP243" s="21"/>
      <c r="HXQ243" s="21"/>
      <c r="HXT243" s="21"/>
      <c r="HXU243" s="15"/>
      <c r="HXV243" s="15"/>
      <c r="HXW243" s="15"/>
      <c r="HXX243" s="15"/>
      <c r="HXY243" s="15"/>
      <c r="HXZ243" s="15"/>
      <c r="HYA243" s="15"/>
      <c r="HYB243" s="15"/>
      <c r="HYC243" s="15"/>
      <c r="HYD243" s="15"/>
      <c r="HYE243" s="10"/>
      <c r="HYF243" s="10"/>
      <c r="HYG243" s="21"/>
      <c r="HYH243" s="21"/>
      <c r="HYK243" s="21"/>
      <c r="HYL243" s="15"/>
      <c r="HYM243" s="15"/>
      <c r="HYN243" s="15"/>
      <c r="HYO243" s="15"/>
      <c r="HYP243" s="15"/>
      <c r="HYQ243" s="15"/>
      <c r="HYR243" s="15"/>
      <c r="HYS243" s="15"/>
      <c r="HYT243" s="15"/>
      <c r="HYU243" s="15"/>
      <c r="HYV243" s="10"/>
      <c r="HYW243" s="10"/>
      <c r="HYX243" s="21"/>
      <c r="HYY243" s="21"/>
      <c r="HZB243" s="21"/>
      <c r="HZC243" s="15"/>
      <c r="HZD243" s="15"/>
      <c r="HZE243" s="15"/>
      <c r="HZF243" s="15"/>
      <c r="HZG243" s="15"/>
      <c r="HZH243" s="15"/>
      <c r="HZI243" s="15"/>
      <c r="HZJ243" s="15"/>
      <c r="HZK243" s="15"/>
      <c r="HZL243" s="15"/>
      <c r="HZM243" s="10"/>
      <c r="HZN243" s="10"/>
      <c r="HZO243" s="21"/>
      <c r="HZP243" s="21"/>
      <c r="HZS243" s="21"/>
      <c r="HZT243" s="15"/>
      <c r="HZU243" s="15"/>
      <c r="HZV243" s="15"/>
      <c r="HZW243" s="15"/>
      <c r="HZX243" s="15"/>
      <c r="HZY243" s="15"/>
      <c r="HZZ243" s="15"/>
      <c r="IAA243" s="15"/>
      <c r="IAB243" s="15"/>
      <c r="IAC243" s="15"/>
      <c r="IAD243" s="10"/>
      <c r="IAE243" s="10"/>
      <c r="IAF243" s="21"/>
      <c r="IAG243" s="21"/>
      <c r="IAJ243" s="21"/>
      <c r="IAK243" s="15"/>
      <c r="IAL243" s="15"/>
      <c r="IAM243" s="15"/>
      <c r="IAN243" s="15"/>
      <c r="IAO243" s="15"/>
      <c r="IAP243" s="15"/>
      <c r="IAQ243" s="15"/>
      <c r="IAR243" s="15"/>
      <c r="IAS243" s="15"/>
      <c r="IAT243" s="15"/>
      <c r="IAU243" s="10"/>
      <c r="IAV243" s="10"/>
      <c r="IAW243" s="21"/>
      <c r="IAX243" s="21"/>
      <c r="IBA243" s="21"/>
      <c r="IBB243" s="15"/>
      <c r="IBC243" s="15"/>
      <c r="IBD243" s="15"/>
      <c r="IBE243" s="15"/>
      <c r="IBF243" s="15"/>
      <c r="IBG243" s="15"/>
      <c r="IBH243" s="15"/>
      <c r="IBI243" s="15"/>
      <c r="IBJ243" s="15"/>
      <c r="IBK243" s="15"/>
      <c r="IBL243" s="10"/>
      <c r="IBM243" s="10"/>
      <c r="IBN243" s="21"/>
      <c r="IBO243" s="21"/>
      <c r="IBR243" s="21"/>
      <c r="IBS243" s="15"/>
      <c r="IBT243" s="15"/>
      <c r="IBU243" s="15"/>
      <c r="IBV243" s="15"/>
      <c r="IBW243" s="15"/>
      <c r="IBX243" s="15"/>
      <c r="IBY243" s="15"/>
      <c r="IBZ243" s="15"/>
      <c r="ICA243" s="15"/>
      <c r="ICB243" s="15"/>
      <c r="ICC243" s="10"/>
      <c r="ICD243" s="10"/>
      <c r="ICE243" s="21"/>
      <c r="ICF243" s="21"/>
      <c r="ICI243" s="21"/>
      <c r="ICJ243" s="15"/>
      <c r="ICK243" s="15"/>
      <c r="ICL243" s="15"/>
      <c r="ICM243" s="15"/>
      <c r="ICN243" s="15"/>
      <c r="ICO243" s="15"/>
      <c r="ICP243" s="15"/>
      <c r="ICQ243" s="15"/>
      <c r="ICR243" s="15"/>
      <c r="ICS243" s="15"/>
      <c r="ICT243" s="10"/>
      <c r="ICU243" s="10"/>
      <c r="ICV243" s="21"/>
      <c r="ICW243" s="21"/>
      <c r="ICZ243" s="21"/>
      <c r="IDA243" s="15"/>
      <c r="IDB243" s="15"/>
      <c r="IDC243" s="15"/>
      <c r="IDD243" s="15"/>
      <c r="IDE243" s="15"/>
      <c r="IDF243" s="15"/>
      <c r="IDG243" s="15"/>
      <c r="IDH243" s="15"/>
      <c r="IDI243" s="15"/>
      <c r="IDJ243" s="15"/>
      <c r="IDK243" s="10"/>
      <c r="IDL243" s="10"/>
      <c r="IDM243" s="21"/>
      <c r="IDN243" s="21"/>
      <c r="IDQ243" s="21"/>
      <c r="IDR243" s="15"/>
      <c r="IDS243" s="15"/>
      <c r="IDT243" s="15"/>
      <c r="IDU243" s="15"/>
      <c r="IDV243" s="15"/>
      <c r="IDW243" s="15"/>
      <c r="IDX243" s="15"/>
      <c r="IDY243" s="15"/>
      <c r="IDZ243" s="15"/>
      <c r="IEA243" s="15"/>
      <c r="IEB243" s="10"/>
      <c r="IEC243" s="10"/>
      <c r="IED243" s="21"/>
      <c r="IEE243" s="21"/>
      <c r="IEH243" s="21"/>
      <c r="IEI243" s="15"/>
      <c r="IEJ243" s="15"/>
      <c r="IEK243" s="15"/>
      <c r="IEL243" s="15"/>
      <c r="IEM243" s="15"/>
      <c r="IEN243" s="15"/>
      <c r="IEO243" s="15"/>
      <c r="IEP243" s="15"/>
      <c r="IEQ243" s="15"/>
      <c r="IER243" s="15"/>
      <c r="IES243" s="10"/>
      <c r="IET243" s="10"/>
      <c r="IEU243" s="21"/>
      <c r="IEV243" s="21"/>
      <c r="IEY243" s="21"/>
      <c r="IEZ243" s="15"/>
      <c r="IFA243" s="15"/>
      <c r="IFB243" s="15"/>
      <c r="IFC243" s="15"/>
      <c r="IFD243" s="15"/>
      <c r="IFE243" s="15"/>
      <c r="IFF243" s="15"/>
      <c r="IFG243" s="15"/>
      <c r="IFH243" s="15"/>
      <c r="IFI243" s="15"/>
      <c r="IFJ243" s="10"/>
      <c r="IFK243" s="10"/>
      <c r="IFL243" s="21"/>
      <c r="IFM243" s="21"/>
      <c r="IFP243" s="21"/>
      <c r="IFQ243" s="15"/>
      <c r="IFR243" s="15"/>
      <c r="IFS243" s="15"/>
      <c r="IFT243" s="15"/>
      <c r="IFU243" s="15"/>
      <c r="IFV243" s="15"/>
      <c r="IFW243" s="15"/>
      <c r="IFX243" s="15"/>
      <c r="IFY243" s="15"/>
      <c r="IFZ243" s="15"/>
      <c r="IGA243" s="10"/>
      <c r="IGB243" s="10"/>
      <c r="IGC243" s="21"/>
      <c r="IGD243" s="21"/>
      <c r="IGG243" s="21"/>
      <c r="IGH243" s="15"/>
      <c r="IGI243" s="15"/>
      <c r="IGJ243" s="15"/>
      <c r="IGK243" s="15"/>
      <c r="IGL243" s="15"/>
      <c r="IGM243" s="15"/>
      <c r="IGN243" s="15"/>
      <c r="IGO243" s="15"/>
      <c r="IGP243" s="15"/>
      <c r="IGQ243" s="15"/>
      <c r="IGR243" s="10"/>
      <c r="IGS243" s="10"/>
      <c r="IGT243" s="21"/>
      <c r="IGU243" s="21"/>
      <c r="IGX243" s="21"/>
      <c r="IGY243" s="15"/>
      <c r="IGZ243" s="15"/>
      <c r="IHA243" s="15"/>
      <c r="IHB243" s="15"/>
      <c r="IHC243" s="15"/>
      <c r="IHD243" s="15"/>
      <c r="IHE243" s="15"/>
      <c r="IHF243" s="15"/>
      <c r="IHG243" s="15"/>
      <c r="IHH243" s="15"/>
      <c r="IHI243" s="10"/>
      <c r="IHJ243" s="10"/>
      <c r="IHK243" s="21"/>
      <c r="IHL243" s="21"/>
      <c r="IHO243" s="21"/>
      <c r="IHP243" s="15"/>
      <c r="IHQ243" s="15"/>
      <c r="IHR243" s="15"/>
      <c r="IHS243" s="15"/>
      <c r="IHT243" s="15"/>
      <c r="IHU243" s="15"/>
      <c r="IHV243" s="15"/>
      <c r="IHW243" s="15"/>
      <c r="IHX243" s="15"/>
      <c r="IHY243" s="15"/>
      <c r="IHZ243" s="10"/>
      <c r="IIA243" s="10"/>
      <c r="IIB243" s="21"/>
      <c r="IIC243" s="21"/>
      <c r="IIF243" s="21"/>
      <c r="IIG243" s="15"/>
      <c r="IIH243" s="15"/>
      <c r="III243" s="15"/>
      <c r="IIJ243" s="15"/>
      <c r="IIK243" s="15"/>
      <c r="IIL243" s="15"/>
      <c r="IIM243" s="15"/>
      <c r="IIN243" s="15"/>
      <c r="IIO243" s="15"/>
      <c r="IIP243" s="15"/>
      <c r="IIQ243" s="10"/>
      <c r="IIR243" s="10"/>
      <c r="IIS243" s="21"/>
      <c r="IIT243" s="21"/>
      <c r="IIW243" s="21"/>
      <c r="IIX243" s="15"/>
      <c r="IIY243" s="15"/>
      <c r="IIZ243" s="15"/>
      <c r="IJA243" s="15"/>
      <c r="IJB243" s="15"/>
      <c r="IJC243" s="15"/>
      <c r="IJD243" s="15"/>
      <c r="IJE243" s="15"/>
      <c r="IJF243" s="15"/>
      <c r="IJG243" s="15"/>
      <c r="IJH243" s="10"/>
      <c r="IJI243" s="10"/>
      <c r="IJJ243" s="21"/>
      <c r="IJK243" s="21"/>
      <c r="IJN243" s="21"/>
      <c r="IJO243" s="15"/>
      <c r="IJP243" s="15"/>
      <c r="IJQ243" s="15"/>
      <c r="IJR243" s="15"/>
      <c r="IJS243" s="15"/>
      <c r="IJT243" s="15"/>
      <c r="IJU243" s="15"/>
      <c r="IJV243" s="15"/>
      <c r="IJW243" s="15"/>
      <c r="IJX243" s="15"/>
      <c r="IJY243" s="10"/>
      <c r="IJZ243" s="10"/>
      <c r="IKA243" s="21"/>
      <c r="IKB243" s="21"/>
      <c r="IKE243" s="21"/>
      <c r="IKF243" s="15"/>
      <c r="IKG243" s="15"/>
      <c r="IKH243" s="15"/>
      <c r="IKI243" s="15"/>
      <c r="IKJ243" s="15"/>
      <c r="IKK243" s="15"/>
      <c r="IKL243" s="15"/>
      <c r="IKM243" s="15"/>
      <c r="IKN243" s="15"/>
      <c r="IKO243" s="15"/>
      <c r="IKP243" s="10"/>
      <c r="IKQ243" s="10"/>
      <c r="IKR243" s="21"/>
      <c r="IKS243" s="21"/>
      <c r="IKV243" s="21"/>
      <c r="IKW243" s="15"/>
      <c r="IKX243" s="15"/>
      <c r="IKY243" s="15"/>
      <c r="IKZ243" s="15"/>
      <c r="ILA243" s="15"/>
      <c r="ILB243" s="15"/>
      <c r="ILC243" s="15"/>
      <c r="ILD243" s="15"/>
      <c r="ILE243" s="15"/>
      <c r="ILF243" s="15"/>
      <c r="ILG243" s="10"/>
      <c r="ILH243" s="10"/>
      <c r="ILI243" s="21"/>
      <c r="ILJ243" s="21"/>
      <c r="ILM243" s="21"/>
      <c r="ILN243" s="15"/>
      <c r="ILO243" s="15"/>
      <c r="ILP243" s="15"/>
      <c r="ILQ243" s="15"/>
      <c r="ILR243" s="15"/>
      <c r="ILS243" s="15"/>
      <c r="ILT243" s="15"/>
      <c r="ILU243" s="15"/>
      <c r="ILV243" s="15"/>
      <c r="ILW243" s="15"/>
      <c r="ILX243" s="10"/>
      <c r="ILY243" s="10"/>
      <c r="ILZ243" s="21"/>
      <c r="IMA243" s="21"/>
      <c r="IMD243" s="21"/>
      <c r="IME243" s="15"/>
      <c r="IMF243" s="15"/>
      <c r="IMG243" s="15"/>
      <c r="IMH243" s="15"/>
      <c r="IMI243" s="15"/>
      <c r="IMJ243" s="15"/>
      <c r="IMK243" s="15"/>
      <c r="IML243" s="15"/>
      <c r="IMM243" s="15"/>
      <c r="IMN243" s="15"/>
      <c r="IMO243" s="10"/>
      <c r="IMP243" s="10"/>
      <c r="IMQ243" s="21"/>
      <c r="IMR243" s="21"/>
      <c r="IMU243" s="21"/>
      <c r="IMV243" s="15"/>
      <c r="IMW243" s="15"/>
      <c r="IMX243" s="15"/>
      <c r="IMY243" s="15"/>
      <c r="IMZ243" s="15"/>
      <c r="INA243" s="15"/>
      <c r="INB243" s="15"/>
      <c r="INC243" s="15"/>
      <c r="IND243" s="15"/>
      <c r="INE243" s="15"/>
      <c r="INF243" s="10"/>
      <c r="ING243" s="10"/>
      <c r="INH243" s="21"/>
      <c r="INI243" s="21"/>
      <c r="INL243" s="21"/>
      <c r="INM243" s="15"/>
      <c r="INN243" s="15"/>
      <c r="INO243" s="15"/>
      <c r="INP243" s="15"/>
      <c r="INQ243" s="15"/>
      <c r="INR243" s="15"/>
      <c r="INS243" s="15"/>
      <c r="INT243" s="15"/>
      <c r="INU243" s="15"/>
      <c r="INV243" s="15"/>
      <c r="INW243" s="10"/>
      <c r="INX243" s="10"/>
      <c r="INY243" s="21"/>
      <c r="INZ243" s="21"/>
      <c r="IOC243" s="21"/>
      <c r="IOD243" s="15"/>
      <c r="IOE243" s="15"/>
      <c r="IOF243" s="15"/>
      <c r="IOG243" s="15"/>
      <c r="IOH243" s="15"/>
      <c r="IOI243" s="15"/>
      <c r="IOJ243" s="15"/>
      <c r="IOK243" s="15"/>
      <c r="IOL243" s="15"/>
      <c r="IOM243" s="15"/>
      <c r="ION243" s="10"/>
      <c r="IOO243" s="10"/>
      <c r="IOP243" s="21"/>
      <c r="IOQ243" s="21"/>
      <c r="IOT243" s="21"/>
      <c r="IOU243" s="15"/>
      <c r="IOV243" s="15"/>
      <c r="IOW243" s="15"/>
      <c r="IOX243" s="15"/>
      <c r="IOY243" s="15"/>
      <c r="IOZ243" s="15"/>
      <c r="IPA243" s="15"/>
      <c r="IPB243" s="15"/>
      <c r="IPC243" s="15"/>
      <c r="IPD243" s="15"/>
      <c r="IPE243" s="10"/>
      <c r="IPF243" s="10"/>
      <c r="IPG243" s="21"/>
      <c r="IPH243" s="21"/>
      <c r="IPK243" s="21"/>
      <c r="IPL243" s="15"/>
      <c r="IPM243" s="15"/>
      <c r="IPN243" s="15"/>
      <c r="IPO243" s="15"/>
      <c r="IPP243" s="15"/>
      <c r="IPQ243" s="15"/>
      <c r="IPR243" s="15"/>
      <c r="IPS243" s="15"/>
      <c r="IPT243" s="15"/>
      <c r="IPU243" s="15"/>
      <c r="IPV243" s="10"/>
      <c r="IPW243" s="10"/>
      <c r="IPX243" s="21"/>
      <c r="IPY243" s="21"/>
      <c r="IQB243" s="21"/>
      <c r="IQC243" s="15"/>
      <c r="IQD243" s="15"/>
      <c r="IQE243" s="15"/>
      <c r="IQF243" s="15"/>
      <c r="IQG243" s="15"/>
      <c r="IQH243" s="15"/>
      <c r="IQI243" s="15"/>
      <c r="IQJ243" s="15"/>
      <c r="IQK243" s="15"/>
      <c r="IQL243" s="15"/>
      <c r="IQM243" s="10"/>
      <c r="IQN243" s="10"/>
      <c r="IQO243" s="21"/>
      <c r="IQP243" s="21"/>
      <c r="IQS243" s="21"/>
      <c r="IQT243" s="15"/>
      <c r="IQU243" s="15"/>
      <c r="IQV243" s="15"/>
      <c r="IQW243" s="15"/>
      <c r="IQX243" s="15"/>
      <c r="IQY243" s="15"/>
      <c r="IQZ243" s="15"/>
      <c r="IRA243" s="15"/>
      <c r="IRB243" s="15"/>
      <c r="IRC243" s="15"/>
      <c r="IRD243" s="10"/>
      <c r="IRE243" s="10"/>
      <c r="IRF243" s="21"/>
      <c r="IRG243" s="21"/>
      <c r="IRJ243" s="21"/>
      <c r="IRK243" s="15"/>
      <c r="IRL243" s="15"/>
      <c r="IRM243" s="15"/>
      <c r="IRN243" s="15"/>
      <c r="IRO243" s="15"/>
      <c r="IRP243" s="15"/>
      <c r="IRQ243" s="15"/>
      <c r="IRR243" s="15"/>
      <c r="IRS243" s="15"/>
      <c r="IRT243" s="15"/>
      <c r="IRU243" s="10"/>
      <c r="IRV243" s="10"/>
      <c r="IRW243" s="21"/>
      <c r="IRX243" s="21"/>
      <c r="ISA243" s="21"/>
      <c r="ISB243" s="15"/>
      <c r="ISC243" s="15"/>
      <c r="ISD243" s="15"/>
      <c r="ISE243" s="15"/>
      <c r="ISF243" s="15"/>
      <c r="ISG243" s="15"/>
      <c r="ISH243" s="15"/>
      <c r="ISI243" s="15"/>
      <c r="ISJ243" s="15"/>
      <c r="ISK243" s="15"/>
      <c r="ISL243" s="10"/>
      <c r="ISM243" s="10"/>
      <c r="ISN243" s="21"/>
      <c r="ISO243" s="21"/>
      <c r="ISR243" s="21"/>
      <c r="ISS243" s="15"/>
      <c r="IST243" s="15"/>
      <c r="ISU243" s="15"/>
      <c r="ISV243" s="15"/>
      <c r="ISW243" s="15"/>
      <c r="ISX243" s="15"/>
      <c r="ISY243" s="15"/>
      <c r="ISZ243" s="15"/>
      <c r="ITA243" s="15"/>
      <c r="ITB243" s="15"/>
      <c r="ITC243" s="10"/>
      <c r="ITD243" s="10"/>
      <c r="ITE243" s="21"/>
      <c r="ITF243" s="21"/>
      <c r="ITI243" s="21"/>
      <c r="ITJ243" s="15"/>
      <c r="ITK243" s="15"/>
      <c r="ITL243" s="15"/>
      <c r="ITM243" s="15"/>
      <c r="ITN243" s="15"/>
      <c r="ITO243" s="15"/>
      <c r="ITP243" s="15"/>
      <c r="ITQ243" s="15"/>
      <c r="ITR243" s="15"/>
      <c r="ITS243" s="15"/>
      <c r="ITT243" s="10"/>
      <c r="ITU243" s="10"/>
      <c r="ITV243" s="21"/>
      <c r="ITW243" s="21"/>
      <c r="ITZ243" s="21"/>
      <c r="IUA243" s="15"/>
      <c r="IUB243" s="15"/>
      <c r="IUC243" s="15"/>
      <c r="IUD243" s="15"/>
      <c r="IUE243" s="15"/>
      <c r="IUF243" s="15"/>
      <c r="IUG243" s="15"/>
      <c r="IUH243" s="15"/>
      <c r="IUI243" s="15"/>
      <c r="IUJ243" s="15"/>
      <c r="IUK243" s="10"/>
      <c r="IUL243" s="10"/>
      <c r="IUM243" s="21"/>
      <c r="IUN243" s="21"/>
      <c r="IUQ243" s="21"/>
      <c r="IUR243" s="15"/>
      <c r="IUS243" s="15"/>
      <c r="IUT243" s="15"/>
      <c r="IUU243" s="15"/>
      <c r="IUV243" s="15"/>
      <c r="IUW243" s="15"/>
      <c r="IUX243" s="15"/>
      <c r="IUY243" s="15"/>
      <c r="IUZ243" s="15"/>
      <c r="IVA243" s="15"/>
      <c r="IVB243" s="10"/>
      <c r="IVC243" s="10"/>
      <c r="IVD243" s="21"/>
      <c r="IVE243" s="21"/>
      <c r="IVH243" s="21"/>
      <c r="IVI243" s="15"/>
      <c r="IVJ243" s="15"/>
      <c r="IVK243" s="15"/>
      <c r="IVL243" s="15"/>
      <c r="IVM243" s="15"/>
      <c r="IVN243" s="15"/>
      <c r="IVO243" s="15"/>
      <c r="IVP243" s="15"/>
      <c r="IVQ243" s="15"/>
      <c r="IVR243" s="15"/>
      <c r="IVS243" s="10"/>
      <c r="IVT243" s="10"/>
      <c r="IVU243" s="21"/>
      <c r="IVV243" s="21"/>
      <c r="IVY243" s="21"/>
      <c r="IVZ243" s="15"/>
      <c r="IWA243" s="15"/>
      <c r="IWB243" s="15"/>
      <c r="IWC243" s="15"/>
      <c r="IWD243" s="15"/>
      <c r="IWE243" s="15"/>
      <c r="IWF243" s="15"/>
      <c r="IWG243" s="15"/>
      <c r="IWH243" s="15"/>
      <c r="IWI243" s="15"/>
      <c r="IWJ243" s="10"/>
      <c r="IWK243" s="10"/>
      <c r="IWL243" s="21"/>
      <c r="IWM243" s="21"/>
      <c r="IWP243" s="21"/>
      <c r="IWQ243" s="15"/>
      <c r="IWR243" s="15"/>
      <c r="IWS243" s="15"/>
      <c r="IWT243" s="15"/>
      <c r="IWU243" s="15"/>
      <c r="IWV243" s="15"/>
      <c r="IWW243" s="15"/>
      <c r="IWX243" s="15"/>
      <c r="IWY243" s="15"/>
      <c r="IWZ243" s="15"/>
      <c r="IXA243" s="10"/>
      <c r="IXB243" s="10"/>
      <c r="IXC243" s="21"/>
      <c r="IXD243" s="21"/>
      <c r="IXG243" s="21"/>
      <c r="IXH243" s="15"/>
      <c r="IXI243" s="15"/>
      <c r="IXJ243" s="15"/>
      <c r="IXK243" s="15"/>
      <c r="IXL243" s="15"/>
      <c r="IXM243" s="15"/>
      <c r="IXN243" s="15"/>
      <c r="IXO243" s="15"/>
      <c r="IXP243" s="15"/>
      <c r="IXQ243" s="15"/>
      <c r="IXR243" s="10"/>
      <c r="IXS243" s="10"/>
      <c r="IXT243" s="21"/>
      <c r="IXU243" s="21"/>
      <c r="IXX243" s="21"/>
      <c r="IXY243" s="15"/>
      <c r="IXZ243" s="15"/>
      <c r="IYA243" s="15"/>
      <c r="IYB243" s="15"/>
      <c r="IYC243" s="15"/>
      <c r="IYD243" s="15"/>
      <c r="IYE243" s="15"/>
      <c r="IYF243" s="15"/>
      <c r="IYG243" s="15"/>
      <c r="IYH243" s="15"/>
      <c r="IYI243" s="10"/>
      <c r="IYJ243" s="10"/>
      <c r="IYK243" s="21"/>
      <c r="IYL243" s="21"/>
      <c r="IYO243" s="21"/>
      <c r="IYP243" s="15"/>
      <c r="IYQ243" s="15"/>
      <c r="IYR243" s="15"/>
      <c r="IYS243" s="15"/>
      <c r="IYT243" s="15"/>
      <c r="IYU243" s="15"/>
      <c r="IYV243" s="15"/>
      <c r="IYW243" s="15"/>
      <c r="IYX243" s="15"/>
      <c r="IYY243" s="15"/>
      <c r="IYZ243" s="10"/>
      <c r="IZA243" s="10"/>
      <c r="IZB243" s="21"/>
      <c r="IZC243" s="21"/>
      <c r="IZF243" s="21"/>
      <c r="IZG243" s="15"/>
      <c r="IZH243" s="15"/>
      <c r="IZI243" s="15"/>
      <c r="IZJ243" s="15"/>
      <c r="IZK243" s="15"/>
      <c r="IZL243" s="15"/>
      <c r="IZM243" s="15"/>
      <c r="IZN243" s="15"/>
      <c r="IZO243" s="15"/>
      <c r="IZP243" s="15"/>
      <c r="IZQ243" s="10"/>
      <c r="IZR243" s="10"/>
      <c r="IZS243" s="21"/>
      <c r="IZT243" s="21"/>
      <c r="IZW243" s="21"/>
      <c r="IZX243" s="15"/>
      <c r="IZY243" s="15"/>
      <c r="IZZ243" s="15"/>
      <c r="JAA243" s="15"/>
      <c r="JAB243" s="15"/>
      <c r="JAC243" s="15"/>
      <c r="JAD243" s="15"/>
      <c r="JAE243" s="15"/>
      <c r="JAF243" s="15"/>
      <c r="JAG243" s="15"/>
      <c r="JAH243" s="10"/>
      <c r="JAI243" s="10"/>
      <c r="JAJ243" s="21"/>
      <c r="JAK243" s="21"/>
      <c r="JAN243" s="21"/>
      <c r="JAO243" s="15"/>
      <c r="JAP243" s="15"/>
      <c r="JAQ243" s="15"/>
      <c r="JAR243" s="15"/>
      <c r="JAS243" s="15"/>
      <c r="JAT243" s="15"/>
      <c r="JAU243" s="15"/>
      <c r="JAV243" s="15"/>
      <c r="JAW243" s="15"/>
      <c r="JAX243" s="15"/>
      <c r="JAY243" s="10"/>
      <c r="JAZ243" s="10"/>
      <c r="JBA243" s="21"/>
      <c r="JBB243" s="21"/>
      <c r="JBE243" s="21"/>
      <c r="JBF243" s="15"/>
      <c r="JBG243" s="15"/>
      <c r="JBH243" s="15"/>
      <c r="JBI243" s="15"/>
      <c r="JBJ243" s="15"/>
      <c r="JBK243" s="15"/>
      <c r="JBL243" s="15"/>
      <c r="JBM243" s="15"/>
      <c r="JBN243" s="15"/>
      <c r="JBO243" s="15"/>
      <c r="JBP243" s="10"/>
      <c r="JBQ243" s="10"/>
      <c r="JBR243" s="21"/>
      <c r="JBS243" s="21"/>
      <c r="JBV243" s="21"/>
      <c r="JBW243" s="15"/>
      <c r="JBX243" s="15"/>
      <c r="JBY243" s="15"/>
      <c r="JBZ243" s="15"/>
      <c r="JCA243" s="15"/>
      <c r="JCB243" s="15"/>
      <c r="JCC243" s="15"/>
      <c r="JCD243" s="15"/>
      <c r="JCE243" s="15"/>
      <c r="JCF243" s="15"/>
      <c r="JCG243" s="10"/>
      <c r="JCH243" s="10"/>
      <c r="JCI243" s="21"/>
      <c r="JCJ243" s="21"/>
      <c r="JCM243" s="21"/>
      <c r="JCN243" s="15"/>
      <c r="JCO243" s="15"/>
      <c r="JCP243" s="15"/>
      <c r="JCQ243" s="15"/>
      <c r="JCR243" s="15"/>
      <c r="JCS243" s="15"/>
      <c r="JCT243" s="15"/>
      <c r="JCU243" s="15"/>
      <c r="JCV243" s="15"/>
      <c r="JCW243" s="15"/>
      <c r="JCX243" s="10"/>
      <c r="JCY243" s="10"/>
      <c r="JCZ243" s="21"/>
      <c r="JDA243" s="21"/>
      <c r="JDD243" s="21"/>
      <c r="JDE243" s="15"/>
      <c r="JDF243" s="15"/>
      <c r="JDG243" s="15"/>
      <c r="JDH243" s="15"/>
      <c r="JDI243" s="15"/>
      <c r="JDJ243" s="15"/>
      <c r="JDK243" s="15"/>
      <c r="JDL243" s="15"/>
      <c r="JDM243" s="15"/>
      <c r="JDN243" s="15"/>
      <c r="JDO243" s="10"/>
      <c r="JDP243" s="10"/>
      <c r="JDQ243" s="21"/>
      <c r="JDR243" s="21"/>
      <c r="JDU243" s="21"/>
      <c r="JDV243" s="15"/>
      <c r="JDW243" s="15"/>
      <c r="JDX243" s="15"/>
      <c r="JDY243" s="15"/>
      <c r="JDZ243" s="15"/>
      <c r="JEA243" s="15"/>
      <c r="JEB243" s="15"/>
      <c r="JEC243" s="15"/>
      <c r="JED243" s="15"/>
      <c r="JEE243" s="15"/>
      <c r="JEF243" s="10"/>
      <c r="JEG243" s="10"/>
      <c r="JEH243" s="21"/>
      <c r="JEI243" s="21"/>
      <c r="JEL243" s="21"/>
      <c r="JEM243" s="15"/>
      <c r="JEN243" s="15"/>
      <c r="JEO243" s="15"/>
      <c r="JEP243" s="15"/>
      <c r="JEQ243" s="15"/>
      <c r="JER243" s="15"/>
      <c r="JES243" s="15"/>
      <c r="JET243" s="15"/>
      <c r="JEU243" s="15"/>
      <c r="JEV243" s="15"/>
      <c r="JEW243" s="10"/>
      <c r="JEX243" s="10"/>
      <c r="JEY243" s="21"/>
      <c r="JEZ243" s="21"/>
      <c r="JFC243" s="21"/>
      <c r="JFD243" s="15"/>
      <c r="JFE243" s="15"/>
      <c r="JFF243" s="15"/>
      <c r="JFG243" s="15"/>
      <c r="JFH243" s="15"/>
      <c r="JFI243" s="15"/>
      <c r="JFJ243" s="15"/>
      <c r="JFK243" s="15"/>
      <c r="JFL243" s="15"/>
      <c r="JFM243" s="15"/>
      <c r="JFN243" s="10"/>
      <c r="JFO243" s="10"/>
      <c r="JFP243" s="21"/>
      <c r="JFQ243" s="21"/>
      <c r="JFT243" s="21"/>
      <c r="JFU243" s="15"/>
      <c r="JFV243" s="15"/>
      <c r="JFW243" s="15"/>
      <c r="JFX243" s="15"/>
      <c r="JFY243" s="15"/>
      <c r="JFZ243" s="15"/>
      <c r="JGA243" s="15"/>
      <c r="JGB243" s="15"/>
      <c r="JGC243" s="15"/>
      <c r="JGD243" s="15"/>
      <c r="JGE243" s="10"/>
      <c r="JGF243" s="10"/>
      <c r="JGG243" s="21"/>
      <c r="JGH243" s="21"/>
      <c r="JGK243" s="21"/>
      <c r="JGL243" s="15"/>
      <c r="JGM243" s="15"/>
      <c r="JGN243" s="15"/>
      <c r="JGO243" s="15"/>
      <c r="JGP243" s="15"/>
      <c r="JGQ243" s="15"/>
      <c r="JGR243" s="15"/>
      <c r="JGS243" s="15"/>
      <c r="JGT243" s="15"/>
      <c r="JGU243" s="15"/>
      <c r="JGV243" s="10"/>
      <c r="JGW243" s="10"/>
      <c r="JGX243" s="21"/>
      <c r="JGY243" s="21"/>
      <c r="JHB243" s="21"/>
      <c r="JHC243" s="15"/>
      <c r="JHD243" s="15"/>
      <c r="JHE243" s="15"/>
      <c r="JHF243" s="15"/>
      <c r="JHG243" s="15"/>
      <c r="JHH243" s="15"/>
      <c r="JHI243" s="15"/>
      <c r="JHJ243" s="15"/>
      <c r="JHK243" s="15"/>
      <c r="JHL243" s="15"/>
      <c r="JHM243" s="10"/>
      <c r="JHN243" s="10"/>
      <c r="JHO243" s="21"/>
      <c r="JHP243" s="21"/>
      <c r="JHS243" s="21"/>
      <c r="JHT243" s="15"/>
      <c r="JHU243" s="15"/>
      <c r="JHV243" s="15"/>
      <c r="JHW243" s="15"/>
      <c r="JHX243" s="15"/>
      <c r="JHY243" s="15"/>
      <c r="JHZ243" s="15"/>
      <c r="JIA243" s="15"/>
      <c r="JIB243" s="15"/>
      <c r="JIC243" s="15"/>
      <c r="JID243" s="10"/>
      <c r="JIE243" s="10"/>
      <c r="JIF243" s="21"/>
      <c r="JIG243" s="21"/>
      <c r="JIJ243" s="21"/>
      <c r="JIK243" s="15"/>
      <c r="JIL243" s="15"/>
      <c r="JIM243" s="15"/>
      <c r="JIN243" s="15"/>
      <c r="JIO243" s="15"/>
      <c r="JIP243" s="15"/>
      <c r="JIQ243" s="15"/>
      <c r="JIR243" s="15"/>
      <c r="JIS243" s="15"/>
      <c r="JIT243" s="15"/>
      <c r="JIU243" s="10"/>
      <c r="JIV243" s="10"/>
      <c r="JIW243" s="21"/>
      <c r="JIX243" s="21"/>
      <c r="JJA243" s="21"/>
      <c r="JJB243" s="15"/>
      <c r="JJC243" s="15"/>
      <c r="JJD243" s="15"/>
      <c r="JJE243" s="15"/>
      <c r="JJF243" s="15"/>
      <c r="JJG243" s="15"/>
      <c r="JJH243" s="15"/>
      <c r="JJI243" s="15"/>
      <c r="JJJ243" s="15"/>
      <c r="JJK243" s="15"/>
      <c r="JJL243" s="10"/>
      <c r="JJM243" s="10"/>
      <c r="JJN243" s="21"/>
      <c r="JJO243" s="21"/>
      <c r="JJR243" s="21"/>
      <c r="JJS243" s="15"/>
      <c r="JJT243" s="15"/>
      <c r="JJU243" s="15"/>
      <c r="JJV243" s="15"/>
      <c r="JJW243" s="15"/>
      <c r="JJX243" s="15"/>
      <c r="JJY243" s="15"/>
      <c r="JJZ243" s="15"/>
      <c r="JKA243" s="15"/>
      <c r="JKB243" s="15"/>
      <c r="JKC243" s="10"/>
      <c r="JKD243" s="10"/>
      <c r="JKE243" s="21"/>
      <c r="JKF243" s="21"/>
      <c r="JKI243" s="21"/>
      <c r="JKJ243" s="15"/>
      <c r="JKK243" s="15"/>
      <c r="JKL243" s="15"/>
      <c r="JKM243" s="15"/>
      <c r="JKN243" s="15"/>
      <c r="JKO243" s="15"/>
      <c r="JKP243" s="15"/>
      <c r="JKQ243" s="15"/>
      <c r="JKR243" s="15"/>
      <c r="JKS243" s="15"/>
      <c r="JKT243" s="10"/>
      <c r="JKU243" s="10"/>
      <c r="JKV243" s="21"/>
      <c r="JKW243" s="21"/>
      <c r="JKZ243" s="21"/>
      <c r="JLA243" s="15"/>
      <c r="JLB243" s="15"/>
      <c r="JLC243" s="15"/>
      <c r="JLD243" s="15"/>
      <c r="JLE243" s="15"/>
      <c r="JLF243" s="15"/>
      <c r="JLG243" s="15"/>
      <c r="JLH243" s="15"/>
      <c r="JLI243" s="15"/>
      <c r="JLJ243" s="15"/>
      <c r="JLK243" s="10"/>
      <c r="JLL243" s="10"/>
      <c r="JLM243" s="21"/>
      <c r="JLN243" s="21"/>
      <c r="JLQ243" s="21"/>
      <c r="JLR243" s="15"/>
      <c r="JLS243" s="15"/>
      <c r="JLT243" s="15"/>
      <c r="JLU243" s="15"/>
      <c r="JLV243" s="15"/>
      <c r="JLW243" s="15"/>
      <c r="JLX243" s="15"/>
      <c r="JLY243" s="15"/>
      <c r="JLZ243" s="15"/>
      <c r="JMA243" s="15"/>
      <c r="JMB243" s="10"/>
      <c r="JMC243" s="10"/>
      <c r="JMD243" s="21"/>
      <c r="JME243" s="21"/>
      <c r="JMH243" s="21"/>
      <c r="JMI243" s="15"/>
      <c r="JMJ243" s="15"/>
      <c r="JMK243" s="15"/>
      <c r="JML243" s="15"/>
      <c r="JMM243" s="15"/>
      <c r="JMN243" s="15"/>
      <c r="JMO243" s="15"/>
      <c r="JMP243" s="15"/>
      <c r="JMQ243" s="15"/>
      <c r="JMR243" s="15"/>
      <c r="JMS243" s="10"/>
      <c r="JMT243" s="10"/>
      <c r="JMU243" s="21"/>
      <c r="JMV243" s="21"/>
      <c r="JMY243" s="21"/>
      <c r="JMZ243" s="15"/>
      <c r="JNA243" s="15"/>
      <c r="JNB243" s="15"/>
      <c r="JNC243" s="15"/>
      <c r="JND243" s="15"/>
      <c r="JNE243" s="15"/>
      <c r="JNF243" s="15"/>
      <c r="JNG243" s="15"/>
      <c r="JNH243" s="15"/>
      <c r="JNI243" s="15"/>
      <c r="JNJ243" s="10"/>
      <c r="JNK243" s="10"/>
      <c r="JNL243" s="21"/>
      <c r="JNM243" s="21"/>
      <c r="JNP243" s="21"/>
      <c r="JNQ243" s="15"/>
      <c r="JNR243" s="15"/>
      <c r="JNS243" s="15"/>
      <c r="JNT243" s="15"/>
      <c r="JNU243" s="15"/>
      <c r="JNV243" s="15"/>
      <c r="JNW243" s="15"/>
      <c r="JNX243" s="15"/>
      <c r="JNY243" s="15"/>
      <c r="JNZ243" s="15"/>
      <c r="JOA243" s="10"/>
      <c r="JOB243" s="10"/>
      <c r="JOC243" s="21"/>
      <c r="JOD243" s="21"/>
      <c r="JOG243" s="21"/>
      <c r="JOH243" s="15"/>
      <c r="JOI243" s="15"/>
      <c r="JOJ243" s="15"/>
      <c r="JOK243" s="15"/>
      <c r="JOL243" s="15"/>
      <c r="JOM243" s="15"/>
      <c r="JON243" s="15"/>
      <c r="JOO243" s="15"/>
      <c r="JOP243" s="15"/>
      <c r="JOQ243" s="15"/>
      <c r="JOR243" s="10"/>
      <c r="JOS243" s="10"/>
      <c r="JOT243" s="21"/>
      <c r="JOU243" s="21"/>
      <c r="JOX243" s="21"/>
      <c r="JOY243" s="15"/>
      <c r="JOZ243" s="15"/>
      <c r="JPA243" s="15"/>
      <c r="JPB243" s="15"/>
      <c r="JPC243" s="15"/>
      <c r="JPD243" s="15"/>
      <c r="JPE243" s="15"/>
      <c r="JPF243" s="15"/>
      <c r="JPG243" s="15"/>
      <c r="JPH243" s="15"/>
      <c r="JPI243" s="10"/>
      <c r="JPJ243" s="10"/>
      <c r="JPK243" s="21"/>
      <c r="JPL243" s="21"/>
      <c r="JPO243" s="21"/>
      <c r="JPP243" s="15"/>
      <c r="JPQ243" s="15"/>
      <c r="JPR243" s="15"/>
      <c r="JPS243" s="15"/>
      <c r="JPT243" s="15"/>
      <c r="JPU243" s="15"/>
      <c r="JPV243" s="15"/>
      <c r="JPW243" s="15"/>
      <c r="JPX243" s="15"/>
      <c r="JPY243" s="15"/>
      <c r="JPZ243" s="10"/>
      <c r="JQA243" s="10"/>
      <c r="JQB243" s="21"/>
      <c r="JQC243" s="21"/>
      <c r="JQF243" s="21"/>
      <c r="JQG243" s="15"/>
      <c r="JQH243" s="15"/>
      <c r="JQI243" s="15"/>
      <c r="JQJ243" s="15"/>
      <c r="JQK243" s="15"/>
      <c r="JQL243" s="15"/>
      <c r="JQM243" s="15"/>
      <c r="JQN243" s="15"/>
      <c r="JQO243" s="15"/>
      <c r="JQP243" s="15"/>
      <c r="JQQ243" s="10"/>
      <c r="JQR243" s="10"/>
      <c r="JQS243" s="21"/>
      <c r="JQT243" s="21"/>
      <c r="JQW243" s="21"/>
      <c r="JQX243" s="15"/>
      <c r="JQY243" s="15"/>
      <c r="JQZ243" s="15"/>
      <c r="JRA243" s="15"/>
      <c r="JRB243" s="15"/>
      <c r="JRC243" s="15"/>
      <c r="JRD243" s="15"/>
      <c r="JRE243" s="15"/>
      <c r="JRF243" s="15"/>
      <c r="JRG243" s="15"/>
      <c r="JRH243" s="10"/>
      <c r="JRI243" s="10"/>
      <c r="JRJ243" s="21"/>
      <c r="JRK243" s="21"/>
      <c r="JRN243" s="21"/>
      <c r="JRO243" s="15"/>
      <c r="JRP243" s="15"/>
      <c r="JRQ243" s="15"/>
      <c r="JRR243" s="15"/>
      <c r="JRS243" s="15"/>
      <c r="JRT243" s="15"/>
      <c r="JRU243" s="15"/>
      <c r="JRV243" s="15"/>
      <c r="JRW243" s="15"/>
      <c r="JRX243" s="15"/>
      <c r="JRY243" s="10"/>
      <c r="JRZ243" s="10"/>
      <c r="JSA243" s="21"/>
      <c r="JSB243" s="21"/>
      <c r="JSE243" s="21"/>
      <c r="JSF243" s="15"/>
      <c r="JSG243" s="15"/>
      <c r="JSH243" s="15"/>
      <c r="JSI243" s="15"/>
      <c r="JSJ243" s="15"/>
      <c r="JSK243" s="15"/>
      <c r="JSL243" s="15"/>
      <c r="JSM243" s="15"/>
      <c r="JSN243" s="15"/>
      <c r="JSO243" s="15"/>
      <c r="JSP243" s="10"/>
      <c r="JSQ243" s="10"/>
      <c r="JSR243" s="21"/>
      <c r="JSS243" s="21"/>
      <c r="JSV243" s="21"/>
      <c r="JSW243" s="15"/>
      <c r="JSX243" s="15"/>
      <c r="JSY243" s="15"/>
      <c r="JSZ243" s="15"/>
      <c r="JTA243" s="15"/>
      <c r="JTB243" s="15"/>
      <c r="JTC243" s="15"/>
      <c r="JTD243" s="15"/>
      <c r="JTE243" s="15"/>
      <c r="JTF243" s="15"/>
      <c r="JTG243" s="10"/>
      <c r="JTH243" s="10"/>
      <c r="JTI243" s="21"/>
      <c r="JTJ243" s="21"/>
      <c r="JTM243" s="21"/>
      <c r="JTN243" s="15"/>
      <c r="JTO243" s="15"/>
      <c r="JTP243" s="15"/>
      <c r="JTQ243" s="15"/>
      <c r="JTR243" s="15"/>
      <c r="JTS243" s="15"/>
      <c r="JTT243" s="15"/>
      <c r="JTU243" s="15"/>
      <c r="JTV243" s="15"/>
      <c r="JTW243" s="15"/>
      <c r="JTX243" s="10"/>
      <c r="JTY243" s="10"/>
      <c r="JTZ243" s="21"/>
      <c r="JUA243" s="21"/>
      <c r="JUD243" s="21"/>
      <c r="JUE243" s="15"/>
      <c r="JUF243" s="15"/>
      <c r="JUG243" s="15"/>
      <c r="JUH243" s="15"/>
      <c r="JUI243" s="15"/>
      <c r="JUJ243" s="15"/>
      <c r="JUK243" s="15"/>
      <c r="JUL243" s="15"/>
      <c r="JUM243" s="15"/>
      <c r="JUN243" s="15"/>
      <c r="JUO243" s="10"/>
      <c r="JUP243" s="10"/>
      <c r="JUQ243" s="21"/>
      <c r="JUR243" s="21"/>
      <c r="JUU243" s="21"/>
      <c r="JUV243" s="15"/>
      <c r="JUW243" s="15"/>
      <c r="JUX243" s="15"/>
      <c r="JUY243" s="15"/>
      <c r="JUZ243" s="15"/>
      <c r="JVA243" s="15"/>
      <c r="JVB243" s="15"/>
      <c r="JVC243" s="15"/>
      <c r="JVD243" s="15"/>
      <c r="JVE243" s="15"/>
      <c r="JVF243" s="10"/>
      <c r="JVG243" s="10"/>
      <c r="JVH243" s="21"/>
      <c r="JVI243" s="21"/>
      <c r="JVL243" s="21"/>
      <c r="JVM243" s="15"/>
      <c r="JVN243" s="15"/>
      <c r="JVO243" s="15"/>
      <c r="JVP243" s="15"/>
      <c r="JVQ243" s="15"/>
      <c r="JVR243" s="15"/>
      <c r="JVS243" s="15"/>
      <c r="JVT243" s="15"/>
      <c r="JVU243" s="15"/>
      <c r="JVV243" s="15"/>
      <c r="JVW243" s="10"/>
      <c r="JVX243" s="10"/>
      <c r="JVY243" s="21"/>
      <c r="JVZ243" s="21"/>
      <c r="JWC243" s="21"/>
      <c r="JWD243" s="15"/>
      <c r="JWE243" s="15"/>
      <c r="JWF243" s="15"/>
      <c r="JWG243" s="15"/>
      <c r="JWH243" s="15"/>
      <c r="JWI243" s="15"/>
      <c r="JWJ243" s="15"/>
      <c r="JWK243" s="15"/>
      <c r="JWL243" s="15"/>
      <c r="JWM243" s="15"/>
      <c r="JWN243" s="10"/>
      <c r="JWO243" s="10"/>
      <c r="JWP243" s="21"/>
      <c r="JWQ243" s="21"/>
      <c r="JWT243" s="21"/>
      <c r="JWU243" s="15"/>
      <c r="JWV243" s="15"/>
      <c r="JWW243" s="15"/>
      <c r="JWX243" s="15"/>
      <c r="JWY243" s="15"/>
      <c r="JWZ243" s="15"/>
      <c r="JXA243" s="15"/>
      <c r="JXB243" s="15"/>
      <c r="JXC243" s="15"/>
      <c r="JXD243" s="15"/>
      <c r="JXE243" s="10"/>
      <c r="JXF243" s="10"/>
      <c r="JXG243" s="21"/>
      <c r="JXH243" s="21"/>
      <c r="JXK243" s="21"/>
      <c r="JXL243" s="15"/>
      <c r="JXM243" s="15"/>
      <c r="JXN243" s="15"/>
      <c r="JXO243" s="15"/>
      <c r="JXP243" s="15"/>
      <c r="JXQ243" s="15"/>
      <c r="JXR243" s="15"/>
      <c r="JXS243" s="15"/>
      <c r="JXT243" s="15"/>
      <c r="JXU243" s="15"/>
      <c r="JXV243" s="10"/>
      <c r="JXW243" s="10"/>
      <c r="JXX243" s="21"/>
      <c r="JXY243" s="21"/>
      <c r="JYB243" s="21"/>
      <c r="JYC243" s="15"/>
      <c r="JYD243" s="15"/>
      <c r="JYE243" s="15"/>
      <c r="JYF243" s="15"/>
      <c r="JYG243" s="15"/>
      <c r="JYH243" s="15"/>
      <c r="JYI243" s="15"/>
      <c r="JYJ243" s="15"/>
      <c r="JYK243" s="15"/>
      <c r="JYL243" s="15"/>
      <c r="JYM243" s="10"/>
      <c r="JYN243" s="10"/>
      <c r="JYO243" s="21"/>
      <c r="JYP243" s="21"/>
      <c r="JYS243" s="21"/>
      <c r="JYT243" s="15"/>
      <c r="JYU243" s="15"/>
      <c r="JYV243" s="15"/>
      <c r="JYW243" s="15"/>
      <c r="JYX243" s="15"/>
      <c r="JYY243" s="15"/>
      <c r="JYZ243" s="15"/>
      <c r="JZA243" s="15"/>
      <c r="JZB243" s="15"/>
      <c r="JZC243" s="15"/>
      <c r="JZD243" s="10"/>
      <c r="JZE243" s="10"/>
      <c r="JZF243" s="21"/>
      <c r="JZG243" s="21"/>
      <c r="JZJ243" s="21"/>
      <c r="JZK243" s="15"/>
      <c r="JZL243" s="15"/>
      <c r="JZM243" s="15"/>
      <c r="JZN243" s="15"/>
      <c r="JZO243" s="15"/>
      <c r="JZP243" s="15"/>
      <c r="JZQ243" s="15"/>
      <c r="JZR243" s="15"/>
      <c r="JZS243" s="15"/>
      <c r="JZT243" s="15"/>
      <c r="JZU243" s="10"/>
      <c r="JZV243" s="10"/>
      <c r="JZW243" s="21"/>
      <c r="JZX243" s="21"/>
      <c r="KAA243" s="21"/>
      <c r="KAB243" s="15"/>
      <c r="KAC243" s="15"/>
      <c r="KAD243" s="15"/>
      <c r="KAE243" s="15"/>
      <c r="KAF243" s="15"/>
      <c r="KAG243" s="15"/>
      <c r="KAH243" s="15"/>
      <c r="KAI243" s="15"/>
      <c r="KAJ243" s="15"/>
      <c r="KAK243" s="15"/>
      <c r="KAL243" s="10"/>
      <c r="KAM243" s="10"/>
      <c r="KAN243" s="21"/>
      <c r="KAO243" s="21"/>
      <c r="KAR243" s="21"/>
      <c r="KAS243" s="15"/>
      <c r="KAT243" s="15"/>
      <c r="KAU243" s="15"/>
      <c r="KAV243" s="15"/>
      <c r="KAW243" s="15"/>
      <c r="KAX243" s="15"/>
      <c r="KAY243" s="15"/>
      <c r="KAZ243" s="15"/>
      <c r="KBA243" s="15"/>
      <c r="KBB243" s="15"/>
      <c r="KBC243" s="10"/>
      <c r="KBD243" s="10"/>
      <c r="KBE243" s="21"/>
      <c r="KBF243" s="21"/>
      <c r="KBI243" s="21"/>
      <c r="KBJ243" s="15"/>
      <c r="KBK243" s="15"/>
      <c r="KBL243" s="15"/>
      <c r="KBM243" s="15"/>
      <c r="KBN243" s="15"/>
      <c r="KBO243" s="15"/>
      <c r="KBP243" s="15"/>
      <c r="KBQ243" s="15"/>
      <c r="KBR243" s="15"/>
      <c r="KBS243" s="15"/>
      <c r="KBT243" s="10"/>
      <c r="KBU243" s="10"/>
      <c r="KBV243" s="21"/>
      <c r="KBW243" s="21"/>
      <c r="KBZ243" s="21"/>
      <c r="KCA243" s="15"/>
      <c r="KCB243" s="15"/>
      <c r="KCC243" s="15"/>
      <c r="KCD243" s="15"/>
      <c r="KCE243" s="15"/>
      <c r="KCF243" s="15"/>
      <c r="KCG243" s="15"/>
      <c r="KCH243" s="15"/>
      <c r="KCI243" s="15"/>
      <c r="KCJ243" s="15"/>
      <c r="KCK243" s="10"/>
      <c r="KCL243" s="10"/>
      <c r="KCM243" s="21"/>
      <c r="KCN243" s="21"/>
      <c r="KCQ243" s="21"/>
      <c r="KCR243" s="15"/>
      <c r="KCS243" s="15"/>
      <c r="KCT243" s="15"/>
      <c r="KCU243" s="15"/>
      <c r="KCV243" s="15"/>
      <c r="KCW243" s="15"/>
      <c r="KCX243" s="15"/>
      <c r="KCY243" s="15"/>
      <c r="KCZ243" s="15"/>
      <c r="KDA243" s="15"/>
      <c r="KDB243" s="10"/>
      <c r="KDC243" s="10"/>
      <c r="KDD243" s="21"/>
      <c r="KDE243" s="21"/>
      <c r="KDH243" s="21"/>
      <c r="KDI243" s="15"/>
      <c r="KDJ243" s="15"/>
      <c r="KDK243" s="15"/>
      <c r="KDL243" s="15"/>
      <c r="KDM243" s="15"/>
      <c r="KDN243" s="15"/>
      <c r="KDO243" s="15"/>
      <c r="KDP243" s="15"/>
      <c r="KDQ243" s="15"/>
      <c r="KDR243" s="15"/>
      <c r="KDS243" s="10"/>
      <c r="KDT243" s="10"/>
      <c r="KDU243" s="21"/>
      <c r="KDV243" s="21"/>
      <c r="KDY243" s="21"/>
      <c r="KDZ243" s="15"/>
      <c r="KEA243" s="15"/>
      <c r="KEB243" s="15"/>
      <c r="KEC243" s="15"/>
      <c r="KED243" s="15"/>
      <c r="KEE243" s="15"/>
      <c r="KEF243" s="15"/>
      <c r="KEG243" s="15"/>
      <c r="KEH243" s="15"/>
      <c r="KEI243" s="15"/>
      <c r="KEJ243" s="10"/>
      <c r="KEK243" s="10"/>
      <c r="KEL243" s="21"/>
      <c r="KEM243" s="21"/>
      <c r="KEP243" s="21"/>
      <c r="KEQ243" s="15"/>
      <c r="KER243" s="15"/>
      <c r="KES243" s="15"/>
      <c r="KET243" s="15"/>
      <c r="KEU243" s="15"/>
      <c r="KEV243" s="15"/>
      <c r="KEW243" s="15"/>
      <c r="KEX243" s="15"/>
      <c r="KEY243" s="15"/>
      <c r="KEZ243" s="15"/>
      <c r="KFA243" s="10"/>
      <c r="KFB243" s="10"/>
      <c r="KFC243" s="21"/>
      <c r="KFD243" s="21"/>
      <c r="KFG243" s="21"/>
      <c r="KFH243" s="15"/>
      <c r="KFI243" s="15"/>
      <c r="KFJ243" s="15"/>
      <c r="KFK243" s="15"/>
      <c r="KFL243" s="15"/>
      <c r="KFM243" s="15"/>
      <c r="KFN243" s="15"/>
      <c r="KFO243" s="15"/>
      <c r="KFP243" s="15"/>
      <c r="KFQ243" s="15"/>
      <c r="KFR243" s="10"/>
      <c r="KFS243" s="10"/>
      <c r="KFT243" s="21"/>
      <c r="KFU243" s="21"/>
      <c r="KFX243" s="21"/>
      <c r="KFY243" s="15"/>
      <c r="KFZ243" s="15"/>
      <c r="KGA243" s="15"/>
      <c r="KGB243" s="15"/>
      <c r="KGC243" s="15"/>
      <c r="KGD243" s="15"/>
      <c r="KGE243" s="15"/>
      <c r="KGF243" s="15"/>
      <c r="KGG243" s="15"/>
      <c r="KGH243" s="15"/>
      <c r="KGI243" s="10"/>
      <c r="KGJ243" s="10"/>
      <c r="KGK243" s="21"/>
      <c r="KGL243" s="21"/>
      <c r="KGO243" s="21"/>
      <c r="KGP243" s="15"/>
      <c r="KGQ243" s="15"/>
      <c r="KGR243" s="15"/>
      <c r="KGS243" s="15"/>
      <c r="KGT243" s="15"/>
      <c r="KGU243" s="15"/>
      <c r="KGV243" s="15"/>
      <c r="KGW243" s="15"/>
      <c r="KGX243" s="15"/>
      <c r="KGY243" s="15"/>
      <c r="KGZ243" s="10"/>
      <c r="KHA243" s="10"/>
      <c r="KHB243" s="21"/>
      <c r="KHC243" s="21"/>
      <c r="KHF243" s="21"/>
      <c r="KHG243" s="15"/>
      <c r="KHH243" s="15"/>
      <c r="KHI243" s="15"/>
      <c r="KHJ243" s="15"/>
      <c r="KHK243" s="15"/>
      <c r="KHL243" s="15"/>
      <c r="KHM243" s="15"/>
      <c r="KHN243" s="15"/>
      <c r="KHO243" s="15"/>
      <c r="KHP243" s="15"/>
      <c r="KHQ243" s="10"/>
      <c r="KHR243" s="10"/>
      <c r="KHS243" s="21"/>
      <c r="KHT243" s="21"/>
      <c r="KHW243" s="21"/>
      <c r="KHX243" s="15"/>
      <c r="KHY243" s="15"/>
      <c r="KHZ243" s="15"/>
      <c r="KIA243" s="15"/>
      <c r="KIB243" s="15"/>
      <c r="KIC243" s="15"/>
      <c r="KID243" s="15"/>
      <c r="KIE243" s="15"/>
      <c r="KIF243" s="15"/>
      <c r="KIG243" s="15"/>
      <c r="KIH243" s="10"/>
      <c r="KII243" s="10"/>
      <c r="KIJ243" s="21"/>
      <c r="KIK243" s="21"/>
      <c r="KIN243" s="21"/>
      <c r="KIO243" s="15"/>
      <c r="KIP243" s="15"/>
      <c r="KIQ243" s="15"/>
      <c r="KIR243" s="15"/>
      <c r="KIS243" s="15"/>
      <c r="KIT243" s="15"/>
      <c r="KIU243" s="15"/>
      <c r="KIV243" s="15"/>
      <c r="KIW243" s="15"/>
      <c r="KIX243" s="15"/>
      <c r="KIY243" s="10"/>
      <c r="KIZ243" s="10"/>
      <c r="KJA243" s="21"/>
      <c r="KJB243" s="21"/>
      <c r="KJE243" s="21"/>
      <c r="KJF243" s="15"/>
      <c r="KJG243" s="15"/>
      <c r="KJH243" s="15"/>
      <c r="KJI243" s="15"/>
      <c r="KJJ243" s="15"/>
      <c r="KJK243" s="15"/>
      <c r="KJL243" s="15"/>
      <c r="KJM243" s="15"/>
      <c r="KJN243" s="15"/>
      <c r="KJO243" s="15"/>
      <c r="KJP243" s="10"/>
      <c r="KJQ243" s="10"/>
      <c r="KJR243" s="21"/>
      <c r="KJS243" s="21"/>
      <c r="KJV243" s="21"/>
      <c r="KJW243" s="15"/>
      <c r="KJX243" s="15"/>
      <c r="KJY243" s="15"/>
      <c r="KJZ243" s="15"/>
      <c r="KKA243" s="15"/>
      <c r="KKB243" s="15"/>
      <c r="KKC243" s="15"/>
      <c r="KKD243" s="15"/>
      <c r="KKE243" s="15"/>
      <c r="KKF243" s="15"/>
      <c r="KKG243" s="10"/>
      <c r="KKH243" s="10"/>
      <c r="KKI243" s="21"/>
      <c r="KKJ243" s="21"/>
      <c r="KKM243" s="21"/>
      <c r="KKN243" s="15"/>
      <c r="KKO243" s="15"/>
      <c r="KKP243" s="15"/>
      <c r="KKQ243" s="15"/>
      <c r="KKR243" s="15"/>
      <c r="KKS243" s="15"/>
      <c r="KKT243" s="15"/>
      <c r="KKU243" s="15"/>
      <c r="KKV243" s="15"/>
      <c r="KKW243" s="15"/>
      <c r="KKX243" s="10"/>
      <c r="KKY243" s="10"/>
      <c r="KKZ243" s="21"/>
      <c r="KLA243" s="21"/>
      <c r="KLD243" s="21"/>
      <c r="KLE243" s="15"/>
      <c r="KLF243" s="15"/>
      <c r="KLG243" s="15"/>
      <c r="KLH243" s="15"/>
      <c r="KLI243" s="15"/>
      <c r="KLJ243" s="15"/>
      <c r="KLK243" s="15"/>
      <c r="KLL243" s="15"/>
      <c r="KLM243" s="15"/>
      <c r="KLN243" s="15"/>
      <c r="KLO243" s="10"/>
      <c r="KLP243" s="10"/>
      <c r="KLQ243" s="21"/>
      <c r="KLR243" s="21"/>
      <c r="KLU243" s="21"/>
      <c r="KLV243" s="15"/>
      <c r="KLW243" s="15"/>
      <c r="KLX243" s="15"/>
      <c r="KLY243" s="15"/>
      <c r="KLZ243" s="15"/>
      <c r="KMA243" s="15"/>
      <c r="KMB243" s="15"/>
      <c r="KMC243" s="15"/>
      <c r="KMD243" s="15"/>
      <c r="KME243" s="15"/>
      <c r="KMF243" s="10"/>
      <c r="KMG243" s="10"/>
      <c r="KMH243" s="21"/>
      <c r="KMI243" s="21"/>
      <c r="KML243" s="21"/>
      <c r="KMM243" s="15"/>
      <c r="KMN243" s="15"/>
      <c r="KMO243" s="15"/>
      <c r="KMP243" s="15"/>
      <c r="KMQ243" s="15"/>
      <c r="KMR243" s="15"/>
      <c r="KMS243" s="15"/>
      <c r="KMT243" s="15"/>
      <c r="KMU243" s="15"/>
      <c r="KMV243" s="15"/>
      <c r="KMW243" s="10"/>
      <c r="KMX243" s="10"/>
      <c r="KMY243" s="21"/>
      <c r="KMZ243" s="21"/>
      <c r="KNC243" s="21"/>
      <c r="KND243" s="15"/>
      <c r="KNE243" s="15"/>
      <c r="KNF243" s="15"/>
      <c r="KNG243" s="15"/>
      <c r="KNH243" s="15"/>
      <c r="KNI243" s="15"/>
      <c r="KNJ243" s="15"/>
      <c r="KNK243" s="15"/>
      <c r="KNL243" s="15"/>
      <c r="KNM243" s="15"/>
      <c r="KNN243" s="10"/>
      <c r="KNO243" s="10"/>
      <c r="KNP243" s="21"/>
      <c r="KNQ243" s="21"/>
      <c r="KNT243" s="21"/>
      <c r="KNU243" s="15"/>
      <c r="KNV243" s="15"/>
      <c r="KNW243" s="15"/>
      <c r="KNX243" s="15"/>
      <c r="KNY243" s="15"/>
      <c r="KNZ243" s="15"/>
      <c r="KOA243" s="15"/>
      <c r="KOB243" s="15"/>
      <c r="KOC243" s="15"/>
      <c r="KOD243" s="15"/>
      <c r="KOE243" s="10"/>
      <c r="KOF243" s="10"/>
      <c r="KOG243" s="21"/>
      <c r="KOH243" s="21"/>
      <c r="KOK243" s="21"/>
      <c r="KOL243" s="15"/>
      <c r="KOM243" s="15"/>
      <c r="KON243" s="15"/>
      <c r="KOO243" s="15"/>
      <c r="KOP243" s="15"/>
      <c r="KOQ243" s="15"/>
      <c r="KOR243" s="15"/>
      <c r="KOS243" s="15"/>
      <c r="KOT243" s="15"/>
      <c r="KOU243" s="15"/>
      <c r="KOV243" s="10"/>
      <c r="KOW243" s="10"/>
      <c r="KOX243" s="21"/>
      <c r="KOY243" s="21"/>
      <c r="KPB243" s="21"/>
      <c r="KPC243" s="15"/>
      <c r="KPD243" s="15"/>
      <c r="KPE243" s="15"/>
      <c r="KPF243" s="15"/>
      <c r="KPG243" s="15"/>
      <c r="KPH243" s="15"/>
      <c r="KPI243" s="15"/>
      <c r="KPJ243" s="15"/>
      <c r="KPK243" s="15"/>
      <c r="KPL243" s="15"/>
      <c r="KPM243" s="10"/>
      <c r="KPN243" s="10"/>
      <c r="KPO243" s="21"/>
      <c r="KPP243" s="21"/>
      <c r="KPS243" s="21"/>
      <c r="KPT243" s="15"/>
      <c r="KPU243" s="15"/>
      <c r="KPV243" s="15"/>
      <c r="KPW243" s="15"/>
      <c r="KPX243" s="15"/>
      <c r="KPY243" s="15"/>
      <c r="KPZ243" s="15"/>
      <c r="KQA243" s="15"/>
      <c r="KQB243" s="15"/>
      <c r="KQC243" s="15"/>
      <c r="KQD243" s="10"/>
      <c r="KQE243" s="10"/>
      <c r="KQF243" s="21"/>
      <c r="KQG243" s="21"/>
      <c r="KQJ243" s="21"/>
      <c r="KQK243" s="15"/>
      <c r="KQL243" s="15"/>
      <c r="KQM243" s="15"/>
      <c r="KQN243" s="15"/>
      <c r="KQO243" s="15"/>
      <c r="KQP243" s="15"/>
      <c r="KQQ243" s="15"/>
      <c r="KQR243" s="15"/>
      <c r="KQS243" s="15"/>
      <c r="KQT243" s="15"/>
      <c r="KQU243" s="10"/>
      <c r="KQV243" s="10"/>
      <c r="KQW243" s="21"/>
      <c r="KQX243" s="21"/>
      <c r="KRA243" s="21"/>
      <c r="KRB243" s="15"/>
      <c r="KRC243" s="15"/>
      <c r="KRD243" s="15"/>
      <c r="KRE243" s="15"/>
      <c r="KRF243" s="15"/>
      <c r="KRG243" s="15"/>
      <c r="KRH243" s="15"/>
      <c r="KRI243" s="15"/>
      <c r="KRJ243" s="15"/>
      <c r="KRK243" s="15"/>
      <c r="KRL243" s="10"/>
      <c r="KRM243" s="10"/>
      <c r="KRN243" s="21"/>
      <c r="KRO243" s="21"/>
      <c r="KRR243" s="21"/>
      <c r="KRS243" s="15"/>
      <c r="KRT243" s="15"/>
      <c r="KRU243" s="15"/>
      <c r="KRV243" s="15"/>
      <c r="KRW243" s="15"/>
      <c r="KRX243" s="15"/>
      <c r="KRY243" s="15"/>
      <c r="KRZ243" s="15"/>
      <c r="KSA243" s="15"/>
      <c r="KSB243" s="15"/>
      <c r="KSC243" s="10"/>
      <c r="KSD243" s="10"/>
      <c r="KSE243" s="21"/>
      <c r="KSF243" s="21"/>
      <c r="KSI243" s="21"/>
      <c r="KSJ243" s="15"/>
      <c r="KSK243" s="15"/>
      <c r="KSL243" s="15"/>
      <c r="KSM243" s="15"/>
      <c r="KSN243" s="15"/>
      <c r="KSO243" s="15"/>
      <c r="KSP243" s="15"/>
      <c r="KSQ243" s="15"/>
      <c r="KSR243" s="15"/>
      <c r="KSS243" s="15"/>
      <c r="KST243" s="10"/>
      <c r="KSU243" s="10"/>
      <c r="KSV243" s="21"/>
      <c r="KSW243" s="21"/>
      <c r="KSZ243" s="21"/>
      <c r="KTA243" s="15"/>
      <c r="KTB243" s="15"/>
      <c r="KTC243" s="15"/>
      <c r="KTD243" s="15"/>
      <c r="KTE243" s="15"/>
      <c r="KTF243" s="15"/>
      <c r="KTG243" s="15"/>
      <c r="KTH243" s="15"/>
      <c r="KTI243" s="15"/>
      <c r="KTJ243" s="15"/>
      <c r="KTK243" s="10"/>
      <c r="KTL243" s="10"/>
      <c r="KTM243" s="21"/>
      <c r="KTN243" s="21"/>
      <c r="KTQ243" s="21"/>
      <c r="KTR243" s="15"/>
      <c r="KTS243" s="15"/>
      <c r="KTT243" s="15"/>
      <c r="KTU243" s="15"/>
      <c r="KTV243" s="15"/>
      <c r="KTW243" s="15"/>
      <c r="KTX243" s="15"/>
      <c r="KTY243" s="15"/>
      <c r="KTZ243" s="15"/>
      <c r="KUA243" s="15"/>
      <c r="KUB243" s="10"/>
      <c r="KUC243" s="10"/>
      <c r="KUD243" s="21"/>
      <c r="KUE243" s="21"/>
      <c r="KUH243" s="21"/>
      <c r="KUI243" s="15"/>
      <c r="KUJ243" s="15"/>
      <c r="KUK243" s="15"/>
      <c r="KUL243" s="15"/>
      <c r="KUM243" s="15"/>
      <c r="KUN243" s="15"/>
      <c r="KUO243" s="15"/>
      <c r="KUP243" s="15"/>
      <c r="KUQ243" s="15"/>
      <c r="KUR243" s="15"/>
      <c r="KUS243" s="10"/>
      <c r="KUT243" s="10"/>
      <c r="KUU243" s="21"/>
      <c r="KUV243" s="21"/>
      <c r="KUY243" s="21"/>
      <c r="KUZ243" s="15"/>
      <c r="KVA243" s="15"/>
      <c r="KVB243" s="15"/>
      <c r="KVC243" s="15"/>
      <c r="KVD243" s="15"/>
      <c r="KVE243" s="15"/>
      <c r="KVF243" s="15"/>
      <c r="KVG243" s="15"/>
      <c r="KVH243" s="15"/>
      <c r="KVI243" s="15"/>
      <c r="KVJ243" s="10"/>
      <c r="KVK243" s="10"/>
      <c r="KVL243" s="21"/>
      <c r="KVM243" s="21"/>
      <c r="KVP243" s="21"/>
      <c r="KVQ243" s="15"/>
      <c r="KVR243" s="15"/>
      <c r="KVS243" s="15"/>
      <c r="KVT243" s="15"/>
      <c r="KVU243" s="15"/>
      <c r="KVV243" s="15"/>
      <c r="KVW243" s="15"/>
      <c r="KVX243" s="15"/>
      <c r="KVY243" s="15"/>
      <c r="KVZ243" s="15"/>
      <c r="KWA243" s="10"/>
      <c r="KWB243" s="10"/>
      <c r="KWC243" s="21"/>
      <c r="KWD243" s="21"/>
      <c r="KWG243" s="21"/>
      <c r="KWH243" s="15"/>
      <c r="KWI243" s="15"/>
      <c r="KWJ243" s="15"/>
      <c r="KWK243" s="15"/>
      <c r="KWL243" s="15"/>
      <c r="KWM243" s="15"/>
      <c r="KWN243" s="15"/>
      <c r="KWO243" s="15"/>
      <c r="KWP243" s="15"/>
      <c r="KWQ243" s="15"/>
      <c r="KWR243" s="10"/>
      <c r="KWS243" s="10"/>
      <c r="KWT243" s="21"/>
      <c r="KWU243" s="21"/>
      <c r="KWX243" s="21"/>
      <c r="KWY243" s="15"/>
      <c r="KWZ243" s="15"/>
      <c r="KXA243" s="15"/>
      <c r="KXB243" s="15"/>
      <c r="KXC243" s="15"/>
      <c r="KXD243" s="15"/>
      <c r="KXE243" s="15"/>
      <c r="KXF243" s="15"/>
      <c r="KXG243" s="15"/>
      <c r="KXH243" s="15"/>
      <c r="KXI243" s="10"/>
      <c r="KXJ243" s="10"/>
      <c r="KXK243" s="21"/>
      <c r="KXL243" s="21"/>
      <c r="KXO243" s="21"/>
      <c r="KXP243" s="15"/>
      <c r="KXQ243" s="15"/>
      <c r="KXR243" s="15"/>
      <c r="KXS243" s="15"/>
      <c r="KXT243" s="15"/>
      <c r="KXU243" s="15"/>
      <c r="KXV243" s="15"/>
      <c r="KXW243" s="15"/>
      <c r="KXX243" s="15"/>
      <c r="KXY243" s="15"/>
      <c r="KXZ243" s="10"/>
      <c r="KYA243" s="10"/>
      <c r="KYB243" s="21"/>
      <c r="KYC243" s="21"/>
      <c r="KYF243" s="21"/>
      <c r="KYG243" s="15"/>
      <c r="KYH243" s="15"/>
      <c r="KYI243" s="15"/>
      <c r="KYJ243" s="15"/>
      <c r="KYK243" s="15"/>
      <c r="KYL243" s="15"/>
      <c r="KYM243" s="15"/>
      <c r="KYN243" s="15"/>
      <c r="KYO243" s="15"/>
      <c r="KYP243" s="15"/>
      <c r="KYQ243" s="10"/>
      <c r="KYR243" s="10"/>
      <c r="KYS243" s="21"/>
      <c r="KYT243" s="21"/>
      <c r="KYW243" s="21"/>
      <c r="KYX243" s="15"/>
      <c r="KYY243" s="15"/>
      <c r="KYZ243" s="15"/>
      <c r="KZA243" s="15"/>
      <c r="KZB243" s="15"/>
      <c r="KZC243" s="15"/>
      <c r="KZD243" s="15"/>
      <c r="KZE243" s="15"/>
      <c r="KZF243" s="15"/>
      <c r="KZG243" s="15"/>
      <c r="KZH243" s="10"/>
      <c r="KZI243" s="10"/>
      <c r="KZJ243" s="21"/>
      <c r="KZK243" s="21"/>
      <c r="KZN243" s="21"/>
      <c r="KZO243" s="15"/>
      <c r="KZP243" s="15"/>
      <c r="KZQ243" s="15"/>
      <c r="KZR243" s="15"/>
      <c r="KZS243" s="15"/>
      <c r="KZT243" s="15"/>
      <c r="KZU243" s="15"/>
      <c r="KZV243" s="15"/>
      <c r="KZW243" s="15"/>
      <c r="KZX243" s="15"/>
      <c r="KZY243" s="10"/>
      <c r="KZZ243" s="10"/>
      <c r="LAA243" s="21"/>
      <c r="LAB243" s="21"/>
      <c r="LAE243" s="21"/>
      <c r="LAF243" s="15"/>
      <c r="LAG243" s="15"/>
      <c r="LAH243" s="15"/>
      <c r="LAI243" s="15"/>
      <c r="LAJ243" s="15"/>
      <c r="LAK243" s="15"/>
      <c r="LAL243" s="15"/>
      <c r="LAM243" s="15"/>
      <c r="LAN243" s="15"/>
      <c r="LAO243" s="15"/>
      <c r="LAP243" s="10"/>
      <c r="LAQ243" s="10"/>
      <c r="LAR243" s="21"/>
      <c r="LAS243" s="21"/>
      <c r="LAV243" s="21"/>
      <c r="LAW243" s="15"/>
      <c r="LAX243" s="15"/>
      <c r="LAY243" s="15"/>
      <c r="LAZ243" s="15"/>
      <c r="LBA243" s="15"/>
      <c r="LBB243" s="15"/>
      <c r="LBC243" s="15"/>
      <c r="LBD243" s="15"/>
      <c r="LBE243" s="15"/>
      <c r="LBF243" s="15"/>
      <c r="LBG243" s="10"/>
      <c r="LBH243" s="10"/>
      <c r="LBI243" s="21"/>
      <c r="LBJ243" s="21"/>
      <c r="LBM243" s="21"/>
      <c r="LBN243" s="15"/>
      <c r="LBO243" s="15"/>
      <c r="LBP243" s="15"/>
      <c r="LBQ243" s="15"/>
      <c r="LBR243" s="15"/>
      <c r="LBS243" s="15"/>
      <c r="LBT243" s="15"/>
      <c r="LBU243" s="15"/>
      <c r="LBV243" s="15"/>
      <c r="LBW243" s="15"/>
      <c r="LBX243" s="10"/>
      <c r="LBY243" s="10"/>
      <c r="LBZ243" s="21"/>
      <c r="LCA243" s="21"/>
      <c r="LCD243" s="21"/>
      <c r="LCE243" s="15"/>
      <c r="LCF243" s="15"/>
      <c r="LCG243" s="15"/>
      <c r="LCH243" s="15"/>
      <c r="LCI243" s="15"/>
      <c r="LCJ243" s="15"/>
      <c r="LCK243" s="15"/>
      <c r="LCL243" s="15"/>
      <c r="LCM243" s="15"/>
      <c r="LCN243" s="15"/>
      <c r="LCO243" s="10"/>
      <c r="LCP243" s="10"/>
      <c r="LCQ243" s="21"/>
      <c r="LCR243" s="21"/>
      <c r="LCU243" s="21"/>
      <c r="LCV243" s="15"/>
      <c r="LCW243" s="15"/>
      <c r="LCX243" s="15"/>
      <c r="LCY243" s="15"/>
      <c r="LCZ243" s="15"/>
      <c r="LDA243" s="15"/>
      <c r="LDB243" s="15"/>
      <c r="LDC243" s="15"/>
      <c r="LDD243" s="15"/>
      <c r="LDE243" s="15"/>
      <c r="LDF243" s="10"/>
      <c r="LDG243" s="10"/>
      <c r="LDH243" s="21"/>
      <c r="LDI243" s="21"/>
      <c r="LDL243" s="21"/>
      <c r="LDM243" s="15"/>
      <c r="LDN243" s="15"/>
      <c r="LDO243" s="15"/>
      <c r="LDP243" s="15"/>
      <c r="LDQ243" s="15"/>
      <c r="LDR243" s="15"/>
      <c r="LDS243" s="15"/>
      <c r="LDT243" s="15"/>
      <c r="LDU243" s="15"/>
      <c r="LDV243" s="15"/>
      <c r="LDW243" s="10"/>
      <c r="LDX243" s="10"/>
      <c r="LDY243" s="21"/>
      <c r="LDZ243" s="21"/>
      <c r="LEC243" s="21"/>
      <c r="LED243" s="15"/>
      <c r="LEE243" s="15"/>
      <c r="LEF243" s="15"/>
      <c r="LEG243" s="15"/>
      <c r="LEH243" s="15"/>
      <c r="LEI243" s="15"/>
      <c r="LEJ243" s="15"/>
      <c r="LEK243" s="15"/>
      <c r="LEL243" s="15"/>
      <c r="LEM243" s="15"/>
      <c r="LEN243" s="10"/>
      <c r="LEO243" s="10"/>
      <c r="LEP243" s="21"/>
      <c r="LEQ243" s="21"/>
      <c r="LET243" s="21"/>
      <c r="LEU243" s="15"/>
      <c r="LEV243" s="15"/>
      <c r="LEW243" s="15"/>
      <c r="LEX243" s="15"/>
      <c r="LEY243" s="15"/>
      <c r="LEZ243" s="15"/>
      <c r="LFA243" s="15"/>
      <c r="LFB243" s="15"/>
      <c r="LFC243" s="15"/>
      <c r="LFD243" s="15"/>
      <c r="LFE243" s="10"/>
      <c r="LFF243" s="10"/>
      <c r="LFG243" s="21"/>
      <c r="LFH243" s="21"/>
      <c r="LFK243" s="21"/>
      <c r="LFL243" s="15"/>
      <c r="LFM243" s="15"/>
      <c r="LFN243" s="15"/>
      <c r="LFO243" s="15"/>
      <c r="LFP243" s="15"/>
      <c r="LFQ243" s="15"/>
      <c r="LFR243" s="15"/>
      <c r="LFS243" s="15"/>
      <c r="LFT243" s="15"/>
      <c r="LFU243" s="15"/>
      <c r="LFV243" s="10"/>
      <c r="LFW243" s="10"/>
      <c r="LFX243" s="21"/>
      <c r="LFY243" s="21"/>
      <c r="LGB243" s="21"/>
      <c r="LGC243" s="15"/>
      <c r="LGD243" s="15"/>
      <c r="LGE243" s="15"/>
      <c r="LGF243" s="15"/>
      <c r="LGG243" s="15"/>
      <c r="LGH243" s="15"/>
      <c r="LGI243" s="15"/>
      <c r="LGJ243" s="15"/>
      <c r="LGK243" s="15"/>
      <c r="LGL243" s="15"/>
      <c r="LGM243" s="10"/>
      <c r="LGN243" s="10"/>
      <c r="LGO243" s="21"/>
      <c r="LGP243" s="21"/>
      <c r="LGS243" s="21"/>
      <c r="LGT243" s="15"/>
      <c r="LGU243" s="15"/>
      <c r="LGV243" s="15"/>
      <c r="LGW243" s="15"/>
      <c r="LGX243" s="15"/>
      <c r="LGY243" s="15"/>
      <c r="LGZ243" s="15"/>
      <c r="LHA243" s="15"/>
      <c r="LHB243" s="15"/>
      <c r="LHC243" s="15"/>
      <c r="LHD243" s="10"/>
      <c r="LHE243" s="10"/>
      <c r="LHF243" s="21"/>
      <c r="LHG243" s="21"/>
      <c r="LHJ243" s="21"/>
      <c r="LHK243" s="15"/>
      <c r="LHL243" s="15"/>
      <c r="LHM243" s="15"/>
      <c r="LHN243" s="15"/>
      <c r="LHO243" s="15"/>
      <c r="LHP243" s="15"/>
      <c r="LHQ243" s="15"/>
      <c r="LHR243" s="15"/>
      <c r="LHS243" s="15"/>
      <c r="LHT243" s="15"/>
      <c r="LHU243" s="10"/>
      <c r="LHV243" s="10"/>
      <c r="LHW243" s="21"/>
      <c r="LHX243" s="21"/>
      <c r="LIA243" s="21"/>
      <c r="LIB243" s="15"/>
      <c r="LIC243" s="15"/>
      <c r="LID243" s="15"/>
      <c r="LIE243" s="15"/>
      <c r="LIF243" s="15"/>
      <c r="LIG243" s="15"/>
      <c r="LIH243" s="15"/>
      <c r="LII243" s="15"/>
      <c r="LIJ243" s="15"/>
      <c r="LIK243" s="15"/>
      <c r="LIL243" s="10"/>
      <c r="LIM243" s="10"/>
      <c r="LIN243" s="21"/>
      <c r="LIO243" s="21"/>
      <c r="LIR243" s="21"/>
      <c r="LIS243" s="15"/>
      <c r="LIT243" s="15"/>
      <c r="LIU243" s="15"/>
      <c r="LIV243" s="15"/>
      <c r="LIW243" s="15"/>
      <c r="LIX243" s="15"/>
      <c r="LIY243" s="15"/>
      <c r="LIZ243" s="15"/>
      <c r="LJA243" s="15"/>
      <c r="LJB243" s="15"/>
      <c r="LJC243" s="10"/>
      <c r="LJD243" s="10"/>
      <c r="LJE243" s="21"/>
      <c r="LJF243" s="21"/>
      <c r="LJI243" s="21"/>
      <c r="LJJ243" s="15"/>
      <c r="LJK243" s="15"/>
      <c r="LJL243" s="15"/>
      <c r="LJM243" s="15"/>
      <c r="LJN243" s="15"/>
      <c r="LJO243" s="15"/>
      <c r="LJP243" s="15"/>
      <c r="LJQ243" s="15"/>
      <c r="LJR243" s="15"/>
      <c r="LJS243" s="15"/>
      <c r="LJT243" s="10"/>
      <c r="LJU243" s="10"/>
      <c r="LJV243" s="21"/>
      <c r="LJW243" s="21"/>
      <c r="LJZ243" s="21"/>
      <c r="LKA243" s="15"/>
      <c r="LKB243" s="15"/>
      <c r="LKC243" s="15"/>
      <c r="LKD243" s="15"/>
      <c r="LKE243" s="15"/>
      <c r="LKF243" s="15"/>
      <c r="LKG243" s="15"/>
      <c r="LKH243" s="15"/>
      <c r="LKI243" s="15"/>
      <c r="LKJ243" s="15"/>
      <c r="LKK243" s="10"/>
      <c r="LKL243" s="10"/>
      <c r="LKM243" s="21"/>
      <c r="LKN243" s="21"/>
      <c r="LKQ243" s="21"/>
      <c r="LKR243" s="15"/>
      <c r="LKS243" s="15"/>
      <c r="LKT243" s="15"/>
      <c r="LKU243" s="15"/>
      <c r="LKV243" s="15"/>
      <c r="LKW243" s="15"/>
      <c r="LKX243" s="15"/>
      <c r="LKY243" s="15"/>
      <c r="LKZ243" s="15"/>
      <c r="LLA243" s="15"/>
      <c r="LLB243" s="10"/>
      <c r="LLC243" s="10"/>
      <c r="LLD243" s="21"/>
      <c r="LLE243" s="21"/>
      <c r="LLH243" s="21"/>
      <c r="LLI243" s="15"/>
      <c r="LLJ243" s="15"/>
      <c r="LLK243" s="15"/>
      <c r="LLL243" s="15"/>
      <c r="LLM243" s="15"/>
      <c r="LLN243" s="15"/>
      <c r="LLO243" s="15"/>
      <c r="LLP243" s="15"/>
      <c r="LLQ243" s="15"/>
      <c r="LLR243" s="15"/>
      <c r="LLS243" s="10"/>
      <c r="LLT243" s="10"/>
      <c r="LLU243" s="21"/>
      <c r="LLV243" s="21"/>
      <c r="LLY243" s="21"/>
      <c r="LLZ243" s="15"/>
      <c r="LMA243" s="15"/>
      <c r="LMB243" s="15"/>
      <c r="LMC243" s="15"/>
      <c r="LMD243" s="15"/>
      <c r="LME243" s="15"/>
      <c r="LMF243" s="15"/>
      <c r="LMG243" s="15"/>
      <c r="LMH243" s="15"/>
      <c r="LMI243" s="15"/>
      <c r="LMJ243" s="10"/>
      <c r="LMK243" s="10"/>
      <c r="LML243" s="21"/>
      <c r="LMM243" s="21"/>
      <c r="LMP243" s="21"/>
      <c r="LMQ243" s="15"/>
      <c r="LMR243" s="15"/>
      <c r="LMS243" s="15"/>
      <c r="LMT243" s="15"/>
      <c r="LMU243" s="15"/>
      <c r="LMV243" s="15"/>
      <c r="LMW243" s="15"/>
      <c r="LMX243" s="15"/>
      <c r="LMY243" s="15"/>
      <c r="LMZ243" s="15"/>
      <c r="LNA243" s="10"/>
      <c r="LNB243" s="10"/>
      <c r="LNC243" s="21"/>
      <c r="LND243" s="21"/>
      <c r="LNG243" s="21"/>
      <c r="LNH243" s="15"/>
      <c r="LNI243" s="15"/>
      <c r="LNJ243" s="15"/>
      <c r="LNK243" s="15"/>
      <c r="LNL243" s="15"/>
      <c r="LNM243" s="15"/>
      <c r="LNN243" s="15"/>
      <c r="LNO243" s="15"/>
      <c r="LNP243" s="15"/>
      <c r="LNQ243" s="15"/>
      <c r="LNR243" s="10"/>
      <c r="LNS243" s="10"/>
      <c r="LNT243" s="21"/>
      <c r="LNU243" s="21"/>
      <c r="LNX243" s="21"/>
      <c r="LNY243" s="15"/>
      <c r="LNZ243" s="15"/>
      <c r="LOA243" s="15"/>
      <c r="LOB243" s="15"/>
      <c r="LOC243" s="15"/>
      <c r="LOD243" s="15"/>
      <c r="LOE243" s="15"/>
      <c r="LOF243" s="15"/>
      <c r="LOG243" s="15"/>
      <c r="LOH243" s="15"/>
      <c r="LOI243" s="10"/>
      <c r="LOJ243" s="10"/>
      <c r="LOK243" s="21"/>
      <c r="LOL243" s="21"/>
      <c r="LOO243" s="21"/>
      <c r="LOP243" s="15"/>
      <c r="LOQ243" s="15"/>
      <c r="LOR243" s="15"/>
      <c r="LOS243" s="15"/>
      <c r="LOT243" s="15"/>
      <c r="LOU243" s="15"/>
      <c r="LOV243" s="15"/>
      <c r="LOW243" s="15"/>
      <c r="LOX243" s="15"/>
      <c r="LOY243" s="15"/>
      <c r="LOZ243" s="10"/>
      <c r="LPA243" s="10"/>
      <c r="LPB243" s="21"/>
      <c r="LPC243" s="21"/>
      <c r="LPF243" s="21"/>
      <c r="LPG243" s="15"/>
      <c r="LPH243" s="15"/>
      <c r="LPI243" s="15"/>
      <c r="LPJ243" s="15"/>
      <c r="LPK243" s="15"/>
      <c r="LPL243" s="15"/>
      <c r="LPM243" s="15"/>
      <c r="LPN243" s="15"/>
      <c r="LPO243" s="15"/>
      <c r="LPP243" s="15"/>
      <c r="LPQ243" s="10"/>
      <c r="LPR243" s="10"/>
      <c r="LPS243" s="21"/>
      <c r="LPT243" s="21"/>
      <c r="LPW243" s="21"/>
      <c r="LPX243" s="15"/>
      <c r="LPY243" s="15"/>
      <c r="LPZ243" s="15"/>
      <c r="LQA243" s="15"/>
      <c r="LQB243" s="15"/>
      <c r="LQC243" s="15"/>
      <c r="LQD243" s="15"/>
      <c r="LQE243" s="15"/>
      <c r="LQF243" s="15"/>
      <c r="LQG243" s="15"/>
      <c r="LQH243" s="10"/>
      <c r="LQI243" s="10"/>
      <c r="LQJ243" s="21"/>
      <c r="LQK243" s="21"/>
      <c r="LQN243" s="21"/>
      <c r="LQO243" s="15"/>
      <c r="LQP243" s="15"/>
      <c r="LQQ243" s="15"/>
      <c r="LQR243" s="15"/>
      <c r="LQS243" s="15"/>
      <c r="LQT243" s="15"/>
      <c r="LQU243" s="15"/>
      <c r="LQV243" s="15"/>
      <c r="LQW243" s="15"/>
      <c r="LQX243" s="15"/>
      <c r="LQY243" s="10"/>
      <c r="LQZ243" s="10"/>
      <c r="LRA243" s="21"/>
      <c r="LRB243" s="21"/>
      <c r="LRE243" s="21"/>
      <c r="LRF243" s="15"/>
      <c r="LRG243" s="15"/>
      <c r="LRH243" s="15"/>
      <c r="LRI243" s="15"/>
      <c r="LRJ243" s="15"/>
      <c r="LRK243" s="15"/>
      <c r="LRL243" s="15"/>
      <c r="LRM243" s="15"/>
      <c r="LRN243" s="15"/>
      <c r="LRO243" s="15"/>
      <c r="LRP243" s="10"/>
      <c r="LRQ243" s="10"/>
      <c r="LRR243" s="21"/>
      <c r="LRS243" s="21"/>
      <c r="LRV243" s="21"/>
      <c r="LRW243" s="15"/>
      <c r="LRX243" s="15"/>
      <c r="LRY243" s="15"/>
      <c r="LRZ243" s="15"/>
      <c r="LSA243" s="15"/>
      <c r="LSB243" s="15"/>
      <c r="LSC243" s="15"/>
      <c r="LSD243" s="15"/>
      <c r="LSE243" s="15"/>
      <c r="LSF243" s="15"/>
      <c r="LSG243" s="10"/>
      <c r="LSH243" s="10"/>
      <c r="LSI243" s="21"/>
      <c r="LSJ243" s="21"/>
      <c r="LSM243" s="21"/>
      <c r="LSN243" s="15"/>
      <c r="LSO243" s="15"/>
      <c r="LSP243" s="15"/>
      <c r="LSQ243" s="15"/>
      <c r="LSR243" s="15"/>
      <c r="LSS243" s="15"/>
      <c r="LST243" s="15"/>
      <c r="LSU243" s="15"/>
      <c r="LSV243" s="15"/>
      <c r="LSW243" s="15"/>
      <c r="LSX243" s="10"/>
      <c r="LSY243" s="10"/>
      <c r="LSZ243" s="21"/>
      <c r="LTA243" s="21"/>
      <c r="LTD243" s="21"/>
      <c r="LTE243" s="15"/>
      <c r="LTF243" s="15"/>
      <c r="LTG243" s="15"/>
      <c r="LTH243" s="15"/>
      <c r="LTI243" s="15"/>
      <c r="LTJ243" s="15"/>
      <c r="LTK243" s="15"/>
      <c r="LTL243" s="15"/>
      <c r="LTM243" s="15"/>
      <c r="LTN243" s="15"/>
      <c r="LTO243" s="10"/>
      <c r="LTP243" s="10"/>
      <c r="LTQ243" s="21"/>
      <c r="LTR243" s="21"/>
      <c r="LTU243" s="21"/>
      <c r="LTV243" s="15"/>
      <c r="LTW243" s="15"/>
      <c r="LTX243" s="15"/>
      <c r="LTY243" s="15"/>
      <c r="LTZ243" s="15"/>
      <c r="LUA243" s="15"/>
      <c r="LUB243" s="15"/>
      <c r="LUC243" s="15"/>
      <c r="LUD243" s="15"/>
      <c r="LUE243" s="15"/>
      <c r="LUF243" s="10"/>
      <c r="LUG243" s="10"/>
      <c r="LUH243" s="21"/>
      <c r="LUI243" s="21"/>
      <c r="LUL243" s="21"/>
      <c r="LUM243" s="15"/>
      <c r="LUN243" s="15"/>
      <c r="LUO243" s="15"/>
      <c r="LUP243" s="15"/>
      <c r="LUQ243" s="15"/>
      <c r="LUR243" s="15"/>
      <c r="LUS243" s="15"/>
      <c r="LUT243" s="15"/>
      <c r="LUU243" s="15"/>
      <c r="LUV243" s="15"/>
      <c r="LUW243" s="10"/>
      <c r="LUX243" s="10"/>
      <c r="LUY243" s="21"/>
      <c r="LUZ243" s="21"/>
      <c r="LVC243" s="21"/>
      <c r="LVD243" s="15"/>
      <c r="LVE243" s="15"/>
      <c r="LVF243" s="15"/>
      <c r="LVG243" s="15"/>
      <c r="LVH243" s="15"/>
      <c r="LVI243" s="15"/>
      <c r="LVJ243" s="15"/>
      <c r="LVK243" s="15"/>
      <c r="LVL243" s="15"/>
      <c r="LVM243" s="15"/>
      <c r="LVN243" s="10"/>
      <c r="LVO243" s="10"/>
      <c r="LVP243" s="21"/>
      <c r="LVQ243" s="21"/>
      <c r="LVT243" s="21"/>
      <c r="LVU243" s="15"/>
      <c r="LVV243" s="15"/>
      <c r="LVW243" s="15"/>
      <c r="LVX243" s="15"/>
      <c r="LVY243" s="15"/>
      <c r="LVZ243" s="15"/>
      <c r="LWA243" s="15"/>
      <c r="LWB243" s="15"/>
      <c r="LWC243" s="15"/>
      <c r="LWD243" s="15"/>
      <c r="LWE243" s="10"/>
      <c r="LWF243" s="10"/>
      <c r="LWG243" s="21"/>
      <c r="LWH243" s="21"/>
      <c r="LWK243" s="21"/>
      <c r="LWL243" s="15"/>
      <c r="LWM243" s="15"/>
      <c r="LWN243" s="15"/>
      <c r="LWO243" s="15"/>
      <c r="LWP243" s="15"/>
      <c r="LWQ243" s="15"/>
      <c r="LWR243" s="15"/>
      <c r="LWS243" s="15"/>
      <c r="LWT243" s="15"/>
      <c r="LWU243" s="15"/>
      <c r="LWV243" s="10"/>
      <c r="LWW243" s="10"/>
      <c r="LWX243" s="21"/>
      <c r="LWY243" s="21"/>
      <c r="LXB243" s="21"/>
      <c r="LXC243" s="15"/>
      <c r="LXD243" s="15"/>
      <c r="LXE243" s="15"/>
      <c r="LXF243" s="15"/>
      <c r="LXG243" s="15"/>
      <c r="LXH243" s="15"/>
      <c r="LXI243" s="15"/>
      <c r="LXJ243" s="15"/>
      <c r="LXK243" s="15"/>
      <c r="LXL243" s="15"/>
      <c r="LXM243" s="10"/>
      <c r="LXN243" s="10"/>
      <c r="LXO243" s="21"/>
      <c r="LXP243" s="21"/>
      <c r="LXS243" s="21"/>
      <c r="LXT243" s="15"/>
      <c r="LXU243" s="15"/>
      <c r="LXV243" s="15"/>
      <c r="LXW243" s="15"/>
      <c r="LXX243" s="15"/>
      <c r="LXY243" s="15"/>
      <c r="LXZ243" s="15"/>
      <c r="LYA243" s="15"/>
      <c r="LYB243" s="15"/>
      <c r="LYC243" s="15"/>
      <c r="LYD243" s="10"/>
      <c r="LYE243" s="10"/>
      <c r="LYF243" s="21"/>
      <c r="LYG243" s="21"/>
      <c r="LYJ243" s="21"/>
      <c r="LYK243" s="15"/>
      <c r="LYL243" s="15"/>
      <c r="LYM243" s="15"/>
      <c r="LYN243" s="15"/>
      <c r="LYO243" s="15"/>
      <c r="LYP243" s="15"/>
      <c r="LYQ243" s="15"/>
      <c r="LYR243" s="15"/>
      <c r="LYS243" s="15"/>
      <c r="LYT243" s="15"/>
      <c r="LYU243" s="10"/>
      <c r="LYV243" s="10"/>
      <c r="LYW243" s="21"/>
      <c r="LYX243" s="21"/>
      <c r="LZA243" s="21"/>
      <c r="LZB243" s="15"/>
      <c r="LZC243" s="15"/>
      <c r="LZD243" s="15"/>
      <c r="LZE243" s="15"/>
      <c r="LZF243" s="15"/>
      <c r="LZG243" s="15"/>
      <c r="LZH243" s="15"/>
      <c r="LZI243" s="15"/>
      <c r="LZJ243" s="15"/>
      <c r="LZK243" s="15"/>
      <c r="LZL243" s="10"/>
      <c r="LZM243" s="10"/>
      <c r="LZN243" s="21"/>
      <c r="LZO243" s="21"/>
      <c r="LZR243" s="21"/>
      <c r="LZS243" s="15"/>
      <c r="LZT243" s="15"/>
      <c r="LZU243" s="15"/>
      <c r="LZV243" s="15"/>
      <c r="LZW243" s="15"/>
      <c r="LZX243" s="15"/>
      <c r="LZY243" s="15"/>
      <c r="LZZ243" s="15"/>
      <c r="MAA243" s="15"/>
      <c r="MAB243" s="15"/>
      <c r="MAC243" s="10"/>
      <c r="MAD243" s="10"/>
      <c r="MAE243" s="21"/>
      <c r="MAF243" s="21"/>
      <c r="MAI243" s="21"/>
      <c r="MAJ243" s="15"/>
      <c r="MAK243" s="15"/>
      <c r="MAL243" s="15"/>
      <c r="MAM243" s="15"/>
      <c r="MAN243" s="15"/>
      <c r="MAO243" s="15"/>
      <c r="MAP243" s="15"/>
      <c r="MAQ243" s="15"/>
      <c r="MAR243" s="15"/>
      <c r="MAS243" s="15"/>
      <c r="MAT243" s="10"/>
      <c r="MAU243" s="10"/>
      <c r="MAV243" s="21"/>
      <c r="MAW243" s="21"/>
      <c r="MAZ243" s="21"/>
      <c r="MBA243" s="15"/>
      <c r="MBB243" s="15"/>
      <c r="MBC243" s="15"/>
      <c r="MBD243" s="15"/>
      <c r="MBE243" s="15"/>
      <c r="MBF243" s="15"/>
      <c r="MBG243" s="15"/>
      <c r="MBH243" s="15"/>
      <c r="MBI243" s="15"/>
      <c r="MBJ243" s="15"/>
      <c r="MBK243" s="10"/>
      <c r="MBL243" s="10"/>
      <c r="MBM243" s="21"/>
      <c r="MBN243" s="21"/>
      <c r="MBQ243" s="21"/>
      <c r="MBR243" s="15"/>
      <c r="MBS243" s="15"/>
      <c r="MBT243" s="15"/>
      <c r="MBU243" s="15"/>
      <c r="MBV243" s="15"/>
      <c r="MBW243" s="15"/>
      <c r="MBX243" s="15"/>
      <c r="MBY243" s="15"/>
      <c r="MBZ243" s="15"/>
      <c r="MCA243" s="15"/>
      <c r="MCB243" s="10"/>
      <c r="MCC243" s="10"/>
      <c r="MCD243" s="21"/>
      <c r="MCE243" s="21"/>
      <c r="MCH243" s="21"/>
      <c r="MCI243" s="15"/>
      <c r="MCJ243" s="15"/>
      <c r="MCK243" s="15"/>
      <c r="MCL243" s="15"/>
      <c r="MCM243" s="15"/>
      <c r="MCN243" s="15"/>
      <c r="MCO243" s="15"/>
      <c r="MCP243" s="15"/>
      <c r="MCQ243" s="15"/>
      <c r="MCR243" s="15"/>
      <c r="MCS243" s="10"/>
      <c r="MCT243" s="10"/>
      <c r="MCU243" s="21"/>
      <c r="MCV243" s="21"/>
      <c r="MCY243" s="21"/>
      <c r="MCZ243" s="15"/>
      <c r="MDA243" s="15"/>
      <c r="MDB243" s="15"/>
      <c r="MDC243" s="15"/>
      <c r="MDD243" s="15"/>
      <c r="MDE243" s="15"/>
      <c r="MDF243" s="15"/>
      <c r="MDG243" s="15"/>
      <c r="MDH243" s="15"/>
      <c r="MDI243" s="15"/>
      <c r="MDJ243" s="10"/>
      <c r="MDK243" s="10"/>
      <c r="MDL243" s="21"/>
      <c r="MDM243" s="21"/>
      <c r="MDP243" s="21"/>
      <c r="MDQ243" s="15"/>
      <c r="MDR243" s="15"/>
      <c r="MDS243" s="15"/>
      <c r="MDT243" s="15"/>
      <c r="MDU243" s="15"/>
      <c r="MDV243" s="15"/>
      <c r="MDW243" s="15"/>
      <c r="MDX243" s="15"/>
      <c r="MDY243" s="15"/>
      <c r="MDZ243" s="15"/>
      <c r="MEA243" s="10"/>
      <c r="MEB243" s="10"/>
      <c r="MEC243" s="21"/>
      <c r="MED243" s="21"/>
      <c r="MEG243" s="21"/>
      <c r="MEH243" s="15"/>
      <c r="MEI243" s="15"/>
      <c r="MEJ243" s="15"/>
      <c r="MEK243" s="15"/>
      <c r="MEL243" s="15"/>
      <c r="MEM243" s="15"/>
      <c r="MEN243" s="15"/>
      <c r="MEO243" s="15"/>
      <c r="MEP243" s="15"/>
      <c r="MEQ243" s="15"/>
      <c r="MER243" s="10"/>
      <c r="MES243" s="10"/>
      <c r="MET243" s="21"/>
      <c r="MEU243" s="21"/>
      <c r="MEX243" s="21"/>
      <c r="MEY243" s="15"/>
      <c r="MEZ243" s="15"/>
      <c r="MFA243" s="15"/>
      <c r="MFB243" s="15"/>
      <c r="MFC243" s="15"/>
      <c r="MFD243" s="15"/>
      <c r="MFE243" s="15"/>
      <c r="MFF243" s="15"/>
      <c r="MFG243" s="15"/>
      <c r="MFH243" s="15"/>
      <c r="MFI243" s="10"/>
      <c r="MFJ243" s="10"/>
      <c r="MFK243" s="21"/>
      <c r="MFL243" s="21"/>
      <c r="MFO243" s="21"/>
      <c r="MFP243" s="15"/>
      <c r="MFQ243" s="15"/>
      <c r="MFR243" s="15"/>
      <c r="MFS243" s="15"/>
      <c r="MFT243" s="15"/>
      <c r="MFU243" s="15"/>
      <c r="MFV243" s="15"/>
      <c r="MFW243" s="15"/>
      <c r="MFX243" s="15"/>
      <c r="MFY243" s="15"/>
      <c r="MFZ243" s="10"/>
      <c r="MGA243" s="10"/>
      <c r="MGB243" s="21"/>
      <c r="MGC243" s="21"/>
      <c r="MGF243" s="21"/>
      <c r="MGG243" s="15"/>
      <c r="MGH243" s="15"/>
      <c r="MGI243" s="15"/>
      <c r="MGJ243" s="15"/>
      <c r="MGK243" s="15"/>
      <c r="MGL243" s="15"/>
      <c r="MGM243" s="15"/>
      <c r="MGN243" s="15"/>
      <c r="MGO243" s="15"/>
      <c r="MGP243" s="15"/>
      <c r="MGQ243" s="10"/>
      <c r="MGR243" s="10"/>
      <c r="MGS243" s="21"/>
      <c r="MGT243" s="21"/>
      <c r="MGW243" s="21"/>
      <c r="MGX243" s="15"/>
      <c r="MGY243" s="15"/>
      <c r="MGZ243" s="15"/>
      <c r="MHA243" s="15"/>
      <c r="MHB243" s="15"/>
      <c r="MHC243" s="15"/>
      <c r="MHD243" s="15"/>
      <c r="MHE243" s="15"/>
      <c r="MHF243" s="15"/>
      <c r="MHG243" s="15"/>
      <c r="MHH243" s="10"/>
      <c r="MHI243" s="10"/>
      <c r="MHJ243" s="21"/>
      <c r="MHK243" s="21"/>
      <c r="MHN243" s="21"/>
      <c r="MHO243" s="15"/>
      <c r="MHP243" s="15"/>
      <c r="MHQ243" s="15"/>
      <c r="MHR243" s="15"/>
      <c r="MHS243" s="15"/>
      <c r="MHT243" s="15"/>
      <c r="MHU243" s="15"/>
      <c r="MHV243" s="15"/>
      <c r="MHW243" s="15"/>
      <c r="MHX243" s="15"/>
      <c r="MHY243" s="10"/>
      <c r="MHZ243" s="10"/>
      <c r="MIA243" s="21"/>
      <c r="MIB243" s="21"/>
      <c r="MIE243" s="21"/>
      <c r="MIF243" s="15"/>
      <c r="MIG243" s="15"/>
      <c r="MIH243" s="15"/>
      <c r="MII243" s="15"/>
      <c r="MIJ243" s="15"/>
      <c r="MIK243" s="15"/>
      <c r="MIL243" s="15"/>
      <c r="MIM243" s="15"/>
      <c r="MIN243" s="15"/>
      <c r="MIO243" s="15"/>
      <c r="MIP243" s="10"/>
      <c r="MIQ243" s="10"/>
      <c r="MIR243" s="21"/>
      <c r="MIS243" s="21"/>
      <c r="MIV243" s="21"/>
      <c r="MIW243" s="15"/>
      <c r="MIX243" s="15"/>
      <c r="MIY243" s="15"/>
      <c r="MIZ243" s="15"/>
      <c r="MJA243" s="15"/>
      <c r="MJB243" s="15"/>
      <c r="MJC243" s="15"/>
      <c r="MJD243" s="15"/>
      <c r="MJE243" s="15"/>
      <c r="MJF243" s="15"/>
      <c r="MJG243" s="10"/>
      <c r="MJH243" s="10"/>
      <c r="MJI243" s="21"/>
      <c r="MJJ243" s="21"/>
      <c r="MJM243" s="21"/>
      <c r="MJN243" s="15"/>
      <c r="MJO243" s="15"/>
      <c r="MJP243" s="15"/>
      <c r="MJQ243" s="15"/>
      <c r="MJR243" s="15"/>
      <c r="MJS243" s="15"/>
      <c r="MJT243" s="15"/>
      <c r="MJU243" s="15"/>
      <c r="MJV243" s="15"/>
      <c r="MJW243" s="15"/>
      <c r="MJX243" s="10"/>
      <c r="MJY243" s="10"/>
      <c r="MJZ243" s="21"/>
      <c r="MKA243" s="21"/>
      <c r="MKD243" s="21"/>
      <c r="MKE243" s="15"/>
      <c r="MKF243" s="15"/>
      <c r="MKG243" s="15"/>
      <c r="MKH243" s="15"/>
      <c r="MKI243" s="15"/>
      <c r="MKJ243" s="15"/>
      <c r="MKK243" s="15"/>
      <c r="MKL243" s="15"/>
      <c r="MKM243" s="15"/>
      <c r="MKN243" s="15"/>
      <c r="MKO243" s="10"/>
      <c r="MKP243" s="10"/>
      <c r="MKQ243" s="21"/>
      <c r="MKR243" s="21"/>
      <c r="MKU243" s="21"/>
      <c r="MKV243" s="15"/>
      <c r="MKW243" s="15"/>
      <c r="MKX243" s="15"/>
      <c r="MKY243" s="15"/>
      <c r="MKZ243" s="15"/>
      <c r="MLA243" s="15"/>
      <c r="MLB243" s="15"/>
      <c r="MLC243" s="15"/>
      <c r="MLD243" s="15"/>
      <c r="MLE243" s="15"/>
      <c r="MLF243" s="10"/>
      <c r="MLG243" s="10"/>
      <c r="MLH243" s="21"/>
      <c r="MLI243" s="21"/>
      <c r="MLL243" s="21"/>
      <c r="MLM243" s="15"/>
      <c r="MLN243" s="15"/>
      <c r="MLO243" s="15"/>
      <c r="MLP243" s="15"/>
      <c r="MLQ243" s="15"/>
      <c r="MLR243" s="15"/>
      <c r="MLS243" s="15"/>
      <c r="MLT243" s="15"/>
      <c r="MLU243" s="15"/>
      <c r="MLV243" s="15"/>
      <c r="MLW243" s="10"/>
      <c r="MLX243" s="10"/>
      <c r="MLY243" s="21"/>
      <c r="MLZ243" s="21"/>
      <c r="MMC243" s="21"/>
      <c r="MMD243" s="15"/>
      <c r="MME243" s="15"/>
      <c r="MMF243" s="15"/>
      <c r="MMG243" s="15"/>
      <c r="MMH243" s="15"/>
      <c r="MMI243" s="15"/>
      <c r="MMJ243" s="15"/>
      <c r="MMK243" s="15"/>
      <c r="MML243" s="15"/>
      <c r="MMM243" s="15"/>
      <c r="MMN243" s="10"/>
      <c r="MMO243" s="10"/>
      <c r="MMP243" s="21"/>
      <c r="MMQ243" s="21"/>
      <c r="MMT243" s="21"/>
      <c r="MMU243" s="15"/>
      <c r="MMV243" s="15"/>
      <c r="MMW243" s="15"/>
      <c r="MMX243" s="15"/>
      <c r="MMY243" s="15"/>
      <c r="MMZ243" s="15"/>
      <c r="MNA243" s="15"/>
      <c r="MNB243" s="15"/>
      <c r="MNC243" s="15"/>
      <c r="MND243" s="15"/>
      <c r="MNE243" s="10"/>
      <c r="MNF243" s="10"/>
      <c r="MNG243" s="21"/>
      <c r="MNH243" s="21"/>
      <c r="MNK243" s="21"/>
      <c r="MNL243" s="15"/>
      <c r="MNM243" s="15"/>
      <c r="MNN243" s="15"/>
      <c r="MNO243" s="15"/>
      <c r="MNP243" s="15"/>
      <c r="MNQ243" s="15"/>
      <c r="MNR243" s="15"/>
      <c r="MNS243" s="15"/>
      <c r="MNT243" s="15"/>
      <c r="MNU243" s="15"/>
      <c r="MNV243" s="10"/>
      <c r="MNW243" s="10"/>
      <c r="MNX243" s="21"/>
      <c r="MNY243" s="21"/>
      <c r="MOB243" s="21"/>
      <c r="MOC243" s="15"/>
      <c r="MOD243" s="15"/>
      <c r="MOE243" s="15"/>
      <c r="MOF243" s="15"/>
      <c r="MOG243" s="15"/>
      <c r="MOH243" s="15"/>
      <c r="MOI243" s="15"/>
      <c r="MOJ243" s="15"/>
      <c r="MOK243" s="15"/>
      <c r="MOL243" s="15"/>
      <c r="MOM243" s="10"/>
      <c r="MON243" s="10"/>
      <c r="MOO243" s="21"/>
      <c r="MOP243" s="21"/>
      <c r="MOS243" s="21"/>
      <c r="MOT243" s="15"/>
      <c r="MOU243" s="15"/>
      <c r="MOV243" s="15"/>
      <c r="MOW243" s="15"/>
      <c r="MOX243" s="15"/>
      <c r="MOY243" s="15"/>
      <c r="MOZ243" s="15"/>
      <c r="MPA243" s="15"/>
      <c r="MPB243" s="15"/>
      <c r="MPC243" s="15"/>
      <c r="MPD243" s="10"/>
      <c r="MPE243" s="10"/>
      <c r="MPF243" s="21"/>
      <c r="MPG243" s="21"/>
      <c r="MPJ243" s="21"/>
      <c r="MPK243" s="15"/>
      <c r="MPL243" s="15"/>
      <c r="MPM243" s="15"/>
      <c r="MPN243" s="15"/>
      <c r="MPO243" s="15"/>
      <c r="MPP243" s="15"/>
      <c r="MPQ243" s="15"/>
      <c r="MPR243" s="15"/>
      <c r="MPS243" s="15"/>
      <c r="MPT243" s="15"/>
      <c r="MPU243" s="10"/>
      <c r="MPV243" s="10"/>
      <c r="MPW243" s="21"/>
      <c r="MPX243" s="21"/>
      <c r="MQA243" s="21"/>
      <c r="MQB243" s="15"/>
      <c r="MQC243" s="15"/>
      <c r="MQD243" s="15"/>
      <c r="MQE243" s="15"/>
      <c r="MQF243" s="15"/>
      <c r="MQG243" s="15"/>
      <c r="MQH243" s="15"/>
      <c r="MQI243" s="15"/>
      <c r="MQJ243" s="15"/>
      <c r="MQK243" s="15"/>
      <c r="MQL243" s="10"/>
      <c r="MQM243" s="10"/>
      <c r="MQN243" s="21"/>
      <c r="MQO243" s="21"/>
      <c r="MQR243" s="21"/>
      <c r="MQS243" s="15"/>
      <c r="MQT243" s="15"/>
      <c r="MQU243" s="15"/>
      <c r="MQV243" s="15"/>
      <c r="MQW243" s="15"/>
      <c r="MQX243" s="15"/>
      <c r="MQY243" s="15"/>
      <c r="MQZ243" s="15"/>
      <c r="MRA243" s="15"/>
      <c r="MRB243" s="15"/>
      <c r="MRC243" s="10"/>
      <c r="MRD243" s="10"/>
      <c r="MRE243" s="21"/>
      <c r="MRF243" s="21"/>
      <c r="MRI243" s="21"/>
      <c r="MRJ243" s="15"/>
      <c r="MRK243" s="15"/>
      <c r="MRL243" s="15"/>
      <c r="MRM243" s="15"/>
      <c r="MRN243" s="15"/>
      <c r="MRO243" s="15"/>
      <c r="MRP243" s="15"/>
      <c r="MRQ243" s="15"/>
      <c r="MRR243" s="15"/>
      <c r="MRS243" s="15"/>
      <c r="MRT243" s="10"/>
      <c r="MRU243" s="10"/>
      <c r="MRV243" s="21"/>
      <c r="MRW243" s="21"/>
      <c r="MRZ243" s="21"/>
      <c r="MSA243" s="15"/>
      <c r="MSB243" s="15"/>
      <c r="MSC243" s="15"/>
      <c r="MSD243" s="15"/>
      <c r="MSE243" s="15"/>
      <c r="MSF243" s="15"/>
      <c r="MSG243" s="15"/>
      <c r="MSH243" s="15"/>
      <c r="MSI243" s="15"/>
      <c r="MSJ243" s="15"/>
      <c r="MSK243" s="10"/>
      <c r="MSL243" s="10"/>
      <c r="MSM243" s="21"/>
      <c r="MSN243" s="21"/>
      <c r="MSQ243" s="21"/>
      <c r="MSR243" s="15"/>
      <c r="MSS243" s="15"/>
      <c r="MST243" s="15"/>
      <c r="MSU243" s="15"/>
      <c r="MSV243" s="15"/>
      <c r="MSW243" s="15"/>
      <c r="MSX243" s="15"/>
      <c r="MSY243" s="15"/>
      <c r="MSZ243" s="15"/>
      <c r="MTA243" s="15"/>
      <c r="MTB243" s="10"/>
      <c r="MTC243" s="10"/>
      <c r="MTD243" s="21"/>
      <c r="MTE243" s="21"/>
      <c r="MTH243" s="21"/>
      <c r="MTI243" s="15"/>
      <c r="MTJ243" s="15"/>
      <c r="MTK243" s="15"/>
      <c r="MTL243" s="15"/>
      <c r="MTM243" s="15"/>
      <c r="MTN243" s="15"/>
      <c r="MTO243" s="15"/>
      <c r="MTP243" s="15"/>
      <c r="MTQ243" s="15"/>
      <c r="MTR243" s="15"/>
      <c r="MTS243" s="10"/>
      <c r="MTT243" s="10"/>
      <c r="MTU243" s="21"/>
      <c r="MTV243" s="21"/>
      <c r="MTY243" s="21"/>
      <c r="MTZ243" s="15"/>
      <c r="MUA243" s="15"/>
      <c r="MUB243" s="15"/>
      <c r="MUC243" s="15"/>
      <c r="MUD243" s="15"/>
      <c r="MUE243" s="15"/>
      <c r="MUF243" s="15"/>
      <c r="MUG243" s="15"/>
      <c r="MUH243" s="15"/>
      <c r="MUI243" s="15"/>
      <c r="MUJ243" s="10"/>
      <c r="MUK243" s="10"/>
      <c r="MUL243" s="21"/>
      <c r="MUM243" s="21"/>
      <c r="MUP243" s="21"/>
      <c r="MUQ243" s="15"/>
      <c r="MUR243" s="15"/>
      <c r="MUS243" s="15"/>
      <c r="MUT243" s="15"/>
      <c r="MUU243" s="15"/>
      <c r="MUV243" s="15"/>
      <c r="MUW243" s="15"/>
      <c r="MUX243" s="15"/>
      <c r="MUY243" s="15"/>
      <c r="MUZ243" s="15"/>
      <c r="MVA243" s="10"/>
      <c r="MVB243" s="10"/>
      <c r="MVC243" s="21"/>
      <c r="MVD243" s="21"/>
      <c r="MVG243" s="21"/>
      <c r="MVH243" s="15"/>
      <c r="MVI243" s="15"/>
      <c r="MVJ243" s="15"/>
      <c r="MVK243" s="15"/>
      <c r="MVL243" s="15"/>
      <c r="MVM243" s="15"/>
      <c r="MVN243" s="15"/>
      <c r="MVO243" s="15"/>
      <c r="MVP243" s="15"/>
      <c r="MVQ243" s="15"/>
      <c r="MVR243" s="10"/>
      <c r="MVS243" s="10"/>
      <c r="MVT243" s="21"/>
      <c r="MVU243" s="21"/>
      <c r="MVX243" s="21"/>
      <c r="MVY243" s="15"/>
      <c r="MVZ243" s="15"/>
      <c r="MWA243" s="15"/>
      <c r="MWB243" s="15"/>
      <c r="MWC243" s="15"/>
      <c r="MWD243" s="15"/>
      <c r="MWE243" s="15"/>
      <c r="MWF243" s="15"/>
      <c r="MWG243" s="15"/>
      <c r="MWH243" s="15"/>
      <c r="MWI243" s="10"/>
      <c r="MWJ243" s="10"/>
      <c r="MWK243" s="21"/>
      <c r="MWL243" s="21"/>
      <c r="MWO243" s="21"/>
      <c r="MWP243" s="15"/>
      <c r="MWQ243" s="15"/>
      <c r="MWR243" s="15"/>
      <c r="MWS243" s="15"/>
      <c r="MWT243" s="15"/>
      <c r="MWU243" s="15"/>
      <c r="MWV243" s="15"/>
      <c r="MWW243" s="15"/>
      <c r="MWX243" s="15"/>
      <c r="MWY243" s="15"/>
      <c r="MWZ243" s="10"/>
      <c r="MXA243" s="10"/>
      <c r="MXB243" s="21"/>
      <c r="MXC243" s="21"/>
      <c r="MXF243" s="21"/>
      <c r="MXG243" s="15"/>
      <c r="MXH243" s="15"/>
      <c r="MXI243" s="15"/>
      <c r="MXJ243" s="15"/>
      <c r="MXK243" s="15"/>
      <c r="MXL243" s="15"/>
      <c r="MXM243" s="15"/>
      <c r="MXN243" s="15"/>
      <c r="MXO243" s="15"/>
      <c r="MXP243" s="15"/>
      <c r="MXQ243" s="10"/>
      <c r="MXR243" s="10"/>
      <c r="MXS243" s="21"/>
      <c r="MXT243" s="21"/>
      <c r="MXW243" s="21"/>
      <c r="MXX243" s="15"/>
      <c r="MXY243" s="15"/>
      <c r="MXZ243" s="15"/>
      <c r="MYA243" s="15"/>
      <c r="MYB243" s="15"/>
      <c r="MYC243" s="15"/>
      <c r="MYD243" s="15"/>
      <c r="MYE243" s="15"/>
      <c r="MYF243" s="15"/>
      <c r="MYG243" s="15"/>
      <c r="MYH243" s="10"/>
      <c r="MYI243" s="10"/>
      <c r="MYJ243" s="21"/>
      <c r="MYK243" s="21"/>
      <c r="MYN243" s="21"/>
      <c r="MYO243" s="15"/>
      <c r="MYP243" s="15"/>
      <c r="MYQ243" s="15"/>
      <c r="MYR243" s="15"/>
      <c r="MYS243" s="15"/>
      <c r="MYT243" s="15"/>
      <c r="MYU243" s="15"/>
      <c r="MYV243" s="15"/>
      <c r="MYW243" s="15"/>
      <c r="MYX243" s="15"/>
      <c r="MYY243" s="10"/>
      <c r="MYZ243" s="10"/>
      <c r="MZA243" s="21"/>
      <c r="MZB243" s="21"/>
      <c r="MZE243" s="21"/>
      <c r="MZF243" s="15"/>
      <c r="MZG243" s="15"/>
      <c r="MZH243" s="15"/>
      <c r="MZI243" s="15"/>
      <c r="MZJ243" s="15"/>
      <c r="MZK243" s="15"/>
      <c r="MZL243" s="15"/>
      <c r="MZM243" s="15"/>
      <c r="MZN243" s="15"/>
      <c r="MZO243" s="15"/>
      <c r="MZP243" s="10"/>
      <c r="MZQ243" s="10"/>
      <c r="MZR243" s="21"/>
      <c r="MZS243" s="21"/>
      <c r="MZV243" s="21"/>
      <c r="MZW243" s="15"/>
      <c r="MZX243" s="15"/>
      <c r="MZY243" s="15"/>
      <c r="MZZ243" s="15"/>
      <c r="NAA243" s="15"/>
      <c r="NAB243" s="15"/>
      <c r="NAC243" s="15"/>
      <c r="NAD243" s="15"/>
      <c r="NAE243" s="15"/>
      <c r="NAF243" s="15"/>
      <c r="NAG243" s="10"/>
      <c r="NAH243" s="10"/>
      <c r="NAI243" s="21"/>
      <c r="NAJ243" s="21"/>
      <c r="NAM243" s="21"/>
      <c r="NAN243" s="15"/>
      <c r="NAO243" s="15"/>
      <c r="NAP243" s="15"/>
      <c r="NAQ243" s="15"/>
      <c r="NAR243" s="15"/>
      <c r="NAS243" s="15"/>
      <c r="NAT243" s="15"/>
      <c r="NAU243" s="15"/>
      <c r="NAV243" s="15"/>
      <c r="NAW243" s="15"/>
      <c r="NAX243" s="10"/>
      <c r="NAY243" s="10"/>
      <c r="NAZ243" s="21"/>
      <c r="NBA243" s="21"/>
      <c r="NBD243" s="21"/>
      <c r="NBE243" s="15"/>
      <c r="NBF243" s="15"/>
      <c r="NBG243" s="15"/>
      <c r="NBH243" s="15"/>
      <c r="NBI243" s="15"/>
      <c r="NBJ243" s="15"/>
      <c r="NBK243" s="15"/>
      <c r="NBL243" s="15"/>
      <c r="NBM243" s="15"/>
      <c r="NBN243" s="15"/>
      <c r="NBO243" s="10"/>
      <c r="NBP243" s="10"/>
      <c r="NBQ243" s="21"/>
      <c r="NBR243" s="21"/>
      <c r="NBU243" s="21"/>
      <c r="NBV243" s="15"/>
      <c r="NBW243" s="15"/>
      <c r="NBX243" s="15"/>
      <c r="NBY243" s="15"/>
      <c r="NBZ243" s="15"/>
      <c r="NCA243" s="15"/>
      <c r="NCB243" s="15"/>
      <c r="NCC243" s="15"/>
      <c r="NCD243" s="15"/>
      <c r="NCE243" s="15"/>
      <c r="NCF243" s="10"/>
      <c r="NCG243" s="10"/>
      <c r="NCH243" s="21"/>
      <c r="NCI243" s="21"/>
      <c r="NCL243" s="21"/>
      <c r="NCM243" s="15"/>
      <c r="NCN243" s="15"/>
      <c r="NCO243" s="15"/>
      <c r="NCP243" s="15"/>
      <c r="NCQ243" s="15"/>
      <c r="NCR243" s="15"/>
      <c r="NCS243" s="15"/>
      <c r="NCT243" s="15"/>
      <c r="NCU243" s="15"/>
      <c r="NCV243" s="15"/>
      <c r="NCW243" s="10"/>
      <c r="NCX243" s="10"/>
      <c r="NCY243" s="21"/>
      <c r="NCZ243" s="21"/>
      <c r="NDC243" s="21"/>
      <c r="NDD243" s="15"/>
      <c r="NDE243" s="15"/>
      <c r="NDF243" s="15"/>
      <c r="NDG243" s="15"/>
      <c r="NDH243" s="15"/>
      <c r="NDI243" s="15"/>
      <c r="NDJ243" s="15"/>
      <c r="NDK243" s="15"/>
      <c r="NDL243" s="15"/>
      <c r="NDM243" s="15"/>
      <c r="NDN243" s="10"/>
      <c r="NDO243" s="10"/>
      <c r="NDP243" s="21"/>
      <c r="NDQ243" s="21"/>
      <c r="NDT243" s="21"/>
      <c r="NDU243" s="15"/>
      <c r="NDV243" s="15"/>
      <c r="NDW243" s="15"/>
      <c r="NDX243" s="15"/>
      <c r="NDY243" s="15"/>
      <c r="NDZ243" s="15"/>
      <c r="NEA243" s="15"/>
      <c r="NEB243" s="15"/>
      <c r="NEC243" s="15"/>
      <c r="NED243" s="15"/>
      <c r="NEE243" s="10"/>
      <c r="NEF243" s="10"/>
      <c r="NEG243" s="21"/>
      <c r="NEH243" s="21"/>
      <c r="NEK243" s="21"/>
      <c r="NEL243" s="15"/>
      <c r="NEM243" s="15"/>
      <c r="NEN243" s="15"/>
      <c r="NEO243" s="15"/>
      <c r="NEP243" s="15"/>
      <c r="NEQ243" s="15"/>
      <c r="NER243" s="15"/>
      <c r="NES243" s="15"/>
      <c r="NET243" s="15"/>
      <c r="NEU243" s="15"/>
      <c r="NEV243" s="10"/>
      <c r="NEW243" s="10"/>
      <c r="NEX243" s="21"/>
      <c r="NEY243" s="21"/>
      <c r="NFB243" s="21"/>
      <c r="NFC243" s="15"/>
      <c r="NFD243" s="15"/>
      <c r="NFE243" s="15"/>
      <c r="NFF243" s="15"/>
      <c r="NFG243" s="15"/>
      <c r="NFH243" s="15"/>
      <c r="NFI243" s="15"/>
      <c r="NFJ243" s="15"/>
      <c r="NFK243" s="15"/>
      <c r="NFL243" s="15"/>
      <c r="NFM243" s="10"/>
      <c r="NFN243" s="10"/>
      <c r="NFO243" s="21"/>
      <c r="NFP243" s="21"/>
      <c r="NFS243" s="21"/>
      <c r="NFT243" s="15"/>
      <c r="NFU243" s="15"/>
      <c r="NFV243" s="15"/>
      <c r="NFW243" s="15"/>
      <c r="NFX243" s="15"/>
      <c r="NFY243" s="15"/>
      <c r="NFZ243" s="15"/>
      <c r="NGA243" s="15"/>
      <c r="NGB243" s="15"/>
      <c r="NGC243" s="15"/>
      <c r="NGD243" s="10"/>
      <c r="NGE243" s="10"/>
      <c r="NGF243" s="21"/>
      <c r="NGG243" s="21"/>
      <c r="NGJ243" s="21"/>
      <c r="NGK243" s="15"/>
      <c r="NGL243" s="15"/>
      <c r="NGM243" s="15"/>
      <c r="NGN243" s="15"/>
      <c r="NGO243" s="15"/>
      <c r="NGP243" s="15"/>
      <c r="NGQ243" s="15"/>
      <c r="NGR243" s="15"/>
      <c r="NGS243" s="15"/>
      <c r="NGT243" s="15"/>
      <c r="NGU243" s="10"/>
      <c r="NGV243" s="10"/>
      <c r="NGW243" s="21"/>
      <c r="NGX243" s="21"/>
      <c r="NHA243" s="21"/>
      <c r="NHB243" s="15"/>
      <c r="NHC243" s="15"/>
      <c r="NHD243" s="15"/>
      <c r="NHE243" s="15"/>
      <c r="NHF243" s="15"/>
      <c r="NHG243" s="15"/>
      <c r="NHH243" s="15"/>
      <c r="NHI243" s="15"/>
      <c r="NHJ243" s="15"/>
      <c r="NHK243" s="15"/>
      <c r="NHL243" s="10"/>
      <c r="NHM243" s="10"/>
      <c r="NHN243" s="21"/>
      <c r="NHO243" s="21"/>
      <c r="NHR243" s="21"/>
      <c r="NHS243" s="15"/>
      <c r="NHT243" s="15"/>
      <c r="NHU243" s="15"/>
      <c r="NHV243" s="15"/>
      <c r="NHW243" s="15"/>
      <c r="NHX243" s="15"/>
      <c r="NHY243" s="15"/>
      <c r="NHZ243" s="15"/>
      <c r="NIA243" s="15"/>
      <c r="NIB243" s="15"/>
      <c r="NIC243" s="10"/>
      <c r="NID243" s="10"/>
      <c r="NIE243" s="21"/>
      <c r="NIF243" s="21"/>
      <c r="NII243" s="21"/>
      <c r="NIJ243" s="15"/>
      <c r="NIK243" s="15"/>
      <c r="NIL243" s="15"/>
      <c r="NIM243" s="15"/>
      <c r="NIN243" s="15"/>
      <c r="NIO243" s="15"/>
      <c r="NIP243" s="15"/>
      <c r="NIQ243" s="15"/>
      <c r="NIR243" s="15"/>
      <c r="NIS243" s="15"/>
      <c r="NIT243" s="10"/>
      <c r="NIU243" s="10"/>
      <c r="NIV243" s="21"/>
      <c r="NIW243" s="21"/>
      <c r="NIZ243" s="21"/>
      <c r="NJA243" s="15"/>
      <c r="NJB243" s="15"/>
      <c r="NJC243" s="15"/>
      <c r="NJD243" s="15"/>
      <c r="NJE243" s="15"/>
      <c r="NJF243" s="15"/>
      <c r="NJG243" s="15"/>
      <c r="NJH243" s="15"/>
      <c r="NJI243" s="15"/>
      <c r="NJJ243" s="15"/>
      <c r="NJK243" s="10"/>
      <c r="NJL243" s="10"/>
      <c r="NJM243" s="21"/>
      <c r="NJN243" s="21"/>
      <c r="NJQ243" s="21"/>
      <c r="NJR243" s="15"/>
      <c r="NJS243" s="15"/>
      <c r="NJT243" s="15"/>
      <c r="NJU243" s="15"/>
      <c r="NJV243" s="15"/>
      <c r="NJW243" s="15"/>
      <c r="NJX243" s="15"/>
      <c r="NJY243" s="15"/>
      <c r="NJZ243" s="15"/>
      <c r="NKA243" s="15"/>
      <c r="NKB243" s="10"/>
      <c r="NKC243" s="10"/>
      <c r="NKD243" s="21"/>
      <c r="NKE243" s="21"/>
      <c r="NKH243" s="21"/>
      <c r="NKI243" s="15"/>
      <c r="NKJ243" s="15"/>
      <c r="NKK243" s="15"/>
      <c r="NKL243" s="15"/>
      <c r="NKM243" s="15"/>
      <c r="NKN243" s="15"/>
      <c r="NKO243" s="15"/>
      <c r="NKP243" s="15"/>
      <c r="NKQ243" s="15"/>
      <c r="NKR243" s="15"/>
      <c r="NKS243" s="10"/>
      <c r="NKT243" s="10"/>
      <c r="NKU243" s="21"/>
      <c r="NKV243" s="21"/>
      <c r="NKY243" s="21"/>
      <c r="NKZ243" s="15"/>
      <c r="NLA243" s="15"/>
      <c r="NLB243" s="15"/>
      <c r="NLC243" s="15"/>
      <c r="NLD243" s="15"/>
      <c r="NLE243" s="15"/>
      <c r="NLF243" s="15"/>
      <c r="NLG243" s="15"/>
      <c r="NLH243" s="15"/>
      <c r="NLI243" s="15"/>
      <c r="NLJ243" s="10"/>
      <c r="NLK243" s="10"/>
      <c r="NLL243" s="21"/>
      <c r="NLM243" s="21"/>
      <c r="NLP243" s="21"/>
      <c r="NLQ243" s="15"/>
      <c r="NLR243" s="15"/>
      <c r="NLS243" s="15"/>
      <c r="NLT243" s="15"/>
      <c r="NLU243" s="15"/>
      <c r="NLV243" s="15"/>
      <c r="NLW243" s="15"/>
      <c r="NLX243" s="15"/>
      <c r="NLY243" s="15"/>
      <c r="NLZ243" s="15"/>
      <c r="NMA243" s="10"/>
      <c r="NMB243" s="10"/>
      <c r="NMC243" s="21"/>
      <c r="NMD243" s="21"/>
      <c r="NMG243" s="21"/>
      <c r="NMH243" s="15"/>
      <c r="NMI243" s="15"/>
      <c r="NMJ243" s="15"/>
      <c r="NMK243" s="15"/>
      <c r="NML243" s="15"/>
      <c r="NMM243" s="15"/>
      <c r="NMN243" s="15"/>
      <c r="NMO243" s="15"/>
      <c r="NMP243" s="15"/>
      <c r="NMQ243" s="15"/>
      <c r="NMR243" s="10"/>
      <c r="NMS243" s="10"/>
      <c r="NMT243" s="21"/>
      <c r="NMU243" s="21"/>
      <c r="NMX243" s="21"/>
      <c r="NMY243" s="15"/>
      <c r="NMZ243" s="15"/>
      <c r="NNA243" s="15"/>
      <c r="NNB243" s="15"/>
      <c r="NNC243" s="15"/>
      <c r="NND243" s="15"/>
      <c r="NNE243" s="15"/>
      <c r="NNF243" s="15"/>
      <c r="NNG243" s="15"/>
      <c r="NNH243" s="15"/>
      <c r="NNI243" s="10"/>
      <c r="NNJ243" s="10"/>
      <c r="NNK243" s="21"/>
      <c r="NNL243" s="21"/>
      <c r="NNO243" s="21"/>
      <c r="NNP243" s="15"/>
      <c r="NNQ243" s="15"/>
      <c r="NNR243" s="15"/>
      <c r="NNS243" s="15"/>
      <c r="NNT243" s="15"/>
      <c r="NNU243" s="15"/>
      <c r="NNV243" s="15"/>
      <c r="NNW243" s="15"/>
      <c r="NNX243" s="15"/>
      <c r="NNY243" s="15"/>
      <c r="NNZ243" s="10"/>
      <c r="NOA243" s="10"/>
      <c r="NOB243" s="21"/>
      <c r="NOC243" s="21"/>
      <c r="NOF243" s="21"/>
      <c r="NOG243" s="15"/>
      <c r="NOH243" s="15"/>
      <c r="NOI243" s="15"/>
      <c r="NOJ243" s="15"/>
      <c r="NOK243" s="15"/>
      <c r="NOL243" s="15"/>
      <c r="NOM243" s="15"/>
      <c r="NON243" s="15"/>
      <c r="NOO243" s="15"/>
      <c r="NOP243" s="15"/>
      <c r="NOQ243" s="10"/>
      <c r="NOR243" s="10"/>
      <c r="NOS243" s="21"/>
      <c r="NOT243" s="21"/>
      <c r="NOW243" s="21"/>
      <c r="NOX243" s="15"/>
      <c r="NOY243" s="15"/>
      <c r="NOZ243" s="15"/>
      <c r="NPA243" s="15"/>
      <c r="NPB243" s="15"/>
      <c r="NPC243" s="15"/>
      <c r="NPD243" s="15"/>
      <c r="NPE243" s="15"/>
      <c r="NPF243" s="15"/>
      <c r="NPG243" s="15"/>
      <c r="NPH243" s="10"/>
      <c r="NPI243" s="10"/>
      <c r="NPJ243" s="21"/>
      <c r="NPK243" s="21"/>
      <c r="NPN243" s="21"/>
      <c r="NPO243" s="15"/>
      <c r="NPP243" s="15"/>
      <c r="NPQ243" s="15"/>
      <c r="NPR243" s="15"/>
      <c r="NPS243" s="15"/>
      <c r="NPT243" s="15"/>
      <c r="NPU243" s="15"/>
      <c r="NPV243" s="15"/>
      <c r="NPW243" s="15"/>
      <c r="NPX243" s="15"/>
      <c r="NPY243" s="10"/>
      <c r="NPZ243" s="10"/>
      <c r="NQA243" s="21"/>
      <c r="NQB243" s="21"/>
      <c r="NQE243" s="21"/>
      <c r="NQF243" s="15"/>
      <c r="NQG243" s="15"/>
      <c r="NQH243" s="15"/>
      <c r="NQI243" s="15"/>
      <c r="NQJ243" s="15"/>
      <c r="NQK243" s="15"/>
      <c r="NQL243" s="15"/>
      <c r="NQM243" s="15"/>
      <c r="NQN243" s="15"/>
      <c r="NQO243" s="15"/>
      <c r="NQP243" s="10"/>
      <c r="NQQ243" s="10"/>
      <c r="NQR243" s="21"/>
      <c r="NQS243" s="21"/>
      <c r="NQV243" s="21"/>
      <c r="NQW243" s="15"/>
      <c r="NQX243" s="15"/>
      <c r="NQY243" s="15"/>
      <c r="NQZ243" s="15"/>
      <c r="NRA243" s="15"/>
      <c r="NRB243" s="15"/>
      <c r="NRC243" s="15"/>
      <c r="NRD243" s="15"/>
      <c r="NRE243" s="15"/>
      <c r="NRF243" s="15"/>
      <c r="NRG243" s="10"/>
      <c r="NRH243" s="10"/>
      <c r="NRI243" s="21"/>
      <c r="NRJ243" s="21"/>
      <c r="NRM243" s="21"/>
      <c r="NRN243" s="15"/>
      <c r="NRO243" s="15"/>
      <c r="NRP243" s="15"/>
      <c r="NRQ243" s="15"/>
      <c r="NRR243" s="15"/>
      <c r="NRS243" s="15"/>
      <c r="NRT243" s="15"/>
      <c r="NRU243" s="15"/>
      <c r="NRV243" s="15"/>
      <c r="NRW243" s="15"/>
      <c r="NRX243" s="10"/>
      <c r="NRY243" s="10"/>
      <c r="NRZ243" s="21"/>
      <c r="NSA243" s="21"/>
      <c r="NSD243" s="21"/>
      <c r="NSE243" s="15"/>
      <c r="NSF243" s="15"/>
      <c r="NSG243" s="15"/>
      <c r="NSH243" s="15"/>
      <c r="NSI243" s="15"/>
      <c r="NSJ243" s="15"/>
      <c r="NSK243" s="15"/>
      <c r="NSL243" s="15"/>
      <c r="NSM243" s="15"/>
      <c r="NSN243" s="15"/>
      <c r="NSO243" s="10"/>
      <c r="NSP243" s="10"/>
      <c r="NSQ243" s="21"/>
      <c r="NSR243" s="21"/>
      <c r="NSU243" s="21"/>
      <c r="NSV243" s="15"/>
      <c r="NSW243" s="15"/>
      <c r="NSX243" s="15"/>
      <c r="NSY243" s="15"/>
      <c r="NSZ243" s="15"/>
      <c r="NTA243" s="15"/>
      <c r="NTB243" s="15"/>
      <c r="NTC243" s="15"/>
      <c r="NTD243" s="15"/>
      <c r="NTE243" s="15"/>
      <c r="NTF243" s="10"/>
      <c r="NTG243" s="10"/>
      <c r="NTH243" s="21"/>
      <c r="NTI243" s="21"/>
      <c r="NTL243" s="21"/>
      <c r="NTM243" s="15"/>
      <c r="NTN243" s="15"/>
      <c r="NTO243" s="15"/>
      <c r="NTP243" s="15"/>
      <c r="NTQ243" s="15"/>
      <c r="NTR243" s="15"/>
      <c r="NTS243" s="15"/>
      <c r="NTT243" s="15"/>
      <c r="NTU243" s="15"/>
      <c r="NTV243" s="15"/>
      <c r="NTW243" s="10"/>
      <c r="NTX243" s="10"/>
      <c r="NTY243" s="21"/>
      <c r="NTZ243" s="21"/>
      <c r="NUC243" s="21"/>
      <c r="NUD243" s="15"/>
      <c r="NUE243" s="15"/>
      <c r="NUF243" s="15"/>
      <c r="NUG243" s="15"/>
      <c r="NUH243" s="15"/>
      <c r="NUI243" s="15"/>
      <c r="NUJ243" s="15"/>
      <c r="NUK243" s="15"/>
      <c r="NUL243" s="15"/>
      <c r="NUM243" s="15"/>
      <c r="NUN243" s="10"/>
      <c r="NUO243" s="10"/>
      <c r="NUP243" s="21"/>
      <c r="NUQ243" s="21"/>
      <c r="NUT243" s="21"/>
      <c r="NUU243" s="15"/>
      <c r="NUV243" s="15"/>
      <c r="NUW243" s="15"/>
      <c r="NUX243" s="15"/>
      <c r="NUY243" s="15"/>
      <c r="NUZ243" s="15"/>
      <c r="NVA243" s="15"/>
      <c r="NVB243" s="15"/>
      <c r="NVC243" s="15"/>
      <c r="NVD243" s="15"/>
      <c r="NVE243" s="10"/>
      <c r="NVF243" s="10"/>
      <c r="NVG243" s="21"/>
      <c r="NVH243" s="21"/>
      <c r="NVK243" s="21"/>
      <c r="NVL243" s="15"/>
      <c r="NVM243" s="15"/>
      <c r="NVN243" s="15"/>
      <c r="NVO243" s="15"/>
      <c r="NVP243" s="15"/>
      <c r="NVQ243" s="15"/>
      <c r="NVR243" s="15"/>
      <c r="NVS243" s="15"/>
      <c r="NVT243" s="15"/>
      <c r="NVU243" s="15"/>
      <c r="NVV243" s="10"/>
      <c r="NVW243" s="10"/>
      <c r="NVX243" s="21"/>
      <c r="NVY243" s="21"/>
      <c r="NWB243" s="21"/>
      <c r="NWC243" s="15"/>
      <c r="NWD243" s="15"/>
      <c r="NWE243" s="15"/>
      <c r="NWF243" s="15"/>
      <c r="NWG243" s="15"/>
      <c r="NWH243" s="15"/>
      <c r="NWI243" s="15"/>
      <c r="NWJ243" s="15"/>
      <c r="NWK243" s="15"/>
      <c r="NWL243" s="15"/>
      <c r="NWM243" s="10"/>
      <c r="NWN243" s="10"/>
      <c r="NWO243" s="21"/>
      <c r="NWP243" s="21"/>
      <c r="NWS243" s="21"/>
      <c r="NWT243" s="15"/>
      <c r="NWU243" s="15"/>
      <c r="NWV243" s="15"/>
      <c r="NWW243" s="15"/>
      <c r="NWX243" s="15"/>
      <c r="NWY243" s="15"/>
      <c r="NWZ243" s="15"/>
      <c r="NXA243" s="15"/>
      <c r="NXB243" s="15"/>
      <c r="NXC243" s="15"/>
      <c r="NXD243" s="10"/>
      <c r="NXE243" s="10"/>
      <c r="NXF243" s="21"/>
      <c r="NXG243" s="21"/>
      <c r="NXJ243" s="21"/>
      <c r="NXK243" s="15"/>
      <c r="NXL243" s="15"/>
      <c r="NXM243" s="15"/>
      <c r="NXN243" s="15"/>
      <c r="NXO243" s="15"/>
      <c r="NXP243" s="15"/>
      <c r="NXQ243" s="15"/>
      <c r="NXR243" s="15"/>
      <c r="NXS243" s="15"/>
      <c r="NXT243" s="15"/>
      <c r="NXU243" s="10"/>
      <c r="NXV243" s="10"/>
      <c r="NXW243" s="21"/>
      <c r="NXX243" s="21"/>
      <c r="NYA243" s="21"/>
      <c r="NYB243" s="15"/>
      <c r="NYC243" s="15"/>
      <c r="NYD243" s="15"/>
      <c r="NYE243" s="15"/>
      <c r="NYF243" s="15"/>
      <c r="NYG243" s="15"/>
      <c r="NYH243" s="15"/>
      <c r="NYI243" s="15"/>
      <c r="NYJ243" s="15"/>
      <c r="NYK243" s="15"/>
      <c r="NYL243" s="10"/>
      <c r="NYM243" s="10"/>
      <c r="NYN243" s="21"/>
      <c r="NYO243" s="21"/>
      <c r="NYR243" s="21"/>
      <c r="NYS243" s="15"/>
      <c r="NYT243" s="15"/>
      <c r="NYU243" s="15"/>
      <c r="NYV243" s="15"/>
      <c r="NYW243" s="15"/>
      <c r="NYX243" s="15"/>
      <c r="NYY243" s="15"/>
      <c r="NYZ243" s="15"/>
      <c r="NZA243" s="15"/>
      <c r="NZB243" s="15"/>
      <c r="NZC243" s="10"/>
      <c r="NZD243" s="10"/>
      <c r="NZE243" s="21"/>
      <c r="NZF243" s="21"/>
      <c r="NZI243" s="21"/>
      <c r="NZJ243" s="15"/>
      <c r="NZK243" s="15"/>
      <c r="NZL243" s="15"/>
      <c r="NZM243" s="15"/>
      <c r="NZN243" s="15"/>
      <c r="NZO243" s="15"/>
      <c r="NZP243" s="15"/>
      <c r="NZQ243" s="15"/>
      <c r="NZR243" s="15"/>
      <c r="NZS243" s="15"/>
      <c r="NZT243" s="10"/>
      <c r="NZU243" s="10"/>
      <c r="NZV243" s="21"/>
      <c r="NZW243" s="21"/>
      <c r="NZZ243" s="21"/>
      <c r="OAA243" s="15"/>
      <c r="OAB243" s="15"/>
      <c r="OAC243" s="15"/>
      <c r="OAD243" s="15"/>
      <c r="OAE243" s="15"/>
      <c r="OAF243" s="15"/>
      <c r="OAG243" s="15"/>
      <c r="OAH243" s="15"/>
      <c r="OAI243" s="15"/>
      <c r="OAJ243" s="15"/>
      <c r="OAK243" s="10"/>
      <c r="OAL243" s="10"/>
      <c r="OAM243" s="21"/>
      <c r="OAN243" s="21"/>
      <c r="OAQ243" s="21"/>
      <c r="OAR243" s="15"/>
      <c r="OAS243" s="15"/>
      <c r="OAT243" s="15"/>
      <c r="OAU243" s="15"/>
      <c r="OAV243" s="15"/>
      <c r="OAW243" s="15"/>
      <c r="OAX243" s="15"/>
      <c r="OAY243" s="15"/>
      <c r="OAZ243" s="15"/>
      <c r="OBA243" s="15"/>
      <c r="OBB243" s="10"/>
      <c r="OBC243" s="10"/>
      <c r="OBD243" s="21"/>
      <c r="OBE243" s="21"/>
      <c r="OBH243" s="21"/>
      <c r="OBI243" s="15"/>
      <c r="OBJ243" s="15"/>
      <c r="OBK243" s="15"/>
      <c r="OBL243" s="15"/>
      <c r="OBM243" s="15"/>
      <c r="OBN243" s="15"/>
      <c r="OBO243" s="15"/>
      <c r="OBP243" s="15"/>
      <c r="OBQ243" s="15"/>
      <c r="OBR243" s="15"/>
      <c r="OBS243" s="10"/>
      <c r="OBT243" s="10"/>
      <c r="OBU243" s="21"/>
      <c r="OBV243" s="21"/>
      <c r="OBY243" s="21"/>
      <c r="OBZ243" s="15"/>
      <c r="OCA243" s="15"/>
      <c r="OCB243" s="15"/>
      <c r="OCC243" s="15"/>
      <c r="OCD243" s="15"/>
      <c r="OCE243" s="15"/>
      <c r="OCF243" s="15"/>
      <c r="OCG243" s="15"/>
      <c r="OCH243" s="15"/>
      <c r="OCI243" s="15"/>
      <c r="OCJ243" s="10"/>
      <c r="OCK243" s="10"/>
      <c r="OCL243" s="21"/>
      <c r="OCM243" s="21"/>
      <c r="OCP243" s="21"/>
      <c r="OCQ243" s="15"/>
      <c r="OCR243" s="15"/>
      <c r="OCS243" s="15"/>
      <c r="OCT243" s="15"/>
      <c r="OCU243" s="15"/>
      <c r="OCV243" s="15"/>
      <c r="OCW243" s="15"/>
      <c r="OCX243" s="15"/>
      <c r="OCY243" s="15"/>
      <c r="OCZ243" s="15"/>
      <c r="ODA243" s="10"/>
      <c r="ODB243" s="10"/>
      <c r="ODC243" s="21"/>
      <c r="ODD243" s="21"/>
      <c r="ODG243" s="21"/>
      <c r="ODH243" s="15"/>
      <c r="ODI243" s="15"/>
      <c r="ODJ243" s="15"/>
      <c r="ODK243" s="15"/>
      <c r="ODL243" s="15"/>
      <c r="ODM243" s="15"/>
      <c r="ODN243" s="15"/>
      <c r="ODO243" s="15"/>
      <c r="ODP243" s="15"/>
      <c r="ODQ243" s="15"/>
      <c r="ODR243" s="10"/>
      <c r="ODS243" s="10"/>
      <c r="ODT243" s="21"/>
      <c r="ODU243" s="21"/>
      <c r="ODX243" s="21"/>
      <c r="ODY243" s="15"/>
      <c r="ODZ243" s="15"/>
      <c r="OEA243" s="15"/>
      <c r="OEB243" s="15"/>
      <c r="OEC243" s="15"/>
      <c r="OED243" s="15"/>
      <c r="OEE243" s="15"/>
      <c r="OEF243" s="15"/>
      <c r="OEG243" s="15"/>
      <c r="OEH243" s="15"/>
      <c r="OEI243" s="10"/>
      <c r="OEJ243" s="10"/>
      <c r="OEK243" s="21"/>
      <c r="OEL243" s="21"/>
      <c r="OEO243" s="21"/>
      <c r="OEP243" s="15"/>
      <c r="OEQ243" s="15"/>
      <c r="OER243" s="15"/>
      <c r="OES243" s="15"/>
      <c r="OET243" s="15"/>
      <c r="OEU243" s="15"/>
      <c r="OEV243" s="15"/>
      <c r="OEW243" s="15"/>
      <c r="OEX243" s="15"/>
      <c r="OEY243" s="15"/>
      <c r="OEZ243" s="10"/>
      <c r="OFA243" s="10"/>
      <c r="OFB243" s="21"/>
      <c r="OFC243" s="21"/>
      <c r="OFF243" s="21"/>
      <c r="OFG243" s="15"/>
      <c r="OFH243" s="15"/>
      <c r="OFI243" s="15"/>
      <c r="OFJ243" s="15"/>
      <c r="OFK243" s="15"/>
      <c r="OFL243" s="15"/>
      <c r="OFM243" s="15"/>
      <c r="OFN243" s="15"/>
      <c r="OFO243" s="15"/>
      <c r="OFP243" s="15"/>
      <c r="OFQ243" s="10"/>
      <c r="OFR243" s="10"/>
      <c r="OFS243" s="21"/>
      <c r="OFT243" s="21"/>
      <c r="OFW243" s="21"/>
      <c r="OFX243" s="15"/>
      <c r="OFY243" s="15"/>
      <c r="OFZ243" s="15"/>
      <c r="OGA243" s="15"/>
      <c r="OGB243" s="15"/>
      <c r="OGC243" s="15"/>
      <c r="OGD243" s="15"/>
      <c r="OGE243" s="15"/>
      <c r="OGF243" s="15"/>
      <c r="OGG243" s="15"/>
      <c r="OGH243" s="10"/>
      <c r="OGI243" s="10"/>
      <c r="OGJ243" s="21"/>
      <c r="OGK243" s="21"/>
      <c r="OGN243" s="21"/>
      <c r="OGO243" s="15"/>
      <c r="OGP243" s="15"/>
      <c r="OGQ243" s="15"/>
      <c r="OGR243" s="15"/>
      <c r="OGS243" s="15"/>
      <c r="OGT243" s="15"/>
      <c r="OGU243" s="15"/>
      <c r="OGV243" s="15"/>
      <c r="OGW243" s="15"/>
      <c r="OGX243" s="15"/>
      <c r="OGY243" s="10"/>
      <c r="OGZ243" s="10"/>
      <c r="OHA243" s="21"/>
      <c r="OHB243" s="21"/>
      <c r="OHE243" s="21"/>
      <c r="OHF243" s="15"/>
      <c r="OHG243" s="15"/>
      <c r="OHH243" s="15"/>
      <c r="OHI243" s="15"/>
      <c r="OHJ243" s="15"/>
      <c r="OHK243" s="15"/>
      <c r="OHL243" s="15"/>
      <c r="OHM243" s="15"/>
      <c r="OHN243" s="15"/>
      <c r="OHO243" s="15"/>
      <c r="OHP243" s="10"/>
      <c r="OHQ243" s="10"/>
      <c r="OHR243" s="21"/>
      <c r="OHS243" s="21"/>
      <c r="OHV243" s="21"/>
      <c r="OHW243" s="15"/>
      <c r="OHX243" s="15"/>
      <c r="OHY243" s="15"/>
      <c r="OHZ243" s="15"/>
      <c r="OIA243" s="15"/>
      <c r="OIB243" s="15"/>
      <c r="OIC243" s="15"/>
      <c r="OID243" s="15"/>
      <c r="OIE243" s="15"/>
      <c r="OIF243" s="15"/>
      <c r="OIG243" s="10"/>
      <c r="OIH243" s="10"/>
      <c r="OII243" s="21"/>
      <c r="OIJ243" s="21"/>
      <c r="OIM243" s="21"/>
      <c r="OIN243" s="15"/>
      <c r="OIO243" s="15"/>
      <c r="OIP243" s="15"/>
      <c r="OIQ243" s="15"/>
      <c r="OIR243" s="15"/>
      <c r="OIS243" s="15"/>
      <c r="OIT243" s="15"/>
      <c r="OIU243" s="15"/>
      <c r="OIV243" s="15"/>
      <c r="OIW243" s="15"/>
      <c r="OIX243" s="10"/>
      <c r="OIY243" s="10"/>
      <c r="OIZ243" s="21"/>
      <c r="OJA243" s="21"/>
      <c r="OJD243" s="21"/>
      <c r="OJE243" s="15"/>
      <c r="OJF243" s="15"/>
      <c r="OJG243" s="15"/>
      <c r="OJH243" s="15"/>
      <c r="OJI243" s="15"/>
      <c r="OJJ243" s="15"/>
      <c r="OJK243" s="15"/>
      <c r="OJL243" s="15"/>
      <c r="OJM243" s="15"/>
      <c r="OJN243" s="15"/>
      <c r="OJO243" s="10"/>
      <c r="OJP243" s="10"/>
      <c r="OJQ243" s="21"/>
      <c r="OJR243" s="21"/>
      <c r="OJU243" s="21"/>
      <c r="OJV243" s="15"/>
      <c r="OJW243" s="15"/>
      <c r="OJX243" s="15"/>
      <c r="OJY243" s="15"/>
      <c r="OJZ243" s="15"/>
      <c r="OKA243" s="15"/>
      <c r="OKB243" s="15"/>
      <c r="OKC243" s="15"/>
      <c r="OKD243" s="15"/>
      <c r="OKE243" s="15"/>
      <c r="OKF243" s="10"/>
      <c r="OKG243" s="10"/>
      <c r="OKH243" s="21"/>
      <c r="OKI243" s="21"/>
      <c r="OKL243" s="21"/>
      <c r="OKM243" s="15"/>
      <c r="OKN243" s="15"/>
      <c r="OKO243" s="15"/>
      <c r="OKP243" s="15"/>
      <c r="OKQ243" s="15"/>
      <c r="OKR243" s="15"/>
      <c r="OKS243" s="15"/>
      <c r="OKT243" s="15"/>
      <c r="OKU243" s="15"/>
      <c r="OKV243" s="15"/>
      <c r="OKW243" s="10"/>
      <c r="OKX243" s="10"/>
      <c r="OKY243" s="21"/>
      <c r="OKZ243" s="21"/>
      <c r="OLC243" s="21"/>
      <c r="OLD243" s="15"/>
      <c r="OLE243" s="15"/>
      <c r="OLF243" s="15"/>
      <c r="OLG243" s="15"/>
      <c r="OLH243" s="15"/>
      <c r="OLI243" s="15"/>
      <c r="OLJ243" s="15"/>
      <c r="OLK243" s="15"/>
      <c r="OLL243" s="15"/>
      <c r="OLM243" s="15"/>
      <c r="OLN243" s="10"/>
      <c r="OLO243" s="10"/>
      <c r="OLP243" s="21"/>
      <c r="OLQ243" s="21"/>
      <c r="OLT243" s="21"/>
      <c r="OLU243" s="15"/>
      <c r="OLV243" s="15"/>
      <c r="OLW243" s="15"/>
      <c r="OLX243" s="15"/>
      <c r="OLY243" s="15"/>
      <c r="OLZ243" s="15"/>
      <c r="OMA243" s="15"/>
      <c r="OMB243" s="15"/>
      <c r="OMC243" s="15"/>
      <c r="OMD243" s="15"/>
      <c r="OME243" s="10"/>
      <c r="OMF243" s="10"/>
      <c r="OMG243" s="21"/>
      <c r="OMH243" s="21"/>
      <c r="OMK243" s="21"/>
      <c r="OML243" s="15"/>
      <c r="OMM243" s="15"/>
      <c r="OMN243" s="15"/>
      <c r="OMO243" s="15"/>
      <c r="OMP243" s="15"/>
      <c r="OMQ243" s="15"/>
      <c r="OMR243" s="15"/>
      <c r="OMS243" s="15"/>
      <c r="OMT243" s="15"/>
      <c r="OMU243" s="15"/>
      <c r="OMV243" s="10"/>
      <c r="OMW243" s="10"/>
      <c r="OMX243" s="21"/>
      <c r="OMY243" s="21"/>
      <c r="ONB243" s="21"/>
      <c r="ONC243" s="15"/>
      <c r="OND243" s="15"/>
      <c r="ONE243" s="15"/>
      <c r="ONF243" s="15"/>
      <c r="ONG243" s="15"/>
      <c r="ONH243" s="15"/>
      <c r="ONI243" s="15"/>
      <c r="ONJ243" s="15"/>
      <c r="ONK243" s="15"/>
      <c r="ONL243" s="15"/>
      <c r="ONM243" s="10"/>
      <c r="ONN243" s="10"/>
      <c r="ONO243" s="21"/>
      <c r="ONP243" s="21"/>
      <c r="ONS243" s="21"/>
      <c r="ONT243" s="15"/>
      <c r="ONU243" s="15"/>
      <c r="ONV243" s="15"/>
      <c r="ONW243" s="15"/>
      <c r="ONX243" s="15"/>
      <c r="ONY243" s="15"/>
      <c r="ONZ243" s="15"/>
      <c r="OOA243" s="15"/>
      <c r="OOB243" s="15"/>
      <c r="OOC243" s="15"/>
      <c r="OOD243" s="10"/>
      <c r="OOE243" s="10"/>
      <c r="OOF243" s="21"/>
      <c r="OOG243" s="21"/>
      <c r="OOJ243" s="21"/>
      <c r="OOK243" s="15"/>
      <c r="OOL243" s="15"/>
      <c r="OOM243" s="15"/>
      <c r="OON243" s="15"/>
      <c r="OOO243" s="15"/>
      <c r="OOP243" s="15"/>
      <c r="OOQ243" s="15"/>
      <c r="OOR243" s="15"/>
      <c r="OOS243" s="15"/>
      <c r="OOT243" s="15"/>
      <c r="OOU243" s="10"/>
      <c r="OOV243" s="10"/>
      <c r="OOW243" s="21"/>
      <c r="OOX243" s="21"/>
      <c r="OPA243" s="21"/>
      <c r="OPB243" s="15"/>
      <c r="OPC243" s="15"/>
      <c r="OPD243" s="15"/>
      <c r="OPE243" s="15"/>
      <c r="OPF243" s="15"/>
      <c r="OPG243" s="15"/>
      <c r="OPH243" s="15"/>
      <c r="OPI243" s="15"/>
      <c r="OPJ243" s="15"/>
      <c r="OPK243" s="15"/>
      <c r="OPL243" s="10"/>
      <c r="OPM243" s="10"/>
      <c r="OPN243" s="21"/>
      <c r="OPO243" s="21"/>
      <c r="OPR243" s="21"/>
      <c r="OPS243" s="15"/>
      <c r="OPT243" s="15"/>
      <c r="OPU243" s="15"/>
      <c r="OPV243" s="15"/>
      <c r="OPW243" s="15"/>
      <c r="OPX243" s="15"/>
      <c r="OPY243" s="15"/>
      <c r="OPZ243" s="15"/>
      <c r="OQA243" s="15"/>
      <c r="OQB243" s="15"/>
      <c r="OQC243" s="10"/>
      <c r="OQD243" s="10"/>
      <c r="OQE243" s="21"/>
      <c r="OQF243" s="21"/>
      <c r="OQI243" s="21"/>
      <c r="OQJ243" s="15"/>
      <c r="OQK243" s="15"/>
      <c r="OQL243" s="15"/>
      <c r="OQM243" s="15"/>
      <c r="OQN243" s="15"/>
      <c r="OQO243" s="15"/>
      <c r="OQP243" s="15"/>
      <c r="OQQ243" s="15"/>
      <c r="OQR243" s="15"/>
      <c r="OQS243" s="15"/>
      <c r="OQT243" s="10"/>
      <c r="OQU243" s="10"/>
      <c r="OQV243" s="21"/>
      <c r="OQW243" s="21"/>
      <c r="OQZ243" s="21"/>
      <c r="ORA243" s="15"/>
      <c r="ORB243" s="15"/>
      <c r="ORC243" s="15"/>
      <c r="ORD243" s="15"/>
      <c r="ORE243" s="15"/>
      <c r="ORF243" s="15"/>
      <c r="ORG243" s="15"/>
      <c r="ORH243" s="15"/>
      <c r="ORI243" s="15"/>
      <c r="ORJ243" s="15"/>
      <c r="ORK243" s="10"/>
      <c r="ORL243" s="10"/>
      <c r="ORM243" s="21"/>
      <c r="ORN243" s="21"/>
      <c r="ORQ243" s="21"/>
      <c r="ORR243" s="15"/>
      <c r="ORS243" s="15"/>
      <c r="ORT243" s="15"/>
      <c r="ORU243" s="15"/>
      <c r="ORV243" s="15"/>
      <c r="ORW243" s="15"/>
      <c r="ORX243" s="15"/>
      <c r="ORY243" s="15"/>
      <c r="ORZ243" s="15"/>
      <c r="OSA243" s="15"/>
      <c r="OSB243" s="10"/>
      <c r="OSC243" s="10"/>
      <c r="OSD243" s="21"/>
      <c r="OSE243" s="21"/>
      <c r="OSH243" s="21"/>
      <c r="OSI243" s="15"/>
      <c r="OSJ243" s="15"/>
      <c r="OSK243" s="15"/>
      <c r="OSL243" s="15"/>
      <c r="OSM243" s="15"/>
      <c r="OSN243" s="15"/>
      <c r="OSO243" s="15"/>
      <c r="OSP243" s="15"/>
      <c r="OSQ243" s="15"/>
      <c r="OSR243" s="15"/>
      <c r="OSS243" s="10"/>
      <c r="OST243" s="10"/>
      <c r="OSU243" s="21"/>
      <c r="OSV243" s="21"/>
      <c r="OSY243" s="21"/>
      <c r="OSZ243" s="15"/>
      <c r="OTA243" s="15"/>
      <c r="OTB243" s="15"/>
      <c r="OTC243" s="15"/>
      <c r="OTD243" s="15"/>
      <c r="OTE243" s="15"/>
      <c r="OTF243" s="15"/>
      <c r="OTG243" s="15"/>
      <c r="OTH243" s="15"/>
      <c r="OTI243" s="15"/>
      <c r="OTJ243" s="10"/>
      <c r="OTK243" s="10"/>
      <c r="OTL243" s="21"/>
      <c r="OTM243" s="21"/>
      <c r="OTP243" s="21"/>
      <c r="OTQ243" s="15"/>
      <c r="OTR243" s="15"/>
      <c r="OTS243" s="15"/>
      <c r="OTT243" s="15"/>
      <c r="OTU243" s="15"/>
      <c r="OTV243" s="15"/>
      <c r="OTW243" s="15"/>
      <c r="OTX243" s="15"/>
      <c r="OTY243" s="15"/>
      <c r="OTZ243" s="15"/>
      <c r="OUA243" s="10"/>
      <c r="OUB243" s="10"/>
      <c r="OUC243" s="21"/>
      <c r="OUD243" s="21"/>
      <c r="OUG243" s="21"/>
      <c r="OUH243" s="15"/>
      <c r="OUI243" s="15"/>
      <c r="OUJ243" s="15"/>
      <c r="OUK243" s="15"/>
      <c r="OUL243" s="15"/>
      <c r="OUM243" s="15"/>
      <c r="OUN243" s="15"/>
      <c r="OUO243" s="15"/>
      <c r="OUP243" s="15"/>
      <c r="OUQ243" s="15"/>
      <c r="OUR243" s="10"/>
      <c r="OUS243" s="10"/>
      <c r="OUT243" s="21"/>
      <c r="OUU243" s="21"/>
      <c r="OUX243" s="21"/>
      <c r="OUY243" s="15"/>
      <c r="OUZ243" s="15"/>
      <c r="OVA243" s="15"/>
      <c r="OVB243" s="15"/>
      <c r="OVC243" s="15"/>
      <c r="OVD243" s="15"/>
      <c r="OVE243" s="15"/>
      <c r="OVF243" s="15"/>
      <c r="OVG243" s="15"/>
      <c r="OVH243" s="15"/>
      <c r="OVI243" s="10"/>
      <c r="OVJ243" s="10"/>
      <c r="OVK243" s="21"/>
      <c r="OVL243" s="21"/>
      <c r="OVO243" s="21"/>
      <c r="OVP243" s="15"/>
      <c r="OVQ243" s="15"/>
      <c r="OVR243" s="15"/>
      <c r="OVS243" s="15"/>
      <c r="OVT243" s="15"/>
      <c r="OVU243" s="15"/>
      <c r="OVV243" s="15"/>
      <c r="OVW243" s="15"/>
      <c r="OVX243" s="15"/>
      <c r="OVY243" s="15"/>
      <c r="OVZ243" s="10"/>
      <c r="OWA243" s="10"/>
      <c r="OWB243" s="21"/>
      <c r="OWC243" s="21"/>
      <c r="OWF243" s="21"/>
      <c r="OWG243" s="15"/>
      <c r="OWH243" s="15"/>
      <c r="OWI243" s="15"/>
      <c r="OWJ243" s="15"/>
      <c r="OWK243" s="15"/>
      <c r="OWL243" s="15"/>
      <c r="OWM243" s="15"/>
      <c r="OWN243" s="15"/>
      <c r="OWO243" s="15"/>
      <c r="OWP243" s="15"/>
      <c r="OWQ243" s="10"/>
      <c r="OWR243" s="10"/>
      <c r="OWS243" s="21"/>
      <c r="OWT243" s="21"/>
      <c r="OWW243" s="21"/>
      <c r="OWX243" s="15"/>
      <c r="OWY243" s="15"/>
      <c r="OWZ243" s="15"/>
      <c r="OXA243" s="15"/>
      <c r="OXB243" s="15"/>
      <c r="OXC243" s="15"/>
      <c r="OXD243" s="15"/>
      <c r="OXE243" s="15"/>
      <c r="OXF243" s="15"/>
      <c r="OXG243" s="15"/>
      <c r="OXH243" s="10"/>
      <c r="OXI243" s="10"/>
      <c r="OXJ243" s="21"/>
      <c r="OXK243" s="21"/>
      <c r="OXN243" s="21"/>
      <c r="OXO243" s="15"/>
      <c r="OXP243" s="15"/>
      <c r="OXQ243" s="15"/>
      <c r="OXR243" s="15"/>
      <c r="OXS243" s="15"/>
      <c r="OXT243" s="15"/>
      <c r="OXU243" s="15"/>
      <c r="OXV243" s="15"/>
      <c r="OXW243" s="15"/>
      <c r="OXX243" s="15"/>
      <c r="OXY243" s="10"/>
      <c r="OXZ243" s="10"/>
      <c r="OYA243" s="21"/>
      <c r="OYB243" s="21"/>
      <c r="OYE243" s="21"/>
      <c r="OYF243" s="15"/>
      <c r="OYG243" s="15"/>
      <c r="OYH243" s="15"/>
      <c r="OYI243" s="15"/>
      <c r="OYJ243" s="15"/>
      <c r="OYK243" s="15"/>
      <c r="OYL243" s="15"/>
      <c r="OYM243" s="15"/>
      <c r="OYN243" s="15"/>
      <c r="OYO243" s="15"/>
      <c r="OYP243" s="10"/>
      <c r="OYQ243" s="10"/>
      <c r="OYR243" s="21"/>
      <c r="OYS243" s="21"/>
      <c r="OYV243" s="21"/>
      <c r="OYW243" s="15"/>
      <c r="OYX243" s="15"/>
      <c r="OYY243" s="15"/>
      <c r="OYZ243" s="15"/>
      <c r="OZA243" s="15"/>
      <c r="OZB243" s="15"/>
      <c r="OZC243" s="15"/>
      <c r="OZD243" s="15"/>
      <c r="OZE243" s="15"/>
      <c r="OZF243" s="15"/>
      <c r="OZG243" s="10"/>
      <c r="OZH243" s="10"/>
      <c r="OZI243" s="21"/>
      <c r="OZJ243" s="21"/>
      <c r="OZM243" s="21"/>
      <c r="OZN243" s="15"/>
      <c r="OZO243" s="15"/>
      <c r="OZP243" s="15"/>
      <c r="OZQ243" s="15"/>
      <c r="OZR243" s="15"/>
      <c r="OZS243" s="15"/>
      <c r="OZT243" s="15"/>
      <c r="OZU243" s="15"/>
      <c r="OZV243" s="15"/>
      <c r="OZW243" s="15"/>
      <c r="OZX243" s="10"/>
      <c r="OZY243" s="10"/>
      <c r="OZZ243" s="21"/>
      <c r="PAA243" s="21"/>
      <c r="PAD243" s="21"/>
      <c r="PAE243" s="15"/>
      <c r="PAF243" s="15"/>
      <c r="PAG243" s="15"/>
      <c r="PAH243" s="15"/>
      <c r="PAI243" s="15"/>
      <c r="PAJ243" s="15"/>
      <c r="PAK243" s="15"/>
      <c r="PAL243" s="15"/>
      <c r="PAM243" s="15"/>
      <c r="PAN243" s="15"/>
      <c r="PAO243" s="10"/>
      <c r="PAP243" s="10"/>
      <c r="PAQ243" s="21"/>
      <c r="PAR243" s="21"/>
      <c r="PAU243" s="21"/>
      <c r="PAV243" s="15"/>
      <c r="PAW243" s="15"/>
      <c r="PAX243" s="15"/>
      <c r="PAY243" s="15"/>
      <c r="PAZ243" s="15"/>
      <c r="PBA243" s="15"/>
      <c r="PBB243" s="15"/>
      <c r="PBC243" s="15"/>
      <c r="PBD243" s="15"/>
      <c r="PBE243" s="15"/>
      <c r="PBF243" s="10"/>
      <c r="PBG243" s="10"/>
      <c r="PBH243" s="21"/>
      <c r="PBI243" s="21"/>
      <c r="PBL243" s="21"/>
      <c r="PBM243" s="15"/>
      <c r="PBN243" s="15"/>
      <c r="PBO243" s="15"/>
      <c r="PBP243" s="15"/>
      <c r="PBQ243" s="15"/>
      <c r="PBR243" s="15"/>
      <c r="PBS243" s="15"/>
      <c r="PBT243" s="15"/>
      <c r="PBU243" s="15"/>
      <c r="PBV243" s="15"/>
      <c r="PBW243" s="10"/>
      <c r="PBX243" s="10"/>
      <c r="PBY243" s="21"/>
      <c r="PBZ243" s="21"/>
      <c r="PCC243" s="21"/>
      <c r="PCD243" s="15"/>
      <c r="PCE243" s="15"/>
      <c r="PCF243" s="15"/>
      <c r="PCG243" s="15"/>
      <c r="PCH243" s="15"/>
      <c r="PCI243" s="15"/>
      <c r="PCJ243" s="15"/>
      <c r="PCK243" s="15"/>
      <c r="PCL243" s="15"/>
      <c r="PCM243" s="15"/>
      <c r="PCN243" s="10"/>
      <c r="PCO243" s="10"/>
      <c r="PCP243" s="21"/>
      <c r="PCQ243" s="21"/>
      <c r="PCT243" s="21"/>
      <c r="PCU243" s="15"/>
      <c r="PCV243" s="15"/>
      <c r="PCW243" s="15"/>
      <c r="PCX243" s="15"/>
      <c r="PCY243" s="15"/>
      <c r="PCZ243" s="15"/>
      <c r="PDA243" s="15"/>
      <c r="PDB243" s="15"/>
      <c r="PDC243" s="15"/>
      <c r="PDD243" s="15"/>
      <c r="PDE243" s="10"/>
      <c r="PDF243" s="10"/>
      <c r="PDG243" s="21"/>
      <c r="PDH243" s="21"/>
      <c r="PDK243" s="21"/>
      <c r="PDL243" s="15"/>
      <c r="PDM243" s="15"/>
      <c r="PDN243" s="15"/>
      <c r="PDO243" s="15"/>
      <c r="PDP243" s="15"/>
      <c r="PDQ243" s="15"/>
      <c r="PDR243" s="15"/>
      <c r="PDS243" s="15"/>
      <c r="PDT243" s="15"/>
      <c r="PDU243" s="15"/>
      <c r="PDV243" s="10"/>
      <c r="PDW243" s="10"/>
      <c r="PDX243" s="21"/>
      <c r="PDY243" s="21"/>
      <c r="PEB243" s="21"/>
      <c r="PEC243" s="15"/>
      <c r="PED243" s="15"/>
      <c r="PEE243" s="15"/>
      <c r="PEF243" s="15"/>
      <c r="PEG243" s="15"/>
      <c r="PEH243" s="15"/>
      <c r="PEI243" s="15"/>
      <c r="PEJ243" s="15"/>
      <c r="PEK243" s="15"/>
      <c r="PEL243" s="15"/>
      <c r="PEM243" s="10"/>
      <c r="PEN243" s="10"/>
      <c r="PEO243" s="21"/>
      <c r="PEP243" s="21"/>
      <c r="PES243" s="21"/>
      <c r="PET243" s="15"/>
      <c r="PEU243" s="15"/>
      <c r="PEV243" s="15"/>
      <c r="PEW243" s="15"/>
      <c r="PEX243" s="15"/>
      <c r="PEY243" s="15"/>
      <c r="PEZ243" s="15"/>
      <c r="PFA243" s="15"/>
      <c r="PFB243" s="15"/>
      <c r="PFC243" s="15"/>
      <c r="PFD243" s="10"/>
      <c r="PFE243" s="10"/>
      <c r="PFF243" s="21"/>
      <c r="PFG243" s="21"/>
      <c r="PFJ243" s="21"/>
      <c r="PFK243" s="15"/>
      <c r="PFL243" s="15"/>
      <c r="PFM243" s="15"/>
      <c r="PFN243" s="15"/>
      <c r="PFO243" s="15"/>
      <c r="PFP243" s="15"/>
      <c r="PFQ243" s="15"/>
      <c r="PFR243" s="15"/>
      <c r="PFS243" s="15"/>
      <c r="PFT243" s="15"/>
      <c r="PFU243" s="10"/>
      <c r="PFV243" s="10"/>
      <c r="PFW243" s="21"/>
      <c r="PFX243" s="21"/>
      <c r="PGA243" s="21"/>
      <c r="PGB243" s="15"/>
      <c r="PGC243" s="15"/>
      <c r="PGD243" s="15"/>
      <c r="PGE243" s="15"/>
      <c r="PGF243" s="15"/>
      <c r="PGG243" s="15"/>
      <c r="PGH243" s="15"/>
      <c r="PGI243" s="15"/>
      <c r="PGJ243" s="15"/>
      <c r="PGK243" s="15"/>
      <c r="PGL243" s="10"/>
      <c r="PGM243" s="10"/>
      <c r="PGN243" s="21"/>
      <c r="PGO243" s="21"/>
      <c r="PGR243" s="21"/>
      <c r="PGS243" s="15"/>
      <c r="PGT243" s="15"/>
      <c r="PGU243" s="15"/>
      <c r="PGV243" s="15"/>
      <c r="PGW243" s="15"/>
      <c r="PGX243" s="15"/>
      <c r="PGY243" s="15"/>
      <c r="PGZ243" s="15"/>
      <c r="PHA243" s="15"/>
      <c r="PHB243" s="15"/>
      <c r="PHC243" s="10"/>
      <c r="PHD243" s="10"/>
      <c r="PHE243" s="21"/>
      <c r="PHF243" s="21"/>
      <c r="PHI243" s="21"/>
      <c r="PHJ243" s="15"/>
      <c r="PHK243" s="15"/>
      <c r="PHL243" s="15"/>
      <c r="PHM243" s="15"/>
      <c r="PHN243" s="15"/>
      <c r="PHO243" s="15"/>
      <c r="PHP243" s="15"/>
      <c r="PHQ243" s="15"/>
      <c r="PHR243" s="15"/>
      <c r="PHS243" s="15"/>
      <c r="PHT243" s="10"/>
      <c r="PHU243" s="10"/>
      <c r="PHV243" s="21"/>
      <c r="PHW243" s="21"/>
      <c r="PHZ243" s="21"/>
      <c r="PIA243" s="15"/>
      <c r="PIB243" s="15"/>
      <c r="PIC243" s="15"/>
      <c r="PID243" s="15"/>
      <c r="PIE243" s="15"/>
      <c r="PIF243" s="15"/>
      <c r="PIG243" s="15"/>
      <c r="PIH243" s="15"/>
      <c r="PII243" s="15"/>
      <c r="PIJ243" s="15"/>
      <c r="PIK243" s="10"/>
      <c r="PIL243" s="10"/>
      <c r="PIM243" s="21"/>
      <c r="PIN243" s="21"/>
      <c r="PIQ243" s="21"/>
      <c r="PIR243" s="15"/>
      <c r="PIS243" s="15"/>
      <c r="PIT243" s="15"/>
      <c r="PIU243" s="15"/>
      <c r="PIV243" s="15"/>
      <c r="PIW243" s="15"/>
      <c r="PIX243" s="15"/>
      <c r="PIY243" s="15"/>
      <c r="PIZ243" s="15"/>
      <c r="PJA243" s="15"/>
      <c r="PJB243" s="10"/>
      <c r="PJC243" s="10"/>
      <c r="PJD243" s="21"/>
      <c r="PJE243" s="21"/>
      <c r="PJH243" s="21"/>
      <c r="PJI243" s="15"/>
      <c r="PJJ243" s="15"/>
      <c r="PJK243" s="15"/>
      <c r="PJL243" s="15"/>
      <c r="PJM243" s="15"/>
      <c r="PJN243" s="15"/>
      <c r="PJO243" s="15"/>
      <c r="PJP243" s="15"/>
      <c r="PJQ243" s="15"/>
      <c r="PJR243" s="15"/>
      <c r="PJS243" s="10"/>
      <c r="PJT243" s="10"/>
      <c r="PJU243" s="21"/>
      <c r="PJV243" s="21"/>
      <c r="PJY243" s="21"/>
      <c r="PJZ243" s="15"/>
      <c r="PKA243" s="15"/>
      <c r="PKB243" s="15"/>
      <c r="PKC243" s="15"/>
      <c r="PKD243" s="15"/>
      <c r="PKE243" s="15"/>
      <c r="PKF243" s="15"/>
      <c r="PKG243" s="15"/>
      <c r="PKH243" s="15"/>
      <c r="PKI243" s="15"/>
      <c r="PKJ243" s="10"/>
      <c r="PKK243" s="10"/>
      <c r="PKL243" s="21"/>
      <c r="PKM243" s="21"/>
      <c r="PKP243" s="21"/>
      <c r="PKQ243" s="15"/>
      <c r="PKR243" s="15"/>
      <c r="PKS243" s="15"/>
      <c r="PKT243" s="15"/>
      <c r="PKU243" s="15"/>
      <c r="PKV243" s="15"/>
      <c r="PKW243" s="15"/>
      <c r="PKX243" s="15"/>
      <c r="PKY243" s="15"/>
      <c r="PKZ243" s="15"/>
      <c r="PLA243" s="10"/>
      <c r="PLB243" s="10"/>
      <c r="PLC243" s="21"/>
      <c r="PLD243" s="21"/>
      <c r="PLG243" s="21"/>
      <c r="PLH243" s="15"/>
      <c r="PLI243" s="15"/>
      <c r="PLJ243" s="15"/>
      <c r="PLK243" s="15"/>
      <c r="PLL243" s="15"/>
      <c r="PLM243" s="15"/>
      <c r="PLN243" s="15"/>
      <c r="PLO243" s="15"/>
      <c r="PLP243" s="15"/>
      <c r="PLQ243" s="15"/>
      <c r="PLR243" s="10"/>
      <c r="PLS243" s="10"/>
      <c r="PLT243" s="21"/>
      <c r="PLU243" s="21"/>
      <c r="PLX243" s="21"/>
      <c r="PLY243" s="15"/>
      <c r="PLZ243" s="15"/>
      <c r="PMA243" s="15"/>
      <c r="PMB243" s="15"/>
      <c r="PMC243" s="15"/>
      <c r="PMD243" s="15"/>
      <c r="PME243" s="15"/>
      <c r="PMF243" s="15"/>
      <c r="PMG243" s="15"/>
      <c r="PMH243" s="15"/>
      <c r="PMI243" s="10"/>
      <c r="PMJ243" s="10"/>
      <c r="PMK243" s="21"/>
      <c r="PML243" s="21"/>
      <c r="PMO243" s="21"/>
      <c r="PMP243" s="15"/>
      <c r="PMQ243" s="15"/>
      <c r="PMR243" s="15"/>
      <c r="PMS243" s="15"/>
      <c r="PMT243" s="15"/>
      <c r="PMU243" s="15"/>
      <c r="PMV243" s="15"/>
      <c r="PMW243" s="15"/>
      <c r="PMX243" s="15"/>
      <c r="PMY243" s="15"/>
      <c r="PMZ243" s="10"/>
      <c r="PNA243" s="10"/>
      <c r="PNB243" s="21"/>
      <c r="PNC243" s="21"/>
      <c r="PNF243" s="21"/>
      <c r="PNG243" s="15"/>
      <c r="PNH243" s="15"/>
      <c r="PNI243" s="15"/>
      <c r="PNJ243" s="15"/>
      <c r="PNK243" s="15"/>
      <c r="PNL243" s="15"/>
      <c r="PNM243" s="15"/>
      <c r="PNN243" s="15"/>
      <c r="PNO243" s="15"/>
      <c r="PNP243" s="15"/>
      <c r="PNQ243" s="10"/>
      <c r="PNR243" s="10"/>
      <c r="PNS243" s="21"/>
      <c r="PNT243" s="21"/>
      <c r="PNW243" s="21"/>
      <c r="PNX243" s="15"/>
      <c r="PNY243" s="15"/>
      <c r="PNZ243" s="15"/>
      <c r="POA243" s="15"/>
      <c r="POB243" s="15"/>
      <c r="POC243" s="15"/>
      <c r="POD243" s="15"/>
      <c r="POE243" s="15"/>
      <c r="POF243" s="15"/>
      <c r="POG243" s="15"/>
      <c r="POH243" s="10"/>
      <c r="POI243" s="10"/>
      <c r="POJ243" s="21"/>
      <c r="POK243" s="21"/>
      <c r="PON243" s="21"/>
      <c r="POO243" s="15"/>
      <c r="POP243" s="15"/>
      <c r="POQ243" s="15"/>
      <c r="POR243" s="15"/>
      <c r="POS243" s="15"/>
      <c r="POT243" s="15"/>
      <c r="POU243" s="15"/>
      <c r="POV243" s="15"/>
      <c r="POW243" s="15"/>
      <c r="POX243" s="15"/>
      <c r="POY243" s="10"/>
      <c r="POZ243" s="10"/>
      <c r="PPA243" s="21"/>
      <c r="PPB243" s="21"/>
      <c r="PPE243" s="21"/>
      <c r="PPF243" s="15"/>
      <c r="PPG243" s="15"/>
      <c r="PPH243" s="15"/>
      <c r="PPI243" s="15"/>
      <c r="PPJ243" s="15"/>
      <c r="PPK243" s="15"/>
      <c r="PPL243" s="15"/>
      <c r="PPM243" s="15"/>
      <c r="PPN243" s="15"/>
      <c r="PPO243" s="15"/>
      <c r="PPP243" s="10"/>
      <c r="PPQ243" s="10"/>
      <c r="PPR243" s="21"/>
      <c r="PPS243" s="21"/>
      <c r="PPV243" s="21"/>
      <c r="PPW243" s="15"/>
      <c r="PPX243" s="15"/>
      <c r="PPY243" s="15"/>
      <c r="PPZ243" s="15"/>
      <c r="PQA243" s="15"/>
      <c r="PQB243" s="15"/>
      <c r="PQC243" s="15"/>
      <c r="PQD243" s="15"/>
      <c r="PQE243" s="15"/>
      <c r="PQF243" s="15"/>
      <c r="PQG243" s="10"/>
      <c r="PQH243" s="10"/>
      <c r="PQI243" s="21"/>
      <c r="PQJ243" s="21"/>
      <c r="PQM243" s="21"/>
      <c r="PQN243" s="15"/>
      <c r="PQO243" s="15"/>
      <c r="PQP243" s="15"/>
      <c r="PQQ243" s="15"/>
      <c r="PQR243" s="15"/>
      <c r="PQS243" s="15"/>
      <c r="PQT243" s="15"/>
      <c r="PQU243" s="15"/>
      <c r="PQV243" s="15"/>
      <c r="PQW243" s="15"/>
      <c r="PQX243" s="10"/>
      <c r="PQY243" s="10"/>
      <c r="PQZ243" s="21"/>
      <c r="PRA243" s="21"/>
      <c r="PRD243" s="21"/>
      <c r="PRE243" s="15"/>
      <c r="PRF243" s="15"/>
      <c r="PRG243" s="15"/>
      <c r="PRH243" s="15"/>
      <c r="PRI243" s="15"/>
      <c r="PRJ243" s="15"/>
      <c r="PRK243" s="15"/>
      <c r="PRL243" s="15"/>
      <c r="PRM243" s="15"/>
      <c r="PRN243" s="15"/>
      <c r="PRO243" s="10"/>
      <c r="PRP243" s="10"/>
      <c r="PRQ243" s="21"/>
      <c r="PRR243" s="21"/>
      <c r="PRU243" s="21"/>
      <c r="PRV243" s="15"/>
      <c r="PRW243" s="15"/>
      <c r="PRX243" s="15"/>
      <c r="PRY243" s="15"/>
      <c r="PRZ243" s="15"/>
      <c r="PSA243" s="15"/>
      <c r="PSB243" s="15"/>
      <c r="PSC243" s="15"/>
      <c r="PSD243" s="15"/>
      <c r="PSE243" s="15"/>
      <c r="PSF243" s="10"/>
      <c r="PSG243" s="10"/>
      <c r="PSH243" s="21"/>
      <c r="PSI243" s="21"/>
      <c r="PSL243" s="21"/>
      <c r="PSM243" s="15"/>
      <c r="PSN243" s="15"/>
      <c r="PSO243" s="15"/>
      <c r="PSP243" s="15"/>
      <c r="PSQ243" s="15"/>
      <c r="PSR243" s="15"/>
      <c r="PSS243" s="15"/>
      <c r="PST243" s="15"/>
      <c r="PSU243" s="15"/>
      <c r="PSV243" s="15"/>
      <c r="PSW243" s="10"/>
      <c r="PSX243" s="10"/>
      <c r="PSY243" s="21"/>
      <c r="PSZ243" s="21"/>
      <c r="PTC243" s="21"/>
      <c r="PTD243" s="15"/>
      <c r="PTE243" s="15"/>
      <c r="PTF243" s="15"/>
      <c r="PTG243" s="15"/>
      <c r="PTH243" s="15"/>
      <c r="PTI243" s="15"/>
      <c r="PTJ243" s="15"/>
      <c r="PTK243" s="15"/>
      <c r="PTL243" s="15"/>
      <c r="PTM243" s="15"/>
      <c r="PTN243" s="10"/>
      <c r="PTO243" s="10"/>
      <c r="PTP243" s="21"/>
      <c r="PTQ243" s="21"/>
      <c r="PTT243" s="21"/>
      <c r="PTU243" s="15"/>
      <c r="PTV243" s="15"/>
      <c r="PTW243" s="15"/>
      <c r="PTX243" s="15"/>
      <c r="PTY243" s="15"/>
      <c r="PTZ243" s="15"/>
      <c r="PUA243" s="15"/>
      <c r="PUB243" s="15"/>
      <c r="PUC243" s="15"/>
      <c r="PUD243" s="15"/>
      <c r="PUE243" s="10"/>
      <c r="PUF243" s="10"/>
      <c r="PUG243" s="21"/>
      <c r="PUH243" s="21"/>
      <c r="PUK243" s="21"/>
      <c r="PUL243" s="15"/>
      <c r="PUM243" s="15"/>
      <c r="PUN243" s="15"/>
      <c r="PUO243" s="15"/>
      <c r="PUP243" s="15"/>
      <c r="PUQ243" s="15"/>
      <c r="PUR243" s="15"/>
      <c r="PUS243" s="15"/>
      <c r="PUT243" s="15"/>
      <c r="PUU243" s="15"/>
      <c r="PUV243" s="10"/>
      <c r="PUW243" s="10"/>
      <c r="PUX243" s="21"/>
      <c r="PUY243" s="21"/>
      <c r="PVB243" s="21"/>
      <c r="PVC243" s="15"/>
      <c r="PVD243" s="15"/>
      <c r="PVE243" s="15"/>
      <c r="PVF243" s="15"/>
      <c r="PVG243" s="15"/>
      <c r="PVH243" s="15"/>
      <c r="PVI243" s="15"/>
      <c r="PVJ243" s="15"/>
      <c r="PVK243" s="15"/>
      <c r="PVL243" s="15"/>
      <c r="PVM243" s="10"/>
      <c r="PVN243" s="10"/>
      <c r="PVO243" s="21"/>
      <c r="PVP243" s="21"/>
      <c r="PVS243" s="21"/>
      <c r="PVT243" s="15"/>
      <c r="PVU243" s="15"/>
      <c r="PVV243" s="15"/>
      <c r="PVW243" s="15"/>
      <c r="PVX243" s="15"/>
      <c r="PVY243" s="15"/>
      <c r="PVZ243" s="15"/>
      <c r="PWA243" s="15"/>
      <c r="PWB243" s="15"/>
      <c r="PWC243" s="15"/>
      <c r="PWD243" s="10"/>
      <c r="PWE243" s="10"/>
      <c r="PWF243" s="21"/>
      <c r="PWG243" s="21"/>
      <c r="PWJ243" s="21"/>
      <c r="PWK243" s="15"/>
      <c r="PWL243" s="15"/>
      <c r="PWM243" s="15"/>
      <c r="PWN243" s="15"/>
      <c r="PWO243" s="15"/>
      <c r="PWP243" s="15"/>
      <c r="PWQ243" s="15"/>
      <c r="PWR243" s="15"/>
      <c r="PWS243" s="15"/>
      <c r="PWT243" s="15"/>
      <c r="PWU243" s="10"/>
      <c r="PWV243" s="10"/>
      <c r="PWW243" s="21"/>
      <c r="PWX243" s="21"/>
      <c r="PXA243" s="21"/>
      <c r="PXB243" s="15"/>
      <c r="PXC243" s="15"/>
      <c r="PXD243" s="15"/>
      <c r="PXE243" s="15"/>
      <c r="PXF243" s="15"/>
      <c r="PXG243" s="15"/>
      <c r="PXH243" s="15"/>
      <c r="PXI243" s="15"/>
      <c r="PXJ243" s="15"/>
      <c r="PXK243" s="15"/>
      <c r="PXL243" s="10"/>
      <c r="PXM243" s="10"/>
      <c r="PXN243" s="21"/>
      <c r="PXO243" s="21"/>
      <c r="PXR243" s="21"/>
      <c r="PXS243" s="15"/>
      <c r="PXT243" s="15"/>
      <c r="PXU243" s="15"/>
      <c r="PXV243" s="15"/>
      <c r="PXW243" s="15"/>
      <c r="PXX243" s="15"/>
      <c r="PXY243" s="15"/>
      <c r="PXZ243" s="15"/>
      <c r="PYA243" s="15"/>
      <c r="PYB243" s="15"/>
      <c r="PYC243" s="10"/>
      <c r="PYD243" s="10"/>
      <c r="PYE243" s="21"/>
      <c r="PYF243" s="21"/>
      <c r="PYI243" s="21"/>
      <c r="PYJ243" s="15"/>
      <c r="PYK243" s="15"/>
      <c r="PYL243" s="15"/>
      <c r="PYM243" s="15"/>
      <c r="PYN243" s="15"/>
      <c r="PYO243" s="15"/>
      <c r="PYP243" s="15"/>
      <c r="PYQ243" s="15"/>
      <c r="PYR243" s="15"/>
      <c r="PYS243" s="15"/>
      <c r="PYT243" s="10"/>
      <c r="PYU243" s="10"/>
      <c r="PYV243" s="21"/>
      <c r="PYW243" s="21"/>
      <c r="PYZ243" s="21"/>
      <c r="PZA243" s="15"/>
      <c r="PZB243" s="15"/>
      <c r="PZC243" s="15"/>
      <c r="PZD243" s="15"/>
      <c r="PZE243" s="15"/>
      <c r="PZF243" s="15"/>
      <c r="PZG243" s="15"/>
      <c r="PZH243" s="15"/>
      <c r="PZI243" s="15"/>
      <c r="PZJ243" s="15"/>
      <c r="PZK243" s="10"/>
      <c r="PZL243" s="10"/>
      <c r="PZM243" s="21"/>
      <c r="PZN243" s="21"/>
      <c r="PZQ243" s="21"/>
      <c r="PZR243" s="15"/>
      <c r="PZS243" s="15"/>
      <c r="PZT243" s="15"/>
      <c r="PZU243" s="15"/>
      <c r="PZV243" s="15"/>
      <c r="PZW243" s="15"/>
      <c r="PZX243" s="15"/>
      <c r="PZY243" s="15"/>
      <c r="PZZ243" s="15"/>
      <c r="QAA243" s="15"/>
      <c r="QAB243" s="10"/>
      <c r="QAC243" s="10"/>
      <c r="QAD243" s="21"/>
      <c r="QAE243" s="21"/>
      <c r="QAH243" s="21"/>
      <c r="QAI243" s="15"/>
      <c r="QAJ243" s="15"/>
      <c r="QAK243" s="15"/>
      <c r="QAL243" s="15"/>
      <c r="QAM243" s="15"/>
      <c r="QAN243" s="15"/>
      <c r="QAO243" s="15"/>
      <c r="QAP243" s="15"/>
      <c r="QAQ243" s="15"/>
      <c r="QAR243" s="15"/>
      <c r="QAS243" s="10"/>
      <c r="QAT243" s="10"/>
      <c r="QAU243" s="21"/>
      <c r="QAV243" s="21"/>
      <c r="QAY243" s="21"/>
      <c r="QAZ243" s="15"/>
      <c r="QBA243" s="15"/>
      <c r="QBB243" s="15"/>
      <c r="QBC243" s="15"/>
      <c r="QBD243" s="15"/>
      <c r="QBE243" s="15"/>
      <c r="QBF243" s="15"/>
      <c r="QBG243" s="15"/>
      <c r="QBH243" s="15"/>
      <c r="QBI243" s="15"/>
      <c r="QBJ243" s="10"/>
      <c r="QBK243" s="10"/>
      <c r="QBL243" s="21"/>
      <c r="QBM243" s="21"/>
      <c r="QBP243" s="21"/>
      <c r="QBQ243" s="15"/>
      <c r="QBR243" s="15"/>
      <c r="QBS243" s="15"/>
      <c r="QBT243" s="15"/>
      <c r="QBU243" s="15"/>
      <c r="QBV243" s="15"/>
      <c r="QBW243" s="15"/>
      <c r="QBX243" s="15"/>
      <c r="QBY243" s="15"/>
      <c r="QBZ243" s="15"/>
      <c r="QCA243" s="10"/>
      <c r="QCB243" s="10"/>
      <c r="QCC243" s="21"/>
      <c r="QCD243" s="21"/>
      <c r="QCG243" s="21"/>
      <c r="QCH243" s="15"/>
      <c r="QCI243" s="15"/>
      <c r="QCJ243" s="15"/>
      <c r="QCK243" s="15"/>
      <c r="QCL243" s="15"/>
      <c r="QCM243" s="15"/>
      <c r="QCN243" s="15"/>
      <c r="QCO243" s="15"/>
      <c r="QCP243" s="15"/>
      <c r="QCQ243" s="15"/>
      <c r="QCR243" s="10"/>
      <c r="QCS243" s="10"/>
      <c r="QCT243" s="21"/>
      <c r="QCU243" s="21"/>
      <c r="QCX243" s="21"/>
      <c r="QCY243" s="15"/>
      <c r="QCZ243" s="15"/>
      <c r="QDA243" s="15"/>
      <c r="QDB243" s="15"/>
      <c r="QDC243" s="15"/>
      <c r="QDD243" s="15"/>
      <c r="QDE243" s="15"/>
      <c r="QDF243" s="15"/>
      <c r="QDG243" s="15"/>
      <c r="QDH243" s="15"/>
      <c r="QDI243" s="10"/>
      <c r="QDJ243" s="10"/>
      <c r="QDK243" s="21"/>
      <c r="QDL243" s="21"/>
      <c r="QDO243" s="21"/>
      <c r="QDP243" s="15"/>
      <c r="QDQ243" s="15"/>
      <c r="QDR243" s="15"/>
      <c r="QDS243" s="15"/>
      <c r="QDT243" s="15"/>
      <c r="QDU243" s="15"/>
      <c r="QDV243" s="15"/>
      <c r="QDW243" s="15"/>
      <c r="QDX243" s="15"/>
      <c r="QDY243" s="15"/>
      <c r="QDZ243" s="10"/>
      <c r="QEA243" s="10"/>
      <c r="QEB243" s="21"/>
      <c r="QEC243" s="21"/>
      <c r="QEF243" s="21"/>
      <c r="QEG243" s="15"/>
      <c r="QEH243" s="15"/>
      <c r="QEI243" s="15"/>
      <c r="QEJ243" s="15"/>
      <c r="QEK243" s="15"/>
      <c r="QEL243" s="15"/>
      <c r="QEM243" s="15"/>
      <c r="QEN243" s="15"/>
      <c r="QEO243" s="15"/>
      <c r="QEP243" s="15"/>
      <c r="QEQ243" s="10"/>
      <c r="QER243" s="10"/>
      <c r="QES243" s="21"/>
      <c r="QET243" s="21"/>
      <c r="QEW243" s="21"/>
      <c r="QEX243" s="15"/>
      <c r="QEY243" s="15"/>
      <c r="QEZ243" s="15"/>
      <c r="QFA243" s="15"/>
      <c r="QFB243" s="15"/>
      <c r="QFC243" s="15"/>
      <c r="QFD243" s="15"/>
      <c r="QFE243" s="15"/>
      <c r="QFF243" s="15"/>
      <c r="QFG243" s="15"/>
      <c r="QFH243" s="10"/>
      <c r="QFI243" s="10"/>
      <c r="QFJ243" s="21"/>
      <c r="QFK243" s="21"/>
      <c r="QFN243" s="21"/>
      <c r="QFO243" s="15"/>
      <c r="QFP243" s="15"/>
      <c r="QFQ243" s="15"/>
      <c r="QFR243" s="15"/>
      <c r="QFS243" s="15"/>
      <c r="QFT243" s="15"/>
      <c r="QFU243" s="15"/>
      <c r="QFV243" s="15"/>
      <c r="QFW243" s="15"/>
      <c r="QFX243" s="15"/>
      <c r="QFY243" s="10"/>
      <c r="QFZ243" s="10"/>
      <c r="QGA243" s="21"/>
      <c r="QGB243" s="21"/>
      <c r="QGE243" s="21"/>
      <c r="QGF243" s="15"/>
      <c r="QGG243" s="15"/>
      <c r="QGH243" s="15"/>
      <c r="QGI243" s="15"/>
      <c r="QGJ243" s="15"/>
      <c r="QGK243" s="15"/>
      <c r="QGL243" s="15"/>
      <c r="QGM243" s="15"/>
      <c r="QGN243" s="15"/>
      <c r="QGO243" s="15"/>
      <c r="QGP243" s="10"/>
      <c r="QGQ243" s="10"/>
      <c r="QGR243" s="21"/>
      <c r="QGS243" s="21"/>
      <c r="QGV243" s="21"/>
      <c r="QGW243" s="15"/>
      <c r="QGX243" s="15"/>
      <c r="QGY243" s="15"/>
      <c r="QGZ243" s="15"/>
      <c r="QHA243" s="15"/>
      <c r="QHB243" s="15"/>
      <c r="QHC243" s="15"/>
      <c r="QHD243" s="15"/>
      <c r="QHE243" s="15"/>
      <c r="QHF243" s="15"/>
      <c r="QHG243" s="10"/>
      <c r="QHH243" s="10"/>
      <c r="QHI243" s="21"/>
      <c r="QHJ243" s="21"/>
      <c r="QHM243" s="21"/>
      <c r="QHN243" s="15"/>
      <c r="QHO243" s="15"/>
      <c r="QHP243" s="15"/>
      <c r="QHQ243" s="15"/>
      <c r="QHR243" s="15"/>
      <c r="QHS243" s="15"/>
      <c r="QHT243" s="15"/>
      <c r="QHU243" s="15"/>
      <c r="QHV243" s="15"/>
      <c r="QHW243" s="15"/>
      <c r="QHX243" s="10"/>
      <c r="QHY243" s="10"/>
      <c r="QHZ243" s="21"/>
      <c r="QIA243" s="21"/>
      <c r="QID243" s="21"/>
      <c r="QIE243" s="15"/>
      <c r="QIF243" s="15"/>
      <c r="QIG243" s="15"/>
      <c r="QIH243" s="15"/>
      <c r="QII243" s="15"/>
      <c r="QIJ243" s="15"/>
      <c r="QIK243" s="15"/>
      <c r="QIL243" s="15"/>
      <c r="QIM243" s="15"/>
      <c r="QIN243" s="15"/>
      <c r="QIO243" s="10"/>
      <c r="QIP243" s="10"/>
      <c r="QIQ243" s="21"/>
      <c r="QIR243" s="21"/>
      <c r="QIU243" s="21"/>
      <c r="QIV243" s="15"/>
      <c r="QIW243" s="15"/>
      <c r="QIX243" s="15"/>
      <c r="QIY243" s="15"/>
      <c r="QIZ243" s="15"/>
      <c r="QJA243" s="15"/>
      <c r="QJB243" s="15"/>
      <c r="QJC243" s="15"/>
      <c r="QJD243" s="15"/>
      <c r="QJE243" s="15"/>
      <c r="QJF243" s="10"/>
      <c r="QJG243" s="10"/>
      <c r="QJH243" s="21"/>
      <c r="QJI243" s="21"/>
      <c r="QJL243" s="21"/>
      <c r="QJM243" s="15"/>
      <c r="QJN243" s="15"/>
      <c r="QJO243" s="15"/>
      <c r="QJP243" s="15"/>
      <c r="QJQ243" s="15"/>
      <c r="QJR243" s="15"/>
      <c r="QJS243" s="15"/>
      <c r="QJT243" s="15"/>
      <c r="QJU243" s="15"/>
      <c r="QJV243" s="15"/>
      <c r="QJW243" s="10"/>
      <c r="QJX243" s="10"/>
      <c r="QJY243" s="21"/>
      <c r="QJZ243" s="21"/>
      <c r="QKC243" s="21"/>
      <c r="QKD243" s="15"/>
      <c r="QKE243" s="15"/>
      <c r="QKF243" s="15"/>
      <c r="QKG243" s="15"/>
      <c r="QKH243" s="15"/>
      <c r="QKI243" s="15"/>
      <c r="QKJ243" s="15"/>
      <c r="QKK243" s="15"/>
      <c r="QKL243" s="15"/>
      <c r="QKM243" s="15"/>
      <c r="QKN243" s="10"/>
      <c r="QKO243" s="10"/>
      <c r="QKP243" s="21"/>
      <c r="QKQ243" s="21"/>
      <c r="QKT243" s="21"/>
      <c r="QKU243" s="15"/>
      <c r="QKV243" s="15"/>
      <c r="QKW243" s="15"/>
      <c r="QKX243" s="15"/>
      <c r="QKY243" s="15"/>
      <c r="QKZ243" s="15"/>
      <c r="QLA243" s="15"/>
      <c r="QLB243" s="15"/>
      <c r="QLC243" s="15"/>
      <c r="QLD243" s="15"/>
      <c r="QLE243" s="10"/>
      <c r="QLF243" s="10"/>
      <c r="QLG243" s="21"/>
      <c r="QLH243" s="21"/>
      <c r="QLK243" s="21"/>
      <c r="QLL243" s="15"/>
      <c r="QLM243" s="15"/>
      <c r="QLN243" s="15"/>
      <c r="QLO243" s="15"/>
      <c r="QLP243" s="15"/>
      <c r="QLQ243" s="15"/>
      <c r="QLR243" s="15"/>
      <c r="QLS243" s="15"/>
      <c r="QLT243" s="15"/>
      <c r="QLU243" s="15"/>
      <c r="QLV243" s="10"/>
      <c r="QLW243" s="10"/>
      <c r="QLX243" s="21"/>
      <c r="QLY243" s="21"/>
      <c r="QMB243" s="21"/>
      <c r="QMC243" s="15"/>
      <c r="QMD243" s="15"/>
      <c r="QME243" s="15"/>
      <c r="QMF243" s="15"/>
      <c r="QMG243" s="15"/>
      <c r="QMH243" s="15"/>
      <c r="QMI243" s="15"/>
      <c r="QMJ243" s="15"/>
      <c r="QMK243" s="15"/>
      <c r="QML243" s="15"/>
      <c r="QMM243" s="10"/>
      <c r="QMN243" s="10"/>
      <c r="QMO243" s="21"/>
      <c r="QMP243" s="21"/>
      <c r="QMS243" s="21"/>
      <c r="QMT243" s="15"/>
      <c r="QMU243" s="15"/>
      <c r="QMV243" s="15"/>
      <c r="QMW243" s="15"/>
      <c r="QMX243" s="15"/>
      <c r="QMY243" s="15"/>
      <c r="QMZ243" s="15"/>
      <c r="QNA243" s="15"/>
      <c r="QNB243" s="15"/>
      <c r="QNC243" s="15"/>
      <c r="QND243" s="10"/>
      <c r="QNE243" s="10"/>
      <c r="QNF243" s="21"/>
      <c r="QNG243" s="21"/>
      <c r="QNJ243" s="21"/>
      <c r="QNK243" s="15"/>
      <c r="QNL243" s="15"/>
      <c r="QNM243" s="15"/>
      <c r="QNN243" s="15"/>
      <c r="QNO243" s="15"/>
      <c r="QNP243" s="15"/>
      <c r="QNQ243" s="15"/>
      <c r="QNR243" s="15"/>
      <c r="QNS243" s="15"/>
      <c r="QNT243" s="15"/>
      <c r="QNU243" s="10"/>
      <c r="QNV243" s="10"/>
      <c r="QNW243" s="21"/>
      <c r="QNX243" s="21"/>
      <c r="QOA243" s="21"/>
      <c r="QOB243" s="15"/>
      <c r="QOC243" s="15"/>
      <c r="QOD243" s="15"/>
      <c r="QOE243" s="15"/>
      <c r="QOF243" s="15"/>
      <c r="QOG243" s="15"/>
      <c r="QOH243" s="15"/>
      <c r="QOI243" s="15"/>
      <c r="QOJ243" s="15"/>
      <c r="QOK243" s="15"/>
      <c r="QOL243" s="10"/>
      <c r="QOM243" s="10"/>
      <c r="QON243" s="21"/>
      <c r="QOO243" s="21"/>
      <c r="QOR243" s="21"/>
      <c r="QOS243" s="15"/>
      <c r="QOT243" s="15"/>
      <c r="QOU243" s="15"/>
      <c r="QOV243" s="15"/>
      <c r="QOW243" s="15"/>
      <c r="QOX243" s="15"/>
      <c r="QOY243" s="15"/>
      <c r="QOZ243" s="15"/>
      <c r="QPA243" s="15"/>
      <c r="QPB243" s="15"/>
      <c r="QPC243" s="10"/>
      <c r="QPD243" s="10"/>
      <c r="QPE243" s="21"/>
      <c r="QPF243" s="21"/>
      <c r="QPI243" s="21"/>
      <c r="QPJ243" s="15"/>
      <c r="QPK243" s="15"/>
      <c r="QPL243" s="15"/>
      <c r="QPM243" s="15"/>
      <c r="QPN243" s="15"/>
      <c r="QPO243" s="15"/>
      <c r="QPP243" s="15"/>
      <c r="QPQ243" s="15"/>
      <c r="QPR243" s="15"/>
      <c r="QPS243" s="15"/>
      <c r="QPT243" s="10"/>
      <c r="QPU243" s="10"/>
      <c r="QPV243" s="21"/>
      <c r="QPW243" s="21"/>
      <c r="QPZ243" s="21"/>
      <c r="QQA243" s="15"/>
      <c r="QQB243" s="15"/>
      <c r="QQC243" s="15"/>
      <c r="QQD243" s="15"/>
      <c r="QQE243" s="15"/>
      <c r="QQF243" s="15"/>
      <c r="QQG243" s="15"/>
      <c r="QQH243" s="15"/>
      <c r="QQI243" s="15"/>
      <c r="QQJ243" s="15"/>
      <c r="QQK243" s="10"/>
      <c r="QQL243" s="10"/>
      <c r="QQM243" s="21"/>
      <c r="QQN243" s="21"/>
      <c r="QQQ243" s="21"/>
      <c r="QQR243" s="15"/>
      <c r="QQS243" s="15"/>
      <c r="QQT243" s="15"/>
      <c r="QQU243" s="15"/>
      <c r="QQV243" s="15"/>
      <c r="QQW243" s="15"/>
      <c r="QQX243" s="15"/>
      <c r="QQY243" s="15"/>
      <c r="QQZ243" s="15"/>
      <c r="QRA243" s="15"/>
      <c r="QRB243" s="10"/>
      <c r="QRC243" s="10"/>
      <c r="QRD243" s="21"/>
      <c r="QRE243" s="21"/>
      <c r="QRH243" s="21"/>
      <c r="QRI243" s="15"/>
      <c r="QRJ243" s="15"/>
      <c r="QRK243" s="15"/>
      <c r="QRL243" s="15"/>
      <c r="QRM243" s="15"/>
      <c r="QRN243" s="15"/>
      <c r="QRO243" s="15"/>
      <c r="QRP243" s="15"/>
      <c r="QRQ243" s="15"/>
      <c r="QRR243" s="15"/>
      <c r="QRS243" s="10"/>
      <c r="QRT243" s="10"/>
      <c r="QRU243" s="21"/>
      <c r="QRV243" s="21"/>
      <c r="QRY243" s="21"/>
      <c r="QRZ243" s="15"/>
      <c r="QSA243" s="15"/>
      <c r="QSB243" s="15"/>
      <c r="QSC243" s="15"/>
      <c r="QSD243" s="15"/>
      <c r="QSE243" s="15"/>
      <c r="QSF243" s="15"/>
      <c r="QSG243" s="15"/>
      <c r="QSH243" s="15"/>
      <c r="QSI243" s="15"/>
      <c r="QSJ243" s="10"/>
      <c r="QSK243" s="10"/>
      <c r="QSL243" s="21"/>
      <c r="QSM243" s="21"/>
      <c r="QSP243" s="21"/>
      <c r="QSQ243" s="15"/>
      <c r="QSR243" s="15"/>
      <c r="QSS243" s="15"/>
      <c r="QST243" s="15"/>
      <c r="QSU243" s="15"/>
      <c r="QSV243" s="15"/>
      <c r="QSW243" s="15"/>
      <c r="QSX243" s="15"/>
      <c r="QSY243" s="15"/>
      <c r="QSZ243" s="15"/>
      <c r="QTA243" s="10"/>
      <c r="QTB243" s="10"/>
      <c r="QTC243" s="21"/>
      <c r="QTD243" s="21"/>
      <c r="QTG243" s="21"/>
      <c r="QTH243" s="15"/>
      <c r="QTI243" s="15"/>
      <c r="QTJ243" s="15"/>
      <c r="QTK243" s="15"/>
      <c r="QTL243" s="15"/>
      <c r="QTM243" s="15"/>
      <c r="QTN243" s="15"/>
      <c r="QTO243" s="15"/>
      <c r="QTP243" s="15"/>
      <c r="QTQ243" s="15"/>
      <c r="QTR243" s="10"/>
      <c r="QTS243" s="10"/>
      <c r="QTT243" s="21"/>
      <c r="QTU243" s="21"/>
      <c r="QTX243" s="21"/>
      <c r="QTY243" s="15"/>
      <c r="QTZ243" s="15"/>
      <c r="QUA243" s="15"/>
      <c r="QUB243" s="15"/>
      <c r="QUC243" s="15"/>
      <c r="QUD243" s="15"/>
      <c r="QUE243" s="15"/>
      <c r="QUF243" s="15"/>
      <c r="QUG243" s="15"/>
      <c r="QUH243" s="15"/>
      <c r="QUI243" s="10"/>
      <c r="QUJ243" s="10"/>
      <c r="QUK243" s="21"/>
      <c r="QUL243" s="21"/>
      <c r="QUO243" s="21"/>
      <c r="QUP243" s="15"/>
      <c r="QUQ243" s="15"/>
      <c r="QUR243" s="15"/>
      <c r="QUS243" s="15"/>
      <c r="QUT243" s="15"/>
      <c r="QUU243" s="15"/>
      <c r="QUV243" s="15"/>
      <c r="QUW243" s="15"/>
      <c r="QUX243" s="15"/>
      <c r="QUY243" s="15"/>
      <c r="QUZ243" s="10"/>
      <c r="QVA243" s="10"/>
      <c r="QVB243" s="21"/>
      <c r="QVC243" s="21"/>
      <c r="QVF243" s="21"/>
      <c r="QVG243" s="15"/>
      <c r="QVH243" s="15"/>
      <c r="QVI243" s="15"/>
      <c r="QVJ243" s="15"/>
      <c r="QVK243" s="15"/>
      <c r="QVL243" s="15"/>
      <c r="QVM243" s="15"/>
      <c r="QVN243" s="15"/>
      <c r="QVO243" s="15"/>
      <c r="QVP243" s="15"/>
      <c r="QVQ243" s="10"/>
      <c r="QVR243" s="10"/>
      <c r="QVS243" s="21"/>
      <c r="QVT243" s="21"/>
      <c r="QVW243" s="21"/>
      <c r="QVX243" s="15"/>
      <c r="QVY243" s="15"/>
      <c r="QVZ243" s="15"/>
      <c r="QWA243" s="15"/>
      <c r="QWB243" s="15"/>
      <c r="QWC243" s="15"/>
      <c r="QWD243" s="15"/>
      <c r="QWE243" s="15"/>
      <c r="QWF243" s="15"/>
      <c r="QWG243" s="15"/>
      <c r="QWH243" s="10"/>
      <c r="QWI243" s="10"/>
      <c r="QWJ243" s="21"/>
      <c r="QWK243" s="21"/>
      <c r="QWN243" s="21"/>
      <c r="QWO243" s="15"/>
      <c r="QWP243" s="15"/>
      <c r="QWQ243" s="15"/>
      <c r="QWR243" s="15"/>
      <c r="QWS243" s="15"/>
      <c r="QWT243" s="15"/>
      <c r="QWU243" s="15"/>
      <c r="QWV243" s="15"/>
      <c r="QWW243" s="15"/>
      <c r="QWX243" s="15"/>
      <c r="QWY243" s="10"/>
      <c r="QWZ243" s="10"/>
      <c r="QXA243" s="21"/>
      <c r="QXB243" s="21"/>
      <c r="QXE243" s="21"/>
      <c r="QXF243" s="15"/>
      <c r="QXG243" s="15"/>
      <c r="QXH243" s="15"/>
      <c r="QXI243" s="15"/>
      <c r="QXJ243" s="15"/>
      <c r="QXK243" s="15"/>
      <c r="QXL243" s="15"/>
      <c r="QXM243" s="15"/>
      <c r="QXN243" s="15"/>
      <c r="QXO243" s="15"/>
      <c r="QXP243" s="10"/>
      <c r="QXQ243" s="10"/>
      <c r="QXR243" s="21"/>
      <c r="QXS243" s="21"/>
      <c r="QXV243" s="21"/>
      <c r="QXW243" s="15"/>
      <c r="QXX243" s="15"/>
      <c r="QXY243" s="15"/>
      <c r="QXZ243" s="15"/>
      <c r="QYA243" s="15"/>
      <c r="QYB243" s="15"/>
      <c r="QYC243" s="15"/>
      <c r="QYD243" s="15"/>
      <c r="QYE243" s="15"/>
      <c r="QYF243" s="15"/>
      <c r="QYG243" s="10"/>
      <c r="QYH243" s="10"/>
      <c r="QYI243" s="21"/>
      <c r="QYJ243" s="21"/>
      <c r="QYM243" s="21"/>
      <c r="QYN243" s="15"/>
      <c r="QYO243" s="15"/>
      <c r="QYP243" s="15"/>
      <c r="QYQ243" s="15"/>
      <c r="QYR243" s="15"/>
      <c r="QYS243" s="15"/>
      <c r="QYT243" s="15"/>
      <c r="QYU243" s="15"/>
      <c r="QYV243" s="15"/>
      <c r="QYW243" s="15"/>
      <c r="QYX243" s="10"/>
      <c r="QYY243" s="10"/>
      <c r="QYZ243" s="21"/>
      <c r="QZA243" s="21"/>
      <c r="QZD243" s="21"/>
      <c r="QZE243" s="15"/>
      <c r="QZF243" s="15"/>
      <c r="QZG243" s="15"/>
      <c r="QZH243" s="15"/>
      <c r="QZI243" s="15"/>
      <c r="QZJ243" s="15"/>
      <c r="QZK243" s="15"/>
      <c r="QZL243" s="15"/>
      <c r="QZM243" s="15"/>
      <c r="QZN243" s="15"/>
      <c r="QZO243" s="10"/>
      <c r="QZP243" s="10"/>
      <c r="QZQ243" s="21"/>
      <c r="QZR243" s="21"/>
      <c r="QZU243" s="21"/>
      <c r="QZV243" s="15"/>
      <c r="QZW243" s="15"/>
      <c r="QZX243" s="15"/>
      <c r="QZY243" s="15"/>
      <c r="QZZ243" s="15"/>
      <c r="RAA243" s="15"/>
      <c r="RAB243" s="15"/>
      <c r="RAC243" s="15"/>
      <c r="RAD243" s="15"/>
      <c r="RAE243" s="15"/>
      <c r="RAF243" s="10"/>
      <c r="RAG243" s="10"/>
      <c r="RAH243" s="21"/>
      <c r="RAI243" s="21"/>
      <c r="RAL243" s="21"/>
      <c r="RAM243" s="15"/>
      <c r="RAN243" s="15"/>
      <c r="RAO243" s="15"/>
      <c r="RAP243" s="15"/>
      <c r="RAQ243" s="15"/>
      <c r="RAR243" s="15"/>
      <c r="RAS243" s="15"/>
      <c r="RAT243" s="15"/>
      <c r="RAU243" s="15"/>
      <c r="RAV243" s="15"/>
      <c r="RAW243" s="10"/>
      <c r="RAX243" s="10"/>
      <c r="RAY243" s="21"/>
      <c r="RAZ243" s="21"/>
      <c r="RBC243" s="21"/>
      <c r="RBD243" s="15"/>
      <c r="RBE243" s="15"/>
      <c r="RBF243" s="15"/>
      <c r="RBG243" s="15"/>
      <c r="RBH243" s="15"/>
      <c r="RBI243" s="15"/>
      <c r="RBJ243" s="15"/>
      <c r="RBK243" s="15"/>
      <c r="RBL243" s="15"/>
      <c r="RBM243" s="15"/>
      <c r="RBN243" s="10"/>
      <c r="RBO243" s="10"/>
      <c r="RBP243" s="21"/>
      <c r="RBQ243" s="21"/>
      <c r="RBT243" s="21"/>
      <c r="RBU243" s="15"/>
      <c r="RBV243" s="15"/>
      <c r="RBW243" s="15"/>
      <c r="RBX243" s="15"/>
      <c r="RBY243" s="15"/>
      <c r="RBZ243" s="15"/>
      <c r="RCA243" s="15"/>
      <c r="RCB243" s="15"/>
      <c r="RCC243" s="15"/>
      <c r="RCD243" s="15"/>
      <c r="RCE243" s="10"/>
      <c r="RCF243" s="10"/>
      <c r="RCG243" s="21"/>
      <c r="RCH243" s="21"/>
      <c r="RCK243" s="21"/>
      <c r="RCL243" s="15"/>
      <c r="RCM243" s="15"/>
      <c r="RCN243" s="15"/>
      <c r="RCO243" s="15"/>
      <c r="RCP243" s="15"/>
      <c r="RCQ243" s="15"/>
      <c r="RCR243" s="15"/>
      <c r="RCS243" s="15"/>
      <c r="RCT243" s="15"/>
      <c r="RCU243" s="15"/>
      <c r="RCV243" s="10"/>
      <c r="RCW243" s="10"/>
      <c r="RCX243" s="21"/>
      <c r="RCY243" s="21"/>
      <c r="RDB243" s="21"/>
      <c r="RDC243" s="15"/>
      <c r="RDD243" s="15"/>
      <c r="RDE243" s="15"/>
      <c r="RDF243" s="15"/>
      <c r="RDG243" s="15"/>
      <c r="RDH243" s="15"/>
      <c r="RDI243" s="15"/>
      <c r="RDJ243" s="15"/>
      <c r="RDK243" s="15"/>
      <c r="RDL243" s="15"/>
      <c r="RDM243" s="10"/>
      <c r="RDN243" s="10"/>
      <c r="RDO243" s="21"/>
      <c r="RDP243" s="21"/>
      <c r="RDS243" s="21"/>
      <c r="RDT243" s="15"/>
      <c r="RDU243" s="15"/>
      <c r="RDV243" s="15"/>
      <c r="RDW243" s="15"/>
      <c r="RDX243" s="15"/>
      <c r="RDY243" s="15"/>
      <c r="RDZ243" s="15"/>
      <c r="REA243" s="15"/>
      <c r="REB243" s="15"/>
      <c r="REC243" s="15"/>
      <c r="RED243" s="10"/>
      <c r="REE243" s="10"/>
      <c r="REF243" s="21"/>
      <c r="REG243" s="21"/>
      <c r="REJ243" s="21"/>
      <c r="REK243" s="15"/>
      <c r="REL243" s="15"/>
      <c r="REM243" s="15"/>
      <c r="REN243" s="15"/>
      <c r="REO243" s="15"/>
      <c r="REP243" s="15"/>
      <c r="REQ243" s="15"/>
      <c r="RER243" s="15"/>
      <c r="RES243" s="15"/>
      <c r="RET243" s="15"/>
      <c r="REU243" s="10"/>
      <c r="REV243" s="10"/>
      <c r="REW243" s="21"/>
      <c r="REX243" s="21"/>
      <c r="RFA243" s="21"/>
      <c r="RFB243" s="15"/>
      <c r="RFC243" s="15"/>
      <c r="RFD243" s="15"/>
      <c r="RFE243" s="15"/>
      <c r="RFF243" s="15"/>
      <c r="RFG243" s="15"/>
      <c r="RFH243" s="15"/>
      <c r="RFI243" s="15"/>
      <c r="RFJ243" s="15"/>
      <c r="RFK243" s="15"/>
      <c r="RFL243" s="10"/>
      <c r="RFM243" s="10"/>
      <c r="RFN243" s="21"/>
      <c r="RFO243" s="21"/>
      <c r="RFR243" s="21"/>
      <c r="RFS243" s="15"/>
      <c r="RFT243" s="15"/>
      <c r="RFU243" s="15"/>
      <c r="RFV243" s="15"/>
      <c r="RFW243" s="15"/>
      <c r="RFX243" s="15"/>
      <c r="RFY243" s="15"/>
      <c r="RFZ243" s="15"/>
      <c r="RGA243" s="15"/>
      <c r="RGB243" s="15"/>
      <c r="RGC243" s="10"/>
      <c r="RGD243" s="10"/>
      <c r="RGE243" s="21"/>
      <c r="RGF243" s="21"/>
      <c r="RGI243" s="21"/>
      <c r="RGJ243" s="15"/>
      <c r="RGK243" s="15"/>
      <c r="RGL243" s="15"/>
      <c r="RGM243" s="15"/>
      <c r="RGN243" s="15"/>
      <c r="RGO243" s="15"/>
      <c r="RGP243" s="15"/>
      <c r="RGQ243" s="15"/>
      <c r="RGR243" s="15"/>
      <c r="RGS243" s="15"/>
      <c r="RGT243" s="10"/>
      <c r="RGU243" s="10"/>
      <c r="RGV243" s="21"/>
      <c r="RGW243" s="21"/>
      <c r="RGZ243" s="21"/>
      <c r="RHA243" s="15"/>
      <c r="RHB243" s="15"/>
      <c r="RHC243" s="15"/>
      <c r="RHD243" s="15"/>
      <c r="RHE243" s="15"/>
      <c r="RHF243" s="15"/>
      <c r="RHG243" s="15"/>
      <c r="RHH243" s="15"/>
      <c r="RHI243" s="15"/>
      <c r="RHJ243" s="15"/>
      <c r="RHK243" s="10"/>
      <c r="RHL243" s="10"/>
      <c r="RHM243" s="21"/>
      <c r="RHN243" s="21"/>
      <c r="RHQ243" s="21"/>
      <c r="RHR243" s="15"/>
      <c r="RHS243" s="15"/>
      <c r="RHT243" s="15"/>
      <c r="RHU243" s="15"/>
      <c r="RHV243" s="15"/>
      <c r="RHW243" s="15"/>
      <c r="RHX243" s="15"/>
      <c r="RHY243" s="15"/>
      <c r="RHZ243" s="15"/>
      <c r="RIA243" s="15"/>
      <c r="RIB243" s="10"/>
      <c r="RIC243" s="10"/>
      <c r="RID243" s="21"/>
      <c r="RIE243" s="21"/>
      <c r="RIH243" s="21"/>
      <c r="RII243" s="15"/>
      <c r="RIJ243" s="15"/>
      <c r="RIK243" s="15"/>
      <c r="RIL243" s="15"/>
      <c r="RIM243" s="15"/>
      <c r="RIN243" s="15"/>
      <c r="RIO243" s="15"/>
      <c r="RIP243" s="15"/>
      <c r="RIQ243" s="15"/>
      <c r="RIR243" s="15"/>
      <c r="RIS243" s="10"/>
      <c r="RIT243" s="10"/>
      <c r="RIU243" s="21"/>
      <c r="RIV243" s="21"/>
      <c r="RIY243" s="21"/>
      <c r="RIZ243" s="15"/>
      <c r="RJA243" s="15"/>
      <c r="RJB243" s="15"/>
      <c r="RJC243" s="15"/>
      <c r="RJD243" s="15"/>
      <c r="RJE243" s="15"/>
      <c r="RJF243" s="15"/>
      <c r="RJG243" s="15"/>
      <c r="RJH243" s="15"/>
      <c r="RJI243" s="15"/>
      <c r="RJJ243" s="10"/>
      <c r="RJK243" s="10"/>
      <c r="RJL243" s="21"/>
      <c r="RJM243" s="21"/>
      <c r="RJP243" s="21"/>
      <c r="RJQ243" s="15"/>
      <c r="RJR243" s="15"/>
      <c r="RJS243" s="15"/>
      <c r="RJT243" s="15"/>
      <c r="RJU243" s="15"/>
      <c r="RJV243" s="15"/>
      <c r="RJW243" s="15"/>
      <c r="RJX243" s="15"/>
      <c r="RJY243" s="15"/>
      <c r="RJZ243" s="15"/>
      <c r="RKA243" s="10"/>
      <c r="RKB243" s="10"/>
      <c r="RKC243" s="21"/>
      <c r="RKD243" s="21"/>
      <c r="RKG243" s="21"/>
      <c r="RKH243" s="15"/>
      <c r="RKI243" s="15"/>
      <c r="RKJ243" s="15"/>
      <c r="RKK243" s="15"/>
      <c r="RKL243" s="15"/>
      <c r="RKM243" s="15"/>
      <c r="RKN243" s="15"/>
      <c r="RKO243" s="15"/>
      <c r="RKP243" s="15"/>
      <c r="RKQ243" s="15"/>
      <c r="RKR243" s="10"/>
      <c r="RKS243" s="10"/>
      <c r="RKT243" s="21"/>
      <c r="RKU243" s="21"/>
      <c r="RKX243" s="21"/>
      <c r="RKY243" s="15"/>
      <c r="RKZ243" s="15"/>
      <c r="RLA243" s="15"/>
      <c r="RLB243" s="15"/>
      <c r="RLC243" s="15"/>
      <c r="RLD243" s="15"/>
      <c r="RLE243" s="15"/>
      <c r="RLF243" s="15"/>
      <c r="RLG243" s="15"/>
      <c r="RLH243" s="15"/>
      <c r="RLI243" s="10"/>
      <c r="RLJ243" s="10"/>
      <c r="RLK243" s="21"/>
      <c r="RLL243" s="21"/>
      <c r="RLO243" s="21"/>
      <c r="RLP243" s="15"/>
      <c r="RLQ243" s="15"/>
      <c r="RLR243" s="15"/>
      <c r="RLS243" s="15"/>
      <c r="RLT243" s="15"/>
      <c r="RLU243" s="15"/>
      <c r="RLV243" s="15"/>
      <c r="RLW243" s="15"/>
      <c r="RLX243" s="15"/>
      <c r="RLY243" s="15"/>
      <c r="RLZ243" s="10"/>
      <c r="RMA243" s="10"/>
      <c r="RMB243" s="21"/>
      <c r="RMC243" s="21"/>
      <c r="RMF243" s="21"/>
      <c r="RMG243" s="15"/>
      <c r="RMH243" s="15"/>
      <c r="RMI243" s="15"/>
      <c r="RMJ243" s="15"/>
      <c r="RMK243" s="15"/>
      <c r="RML243" s="15"/>
      <c r="RMM243" s="15"/>
      <c r="RMN243" s="15"/>
      <c r="RMO243" s="15"/>
      <c r="RMP243" s="15"/>
      <c r="RMQ243" s="10"/>
      <c r="RMR243" s="10"/>
      <c r="RMS243" s="21"/>
      <c r="RMT243" s="21"/>
      <c r="RMW243" s="21"/>
      <c r="RMX243" s="15"/>
      <c r="RMY243" s="15"/>
      <c r="RMZ243" s="15"/>
      <c r="RNA243" s="15"/>
      <c r="RNB243" s="15"/>
      <c r="RNC243" s="15"/>
      <c r="RND243" s="15"/>
      <c r="RNE243" s="15"/>
      <c r="RNF243" s="15"/>
      <c r="RNG243" s="15"/>
      <c r="RNH243" s="10"/>
      <c r="RNI243" s="10"/>
      <c r="RNJ243" s="21"/>
      <c r="RNK243" s="21"/>
      <c r="RNN243" s="21"/>
      <c r="RNO243" s="15"/>
      <c r="RNP243" s="15"/>
      <c r="RNQ243" s="15"/>
      <c r="RNR243" s="15"/>
      <c r="RNS243" s="15"/>
      <c r="RNT243" s="15"/>
      <c r="RNU243" s="15"/>
      <c r="RNV243" s="15"/>
      <c r="RNW243" s="15"/>
      <c r="RNX243" s="15"/>
      <c r="RNY243" s="10"/>
      <c r="RNZ243" s="10"/>
      <c r="ROA243" s="21"/>
      <c r="ROB243" s="21"/>
      <c r="ROE243" s="21"/>
      <c r="ROF243" s="15"/>
      <c r="ROG243" s="15"/>
      <c r="ROH243" s="15"/>
      <c r="ROI243" s="15"/>
      <c r="ROJ243" s="15"/>
      <c r="ROK243" s="15"/>
      <c r="ROL243" s="15"/>
      <c r="ROM243" s="15"/>
      <c r="RON243" s="15"/>
      <c r="ROO243" s="15"/>
      <c r="ROP243" s="10"/>
      <c r="ROQ243" s="10"/>
      <c r="ROR243" s="21"/>
      <c r="ROS243" s="21"/>
      <c r="ROV243" s="21"/>
      <c r="ROW243" s="15"/>
      <c r="ROX243" s="15"/>
      <c r="ROY243" s="15"/>
      <c r="ROZ243" s="15"/>
      <c r="RPA243" s="15"/>
      <c r="RPB243" s="15"/>
      <c r="RPC243" s="15"/>
      <c r="RPD243" s="15"/>
      <c r="RPE243" s="15"/>
      <c r="RPF243" s="15"/>
      <c r="RPG243" s="10"/>
      <c r="RPH243" s="10"/>
      <c r="RPI243" s="21"/>
      <c r="RPJ243" s="21"/>
      <c r="RPM243" s="21"/>
      <c r="RPN243" s="15"/>
      <c r="RPO243" s="15"/>
      <c r="RPP243" s="15"/>
      <c r="RPQ243" s="15"/>
      <c r="RPR243" s="15"/>
      <c r="RPS243" s="15"/>
      <c r="RPT243" s="15"/>
      <c r="RPU243" s="15"/>
      <c r="RPV243" s="15"/>
      <c r="RPW243" s="15"/>
      <c r="RPX243" s="10"/>
      <c r="RPY243" s="10"/>
      <c r="RPZ243" s="21"/>
      <c r="RQA243" s="21"/>
      <c r="RQD243" s="21"/>
      <c r="RQE243" s="15"/>
      <c r="RQF243" s="15"/>
      <c r="RQG243" s="15"/>
      <c r="RQH243" s="15"/>
      <c r="RQI243" s="15"/>
      <c r="RQJ243" s="15"/>
      <c r="RQK243" s="15"/>
      <c r="RQL243" s="15"/>
      <c r="RQM243" s="15"/>
      <c r="RQN243" s="15"/>
      <c r="RQO243" s="10"/>
      <c r="RQP243" s="10"/>
      <c r="RQQ243" s="21"/>
      <c r="RQR243" s="21"/>
      <c r="RQU243" s="21"/>
      <c r="RQV243" s="15"/>
      <c r="RQW243" s="15"/>
      <c r="RQX243" s="15"/>
      <c r="RQY243" s="15"/>
      <c r="RQZ243" s="15"/>
      <c r="RRA243" s="15"/>
      <c r="RRB243" s="15"/>
      <c r="RRC243" s="15"/>
      <c r="RRD243" s="15"/>
      <c r="RRE243" s="15"/>
      <c r="RRF243" s="10"/>
      <c r="RRG243" s="10"/>
      <c r="RRH243" s="21"/>
      <c r="RRI243" s="21"/>
      <c r="RRL243" s="21"/>
      <c r="RRM243" s="15"/>
      <c r="RRN243" s="15"/>
      <c r="RRO243" s="15"/>
      <c r="RRP243" s="15"/>
      <c r="RRQ243" s="15"/>
      <c r="RRR243" s="15"/>
      <c r="RRS243" s="15"/>
      <c r="RRT243" s="15"/>
      <c r="RRU243" s="15"/>
      <c r="RRV243" s="15"/>
      <c r="RRW243" s="10"/>
      <c r="RRX243" s="10"/>
      <c r="RRY243" s="21"/>
      <c r="RRZ243" s="21"/>
      <c r="RSC243" s="21"/>
      <c r="RSD243" s="15"/>
      <c r="RSE243" s="15"/>
      <c r="RSF243" s="15"/>
      <c r="RSG243" s="15"/>
      <c r="RSH243" s="15"/>
      <c r="RSI243" s="15"/>
      <c r="RSJ243" s="15"/>
      <c r="RSK243" s="15"/>
      <c r="RSL243" s="15"/>
      <c r="RSM243" s="15"/>
      <c r="RSN243" s="10"/>
      <c r="RSO243" s="10"/>
      <c r="RSP243" s="21"/>
      <c r="RSQ243" s="21"/>
      <c r="RST243" s="21"/>
      <c r="RSU243" s="15"/>
      <c r="RSV243" s="15"/>
      <c r="RSW243" s="15"/>
      <c r="RSX243" s="15"/>
      <c r="RSY243" s="15"/>
      <c r="RSZ243" s="15"/>
      <c r="RTA243" s="15"/>
      <c r="RTB243" s="15"/>
      <c r="RTC243" s="15"/>
      <c r="RTD243" s="15"/>
      <c r="RTE243" s="10"/>
      <c r="RTF243" s="10"/>
      <c r="RTG243" s="21"/>
      <c r="RTH243" s="21"/>
      <c r="RTK243" s="21"/>
      <c r="RTL243" s="15"/>
      <c r="RTM243" s="15"/>
      <c r="RTN243" s="15"/>
      <c r="RTO243" s="15"/>
      <c r="RTP243" s="15"/>
      <c r="RTQ243" s="15"/>
      <c r="RTR243" s="15"/>
      <c r="RTS243" s="15"/>
      <c r="RTT243" s="15"/>
      <c r="RTU243" s="15"/>
      <c r="RTV243" s="10"/>
      <c r="RTW243" s="10"/>
      <c r="RTX243" s="21"/>
      <c r="RTY243" s="21"/>
      <c r="RUB243" s="21"/>
      <c r="RUC243" s="15"/>
      <c r="RUD243" s="15"/>
      <c r="RUE243" s="15"/>
      <c r="RUF243" s="15"/>
      <c r="RUG243" s="15"/>
      <c r="RUH243" s="15"/>
      <c r="RUI243" s="15"/>
      <c r="RUJ243" s="15"/>
      <c r="RUK243" s="15"/>
      <c r="RUL243" s="15"/>
      <c r="RUM243" s="10"/>
      <c r="RUN243" s="10"/>
      <c r="RUO243" s="21"/>
      <c r="RUP243" s="21"/>
      <c r="RUS243" s="21"/>
      <c r="RUT243" s="15"/>
      <c r="RUU243" s="15"/>
      <c r="RUV243" s="15"/>
      <c r="RUW243" s="15"/>
      <c r="RUX243" s="15"/>
      <c r="RUY243" s="15"/>
      <c r="RUZ243" s="15"/>
      <c r="RVA243" s="15"/>
      <c r="RVB243" s="15"/>
      <c r="RVC243" s="15"/>
      <c r="RVD243" s="10"/>
      <c r="RVE243" s="10"/>
      <c r="RVF243" s="21"/>
      <c r="RVG243" s="21"/>
      <c r="RVJ243" s="21"/>
      <c r="RVK243" s="15"/>
      <c r="RVL243" s="15"/>
      <c r="RVM243" s="15"/>
      <c r="RVN243" s="15"/>
      <c r="RVO243" s="15"/>
      <c r="RVP243" s="15"/>
      <c r="RVQ243" s="15"/>
      <c r="RVR243" s="15"/>
      <c r="RVS243" s="15"/>
      <c r="RVT243" s="15"/>
      <c r="RVU243" s="10"/>
      <c r="RVV243" s="10"/>
      <c r="RVW243" s="21"/>
      <c r="RVX243" s="21"/>
      <c r="RWA243" s="21"/>
      <c r="RWB243" s="15"/>
      <c r="RWC243" s="15"/>
      <c r="RWD243" s="15"/>
      <c r="RWE243" s="15"/>
      <c r="RWF243" s="15"/>
      <c r="RWG243" s="15"/>
      <c r="RWH243" s="15"/>
      <c r="RWI243" s="15"/>
      <c r="RWJ243" s="15"/>
      <c r="RWK243" s="15"/>
      <c r="RWL243" s="10"/>
      <c r="RWM243" s="10"/>
      <c r="RWN243" s="21"/>
      <c r="RWO243" s="21"/>
      <c r="RWR243" s="21"/>
      <c r="RWS243" s="15"/>
      <c r="RWT243" s="15"/>
      <c r="RWU243" s="15"/>
      <c r="RWV243" s="15"/>
      <c r="RWW243" s="15"/>
      <c r="RWX243" s="15"/>
      <c r="RWY243" s="15"/>
      <c r="RWZ243" s="15"/>
      <c r="RXA243" s="15"/>
      <c r="RXB243" s="15"/>
      <c r="RXC243" s="10"/>
      <c r="RXD243" s="10"/>
      <c r="RXE243" s="21"/>
      <c r="RXF243" s="21"/>
      <c r="RXI243" s="21"/>
      <c r="RXJ243" s="15"/>
      <c r="RXK243" s="15"/>
      <c r="RXL243" s="15"/>
      <c r="RXM243" s="15"/>
      <c r="RXN243" s="15"/>
      <c r="RXO243" s="15"/>
      <c r="RXP243" s="15"/>
      <c r="RXQ243" s="15"/>
      <c r="RXR243" s="15"/>
      <c r="RXS243" s="15"/>
      <c r="RXT243" s="10"/>
      <c r="RXU243" s="10"/>
      <c r="RXV243" s="21"/>
      <c r="RXW243" s="21"/>
      <c r="RXZ243" s="21"/>
      <c r="RYA243" s="15"/>
      <c r="RYB243" s="15"/>
      <c r="RYC243" s="15"/>
      <c r="RYD243" s="15"/>
      <c r="RYE243" s="15"/>
      <c r="RYF243" s="15"/>
      <c r="RYG243" s="15"/>
      <c r="RYH243" s="15"/>
      <c r="RYI243" s="15"/>
      <c r="RYJ243" s="15"/>
      <c r="RYK243" s="10"/>
      <c r="RYL243" s="10"/>
      <c r="RYM243" s="21"/>
      <c r="RYN243" s="21"/>
      <c r="RYQ243" s="21"/>
      <c r="RYR243" s="15"/>
      <c r="RYS243" s="15"/>
      <c r="RYT243" s="15"/>
      <c r="RYU243" s="15"/>
      <c r="RYV243" s="15"/>
      <c r="RYW243" s="15"/>
      <c r="RYX243" s="15"/>
      <c r="RYY243" s="15"/>
      <c r="RYZ243" s="15"/>
      <c r="RZA243" s="15"/>
      <c r="RZB243" s="10"/>
      <c r="RZC243" s="10"/>
      <c r="RZD243" s="21"/>
      <c r="RZE243" s="21"/>
      <c r="RZH243" s="21"/>
      <c r="RZI243" s="15"/>
      <c r="RZJ243" s="15"/>
      <c r="RZK243" s="15"/>
      <c r="RZL243" s="15"/>
      <c r="RZM243" s="15"/>
      <c r="RZN243" s="15"/>
      <c r="RZO243" s="15"/>
      <c r="RZP243" s="15"/>
      <c r="RZQ243" s="15"/>
      <c r="RZR243" s="15"/>
      <c r="RZS243" s="10"/>
      <c r="RZT243" s="10"/>
      <c r="RZU243" s="21"/>
      <c r="RZV243" s="21"/>
      <c r="RZY243" s="21"/>
      <c r="RZZ243" s="15"/>
      <c r="SAA243" s="15"/>
      <c r="SAB243" s="15"/>
      <c r="SAC243" s="15"/>
      <c r="SAD243" s="15"/>
      <c r="SAE243" s="15"/>
      <c r="SAF243" s="15"/>
      <c r="SAG243" s="15"/>
      <c r="SAH243" s="15"/>
      <c r="SAI243" s="15"/>
      <c r="SAJ243" s="10"/>
      <c r="SAK243" s="10"/>
      <c r="SAL243" s="21"/>
      <c r="SAM243" s="21"/>
      <c r="SAP243" s="21"/>
      <c r="SAQ243" s="15"/>
      <c r="SAR243" s="15"/>
      <c r="SAS243" s="15"/>
      <c r="SAT243" s="15"/>
      <c r="SAU243" s="15"/>
      <c r="SAV243" s="15"/>
      <c r="SAW243" s="15"/>
      <c r="SAX243" s="15"/>
      <c r="SAY243" s="15"/>
      <c r="SAZ243" s="15"/>
      <c r="SBA243" s="10"/>
      <c r="SBB243" s="10"/>
      <c r="SBC243" s="21"/>
      <c r="SBD243" s="21"/>
      <c r="SBG243" s="21"/>
      <c r="SBH243" s="15"/>
      <c r="SBI243" s="15"/>
      <c r="SBJ243" s="15"/>
      <c r="SBK243" s="15"/>
      <c r="SBL243" s="15"/>
      <c r="SBM243" s="15"/>
      <c r="SBN243" s="15"/>
      <c r="SBO243" s="15"/>
      <c r="SBP243" s="15"/>
      <c r="SBQ243" s="15"/>
      <c r="SBR243" s="10"/>
      <c r="SBS243" s="10"/>
      <c r="SBT243" s="21"/>
      <c r="SBU243" s="21"/>
      <c r="SBX243" s="21"/>
      <c r="SBY243" s="15"/>
      <c r="SBZ243" s="15"/>
      <c r="SCA243" s="15"/>
      <c r="SCB243" s="15"/>
      <c r="SCC243" s="15"/>
      <c r="SCD243" s="15"/>
      <c r="SCE243" s="15"/>
      <c r="SCF243" s="15"/>
      <c r="SCG243" s="15"/>
      <c r="SCH243" s="15"/>
      <c r="SCI243" s="10"/>
      <c r="SCJ243" s="10"/>
      <c r="SCK243" s="21"/>
      <c r="SCL243" s="21"/>
      <c r="SCO243" s="21"/>
      <c r="SCP243" s="15"/>
      <c r="SCQ243" s="15"/>
      <c r="SCR243" s="15"/>
      <c r="SCS243" s="15"/>
      <c r="SCT243" s="15"/>
      <c r="SCU243" s="15"/>
      <c r="SCV243" s="15"/>
      <c r="SCW243" s="15"/>
      <c r="SCX243" s="15"/>
      <c r="SCY243" s="15"/>
      <c r="SCZ243" s="10"/>
      <c r="SDA243" s="10"/>
      <c r="SDB243" s="21"/>
      <c r="SDC243" s="21"/>
      <c r="SDF243" s="21"/>
      <c r="SDG243" s="15"/>
      <c r="SDH243" s="15"/>
      <c r="SDI243" s="15"/>
      <c r="SDJ243" s="15"/>
      <c r="SDK243" s="15"/>
      <c r="SDL243" s="15"/>
      <c r="SDM243" s="15"/>
      <c r="SDN243" s="15"/>
      <c r="SDO243" s="15"/>
      <c r="SDP243" s="15"/>
      <c r="SDQ243" s="10"/>
      <c r="SDR243" s="10"/>
      <c r="SDS243" s="21"/>
      <c r="SDT243" s="21"/>
      <c r="SDW243" s="21"/>
      <c r="SDX243" s="15"/>
      <c r="SDY243" s="15"/>
      <c r="SDZ243" s="15"/>
      <c r="SEA243" s="15"/>
      <c r="SEB243" s="15"/>
      <c r="SEC243" s="15"/>
      <c r="SED243" s="15"/>
      <c r="SEE243" s="15"/>
      <c r="SEF243" s="15"/>
      <c r="SEG243" s="15"/>
      <c r="SEH243" s="10"/>
      <c r="SEI243" s="10"/>
      <c r="SEJ243" s="21"/>
      <c r="SEK243" s="21"/>
      <c r="SEN243" s="21"/>
      <c r="SEO243" s="15"/>
      <c r="SEP243" s="15"/>
      <c r="SEQ243" s="15"/>
      <c r="SER243" s="15"/>
      <c r="SES243" s="15"/>
      <c r="SET243" s="15"/>
      <c r="SEU243" s="15"/>
      <c r="SEV243" s="15"/>
      <c r="SEW243" s="15"/>
      <c r="SEX243" s="15"/>
      <c r="SEY243" s="10"/>
      <c r="SEZ243" s="10"/>
      <c r="SFA243" s="21"/>
      <c r="SFB243" s="21"/>
      <c r="SFE243" s="21"/>
      <c r="SFF243" s="15"/>
      <c r="SFG243" s="15"/>
      <c r="SFH243" s="15"/>
      <c r="SFI243" s="15"/>
      <c r="SFJ243" s="15"/>
      <c r="SFK243" s="15"/>
      <c r="SFL243" s="15"/>
      <c r="SFM243" s="15"/>
      <c r="SFN243" s="15"/>
      <c r="SFO243" s="15"/>
      <c r="SFP243" s="10"/>
      <c r="SFQ243" s="10"/>
      <c r="SFR243" s="21"/>
      <c r="SFS243" s="21"/>
      <c r="SFV243" s="21"/>
      <c r="SFW243" s="15"/>
      <c r="SFX243" s="15"/>
      <c r="SFY243" s="15"/>
      <c r="SFZ243" s="15"/>
      <c r="SGA243" s="15"/>
      <c r="SGB243" s="15"/>
      <c r="SGC243" s="15"/>
      <c r="SGD243" s="15"/>
      <c r="SGE243" s="15"/>
      <c r="SGF243" s="15"/>
      <c r="SGG243" s="10"/>
      <c r="SGH243" s="10"/>
      <c r="SGI243" s="21"/>
      <c r="SGJ243" s="21"/>
      <c r="SGM243" s="21"/>
      <c r="SGN243" s="15"/>
      <c r="SGO243" s="15"/>
      <c r="SGP243" s="15"/>
      <c r="SGQ243" s="15"/>
      <c r="SGR243" s="15"/>
      <c r="SGS243" s="15"/>
      <c r="SGT243" s="15"/>
      <c r="SGU243" s="15"/>
      <c r="SGV243" s="15"/>
      <c r="SGW243" s="15"/>
      <c r="SGX243" s="10"/>
      <c r="SGY243" s="10"/>
      <c r="SGZ243" s="21"/>
      <c r="SHA243" s="21"/>
      <c r="SHD243" s="21"/>
      <c r="SHE243" s="15"/>
      <c r="SHF243" s="15"/>
      <c r="SHG243" s="15"/>
      <c r="SHH243" s="15"/>
      <c r="SHI243" s="15"/>
      <c r="SHJ243" s="15"/>
      <c r="SHK243" s="15"/>
      <c r="SHL243" s="15"/>
      <c r="SHM243" s="15"/>
      <c r="SHN243" s="15"/>
      <c r="SHO243" s="10"/>
      <c r="SHP243" s="10"/>
      <c r="SHQ243" s="21"/>
      <c r="SHR243" s="21"/>
      <c r="SHU243" s="21"/>
      <c r="SHV243" s="15"/>
      <c r="SHW243" s="15"/>
      <c r="SHX243" s="15"/>
      <c r="SHY243" s="15"/>
      <c r="SHZ243" s="15"/>
      <c r="SIA243" s="15"/>
      <c r="SIB243" s="15"/>
      <c r="SIC243" s="15"/>
      <c r="SID243" s="15"/>
      <c r="SIE243" s="15"/>
      <c r="SIF243" s="10"/>
      <c r="SIG243" s="10"/>
      <c r="SIH243" s="21"/>
      <c r="SII243" s="21"/>
      <c r="SIL243" s="21"/>
      <c r="SIM243" s="15"/>
      <c r="SIN243" s="15"/>
      <c r="SIO243" s="15"/>
      <c r="SIP243" s="15"/>
      <c r="SIQ243" s="15"/>
      <c r="SIR243" s="15"/>
      <c r="SIS243" s="15"/>
      <c r="SIT243" s="15"/>
      <c r="SIU243" s="15"/>
      <c r="SIV243" s="15"/>
      <c r="SIW243" s="10"/>
      <c r="SIX243" s="10"/>
      <c r="SIY243" s="21"/>
      <c r="SIZ243" s="21"/>
      <c r="SJC243" s="21"/>
      <c r="SJD243" s="15"/>
      <c r="SJE243" s="15"/>
      <c r="SJF243" s="15"/>
      <c r="SJG243" s="15"/>
      <c r="SJH243" s="15"/>
      <c r="SJI243" s="15"/>
      <c r="SJJ243" s="15"/>
      <c r="SJK243" s="15"/>
      <c r="SJL243" s="15"/>
      <c r="SJM243" s="15"/>
      <c r="SJN243" s="10"/>
      <c r="SJO243" s="10"/>
      <c r="SJP243" s="21"/>
      <c r="SJQ243" s="21"/>
      <c r="SJT243" s="21"/>
      <c r="SJU243" s="15"/>
      <c r="SJV243" s="15"/>
      <c r="SJW243" s="15"/>
      <c r="SJX243" s="15"/>
      <c r="SJY243" s="15"/>
      <c r="SJZ243" s="15"/>
      <c r="SKA243" s="15"/>
      <c r="SKB243" s="15"/>
      <c r="SKC243" s="15"/>
      <c r="SKD243" s="15"/>
      <c r="SKE243" s="10"/>
      <c r="SKF243" s="10"/>
      <c r="SKG243" s="21"/>
      <c r="SKH243" s="21"/>
      <c r="SKK243" s="21"/>
      <c r="SKL243" s="15"/>
      <c r="SKM243" s="15"/>
      <c r="SKN243" s="15"/>
      <c r="SKO243" s="15"/>
      <c r="SKP243" s="15"/>
      <c r="SKQ243" s="15"/>
      <c r="SKR243" s="15"/>
      <c r="SKS243" s="15"/>
      <c r="SKT243" s="15"/>
      <c r="SKU243" s="15"/>
      <c r="SKV243" s="10"/>
      <c r="SKW243" s="10"/>
      <c r="SKX243" s="21"/>
      <c r="SKY243" s="21"/>
      <c r="SLB243" s="21"/>
      <c r="SLC243" s="15"/>
      <c r="SLD243" s="15"/>
      <c r="SLE243" s="15"/>
      <c r="SLF243" s="15"/>
      <c r="SLG243" s="15"/>
      <c r="SLH243" s="15"/>
      <c r="SLI243" s="15"/>
      <c r="SLJ243" s="15"/>
      <c r="SLK243" s="15"/>
      <c r="SLL243" s="15"/>
      <c r="SLM243" s="10"/>
      <c r="SLN243" s="10"/>
      <c r="SLO243" s="21"/>
      <c r="SLP243" s="21"/>
      <c r="SLS243" s="21"/>
      <c r="SLT243" s="15"/>
      <c r="SLU243" s="15"/>
      <c r="SLV243" s="15"/>
      <c r="SLW243" s="15"/>
      <c r="SLX243" s="15"/>
      <c r="SLY243" s="15"/>
      <c r="SLZ243" s="15"/>
      <c r="SMA243" s="15"/>
      <c r="SMB243" s="15"/>
      <c r="SMC243" s="15"/>
      <c r="SMD243" s="10"/>
      <c r="SME243" s="10"/>
      <c r="SMF243" s="21"/>
      <c r="SMG243" s="21"/>
      <c r="SMJ243" s="21"/>
      <c r="SMK243" s="15"/>
      <c r="SML243" s="15"/>
      <c r="SMM243" s="15"/>
      <c r="SMN243" s="15"/>
      <c r="SMO243" s="15"/>
      <c r="SMP243" s="15"/>
      <c r="SMQ243" s="15"/>
      <c r="SMR243" s="15"/>
      <c r="SMS243" s="15"/>
      <c r="SMT243" s="15"/>
      <c r="SMU243" s="10"/>
      <c r="SMV243" s="10"/>
      <c r="SMW243" s="21"/>
      <c r="SMX243" s="21"/>
      <c r="SNA243" s="21"/>
      <c r="SNB243" s="15"/>
      <c r="SNC243" s="15"/>
      <c r="SND243" s="15"/>
      <c r="SNE243" s="15"/>
      <c r="SNF243" s="15"/>
      <c r="SNG243" s="15"/>
      <c r="SNH243" s="15"/>
      <c r="SNI243" s="15"/>
      <c r="SNJ243" s="15"/>
      <c r="SNK243" s="15"/>
      <c r="SNL243" s="10"/>
      <c r="SNM243" s="10"/>
      <c r="SNN243" s="21"/>
      <c r="SNO243" s="21"/>
      <c r="SNR243" s="21"/>
      <c r="SNS243" s="15"/>
      <c r="SNT243" s="15"/>
      <c r="SNU243" s="15"/>
      <c r="SNV243" s="15"/>
      <c r="SNW243" s="15"/>
      <c r="SNX243" s="15"/>
      <c r="SNY243" s="15"/>
      <c r="SNZ243" s="15"/>
      <c r="SOA243" s="15"/>
      <c r="SOB243" s="15"/>
      <c r="SOC243" s="10"/>
      <c r="SOD243" s="10"/>
      <c r="SOE243" s="21"/>
      <c r="SOF243" s="21"/>
      <c r="SOI243" s="21"/>
      <c r="SOJ243" s="15"/>
      <c r="SOK243" s="15"/>
      <c r="SOL243" s="15"/>
      <c r="SOM243" s="15"/>
      <c r="SON243" s="15"/>
      <c r="SOO243" s="15"/>
      <c r="SOP243" s="15"/>
      <c r="SOQ243" s="15"/>
      <c r="SOR243" s="15"/>
      <c r="SOS243" s="15"/>
      <c r="SOT243" s="10"/>
      <c r="SOU243" s="10"/>
      <c r="SOV243" s="21"/>
      <c r="SOW243" s="21"/>
      <c r="SOZ243" s="21"/>
      <c r="SPA243" s="15"/>
      <c r="SPB243" s="15"/>
      <c r="SPC243" s="15"/>
      <c r="SPD243" s="15"/>
      <c r="SPE243" s="15"/>
      <c r="SPF243" s="15"/>
      <c r="SPG243" s="15"/>
      <c r="SPH243" s="15"/>
      <c r="SPI243" s="15"/>
      <c r="SPJ243" s="15"/>
      <c r="SPK243" s="10"/>
      <c r="SPL243" s="10"/>
      <c r="SPM243" s="21"/>
      <c r="SPN243" s="21"/>
      <c r="SPQ243" s="21"/>
      <c r="SPR243" s="15"/>
      <c r="SPS243" s="15"/>
      <c r="SPT243" s="15"/>
      <c r="SPU243" s="15"/>
      <c r="SPV243" s="15"/>
      <c r="SPW243" s="15"/>
      <c r="SPX243" s="15"/>
      <c r="SPY243" s="15"/>
      <c r="SPZ243" s="15"/>
      <c r="SQA243" s="15"/>
      <c r="SQB243" s="10"/>
      <c r="SQC243" s="10"/>
      <c r="SQD243" s="21"/>
      <c r="SQE243" s="21"/>
      <c r="SQH243" s="21"/>
      <c r="SQI243" s="15"/>
      <c r="SQJ243" s="15"/>
      <c r="SQK243" s="15"/>
      <c r="SQL243" s="15"/>
      <c r="SQM243" s="15"/>
      <c r="SQN243" s="15"/>
      <c r="SQO243" s="15"/>
      <c r="SQP243" s="15"/>
      <c r="SQQ243" s="15"/>
      <c r="SQR243" s="15"/>
      <c r="SQS243" s="10"/>
      <c r="SQT243" s="10"/>
      <c r="SQU243" s="21"/>
      <c r="SQV243" s="21"/>
      <c r="SQY243" s="21"/>
      <c r="SQZ243" s="15"/>
      <c r="SRA243" s="15"/>
      <c r="SRB243" s="15"/>
      <c r="SRC243" s="15"/>
      <c r="SRD243" s="15"/>
      <c r="SRE243" s="15"/>
      <c r="SRF243" s="15"/>
      <c r="SRG243" s="15"/>
      <c r="SRH243" s="15"/>
      <c r="SRI243" s="15"/>
      <c r="SRJ243" s="10"/>
      <c r="SRK243" s="10"/>
      <c r="SRL243" s="21"/>
      <c r="SRM243" s="21"/>
      <c r="SRP243" s="21"/>
      <c r="SRQ243" s="15"/>
      <c r="SRR243" s="15"/>
      <c r="SRS243" s="15"/>
      <c r="SRT243" s="15"/>
      <c r="SRU243" s="15"/>
      <c r="SRV243" s="15"/>
      <c r="SRW243" s="15"/>
      <c r="SRX243" s="15"/>
      <c r="SRY243" s="15"/>
      <c r="SRZ243" s="15"/>
      <c r="SSA243" s="10"/>
      <c r="SSB243" s="10"/>
      <c r="SSC243" s="21"/>
      <c r="SSD243" s="21"/>
      <c r="SSG243" s="21"/>
      <c r="SSH243" s="15"/>
      <c r="SSI243" s="15"/>
      <c r="SSJ243" s="15"/>
      <c r="SSK243" s="15"/>
      <c r="SSL243" s="15"/>
      <c r="SSM243" s="15"/>
      <c r="SSN243" s="15"/>
      <c r="SSO243" s="15"/>
      <c r="SSP243" s="15"/>
      <c r="SSQ243" s="15"/>
      <c r="SSR243" s="10"/>
      <c r="SSS243" s="10"/>
      <c r="SST243" s="21"/>
      <c r="SSU243" s="21"/>
      <c r="SSX243" s="21"/>
      <c r="SSY243" s="15"/>
      <c r="SSZ243" s="15"/>
      <c r="STA243" s="15"/>
      <c r="STB243" s="15"/>
      <c r="STC243" s="15"/>
      <c r="STD243" s="15"/>
      <c r="STE243" s="15"/>
      <c r="STF243" s="15"/>
      <c r="STG243" s="15"/>
      <c r="STH243" s="15"/>
      <c r="STI243" s="10"/>
      <c r="STJ243" s="10"/>
      <c r="STK243" s="21"/>
      <c r="STL243" s="21"/>
      <c r="STO243" s="21"/>
      <c r="STP243" s="15"/>
      <c r="STQ243" s="15"/>
      <c r="STR243" s="15"/>
      <c r="STS243" s="15"/>
      <c r="STT243" s="15"/>
      <c r="STU243" s="15"/>
      <c r="STV243" s="15"/>
      <c r="STW243" s="15"/>
      <c r="STX243" s="15"/>
      <c r="STY243" s="15"/>
      <c r="STZ243" s="10"/>
      <c r="SUA243" s="10"/>
      <c r="SUB243" s="21"/>
      <c r="SUC243" s="21"/>
      <c r="SUF243" s="21"/>
      <c r="SUG243" s="15"/>
      <c r="SUH243" s="15"/>
      <c r="SUI243" s="15"/>
      <c r="SUJ243" s="15"/>
      <c r="SUK243" s="15"/>
      <c r="SUL243" s="15"/>
      <c r="SUM243" s="15"/>
      <c r="SUN243" s="15"/>
      <c r="SUO243" s="15"/>
      <c r="SUP243" s="15"/>
      <c r="SUQ243" s="10"/>
      <c r="SUR243" s="10"/>
      <c r="SUS243" s="21"/>
      <c r="SUT243" s="21"/>
      <c r="SUW243" s="21"/>
      <c r="SUX243" s="15"/>
      <c r="SUY243" s="15"/>
      <c r="SUZ243" s="15"/>
      <c r="SVA243" s="15"/>
      <c r="SVB243" s="15"/>
      <c r="SVC243" s="15"/>
      <c r="SVD243" s="15"/>
      <c r="SVE243" s="15"/>
      <c r="SVF243" s="15"/>
      <c r="SVG243" s="15"/>
      <c r="SVH243" s="10"/>
      <c r="SVI243" s="10"/>
      <c r="SVJ243" s="21"/>
      <c r="SVK243" s="21"/>
      <c r="SVN243" s="21"/>
      <c r="SVO243" s="15"/>
      <c r="SVP243" s="15"/>
      <c r="SVQ243" s="15"/>
      <c r="SVR243" s="15"/>
      <c r="SVS243" s="15"/>
      <c r="SVT243" s="15"/>
      <c r="SVU243" s="15"/>
      <c r="SVV243" s="15"/>
      <c r="SVW243" s="15"/>
      <c r="SVX243" s="15"/>
      <c r="SVY243" s="10"/>
      <c r="SVZ243" s="10"/>
      <c r="SWA243" s="21"/>
      <c r="SWB243" s="21"/>
      <c r="SWE243" s="21"/>
      <c r="SWF243" s="15"/>
      <c r="SWG243" s="15"/>
      <c r="SWH243" s="15"/>
      <c r="SWI243" s="15"/>
      <c r="SWJ243" s="15"/>
      <c r="SWK243" s="15"/>
      <c r="SWL243" s="15"/>
      <c r="SWM243" s="15"/>
      <c r="SWN243" s="15"/>
      <c r="SWO243" s="15"/>
      <c r="SWP243" s="10"/>
      <c r="SWQ243" s="10"/>
      <c r="SWR243" s="21"/>
      <c r="SWS243" s="21"/>
      <c r="SWV243" s="21"/>
      <c r="SWW243" s="15"/>
      <c r="SWX243" s="15"/>
      <c r="SWY243" s="15"/>
      <c r="SWZ243" s="15"/>
      <c r="SXA243" s="15"/>
      <c r="SXB243" s="15"/>
      <c r="SXC243" s="15"/>
      <c r="SXD243" s="15"/>
      <c r="SXE243" s="15"/>
      <c r="SXF243" s="15"/>
      <c r="SXG243" s="10"/>
      <c r="SXH243" s="10"/>
      <c r="SXI243" s="21"/>
      <c r="SXJ243" s="21"/>
      <c r="SXM243" s="21"/>
      <c r="SXN243" s="15"/>
      <c r="SXO243" s="15"/>
      <c r="SXP243" s="15"/>
      <c r="SXQ243" s="15"/>
      <c r="SXR243" s="15"/>
      <c r="SXS243" s="15"/>
      <c r="SXT243" s="15"/>
      <c r="SXU243" s="15"/>
      <c r="SXV243" s="15"/>
      <c r="SXW243" s="15"/>
      <c r="SXX243" s="10"/>
      <c r="SXY243" s="10"/>
      <c r="SXZ243" s="21"/>
      <c r="SYA243" s="21"/>
      <c r="SYD243" s="21"/>
      <c r="SYE243" s="15"/>
      <c r="SYF243" s="15"/>
      <c r="SYG243" s="15"/>
      <c r="SYH243" s="15"/>
      <c r="SYI243" s="15"/>
      <c r="SYJ243" s="15"/>
      <c r="SYK243" s="15"/>
      <c r="SYL243" s="15"/>
      <c r="SYM243" s="15"/>
      <c r="SYN243" s="15"/>
      <c r="SYO243" s="10"/>
      <c r="SYP243" s="10"/>
      <c r="SYQ243" s="21"/>
      <c r="SYR243" s="21"/>
      <c r="SYU243" s="21"/>
      <c r="SYV243" s="15"/>
      <c r="SYW243" s="15"/>
      <c r="SYX243" s="15"/>
      <c r="SYY243" s="15"/>
      <c r="SYZ243" s="15"/>
      <c r="SZA243" s="15"/>
      <c r="SZB243" s="15"/>
      <c r="SZC243" s="15"/>
      <c r="SZD243" s="15"/>
      <c r="SZE243" s="15"/>
      <c r="SZF243" s="10"/>
      <c r="SZG243" s="10"/>
      <c r="SZH243" s="21"/>
      <c r="SZI243" s="21"/>
      <c r="SZL243" s="21"/>
      <c r="SZM243" s="15"/>
      <c r="SZN243" s="15"/>
      <c r="SZO243" s="15"/>
      <c r="SZP243" s="15"/>
      <c r="SZQ243" s="15"/>
      <c r="SZR243" s="15"/>
      <c r="SZS243" s="15"/>
      <c r="SZT243" s="15"/>
      <c r="SZU243" s="15"/>
      <c r="SZV243" s="15"/>
      <c r="SZW243" s="10"/>
      <c r="SZX243" s="10"/>
      <c r="SZY243" s="21"/>
      <c r="SZZ243" s="21"/>
      <c r="TAC243" s="21"/>
      <c r="TAD243" s="15"/>
      <c r="TAE243" s="15"/>
      <c r="TAF243" s="15"/>
      <c r="TAG243" s="15"/>
      <c r="TAH243" s="15"/>
      <c r="TAI243" s="15"/>
      <c r="TAJ243" s="15"/>
      <c r="TAK243" s="15"/>
      <c r="TAL243" s="15"/>
      <c r="TAM243" s="15"/>
      <c r="TAN243" s="10"/>
      <c r="TAO243" s="10"/>
      <c r="TAP243" s="21"/>
      <c r="TAQ243" s="21"/>
      <c r="TAT243" s="21"/>
      <c r="TAU243" s="15"/>
      <c r="TAV243" s="15"/>
      <c r="TAW243" s="15"/>
      <c r="TAX243" s="15"/>
      <c r="TAY243" s="15"/>
      <c r="TAZ243" s="15"/>
      <c r="TBA243" s="15"/>
      <c r="TBB243" s="15"/>
      <c r="TBC243" s="15"/>
      <c r="TBD243" s="15"/>
      <c r="TBE243" s="10"/>
      <c r="TBF243" s="10"/>
      <c r="TBG243" s="21"/>
      <c r="TBH243" s="21"/>
      <c r="TBK243" s="21"/>
      <c r="TBL243" s="15"/>
      <c r="TBM243" s="15"/>
      <c r="TBN243" s="15"/>
      <c r="TBO243" s="15"/>
      <c r="TBP243" s="15"/>
      <c r="TBQ243" s="15"/>
      <c r="TBR243" s="15"/>
      <c r="TBS243" s="15"/>
      <c r="TBT243" s="15"/>
      <c r="TBU243" s="15"/>
      <c r="TBV243" s="10"/>
      <c r="TBW243" s="10"/>
      <c r="TBX243" s="21"/>
      <c r="TBY243" s="21"/>
      <c r="TCB243" s="21"/>
      <c r="TCC243" s="15"/>
      <c r="TCD243" s="15"/>
      <c r="TCE243" s="15"/>
      <c r="TCF243" s="15"/>
      <c r="TCG243" s="15"/>
      <c r="TCH243" s="15"/>
      <c r="TCI243" s="15"/>
      <c r="TCJ243" s="15"/>
      <c r="TCK243" s="15"/>
      <c r="TCL243" s="15"/>
      <c r="TCM243" s="10"/>
      <c r="TCN243" s="10"/>
      <c r="TCO243" s="21"/>
      <c r="TCP243" s="21"/>
      <c r="TCS243" s="21"/>
      <c r="TCT243" s="15"/>
      <c r="TCU243" s="15"/>
      <c r="TCV243" s="15"/>
      <c r="TCW243" s="15"/>
      <c r="TCX243" s="15"/>
      <c r="TCY243" s="15"/>
      <c r="TCZ243" s="15"/>
      <c r="TDA243" s="15"/>
      <c r="TDB243" s="15"/>
      <c r="TDC243" s="15"/>
      <c r="TDD243" s="10"/>
      <c r="TDE243" s="10"/>
      <c r="TDF243" s="21"/>
      <c r="TDG243" s="21"/>
      <c r="TDJ243" s="21"/>
      <c r="TDK243" s="15"/>
      <c r="TDL243" s="15"/>
      <c r="TDM243" s="15"/>
      <c r="TDN243" s="15"/>
      <c r="TDO243" s="15"/>
      <c r="TDP243" s="15"/>
      <c r="TDQ243" s="15"/>
      <c r="TDR243" s="15"/>
      <c r="TDS243" s="15"/>
      <c r="TDT243" s="15"/>
      <c r="TDU243" s="10"/>
      <c r="TDV243" s="10"/>
      <c r="TDW243" s="21"/>
      <c r="TDX243" s="21"/>
      <c r="TEA243" s="21"/>
      <c r="TEB243" s="15"/>
      <c r="TEC243" s="15"/>
      <c r="TED243" s="15"/>
      <c r="TEE243" s="15"/>
      <c r="TEF243" s="15"/>
      <c r="TEG243" s="15"/>
      <c r="TEH243" s="15"/>
      <c r="TEI243" s="15"/>
      <c r="TEJ243" s="15"/>
      <c r="TEK243" s="15"/>
      <c r="TEL243" s="10"/>
      <c r="TEM243" s="10"/>
      <c r="TEN243" s="21"/>
      <c r="TEO243" s="21"/>
      <c r="TER243" s="21"/>
      <c r="TES243" s="15"/>
      <c r="TET243" s="15"/>
      <c r="TEU243" s="15"/>
      <c r="TEV243" s="15"/>
      <c r="TEW243" s="15"/>
      <c r="TEX243" s="15"/>
      <c r="TEY243" s="15"/>
      <c r="TEZ243" s="15"/>
      <c r="TFA243" s="15"/>
      <c r="TFB243" s="15"/>
      <c r="TFC243" s="10"/>
      <c r="TFD243" s="10"/>
      <c r="TFE243" s="21"/>
      <c r="TFF243" s="21"/>
      <c r="TFI243" s="21"/>
      <c r="TFJ243" s="15"/>
      <c r="TFK243" s="15"/>
      <c r="TFL243" s="15"/>
      <c r="TFM243" s="15"/>
      <c r="TFN243" s="15"/>
      <c r="TFO243" s="15"/>
      <c r="TFP243" s="15"/>
      <c r="TFQ243" s="15"/>
      <c r="TFR243" s="15"/>
      <c r="TFS243" s="15"/>
      <c r="TFT243" s="10"/>
      <c r="TFU243" s="10"/>
      <c r="TFV243" s="21"/>
      <c r="TFW243" s="21"/>
      <c r="TFZ243" s="21"/>
      <c r="TGA243" s="15"/>
      <c r="TGB243" s="15"/>
      <c r="TGC243" s="15"/>
      <c r="TGD243" s="15"/>
      <c r="TGE243" s="15"/>
      <c r="TGF243" s="15"/>
      <c r="TGG243" s="15"/>
      <c r="TGH243" s="15"/>
      <c r="TGI243" s="15"/>
      <c r="TGJ243" s="15"/>
      <c r="TGK243" s="10"/>
      <c r="TGL243" s="10"/>
      <c r="TGM243" s="21"/>
      <c r="TGN243" s="21"/>
      <c r="TGQ243" s="21"/>
      <c r="TGR243" s="15"/>
      <c r="TGS243" s="15"/>
      <c r="TGT243" s="15"/>
      <c r="TGU243" s="15"/>
      <c r="TGV243" s="15"/>
      <c r="TGW243" s="15"/>
      <c r="TGX243" s="15"/>
      <c r="TGY243" s="15"/>
      <c r="TGZ243" s="15"/>
      <c r="THA243" s="15"/>
      <c r="THB243" s="10"/>
      <c r="THC243" s="10"/>
      <c r="THD243" s="21"/>
      <c r="THE243" s="21"/>
      <c r="THH243" s="21"/>
      <c r="THI243" s="15"/>
      <c r="THJ243" s="15"/>
      <c r="THK243" s="15"/>
      <c r="THL243" s="15"/>
      <c r="THM243" s="15"/>
      <c r="THN243" s="15"/>
      <c r="THO243" s="15"/>
      <c r="THP243" s="15"/>
      <c r="THQ243" s="15"/>
      <c r="THR243" s="15"/>
      <c r="THS243" s="10"/>
      <c r="THT243" s="10"/>
      <c r="THU243" s="21"/>
      <c r="THV243" s="21"/>
      <c r="THY243" s="21"/>
      <c r="THZ243" s="15"/>
      <c r="TIA243" s="15"/>
      <c r="TIB243" s="15"/>
      <c r="TIC243" s="15"/>
      <c r="TID243" s="15"/>
      <c r="TIE243" s="15"/>
      <c r="TIF243" s="15"/>
      <c r="TIG243" s="15"/>
      <c r="TIH243" s="15"/>
      <c r="TII243" s="15"/>
      <c r="TIJ243" s="10"/>
      <c r="TIK243" s="10"/>
      <c r="TIL243" s="21"/>
      <c r="TIM243" s="21"/>
      <c r="TIP243" s="21"/>
      <c r="TIQ243" s="15"/>
      <c r="TIR243" s="15"/>
      <c r="TIS243" s="15"/>
      <c r="TIT243" s="15"/>
      <c r="TIU243" s="15"/>
      <c r="TIV243" s="15"/>
      <c r="TIW243" s="15"/>
      <c r="TIX243" s="15"/>
      <c r="TIY243" s="15"/>
      <c r="TIZ243" s="15"/>
      <c r="TJA243" s="10"/>
      <c r="TJB243" s="10"/>
      <c r="TJC243" s="21"/>
      <c r="TJD243" s="21"/>
      <c r="TJG243" s="21"/>
      <c r="TJH243" s="15"/>
      <c r="TJI243" s="15"/>
      <c r="TJJ243" s="15"/>
      <c r="TJK243" s="15"/>
      <c r="TJL243" s="15"/>
      <c r="TJM243" s="15"/>
      <c r="TJN243" s="15"/>
      <c r="TJO243" s="15"/>
      <c r="TJP243" s="15"/>
      <c r="TJQ243" s="15"/>
      <c r="TJR243" s="10"/>
      <c r="TJS243" s="10"/>
      <c r="TJT243" s="21"/>
      <c r="TJU243" s="21"/>
      <c r="TJX243" s="21"/>
      <c r="TJY243" s="15"/>
      <c r="TJZ243" s="15"/>
      <c r="TKA243" s="15"/>
      <c r="TKB243" s="15"/>
      <c r="TKC243" s="15"/>
      <c r="TKD243" s="15"/>
      <c r="TKE243" s="15"/>
      <c r="TKF243" s="15"/>
      <c r="TKG243" s="15"/>
      <c r="TKH243" s="15"/>
      <c r="TKI243" s="10"/>
      <c r="TKJ243" s="10"/>
      <c r="TKK243" s="21"/>
      <c r="TKL243" s="21"/>
      <c r="TKO243" s="21"/>
      <c r="TKP243" s="15"/>
      <c r="TKQ243" s="15"/>
      <c r="TKR243" s="15"/>
      <c r="TKS243" s="15"/>
      <c r="TKT243" s="15"/>
      <c r="TKU243" s="15"/>
      <c r="TKV243" s="15"/>
      <c r="TKW243" s="15"/>
      <c r="TKX243" s="15"/>
      <c r="TKY243" s="15"/>
      <c r="TKZ243" s="10"/>
      <c r="TLA243" s="10"/>
      <c r="TLB243" s="21"/>
      <c r="TLC243" s="21"/>
      <c r="TLF243" s="21"/>
      <c r="TLG243" s="15"/>
      <c r="TLH243" s="15"/>
      <c r="TLI243" s="15"/>
      <c r="TLJ243" s="15"/>
      <c r="TLK243" s="15"/>
      <c r="TLL243" s="15"/>
      <c r="TLM243" s="15"/>
      <c r="TLN243" s="15"/>
      <c r="TLO243" s="15"/>
      <c r="TLP243" s="15"/>
      <c r="TLQ243" s="10"/>
      <c r="TLR243" s="10"/>
      <c r="TLS243" s="21"/>
      <c r="TLT243" s="21"/>
      <c r="TLW243" s="21"/>
      <c r="TLX243" s="15"/>
      <c r="TLY243" s="15"/>
      <c r="TLZ243" s="15"/>
      <c r="TMA243" s="15"/>
      <c r="TMB243" s="15"/>
      <c r="TMC243" s="15"/>
      <c r="TMD243" s="15"/>
      <c r="TME243" s="15"/>
      <c r="TMF243" s="15"/>
      <c r="TMG243" s="15"/>
      <c r="TMH243" s="10"/>
      <c r="TMI243" s="10"/>
      <c r="TMJ243" s="21"/>
      <c r="TMK243" s="21"/>
      <c r="TMN243" s="21"/>
      <c r="TMO243" s="15"/>
      <c r="TMP243" s="15"/>
      <c r="TMQ243" s="15"/>
      <c r="TMR243" s="15"/>
      <c r="TMS243" s="15"/>
      <c r="TMT243" s="15"/>
      <c r="TMU243" s="15"/>
      <c r="TMV243" s="15"/>
      <c r="TMW243" s="15"/>
      <c r="TMX243" s="15"/>
      <c r="TMY243" s="10"/>
      <c r="TMZ243" s="10"/>
      <c r="TNA243" s="21"/>
      <c r="TNB243" s="21"/>
      <c r="TNE243" s="21"/>
      <c r="TNF243" s="15"/>
      <c r="TNG243" s="15"/>
      <c r="TNH243" s="15"/>
      <c r="TNI243" s="15"/>
      <c r="TNJ243" s="15"/>
      <c r="TNK243" s="15"/>
      <c r="TNL243" s="15"/>
      <c r="TNM243" s="15"/>
      <c r="TNN243" s="15"/>
      <c r="TNO243" s="15"/>
      <c r="TNP243" s="10"/>
      <c r="TNQ243" s="10"/>
      <c r="TNR243" s="21"/>
      <c r="TNS243" s="21"/>
      <c r="TNV243" s="21"/>
      <c r="TNW243" s="15"/>
      <c r="TNX243" s="15"/>
      <c r="TNY243" s="15"/>
      <c r="TNZ243" s="15"/>
      <c r="TOA243" s="15"/>
      <c r="TOB243" s="15"/>
      <c r="TOC243" s="15"/>
      <c r="TOD243" s="15"/>
      <c r="TOE243" s="15"/>
      <c r="TOF243" s="15"/>
      <c r="TOG243" s="10"/>
      <c r="TOH243" s="10"/>
      <c r="TOI243" s="21"/>
      <c r="TOJ243" s="21"/>
      <c r="TOM243" s="21"/>
      <c r="TON243" s="15"/>
      <c r="TOO243" s="15"/>
      <c r="TOP243" s="15"/>
      <c r="TOQ243" s="15"/>
      <c r="TOR243" s="15"/>
      <c r="TOS243" s="15"/>
      <c r="TOT243" s="15"/>
      <c r="TOU243" s="15"/>
      <c r="TOV243" s="15"/>
      <c r="TOW243" s="15"/>
      <c r="TOX243" s="10"/>
      <c r="TOY243" s="10"/>
      <c r="TOZ243" s="21"/>
      <c r="TPA243" s="21"/>
      <c r="TPD243" s="21"/>
      <c r="TPE243" s="15"/>
      <c r="TPF243" s="15"/>
      <c r="TPG243" s="15"/>
      <c r="TPH243" s="15"/>
      <c r="TPI243" s="15"/>
      <c r="TPJ243" s="15"/>
      <c r="TPK243" s="15"/>
      <c r="TPL243" s="15"/>
      <c r="TPM243" s="15"/>
      <c r="TPN243" s="15"/>
      <c r="TPO243" s="10"/>
      <c r="TPP243" s="10"/>
      <c r="TPQ243" s="21"/>
      <c r="TPR243" s="21"/>
      <c r="TPU243" s="21"/>
      <c r="TPV243" s="15"/>
      <c r="TPW243" s="15"/>
      <c r="TPX243" s="15"/>
      <c r="TPY243" s="15"/>
      <c r="TPZ243" s="15"/>
      <c r="TQA243" s="15"/>
      <c r="TQB243" s="15"/>
      <c r="TQC243" s="15"/>
      <c r="TQD243" s="15"/>
      <c r="TQE243" s="15"/>
      <c r="TQF243" s="10"/>
      <c r="TQG243" s="10"/>
      <c r="TQH243" s="21"/>
      <c r="TQI243" s="21"/>
      <c r="TQL243" s="21"/>
      <c r="TQM243" s="15"/>
      <c r="TQN243" s="15"/>
      <c r="TQO243" s="15"/>
      <c r="TQP243" s="15"/>
      <c r="TQQ243" s="15"/>
      <c r="TQR243" s="15"/>
      <c r="TQS243" s="15"/>
      <c r="TQT243" s="15"/>
      <c r="TQU243" s="15"/>
      <c r="TQV243" s="15"/>
      <c r="TQW243" s="10"/>
      <c r="TQX243" s="10"/>
      <c r="TQY243" s="21"/>
      <c r="TQZ243" s="21"/>
      <c r="TRC243" s="21"/>
      <c r="TRD243" s="15"/>
      <c r="TRE243" s="15"/>
      <c r="TRF243" s="15"/>
      <c r="TRG243" s="15"/>
      <c r="TRH243" s="15"/>
      <c r="TRI243" s="15"/>
      <c r="TRJ243" s="15"/>
      <c r="TRK243" s="15"/>
      <c r="TRL243" s="15"/>
      <c r="TRM243" s="15"/>
      <c r="TRN243" s="10"/>
      <c r="TRO243" s="10"/>
      <c r="TRP243" s="21"/>
      <c r="TRQ243" s="21"/>
      <c r="TRT243" s="21"/>
      <c r="TRU243" s="15"/>
      <c r="TRV243" s="15"/>
      <c r="TRW243" s="15"/>
      <c r="TRX243" s="15"/>
      <c r="TRY243" s="15"/>
      <c r="TRZ243" s="15"/>
      <c r="TSA243" s="15"/>
      <c r="TSB243" s="15"/>
      <c r="TSC243" s="15"/>
      <c r="TSD243" s="15"/>
      <c r="TSE243" s="10"/>
      <c r="TSF243" s="10"/>
      <c r="TSG243" s="21"/>
      <c r="TSH243" s="21"/>
      <c r="TSK243" s="21"/>
      <c r="TSL243" s="15"/>
      <c r="TSM243" s="15"/>
      <c r="TSN243" s="15"/>
      <c r="TSO243" s="15"/>
      <c r="TSP243" s="15"/>
      <c r="TSQ243" s="15"/>
      <c r="TSR243" s="15"/>
      <c r="TSS243" s="15"/>
      <c r="TST243" s="15"/>
      <c r="TSU243" s="15"/>
      <c r="TSV243" s="10"/>
      <c r="TSW243" s="10"/>
      <c r="TSX243" s="21"/>
      <c r="TSY243" s="21"/>
      <c r="TTB243" s="21"/>
      <c r="TTC243" s="15"/>
      <c r="TTD243" s="15"/>
      <c r="TTE243" s="15"/>
      <c r="TTF243" s="15"/>
      <c r="TTG243" s="15"/>
      <c r="TTH243" s="15"/>
      <c r="TTI243" s="15"/>
      <c r="TTJ243" s="15"/>
      <c r="TTK243" s="15"/>
      <c r="TTL243" s="15"/>
      <c r="TTM243" s="10"/>
      <c r="TTN243" s="10"/>
      <c r="TTO243" s="21"/>
      <c r="TTP243" s="21"/>
      <c r="TTS243" s="21"/>
      <c r="TTT243" s="15"/>
      <c r="TTU243" s="15"/>
      <c r="TTV243" s="15"/>
      <c r="TTW243" s="15"/>
      <c r="TTX243" s="15"/>
      <c r="TTY243" s="15"/>
      <c r="TTZ243" s="15"/>
      <c r="TUA243" s="15"/>
      <c r="TUB243" s="15"/>
      <c r="TUC243" s="15"/>
      <c r="TUD243" s="10"/>
      <c r="TUE243" s="10"/>
      <c r="TUF243" s="21"/>
      <c r="TUG243" s="21"/>
      <c r="TUJ243" s="21"/>
      <c r="TUK243" s="15"/>
      <c r="TUL243" s="15"/>
      <c r="TUM243" s="15"/>
      <c r="TUN243" s="15"/>
      <c r="TUO243" s="15"/>
      <c r="TUP243" s="15"/>
      <c r="TUQ243" s="15"/>
      <c r="TUR243" s="15"/>
      <c r="TUS243" s="15"/>
      <c r="TUT243" s="15"/>
      <c r="TUU243" s="10"/>
      <c r="TUV243" s="10"/>
      <c r="TUW243" s="21"/>
      <c r="TUX243" s="21"/>
      <c r="TVA243" s="21"/>
      <c r="TVB243" s="15"/>
      <c r="TVC243" s="15"/>
      <c r="TVD243" s="15"/>
      <c r="TVE243" s="15"/>
      <c r="TVF243" s="15"/>
      <c r="TVG243" s="15"/>
      <c r="TVH243" s="15"/>
      <c r="TVI243" s="15"/>
      <c r="TVJ243" s="15"/>
      <c r="TVK243" s="15"/>
      <c r="TVL243" s="10"/>
      <c r="TVM243" s="10"/>
      <c r="TVN243" s="21"/>
      <c r="TVO243" s="21"/>
      <c r="TVR243" s="21"/>
      <c r="TVS243" s="15"/>
      <c r="TVT243" s="15"/>
      <c r="TVU243" s="15"/>
      <c r="TVV243" s="15"/>
      <c r="TVW243" s="15"/>
      <c r="TVX243" s="15"/>
      <c r="TVY243" s="15"/>
      <c r="TVZ243" s="15"/>
      <c r="TWA243" s="15"/>
      <c r="TWB243" s="15"/>
      <c r="TWC243" s="10"/>
      <c r="TWD243" s="10"/>
      <c r="TWE243" s="21"/>
      <c r="TWF243" s="21"/>
      <c r="TWI243" s="21"/>
      <c r="TWJ243" s="15"/>
      <c r="TWK243" s="15"/>
      <c r="TWL243" s="15"/>
      <c r="TWM243" s="15"/>
      <c r="TWN243" s="15"/>
      <c r="TWO243" s="15"/>
      <c r="TWP243" s="15"/>
      <c r="TWQ243" s="15"/>
      <c r="TWR243" s="15"/>
      <c r="TWS243" s="15"/>
      <c r="TWT243" s="10"/>
      <c r="TWU243" s="10"/>
      <c r="TWV243" s="21"/>
      <c r="TWW243" s="21"/>
      <c r="TWZ243" s="21"/>
      <c r="TXA243" s="15"/>
      <c r="TXB243" s="15"/>
      <c r="TXC243" s="15"/>
      <c r="TXD243" s="15"/>
      <c r="TXE243" s="15"/>
      <c r="TXF243" s="15"/>
      <c r="TXG243" s="15"/>
      <c r="TXH243" s="15"/>
      <c r="TXI243" s="15"/>
      <c r="TXJ243" s="15"/>
      <c r="TXK243" s="10"/>
      <c r="TXL243" s="10"/>
      <c r="TXM243" s="21"/>
      <c r="TXN243" s="21"/>
      <c r="TXQ243" s="21"/>
      <c r="TXR243" s="15"/>
      <c r="TXS243" s="15"/>
      <c r="TXT243" s="15"/>
      <c r="TXU243" s="15"/>
      <c r="TXV243" s="15"/>
      <c r="TXW243" s="15"/>
      <c r="TXX243" s="15"/>
      <c r="TXY243" s="15"/>
      <c r="TXZ243" s="15"/>
      <c r="TYA243" s="15"/>
      <c r="TYB243" s="10"/>
      <c r="TYC243" s="10"/>
      <c r="TYD243" s="21"/>
      <c r="TYE243" s="21"/>
      <c r="TYH243" s="21"/>
      <c r="TYI243" s="15"/>
      <c r="TYJ243" s="15"/>
      <c r="TYK243" s="15"/>
      <c r="TYL243" s="15"/>
      <c r="TYM243" s="15"/>
      <c r="TYN243" s="15"/>
      <c r="TYO243" s="15"/>
      <c r="TYP243" s="15"/>
      <c r="TYQ243" s="15"/>
      <c r="TYR243" s="15"/>
      <c r="TYS243" s="10"/>
      <c r="TYT243" s="10"/>
      <c r="TYU243" s="21"/>
      <c r="TYV243" s="21"/>
      <c r="TYY243" s="21"/>
      <c r="TYZ243" s="15"/>
      <c r="TZA243" s="15"/>
      <c r="TZB243" s="15"/>
      <c r="TZC243" s="15"/>
      <c r="TZD243" s="15"/>
      <c r="TZE243" s="15"/>
      <c r="TZF243" s="15"/>
      <c r="TZG243" s="15"/>
      <c r="TZH243" s="15"/>
      <c r="TZI243" s="15"/>
      <c r="TZJ243" s="10"/>
      <c r="TZK243" s="10"/>
      <c r="TZL243" s="21"/>
      <c r="TZM243" s="21"/>
      <c r="TZP243" s="21"/>
      <c r="TZQ243" s="15"/>
      <c r="TZR243" s="15"/>
      <c r="TZS243" s="15"/>
      <c r="TZT243" s="15"/>
      <c r="TZU243" s="15"/>
      <c r="TZV243" s="15"/>
      <c r="TZW243" s="15"/>
      <c r="TZX243" s="15"/>
      <c r="TZY243" s="15"/>
      <c r="TZZ243" s="15"/>
      <c r="UAA243" s="10"/>
      <c r="UAB243" s="10"/>
      <c r="UAC243" s="21"/>
      <c r="UAD243" s="21"/>
      <c r="UAG243" s="21"/>
      <c r="UAH243" s="15"/>
      <c r="UAI243" s="15"/>
      <c r="UAJ243" s="15"/>
      <c r="UAK243" s="15"/>
      <c r="UAL243" s="15"/>
      <c r="UAM243" s="15"/>
      <c r="UAN243" s="15"/>
      <c r="UAO243" s="15"/>
      <c r="UAP243" s="15"/>
      <c r="UAQ243" s="15"/>
      <c r="UAR243" s="10"/>
      <c r="UAS243" s="10"/>
      <c r="UAT243" s="21"/>
      <c r="UAU243" s="21"/>
      <c r="UAX243" s="21"/>
      <c r="UAY243" s="15"/>
      <c r="UAZ243" s="15"/>
      <c r="UBA243" s="15"/>
      <c r="UBB243" s="15"/>
      <c r="UBC243" s="15"/>
      <c r="UBD243" s="15"/>
      <c r="UBE243" s="15"/>
      <c r="UBF243" s="15"/>
      <c r="UBG243" s="15"/>
      <c r="UBH243" s="15"/>
      <c r="UBI243" s="10"/>
      <c r="UBJ243" s="10"/>
      <c r="UBK243" s="21"/>
      <c r="UBL243" s="21"/>
      <c r="UBO243" s="21"/>
      <c r="UBP243" s="15"/>
      <c r="UBQ243" s="15"/>
      <c r="UBR243" s="15"/>
      <c r="UBS243" s="15"/>
      <c r="UBT243" s="15"/>
      <c r="UBU243" s="15"/>
      <c r="UBV243" s="15"/>
      <c r="UBW243" s="15"/>
      <c r="UBX243" s="15"/>
      <c r="UBY243" s="15"/>
      <c r="UBZ243" s="10"/>
      <c r="UCA243" s="10"/>
      <c r="UCB243" s="21"/>
      <c r="UCC243" s="21"/>
      <c r="UCF243" s="21"/>
      <c r="UCG243" s="15"/>
      <c r="UCH243" s="15"/>
      <c r="UCI243" s="15"/>
      <c r="UCJ243" s="15"/>
      <c r="UCK243" s="15"/>
      <c r="UCL243" s="15"/>
      <c r="UCM243" s="15"/>
      <c r="UCN243" s="15"/>
      <c r="UCO243" s="15"/>
      <c r="UCP243" s="15"/>
      <c r="UCQ243" s="10"/>
      <c r="UCR243" s="10"/>
      <c r="UCS243" s="21"/>
      <c r="UCT243" s="21"/>
      <c r="UCW243" s="21"/>
      <c r="UCX243" s="15"/>
      <c r="UCY243" s="15"/>
      <c r="UCZ243" s="15"/>
      <c r="UDA243" s="15"/>
      <c r="UDB243" s="15"/>
      <c r="UDC243" s="15"/>
      <c r="UDD243" s="15"/>
      <c r="UDE243" s="15"/>
      <c r="UDF243" s="15"/>
      <c r="UDG243" s="15"/>
      <c r="UDH243" s="10"/>
      <c r="UDI243" s="10"/>
      <c r="UDJ243" s="21"/>
      <c r="UDK243" s="21"/>
      <c r="UDN243" s="21"/>
      <c r="UDO243" s="15"/>
      <c r="UDP243" s="15"/>
      <c r="UDQ243" s="15"/>
      <c r="UDR243" s="15"/>
      <c r="UDS243" s="15"/>
      <c r="UDT243" s="15"/>
      <c r="UDU243" s="15"/>
      <c r="UDV243" s="15"/>
      <c r="UDW243" s="15"/>
      <c r="UDX243" s="15"/>
      <c r="UDY243" s="10"/>
      <c r="UDZ243" s="10"/>
      <c r="UEA243" s="21"/>
      <c r="UEB243" s="21"/>
      <c r="UEE243" s="21"/>
      <c r="UEF243" s="15"/>
      <c r="UEG243" s="15"/>
      <c r="UEH243" s="15"/>
      <c r="UEI243" s="15"/>
      <c r="UEJ243" s="15"/>
      <c r="UEK243" s="15"/>
      <c r="UEL243" s="15"/>
      <c r="UEM243" s="15"/>
      <c r="UEN243" s="15"/>
      <c r="UEO243" s="15"/>
      <c r="UEP243" s="10"/>
      <c r="UEQ243" s="10"/>
      <c r="UER243" s="21"/>
      <c r="UES243" s="21"/>
      <c r="UEV243" s="21"/>
      <c r="UEW243" s="15"/>
      <c r="UEX243" s="15"/>
      <c r="UEY243" s="15"/>
      <c r="UEZ243" s="15"/>
      <c r="UFA243" s="15"/>
      <c r="UFB243" s="15"/>
      <c r="UFC243" s="15"/>
      <c r="UFD243" s="15"/>
      <c r="UFE243" s="15"/>
      <c r="UFF243" s="15"/>
      <c r="UFG243" s="10"/>
      <c r="UFH243" s="10"/>
      <c r="UFI243" s="21"/>
      <c r="UFJ243" s="21"/>
      <c r="UFM243" s="21"/>
      <c r="UFN243" s="15"/>
      <c r="UFO243" s="15"/>
      <c r="UFP243" s="15"/>
      <c r="UFQ243" s="15"/>
      <c r="UFR243" s="15"/>
      <c r="UFS243" s="15"/>
      <c r="UFT243" s="15"/>
      <c r="UFU243" s="15"/>
      <c r="UFV243" s="15"/>
      <c r="UFW243" s="15"/>
      <c r="UFX243" s="10"/>
      <c r="UFY243" s="10"/>
      <c r="UFZ243" s="21"/>
      <c r="UGA243" s="21"/>
      <c r="UGD243" s="21"/>
      <c r="UGE243" s="15"/>
      <c r="UGF243" s="15"/>
      <c r="UGG243" s="15"/>
      <c r="UGH243" s="15"/>
      <c r="UGI243" s="15"/>
      <c r="UGJ243" s="15"/>
      <c r="UGK243" s="15"/>
      <c r="UGL243" s="15"/>
      <c r="UGM243" s="15"/>
      <c r="UGN243" s="15"/>
      <c r="UGO243" s="10"/>
      <c r="UGP243" s="10"/>
      <c r="UGQ243" s="21"/>
      <c r="UGR243" s="21"/>
      <c r="UGU243" s="21"/>
      <c r="UGV243" s="15"/>
      <c r="UGW243" s="15"/>
      <c r="UGX243" s="15"/>
      <c r="UGY243" s="15"/>
      <c r="UGZ243" s="15"/>
      <c r="UHA243" s="15"/>
      <c r="UHB243" s="15"/>
      <c r="UHC243" s="15"/>
      <c r="UHD243" s="15"/>
      <c r="UHE243" s="15"/>
      <c r="UHF243" s="10"/>
      <c r="UHG243" s="10"/>
      <c r="UHH243" s="21"/>
      <c r="UHI243" s="21"/>
      <c r="UHL243" s="21"/>
      <c r="UHM243" s="15"/>
      <c r="UHN243" s="15"/>
      <c r="UHO243" s="15"/>
      <c r="UHP243" s="15"/>
      <c r="UHQ243" s="15"/>
      <c r="UHR243" s="15"/>
      <c r="UHS243" s="15"/>
      <c r="UHT243" s="15"/>
      <c r="UHU243" s="15"/>
      <c r="UHV243" s="15"/>
      <c r="UHW243" s="10"/>
      <c r="UHX243" s="10"/>
      <c r="UHY243" s="21"/>
      <c r="UHZ243" s="21"/>
      <c r="UIC243" s="21"/>
      <c r="UID243" s="15"/>
      <c r="UIE243" s="15"/>
      <c r="UIF243" s="15"/>
      <c r="UIG243" s="15"/>
      <c r="UIH243" s="15"/>
      <c r="UII243" s="15"/>
      <c r="UIJ243" s="15"/>
      <c r="UIK243" s="15"/>
      <c r="UIL243" s="15"/>
      <c r="UIM243" s="15"/>
      <c r="UIN243" s="10"/>
      <c r="UIO243" s="10"/>
      <c r="UIP243" s="21"/>
      <c r="UIQ243" s="21"/>
      <c r="UIT243" s="21"/>
      <c r="UIU243" s="15"/>
      <c r="UIV243" s="15"/>
      <c r="UIW243" s="15"/>
      <c r="UIX243" s="15"/>
      <c r="UIY243" s="15"/>
      <c r="UIZ243" s="15"/>
      <c r="UJA243" s="15"/>
      <c r="UJB243" s="15"/>
      <c r="UJC243" s="15"/>
      <c r="UJD243" s="15"/>
      <c r="UJE243" s="10"/>
      <c r="UJF243" s="10"/>
      <c r="UJG243" s="21"/>
      <c r="UJH243" s="21"/>
      <c r="UJK243" s="21"/>
      <c r="UJL243" s="15"/>
      <c r="UJM243" s="15"/>
      <c r="UJN243" s="15"/>
      <c r="UJO243" s="15"/>
      <c r="UJP243" s="15"/>
      <c r="UJQ243" s="15"/>
      <c r="UJR243" s="15"/>
      <c r="UJS243" s="15"/>
      <c r="UJT243" s="15"/>
      <c r="UJU243" s="15"/>
      <c r="UJV243" s="10"/>
      <c r="UJW243" s="10"/>
      <c r="UJX243" s="21"/>
      <c r="UJY243" s="21"/>
      <c r="UKB243" s="21"/>
      <c r="UKC243" s="15"/>
      <c r="UKD243" s="15"/>
      <c r="UKE243" s="15"/>
      <c r="UKF243" s="15"/>
      <c r="UKG243" s="15"/>
      <c r="UKH243" s="15"/>
      <c r="UKI243" s="15"/>
      <c r="UKJ243" s="15"/>
      <c r="UKK243" s="15"/>
      <c r="UKL243" s="15"/>
      <c r="UKM243" s="10"/>
      <c r="UKN243" s="10"/>
      <c r="UKO243" s="21"/>
      <c r="UKP243" s="21"/>
      <c r="UKS243" s="21"/>
      <c r="UKT243" s="15"/>
      <c r="UKU243" s="15"/>
      <c r="UKV243" s="15"/>
      <c r="UKW243" s="15"/>
      <c r="UKX243" s="15"/>
      <c r="UKY243" s="15"/>
      <c r="UKZ243" s="15"/>
      <c r="ULA243" s="15"/>
      <c r="ULB243" s="15"/>
      <c r="ULC243" s="15"/>
      <c r="ULD243" s="10"/>
      <c r="ULE243" s="10"/>
      <c r="ULF243" s="21"/>
      <c r="ULG243" s="21"/>
      <c r="ULJ243" s="21"/>
      <c r="ULK243" s="15"/>
      <c r="ULL243" s="15"/>
      <c r="ULM243" s="15"/>
      <c r="ULN243" s="15"/>
      <c r="ULO243" s="15"/>
      <c r="ULP243" s="15"/>
      <c r="ULQ243" s="15"/>
      <c r="ULR243" s="15"/>
      <c r="ULS243" s="15"/>
      <c r="ULT243" s="15"/>
      <c r="ULU243" s="10"/>
      <c r="ULV243" s="10"/>
      <c r="ULW243" s="21"/>
      <c r="ULX243" s="21"/>
      <c r="UMA243" s="21"/>
      <c r="UMB243" s="15"/>
      <c r="UMC243" s="15"/>
      <c r="UMD243" s="15"/>
      <c r="UME243" s="15"/>
      <c r="UMF243" s="15"/>
      <c r="UMG243" s="15"/>
      <c r="UMH243" s="15"/>
      <c r="UMI243" s="15"/>
      <c r="UMJ243" s="15"/>
      <c r="UMK243" s="15"/>
      <c r="UML243" s="10"/>
      <c r="UMM243" s="10"/>
      <c r="UMN243" s="21"/>
      <c r="UMO243" s="21"/>
      <c r="UMR243" s="21"/>
      <c r="UMS243" s="15"/>
      <c r="UMT243" s="15"/>
      <c r="UMU243" s="15"/>
      <c r="UMV243" s="15"/>
      <c r="UMW243" s="15"/>
      <c r="UMX243" s="15"/>
      <c r="UMY243" s="15"/>
      <c r="UMZ243" s="15"/>
      <c r="UNA243" s="15"/>
      <c r="UNB243" s="15"/>
      <c r="UNC243" s="10"/>
      <c r="UND243" s="10"/>
      <c r="UNE243" s="21"/>
      <c r="UNF243" s="21"/>
      <c r="UNI243" s="21"/>
      <c r="UNJ243" s="15"/>
      <c r="UNK243" s="15"/>
      <c r="UNL243" s="15"/>
      <c r="UNM243" s="15"/>
      <c r="UNN243" s="15"/>
      <c r="UNO243" s="15"/>
      <c r="UNP243" s="15"/>
      <c r="UNQ243" s="15"/>
      <c r="UNR243" s="15"/>
      <c r="UNS243" s="15"/>
      <c r="UNT243" s="10"/>
      <c r="UNU243" s="10"/>
      <c r="UNV243" s="21"/>
      <c r="UNW243" s="21"/>
      <c r="UNZ243" s="21"/>
      <c r="UOA243" s="15"/>
      <c r="UOB243" s="15"/>
      <c r="UOC243" s="15"/>
      <c r="UOD243" s="15"/>
      <c r="UOE243" s="15"/>
      <c r="UOF243" s="15"/>
      <c r="UOG243" s="15"/>
      <c r="UOH243" s="15"/>
      <c r="UOI243" s="15"/>
      <c r="UOJ243" s="15"/>
      <c r="UOK243" s="10"/>
      <c r="UOL243" s="10"/>
      <c r="UOM243" s="21"/>
      <c r="UON243" s="21"/>
      <c r="UOQ243" s="21"/>
      <c r="UOR243" s="15"/>
      <c r="UOS243" s="15"/>
      <c r="UOT243" s="15"/>
      <c r="UOU243" s="15"/>
      <c r="UOV243" s="15"/>
      <c r="UOW243" s="15"/>
      <c r="UOX243" s="15"/>
      <c r="UOY243" s="15"/>
      <c r="UOZ243" s="15"/>
      <c r="UPA243" s="15"/>
      <c r="UPB243" s="10"/>
      <c r="UPC243" s="10"/>
      <c r="UPD243" s="21"/>
      <c r="UPE243" s="21"/>
      <c r="UPH243" s="21"/>
      <c r="UPI243" s="15"/>
      <c r="UPJ243" s="15"/>
      <c r="UPK243" s="15"/>
      <c r="UPL243" s="15"/>
      <c r="UPM243" s="15"/>
      <c r="UPN243" s="15"/>
      <c r="UPO243" s="15"/>
      <c r="UPP243" s="15"/>
      <c r="UPQ243" s="15"/>
      <c r="UPR243" s="15"/>
      <c r="UPS243" s="10"/>
      <c r="UPT243" s="10"/>
      <c r="UPU243" s="21"/>
      <c r="UPV243" s="21"/>
      <c r="UPY243" s="21"/>
      <c r="UPZ243" s="15"/>
      <c r="UQA243" s="15"/>
      <c r="UQB243" s="15"/>
      <c r="UQC243" s="15"/>
      <c r="UQD243" s="15"/>
      <c r="UQE243" s="15"/>
      <c r="UQF243" s="15"/>
      <c r="UQG243" s="15"/>
      <c r="UQH243" s="15"/>
      <c r="UQI243" s="15"/>
      <c r="UQJ243" s="10"/>
      <c r="UQK243" s="10"/>
      <c r="UQL243" s="21"/>
      <c r="UQM243" s="21"/>
      <c r="UQP243" s="21"/>
      <c r="UQQ243" s="15"/>
      <c r="UQR243" s="15"/>
      <c r="UQS243" s="15"/>
      <c r="UQT243" s="15"/>
      <c r="UQU243" s="15"/>
      <c r="UQV243" s="15"/>
      <c r="UQW243" s="15"/>
      <c r="UQX243" s="15"/>
      <c r="UQY243" s="15"/>
      <c r="UQZ243" s="15"/>
      <c r="URA243" s="10"/>
      <c r="URB243" s="10"/>
      <c r="URC243" s="21"/>
      <c r="URD243" s="21"/>
      <c r="URG243" s="21"/>
      <c r="URH243" s="15"/>
      <c r="URI243" s="15"/>
      <c r="URJ243" s="15"/>
      <c r="URK243" s="15"/>
      <c r="URL243" s="15"/>
      <c r="URM243" s="15"/>
      <c r="URN243" s="15"/>
      <c r="URO243" s="15"/>
      <c r="URP243" s="15"/>
      <c r="URQ243" s="15"/>
      <c r="URR243" s="10"/>
      <c r="URS243" s="10"/>
      <c r="URT243" s="21"/>
      <c r="URU243" s="21"/>
      <c r="URX243" s="21"/>
      <c r="URY243" s="15"/>
      <c r="URZ243" s="15"/>
      <c r="USA243" s="15"/>
      <c r="USB243" s="15"/>
      <c r="USC243" s="15"/>
      <c r="USD243" s="15"/>
      <c r="USE243" s="15"/>
      <c r="USF243" s="15"/>
      <c r="USG243" s="15"/>
      <c r="USH243" s="15"/>
      <c r="USI243" s="10"/>
      <c r="USJ243" s="10"/>
      <c r="USK243" s="21"/>
      <c r="USL243" s="21"/>
      <c r="USO243" s="21"/>
      <c r="USP243" s="15"/>
      <c r="USQ243" s="15"/>
      <c r="USR243" s="15"/>
      <c r="USS243" s="15"/>
      <c r="UST243" s="15"/>
      <c r="USU243" s="15"/>
      <c r="USV243" s="15"/>
      <c r="USW243" s="15"/>
      <c r="USX243" s="15"/>
      <c r="USY243" s="15"/>
      <c r="USZ243" s="10"/>
      <c r="UTA243" s="10"/>
      <c r="UTB243" s="21"/>
      <c r="UTC243" s="21"/>
      <c r="UTF243" s="21"/>
      <c r="UTG243" s="15"/>
      <c r="UTH243" s="15"/>
      <c r="UTI243" s="15"/>
      <c r="UTJ243" s="15"/>
      <c r="UTK243" s="15"/>
      <c r="UTL243" s="15"/>
      <c r="UTM243" s="15"/>
      <c r="UTN243" s="15"/>
      <c r="UTO243" s="15"/>
      <c r="UTP243" s="15"/>
      <c r="UTQ243" s="10"/>
      <c r="UTR243" s="10"/>
      <c r="UTS243" s="21"/>
      <c r="UTT243" s="21"/>
      <c r="UTW243" s="21"/>
      <c r="UTX243" s="15"/>
      <c r="UTY243" s="15"/>
      <c r="UTZ243" s="15"/>
      <c r="UUA243" s="15"/>
      <c r="UUB243" s="15"/>
      <c r="UUC243" s="15"/>
      <c r="UUD243" s="15"/>
      <c r="UUE243" s="15"/>
      <c r="UUF243" s="15"/>
      <c r="UUG243" s="15"/>
      <c r="UUH243" s="10"/>
      <c r="UUI243" s="10"/>
      <c r="UUJ243" s="21"/>
      <c r="UUK243" s="21"/>
      <c r="UUN243" s="21"/>
      <c r="UUO243" s="15"/>
      <c r="UUP243" s="15"/>
      <c r="UUQ243" s="15"/>
      <c r="UUR243" s="15"/>
      <c r="UUS243" s="15"/>
      <c r="UUT243" s="15"/>
      <c r="UUU243" s="15"/>
      <c r="UUV243" s="15"/>
      <c r="UUW243" s="15"/>
      <c r="UUX243" s="15"/>
      <c r="UUY243" s="10"/>
      <c r="UUZ243" s="10"/>
      <c r="UVA243" s="21"/>
      <c r="UVB243" s="21"/>
      <c r="UVE243" s="21"/>
      <c r="UVF243" s="15"/>
      <c r="UVG243" s="15"/>
      <c r="UVH243" s="15"/>
      <c r="UVI243" s="15"/>
      <c r="UVJ243" s="15"/>
      <c r="UVK243" s="15"/>
      <c r="UVL243" s="15"/>
      <c r="UVM243" s="15"/>
      <c r="UVN243" s="15"/>
      <c r="UVO243" s="15"/>
      <c r="UVP243" s="10"/>
      <c r="UVQ243" s="10"/>
      <c r="UVR243" s="21"/>
      <c r="UVS243" s="21"/>
      <c r="UVV243" s="21"/>
      <c r="UVW243" s="15"/>
      <c r="UVX243" s="15"/>
      <c r="UVY243" s="15"/>
      <c r="UVZ243" s="15"/>
      <c r="UWA243" s="15"/>
      <c r="UWB243" s="15"/>
      <c r="UWC243" s="15"/>
      <c r="UWD243" s="15"/>
      <c r="UWE243" s="15"/>
      <c r="UWF243" s="15"/>
      <c r="UWG243" s="10"/>
      <c r="UWH243" s="10"/>
      <c r="UWI243" s="21"/>
      <c r="UWJ243" s="21"/>
      <c r="UWM243" s="21"/>
      <c r="UWN243" s="15"/>
      <c r="UWO243" s="15"/>
      <c r="UWP243" s="15"/>
      <c r="UWQ243" s="15"/>
      <c r="UWR243" s="15"/>
      <c r="UWS243" s="15"/>
      <c r="UWT243" s="15"/>
      <c r="UWU243" s="15"/>
      <c r="UWV243" s="15"/>
      <c r="UWW243" s="15"/>
      <c r="UWX243" s="10"/>
      <c r="UWY243" s="10"/>
      <c r="UWZ243" s="21"/>
      <c r="UXA243" s="21"/>
      <c r="UXD243" s="21"/>
      <c r="UXE243" s="15"/>
      <c r="UXF243" s="15"/>
      <c r="UXG243" s="15"/>
      <c r="UXH243" s="15"/>
      <c r="UXI243" s="15"/>
      <c r="UXJ243" s="15"/>
      <c r="UXK243" s="15"/>
      <c r="UXL243" s="15"/>
      <c r="UXM243" s="15"/>
      <c r="UXN243" s="15"/>
      <c r="UXO243" s="10"/>
      <c r="UXP243" s="10"/>
      <c r="UXQ243" s="21"/>
      <c r="UXR243" s="21"/>
      <c r="UXU243" s="21"/>
      <c r="UXV243" s="15"/>
      <c r="UXW243" s="15"/>
      <c r="UXX243" s="15"/>
      <c r="UXY243" s="15"/>
      <c r="UXZ243" s="15"/>
      <c r="UYA243" s="15"/>
      <c r="UYB243" s="15"/>
      <c r="UYC243" s="15"/>
      <c r="UYD243" s="15"/>
      <c r="UYE243" s="15"/>
      <c r="UYF243" s="10"/>
      <c r="UYG243" s="10"/>
      <c r="UYH243" s="21"/>
      <c r="UYI243" s="21"/>
      <c r="UYL243" s="21"/>
      <c r="UYM243" s="15"/>
      <c r="UYN243" s="15"/>
      <c r="UYO243" s="15"/>
      <c r="UYP243" s="15"/>
      <c r="UYQ243" s="15"/>
      <c r="UYR243" s="15"/>
      <c r="UYS243" s="15"/>
      <c r="UYT243" s="15"/>
      <c r="UYU243" s="15"/>
      <c r="UYV243" s="15"/>
      <c r="UYW243" s="10"/>
      <c r="UYX243" s="10"/>
      <c r="UYY243" s="21"/>
      <c r="UYZ243" s="21"/>
      <c r="UZC243" s="21"/>
      <c r="UZD243" s="15"/>
      <c r="UZE243" s="15"/>
      <c r="UZF243" s="15"/>
      <c r="UZG243" s="15"/>
      <c r="UZH243" s="15"/>
      <c r="UZI243" s="15"/>
      <c r="UZJ243" s="15"/>
      <c r="UZK243" s="15"/>
      <c r="UZL243" s="15"/>
      <c r="UZM243" s="15"/>
      <c r="UZN243" s="10"/>
      <c r="UZO243" s="10"/>
      <c r="UZP243" s="21"/>
      <c r="UZQ243" s="21"/>
      <c r="UZT243" s="21"/>
      <c r="UZU243" s="15"/>
      <c r="UZV243" s="15"/>
      <c r="UZW243" s="15"/>
      <c r="UZX243" s="15"/>
      <c r="UZY243" s="15"/>
      <c r="UZZ243" s="15"/>
      <c r="VAA243" s="15"/>
      <c r="VAB243" s="15"/>
      <c r="VAC243" s="15"/>
      <c r="VAD243" s="15"/>
      <c r="VAE243" s="10"/>
      <c r="VAF243" s="10"/>
      <c r="VAG243" s="21"/>
      <c r="VAH243" s="21"/>
      <c r="VAK243" s="21"/>
      <c r="VAL243" s="15"/>
      <c r="VAM243" s="15"/>
      <c r="VAN243" s="15"/>
      <c r="VAO243" s="15"/>
      <c r="VAP243" s="15"/>
      <c r="VAQ243" s="15"/>
      <c r="VAR243" s="15"/>
      <c r="VAS243" s="15"/>
      <c r="VAT243" s="15"/>
      <c r="VAU243" s="15"/>
      <c r="VAV243" s="10"/>
      <c r="VAW243" s="10"/>
      <c r="VAX243" s="21"/>
      <c r="VAY243" s="21"/>
      <c r="VBB243" s="21"/>
      <c r="VBC243" s="15"/>
      <c r="VBD243" s="15"/>
      <c r="VBE243" s="15"/>
      <c r="VBF243" s="15"/>
      <c r="VBG243" s="15"/>
      <c r="VBH243" s="15"/>
      <c r="VBI243" s="15"/>
      <c r="VBJ243" s="15"/>
      <c r="VBK243" s="15"/>
      <c r="VBL243" s="15"/>
      <c r="VBM243" s="10"/>
      <c r="VBN243" s="10"/>
      <c r="VBO243" s="21"/>
      <c r="VBP243" s="21"/>
      <c r="VBS243" s="21"/>
      <c r="VBT243" s="15"/>
      <c r="VBU243" s="15"/>
      <c r="VBV243" s="15"/>
      <c r="VBW243" s="15"/>
      <c r="VBX243" s="15"/>
      <c r="VBY243" s="15"/>
      <c r="VBZ243" s="15"/>
      <c r="VCA243" s="15"/>
      <c r="VCB243" s="15"/>
      <c r="VCC243" s="15"/>
      <c r="VCD243" s="10"/>
      <c r="VCE243" s="10"/>
      <c r="VCF243" s="21"/>
      <c r="VCG243" s="21"/>
      <c r="VCJ243" s="21"/>
      <c r="VCK243" s="15"/>
      <c r="VCL243" s="15"/>
      <c r="VCM243" s="15"/>
      <c r="VCN243" s="15"/>
      <c r="VCO243" s="15"/>
      <c r="VCP243" s="15"/>
      <c r="VCQ243" s="15"/>
      <c r="VCR243" s="15"/>
      <c r="VCS243" s="15"/>
      <c r="VCT243" s="15"/>
      <c r="VCU243" s="10"/>
      <c r="VCV243" s="10"/>
      <c r="VCW243" s="21"/>
      <c r="VCX243" s="21"/>
      <c r="VDA243" s="21"/>
      <c r="VDB243" s="15"/>
      <c r="VDC243" s="15"/>
      <c r="VDD243" s="15"/>
      <c r="VDE243" s="15"/>
      <c r="VDF243" s="15"/>
      <c r="VDG243" s="15"/>
      <c r="VDH243" s="15"/>
      <c r="VDI243" s="15"/>
      <c r="VDJ243" s="15"/>
      <c r="VDK243" s="15"/>
      <c r="VDL243" s="10"/>
      <c r="VDM243" s="10"/>
      <c r="VDN243" s="21"/>
      <c r="VDO243" s="21"/>
      <c r="VDR243" s="21"/>
      <c r="VDS243" s="15"/>
      <c r="VDT243" s="15"/>
      <c r="VDU243" s="15"/>
      <c r="VDV243" s="15"/>
      <c r="VDW243" s="15"/>
      <c r="VDX243" s="15"/>
      <c r="VDY243" s="15"/>
      <c r="VDZ243" s="15"/>
      <c r="VEA243" s="15"/>
      <c r="VEB243" s="15"/>
      <c r="VEC243" s="10"/>
      <c r="VED243" s="10"/>
      <c r="VEE243" s="21"/>
      <c r="VEF243" s="21"/>
      <c r="VEI243" s="21"/>
      <c r="VEJ243" s="15"/>
      <c r="VEK243" s="15"/>
      <c r="VEL243" s="15"/>
      <c r="VEM243" s="15"/>
      <c r="VEN243" s="15"/>
      <c r="VEO243" s="15"/>
      <c r="VEP243" s="15"/>
      <c r="VEQ243" s="15"/>
      <c r="VER243" s="15"/>
      <c r="VES243" s="15"/>
      <c r="VET243" s="10"/>
      <c r="VEU243" s="10"/>
      <c r="VEV243" s="21"/>
      <c r="VEW243" s="21"/>
      <c r="VEZ243" s="21"/>
      <c r="VFA243" s="15"/>
      <c r="VFB243" s="15"/>
      <c r="VFC243" s="15"/>
      <c r="VFD243" s="15"/>
      <c r="VFE243" s="15"/>
      <c r="VFF243" s="15"/>
      <c r="VFG243" s="15"/>
      <c r="VFH243" s="15"/>
      <c r="VFI243" s="15"/>
      <c r="VFJ243" s="15"/>
      <c r="VFK243" s="10"/>
      <c r="VFL243" s="10"/>
      <c r="VFM243" s="21"/>
      <c r="VFN243" s="21"/>
      <c r="VFQ243" s="21"/>
      <c r="VFR243" s="15"/>
      <c r="VFS243" s="15"/>
      <c r="VFT243" s="15"/>
      <c r="VFU243" s="15"/>
      <c r="VFV243" s="15"/>
      <c r="VFW243" s="15"/>
      <c r="VFX243" s="15"/>
      <c r="VFY243" s="15"/>
      <c r="VFZ243" s="15"/>
      <c r="VGA243" s="15"/>
      <c r="VGB243" s="10"/>
      <c r="VGC243" s="10"/>
      <c r="VGD243" s="21"/>
      <c r="VGE243" s="21"/>
      <c r="VGH243" s="21"/>
      <c r="VGI243" s="15"/>
      <c r="VGJ243" s="15"/>
      <c r="VGK243" s="15"/>
      <c r="VGL243" s="15"/>
      <c r="VGM243" s="15"/>
      <c r="VGN243" s="15"/>
      <c r="VGO243" s="15"/>
      <c r="VGP243" s="15"/>
      <c r="VGQ243" s="15"/>
      <c r="VGR243" s="15"/>
      <c r="VGS243" s="10"/>
      <c r="VGT243" s="10"/>
      <c r="VGU243" s="21"/>
      <c r="VGV243" s="21"/>
      <c r="VGY243" s="21"/>
      <c r="VGZ243" s="15"/>
      <c r="VHA243" s="15"/>
      <c r="VHB243" s="15"/>
      <c r="VHC243" s="15"/>
      <c r="VHD243" s="15"/>
      <c r="VHE243" s="15"/>
      <c r="VHF243" s="15"/>
      <c r="VHG243" s="15"/>
      <c r="VHH243" s="15"/>
      <c r="VHI243" s="15"/>
      <c r="VHJ243" s="10"/>
      <c r="VHK243" s="10"/>
      <c r="VHL243" s="21"/>
      <c r="VHM243" s="21"/>
      <c r="VHP243" s="21"/>
      <c r="VHQ243" s="15"/>
      <c r="VHR243" s="15"/>
      <c r="VHS243" s="15"/>
      <c r="VHT243" s="15"/>
      <c r="VHU243" s="15"/>
      <c r="VHV243" s="15"/>
      <c r="VHW243" s="15"/>
      <c r="VHX243" s="15"/>
      <c r="VHY243" s="15"/>
      <c r="VHZ243" s="15"/>
      <c r="VIA243" s="10"/>
      <c r="VIB243" s="10"/>
      <c r="VIC243" s="21"/>
      <c r="VID243" s="21"/>
      <c r="VIG243" s="21"/>
      <c r="VIH243" s="15"/>
      <c r="VII243" s="15"/>
      <c r="VIJ243" s="15"/>
      <c r="VIK243" s="15"/>
      <c r="VIL243" s="15"/>
      <c r="VIM243" s="15"/>
      <c r="VIN243" s="15"/>
      <c r="VIO243" s="15"/>
      <c r="VIP243" s="15"/>
      <c r="VIQ243" s="15"/>
      <c r="VIR243" s="10"/>
      <c r="VIS243" s="10"/>
      <c r="VIT243" s="21"/>
      <c r="VIU243" s="21"/>
      <c r="VIX243" s="21"/>
      <c r="VIY243" s="15"/>
      <c r="VIZ243" s="15"/>
      <c r="VJA243" s="15"/>
      <c r="VJB243" s="15"/>
      <c r="VJC243" s="15"/>
      <c r="VJD243" s="15"/>
      <c r="VJE243" s="15"/>
      <c r="VJF243" s="15"/>
      <c r="VJG243" s="15"/>
      <c r="VJH243" s="15"/>
      <c r="VJI243" s="10"/>
      <c r="VJJ243" s="10"/>
      <c r="VJK243" s="21"/>
      <c r="VJL243" s="21"/>
      <c r="VJO243" s="21"/>
      <c r="VJP243" s="15"/>
      <c r="VJQ243" s="15"/>
      <c r="VJR243" s="15"/>
      <c r="VJS243" s="15"/>
      <c r="VJT243" s="15"/>
      <c r="VJU243" s="15"/>
      <c r="VJV243" s="15"/>
      <c r="VJW243" s="15"/>
      <c r="VJX243" s="15"/>
      <c r="VJY243" s="15"/>
      <c r="VJZ243" s="10"/>
      <c r="VKA243" s="10"/>
      <c r="VKB243" s="21"/>
      <c r="VKC243" s="21"/>
      <c r="VKF243" s="21"/>
      <c r="VKG243" s="15"/>
      <c r="VKH243" s="15"/>
      <c r="VKI243" s="15"/>
      <c r="VKJ243" s="15"/>
      <c r="VKK243" s="15"/>
      <c r="VKL243" s="15"/>
      <c r="VKM243" s="15"/>
      <c r="VKN243" s="15"/>
      <c r="VKO243" s="15"/>
      <c r="VKP243" s="15"/>
      <c r="VKQ243" s="10"/>
      <c r="VKR243" s="10"/>
      <c r="VKS243" s="21"/>
      <c r="VKT243" s="21"/>
      <c r="VKW243" s="21"/>
      <c r="VKX243" s="15"/>
      <c r="VKY243" s="15"/>
      <c r="VKZ243" s="15"/>
      <c r="VLA243" s="15"/>
      <c r="VLB243" s="15"/>
      <c r="VLC243" s="15"/>
      <c r="VLD243" s="15"/>
      <c r="VLE243" s="15"/>
      <c r="VLF243" s="15"/>
      <c r="VLG243" s="15"/>
      <c r="VLH243" s="10"/>
      <c r="VLI243" s="10"/>
      <c r="VLJ243" s="21"/>
      <c r="VLK243" s="21"/>
      <c r="VLN243" s="21"/>
      <c r="VLO243" s="15"/>
      <c r="VLP243" s="15"/>
      <c r="VLQ243" s="15"/>
      <c r="VLR243" s="15"/>
      <c r="VLS243" s="15"/>
      <c r="VLT243" s="15"/>
      <c r="VLU243" s="15"/>
      <c r="VLV243" s="15"/>
      <c r="VLW243" s="15"/>
      <c r="VLX243" s="15"/>
      <c r="VLY243" s="10"/>
      <c r="VLZ243" s="10"/>
      <c r="VMA243" s="21"/>
      <c r="VMB243" s="21"/>
      <c r="VME243" s="21"/>
      <c r="VMF243" s="15"/>
      <c r="VMG243" s="15"/>
      <c r="VMH243" s="15"/>
      <c r="VMI243" s="15"/>
      <c r="VMJ243" s="15"/>
      <c r="VMK243" s="15"/>
      <c r="VML243" s="15"/>
      <c r="VMM243" s="15"/>
      <c r="VMN243" s="15"/>
      <c r="VMO243" s="15"/>
      <c r="VMP243" s="10"/>
      <c r="VMQ243" s="10"/>
      <c r="VMR243" s="21"/>
      <c r="VMS243" s="21"/>
      <c r="VMV243" s="21"/>
      <c r="VMW243" s="15"/>
      <c r="VMX243" s="15"/>
      <c r="VMY243" s="15"/>
      <c r="VMZ243" s="15"/>
      <c r="VNA243" s="15"/>
      <c r="VNB243" s="15"/>
      <c r="VNC243" s="15"/>
      <c r="VND243" s="15"/>
      <c r="VNE243" s="15"/>
      <c r="VNF243" s="15"/>
      <c r="VNG243" s="10"/>
      <c r="VNH243" s="10"/>
      <c r="VNI243" s="21"/>
      <c r="VNJ243" s="21"/>
      <c r="VNM243" s="21"/>
      <c r="VNN243" s="15"/>
      <c r="VNO243" s="15"/>
      <c r="VNP243" s="15"/>
      <c r="VNQ243" s="15"/>
      <c r="VNR243" s="15"/>
      <c r="VNS243" s="15"/>
      <c r="VNT243" s="15"/>
      <c r="VNU243" s="15"/>
      <c r="VNV243" s="15"/>
      <c r="VNW243" s="15"/>
      <c r="VNX243" s="10"/>
      <c r="VNY243" s="10"/>
      <c r="VNZ243" s="21"/>
      <c r="VOA243" s="21"/>
      <c r="VOD243" s="21"/>
      <c r="VOE243" s="15"/>
      <c r="VOF243" s="15"/>
      <c r="VOG243" s="15"/>
      <c r="VOH243" s="15"/>
      <c r="VOI243" s="15"/>
      <c r="VOJ243" s="15"/>
      <c r="VOK243" s="15"/>
      <c r="VOL243" s="15"/>
      <c r="VOM243" s="15"/>
      <c r="VON243" s="15"/>
      <c r="VOO243" s="10"/>
      <c r="VOP243" s="10"/>
      <c r="VOQ243" s="21"/>
      <c r="VOR243" s="21"/>
      <c r="VOU243" s="21"/>
      <c r="VOV243" s="15"/>
      <c r="VOW243" s="15"/>
      <c r="VOX243" s="15"/>
      <c r="VOY243" s="15"/>
      <c r="VOZ243" s="15"/>
      <c r="VPA243" s="15"/>
      <c r="VPB243" s="15"/>
      <c r="VPC243" s="15"/>
      <c r="VPD243" s="15"/>
      <c r="VPE243" s="15"/>
      <c r="VPF243" s="10"/>
      <c r="VPG243" s="10"/>
      <c r="VPH243" s="21"/>
      <c r="VPI243" s="21"/>
      <c r="VPL243" s="21"/>
      <c r="VPM243" s="15"/>
      <c r="VPN243" s="15"/>
      <c r="VPO243" s="15"/>
      <c r="VPP243" s="15"/>
      <c r="VPQ243" s="15"/>
      <c r="VPR243" s="15"/>
      <c r="VPS243" s="15"/>
      <c r="VPT243" s="15"/>
      <c r="VPU243" s="15"/>
      <c r="VPV243" s="15"/>
      <c r="VPW243" s="10"/>
      <c r="VPX243" s="10"/>
      <c r="VPY243" s="21"/>
      <c r="VPZ243" s="21"/>
      <c r="VQC243" s="21"/>
      <c r="VQD243" s="15"/>
      <c r="VQE243" s="15"/>
      <c r="VQF243" s="15"/>
      <c r="VQG243" s="15"/>
      <c r="VQH243" s="15"/>
      <c r="VQI243" s="15"/>
      <c r="VQJ243" s="15"/>
      <c r="VQK243" s="15"/>
      <c r="VQL243" s="15"/>
      <c r="VQM243" s="15"/>
      <c r="VQN243" s="10"/>
      <c r="VQO243" s="10"/>
      <c r="VQP243" s="21"/>
      <c r="VQQ243" s="21"/>
      <c r="VQT243" s="21"/>
      <c r="VQU243" s="15"/>
      <c r="VQV243" s="15"/>
      <c r="VQW243" s="15"/>
      <c r="VQX243" s="15"/>
      <c r="VQY243" s="15"/>
      <c r="VQZ243" s="15"/>
      <c r="VRA243" s="15"/>
      <c r="VRB243" s="15"/>
      <c r="VRC243" s="15"/>
      <c r="VRD243" s="15"/>
      <c r="VRE243" s="10"/>
      <c r="VRF243" s="10"/>
      <c r="VRG243" s="21"/>
      <c r="VRH243" s="21"/>
      <c r="VRK243" s="21"/>
      <c r="VRL243" s="15"/>
      <c r="VRM243" s="15"/>
      <c r="VRN243" s="15"/>
      <c r="VRO243" s="15"/>
      <c r="VRP243" s="15"/>
      <c r="VRQ243" s="15"/>
      <c r="VRR243" s="15"/>
      <c r="VRS243" s="15"/>
      <c r="VRT243" s="15"/>
      <c r="VRU243" s="15"/>
      <c r="VRV243" s="10"/>
      <c r="VRW243" s="10"/>
      <c r="VRX243" s="21"/>
      <c r="VRY243" s="21"/>
      <c r="VSB243" s="21"/>
      <c r="VSC243" s="15"/>
      <c r="VSD243" s="15"/>
      <c r="VSE243" s="15"/>
      <c r="VSF243" s="15"/>
      <c r="VSG243" s="15"/>
      <c r="VSH243" s="15"/>
      <c r="VSI243" s="15"/>
      <c r="VSJ243" s="15"/>
      <c r="VSK243" s="15"/>
      <c r="VSL243" s="15"/>
      <c r="VSM243" s="10"/>
      <c r="VSN243" s="10"/>
      <c r="VSO243" s="21"/>
      <c r="VSP243" s="21"/>
      <c r="VSS243" s="21"/>
      <c r="VST243" s="15"/>
      <c r="VSU243" s="15"/>
      <c r="VSV243" s="15"/>
      <c r="VSW243" s="15"/>
      <c r="VSX243" s="15"/>
      <c r="VSY243" s="15"/>
      <c r="VSZ243" s="15"/>
      <c r="VTA243" s="15"/>
      <c r="VTB243" s="15"/>
      <c r="VTC243" s="15"/>
      <c r="VTD243" s="10"/>
      <c r="VTE243" s="10"/>
      <c r="VTF243" s="21"/>
      <c r="VTG243" s="21"/>
      <c r="VTJ243" s="21"/>
      <c r="VTK243" s="15"/>
      <c r="VTL243" s="15"/>
      <c r="VTM243" s="15"/>
      <c r="VTN243" s="15"/>
      <c r="VTO243" s="15"/>
      <c r="VTP243" s="15"/>
      <c r="VTQ243" s="15"/>
      <c r="VTR243" s="15"/>
      <c r="VTS243" s="15"/>
      <c r="VTT243" s="15"/>
      <c r="VTU243" s="10"/>
      <c r="VTV243" s="10"/>
      <c r="VTW243" s="21"/>
      <c r="VTX243" s="21"/>
      <c r="VUA243" s="21"/>
      <c r="VUB243" s="15"/>
      <c r="VUC243" s="15"/>
      <c r="VUD243" s="15"/>
      <c r="VUE243" s="15"/>
      <c r="VUF243" s="15"/>
      <c r="VUG243" s="15"/>
      <c r="VUH243" s="15"/>
      <c r="VUI243" s="15"/>
      <c r="VUJ243" s="15"/>
      <c r="VUK243" s="15"/>
      <c r="VUL243" s="10"/>
      <c r="VUM243" s="10"/>
      <c r="VUN243" s="21"/>
      <c r="VUO243" s="21"/>
      <c r="VUR243" s="21"/>
      <c r="VUS243" s="15"/>
      <c r="VUT243" s="15"/>
      <c r="VUU243" s="15"/>
      <c r="VUV243" s="15"/>
      <c r="VUW243" s="15"/>
      <c r="VUX243" s="15"/>
      <c r="VUY243" s="15"/>
      <c r="VUZ243" s="15"/>
      <c r="VVA243" s="15"/>
      <c r="VVB243" s="15"/>
      <c r="VVC243" s="10"/>
      <c r="VVD243" s="10"/>
      <c r="VVE243" s="21"/>
      <c r="VVF243" s="21"/>
      <c r="VVI243" s="21"/>
      <c r="VVJ243" s="15"/>
      <c r="VVK243" s="15"/>
      <c r="VVL243" s="15"/>
      <c r="VVM243" s="15"/>
      <c r="VVN243" s="15"/>
      <c r="VVO243" s="15"/>
      <c r="VVP243" s="15"/>
      <c r="VVQ243" s="15"/>
      <c r="VVR243" s="15"/>
      <c r="VVS243" s="15"/>
      <c r="VVT243" s="10"/>
      <c r="VVU243" s="10"/>
      <c r="VVV243" s="21"/>
      <c r="VVW243" s="21"/>
      <c r="VVZ243" s="21"/>
      <c r="VWA243" s="15"/>
      <c r="VWB243" s="15"/>
      <c r="VWC243" s="15"/>
      <c r="VWD243" s="15"/>
      <c r="VWE243" s="15"/>
      <c r="VWF243" s="15"/>
      <c r="VWG243" s="15"/>
      <c r="VWH243" s="15"/>
      <c r="VWI243" s="15"/>
      <c r="VWJ243" s="15"/>
      <c r="VWK243" s="10"/>
      <c r="VWL243" s="10"/>
      <c r="VWM243" s="21"/>
      <c r="VWN243" s="21"/>
      <c r="VWQ243" s="21"/>
      <c r="VWR243" s="15"/>
      <c r="VWS243" s="15"/>
      <c r="VWT243" s="15"/>
      <c r="VWU243" s="15"/>
      <c r="VWV243" s="15"/>
      <c r="VWW243" s="15"/>
      <c r="VWX243" s="15"/>
      <c r="VWY243" s="15"/>
      <c r="VWZ243" s="15"/>
      <c r="VXA243" s="15"/>
      <c r="VXB243" s="10"/>
      <c r="VXC243" s="10"/>
      <c r="VXD243" s="21"/>
      <c r="VXE243" s="21"/>
      <c r="VXH243" s="21"/>
      <c r="VXI243" s="15"/>
      <c r="VXJ243" s="15"/>
      <c r="VXK243" s="15"/>
      <c r="VXL243" s="15"/>
      <c r="VXM243" s="15"/>
      <c r="VXN243" s="15"/>
      <c r="VXO243" s="15"/>
      <c r="VXP243" s="15"/>
      <c r="VXQ243" s="15"/>
      <c r="VXR243" s="15"/>
      <c r="VXS243" s="10"/>
      <c r="VXT243" s="10"/>
      <c r="VXU243" s="21"/>
      <c r="VXV243" s="21"/>
      <c r="VXY243" s="21"/>
      <c r="VXZ243" s="15"/>
      <c r="VYA243" s="15"/>
      <c r="VYB243" s="15"/>
      <c r="VYC243" s="15"/>
      <c r="VYD243" s="15"/>
      <c r="VYE243" s="15"/>
      <c r="VYF243" s="15"/>
      <c r="VYG243" s="15"/>
      <c r="VYH243" s="15"/>
      <c r="VYI243" s="15"/>
      <c r="VYJ243" s="10"/>
      <c r="VYK243" s="10"/>
      <c r="VYL243" s="21"/>
      <c r="VYM243" s="21"/>
      <c r="VYP243" s="21"/>
      <c r="VYQ243" s="15"/>
      <c r="VYR243" s="15"/>
      <c r="VYS243" s="15"/>
      <c r="VYT243" s="15"/>
      <c r="VYU243" s="15"/>
      <c r="VYV243" s="15"/>
      <c r="VYW243" s="15"/>
      <c r="VYX243" s="15"/>
      <c r="VYY243" s="15"/>
      <c r="VYZ243" s="15"/>
      <c r="VZA243" s="10"/>
      <c r="VZB243" s="10"/>
      <c r="VZC243" s="21"/>
      <c r="VZD243" s="21"/>
      <c r="VZG243" s="21"/>
      <c r="VZH243" s="15"/>
      <c r="VZI243" s="15"/>
      <c r="VZJ243" s="15"/>
      <c r="VZK243" s="15"/>
      <c r="VZL243" s="15"/>
      <c r="VZM243" s="15"/>
      <c r="VZN243" s="15"/>
      <c r="VZO243" s="15"/>
      <c r="VZP243" s="15"/>
      <c r="VZQ243" s="15"/>
      <c r="VZR243" s="10"/>
      <c r="VZS243" s="10"/>
      <c r="VZT243" s="21"/>
      <c r="VZU243" s="21"/>
      <c r="VZX243" s="21"/>
      <c r="VZY243" s="15"/>
      <c r="VZZ243" s="15"/>
      <c r="WAA243" s="15"/>
      <c r="WAB243" s="15"/>
      <c r="WAC243" s="15"/>
      <c r="WAD243" s="15"/>
      <c r="WAE243" s="15"/>
      <c r="WAF243" s="15"/>
      <c r="WAG243" s="15"/>
      <c r="WAH243" s="15"/>
      <c r="WAI243" s="10"/>
      <c r="WAJ243" s="10"/>
      <c r="WAK243" s="21"/>
      <c r="WAL243" s="21"/>
      <c r="WAO243" s="21"/>
      <c r="WAP243" s="15"/>
      <c r="WAQ243" s="15"/>
      <c r="WAR243" s="15"/>
      <c r="WAS243" s="15"/>
      <c r="WAT243" s="15"/>
      <c r="WAU243" s="15"/>
      <c r="WAV243" s="15"/>
      <c r="WAW243" s="15"/>
      <c r="WAX243" s="15"/>
      <c r="WAY243" s="15"/>
      <c r="WAZ243" s="10"/>
      <c r="WBA243" s="10"/>
      <c r="WBB243" s="21"/>
      <c r="WBC243" s="21"/>
      <c r="WBF243" s="21"/>
      <c r="WBG243" s="15"/>
      <c r="WBH243" s="15"/>
      <c r="WBI243" s="15"/>
      <c r="WBJ243" s="15"/>
      <c r="WBK243" s="15"/>
      <c r="WBL243" s="15"/>
      <c r="WBM243" s="15"/>
      <c r="WBN243" s="15"/>
      <c r="WBO243" s="15"/>
      <c r="WBP243" s="15"/>
      <c r="WBQ243" s="10"/>
      <c r="WBR243" s="10"/>
      <c r="WBS243" s="21"/>
      <c r="WBT243" s="21"/>
      <c r="WBW243" s="21"/>
      <c r="WBX243" s="15"/>
      <c r="WBY243" s="15"/>
      <c r="WBZ243" s="15"/>
      <c r="WCA243" s="15"/>
      <c r="WCB243" s="15"/>
      <c r="WCC243" s="15"/>
      <c r="WCD243" s="15"/>
      <c r="WCE243" s="15"/>
      <c r="WCF243" s="15"/>
      <c r="WCG243" s="15"/>
      <c r="WCH243" s="10"/>
      <c r="WCI243" s="10"/>
      <c r="WCJ243" s="21"/>
      <c r="WCK243" s="21"/>
      <c r="WCN243" s="21"/>
      <c r="WCO243" s="15"/>
      <c r="WCP243" s="15"/>
      <c r="WCQ243" s="15"/>
      <c r="WCR243" s="15"/>
      <c r="WCS243" s="15"/>
      <c r="WCT243" s="15"/>
      <c r="WCU243" s="15"/>
      <c r="WCV243" s="15"/>
      <c r="WCW243" s="15"/>
      <c r="WCX243" s="15"/>
      <c r="WCY243" s="10"/>
      <c r="WCZ243" s="10"/>
      <c r="WDA243" s="21"/>
      <c r="WDB243" s="21"/>
      <c r="WDE243" s="21"/>
      <c r="WDF243" s="15"/>
      <c r="WDG243" s="15"/>
      <c r="WDH243" s="15"/>
      <c r="WDI243" s="15"/>
      <c r="WDJ243" s="15"/>
      <c r="WDK243" s="15"/>
      <c r="WDL243" s="15"/>
      <c r="WDM243" s="15"/>
      <c r="WDN243" s="15"/>
      <c r="WDO243" s="15"/>
      <c r="WDP243" s="10"/>
      <c r="WDQ243" s="10"/>
      <c r="WDR243" s="21"/>
      <c r="WDS243" s="21"/>
      <c r="WDV243" s="21"/>
      <c r="WDW243" s="15"/>
      <c r="WDX243" s="15"/>
      <c r="WDY243" s="15"/>
      <c r="WDZ243" s="15"/>
      <c r="WEA243" s="15"/>
      <c r="WEB243" s="15"/>
      <c r="WEC243" s="15"/>
      <c r="WED243" s="15"/>
      <c r="WEE243" s="15"/>
      <c r="WEF243" s="15"/>
      <c r="WEG243" s="10"/>
      <c r="WEH243" s="10"/>
      <c r="WEI243" s="21"/>
      <c r="WEJ243" s="21"/>
      <c r="WEM243" s="21"/>
      <c r="WEN243" s="15"/>
      <c r="WEO243" s="15"/>
      <c r="WEP243" s="15"/>
      <c r="WEQ243" s="15"/>
      <c r="WER243" s="15"/>
      <c r="WES243" s="15"/>
      <c r="WET243" s="15"/>
      <c r="WEU243" s="15"/>
      <c r="WEV243" s="15"/>
      <c r="WEW243" s="15"/>
      <c r="WEX243" s="10"/>
      <c r="WEY243" s="10"/>
      <c r="WEZ243" s="21"/>
      <c r="WFA243" s="21"/>
      <c r="WFD243" s="21"/>
      <c r="WFE243" s="15"/>
      <c r="WFF243" s="15"/>
      <c r="WFG243" s="15"/>
      <c r="WFH243" s="15"/>
      <c r="WFI243" s="15"/>
      <c r="WFJ243" s="15"/>
      <c r="WFK243" s="15"/>
      <c r="WFL243" s="15"/>
      <c r="WFM243" s="15"/>
      <c r="WFN243" s="15"/>
      <c r="WFO243" s="10"/>
      <c r="WFP243" s="10"/>
      <c r="WFQ243" s="21"/>
      <c r="WFR243" s="21"/>
      <c r="WFU243" s="21"/>
      <c r="WFV243" s="15"/>
      <c r="WFW243" s="15"/>
      <c r="WFX243" s="15"/>
      <c r="WFY243" s="15"/>
      <c r="WFZ243" s="15"/>
      <c r="WGA243" s="15"/>
      <c r="WGB243" s="15"/>
      <c r="WGC243" s="15"/>
      <c r="WGD243" s="15"/>
      <c r="WGE243" s="15"/>
      <c r="WGF243" s="10"/>
      <c r="WGG243" s="10"/>
      <c r="WGH243" s="21"/>
      <c r="WGI243" s="21"/>
      <c r="WGL243" s="21"/>
      <c r="WGM243" s="15"/>
      <c r="WGN243" s="15"/>
      <c r="WGO243" s="15"/>
      <c r="WGP243" s="15"/>
      <c r="WGQ243" s="15"/>
      <c r="WGR243" s="15"/>
      <c r="WGS243" s="15"/>
      <c r="WGT243" s="15"/>
      <c r="WGU243" s="15"/>
      <c r="WGV243" s="15"/>
      <c r="WGW243" s="10"/>
      <c r="WGX243" s="10"/>
      <c r="WGY243" s="21"/>
      <c r="WGZ243" s="21"/>
      <c r="WHC243" s="21"/>
      <c r="WHD243" s="15"/>
      <c r="WHE243" s="15"/>
      <c r="WHF243" s="15"/>
      <c r="WHG243" s="15"/>
      <c r="WHH243" s="15"/>
      <c r="WHI243" s="15"/>
      <c r="WHJ243" s="15"/>
      <c r="WHK243" s="15"/>
      <c r="WHL243" s="15"/>
      <c r="WHM243" s="15"/>
      <c r="WHN243" s="10"/>
      <c r="WHO243" s="10"/>
      <c r="WHP243" s="21"/>
      <c r="WHQ243" s="21"/>
      <c r="WHT243" s="21"/>
      <c r="WHU243" s="15"/>
      <c r="WHV243" s="15"/>
      <c r="WHW243" s="15"/>
      <c r="WHX243" s="15"/>
      <c r="WHY243" s="15"/>
      <c r="WHZ243" s="15"/>
      <c r="WIA243" s="15"/>
      <c r="WIB243" s="15"/>
      <c r="WIC243" s="15"/>
      <c r="WID243" s="15"/>
      <c r="WIE243" s="10"/>
      <c r="WIF243" s="10"/>
      <c r="WIG243" s="21"/>
      <c r="WIH243" s="21"/>
      <c r="WIK243" s="21"/>
      <c r="WIL243" s="15"/>
      <c r="WIM243" s="15"/>
      <c r="WIN243" s="15"/>
      <c r="WIO243" s="15"/>
      <c r="WIP243" s="15"/>
      <c r="WIQ243" s="15"/>
      <c r="WIR243" s="15"/>
      <c r="WIS243" s="15"/>
      <c r="WIT243" s="15"/>
      <c r="WIU243" s="15"/>
      <c r="WIV243" s="10"/>
      <c r="WIW243" s="10"/>
      <c r="WIX243" s="21"/>
      <c r="WIY243" s="21"/>
      <c r="WJB243" s="21"/>
      <c r="WJC243" s="15"/>
      <c r="WJD243" s="15"/>
      <c r="WJE243" s="15"/>
      <c r="WJF243" s="15"/>
      <c r="WJG243" s="15"/>
      <c r="WJH243" s="15"/>
      <c r="WJI243" s="15"/>
      <c r="WJJ243" s="15"/>
      <c r="WJK243" s="15"/>
      <c r="WJL243" s="15"/>
      <c r="WJM243" s="10"/>
      <c r="WJN243" s="10"/>
      <c r="WJO243" s="21"/>
      <c r="WJP243" s="21"/>
      <c r="WJS243" s="21"/>
      <c r="WJT243" s="15"/>
      <c r="WJU243" s="15"/>
      <c r="WJV243" s="15"/>
      <c r="WJW243" s="15"/>
      <c r="WJX243" s="15"/>
      <c r="WJY243" s="15"/>
      <c r="WJZ243" s="15"/>
      <c r="WKA243" s="15"/>
      <c r="WKB243" s="15"/>
      <c r="WKC243" s="15"/>
      <c r="WKD243" s="10"/>
      <c r="WKE243" s="10"/>
      <c r="WKF243" s="21"/>
      <c r="WKG243" s="21"/>
      <c r="WKJ243" s="21"/>
      <c r="WKK243" s="15"/>
      <c r="WKL243" s="15"/>
      <c r="WKM243" s="15"/>
      <c r="WKN243" s="15"/>
      <c r="WKO243" s="15"/>
      <c r="WKP243" s="15"/>
      <c r="WKQ243" s="15"/>
      <c r="WKR243" s="15"/>
      <c r="WKS243" s="15"/>
      <c r="WKT243" s="15"/>
      <c r="WKU243" s="10"/>
      <c r="WKV243" s="10"/>
      <c r="WKW243" s="21"/>
      <c r="WKX243" s="21"/>
      <c r="WLA243" s="21"/>
      <c r="WLB243" s="15"/>
      <c r="WLC243" s="15"/>
      <c r="WLD243" s="15"/>
      <c r="WLE243" s="15"/>
      <c r="WLF243" s="15"/>
      <c r="WLG243" s="15"/>
      <c r="WLH243" s="15"/>
      <c r="WLI243" s="15"/>
      <c r="WLJ243" s="15"/>
      <c r="WLK243" s="15"/>
      <c r="WLL243" s="10"/>
      <c r="WLM243" s="10"/>
      <c r="WLN243" s="21"/>
      <c r="WLO243" s="21"/>
      <c r="WLR243" s="21"/>
      <c r="WLS243" s="15"/>
      <c r="WLT243" s="15"/>
      <c r="WLU243" s="15"/>
      <c r="WLV243" s="15"/>
      <c r="WLW243" s="15"/>
      <c r="WLX243" s="15"/>
      <c r="WLY243" s="15"/>
      <c r="WLZ243" s="15"/>
      <c r="WMA243" s="15"/>
      <c r="WMB243" s="15"/>
      <c r="WMC243" s="10"/>
      <c r="WMD243" s="10"/>
      <c r="WME243" s="21"/>
      <c r="WMF243" s="21"/>
      <c r="WMI243" s="21"/>
      <c r="WMJ243" s="15"/>
      <c r="WMK243" s="15"/>
      <c r="WML243" s="15"/>
      <c r="WMM243" s="15"/>
      <c r="WMN243" s="15"/>
      <c r="WMO243" s="15"/>
      <c r="WMP243" s="15"/>
      <c r="WMQ243" s="15"/>
      <c r="WMR243" s="15"/>
      <c r="WMS243" s="15"/>
      <c r="WMT243" s="10"/>
      <c r="WMU243" s="10"/>
      <c r="WMV243" s="21"/>
      <c r="WMW243" s="21"/>
      <c r="WMZ243" s="21"/>
      <c r="WNA243" s="15"/>
      <c r="WNB243" s="15"/>
      <c r="WNC243" s="15"/>
      <c r="WND243" s="15"/>
      <c r="WNE243" s="15"/>
      <c r="WNF243" s="15"/>
      <c r="WNG243" s="15"/>
      <c r="WNH243" s="15"/>
      <c r="WNI243" s="15"/>
      <c r="WNJ243" s="15"/>
      <c r="WNK243" s="10"/>
      <c r="WNL243" s="10"/>
      <c r="WNM243" s="21"/>
      <c r="WNN243" s="21"/>
      <c r="WNQ243" s="21"/>
      <c r="WNR243" s="15"/>
      <c r="WNS243" s="15"/>
      <c r="WNT243" s="15"/>
      <c r="WNU243" s="15"/>
      <c r="WNV243" s="15"/>
      <c r="WNW243" s="15"/>
      <c r="WNX243" s="15"/>
      <c r="WNY243" s="15"/>
      <c r="WNZ243" s="15"/>
      <c r="WOA243" s="15"/>
      <c r="WOB243" s="10"/>
      <c r="WOC243" s="10"/>
      <c r="WOD243" s="21"/>
      <c r="WOE243" s="21"/>
      <c r="WOH243" s="21"/>
      <c r="WOI243" s="15"/>
      <c r="WOJ243" s="15"/>
      <c r="WOK243" s="15"/>
      <c r="WOL243" s="15"/>
      <c r="WOM243" s="15"/>
      <c r="WON243" s="15"/>
      <c r="WOO243" s="15"/>
      <c r="WOP243" s="15"/>
      <c r="WOQ243" s="15"/>
      <c r="WOR243" s="15"/>
      <c r="WOS243" s="10"/>
      <c r="WOT243" s="10"/>
      <c r="WOU243" s="21"/>
      <c r="WOV243" s="21"/>
      <c r="WOY243" s="21"/>
      <c r="WOZ243" s="15"/>
      <c r="WPA243" s="15"/>
      <c r="WPB243" s="15"/>
      <c r="WPC243" s="15"/>
      <c r="WPD243" s="15"/>
      <c r="WPE243" s="15"/>
      <c r="WPF243" s="15"/>
      <c r="WPG243" s="15"/>
      <c r="WPH243" s="15"/>
      <c r="WPI243" s="15"/>
      <c r="WPJ243" s="10"/>
      <c r="WPK243" s="10"/>
      <c r="WPL243" s="21"/>
      <c r="WPM243" s="21"/>
      <c r="WPP243" s="21"/>
      <c r="WPQ243" s="15"/>
      <c r="WPR243" s="15"/>
      <c r="WPS243" s="15"/>
      <c r="WPT243" s="15"/>
      <c r="WPU243" s="15"/>
      <c r="WPV243" s="15"/>
      <c r="WPW243" s="15"/>
      <c r="WPX243" s="15"/>
      <c r="WPY243" s="15"/>
      <c r="WPZ243" s="15"/>
      <c r="WQA243" s="10"/>
      <c r="WQB243" s="10"/>
      <c r="WQC243" s="21"/>
      <c r="WQD243" s="21"/>
      <c r="WQG243" s="21"/>
      <c r="WQH243" s="15"/>
      <c r="WQI243" s="15"/>
      <c r="WQJ243" s="15"/>
      <c r="WQK243" s="15"/>
      <c r="WQL243" s="15"/>
      <c r="WQM243" s="15"/>
      <c r="WQN243" s="15"/>
      <c r="WQO243" s="15"/>
      <c r="WQP243" s="15"/>
      <c r="WQQ243" s="15"/>
      <c r="WQR243" s="10"/>
      <c r="WQS243" s="10"/>
      <c r="WQT243" s="21"/>
      <c r="WQU243" s="21"/>
      <c r="WQX243" s="21"/>
      <c r="WQY243" s="15"/>
      <c r="WQZ243" s="15"/>
      <c r="WRA243" s="15"/>
      <c r="WRB243" s="15"/>
      <c r="WRC243" s="15"/>
      <c r="WRD243" s="15"/>
      <c r="WRE243" s="15"/>
      <c r="WRF243" s="15"/>
      <c r="WRG243" s="15"/>
      <c r="WRH243" s="15"/>
      <c r="WRI243" s="10"/>
      <c r="WRJ243" s="10"/>
      <c r="WRK243" s="21"/>
      <c r="WRL243" s="21"/>
      <c r="WRO243" s="21"/>
      <c r="WRP243" s="15"/>
      <c r="WRQ243" s="15"/>
      <c r="WRR243" s="15"/>
      <c r="WRS243" s="15"/>
      <c r="WRT243" s="15"/>
      <c r="WRU243" s="15"/>
      <c r="WRV243" s="15"/>
      <c r="WRW243" s="15"/>
      <c r="WRX243" s="15"/>
      <c r="WRY243" s="15"/>
      <c r="WRZ243" s="10"/>
      <c r="WSA243" s="10"/>
      <c r="WSB243" s="21"/>
      <c r="WSC243" s="21"/>
      <c r="WSF243" s="21"/>
      <c r="WSG243" s="15"/>
      <c r="WSH243" s="15"/>
      <c r="WSI243" s="15"/>
      <c r="WSJ243" s="15"/>
      <c r="WSK243" s="15"/>
      <c r="WSL243" s="15"/>
      <c r="WSM243" s="15"/>
      <c r="WSN243" s="15"/>
      <c r="WSO243" s="15"/>
      <c r="WSP243" s="15"/>
      <c r="WSQ243" s="10"/>
      <c r="WSR243" s="10"/>
      <c r="WSS243" s="21"/>
      <c r="WST243" s="21"/>
      <c r="WSW243" s="21"/>
      <c r="WSX243" s="15"/>
      <c r="WSY243" s="15"/>
      <c r="WSZ243" s="15"/>
      <c r="WTA243" s="15"/>
      <c r="WTB243" s="15"/>
      <c r="WTC243" s="15"/>
      <c r="WTD243" s="15"/>
      <c r="WTE243" s="15"/>
      <c r="WTF243" s="15"/>
      <c r="WTG243" s="15"/>
      <c r="WTH243" s="10"/>
      <c r="WTI243" s="10"/>
      <c r="WTJ243" s="21"/>
      <c r="WTK243" s="21"/>
      <c r="WTN243" s="21"/>
      <c r="WTO243" s="15"/>
      <c r="WTP243" s="15"/>
      <c r="WTQ243" s="15"/>
      <c r="WTR243" s="15"/>
      <c r="WTS243" s="15"/>
      <c r="WTT243" s="15"/>
      <c r="WTU243" s="15"/>
      <c r="WTV243" s="15"/>
      <c r="WTW243" s="15"/>
      <c r="WTX243" s="15"/>
      <c r="WTY243" s="10"/>
      <c r="WTZ243" s="10"/>
      <c r="WUA243" s="21"/>
      <c r="WUB243" s="21"/>
      <c r="WUE243" s="21"/>
      <c r="WUF243" s="15"/>
      <c r="WUG243" s="15"/>
      <c r="WUH243" s="15"/>
      <c r="WUI243" s="15"/>
      <c r="WUJ243" s="15"/>
      <c r="WUK243" s="15"/>
      <c r="WUL243" s="15"/>
      <c r="WUM243" s="15"/>
      <c r="WUN243" s="15"/>
      <c r="WUO243" s="15"/>
      <c r="WUP243" s="10"/>
      <c r="WUQ243" s="10"/>
      <c r="WUR243" s="21"/>
      <c r="WUS243" s="21"/>
      <c r="WUV243" s="21"/>
      <c r="WUW243" s="15"/>
      <c r="WUX243" s="15"/>
      <c r="WUY243" s="15"/>
      <c r="WUZ243" s="15"/>
      <c r="WVA243" s="15"/>
      <c r="WVB243" s="15"/>
      <c r="WVC243" s="15"/>
      <c r="WVD243" s="15"/>
      <c r="WVE243" s="15"/>
      <c r="WVF243" s="15"/>
      <c r="WVG243" s="10"/>
      <c r="WVH243" s="10"/>
      <c r="WVI243" s="21"/>
      <c r="WVJ243" s="21"/>
      <c r="WVM243" s="21"/>
      <c r="WVN243" s="15"/>
      <c r="WVO243" s="15"/>
      <c r="WVP243" s="15"/>
      <c r="WVQ243" s="15"/>
      <c r="WVR243" s="15"/>
      <c r="WVS243" s="15"/>
      <c r="WVT243" s="15"/>
      <c r="WVU243" s="15"/>
      <c r="WVV243" s="15"/>
      <c r="WVW243" s="15"/>
      <c r="WVX243" s="10"/>
      <c r="WVY243" s="10"/>
      <c r="WVZ243" s="21"/>
      <c r="WWA243" s="21"/>
      <c r="WWD243" s="21"/>
      <c r="WWE243" s="15"/>
      <c r="WWF243" s="15"/>
      <c r="WWG243" s="15"/>
      <c r="WWH243" s="15"/>
      <c r="WWI243" s="15"/>
      <c r="WWJ243" s="15"/>
      <c r="WWK243" s="15"/>
      <c r="WWL243" s="15"/>
      <c r="WWM243" s="15"/>
      <c r="WWN243" s="15"/>
      <c r="WWO243" s="10"/>
      <c r="WWP243" s="10"/>
      <c r="WWQ243" s="21"/>
      <c r="WWR243" s="21"/>
      <c r="WWU243" s="21"/>
      <c r="WWV243" s="15"/>
      <c r="WWW243" s="15"/>
      <c r="WWX243" s="15"/>
      <c r="WWY243" s="15"/>
      <c r="WWZ243" s="15"/>
      <c r="WXA243" s="15"/>
      <c r="WXB243" s="15"/>
      <c r="WXC243" s="15"/>
      <c r="WXD243" s="15"/>
      <c r="WXE243" s="15"/>
      <c r="WXF243" s="10"/>
      <c r="WXG243" s="10"/>
      <c r="WXH243" s="21"/>
      <c r="WXI243" s="21"/>
      <c r="WXL243" s="21"/>
      <c r="WXM243" s="15"/>
      <c r="WXN243" s="15"/>
      <c r="WXO243" s="15"/>
      <c r="WXP243" s="15"/>
      <c r="WXQ243" s="15"/>
      <c r="WXR243" s="15"/>
      <c r="WXS243" s="15"/>
      <c r="WXT243" s="15"/>
      <c r="WXU243" s="15"/>
      <c r="WXV243" s="15"/>
      <c r="WXW243" s="10"/>
      <c r="WXX243" s="10"/>
      <c r="WXY243" s="21"/>
      <c r="WXZ243" s="21"/>
      <c r="WYC243" s="21"/>
      <c r="WYD243" s="15"/>
      <c r="WYE243" s="15"/>
      <c r="WYF243" s="15"/>
      <c r="WYG243" s="15"/>
      <c r="WYH243" s="15"/>
      <c r="WYI243" s="15"/>
      <c r="WYJ243" s="15"/>
      <c r="WYK243" s="15"/>
      <c r="WYL243" s="15"/>
      <c r="WYM243" s="15"/>
      <c r="WYN243" s="10"/>
      <c r="WYO243" s="10"/>
      <c r="WYP243" s="21"/>
      <c r="WYQ243" s="21"/>
      <c r="WYT243" s="21"/>
      <c r="WYU243" s="15"/>
      <c r="WYV243" s="15"/>
      <c r="WYW243" s="15"/>
      <c r="WYX243" s="15"/>
      <c r="WYY243" s="15"/>
      <c r="WYZ243" s="15"/>
      <c r="WZA243" s="15"/>
      <c r="WZB243" s="15"/>
      <c r="WZC243" s="15"/>
      <c r="WZD243" s="15"/>
      <c r="WZE243" s="10"/>
      <c r="WZF243" s="10"/>
      <c r="WZG243" s="21"/>
      <c r="WZH243" s="21"/>
      <c r="WZK243" s="21"/>
      <c r="WZL243" s="15"/>
      <c r="WZM243" s="15"/>
      <c r="WZN243" s="15"/>
      <c r="WZO243" s="15"/>
      <c r="WZP243" s="15"/>
      <c r="WZQ243" s="15"/>
      <c r="WZR243" s="15"/>
      <c r="WZS243" s="15"/>
      <c r="WZT243" s="15"/>
      <c r="WZU243" s="15"/>
      <c r="WZV243" s="10"/>
      <c r="WZW243" s="10"/>
      <c r="WZX243" s="21"/>
      <c r="WZY243" s="21"/>
      <c r="XAB243" s="21"/>
      <c r="XAC243" s="15"/>
      <c r="XAD243" s="15"/>
      <c r="XAE243" s="15"/>
      <c r="XAF243" s="15"/>
      <c r="XAG243" s="15"/>
      <c r="XAH243" s="15"/>
      <c r="XAI243" s="15"/>
      <c r="XAJ243" s="15"/>
      <c r="XAK243" s="15"/>
      <c r="XAL243" s="15"/>
      <c r="XAM243" s="10"/>
      <c r="XAN243" s="10"/>
      <c r="XAO243" s="21"/>
      <c r="XAP243" s="21"/>
      <c r="XAS243" s="21"/>
      <c r="XAT243" s="15"/>
      <c r="XAU243" s="15"/>
      <c r="XAV243" s="15"/>
      <c r="XAW243" s="15"/>
      <c r="XAX243" s="15"/>
      <c r="XAY243" s="15"/>
      <c r="XAZ243" s="15"/>
      <c r="XBA243" s="15"/>
      <c r="XBB243" s="15"/>
      <c r="XBC243" s="15"/>
      <c r="XBD243" s="10"/>
      <c r="XBE243" s="10"/>
      <c r="XBF243" s="21"/>
      <c r="XBG243" s="21"/>
      <c r="XBJ243" s="21"/>
      <c r="XBK243" s="15"/>
      <c r="XBL243" s="15"/>
      <c r="XBM243" s="15"/>
      <c r="XBN243" s="15"/>
      <c r="XBO243" s="15"/>
      <c r="XBP243" s="15"/>
      <c r="XBQ243" s="15"/>
      <c r="XBR243" s="15"/>
      <c r="XBS243" s="15"/>
      <c r="XBT243" s="15"/>
      <c r="XBU243" s="10"/>
      <c r="XBV243" s="10"/>
      <c r="XBW243" s="21"/>
      <c r="XBX243" s="21"/>
      <c r="XCA243" s="21"/>
      <c r="XCB243" s="15"/>
      <c r="XCC243" s="15"/>
      <c r="XCD243" s="15"/>
      <c r="XCE243" s="15"/>
      <c r="XCF243" s="15"/>
      <c r="XCG243" s="15"/>
      <c r="XCH243" s="15"/>
      <c r="XCI243" s="15"/>
      <c r="XCJ243" s="15"/>
      <c r="XCK243" s="15"/>
      <c r="XCL243" s="10"/>
      <c r="XCM243" s="10"/>
      <c r="XCN243" s="21"/>
      <c r="XCO243" s="21"/>
      <c r="XCR243" s="21"/>
      <c r="XCS243" s="15"/>
      <c r="XCT243" s="15"/>
      <c r="XCU243" s="15"/>
      <c r="XCV243" s="15"/>
      <c r="XCW243" s="15"/>
      <c r="XCX243" s="15"/>
      <c r="XCY243" s="15"/>
      <c r="XCZ243" s="15"/>
      <c r="XDA243" s="15"/>
      <c r="XDB243" s="15"/>
      <c r="XDC243" s="10"/>
      <c r="XDD243" s="10"/>
      <c r="XDE243" s="21"/>
      <c r="XDF243" s="21"/>
      <c r="XDI243" s="21"/>
      <c r="XDJ243" s="15"/>
      <c r="XDK243" s="15"/>
      <c r="XDL243" s="15"/>
      <c r="XDM243" s="15"/>
      <c r="XDN243" s="15"/>
      <c r="XDO243" s="15"/>
      <c r="XDP243" s="15"/>
      <c r="XDQ243" s="15"/>
      <c r="XDR243" s="15"/>
      <c r="XDS243" s="15"/>
      <c r="XDT243" s="10"/>
      <c r="XDU243" s="10"/>
      <c r="XDV243" s="21"/>
      <c r="XDW243" s="21"/>
      <c r="XDZ243" s="21"/>
      <c r="XEA243" s="15"/>
      <c r="XEB243" s="15"/>
      <c r="XEC243" s="15"/>
      <c r="XED243" s="15"/>
      <c r="XEE243" s="15"/>
      <c r="XEF243" s="15"/>
      <c r="XEG243" s="15"/>
      <c r="XEH243" s="15"/>
      <c r="XEI243" s="15"/>
      <c r="XEJ243" s="15"/>
      <c r="XEK243" s="10"/>
      <c r="XEL243" s="10"/>
      <c r="XEM243" s="21"/>
      <c r="XEN243" s="21"/>
      <c r="XEQ243" s="21"/>
      <c r="XER243" s="15"/>
      <c r="XES243" s="15"/>
      <c r="XET243" s="15"/>
      <c r="XEU243" s="15"/>
      <c r="XEV243" s="15"/>
      <c r="XEW243" s="15"/>
      <c r="XEX243" s="15"/>
      <c r="XEY243" s="15"/>
      <c r="XEZ243" s="15"/>
      <c r="XFA243" s="15"/>
      <c r="XFB243" s="10"/>
      <c r="XFC243" s="10"/>
      <c r="XFD243" s="21"/>
    </row>
    <row r="244" spans="1:4094 4097:8191 8194:12288 12291:16384" ht="14.25" customHeight="1" x14ac:dyDescent="0.25">
      <c r="A244" s="31">
        <v>0</v>
      </c>
      <c r="B244" s="31">
        <v>1</v>
      </c>
      <c r="C244" s="31">
        <v>6</v>
      </c>
      <c r="D244" s="32" t="s">
        <v>517</v>
      </c>
      <c r="E244" s="32" t="s">
        <v>166</v>
      </c>
      <c r="F244" s="32" t="s">
        <v>518</v>
      </c>
      <c r="G244" s="32" t="s">
        <v>519</v>
      </c>
      <c r="H244" s="32" t="s">
        <v>352</v>
      </c>
      <c r="I244" s="31" t="s">
        <v>520</v>
      </c>
      <c r="J244" s="31">
        <v>99</v>
      </c>
      <c r="K244" s="33" t="s">
        <v>693</v>
      </c>
      <c r="L244" s="33">
        <v>40</v>
      </c>
      <c r="M244" s="34" t="s">
        <v>953</v>
      </c>
      <c r="N244" s="34" t="s">
        <v>1809</v>
      </c>
      <c r="O244" s="35">
        <v>1</v>
      </c>
      <c r="P244" s="35"/>
      <c r="Q244" s="32"/>
      <c r="S244" s="1">
        <f t="shared" si="71"/>
        <v>0</v>
      </c>
      <c r="T244" s="1">
        <f t="shared" si="72"/>
        <v>0</v>
      </c>
      <c r="U244" s="1">
        <f t="shared" si="73"/>
        <v>0</v>
      </c>
      <c r="V244" s="1">
        <f t="shared" si="74"/>
        <v>0</v>
      </c>
      <c r="W244" s="1">
        <f t="shared" si="75"/>
        <v>0</v>
      </c>
      <c r="X244" s="1">
        <f t="shared" si="76"/>
        <v>0</v>
      </c>
      <c r="Y244" s="1">
        <f t="shared" si="77"/>
        <v>0</v>
      </c>
      <c r="Z244" s="1">
        <f t="shared" si="78"/>
        <v>0</v>
      </c>
      <c r="AA244" s="1">
        <f t="shared" si="79"/>
        <v>0</v>
      </c>
      <c r="AB244" s="1">
        <f t="shared" si="80"/>
        <v>0</v>
      </c>
      <c r="AD244" s="1">
        <f t="shared" si="81"/>
        <v>0</v>
      </c>
      <c r="AE244" s="1">
        <f t="shared" si="82"/>
        <v>1</v>
      </c>
      <c r="AF244" s="1">
        <f t="shared" si="83"/>
        <v>0</v>
      </c>
      <c r="AG244" s="1">
        <f t="shared" si="84"/>
        <v>1</v>
      </c>
      <c r="AH244" s="1">
        <f t="shared" si="85"/>
        <v>0</v>
      </c>
      <c r="AI244" s="1">
        <f t="shared" si="86"/>
        <v>1</v>
      </c>
    </row>
    <row r="245" spans="1:4094 4097:8191 8194:12288 12291:16384" ht="13.9" customHeight="1" x14ac:dyDescent="0.25">
      <c r="A245" s="38">
        <v>0</v>
      </c>
      <c r="B245" s="38">
        <v>1</v>
      </c>
      <c r="C245" s="38">
        <v>6</v>
      </c>
      <c r="D245" s="39" t="s">
        <v>1797</v>
      </c>
      <c r="E245" s="39" t="s">
        <v>1798</v>
      </c>
      <c r="F245" s="39" t="s">
        <v>1799</v>
      </c>
      <c r="G245" s="39"/>
      <c r="H245" s="39" t="s">
        <v>352</v>
      </c>
      <c r="I245" s="38" t="s">
        <v>1800</v>
      </c>
      <c r="J245" s="38"/>
      <c r="K245" s="40" t="s">
        <v>694</v>
      </c>
      <c r="L245" s="40"/>
      <c r="M245" s="41"/>
      <c r="N245" s="42"/>
      <c r="O245" s="43"/>
      <c r="P245" s="43">
        <v>1</v>
      </c>
      <c r="Q245" s="39"/>
      <c r="S245" s="1">
        <f t="shared" si="71"/>
        <v>0</v>
      </c>
      <c r="T245" s="1">
        <f t="shared" si="72"/>
        <v>0</v>
      </c>
      <c r="U245" s="1">
        <f t="shared" si="73"/>
        <v>0</v>
      </c>
      <c r="V245" s="1">
        <f t="shared" si="74"/>
        <v>0</v>
      </c>
      <c r="W245" s="1">
        <f t="shared" si="75"/>
        <v>0</v>
      </c>
      <c r="X245" s="1">
        <f t="shared" si="76"/>
        <v>0</v>
      </c>
      <c r="Y245" s="1">
        <f t="shared" si="77"/>
        <v>0</v>
      </c>
      <c r="Z245" s="1">
        <f t="shared" si="78"/>
        <v>0</v>
      </c>
      <c r="AA245" s="1">
        <f t="shared" si="79"/>
        <v>0</v>
      </c>
      <c r="AB245" s="1">
        <f t="shared" si="80"/>
        <v>0</v>
      </c>
      <c r="AD245" s="1">
        <f t="shared" si="81"/>
        <v>0</v>
      </c>
      <c r="AE245" s="1">
        <f t="shared" si="82"/>
        <v>0</v>
      </c>
      <c r="AF245" s="1">
        <f t="shared" si="83"/>
        <v>0</v>
      </c>
      <c r="AG245" s="1">
        <f t="shared" si="84"/>
        <v>0</v>
      </c>
      <c r="AH245" s="1">
        <f t="shared" si="85"/>
        <v>1</v>
      </c>
      <c r="AI245" s="1">
        <f t="shared" si="86"/>
        <v>0</v>
      </c>
    </row>
    <row r="246" spans="1:4094 4097:8191 8194:12288 12291:16384" ht="14.25" customHeight="1" x14ac:dyDescent="0.25">
      <c r="A246" s="31">
        <v>0</v>
      </c>
      <c r="B246" s="31">
        <v>1</v>
      </c>
      <c r="C246" s="31">
        <v>6</v>
      </c>
      <c r="D246" s="32" t="s">
        <v>2046</v>
      </c>
      <c r="E246" s="32" t="s">
        <v>166</v>
      </c>
      <c r="F246" s="32" t="s">
        <v>2047</v>
      </c>
      <c r="G246" s="32"/>
      <c r="H246" s="32" t="s">
        <v>352</v>
      </c>
      <c r="I246" s="31" t="s">
        <v>2048</v>
      </c>
      <c r="J246" s="31"/>
      <c r="K246" s="33" t="s">
        <v>694</v>
      </c>
      <c r="L246" s="33"/>
      <c r="M246" s="34"/>
      <c r="N246" s="34" t="s">
        <v>1709</v>
      </c>
      <c r="O246" s="35">
        <v>1</v>
      </c>
      <c r="P246" s="35"/>
      <c r="Q246" s="32" t="s">
        <v>2049</v>
      </c>
      <c r="S246" s="1">
        <f t="shared" si="71"/>
        <v>0</v>
      </c>
      <c r="T246" s="1">
        <f t="shared" si="72"/>
        <v>0</v>
      </c>
      <c r="U246" s="1">
        <f t="shared" si="73"/>
        <v>0</v>
      </c>
      <c r="V246" s="1">
        <f t="shared" si="74"/>
        <v>0</v>
      </c>
      <c r="W246" s="1">
        <f t="shared" si="75"/>
        <v>0</v>
      </c>
      <c r="X246" s="1">
        <f t="shared" si="76"/>
        <v>0</v>
      </c>
      <c r="Y246" s="1">
        <f t="shared" si="77"/>
        <v>0</v>
      </c>
      <c r="Z246" s="1">
        <f t="shared" si="78"/>
        <v>0</v>
      </c>
      <c r="AA246" s="1">
        <f t="shared" si="79"/>
        <v>0</v>
      </c>
      <c r="AB246" s="1">
        <f t="shared" si="80"/>
        <v>0</v>
      </c>
      <c r="AD246" s="1">
        <f t="shared" si="81"/>
        <v>0</v>
      </c>
      <c r="AE246" s="1">
        <f t="shared" si="82"/>
        <v>1</v>
      </c>
      <c r="AF246" s="1">
        <f t="shared" si="83"/>
        <v>0</v>
      </c>
      <c r="AG246" s="1">
        <f t="shared" si="84"/>
        <v>1</v>
      </c>
      <c r="AH246" s="1">
        <f t="shared" si="85"/>
        <v>0</v>
      </c>
      <c r="AI246" s="1">
        <f t="shared" si="86"/>
        <v>1</v>
      </c>
    </row>
    <row r="247" spans="1:4094 4097:8191 8194:12288 12291:16384" ht="13.9" customHeight="1" x14ac:dyDescent="0.25">
      <c r="A247" s="31">
        <v>0</v>
      </c>
      <c r="B247" s="31">
        <v>1</v>
      </c>
      <c r="C247" s="31">
        <v>6</v>
      </c>
      <c r="D247" s="32" t="s">
        <v>1449</v>
      </c>
      <c r="E247" s="32" t="s">
        <v>166</v>
      </c>
      <c r="F247" s="32" t="s">
        <v>1451</v>
      </c>
      <c r="G247" s="32" t="s">
        <v>1452</v>
      </c>
      <c r="H247" s="32" t="s">
        <v>352</v>
      </c>
      <c r="I247" s="31" t="s">
        <v>1450</v>
      </c>
      <c r="J247" s="31">
        <v>99</v>
      </c>
      <c r="K247" s="33" t="s">
        <v>694</v>
      </c>
      <c r="L247" s="33">
        <v>62</v>
      </c>
      <c r="M247" s="34"/>
      <c r="N247" s="34" t="s">
        <v>1710</v>
      </c>
      <c r="O247" s="35">
        <v>1</v>
      </c>
      <c r="P247" s="35"/>
      <c r="Q247" s="32"/>
      <c r="S247" s="1">
        <f t="shared" si="71"/>
        <v>0</v>
      </c>
      <c r="T247" s="1">
        <f t="shared" si="72"/>
        <v>0</v>
      </c>
      <c r="U247" s="1">
        <f t="shared" si="73"/>
        <v>0</v>
      </c>
      <c r="V247" s="1">
        <f t="shared" si="74"/>
        <v>0</v>
      </c>
      <c r="W247" s="1">
        <f t="shared" si="75"/>
        <v>0</v>
      </c>
      <c r="X247" s="1">
        <f t="shared" si="76"/>
        <v>0</v>
      </c>
      <c r="Y247" s="1">
        <f t="shared" si="77"/>
        <v>0</v>
      </c>
      <c r="Z247" s="1">
        <f t="shared" si="78"/>
        <v>0</v>
      </c>
      <c r="AA247" s="1">
        <f t="shared" si="79"/>
        <v>0</v>
      </c>
      <c r="AB247" s="1">
        <f t="shared" si="80"/>
        <v>0</v>
      </c>
      <c r="AD247" s="1">
        <f t="shared" si="81"/>
        <v>0</v>
      </c>
      <c r="AE247" s="1">
        <f t="shared" si="82"/>
        <v>1</v>
      </c>
      <c r="AF247" s="1">
        <f t="shared" si="83"/>
        <v>0</v>
      </c>
      <c r="AG247" s="1">
        <f t="shared" si="84"/>
        <v>1</v>
      </c>
      <c r="AH247" s="1">
        <f t="shared" si="85"/>
        <v>0</v>
      </c>
      <c r="AI247" s="1">
        <f t="shared" si="86"/>
        <v>1</v>
      </c>
    </row>
    <row r="248" spans="1:4094 4097:8191 8194:12288 12291:16384" ht="14.25" customHeight="1" x14ac:dyDescent="0.25">
      <c r="A248" s="31">
        <v>0</v>
      </c>
      <c r="B248" s="31">
        <v>1</v>
      </c>
      <c r="C248" s="31">
        <v>6</v>
      </c>
      <c r="D248" s="32" t="s">
        <v>1171</v>
      </c>
      <c r="E248" s="32" t="s">
        <v>164</v>
      </c>
      <c r="F248" s="32" t="s">
        <v>1637</v>
      </c>
      <c r="G248" s="32" t="s">
        <v>212</v>
      </c>
      <c r="H248" s="32" t="s">
        <v>352</v>
      </c>
      <c r="I248" s="31" t="s">
        <v>1172</v>
      </c>
      <c r="J248" s="31">
        <v>1</v>
      </c>
      <c r="K248" s="33" t="s">
        <v>943</v>
      </c>
      <c r="L248" s="33" t="s">
        <v>678</v>
      </c>
      <c r="M248" s="34" t="s">
        <v>1539</v>
      </c>
      <c r="N248" s="34" t="s">
        <v>1716</v>
      </c>
      <c r="O248" s="35">
        <v>1</v>
      </c>
      <c r="P248" s="35"/>
      <c r="Q248" s="32"/>
      <c r="S248" s="1">
        <f t="shared" si="71"/>
        <v>1</v>
      </c>
      <c r="T248" s="1">
        <f t="shared" si="72"/>
        <v>0</v>
      </c>
      <c r="U248" s="1">
        <f t="shared" si="73"/>
        <v>0</v>
      </c>
      <c r="V248" s="1">
        <f t="shared" si="74"/>
        <v>0</v>
      </c>
      <c r="W248" s="1">
        <f t="shared" si="75"/>
        <v>0</v>
      </c>
      <c r="X248" s="1">
        <f t="shared" si="76"/>
        <v>0</v>
      </c>
      <c r="Y248" s="1">
        <f t="shared" si="77"/>
        <v>0</v>
      </c>
      <c r="Z248" s="1">
        <f t="shared" si="78"/>
        <v>0</v>
      </c>
      <c r="AA248" s="1">
        <f t="shared" si="79"/>
        <v>0</v>
      </c>
      <c r="AB248" s="1">
        <f t="shared" si="80"/>
        <v>0</v>
      </c>
      <c r="AD248" s="1">
        <f t="shared" si="81"/>
        <v>0</v>
      </c>
      <c r="AE248" s="1">
        <f t="shared" si="82"/>
        <v>1</v>
      </c>
      <c r="AF248" s="1">
        <f t="shared" si="83"/>
        <v>0</v>
      </c>
      <c r="AG248" s="1">
        <f t="shared" si="84"/>
        <v>1</v>
      </c>
      <c r="AH248" s="1">
        <f t="shared" si="85"/>
        <v>0</v>
      </c>
      <c r="AI248" s="1">
        <f t="shared" si="86"/>
        <v>1</v>
      </c>
    </row>
    <row r="249" spans="1:4094 4097:8191 8194:12288 12291:16384" ht="14.25" customHeight="1" x14ac:dyDescent="0.25">
      <c r="A249" s="31">
        <v>0</v>
      </c>
      <c r="B249" s="31">
        <v>1</v>
      </c>
      <c r="C249" s="31">
        <v>6</v>
      </c>
      <c r="D249" s="32" t="s">
        <v>2026</v>
      </c>
      <c r="E249" s="32" t="s">
        <v>2027</v>
      </c>
      <c r="F249" s="32" t="s">
        <v>2028</v>
      </c>
      <c r="G249" s="32" t="s">
        <v>207</v>
      </c>
      <c r="H249" s="32" t="s">
        <v>352</v>
      </c>
      <c r="I249" s="31" t="s">
        <v>2029</v>
      </c>
      <c r="J249" s="31">
        <v>3</v>
      </c>
      <c r="K249" s="33" t="s">
        <v>694</v>
      </c>
      <c r="L249" s="33">
        <v>30</v>
      </c>
      <c r="M249" s="34" t="s">
        <v>2030</v>
      </c>
      <c r="N249" s="34" t="s">
        <v>1809</v>
      </c>
      <c r="O249" s="35">
        <v>1</v>
      </c>
      <c r="P249" s="35"/>
      <c r="Q249" s="32"/>
      <c r="S249" s="1">
        <f t="shared" si="71"/>
        <v>0</v>
      </c>
      <c r="T249" s="1">
        <f t="shared" si="72"/>
        <v>0</v>
      </c>
      <c r="U249" s="1">
        <f t="shared" si="73"/>
        <v>1</v>
      </c>
      <c r="V249" s="1">
        <f t="shared" si="74"/>
        <v>0</v>
      </c>
      <c r="W249" s="1">
        <f t="shared" si="75"/>
        <v>0</v>
      </c>
      <c r="X249" s="1">
        <f t="shared" si="76"/>
        <v>0</v>
      </c>
      <c r="Y249" s="1">
        <f t="shared" si="77"/>
        <v>0</v>
      </c>
      <c r="Z249" s="1">
        <f t="shared" si="78"/>
        <v>0</v>
      </c>
      <c r="AA249" s="1">
        <f t="shared" si="79"/>
        <v>0</v>
      </c>
      <c r="AB249" s="1">
        <f t="shared" si="80"/>
        <v>0</v>
      </c>
      <c r="AD249" s="1">
        <f t="shared" si="81"/>
        <v>0</v>
      </c>
      <c r="AE249" s="1">
        <f t="shared" si="82"/>
        <v>1</v>
      </c>
      <c r="AF249" s="1">
        <f t="shared" si="83"/>
        <v>0</v>
      </c>
      <c r="AG249" s="1">
        <f t="shared" si="84"/>
        <v>1</v>
      </c>
      <c r="AH249" s="1">
        <f t="shared" si="85"/>
        <v>0</v>
      </c>
      <c r="AI249" s="1">
        <f t="shared" si="86"/>
        <v>1</v>
      </c>
    </row>
    <row r="250" spans="1:4094 4097:8191 8194:12288 12291:16384" ht="14.25" customHeight="1" x14ac:dyDescent="0.25">
      <c r="A250" s="31">
        <v>0</v>
      </c>
      <c r="B250" s="31">
        <v>1</v>
      </c>
      <c r="C250" s="31">
        <v>6</v>
      </c>
      <c r="D250" s="32" t="s">
        <v>97</v>
      </c>
      <c r="E250" s="32" t="s">
        <v>166</v>
      </c>
      <c r="F250" s="32" t="s">
        <v>294</v>
      </c>
      <c r="G250" s="32" t="s">
        <v>283</v>
      </c>
      <c r="H250" s="32" t="s">
        <v>352</v>
      </c>
      <c r="I250" s="31" t="s">
        <v>1099</v>
      </c>
      <c r="J250" s="31">
        <v>10</v>
      </c>
      <c r="K250" s="33" t="s">
        <v>937</v>
      </c>
      <c r="L250" s="33" t="s">
        <v>685</v>
      </c>
      <c r="M250" s="34" t="s">
        <v>696</v>
      </c>
      <c r="N250" s="34" t="s">
        <v>1710</v>
      </c>
      <c r="O250" s="35">
        <v>1</v>
      </c>
      <c r="P250" s="35"/>
      <c r="Q250" s="32"/>
      <c r="S250" s="1">
        <f t="shared" si="71"/>
        <v>0</v>
      </c>
      <c r="T250" s="1">
        <f t="shared" si="72"/>
        <v>0</v>
      </c>
      <c r="U250" s="1">
        <f t="shared" si="73"/>
        <v>0</v>
      </c>
      <c r="V250" s="1">
        <f t="shared" si="74"/>
        <v>0</v>
      </c>
      <c r="W250" s="1">
        <f t="shared" si="75"/>
        <v>0</v>
      </c>
      <c r="X250" s="1">
        <f t="shared" si="76"/>
        <v>0</v>
      </c>
      <c r="Y250" s="1">
        <f t="shared" si="77"/>
        <v>0</v>
      </c>
      <c r="Z250" s="1">
        <f t="shared" si="78"/>
        <v>0</v>
      </c>
      <c r="AA250" s="1">
        <f t="shared" si="79"/>
        <v>0</v>
      </c>
      <c r="AB250" s="1">
        <f t="shared" si="80"/>
        <v>1</v>
      </c>
      <c r="AD250" s="1">
        <f t="shared" si="81"/>
        <v>0</v>
      </c>
      <c r="AE250" s="1">
        <f t="shared" si="82"/>
        <v>1</v>
      </c>
      <c r="AF250" s="1">
        <f t="shared" si="83"/>
        <v>0</v>
      </c>
      <c r="AG250" s="1">
        <f t="shared" si="84"/>
        <v>1</v>
      </c>
      <c r="AH250" s="1">
        <f t="shared" si="85"/>
        <v>0</v>
      </c>
      <c r="AI250" s="1">
        <f t="shared" si="86"/>
        <v>1</v>
      </c>
    </row>
    <row r="251" spans="1:4094 4097:8191 8194:12288 12291:16384" ht="14.25" customHeight="1" x14ac:dyDescent="0.25">
      <c r="A251" s="31">
        <v>0</v>
      </c>
      <c r="B251" s="31">
        <v>1</v>
      </c>
      <c r="C251" s="31">
        <v>6</v>
      </c>
      <c r="D251" s="32" t="s">
        <v>595</v>
      </c>
      <c r="E251" s="32" t="s">
        <v>164</v>
      </c>
      <c r="F251" s="32" t="s">
        <v>597</v>
      </c>
      <c r="G251" s="32" t="s">
        <v>39</v>
      </c>
      <c r="H251" s="32" t="s">
        <v>352</v>
      </c>
      <c r="I251" s="31" t="s">
        <v>596</v>
      </c>
      <c r="J251" s="31">
        <v>99</v>
      </c>
      <c r="K251" s="33" t="s">
        <v>937</v>
      </c>
      <c r="L251" s="33" t="s">
        <v>684</v>
      </c>
      <c r="M251" s="34" t="s">
        <v>951</v>
      </c>
      <c r="N251" s="34" t="s">
        <v>1710</v>
      </c>
      <c r="O251" s="35">
        <v>1</v>
      </c>
      <c r="P251" s="35"/>
      <c r="Q251" s="32"/>
      <c r="S251" s="1">
        <f t="shared" si="71"/>
        <v>0</v>
      </c>
      <c r="T251" s="1">
        <f t="shared" si="72"/>
        <v>0</v>
      </c>
      <c r="U251" s="1">
        <f t="shared" si="73"/>
        <v>0</v>
      </c>
      <c r="V251" s="1">
        <f t="shared" si="74"/>
        <v>0</v>
      </c>
      <c r="W251" s="1">
        <f t="shared" si="75"/>
        <v>0</v>
      </c>
      <c r="X251" s="1">
        <f t="shared" si="76"/>
        <v>0</v>
      </c>
      <c r="Y251" s="1">
        <f t="shared" si="77"/>
        <v>0</v>
      </c>
      <c r="Z251" s="1">
        <f t="shared" si="78"/>
        <v>0</v>
      </c>
      <c r="AA251" s="1">
        <f t="shared" si="79"/>
        <v>0</v>
      </c>
      <c r="AB251" s="1">
        <f t="shared" si="80"/>
        <v>0</v>
      </c>
      <c r="AD251" s="1">
        <f t="shared" si="81"/>
        <v>0</v>
      </c>
      <c r="AE251" s="1">
        <f t="shared" si="82"/>
        <v>1</v>
      </c>
      <c r="AF251" s="1">
        <f t="shared" si="83"/>
        <v>0</v>
      </c>
      <c r="AG251" s="1">
        <f t="shared" si="84"/>
        <v>1</v>
      </c>
      <c r="AH251" s="1">
        <f t="shared" si="85"/>
        <v>0</v>
      </c>
      <c r="AI251" s="1">
        <f t="shared" si="86"/>
        <v>1</v>
      </c>
    </row>
    <row r="252" spans="1:4094 4097:8191 8194:12288 12291:16384" ht="14.25" customHeight="1" x14ac:dyDescent="0.25">
      <c r="A252" s="31">
        <v>0</v>
      </c>
      <c r="B252" s="31">
        <v>1</v>
      </c>
      <c r="C252" s="31">
        <v>6</v>
      </c>
      <c r="D252" s="32" t="s">
        <v>1140</v>
      </c>
      <c r="E252" s="32" t="s">
        <v>164</v>
      </c>
      <c r="F252" s="32" t="s">
        <v>1142</v>
      </c>
      <c r="G252" s="32" t="s">
        <v>219</v>
      </c>
      <c r="H252" s="32" t="s">
        <v>352</v>
      </c>
      <c r="I252" s="31" t="s">
        <v>1141</v>
      </c>
      <c r="J252" s="31">
        <v>8</v>
      </c>
      <c r="K252" s="33" t="s">
        <v>693</v>
      </c>
      <c r="L252" s="33" t="s">
        <v>1679</v>
      </c>
      <c r="M252" s="34" t="s">
        <v>1374</v>
      </c>
      <c r="N252" s="34" t="s">
        <v>1709</v>
      </c>
      <c r="O252" s="35">
        <v>1</v>
      </c>
      <c r="P252" s="35"/>
      <c r="Q252" s="32"/>
      <c r="S252" s="1">
        <f t="shared" si="71"/>
        <v>0</v>
      </c>
      <c r="T252" s="1">
        <f t="shared" si="72"/>
        <v>0</v>
      </c>
      <c r="U252" s="1">
        <f t="shared" si="73"/>
        <v>0</v>
      </c>
      <c r="V252" s="1">
        <f t="shared" si="74"/>
        <v>0</v>
      </c>
      <c r="W252" s="1">
        <f t="shared" si="75"/>
        <v>0</v>
      </c>
      <c r="X252" s="1">
        <f t="shared" si="76"/>
        <v>0</v>
      </c>
      <c r="Y252" s="1">
        <f t="shared" si="77"/>
        <v>0</v>
      </c>
      <c r="Z252" s="1">
        <f t="shared" si="78"/>
        <v>1</v>
      </c>
      <c r="AA252" s="1">
        <f t="shared" si="79"/>
        <v>0</v>
      </c>
      <c r="AB252" s="1">
        <f t="shared" si="80"/>
        <v>0</v>
      </c>
      <c r="AD252" s="1">
        <f t="shared" si="81"/>
        <v>0</v>
      </c>
      <c r="AE252" s="1">
        <f t="shared" si="82"/>
        <v>1</v>
      </c>
      <c r="AF252" s="1">
        <f t="shared" si="83"/>
        <v>0</v>
      </c>
      <c r="AG252" s="1">
        <f t="shared" si="84"/>
        <v>1</v>
      </c>
      <c r="AH252" s="1">
        <f t="shared" si="85"/>
        <v>0</v>
      </c>
      <c r="AI252" s="1">
        <f t="shared" si="86"/>
        <v>1</v>
      </c>
    </row>
    <row r="253" spans="1:4094 4097:8191 8194:12288 12291:16384" ht="14.25" customHeight="1" x14ac:dyDescent="0.25">
      <c r="A253" s="31">
        <v>0</v>
      </c>
      <c r="B253" s="31">
        <v>1</v>
      </c>
      <c r="C253" s="31">
        <v>6</v>
      </c>
      <c r="D253" s="32" t="s">
        <v>558</v>
      </c>
      <c r="E253" s="32" t="s">
        <v>166</v>
      </c>
      <c r="F253" s="32" t="s">
        <v>653</v>
      </c>
      <c r="G253" s="32" t="s">
        <v>201</v>
      </c>
      <c r="H253" s="32" t="s">
        <v>352</v>
      </c>
      <c r="I253" s="31" t="s">
        <v>575</v>
      </c>
      <c r="J253" s="31">
        <v>10</v>
      </c>
      <c r="K253" s="33" t="s">
        <v>943</v>
      </c>
      <c r="L253" s="33" t="s">
        <v>684</v>
      </c>
      <c r="M253" s="34" t="s">
        <v>696</v>
      </c>
      <c r="N253" s="34" t="s">
        <v>1709</v>
      </c>
      <c r="O253" s="35">
        <v>1</v>
      </c>
      <c r="P253" s="35"/>
      <c r="Q253" s="36"/>
      <c r="S253" s="1">
        <f t="shared" si="71"/>
        <v>0</v>
      </c>
      <c r="T253" s="1">
        <f t="shared" si="72"/>
        <v>0</v>
      </c>
      <c r="U253" s="1">
        <f t="shared" si="73"/>
        <v>0</v>
      </c>
      <c r="V253" s="1">
        <f t="shared" si="74"/>
        <v>0</v>
      </c>
      <c r="W253" s="1">
        <f t="shared" si="75"/>
        <v>0</v>
      </c>
      <c r="X253" s="1">
        <f t="shared" si="76"/>
        <v>0</v>
      </c>
      <c r="Y253" s="1">
        <f t="shared" si="77"/>
        <v>0</v>
      </c>
      <c r="Z253" s="1">
        <f t="shared" si="78"/>
        <v>0</v>
      </c>
      <c r="AA253" s="1">
        <f t="shared" si="79"/>
        <v>0</v>
      </c>
      <c r="AB253" s="1">
        <f t="shared" si="80"/>
        <v>1</v>
      </c>
      <c r="AD253" s="1">
        <f t="shared" si="81"/>
        <v>0</v>
      </c>
      <c r="AE253" s="1">
        <f t="shared" si="82"/>
        <v>1</v>
      </c>
      <c r="AF253" s="1">
        <f t="shared" si="83"/>
        <v>0</v>
      </c>
      <c r="AG253" s="1">
        <f t="shared" si="84"/>
        <v>1</v>
      </c>
      <c r="AH253" s="1">
        <f t="shared" si="85"/>
        <v>0</v>
      </c>
      <c r="AI253" s="1">
        <f t="shared" si="86"/>
        <v>1</v>
      </c>
    </row>
    <row r="254" spans="1:4094 4097:8191 8194:12288 12291:16384" ht="14.25" customHeight="1" x14ac:dyDescent="0.25">
      <c r="A254" s="31">
        <v>0</v>
      </c>
      <c r="B254" s="31">
        <v>1</v>
      </c>
      <c r="C254" s="31">
        <v>6</v>
      </c>
      <c r="D254" s="32" t="s">
        <v>880</v>
      </c>
      <c r="E254" s="32" t="s">
        <v>166</v>
      </c>
      <c r="F254" s="32" t="s">
        <v>920</v>
      </c>
      <c r="G254" s="32" t="s">
        <v>921</v>
      </c>
      <c r="H254" s="32" t="s">
        <v>352</v>
      </c>
      <c r="I254" s="31" t="s">
        <v>934</v>
      </c>
      <c r="J254" s="31">
        <v>99</v>
      </c>
      <c r="K254" s="33" t="s">
        <v>693</v>
      </c>
      <c r="L254" s="33" t="s">
        <v>680</v>
      </c>
      <c r="M254" s="34" t="s">
        <v>1375</v>
      </c>
      <c r="N254" s="34" t="s">
        <v>1722</v>
      </c>
      <c r="O254" s="35">
        <v>1</v>
      </c>
      <c r="P254" s="35"/>
      <c r="Q254" s="32"/>
      <c r="S254" s="1">
        <f t="shared" si="71"/>
        <v>0</v>
      </c>
      <c r="T254" s="1">
        <f t="shared" si="72"/>
        <v>0</v>
      </c>
      <c r="U254" s="1">
        <f t="shared" si="73"/>
        <v>0</v>
      </c>
      <c r="V254" s="1">
        <f t="shared" si="74"/>
        <v>0</v>
      </c>
      <c r="W254" s="1">
        <f t="shared" si="75"/>
        <v>0</v>
      </c>
      <c r="X254" s="1">
        <f t="shared" si="76"/>
        <v>0</v>
      </c>
      <c r="Y254" s="1">
        <f t="shared" si="77"/>
        <v>0</v>
      </c>
      <c r="Z254" s="1">
        <f t="shared" si="78"/>
        <v>0</v>
      </c>
      <c r="AA254" s="1">
        <f t="shared" si="79"/>
        <v>0</v>
      </c>
      <c r="AB254" s="1">
        <f t="shared" si="80"/>
        <v>0</v>
      </c>
      <c r="AD254" s="1">
        <f t="shared" si="81"/>
        <v>0</v>
      </c>
      <c r="AE254" s="1">
        <f t="shared" si="82"/>
        <v>1</v>
      </c>
      <c r="AF254" s="1">
        <f t="shared" si="83"/>
        <v>0</v>
      </c>
      <c r="AG254" s="1">
        <f t="shared" si="84"/>
        <v>1</v>
      </c>
      <c r="AH254" s="1">
        <f t="shared" si="85"/>
        <v>0</v>
      </c>
      <c r="AI254" s="1">
        <f t="shared" si="86"/>
        <v>1</v>
      </c>
    </row>
    <row r="255" spans="1:4094 4097:8191 8194:12288 12291:16384" ht="14.25" customHeight="1" x14ac:dyDescent="0.25">
      <c r="A255" s="31">
        <v>0</v>
      </c>
      <c r="B255" s="31">
        <v>1</v>
      </c>
      <c r="C255" s="31">
        <v>6</v>
      </c>
      <c r="D255" s="32" t="s">
        <v>99</v>
      </c>
      <c r="E255" s="32" t="s">
        <v>166</v>
      </c>
      <c r="F255" s="32" t="s">
        <v>654</v>
      </c>
      <c r="G255" s="32" t="s">
        <v>656</v>
      </c>
      <c r="H255" s="32" t="s">
        <v>352</v>
      </c>
      <c r="I255" s="31" t="s">
        <v>444</v>
      </c>
      <c r="J255" s="31">
        <v>99</v>
      </c>
      <c r="K255" s="33" t="s">
        <v>713</v>
      </c>
      <c r="L255" s="33" t="s">
        <v>687</v>
      </c>
      <c r="M255" s="34" t="s">
        <v>698</v>
      </c>
      <c r="N255" s="34" t="s">
        <v>1710</v>
      </c>
      <c r="O255" s="35">
        <v>1</v>
      </c>
      <c r="P255" s="35"/>
      <c r="Q255" s="32"/>
      <c r="S255" s="1">
        <f t="shared" si="71"/>
        <v>0</v>
      </c>
      <c r="T255" s="1">
        <f t="shared" si="72"/>
        <v>0</v>
      </c>
      <c r="U255" s="1">
        <f t="shared" si="73"/>
        <v>0</v>
      </c>
      <c r="V255" s="1">
        <f t="shared" si="74"/>
        <v>0</v>
      </c>
      <c r="W255" s="1">
        <f t="shared" si="75"/>
        <v>0</v>
      </c>
      <c r="X255" s="1">
        <f t="shared" si="76"/>
        <v>0</v>
      </c>
      <c r="Y255" s="1">
        <f t="shared" si="77"/>
        <v>0</v>
      </c>
      <c r="Z255" s="1">
        <f t="shared" si="78"/>
        <v>0</v>
      </c>
      <c r="AA255" s="1">
        <f t="shared" si="79"/>
        <v>0</v>
      </c>
      <c r="AB255" s="1">
        <f t="shared" si="80"/>
        <v>0</v>
      </c>
      <c r="AD255" s="1">
        <f t="shared" si="81"/>
        <v>0</v>
      </c>
      <c r="AE255" s="1">
        <f t="shared" si="82"/>
        <v>1</v>
      </c>
      <c r="AF255" s="1">
        <f t="shared" si="83"/>
        <v>0</v>
      </c>
      <c r="AG255" s="1">
        <f t="shared" si="84"/>
        <v>1</v>
      </c>
      <c r="AH255" s="1">
        <f t="shared" si="85"/>
        <v>0</v>
      </c>
      <c r="AI255" s="1">
        <f t="shared" si="86"/>
        <v>1</v>
      </c>
    </row>
    <row r="256" spans="1:4094 4097:8191 8194:12288 12291:16384" ht="14.25" customHeight="1" x14ac:dyDescent="0.25">
      <c r="A256" s="31">
        <v>0</v>
      </c>
      <c r="B256" s="31">
        <v>1</v>
      </c>
      <c r="C256" s="31">
        <v>7</v>
      </c>
      <c r="D256" s="32" t="s">
        <v>86</v>
      </c>
      <c r="E256" s="32" t="s">
        <v>29</v>
      </c>
      <c r="F256" s="32" t="s">
        <v>655</v>
      </c>
      <c r="G256" s="32" t="s">
        <v>656</v>
      </c>
      <c r="H256" s="32" t="s">
        <v>352</v>
      </c>
      <c r="I256" s="31" t="s">
        <v>623</v>
      </c>
      <c r="J256" s="31">
        <v>99</v>
      </c>
      <c r="K256" s="33" t="s">
        <v>935</v>
      </c>
      <c r="L256" s="33" t="s">
        <v>684</v>
      </c>
      <c r="M256" s="34" t="s">
        <v>1376</v>
      </c>
      <c r="N256" s="34" t="s">
        <v>1693</v>
      </c>
      <c r="O256" s="35">
        <v>1</v>
      </c>
      <c r="P256" s="35">
        <v>1</v>
      </c>
      <c r="Q256" s="32"/>
      <c r="S256" s="1">
        <f t="shared" si="71"/>
        <v>0</v>
      </c>
      <c r="T256" s="1">
        <f t="shared" si="72"/>
        <v>0</v>
      </c>
      <c r="U256" s="1">
        <f t="shared" si="73"/>
        <v>0</v>
      </c>
      <c r="V256" s="1">
        <f t="shared" si="74"/>
        <v>0</v>
      </c>
      <c r="W256" s="1">
        <f t="shared" si="75"/>
        <v>0</v>
      </c>
      <c r="X256" s="1">
        <f t="shared" si="76"/>
        <v>0</v>
      </c>
      <c r="Y256" s="1">
        <f t="shared" si="77"/>
        <v>0</v>
      </c>
      <c r="Z256" s="1">
        <f t="shared" si="78"/>
        <v>0</v>
      </c>
      <c r="AA256" s="1">
        <f t="shared" si="79"/>
        <v>0</v>
      </c>
      <c r="AB256" s="1">
        <f t="shared" si="80"/>
        <v>0</v>
      </c>
      <c r="AD256" s="1">
        <f t="shared" si="81"/>
        <v>1</v>
      </c>
      <c r="AE256" s="1">
        <f t="shared" si="82"/>
        <v>0</v>
      </c>
      <c r="AF256" s="1">
        <f t="shared" si="83"/>
        <v>1</v>
      </c>
      <c r="AG256" s="1">
        <f t="shared" si="84"/>
        <v>0</v>
      </c>
      <c r="AH256" s="1">
        <f t="shared" si="85"/>
        <v>1</v>
      </c>
      <c r="AI256" s="1">
        <f t="shared" si="86"/>
        <v>0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2" t="s">
        <v>642</v>
      </c>
      <c r="E257" s="32" t="s">
        <v>29</v>
      </c>
      <c r="F257" s="32" t="s">
        <v>618</v>
      </c>
      <c r="G257" s="32" t="s">
        <v>231</v>
      </c>
      <c r="H257" s="32" t="s">
        <v>352</v>
      </c>
      <c r="I257" s="31" t="s">
        <v>619</v>
      </c>
      <c r="J257" s="31">
        <v>99</v>
      </c>
      <c r="K257" s="33" t="s">
        <v>704</v>
      </c>
      <c r="L257" s="33" t="s">
        <v>687</v>
      </c>
      <c r="M257" s="34" t="s">
        <v>954</v>
      </c>
      <c r="N257" s="34" t="s">
        <v>1809</v>
      </c>
      <c r="O257" s="35">
        <v>1</v>
      </c>
      <c r="P257" s="35"/>
      <c r="Q257" s="32"/>
      <c r="S257" s="1">
        <f t="shared" si="71"/>
        <v>0</v>
      </c>
      <c r="T257" s="1">
        <f t="shared" si="72"/>
        <v>0</v>
      </c>
      <c r="U257" s="1">
        <f t="shared" si="73"/>
        <v>0</v>
      </c>
      <c r="V257" s="1">
        <f t="shared" si="74"/>
        <v>0</v>
      </c>
      <c r="W257" s="1">
        <f t="shared" si="75"/>
        <v>0</v>
      </c>
      <c r="X257" s="1">
        <f t="shared" si="76"/>
        <v>0</v>
      </c>
      <c r="Y257" s="1">
        <f t="shared" si="77"/>
        <v>0</v>
      </c>
      <c r="Z257" s="1">
        <f t="shared" si="78"/>
        <v>0</v>
      </c>
      <c r="AA257" s="1">
        <f t="shared" si="79"/>
        <v>0</v>
      </c>
      <c r="AB257" s="1">
        <f t="shared" si="80"/>
        <v>0</v>
      </c>
      <c r="AD257" s="1">
        <f t="shared" si="81"/>
        <v>0</v>
      </c>
      <c r="AE257" s="1">
        <f t="shared" si="82"/>
        <v>1</v>
      </c>
      <c r="AF257" s="1">
        <f t="shared" si="83"/>
        <v>0</v>
      </c>
      <c r="AG257" s="1">
        <f t="shared" si="84"/>
        <v>1</v>
      </c>
      <c r="AH257" s="1">
        <f t="shared" si="85"/>
        <v>0</v>
      </c>
      <c r="AI257" s="1">
        <f t="shared" si="86"/>
        <v>1</v>
      </c>
    </row>
    <row r="258" spans="1:35" ht="14.25" customHeight="1" x14ac:dyDescent="0.25">
      <c r="A258" s="15">
        <v>0</v>
      </c>
      <c r="B258" s="15">
        <v>1</v>
      </c>
      <c r="C258" s="15">
        <v>7</v>
      </c>
      <c r="D258" s="16" t="s">
        <v>964</v>
      </c>
      <c r="E258" s="16" t="s">
        <v>29</v>
      </c>
      <c r="F258" s="16" t="s">
        <v>965</v>
      </c>
      <c r="G258" s="16" t="s">
        <v>966</v>
      </c>
      <c r="H258" s="16" t="s">
        <v>352</v>
      </c>
      <c r="I258" s="15" t="s">
        <v>963</v>
      </c>
      <c r="J258" s="15">
        <v>99</v>
      </c>
      <c r="K258" s="10" t="s">
        <v>694</v>
      </c>
      <c r="L258" s="10">
        <v>20</v>
      </c>
      <c r="M258" s="19" t="s">
        <v>954</v>
      </c>
      <c r="N258" s="19"/>
      <c r="Q258" s="16"/>
      <c r="S258" s="1">
        <f t="shared" si="71"/>
        <v>0</v>
      </c>
      <c r="T258" s="1">
        <f t="shared" si="72"/>
        <v>0</v>
      </c>
      <c r="U258" s="1">
        <f t="shared" si="73"/>
        <v>0</v>
      </c>
      <c r="V258" s="1">
        <f t="shared" si="74"/>
        <v>0</v>
      </c>
      <c r="W258" s="1">
        <f t="shared" si="75"/>
        <v>0</v>
      </c>
      <c r="X258" s="1">
        <f t="shared" si="76"/>
        <v>0</v>
      </c>
      <c r="Y258" s="1">
        <f t="shared" si="77"/>
        <v>0</v>
      </c>
      <c r="Z258" s="1">
        <f t="shared" si="78"/>
        <v>0</v>
      </c>
      <c r="AA258" s="1">
        <f t="shared" si="79"/>
        <v>0</v>
      </c>
      <c r="AB258" s="1">
        <f t="shared" si="80"/>
        <v>0</v>
      </c>
      <c r="AD258" s="1">
        <f t="shared" si="81"/>
        <v>0</v>
      </c>
      <c r="AE258" s="1">
        <f t="shared" si="82"/>
        <v>0</v>
      </c>
      <c r="AF258" s="1">
        <f t="shared" si="83"/>
        <v>0</v>
      </c>
      <c r="AG258" s="1">
        <f t="shared" si="84"/>
        <v>0</v>
      </c>
      <c r="AH258" s="1">
        <f t="shared" si="85"/>
        <v>0</v>
      </c>
      <c r="AI258" s="1">
        <f t="shared" si="86"/>
        <v>1</v>
      </c>
    </row>
    <row r="259" spans="1:35" ht="14.25" customHeight="1" x14ac:dyDescent="0.25">
      <c r="A259" s="31">
        <v>0</v>
      </c>
      <c r="B259" s="31">
        <v>1</v>
      </c>
      <c r="C259" s="31">
        <v>7</v>
      </c>
      <c r="D259" s="32" t="s">
        <v>583</v>
      </c>
      <c r="E259" s="32" t="s">
        <v>29</v>
      </c>
      <c r="F259" s="32" t="s">
        <v>584</v>
      </c>
      <c r="G259" s="32" t="s">
        <v>1054</v>
      </c>
      <c r="H259" s="32" t="s">
        <v>352</v>
      </c>
      <c r="I259" s="31" t="s">
        <v>585</v>
      </c>
      <c r="J259" s="31">
        <v>99</v>
      </c>
      <c r="K259" s="33" t="s">
        <v>694</v>
      </c>
      <c r="L259" s="33">
        <v>35</v>
      </c>
      <c r="M259" s="34" t="s">
        <v>1376</v>
      </c>
      <c r="N259" s="34" t="s">
        <v>1693</v>
      </c>
      <c r="O259" s="35">
        <v>1</v>
      </c>
      <c r="P259" s="35">
        <v>1</v>
      </c>
      <c r="Q259" s="32"/>
      <c r="S259" s="1">
        <f t="shared" si="71"/>
        <v>0</v>
      </c>
      <c r="T259" s="1">
        <f t="shared" si="72"/>
        <v>0</v>
      </c>
      <c r="U259" s="1">
        <f t="shared" si="73"/>
        <v>0</v>
      </c>
      <c r="V259" s="1">
        <f t="shared" si="74"/>
        <v>0</v>
      </c>
      <c r="W259" s="1">
        <f t="shared" si="75"/>
        <v>0</v>
      </c>
      <c r="X259" s="1">
        <f t="shared" si="76"/>
        <v>0</v>
      </c>
      <c r="Y259" s="1">
        <f t="shared" si="77"/>
        <v>0</v>
      </c>
      <c r="Z259" s="1">
        <f t="shared" si="78"/>
        <v>0</v>
      </c>
      <c r="AA259" s="1">
        <f t="shared" si="79"/>
        <v>0</v>
      </c>
      <c r="AB259" s="1">
        <f t="shared" si="80"/>
        <v>0</v>
      </c>
      <c r="AD259" s="1">
        <f t="shared" si="81"/>
        <v>1</v>
      </c>
      <c r="AE259" s="1">
        <f t="shared" si="82"/>
        <v>0</v>
      </c>
      <c r="AF259" s="1">
        <f t="shared" si="83"/>
        <v>1</v>
      </c>
      <c r="AG259" s="1">
        <f t="shared" si="84"/>
        <v>0</v>
      </c>
      <c r="AH259" s="1">
        <f t="shared" si="85"/>
        <v>1</v>
      </c>
      <c r="AI259" s="1">
        <f t="shared" si="86"/>
        <v>0</v>
      </c>
    </row>
    <row r="260" spans="1:35" ht="14.25" customHeight="1" x14ac:dyDescent="0.25">
      <c r="A260" s="31">
        <v>0</v>
      </c>
      <c r="B260" s="31">
        <v>1</v>
      </c>
      <c r="C260" s="31">
        <v>7</v>
      </c>
      <c r="D260" s="32" t="s">
        <v>1594</v>
      </c>
      <c r="E260" s="32" t="s">
        <v>29</v>
      </c>
      <c r="F260" s="32" t="s">
        <v>1648</v>
      </c>
      <c r="G260" s="32" t="s">
        <v>310</v>
      </c>
      <c r="H260" s="32" t="s">
        <v>352</v>
      </c>
      <c r="I260" s="31" t="s">
        <v>1595</v>
      </c>
      <c r="J260" s="31"/>
      <c r="K260" s="33" t="s">
        <v>704</v>
      </c>
      <c r="L260" s="33">
        <v>45</v>
      </c>
      <c r="M260" s="34" t="s">
        <v>1760</v>
      </c>
      <c r="N260" s="34" t="s">
        <v>1699</v>
      </c>
      <c r="O260" s="35">
        <v>1</v>
      </c>
      <c r="P260" s="35">
        <v>1</v>
      </c>
      <c r="Q260" s="32"/>
      <c r="S260" s="1">
        <f t="shared" si="71"/>
        <v>0</v>
      </c>
      <c r="T260" s="1">
        <f t="shared" si="72"/>
        <v>0</v>
      </c>
      <c r="U260" s="1">
        <f t="shared" si="73"/>
        <v>0</v>
      </c>
      <c r="V260" s="1">
        <f t="shared" si="74"/>
        <v>0</v>
      </c>
      <c r="W260" s="1">
        <f t="shared" si="75"/>
        <v>0</v>
      </c>
      <c r="X260" s="1">
        <f t="shared" si="76"/>
        <v>0</v>
      </c>
      <c r="Y260" s="1">
        <f t="shared" si="77"/>
        <v>0</v>
      </c>
      <c r="Z260" s="1">
        <f t="shared" si="78"/>
        <v>0</v>
      </c>
      <c r="AA260" s="1">
        <f t="shared" si="79"/>
        <v>0</v>
      </c>
      <c r="AB260" s="1">
        <f t="shared" si="80"/>
        <v>0</v>
      </c>
      <c r="AD260" s="1">
        <f t="shared" si="81"/>
        <v>1</v>
      </c>
      <c r="AE260" s="1">
        <f t="shared" si="82"/>
        <v>0</v>
      </c>
      <c r="AF260" s="1">
        <f t="shared" si="83"/>
        <v>1</v>
      </c>
      <c r="AG260" s="1">
        <f t="shared" si="84"/>
        <v>0</v>
      </c>
      <c r="AH260" s="1">
        <f t="shared" si="85"/>
        <v>1</v>
      </c>
      <c r="AI260" s="1">
        <f t="shared" si="86"/>
        <v>0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2" t="s">
        <v>844</v>
      </c>
      <c r="E261" s="32" t="s">
        <v>29</v>
      </c>
      <c r="F261" s="32" t="s">
        <v>845</v>
      </c>
      <c r="G261" s="32" t="s">
        <v>201</v>
      </c>
      <c r="H261" s="32" t="s">
        <v>352</v>
      </c>
      <c r="I261" s="31" t="s">
        <v>846</v>
      </c>
      <c r="J261" s="31">
        <v>10</v>
      </c>
      <c r="K261" s="33" t="s">
        <v>704</v>
      </c>
      <c r="L261" s="33" t="s">
        <v>684</v>
      </c>
      <c r="M261" s="34" t="s">
        <v>1376</v>
      </c>
      <c r="N261" s="34" t="s">
        <v>1716</v>
      </c>
      <c r="O261" s="35">
        <v>1</v>
      </c>
      <c r="P261" s="35"/>
      <c r="Q261" s="32"/>
      <c r="S261" s="1">
        <f t="shared" si="71"/>
        <v>0</v>
      </c>
      <c r="T261" s="1">
        <f t="shared" si="72"/>
        <v>0</v>
      </c>
      <c r="U261" s="1">
        <f t="shared" si="73"/>
        <v>0</v>
      </c>
      <c r="V261" s="1">
        <f t="shared" si="74"/>
        <v>0</v>
      </c>
      <c r="W261" s="1">
        <f t="shared" si="75"/>
        <v>0</v>
      </c>
      <c r="X261" s="1">
        <f t="shared" si="76"/>
        <v>0</v>
      </c>
      <c r="Y261" s="1">
        <f t="shared" si="77"/>
        <v>0</v>
      </c>
      <c r="Z261" s="1">
        <f t="shared" si="78"/>
        <v>0</v>
      </c>
      <c r="AA261" s="1">
        <f t="shared" si="79"/>
        <v>0</v>
      </c>
      <c r="AB261" s="1">
        <f t="shared" si="80"/>
        <v>1</v>
      </c>
      <c r="AD261" s="1">
        <f t="shared" si="81"/>
        <v>0</v>
      </c>
      <c r="AE261" s="1">
        <f t="shared" si="82"/>
        <v>1</v>
      </c>
      <c r="AF261" s="1">
        <f t="shared" si="83"/>
        <v>0</v>
      </c>
      <c r="AG261" s="1">
        <f t="shared" si="84"/>
        <v>1</v>
      </c>
      <c r="AH261" s="1">
        <f t="shared" si="85"/>
        <v>0</v>
      </c>
      <c r="AI261" s="1">
        <f t="shared" si="86"/>
        <v>1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2" t="s">
        <v>40</v>
      </c>
      <c r="E262" s="32" t="s">
        <v>29</v>
      </c>
      <c r="F262" s="32" t="s">
        <v>279</v>
      </c>
      <c r="G262" s="32" t="s">
        <v>229</v>
      </c>
      <c r="H262" s="32" t="s">
        <v>352</v>
      </c>
      <c r="I262" s="31" t="s">
        <v>433</v>
      </c>
      <c r="J262" s="31">
        <v>7</v>
      </c>
      <c r="K262" s="33" t="s">
        <v>704</v>
      </c>
      <c r="L262" s="33" t="s">
        <v>687</v>
      </c>
      <c r="M262" s="34" t="s">
        <v>954</v>
      </c>
      <c r="N262" s="34" t="s">
        <v>1693</v>
      </c>
      <c r="O262" s="35">
        <v>1</v>
      </c>
      <c r="P262" s="35">
        <v>1</v>
      </c>
      <c r="Q262" s="32"/>
      <c r="S262" s="1">
        <f t="shared" si="71"/>
        <v>0</v>
      </c>
      <c r="T262" s="1">
        <f t="shared" si="72"/>
        <v>0</v>
      </c>
      <c r="U262" s="1">
        <f t="shared" si="73"/>
        <v>0</v>
      </c>
      <c r="V262" s="1">
        <f t="shared" si="74"/>
        <v>0</v>
      </c>
      <c r="W262" s="1">
        <f t="shared" si="75"/>
        <v>0</v>
      </c>
      <c r="X262" s="1">
        <f t="shared" si="76"/>
        <v>0</v>
      </c>
      <c r="Y262" s="1">
        <f t="shared" si="77"/>
        <v>1</v>
      </c>
      <c r="Z262" s="1">
        <f t="shared" si="78"/>
        <v>0</v>
      </c>
      <c r="AA262" s="1">
        <f t="shared" si="79"/>
        <v>0</v>
      </c>
      <c r="AB262" s="1">
        <f t="shared" si="80"/>
        <v>0</v>
      </c>
      <c r="AD262" s="1">
        <f t="shared" si="81"/>
        <v>1</v>
      </c>
      <c r="AE262" s="1">
        <f t="shared" si="82"/>
        <v>0</v>
      </c>
      <c r="AF262" s="1">
        <f t="shared" si="83"/>
        <v>1</v>
      </c>
      <c r="AG262" s="1">
        <f t="shared" si="84"/>
        <v>0</v>
      </c>
      <c r="AH262" s="1">
        <f t="shared" si="85"/>
        <v>1</v>
      </c>
      <c r="AI262" s="1">
        <f t="shared" si="86"/>
        <v>0</v>
      </c>
    </row>
    <row r="263" spans="1:35" ht="14.25" customHeight="1" x14ac:dyDescent="0.25">
      <c r="A263" s="31">
        <v>1</v>
      </c>
      <c r="B263" s="31">
        <v>1</v>
      </c>
      <c r="C263" s="31">
        <v>7</v>
      </c>
      <c r="D263" s="32" t="s">
        <v>40</v>
      </c>
      <c r="E263" s="32" t="s">
        <v>29</v>
      </c>
      <c r="F263" s="32" t="s">
        <v>1568</v>
      </c>
      <c r="G263" s="32" t="s">
        <v>39</v>
      </c>
      <c r="H263" s="32" t="s">
        <v>352</v>
      </c>
      <c r="I263" s="31" t="s">
        <v>1569</v>
      </c>
      <c r="J263" s="31">
        <v>99</v>
      </c>
      <c r="K263" s="33" t="s">
        <v>704</v>
      </c>
      <c r="L263" s="33" t="s">
        <v>687</v>
      </c>
      <c r="M263" s="34" t="s">
        <v>954</v>
      </c>
      <c r="N263" s="34" t="s">
        <v>1693</v>
      </c>
      <c r="O263" s="35">
        <v>1</v>
      </c>
      <c r="P263" s="35">
        <v>1</v>
      </c>
      <c r="Q263" s="32"/>
      <c r="S263" s="1">
        <f t="shared" si="71"/>
        <v>0</v>
      </c>
      <c r="T263" s="1">
        <f t="shared" si="72"/>
        <v>0</v>
      </c>
      <c r="U263" s="1">
        <f t="shared" si="73"/>
        <v>0</v>
      </c>
      <c r="V263" s="1">
        <f t="shared" si="74"/>
        <v>0</v>
      </c>
      <c r="W263" s="1">
        <f t="shared" si="75"/>
        <v>0</v>
      </c>
      <c r="X263" s="1">
        <f t="shared" si="76"/>
        <v>0</v>
      </c>
      <c r="Y263" s="1">
        <f t="shared" si="77"/>
        <v>0</v>
      </c>
      <c r="Z263" s="1">
        <f t="shared" si="78"/>
        <v>0</v>
      </c>
      <c r="AA263" s="1">
        <f t="shared" si="79"/>
        <v>0</v>
      </c>
      <c r="AB263" s="1">
        <f t="shared" si="80"/>
        <v>0</v>
      </c>
      <c r="AD263" s="1">
        <f t="shared" si="81"/>
        <v>1</v>
      </c>
      <c r="AE263" s="1">
        <f t="shared" si="82"/>
        <v>0</v>
      </c>
      <c r="AF263" s="1">
        <f t="shared" si="83"/>
        <v>0</v>
      </c>
      <c r="AG263" s="1">
        <f t="shared" si="84"/>
        <v>0</v>
      </c>
      <c r="AH263" s="1">
        <f t="shared" si="85"/>
        <v>0</v>
      </c>
      <c r="AI263" s="1">
        <f t="shared" si="86"/>
        <v>0</v>
      </c>
    </row>
    <row r="264" spans="1:35" ht="14.25" customHeight="1" x14ac:dyDescent="0.25">
      <c r="A264" s="31">
        <v>0</v>
      </c>
      <c r="B264" s="31">
        <v>1</v>
      </c>
      <c r="C264" s="31">
        <v>7</v>
      </c>
      <c r="D264" s="32" t="s">
        <v>1453</v>
      </c>
      <c r="E264" s="32" t="s">
        <v>29</v>
      </c>
      <c r="F264" s="32" t="s">
        <v>985</v>
      </c>
      <c r="G264" s="32" t="s">
        <v>1083</v>
      </c>
      <c r="H264" s="32" t="s">
        <v>352</v>
      </c>
      <c r="I264" s="31" t="s">
        <v>1091</v>
      </c>
      <c r="J264" s="31">
        <v>10</v>
      </c>
      <c r="K264" s="33" t="s">
        <v>704</v>
      </c>
      <c r="L264" s="33" t="s">
        <v>685</v>
      </c>
      <c r="M264" s="34" t="s">
        <v>954</v>
      </c>
      <c r="N264" s="34" t="s">
        <v>1705</v>
      </c>
      <c r="O264" s="35">
        <v>1</v>
      </c>
      <c r="P264" s="35"/>
      <c r="Q264" s="32"/>
      <c r="S264" s="1">
        <f t="shared" si="71"/>
        <v>0</v>
      </c>
      <c r="T264" s="1">
        <f t="shared" si="72"/>
        <v>0</v>
      </c>
      <c r="U264" s="1">
        <f t="shared" si="73"/>
        <v>0</v>
      </c>
      <c r="V264" s="1">
        <f t="shared" si="74"/>
        <v>0</v>
      </c>
      <c r="W264" s="1">
        <f t="shared" si="75"/>
        <v>0</v>
      </c>
      <c r="X264" s="1">
        <f t="shared" si="76"/>
        <v>0</v>
      </c>
      <c r="Y264" s="1">
        <f t="shared" si="77"/>
        <v>0</v>
      </c>
      <c r="Z264" s="1">
        <f t="shared" si="78"/>
        <v>0</v>
      </c>
      <c r="AA264" s="1">
        <f t="shared" si="79"/>
        <v>0</v>
      </c>
      <c r="AB264" s="1">
        <f t="shared" si="80"/>
        <v>1</v>
      </c>
      <c r="AD264" s="1">
        <f t="shared" si="81"/>
        <v>0</v>
      </c>
      <c r="AE264" s="1">
        <f t="shared" si="82"/>
        <v>1</v>
      </c>
      <c r="AF264" s="1">
        <f t="shared" si="83"/>
        <v>0</v>
      </c>
      <c r="AG264" s="1">
        <f t="shared" si="84"/>
        <v>1</v>
      </c>
      <c r="AH264" s="1">
        <f t="shared" si="85"/>
        <v>0</v>
      </c>
      <c r="AI264" s="1">
        <f t="shared" si="86"/>
        <v>1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6" t="s">
        <v>1454</v>
      </c>
      <c r="E265" s="32" t="s">
        <v>29</v>
      </c>
      <c r="F265" s="36" t="s">
        <v>983</v>
      </c>
      <c r="G265" s="36" t="s">
        <v>239</v>
      </c>
      <c r="H265" s="36" t="s">
        <v>352</v>
      </c>
      <c r="I265" s="37" t="s">
        <v>984</v>
      </c>
      <c r="J265" s="31">
        <v>1</v>
      </c>
      <c r="K265" s="33" t="s">
        <v>942</v>
      </c>
      <c r="L265" s="33" t="s">
        <v>685</v>
      </c>
      <c r="M265" s="34" t="s">
        <v>954</v>
      </c>
      <c r="N265" s="34" t="s">
        <v>1761</v>
      </c>
      <c r="O265" s="35">
        <v>1</v>
      </c>
      <c r="P265" s="35"/>
      <c r="Q265" s="36"/>
      <c r="S265" s="1">
        <f t="shared" si="71"/>
        <v>1</v>
      </c>
      <c r="T265" s="1">
        <f t="shared" si="72"/>
        <v>0</v>
      </c>
      <c r="U265" s="1">
        <f t="shared" si="73"/>
        <v>0</v>
      </c>
      <c r="V265" s="1">
        <f t="shared" si="74"/>
        <v>0</v>
      </c>
      <c r="W265" s="1">
        <f t="shared" si="75"/>
        <v>0</v>
      </c>
      <c r="X265" s="1">
        <f t="shared" si="76"/>
        <v>0</v>
      </c>
      <c r="Y265" s="1">
        <f t="shared" si="77"/>
        <v>0</v>
      </c>
      <c r="Z265" s="1">
        <f t="shared" si="78"/>
        <v>0</v>
      </c>
      <c r="AA265" s="1">
        <f t="shared" si="79"/>
        <v>0</v>
      </c>
      <c r="AB265" s="1">
        <f t="shared" si="80"/>
        <v>0</v>
      </c>
      <c r="AD265" s="1">
        <f t="shared" si="81"/>
        <v>0</v>
      </c>
      <c r="AE265" s="1">
        <f t="shared" si="82"/>
        <v>1</v>
      </c>
      <c r="AF265" s="1">
        <f t="shared" si="83"/>
        <v>0</v>
      </c>
      <c r="AG265" s="1">
        <f t="shared" si="84"/>
        <v>1</v>
      </c>
      <c r="AH265" s="1">
        <f t="shared" si="85"/>
        <v>0</v>
      </c>
      <c r="AI265" s="1">
        <f t="shared" si="86"/>
        <v>1</v>
      </c>
    </row>
    <row r="266" spans="1:35" ht="14.25" customHeight="1" x14ac:dyDescent="0.25">
      <c r="A266" s="31">
        <v>1</v>
      </c>
      <c r="B266" s="31">
        <v>1</v>
      </c>
      <c r="C266" s="31">
        <v>7</v>
      </c>
      <c r="D266" s="36" t="s">
        <v>1454</v>
      </c>
      <c r="E266" s="32" t="s">
        <v>29</v>
      </c>
      <c r="F266" s="36" t="s">
        <v>2131</v>
      </c>
      <c r="G266" s="36" t="s">
        <v>219</v>
      </c>
      <c r="H266" s="36" t="s">
        <v>352</v>
      </c>
      <c r="I266" s="37" t="s">
        <v>2132</v>
      </c>
      <c r="J266" s="31">
        <v>8</v>
      </c>
      <c r="K266" s="33" t="s">
        <v>942</v>
      </c>
      <c r="L266" s="33" t="s">
        <v>685</v>
      </c>
      <c r="M266" s="34" t="s">
        <v>954</v>
      </c>
      <c r="N266" s="34" t="s">
        <v>1761</v>
      </c>
      <c r="O266" s="35">
        <v>1</v>
      </c>
      <c r="P266" s="35"/>
      <c r="Q266" s="36"/>
      <c r="S266" s="1">
        <f t="shared" si="71"/>
        <v>0</v>
      </c>
      <c r="T266" s="1">
        <f t="shared" si="72"/>
        <v>0</v>
      </c>
      <c r="U266" s="1">
        <f t="shared" si="73"/>
        <v>0</v>
      </c>
      <c r="V266" s="1">
        <f t="shared" si="74"/>
        <v>0</v>
      </c>
      <c r="W266" s="1">
        <f t="shared" si="75"/>
        <v>0</v>
      </c>
      <c r="X266" s="1">
        <f t="shared" si="76"/>
        <v>0</v>
      </c>
      <c r="Y266" s="1">
        <f t="shared" si="77"/>
        <v>0</v>
      </c>
      <c r="Z266" s="1">
        <f t="shared" si="78"/>
        <v>1</v>
      </c>
      <c r="AA266" s="1">
        <f t="shared" si="79"/>
        <v>0</v>
      </c>
      <c r="AB266" s="1">
        <f t="shared" si="80"/>
        <v>0</v>
      </c>
      <c r="AD266" s="1">
        <f t="shared" si="81"/>
        <v>0</v>
      </c>
      <c r="AE266" s="1">
        <f t="shared" si="82"/>
        <v>1</v>
      </c>
      <c r="AF266" s="1">
        <f t="shared" si="83"/>
        <v>0</v>
      </c>
      <c r="AG266" s="1">
        <f t="shared" si="84"/>
        <v>0</v>
      </c>
      <c r="AH266" s="1">
        <f t="shared" si="85"/>
        <v>0</v>
      </c>
      <c r="AI266" s="1">
        <f t="shared" si="86"/>
        <v>0</v>
      </c>
    </row>
    <row r="267" spans="1:35" ht="14.25" customHeight="1" x14ac:dyDescent="0.25">
      <c r="A267" s="15">
        <v>0</v>
      </c>
      <c r="B267" s="15">
        <v>1</v>
      </c>
      <c r="C267" s="15">
        <v>7</v>
      </c>
      <c r="D267" s="20" t="s">
        <v>881</v>
      </c>
      <c r="E267" s="20" t="s">
        <v>29</v>
      </c>
      <c r="F267" s="20" t="s">
        <v>882</v>
      </c>
      <c r="G267" s="16" t="s">
        <v>39</v>
      </c>
      <c r="H267" s="20" t="s">
        <v>353</v>
      </c>
      <c r="I267" s="21" t="s">
        <v>883</v>
      </c>
      <c r="J267" s="15">
        <v>11</v>
      </c>
      <c r="K267" s="10" t="s">
        <v>694</v>
      </c>
      <c r="L267" s="10">
        <v>35</v>
      </c>
      <c r="M267" s="19" t="s">
        <v>1376</v>
      </c>
      <c r="N267" s="17"/>
      <c r="Q267" s="16" t="s">
        <v>1862</v>
      </c>
      <c r="S267" s="1">
        <f t="shared" si="71"/>
        <v>0</v>
      </c>
      <c r="T267" s="1">
        <f t="shared" si="72"/>
        <v>0</v>
      </c>
      <c r="U267" s="1">
        <f t="shared" si="73"/>
        <v>0</v>
      </c>
      <c r="V267" s="1">
        <f t="shared" si="74"/>
        <v>0</v>
      </c>
      <c r="W267" s="1">
        <f t="shared" si="75"/>
        <v>0</v>
      </c>
      <c r="X267" s="1">
        <f t="shared" si="76"/>
        <v>0</v>
      </c>
      <c r="Y267" s="1">
        <f t="shared" si="77"/>
        <v>0</v>
      </c>
      <c r="Z267" s="1">
        <f t="shared" si="78"/>
        <v>0</v>
      </c>
      <c r="AA267" s="1">
        <f t="shared" si="79"/>
        <v>0</v>
      </c>
      <c r="AB267" s="1">
        <f t="shared" si="80"/>
        <v>0</v>
      </c>
      <c r="AD267" s="1">
        <f t="shared" si="81"/>
        <v>0</v>
      </c>
      <c r="AE267" s="1">
        <f t="shared" si="82"/>
        <v>0</v>
      </c>
      <c r="AF267" s="1">
        <f t="shared" si="83"/>
        <v>0</v>
      </c>
      <c r="AG267" s="1">
        <f t="shared" si="84"/>
        <v>0</v>
      </c>
      <c r="AH267" s="1">
        <f t="shared" si="85"/>
        <v>0</v>
      </c>
      <c r="AI267" s="1">
        <f t="shared" si="86"/>
        <v>1</v>
      </c>
    </row>
    <row r="268" spans="1:35" ht="14.25" customHeight="1" x14ac:dyDescent="0.25">
      <c r="A268" s="31">
        <v>0</v>
      </c>
      <c r="B268" s="31">
        <v>1</v>
      </c>
      <c r="C268" s="31">
        <v>7</v>
      </c>
      <c r="D268" s="36" t="s">
        <v>1065</v>
      </c>
      <c r="E268" s="32" t="s">
        <v>29</v>
      </c>
      <c r="F268" s="36" t="s">
        <v>967</v>
      </c>
      <c r="G268" s="36" t="s">
        <v>202</v>
      </c>
      <c r="H268" s="36" t="s">
        <v>352</v>
      </c>
      <c r="I268" s="37" t="s">
        <v>968</v>
      </c>
      <c r="J268" s="31">
        <v>99</v>
      </c>
      <c r="K268" s="33" t="s">
        <v>704</v>
      </c>
      <c r="L268" s="33" t="s">
        <v>685</v>
      </c>
      <c r="M268" s="34" t="s">
        <v>1411</v>
      </c>
      <c r="N268" s="34" t="s">
        <v>1693</v>
      </c>
      <c r="O268" s="35">
        <v>1</v>
      </c>
      <c r="P268" s="35">
        <v>1</v>
      </c>
      <c r="Q268" s="36"/>
      <c r="S268" s="1">
        <f t="shared" si="71"/>
        <v>0</v>
      </c>
      <c r="T268" s="1">
        <f t="shared" si="72"/>
        <v>0</v>
      </c>
      <c r="U268" s="1">
        <f t="shared" si="73"/>
        <v>0</v>
      </c>
      <c r="V268" s="1">
        <f t="shared" si="74"/>
        <v>0</v>
      </c>
      <c r="W268" s="1">
        <f t="shared" si="75"/>
        <v>0</v>
      </c>
      <c r="X268" s="1">
        <f t="shared" si="76"/>
        <v>0</v>
      </c>
      <c r="Y268" s="1">
        <f t="shared" si="77"/>
        <v>0</v>
      </c>
      <c r="Z268" s="1">
        <f t="shared" si="78"/>
        <v>0</v>
      </c>
      <c r="AA268" s="1">
        <f t="shared" si="79"/>
        <v>0</v>
      </c>
      <c r="AB268" s="1">
        <f t="shared" si="80"/>
        <v>0</v>
      </c>
      <c r="AD268" s="1">
        <f t="shared" si="81"/>
        <v>1</v>
      </c>
      <c r="AE268" s="1">
        <f t="shared" si="82"/>
        <v>0</v>
      </c>
      <c r="AF268" s="1">
        <f t="shared" si="83"/>
        <v>1</v>
      </c>
      <c r="AG268" s="1">
        <f t="shared" si="84"/>
        <v>0</v>
      </c>
      <c r="AH268" s="1">
        <f t="shared" si="85"/>
        <v>1</v>
      </c>
      <c r="AI268" s="1">
        <f t="shared" si="86"/>
        <v>0</v>
      </c>
    </row>
    <row r="269" spans="1:35" ht="14.25" customHeight="1" x14ac:dyDescent="0.25">
      <c r="A269" s="15">
        <v>0</v>
      </c>
      <c r="B269" s="15">
        <v>1</v>
      </c>
      <c r="C269" s="15">
        <v>7</v>
      </c>
      <c r="D269" s="16" t="s">
        <v>741</v>
      </c>
      <c r="E269" s="16" t="s">
        <v>29</v>
      </c>
      <c r="F269" s="16" t="s">
        <v>742</v>
      </c>
      <c r="G269" s="16" t="s">
        <v>743</v>
      </c>
      <c r="H269" s="16" t="s">
        <v>352</v>
      </c>
      <c r="I269" s="15" t="s">
        <v>744</v>
      </c>
      <c r="J269" s="15">
        <v>99</v>
      </c>
      <c r="K269" s="10" t="s">
        <v>694</v>
      </c>
      <c r="L269" s="10">
        <v>20</v>
      </c>
      <c r="M269" s="19" t="s">
        <v>1101</v>
      </c>
      <c r="N269" s="17"/>
      <c r="Q269" s="16"/>
      <c r="S269" s="1">
        <f t="shared" si="71"/>
        <v>0</v>
      </c>
      <c r="T269" s="1">
        <f t="shared" si="72"/>
        <v>0</v>
      </c>
      <c r="U269" s="1">
        <f t="shared" si="73"/>
        <v>0</v>
      </c>
      <c r="V269" s="1">
        <f t="shared" si="74"/>
        <v>0</v>
      </c>
      <c r="W269" s="1">
        <f t="shared" si="75"/>
        <v>0</v>
      </c>
      <c r="X269" s="1">
        <f t="shared" si="76"/>
        <v>0</v>
      </c>
      <c r="Y269" s="1">
        <f t="shared" si="77"/>
        <v>0</v>
      </c>
      <c r="Z269" s="1">
        <f t="shared" si="78"/>
        <v>0</v>
      </c>
      <c r="AA269" s="1">
        <f t="shared" si="79"/>
        <v>0</v>
      </c>
      <c r="AB269" s="1">
        <f t="shared" si="80"/>
        <v>0</v>
      </c>
      <c r="AD269" s="1">
        <f t="shared" si="81"/>
        <v>0</v>
      </c>
      <c r="AE269" s="1">
        <f t="shared" si="82"/>
        <v>0</v>
      </c>
      <c r="AF269" s="1">
        <f t="shared" si="83"/>
        <v>0</v>
      </c>
      <c r="AG269" s="1">
        <f t="shared" si="84"/>
        <v>0</v>
      </c>
      <c r="AH269" s="1">
        <f t="shared" si="85"/>
        <v>0</v>
      </c>
      <c r="AI269" s="1">
        <f t="shared" si="86"/>
        <v>1</v>
      </c>
    </row>
    <row r="270" spans="1:35" ht="14.25" customHeight="1" x14ac:dyDescent="0.25">
      <c r="A270" s="31">
        <v>0</v>
      </c>
      <c r="B270" s="31">
        <v>1</v>
      </c>
      <c r="C270" s="31">
        <v>7</v>
      </c>
      <c r="D270" s="36" t="s">
        <v>813</v>
      </c>
      <c r="E270" s="32" t="s">
        <v>29</v>
      </c>
      <c r="F270" s="36" t="s">
        <v>814</v>
      </c>
      <c r="G270" s="36" t="s">
        <v>911</v>
      </c>
      <c r="H270" s="36" t="s">
        <v>352</v>
      </c>
      <c r="I270" s="37" t="s">
        <v>815</v>
      </c>
      <c r="J270" s="31">
        <v>99</v>
      </c>
      <c r="K270" s="33" t="s">
        <v>936</v>
      </c>
      <c r="L270" s="33" t="s">
        <v>685</v>
      </c>
      <c r="M270" s="34" t="s">
        <v>954</v>
      </c>
      <c r="N270" s="34" t="s">
        <v>1785</v>
      </c>
      <c r="O270" s="35">
        <v>1</v>
      </c>
      <c r="P270" s="35"/>
      <c r="Q270" s="36"/>
      <c r="S270" s="1">
        <f t="shared" si="71"/>
        <v>0</v>
      </c>
      <c r="T270" s="1">
        <f t="shared" si="72"/>
        <v>0</v>
      </c>
      <c r="U270" s="1">
        <f t="shared" si="73"/>
        <v>0</v>
      </c>
      <c r="V270" s="1">
        <f t="shared" si="74"/>
        <v>0</v>
      </c>
      <c r="W270" s="1">
        <f t="shared" si="75"/>
        <v>0</v>
      </c>
      <c r="X270" s="1">
        <f t="shared" si="76"/>
        <v>0</v>
      </c>
      <c r="Y270" s="1">
        <f t="shared" si="77"/>
        <v>0</v>
      </c>
      <c r="Z270" s="1">
        <f t="shared" si="78"/>
        <v>0</v>
      </c>
      <c r="AA270" s="1">
        <f t="shared" si="79"/>
        <v>0</v>
      </c>
      <c r="AB270" s="1">
        <f t="shared" si="80"/>
        <v>0</v>
      </c>
      <c r="AD270" s="1">
        <f t="shared" si="81"/>
        <v>0</v>
      </c>
      <c r="AE270" s="1">
        <f t="shared" si="82"/>
        <v>1</v>
      </c>
      <c r="AF270" s="1">
        <f t="shared" si="83"/>
        <v>0</v>
      </c>
      <c r="AG270" s="1">
        <f t="shared" si="84"/>
        <v>1</v>
      </c>
      <c r="AH270" s="1">
        <f t="shared" si="85"/>
        <v>0</v>
      </c>
      <c r="AI270" s="1">
        <f t="shared" si="86"/>
        <v>1</v>
      </c>
    </row>
    <row r="271" spans="1:35" ht="14.25" customHeight="1" x14ac:dyDescent="0.25">
      <c r="A271" s="31">
        <v>0</v>
      </c>
      <c r="B271" s="31">
        <v>1</v>
      </c>
      <c r="C271" s="31">
        <v>7</v>
      </c>
      <c r="D271" s="36" t="s">
        <v>1686</v>
      </c>
      <c r="E271" s="32" t="s">
        <v>29</v>
      </c>
      <c r="F271" s="36" t="s">
        <v>1687</v>
      </c>
      <c r="G271" s="36" t="s">
        <v>248</v>
      </c>
      <c r="H271" s="36" t="s">
        <v>352</v>
      </c>
      <c r="I271" s="37" t="s">
        <v>1688</v>
      </c>
      <c r="J271" s="31"/>
      <c r="K271" s="33" t="s">
        <v>694</v>
      </c>
      <c r="L271" s="33"/>
      <c r="M271" s="34"/>
      <c r="N271" s="34" t="s">
        <v>1693</v>
      </c>
      <c r="O271" s="35">
        <v>1</v>
      </c>
      <c r="P271" s="35">
        <v>1</v>
      </c>
      <c r="Q271" s="36"/>
      <c r="S271" s="1">
        <f t="shared" si="71"/>
        <v>0</v>
      </c>
      <c r="T271" s="1">
        <f t="shared" si="72"/>
        <v>0</v>
      </c>
      <c r="U271" s="1">
        <f t="shared" si="73"/>
        <v>0</v>
      </c>
      <c r="V271" s="1">
        <f t="shared" si="74"/>
        <v>0</v>
      </c>
      <c r="W271" s="1">
        <f t="shared" si="75"/>
        <v>0</v>
      </c>
      <c r="X271" s="1">
        <f t="shared" si="76"/>
        <v>0</v>
      </c>
      <c r="Y271" s="1">
        <f t="shared" si="77"/>
        <v>0</v>
      </c>
      <c r="Z271" s="1">
        <f t="shared" si="78"/>
        <v>0</v>
      </c>
      <c r="AA271" s="1">
        <f t="shared" si="79"/>
        <v>0</v>
      </c>
      <c r="AB271" s="1">
        <f t="shared" si="80"/>
        <v>0</v>
      </c>
      <c r="AD271" s="1">
        <f t="shared" si="81"/>
        <v>1</v>
      </c>
      <c r="AE271" s="1">
        <f t="shared" si="82"/>
        <v>0</v>
      </c>
      <c r="AF271" s="1">
        <f t="shared" si="83"/>
        <v>1</v>
      </c>
      <c r="AG271" s="1">
        <f t="shared" si="84"/>
        <v>0</v>
      </c>
      <c r="AH271" s="1">
        <f t="shared" si="85"/>
        <v>1</v>
      </c>
      <c r="AI271" s="1">
        <f t="shared" si="86"/>
        <v>0</v>
      </c>
    </row>
    <row r="272" spans="1:35" ht="14.25" customHeight="1" x14ac:dyDescent="0.25">
      <c r="A272" s="31">
        <v>0</v>
      </c>
      <c r="B272" s="31">
        <v>1</v>
      </c>
      <c r="C272" s="31">
        <v>7</v>
      </c>
      <c r="D272" s="32" t="s">
        <v>884</v>
      </c>
      <c r="E272" s="32" t="s">
        <v>29</v>
      </c>
      <c r="F272" s="32" t="s">
        <v>885</v>
      </c>
      <c r="G272" s="32" t="s">
        <v>227</v>
      </c>
      <c r="H272" s="32" t="s">
        <v>352</v>
      </c>
      <c r="I272" s="31" t="s">
        <v>886</v>
      </c>
      <c r="J272" s="31">
        <v>99</v>
      </c>
      <c r="K272" s="33" t="s">
        <v>704</v>
      </c>
      <c r="L272" s="33" t="s">
        <v>685</v>
      </c>
      <c r="M272" s="34" t="s">
        <v>1377</v>
      </c>
      <c r="N272" s="34" t="s">
        <v>1709</v>
      </c>
      <c r="O272" s="35">
        <v>1</v>
      </c>
      <c r="P272" s="35"/>
      <c r="Q272" s="32"/>
      <c r="S272" s="1">
        <f t="shared" si="71"/>
        <v>0</v>
      </c>
      <c r="T272" s="1">
        <f t="shared" si="72"/>
        <v>0</v>
      </c>
      <c r="U272" s="1">
        <f t="shared" si="73"/>
        <v>0</v>
      </c>
      <c r="V272" s="1">
        <f t="shared" si="74"/>
        <v>0</v>
      </c>
      <c r="W272" s="1">
        <f t="shared" si="75"/>
        <v>0</v>
      </c>
      <c r="X272" s="1">
        <f t="shared" si="76"/>
        <v>0</v>
      </c>
      <c r="Y272" s="1">
        <f t="shared" si="77"/>
        <v>0</v>
      </c>
      <c r="Z272" s="1">
        <f t="shared" si="78"/>
        <v>0</v>
      </c>
      <c r="AA272" s="1">
        <f t="shared" si="79"/>
        <v>0</v>
      </c>
      <c r="AB272" s="1">
        <f t="shared" si="80"/>
        <v>0</v>
      </c>
      <c r="AD272" s="1">
        <f t="shared" si="81"/>
        <v>0</v>
      </c>
      <c r="AE272" s="1">
        <f t="shared" si="82"/>
        <v>1</v>
      </c>
      <c r="AF272" s="1">
        <f t="shared" si="83"/>
        <v>0</v>
      </c>
      <c r="AG272" s="1">
        <f t="shared" si="84"/>
        <v>1</v>
      </c>
      <c r="AH272" s="1">
        <f t="shared" si="85"/>
        <v>0</v>
      </c>
      <c r="AI272" s="1">
        <f t="shared" si="86"/>
        <v>1</v>
      </c>
    </row>
    <row r="273" spans="1:35" ht="14.25" customHeight="1" x14ac:dyDescent="0.25">
      <c r="A273" s="31">
        <v>0</v>
      </c>
      <c r="B273" s="31">
        <v>1</v>
      </c>
      <c r="C273" s="31">
        <v>7</v>
      </c>
      <c r="D273" s="32" t="s">
        <v>88</v>
      </c>
      <c r="E273" s="32" t="s">
        <v>29</v>
      </c>
      <c r="F273" s="32" t="s">
        <v>280</v>
      </c>
      <c r="G273" s="32" t="s">
        <v>281</v>
      </c>
      <c r="H273" s="32" t="s">
        <v>352</v>
      </c>
      <c r="I273" s="31" t="s">
        <v>925</v>
      </c>
      <c r="J273" s="31">
        <v>99</v>
      </c>
      <c r="K273" s="33" t="s">
        <v>936</v>
      </c>
      <c r="L273" s="33" t="s">
        <v>685</v>
      </c>
      <c r="M273" s="34" t="s">
        <v>954</v>
      </c>
      <c r="N273" s="34" t="s">
        <v>1809</v>
      </c>
      <c r="O273" s="35">
        <v>1</v>
      </c>
      <c r="P273" s="35"/>
      <c r="Q273" s="32"/>
      <c r="S273" s="1">
        <f t="shared" si="71"/>
        <v>0</v>
      </c>
      <c r="T273" s="1">
        <f t="shared" si="72"/>
        <v>0</v>
      </c>
      <c r="U273" s="1">
        <f t="shared" si="73"/>
        <v>0</v>
      </c>
      <c r="V273" s="1">
        <f t="shared" si="74"/>
        <v>0</v>
      </c>
      <c r="W273" s="1">
        <f t="shared" si="75"/>
        <v>0</v>
      </c>
      <c r="X273" s="1">
        <f t="shared" si="76"/>
        <v>0</v>
      </c>
      <c r="Y273" s="1">
        <f t="shared" si="77"/>
        <v>0</v>
      </c>
      <c r="Z273" s="1">
        <f t="shared" si="78"/>
        <v>0</v>
      </c>
      <c r="AA273" s="1">
        <f t="shared" si="79"/>
        <v>0</v>
      </c>
      <c r="AB273" s="1">
        <f t="shared" si="80"/>
        <v>0</v>
      </c>
      <c r="AD273" s="1">
        <f t="shared" si="81"/>
        <v>0</v>
      </c>
      <c r="AE273" s="1">
        <f t="shared" si="82"/>
        <v>1</v>
      </c>
      <c r="AF273" s="1">
        <f t="shared" si="83"/>
        <v>0</v>
      </c>
      <c r="AG273" s="1">
        <f t="shared" si="84"/>
        <v>1</v>
      </c>
      <c r="AH273" s="1">
        <f t="shared" si="85"/>
        <v>0</v>
      </c>
      <c r="AI273" s="1">
        <f t="shared" si="86"/>
        <v>1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6" t="s">
        <v>1603</v>
      </c>
      <c r="E274" s="32" t="s">
        <v>29</v>
      </c>
      <c r="F274" s="36" t="s">
        <v>1502</v>
      </c>
      <c r="G274" s="36" t="s">
        <v>39</v>
      </c>
      <c r="H274" s="36" t="s">
        <v>869</v>
      </c>
      <c r="I274" s="37" t="s">
        <v>1503</v>
      </c>
      <c r="J274" s="31">
        <v>17</v>
      </c>
      <c r="K274" s="33" t="s">
        <v>704</v>
      </c>
      <c r="L274" s="33" t="s">
        <v>688</v>
      </c>
      <c r="M274" s="34" t="s">
        <v>1426</v>
      </c>
      <c r="N274" s="34" t="s">
        <v>1693</v>
      </c>
      <c r="O274" s="35">
        <v>1</v>
      </c>
      <c r="P274" s="35">
        <v>1</v>
      </c>
      <c r="Q274" s="36"/>
      <c r="S274" s="1">
        <f t="shared" si="71"/>
        <v>0</v>
      </c>
      <c r="T274" s="1">
        <f t="shared" si="72"/>
        <v>0</v>
      </c>
      <c r="U274" s="1">
        <f t="shared" si="73"/>
        <v>0</v>
      </c>
      <c r="V274" s="1">
        <f t="shared" si="74"/>
        <v>0</v>
      </c>
      <c r="W274" s="1">
        <f t="shared" si="75"/>
        <v>0</v>
      </c>
      <c r="X274" s="1">
        <f t="shared" si="76"/>
        <v>0</v>
      </c>
      <c r="Y274" s="1">
        <f t="shared" si="77"/>
        <v>0</v>
      </c>
      <c r="Z274" s="1">
        <f t="shared" si="78"/>
        <v>0</v>
      </c>
      <c r="AA274" s="1">
        <f t="shared" si="79"/>
        <v>0</v>
      </c>
      <c r="AB274" s="1">
        <f t="shared" si="80"/>
        <v>0</v>
      </c>
      <c r="AD274" s="1">
        <f t="shared" si="81"/>
        <v>1</v>
      </c>
      <c r="AE274" s="1">
        <f t="shared" si="82"/>
        <v>0</v>
      </c>
      <c r="AF274" s="1">
        <f t="shared" si="83"/>
        <v>1</v>
      </c>
      <c r="AG274" s="1">
        <f t="shared" si="84"/>
        <v>0</v>
      </c>
      <c r="AH274" s="1">
        <f t="shared" si="85"/>
        <v>1</v>
      </c>
      <c r="AI274" s="1">
        <f t="shared" si="86"/>
        <v>0</v>
      </c>
    </row>
    <row r="275" spans="1:35" ht="14.25" customHeight="1" x14ac:dyDescent="0.25">
      <c r="A275" s="31">
        <v>0</v>
      </c>
      <c r="B275" s="31">
        <v>1</v>
      </c>
      <c r="C275" s="31">
        <v>7</v>
      </c>
      <c r="D275" s="32" t="s">
        <v>1423</v>
      </c>
      <c r="E275" s="32" t="s">
        <v>29</v>
      </c>
      <c r="F275" s="32" t="s">
        <v>1424</v>
      </c>
      <c r="G275" s="32" t="s">
        <v>319</v>
      </c>
      <c r="H275" s="32" t="s">
        <v>352</v>
      </c>
      <c r="I275" s="31" t="s">
        <v>1425</v>
      </c>
      <c r="J275" s="31">
        <v>99</v>
      </c>
      <c r="K275" s="33" t="s">
        <v>694</v>
      </c>
      <c r="L275" s="33">
        <v>30</v>
      </c>
      <c r="M275" s="34" t="s">
        <v>1426</v>
      </c>
      <c r="N275" s="34" t="s">
        <v>1785</v>
      </c>
      <c r="O275" s="35">
        <v>1</v>
      </c>
      <c r="P275" s="35"/>
      <c r="Q275" s="32"/>
      <c r="S275" s="1">
        <f t="shared" ref="S275:S338" si="97">IF(J275=$S$7,1,0)</f>
        <v>0</v>
      </c>
      <c r="T275" s="1">
        <f t="shared" ref="T275:T338" si="98">IF(J275=$T$7,1,0)</f>
        <v>0</v>
      </c>
      <c r="U275" s="1">
        <f t="shared" ref="U275:U338" si="99">IF(J275=$U$7,1,0)</f>
        <v>0</v>
      </c>
      <c r="V275" s="1">
        <f t="shared" ref="V275:V338" si="100">IF(J275=$V$7,1,0)</f>
        <v>0</v>
      </c>
      <c r="W275" s="1">
        <f t="shared" ref="W275:W338" si="101">IF(J275=$W$7,1,0)</f>
        <v>0</v>
      </c>
      <c r="X275" s="1">
        <f t="shared" ref="X275:X338" si="102">IF(J275=$X$7,1,0)</f>
        <v>0</v>
      </c>
      <c r="Y275" s="1">
        <f t="shared" ref="Y275:Y338" si="103">IF(J275=$Y$7,1,0)</f>
        <v>0</v>
      </c>
      <c r="Z275" s="1">
        <f t="shared" ref="Z275:Z338" si="104">IF(J275=$Z$7,1,0)</f>
        <v>0</v>
      </c>
      <c r="AA275" s="1">
        <f t="shared" ref="AA275:AA338" si="105">IF(J275=$AA$7,1,0)</f>
        <v>0</v>
      </c>
      <c r="AB275" s="1">
        <f t="shared" ref="AB275:AB338" si="106">IF(J275=$AB$7,1,0)</f>
        <v>0</v>
      </c>
      <c r="AD275" s="1">
        <f t="shared" ref="AD275:AD338" si="107">+O275*P275</f>
        <v>0</v>
      </c>
      <c r="AE275" s="1">
        <f t="shared" ref="AE275:AE338" si="108">O275*(1-P275)</f>
        <v>1</v>
      </c>
      <c r="AF275" s="1">
        <f t="shared" si="83"/>
        <v>0</v>
      </c>
      <c r="AG275" s="1">
        <f t="shared" si="84"/>
        <v>1</v>
      </c>
      <c r="AH275" s="1">
        <f t="shared" si="85"/>
        <v>0</v>
      </c>
      <c r="AI275" s="1">
        <f t="shared" si="86"/>
        <v>1</v>
      </c>
    </row>
    <row r="276" spans="1:35" ht="14.25" customHeight="1" x14ac:dyDescent="0.25">
      <c r="A276" s="31">
        <v>0</v>
      </c>
      <c r="B276" s="31">
        <v>1</v>
      </c>
      <c r="C276" s="31">
        <v>7</v>
      </c>
      <c r="D276" s="36" t="s">
        <v>831</v>
      </c>
      <c r="E276" s="32" t="s">
        <v>29</v>
      </c>
      <c r="F276" s="36" t="s">
        <v>832</v>
      </c>
      <c r="G276" s="36" t="s">
        <v>221</v>
      </c>
      <c r="H276" s="36" t="s">
        <v>352</v>
      </c>
      <c r="I276" s="37" t="s">
        <v>833</v>
      </c>
      <c r="J276" s="31">
        <v>99</v>
      </c>
      <c r="K276" s="33" t="s">
        <v>936</v>
      </c>
      <c r="L276" s="33" t="s">
        <v>685</v>
      </c>
      <c r="M276" s="34" t="s">
        <v>954</v>
      </c>
      <c r="N276" s="34" t="s">
        <v>1809</v>
      </c>
      <c r="O276" s="35">
        <v>1</v>
      </c>
      <c r="P276" s="35"/>
      <c r="Q276" s="36"/>
      <c r="S276" s="1">
        <f t="shared" si="97"/>
        <v>0</v>
      </c>
      <c r="T276" s="1">
        <f t="shared" si="98"/>
        <v>0</v>
      </c>
      <c r="U276" s="1">
        <f t="shared" si="99"/>
        <v>0</v>
      </c>
      <c r="V276" s="1">
        <f t="shared" si="100"/>
        <v>0</v>
      </c>
      <c r="W276" s="1">
        <f t="shared" si="101"/>
        <v>0</v>
      </c>
      <c r="X276" s="1">
        <f t="shared" si="102"/>
        <v>0</v>
      </c>
      <c r="Y276" s="1">
        <f t="shared" si="103"/>
        <v>0</v>
      </c>
      <c r="Z276" s="1">
        <f t="shared" si="104"/>
        <v>0</v>
      </c>
      <c r="AA276" s="1">
        <f t="shared" si="105"/>
        <v>0</v>
      </c>
      <c r="AB276" s="1">
        <f t="shared" si="106"/>
        <v>0</v>
      </c>
      <c r="AD276" s="1">
        <f t="shared" si="107"/>
        <v>0</v>
      </c>
      <c r="AE276" s="1">
        <f t="shared" si="108"/>
        <v>1</v>
      </c>
      <c r="AF276" s="1">
        <f t="shared" ref="AF276:AF339" si="109">+O276*P276*(1-A276)</f>
        <v>0</v>
      </c>
      <c r="AG276" s="1">
        <f t="shared" ref="AG276:AG339" si="110">O276*(1-P276)*(1-A276)</f>
        <v>1</v>
      </c>
      <c r="AH276" s="1">
        <f t="shared" ref="AH276:AH339" si="111">+P276*(1-A276)</f>
        <v>0</v>
      </c>
      <c r="AI276" s="1">
        <f t="shared" ref="AI276:AI339" si="112">+(1-A276)*(1-P276)</f>
        <v>1</v>
      </c>
    </row>
    <row r="277" spans="1:35" ht="14.25" customHeight="1" x14ac:dyDescent="0.25">
      <c r="A277" s="31">
        <v>1</v>
      </c>
      <c r="B277" s="31">
        <v>1</v>
      </c>
      <c r="C277" s="31">
        <v>7</v>
      </c>
      <c r="D277" s="36" t="s">
        <v>831</v>
      </c>
      <c r="E277" s="32" t="s">
        <v>29</v>
      </c>
      <c r="F277" s="36" t="s">
        <v>913</v>
      </c>
      <c r="G277" s="36" t="s">
        <v>278</v>
      </c>
      <c r="H277" s="36" t="s">
        <v>352</v>
      </c>
      <c r="I277" s="37" t="s">
        <v>834</v>
      </c>
      <c r="J277" s="31">
        <v>99</v>
      </c>
      <c r="K277" s="33" t="s">
        <v>936</v>
      </c>
      <c r="L277" s="33" t="s">
        <v>685</v>
      </c>
      <c r="M277" s="34" t="s">
        <v>954</v>
      </c>
      <c r="N277" s="34" t="s">
        <v>1809</v>
      </c>
      <c r="O277" s="35">
        <v>1</v>
      </c>
      <c r="P277" s="35"/>
      <c r="Q277" s="36"/>
      <c r="S277" s="1">
        <f t="shared" si="97"/>
        <v>0</v>
      </c>
      <c r="T277" s="1">
        <f t="shared" si="98"/>
        <v>0</v>
      </c>
      <c r="U277" s="1">
        <f t="shared" si="99"/>
        <v>0</v>
      </c>
      <c r="V277" s="1">
        <f t="shared" si="100"/>
        <v>0</v>
      </c>
      <c r="W277" s="1">
        <f t="shared" si="101"/>
        <v>0</v>
      </c>
      <c r="X277" s="1">
        <f t="shared" si="102"/>
        <v>0</v>
      </c>
      <c r="Y277" s="1">
        <f t="shared" si="103"/>
        <v>0</v>
      </c>
      <c r="Z277" s="1">
        <f t="shared" si="104"/>
        <v>0</v>
      </c>
      <c r="AA277" s="1">
        <f t="shared" si="105"/>
        <v>0</v>
      </c>
      <c r="AB277" s="1">
        <f t="shared" si="106"/>
        <v>0</v>
      </c>
      <c r="AD277" s="1">
        <f t="shared" si="107"/>
        <v>0</v>
      </c>
      <c r="AE277" s="1">
        <f t="shared" si="108"/>
        <v>1</v>
      </c>
      <c r="AF277" s="1">
        <f t="shared" si="109"/>
        <v>0</v>
      </c>
      <c r="AG277" s="1">
        <f t="shared" si="110"/>
        <v>0</v>
      </c>
      <c r="AH277" s="1">
        <f t="shared" si="111"/>
        <v>0</v>
      </c>
      <c r="AI277" s="1">
        <f t="shared" si="112"/>
        <v>0</v>
      </c>
    </row>
    <row r="278" spans="1:35" ht="14.25" customHeight="1" x14ac:dyDescent="0.25">
      <c r="A278" s="31">
        <v>0</v>
      </c>
      <c r="B278" s="31">
        <v>1</v>
      </c>
      <c r="C278" s="31">
        <v>7</v>
      </c>
      <c r="D278" s="32" t="s">
        <v>1191</v>
      </c>
      <c r="E278" s="32" t="s">
        <v>29</v>
      </c>
      <c r="F278" s="32" t="s">
        <v>1192</v>
      </c>
      <c r="G278" s="32" t="s">
        <v>237</v>
      </c>
      <c r="H278" s="32" t="s">
        <v>352</v>
      </c>
      <c r="I278" s="31" t="s">
        <v>1333</v>
      </c>
      <c r="J278" s="31">
        <v>99</v>
      </c>
      <c r="K278" s="33" t="s">
        <v>704</v>
      </c>
      <c r="L278" s="33" t="s">
        <v>685</v>
      </c>
      <c r="M278" s="34" t="s">
        <v>1378</v>
      </c>
      <c r="N278" s="34" t="s">
        <v>1716</v>
      </c>
      <c r="O278" s="35">
        <v>1</v>
      </c>
      <c r="P278" s="35"/>
      <c r="Q278" s="32"/>
      <c r="S278" s="1">
        <f t="shared" si="97"/>
        <v>0</v>
      </c>
      <c r="T278" s="1">
        <f t="shared" si="98"/>
        <v>0</v>
      </c>
      <c r="U278" s="1">
        <f t="shared" si="99"/>
        <v>0</v>
      </c>
      <c r="V278" s="1">
        <f t="shared" si="100"/>
        <v>0</v>
      </c>
      <c r="W278" s="1">
        <f t="shared" si="101"/>
        <v>0</v>
      </c>
      <c r="X278" s="1">
        <f t="shared" si="102"/>
        <v>0</v>
      </c>
      <c r="Y278" s="1">
        <f t="shared" si="103"/>
        <v>0</v>
      </c>
      <c r="Z278" s="1">
        <f t="shared" si="104"/>
        <v>0</v>
      </c>
      <c r="AA278" s="1">
        <f t="shared" si="105"/>
        <v>0</v>
      </c>
      <c r="AB278" s="1">
        <f t="shared" si="106"/>
        <v>0</v>
      </c>
      <c r="AD278" s="1">
        <f t="shared" si="107"/>
        <v>0</v>
      </c>
      <c r="AE278" s="1">
        <f t="shared" si="108"/>
        <v>1</v>
      </c>
      <c r="AF278" s="1">
        <f t="shared" si="109"/>
        <v>0</v>
      </c>
      <c r="AG278" s="1">
        <f t="shared" si="110"/>
        <v>1</v>
      </c>
      <c r="AH278" s="1">
        <f t="shared" si="111"/>
        <v>0</v>
      </c>
      <c r="AI278" s="1">
        <f t="shared" si="112"/>
        <v>1</v>
      </c>
    </row>
    <row r="279" spans="1:35" ht="14.25" customHeight="1" x14ac:dyDescent="0.25">
      <c r="A279" s="31">
        <v>0</v>
      </c>
      <c r="B279" s="31">
        <v>1</v>
      </c>
      <c r="C279" s="31">
        <v>7</v>
      </c>
      <c r="D279" s="36" t="s">
        <v>1208</v>
      </c>
      <c r="E279" s="32" t="s">
        <v>29</v>
      </c>
      <c r="F279" s="36" t="s">
        <v>1209</v>
      </c>
      <c r="G279" s="36" t="s">
        <v>237</v>
      </c>
      <c r="H279" s="36" t="s">
        <v>352</v>
      </c>
      <c r="I279" s="37" t="s">
        <v>1210</v>
      </c>
      <c r="J279" s="31">
        <v>99</v>
      </c>
      <c r="K279" s="33" t="s">
        <v>704</v>
      </c>
      <c r="L279" s="33" t="s">
        <v>684</v>
      </c>
      <c r="M279" s="34" t="s">
        <v>1378</v>
      </c>
      <c r="N279" s="34" t="s">
        <v>1785</v>
      </c>
      <c r="O279" s="35">
        <v>1</v>
      </c>
      <c r="P279" s="35"/>
      <c r="Q279" s="36"/>
      <c r="S279" s="1">
        <f t="shared" si="97"/>
        <v>0</v>
      </c>
      <c r="T279" s="1">
        <f t="shared" si="98"/>
        <v>0</v>
      </c>
      <c r="U279" s="1">
        <f t="shared" si="99"/>
        <v>0</v>
      </c>
      <c r="V279" s="1">
        <f t="shared" si="100"/>
        <v>0</v>
      </c>
      <c r="W279" s="1">
        <f t="shared" si="101"/>
        <v>0</v>
      </c>
      <c r="X279" s="1">
        <f t="shared" si="102"/>
        <v>0</v>
      </c>
      <c r="Y279" s="1">
        <f t="shared" si="103"/>
        <v>0</v>
      </c>
      <c r="Z279" s="1">
        <f t="shared" si="104"/>
        <v>0</v>
      </c>
      <c r="AA279" s="1">
        <f t="shared" si="105"/>
        <v>0</v>
      </c>
      <c r="AB279" s="1">
        <f t="shared" si="106"/>
        <v>0</v>
      </c>
      <c r="AD279" s="1">
        <f t="shared" si="107"/>
        <v>0</v>
      </c>
      <c r="AE279" s="1">
        <f t="shared" si="108"/>
        <v>1</v>
      </c>
      <c r="AF279" s="1">
        <f t="shared" si="109"/>
        <v>0</v>
      </c>
      <c r="AG279" s="1">
        <f t="shared" si="110"/>
        <v>1</v>
      </c>
      <c r="AH279" s="1">
        <f t="shared" si="111"/>
        <v>0</v>
      </c>
      <c r="AI279" s="1">
        <f t="shared" si="112"/>
        <v>1</v>
      </c>
    </row>
    <row r="280" spans="1:35" ht="14.25" customHeight="1" x14ac:dyDescent="0.25">
      <c r="A280" s="31">
        <v>0</v>
      </c>
      <c r="B280" s="31">
        <v>1</v>
      </c>
      <c r="C280" s="31">
        <v>7</v>
      </c>
      <c r="D280" s="36" t="s">
        <v>92</v>
      </c>
      <c r="E280" s="32" t="s">
        <v>29</v>
      </c>
      <c r="F280" s="36" t="s">
        <v>286</v>
      </c>
      <c r="G280" s="36" t="s">
        <v>189</v>
      </c>
      <c r="H280" s="36" t="s">
        <v>352</v>
      </c>
      <c r="I280" s="37" t="s">
        <v>438</v>
      </c>
      <c r="J280" s="31">
        <v>99</v>
      </c>
      <c r="K280" s="33" t="s">
        <v>704</v>
      </c>
      <c r="L280" s="33" t="s">
        <v>685</v>
      </c>
      <c r="M280" s="34" t="s">
        <v>1379</v>
      </c>
      <c r="N280" s="34" t="s">
        <v>1711</v>
      </c>
      <c r="O280" s="35">
        <v>1</v>
      </c>
      <c r="P280" s="35"/>
      <c r="Q280" s="36"/>
      <c r="S280" s="1">
        <f t="shared" si="97"/>
        <v>0</v>
      </c>
      <c r="T280" s="1">
        <f t="shared" si="98"/>
        <v>0</v>
      </c>
      <c r="U280" s="1">
        <f t="shared" si="99"/>
        <v>0</v>
      </c>
      <c r="V280" s="1">
        <f t="shared" si="100"/>
        <v>0</v>
      </c>
      <c r="W280" s="1">
        <f t="shared" si="101"/>
        <v>0</v>
      </c>
      <c r="X280" s="1">
        <f t="shared" si="102"/>
        <v>0</v>
      </c>
      <c r="Y280" s="1">
        <f t="shared" si="103"/>
        <v>0</v>
      </c>
      <c r="Z280" s="1">
        <f t="shared" si="104"/>
        <v>0</v>
      </c>
      <c r="AA280" s="1">
        <f t="shared" si="105"/>
        <v>0</v>
      </c>
      <c r="AB280" s="1">
        <f t="shared" si="106"/>
        <v>0</v>
      </c>
      <c r="AD280" s="1">
        <f t="shared" si="107"/>
        <v>0</v>
      </c>
      <c r="AE280" s="1">
        <f t="shared" si="108"/>
        <v>1</v>
      </c>
      <c r="AF280" s="1">
        <f t="shared" si="109"/>
        <v>0</v>
      </c>
      <c r="AG280" s="1">
        <f t="shared" si="110"/>
        <v>1</v>
      </c>
      <c r="AH280" s="1">
        <f t="shared" si="111"/>
        <v>0</v>
      </c>
      <c r="AI280" s="1">
        <f t="shared" si="112"/>
        <v>1</v>
      </c>
    </row>
    <row r="281" spans="1:35" ht="14.25" customHeight="1" x14ac:dyDescent="0.25">
      <c r="A281" s="31">
        <v>0</v>
      </c>
      <c r="B281" s="31">
        <v>1</v>
      </c>
      <c r="C281" s="31">
        <v>7</v>
      </c>
      <c r="D281" s="32" t="s">
        <v>855</v>
      </c>
      <c r="E281" s="32" t="s">
        <v>29</v>
      </c>
      <c r="F281" s="32" t="s">
        <v>856</v>
      </c>
      <c r="G281" s="32" t="s">
        <v>193</v>
      </c>
      <c r="H281" s="32" t="s">
        <v>352</v>
      </c>
      <c r="I281" s="31" t="s">
        <v>857</v>
      </c>
      <c r="J281" s="31">
        <v>9</v>
      </c>
      <c r="K281" s="33" t="s">
        <v>704</v>
      </c>
      <c r="L281" s="33" t="s">
        <v>687</v>
      </c>
      <c r="M281" s="34" t="s">
        <v>699</v>
      </c>
      <c r="N281" s="34" t="s">
        <v>1705</v>
      </c>
      <c r="O281" s="35">
        <v>1</v>
      </c>
      <c r="P281" s="35"/>
      <c r="Q281" s="32"/>
      <c r="S281" s="1">
        <f t="shared" si="97"/>
        <v>0</v>
      </c>
      <c r="T281" s="1">
        <f t="shared" si="98"/>
        <v>0</v>
      </c>
      <c r="U281" s="1">
        <f t="shared" si="99"/>
        <v>0</v>
      </c>
      <c r="V281" s="1">
        <f t="shared" si="100"/>
        <v>0</v>
      </c>
      <c r="W281" s="1">
        <f t="shared" si="101"/>
        <v>0</v>
      </c>
      <c r="X281" s="1">
        <f t="shared" si="102"/>
        <v>0</v>
      </c>
      <c r="Y281" s="1">
        <f t="shared" si="103"/>
        <v>0</v>
      </c>
      <c r="Z281" s="1">
        <f t="shared" si="104"/>
        <v>0</v>
      </c>
      <c r="AA281" s="1">
        <f t="shared" si="105"/>
        <v>1</v>
      </c>
      <c r="AB281" s="1">
        <f t="shared" si="106"/>
        <v>0</v>
      </c>
      <c r="AD281" s="1">
        <f t="shared" si="107"/>
        <v>0</v>
      </c>
      <c r="AE281" s="1">
        <f t="shared" si="108"/>
        <v>1</v>
      </c>
      <c r="AF281" s="1">
        <f t="shared" si="109"/>
        <v>0</v>
      </c>
      <c r="AG281" s="1">
        <f t="shared" si="110"/>
        <v>1</v>
      </c>
      <c r="AH281" s="1">
        <f t="shared" si="111"/>
        <v>0</v>
      </c>
      <c r="AI281" s="1">
        <f t="shared" si="112"/>
        <v>1</v>
      </c>
    </row>
    <row r="282" spans="1:35" ht="14.25" customHeight="1" x14ac:dyDescent="0.25">
      <c r="A282" s="31">
        <v>1</v>
      </c>
      <c r="B282" s="31">
        <v>1</v>
      </c>
      <c r="C282" s="31">
        <v>7</v>
      </c>
      <c r="D282" s="32" t="s">
        <v>855</v>
      </c>
      <c r="E282" s="32" t="s">
        <v>29</v>
      </c>
      <c r="F282" s="32" t="s">
        <v>1049</v>
      </c>
      <c r="G282" s="32" t="s">
        <v>319</v>
      </c>
      <c r="H282" s="32" t="s">
        <v>352</v>
      </c>
      <c r="I282" s="31" t="s">
        <v>1050</v>
      </c>
      <c r="J282" s="31">
        <v>99</v>
      </c>
      <c r="K282" s="33" t="s">
        <v>704</v>
      </c>
      <c r="L282" s="33" t="s">
        <v>687</v>
      </c>
      <c r="M282" s="34" t="s">
        <v>699</v>
      </c>
      <c r="N282" s="34" t="s">
        <v>1705</v>
      </c>
      <c r="O282" s="35">
        <v>1</v>
      </c>
      <c r="P282" s="35"/>
      <c r="Q282" s="32"/>
      <c r="S282" s="1">
        <f t="shared" si="97"/>
        <v>0</v>
      </c>
      <c r="T282" s="1">
        <f t="shared" si="98"/>
        <v>0</v>
      </c>
      <c r="U282" s="1">
        <f t="shared" si="99"/>
        <v>0</v>
      </c>
      <c r="V282" s="1">
        <f t="shared" si="100"/>
        <v>0</v>
      </c>
      <c r="W282" s="1">
        <f t="shared" si="101"/>
        <v>0</v>
      </c>
      <c r="X282" s="1">
        <f t="shared" si="102"/>
        <v>0</v>
      </c>
      <c r="Y282" s="1">
        <f t="shared" si="103"/>
        <v>0</v>
      </c>
      <c r="Z282" s="1">
        <f t="shared" si="104"/>
        <v>0</v>
      </c>
      <c r="AA282" s="1">
        <f t="shared" si="105"/>
        <v>0</v>
      </c>
      <c r="AB282" s="1">
        <f t="shared" si="106"/>
        <v>0</v>
      </c>
      <c r="AD282" s="1">
        <f t="shared" si="107"/>
        <v>0</v>
      </c>
      <c r="AE282" s="1">
        <f t="shared" si="108"/>
        <v>1</v>
      </c>
      <c r="AF282" s="1">
        <f t="shared" si="109"/>
        <v>0</v>
      </c>
      <c r="AG282" s="1">
        <f t="shared" si="110"/>
        <v>0</v>
      </c>
      <c r="AH282" s="1">
        <f t="shared" si="111"/>
        <v>0</v>
      </c>
      <c r="AI282" s="1">
        <f t="shared" si="112"/>
        <v>0</v>
      </c>
    </row>
    <row r="283" spans="1:35" ht="14.25" customHeight="1" x14ac:dyDescent="0.25">
      <c r="A283" s="31">
        <v>1</v>
      </c>
      <c r="B283" s="31">
        <v>1</v>
      </c>
      <c r="C283" s="31">
        <v>7</v>
      </c>
      <c r="D283" s="32" t="s">
        <v>855</v>
      </c>
      <c r="E283" s="32" t="s">
        <v>29</v>
      </c>
      <c r="F283" s="32" t="s">
        <v>1978</v>
      </c>
      <c r="G283" s="32" t="s">
        <v>193</v>
      </c>
      <c r="H283" s="32" t="s">
        <v>352</v>
      </c>
      <c r="I283" s="31" t="s">
        <v>857</v>
      </c>
      <c r="J283" s="31">
        <v>9</v>
      </c>
      <c r="K283" s="33" t="s">
        <v>704</v>
      </c>
      <c r="L283" s="33" t="s">
        <v>687</v>
      </c>
      <c r="M283" s="34" t="s">
        <v>699</v>
      </c>
      <c r="N283" s="34" t="s">
        <v>1705</v>
      </c>
      <c r="O283" s="35">
        <v>1</v>
      </c>
      <c r="P283" s="35"/>
      <c r="Q283" s="32"/>
      <c r="S283" s="1">
        <f t="shared" si="97"/>
        <v>0</v>
      </c>
      <c r="T283" s="1">
        <f t="shared" si="98"/>
        <v>0</v>
      </c>
      <c r="U283" s="1">
        <f t="shared" si="99"/>
        <v>0</v>
      </c>
      <c r="V283" s="1">
        <f t="shared" si="100"/>
        <v>0</v>
      </c>
      <c r="W283" s="1">
        <f t="shared" si="101"/>
        <v>0</v>
      </c>
      <c r="X283" s="1">
        <f t="shared" si="102"/>
        <v>0</v>
      </c>
      <c r="Y283" s="1">
        <f t="shared" si="103"/>
        <v>0</v>
      </c>
      <c r="Z283" s="1">
        <f t="shared" si="104"/>
        <v>0</v>
      </c>
      <c r="AA283" s="1">
        <f t="shared" si="105"/>
        <v>1</v>
      </c>
      <c r="AB283" s="1">
        <f t="shared" si="106"/>
        <v>0</v>
      </c>
      <c r="AD283" s="1">
        <f t="shared" si="107"/>
        <v>0</v>
      </c>
      <c r="AE283" s="1">
        <f t="shared" si="108"/>
        <v>1</v>
      </c>
      <c r="AF283" s="1">
        <f t="shared" si="109"/>
        <v>0</v>
      </c>
      <c r="AG283" s="1">
        <f t="shared" si="110"/>
        <v>0</v>
      </c>
      <c r="AH283" s="1">
        <f t="shared" si="111"/>
        <v>0</v>
      </c>
      <c r="AI283" s="1">
        <f t="shared" si="112"/>
        <v>0</v>
      </c>
    </row>
    <row r="284" spans="1:35" ht="14.25" customHeight="1" x14ac:dyDescent="0.25">
      <c r="A284" s="31">
        <v>1</v>
      </c>
      <c r="B284" s="31">
        <v>1</v>
      </c>
      <c r="C284" s="31">
        <v>7</v>
      </c>
      <c r="D284" s="32" t="s">
        <v>855</v>
      </c>
      <c r="E284" s="32" t="s">
        <v>29</v>
      </c>
      <c r="F284" s="32" t="s">
        <v>1980</v>
      </c>
      <c r="G284" s="32" t="s">
        <v>208</v>
      </c>
      <c r="H284" s="32" t="s">
        <v>352</v>
      </c>
      <c r="I284" s="31" t="s">
        <v>1979</v>
      </c>
      <c r="J284" s="31">
        <v>99</v>
      </c>
      <c r="K284" s="33" t="s">
        <v>704</v>
      </c>
      <c r="L284" s="33" t="s">
        <v>687</v>
      </c>
      <c r="M284" s="34" t="s">
        <v>699</v>
      </c>
      <c r="N284" s="34" t="s">
        <v>1705</v>
      </c>
      <c r="O284" s="35">
        <v>1</v>
      </c>
      <c r="P284" s="35"/>
      <c r="Q284" s="32"/>
      <c r="S284" s="1">
        <f t="shared" si="97"/>
        <v>0</v>
      </c>
      <c r="T284" s="1">
        <f t="shared" si="98"/>
        <v>0</v>
      </c>
      <c r="U284" s="1">
        <f t="shared" si="99"/>
        <v>0</v>
      </c>
      <c r="V284" s="1">
        <f t="shared" si="100"/>
        <v>0</v>
      </c>
      <c r="W284" s="1">
        <f t="shared" si="101"/>
        <v>0</v>
      </c>
      <c r="X284" s="1">
        <f t="shared" si="102"/>
        <v>0</v>
      </c>
      <c r="Y284" s="1">
        <f t="shared" si="103"/>
        <v>0</v>
      </c>
      <c r="Z284" s="1">
        <f t="shared" si="104"/>
        <v>0</v>
      </c>
      <c r="AA284" s="1">
        <f t="shared" si="105"/>
        <v>0</v>
      </c>
      <c r="AB284" s="1">
        <f t="shared" si="106"/>
        <v>0</v>
      </c>
      <c r="AD284" s="1">
        <f t="shared" si="107"/>
        <v>0</v>
      </c>
      <c r="AE284" s="1">
        <f t="shared" si="108"/>
        <v>1</v>
      </c>
      <c r="AF284" s="1">
        <f t="shared" si="109"/>
        <v>0</v>
      </c>
      <c r="AG284" s="1">
        <f t="shared" si="110"/>
        <v>0</v>
      </c>
      <c r="AH284" s="1">
        <f t="shared" si="111"/>
        <v>0</v>
      </c>
      <c r="AI284" s="1">
        <f t="shared" si="112"/>
        <v>0</v>
      </c>
    </row>
    <row r="285" spans="1:35" ht="14.25" customHeight="1" x14ac:dyDescent="0.25">
      <c r="A285" s="31">
        <v>1</v>
      </c>
      <c r="B285" s="31">
        <v>1</v>
      </c>
      <c r="C285" s="31">
        <v>7</v>
      </c>
      <c r="D285" s="32" t="s">
        <v>855</v>
      </c>
      <c r="E285" s="32" t="s">
        <v>29</v>
      </c>
      <c r="F285" s="36" t="s">
        <v>1645</v>
      </c>
      <c r="G285" s="36" t="s">
        <v>2133</v>
      </c>
      <c r="H285" s="32" t="s">
        <v>352</v>
      </c>
      <c r="I285" s="37" t="s">
        <v>2134</v>
      </c>
      <c r="J285" s="31">
        <v>99</v>
      </c>
      <c r="K285" s="33" t="s">
        <v>704</v>
      </c>
      <c r="L285" s="33" t="s">
        <v>687</v>
      </c>
      <c r="M285" s="34" t="s">
        <v>699</v>
      </c>
      <c r="N285" s="34" t="s">
        <v>1705</v>
      </c>
      <c r="O285" s="35">
        <v>1</v>
      </c>
      <c r="P285" s="35"/>
      <c r="Q285" s="32"/>
      <c r="S285" s="1">
        <f t="shared" si="97"/>
        <v>0</v>
      </c>
      <c r="T285" s="1">
        <f t="shared" si="98"/>
        <v>0</v>
      </c>
      <c r="U285" s="1">
        <f t="shared" si="99"/>
        <v>0</v>
      </c>
      <c r="V285" s="1">
        <f t="shared" si="100"/>
        <v>0</v>
      </c>
      <c r="W285" s="1">
        <f t="shared" si="101"/>
        <v>0</v>
      </c>
      <c r="X285" s="1">
        <f t="shared" si="102"/>
        <v>0</v>
      </c>
      <c r="Y285" s="1">
        <f t="shared" si="103"/>
        <v>0</v>
      </c>
      <c r="Z285" s="1">
        <f t="shared" si="104"/>
        <v>0</v>
      </c>
      <c r="AA285" s="1">
        <f t="shared" si="105"/>
        <v>0</v>
      </c>
      <c r="AB285" s="1">
        <f t="shared" si="106"/>
        <v>0</v>
      </c>
      <c r="AD285" s="1">
        <f t="shared" si="107"/>
        <v>0</v>
      </c>
      <c r="AE285" s="1">
        <f t="shared" si="108"/>
        <v>1</v>
      </c>
      <c r="AF285" s="1">
        <f t="shared" si="109"/>
        <v>0</v>
      </c>
      <c r="AG285" s="1">
        <f t="shared" si="110"/>
        <v>0</v>
      </c>
      <c r="AH285" s="1">
        <f t="shared" si="111"/>
        <v>0</v>
      </c>
      <c r="AI285" s="1">
        <f t="shared" si="112"/>
        <v>0</v>
      </c>
    </row>
    <row r="286" spans="1:35" ht="14.25" customHeight="1" x14ac:dyDescent="0.25">
      <c r="A286" s="31">
        <v>0</v>
      </c>
      <c r="B286" s="31">
        <v>1</v>
      </c>
      <c r="C286" s="31">
        <v>7</v>
      </c>
      <c r="D286" s="36" t="s">
        <v>95</v>
      </c>
      <c r="E286" s="32" t="s">
        <v>29</v>
      </c>
      <c r="F286" s="36" t="s">
        <v>290</v>
      </c>
      <c r="G286" s="36" t="s">
        <v>291</v>
      </c>
      <c r="H286" s="36" t="s">
        <v>352</v>
      </c>
      <c r="I286" s="37" t="s">
        <v>1098</v>
      </c>
      <c r="J286" s="31">
        <v>99</v>
      </c>
      <c r="K286" s="33" t="s">
        <v>704</v>
      </c>
      <c r="L286" s="33" t="s">
        <v>687</v>
      </c>
      <c r="M286" s="34" t="s">
        <v>699</v>
      </c>
      <c r="N286" s="34" t="s">
        <v>1709</v>
      </c>
      <c r="O286" s="35">
        <v>1</v>
      </c>
      <c r="P286" s="35"/>
      <c r="Q286" s="36"/>
      <c r="S286" s="1">
        <f t="shared" si="97"/>
        <v>0</v>
      </c>
      <c r="T286" s="1">
        <f t="shared" si="98"/>
        <v>0</v>
      </c>
      <c r="U286" s="1">
        <f t="shared" si="99"/>
        <v>0</v>
      </c>
      <c r="V286" s="1">
        <f t="shared" si="100"/>
        <v>0</v>
      </c>
      <c r="W286" s="1">
        <f t="shared" si="101"/>
        <v>0</v>
      </c>
      <c r="X286" s="1">
        <f t="shared" si="102"/>
        <v>0</v>
      </c>
      <c r="Y286" s="1">
        <f t="shared" si="103"/>
        <v>0</v>
      </c>
      <c r="Z286" s="1">
        <f t="shared" si="104"/>
        <v>0</v>
      </c>
      <c r="AA286" s="1">
        <f t="shared" si="105"/>
        <v>0</v>
      </c>
      <c r="AB286" s="1">
        <f t="shared" si="106"/>
        <v>0</v>
      </c>
      <c r="AD286" s="1">
        <f t="shared" si="107"/>
        <v>0</v>
      </c>
      <c r="AE286" s="1">
        <f t="shared" si="108"/>
        <v>1</v>
      </c>
      <c r="AF286" s="1">
        <f t="shared" si="109"/>
        <v>0</v>
      </c>
      <c r="AG286" s="1">
        <f t="shared" si="110"/>
        <v>1</v>
      </c>
      <c r="AH286" s="1">
        <f t="shared" si="111"/>
        <v>0</v>
      </c>
      <c r="AI286" s="1">
        <f t="shared" si="112"/>
        <v>1</v>
      </c>
    </row>
    <row r="287" spans="1:35" ht="14.25" customHeight="1" x14ac:dyDescent="0.25">
      <c r="A287" s="31">
        <v>0</v>
      </c>
      <c r="B287" s="31">
        <v>1</v>
      </c>
      <c r="C287" s="31">
        <v>7</v>
      </c>
      <c r="D287" s="36" t="s">
        <v>528</v>
      </c>
      <c r="E287" s="32" t="s">
        <v>29</v>
      </c>
      <c r="F287" s="36" t="s">
        <v>657</v>
      </c>
      <c r="G287" s="36" t="s">
        <v>39</v>
      </c>
      <c r="H287" s="36" t="s">
        <v>529</v>
      </c>
      <c r="I287" s="37" t="s">
        <v>1656</v>
      </c>
      <c r="J287" s="31">
        <v>14</v>
      </c>
      <c r="K287" s="33" t="s">
        <v>935</v>
      </c>
      <c r="L287" s="33">
        <v>40</v>
      </c>
      <c r="M287" s="34" t="s">
        <v>699</v>
      </c>
      <c r="N287" s="34" t="s">
        <v>1705</v>
      </c>
      <c r="O287" s="35">
        <v>1</v>
      </c>
      <c r="P287" s="35"/>
      <c r="Q287" s="36"/>
      <c r="S287" s="1">
        <f t="shared" si="97"/>
        <v>0</v>
      </c>
      <c r="T287" s="1">
        <f t="shared" si="98"/>
        <v>0</v>
      </c>
      <c r="U287" s="1">
        <f t="shared" si="99"/>
        <v>0</v>
      </c>
      <c r="V287" s="1">
        <f t="shared" si="100"/>
        <v>0</v>
      </c>
      <c r="W287" s="1">
        <f t="shared" si="101"/>
        <v>0</v>
      </c>
      <c r="X287" s="1">
        <f t="shared" si="102"/>
        <v>0</v>
      </c>
      <c r="Y287" s="1">
        <f t="shared" si="103"/>
        <v>0</v>
      </c>
      <c r="Z287" s="1">
        <f t="shared" si="104"/>
        <v>0</v>
      </c>
      <c r="AA287" s="1">
        <f t="shared" si="105"/>
        <v>0</v>
      </c>
      <c r="AB287" s="1">
        <f t="shared" si="106"/>
        <v>0</v>
      </c>
      <c r="AD287" s="1">
        <f t="shared" si="107"/>
        <v>0</v>
      </c>
      <c r="AE287" s="1">
        <f t="shared" si="108"/>
        <v>1</v>
      </c>
      <c r="AF287" s="1">
        <f t="shared" si="109"/>
        <v>0</v>
      </c>
      <c r="AG287" s="1">
        <f t="shared" si="110"/>
        <v>1</v>
      </c>
      <c r="AH287" s="1">
        <f t="shared" si="111"/>
        <v>0</v>
      </c>
      <c r="AI287" s="1">
        <f t="shared" si="112"/>
        <v>1</v>
      </c>
    </row>
    <row r="288" spans="1:35" ht="14.25" customHeight="1" x14ac:dyDescent="0.25">
      <c r="A288" s="31">
        <v>0</v>
      </c>
      <c r="B288" s="31">
        <v>1</v>
      </c>
      <c r="C288" s="31">
        <v>7</v>
      </c>
      <c r="D288" s="36" t="s">
        <v>1295</v>
      </c>
      <c r="E288" s="32" t="s">
        <v>29</v>
      </c>
      <c r="F288" s="36" t="s">
        <v>1319</v>
      </c>
      <c r="G288" s="36" t="s">
        <v>39</v>
      </c>
      <c r="H288" s="36" t="s">
        <v>352</v>
      </c>
      <c r="I288" s="37" t="s">
        <v>1128</v>
      </c>
      <c r="J288" s="31">
        <v>99</v>
      </c>
      <c r="K288" s="33" t="s">
        <v>704</v>
      </c>
      <c r="L288" s="33" t="s">
        <v>684</v>
      </c>
      <c r="M288" s="34" t="s">
        <v>1380</v>
      </c>
      <c r="N288" s="34" t="s">
        <v>1699</v>
      </c>
      <c r="O288" s="35">
        <v>1</v>
      </c>
      <c r="P288" s="35">
        <v>1</v>
      </c>
      <c r="Q288" s="36"/>
      <c r="S288" s="1">
        <f t="shared" si="97"/>
        <v>0</v>
      </c>
      <c r="T288" s="1">
        <f t="shared" si="98"/>
        <v>0</v>
      </c>
      <c r="U288" s="1">
        <f t="shared" si="99"/>
        <v>0</v>
      </c>
      <c r="V288" s="1">
        <f t="shared" si="100"/>
        <v>0</v>
      </c>
      <c r="W288" s="1">
        <f t="shared" si="101"/>
        <v>0</v>
      </c>
      <c r="X288" s="1">
        <f t="shared" si="102"/>
        <v>0</v>
      </c>
      <c r="Y288" s="1">
        <f t="shared" si="103"/>
        <v>0</v>
      </c>
      <c r="Z288" s="1">
        <f t="shared" si="104"/>
        <v>0</v>
      </c>
      <c r="AA288" s="1">
        <f t="shared" si="105"/>
        <v>0</v>
      </c>
      <c r="AB288" s="1">
        <f t="shared" si="106"/>
        <v>0</v>
      </c>
      <c r="AD288" s="1">
        <f t="shared" si="107"/>
        <v>1</v>
      </c>
      <c r="AE288" s="1">
        <f t="shared" si="108"/>
        <v>0</v>
      </c>
      <c r="AF288" s="1">
        <f t="shared" si="109"/>
        <v>1</v>
      </c>
      <c r="AG288" s="1">
        <f t="shared" si="110"/>
        <v>0</v>
      </c>
      <c r="AH288" s="1">
        <f t="shared" si="111"/>
        <v>1</v>
      </c>
      <c r="AI288" s="1">
        <f t="shared" si="112"/>
        <v>0</v>
      </c>
    </row>
    <row r="289" spans="1:35" ht="14.25" customHeight="1" x14ac:dyDescent="0.25">
      <c r="A289" s="31">
        <v>0</v>
      </c>
      <c r="B289" s="31">
        <v>1</v>
      </c>
      <c r="C289" s="31">
        <v>7</v>
      </c>
      <c r="D289" s="32" t="s">
        <v>96</v>
      </c>
      <c r="E289" s="32" t="s">
        <v>29</v>
      </c>
      <c r="F289" s="32" t="s">
        <v>293</v>
      </c>
      <c r="G289" s="32" t="s">
        <v>262</v>
      </c>
      <c r="H289" s="32" t="s">
        <v>352</v>
      </c>
      <c r="I289" s="31" t="s">
        <v>442</v>
      </c>
      <c r="J289" s="31">
        <v>1</v>
      </c>
      <c r="K289" s="33" t="s">
        <v>704</v>
      </c>
      <c r="L289" s="33" t="s">
        <v>685</v>
      </c>
      <c r="M289" s="34" t="s">
        <v>699</v>
      </c>
      <c r="N289" s="34" t="s">
        <v>1705</v>
      </c>
      <c r="O289" s="35">
        <v>1</v>
      </c>
      <c r="P289" s="35"/>
      <c r="Q289" s="32"/>
      <c r="S289" s="1">
        <f t="shared" si="97"/>
        <v>1</v>
      </c>
      <c r="T289" s="1">
        <f t="shared" si="98"/>
        <v>0</v>
      </c>
      <c r="U289" s="1">
        <f t="shared" si="99"/>
        <v>0</v>
      </c>
      <c r="V289" s="1">
        <f t="shared" si="100"/>
        <v>0</v>
      </c>
      <c r="W289" s="1">
        <f t="shared" si="101"/>
        <v>0</v>
      </c>
      <c r="X289" s="1">
        <f t="shared" si="102"/>
        <v>0</v>
      </c>
      <c r="Y289" s="1">
        <f t="shared" si="103"/>
        <v>0</v>
      </c>
      <c r="Z289" s="1">
        <f t="shared" si="104"/>
        <v>0</v>
      </c>
      <c r="AA289" s="1">
        <f t="shared" si="105"/>
        <v>0</v>
      </c>
      <c r="AB289" s="1">
        <f t="shared" si="106"/>
        <v>0</v>
      </c>
      <c r="AD289" s="1">
        <f t="shared" si="107"/>
        <v>0</v>
      </c>
      <c r="AE289" s="1">
        <f t="shared" si="108"/>
        <v>1</v>
      </c>
      <c r="AF289" s="1">
        <f t="shared" si="109"/>
        <v>0</v>
      </c>
      <c r="AG289" s="1">
        <f t="shared" si="110"/>
        <v>1</v>
      </c>
      <c r="AH289" s="1">
        <f t="shared" si="111"/>
        <v>0</v>
      </c>
      <c r="AI289" s="1">
        <f t="shared" si="112"/>
        <v>1</v>
      </c>
    </row>
    <row r="290" spans="1:35" ht="14.25" customHeight="1" x14ac:dyDescent="0.25">
      <c r="A290" s="15">
        <v>0</v>
      </c>
      <c r="B290" s="15">
        <v>1</v>
      </c>
      <c r="C290" s="15">
        <v>7</v>
      </c>
      <c r="D290" s="16" t="s">
        <v>745</v>
      </c>
      <c r="E290" s="16" t="s">
        <v>29</v>
      </c>
      <c r="F290" s="20" t="s">
        <v>2055</v>
      </c>
      <c r="G290" s="16" t="s">
        <v>39</v>
      </c>
      <c r="H290" s="20" t="s">
        <v>365</v>
      </c>
      <c r="I290" s="21" t="s">
        <v>2056</v>
      </c>
      <c r="J290" s="15">
        <v>18</v>
      </c>
      <c r="K290" s="10" t="s">
        <v>694</v>
      </c>
      <c r="L290" s="10" t="s">
        <v>688</v>
      </c>
      <c r="M290" s="19" t="s">
        <v>699</v>
      </c>
      <c r="N290" s="17"/>
      <c r="Q290" s="16"/>
      <c r="S290" s="1">
        <f t="shared" si="97"/>
        <v>0</v>
      </c>
      <c r="T290" s="1">
        <f t="shared" si="98"/>
        <v>0</v>
      </c>
      <c r="U290" s="1">
        <f t="shared" si="99"/>
        <v>0</v>
      </c>
      <c r="V290" s="1">
        <f t="shared" si="100"/>
        <v>0</v>
      </c>
      <c r="W290" s="1">
        <f t="shared" si="101"/>
        <v>0</v>
      </c>
      <c r="X290" s="1">
        <f t="shared" si="102"/>
        <v>0</v>
      </c>
      <c r="Y290" s="1">
        <f t="shared" si="103"/>
        <v>0</v>
      </c>
      <c r="Z290" s="1">
        <f t="shared" si="104"/>
        <v>0</v>
      </c>
      <c r="AA290" s="1">
        <f t="shared" si="105"/>
        <v>0</v>
      </c>
      <c r="AB290" s="1">
        <f t="shared" si="106"/>
        <v>0</v>
      </c>
      <c r="AD290" s="1">
        <f t="shared" si="107"/>
        <v>0</v>
      </c>
      <c r="AE290" s="1">
        <f t="shared" si="108"/>
        <v>0</v>
      </c>
      <c r="AF290" s="1">
        <f t="shared" si="109"/>
        <v>0</v>
      </c>
      <c r="AG290" s="1">
        <f t="shared" si="110"/>
        <v>0</v>
      </c>
      <c r="AH290" s="1">
        <f t="shared" si="111"/>
        <v>0</v>
      </c>
      <c r="AI290" s="1">
        <f t="shared" si="112"/>
        <v>1</v>
      </c>
    </row>
    <row r="291" spans="1:35" ht="14.25" customHeight="1" x14ac:dyDescent="0.25">
      <c r="A291" s="31">
        <v>0</v>
      </c>
      <c r="B291" s="31">
        <v>1</v>
      </c>
      <c r="C291" s="31">
        <v>7</v>
      </c>
      <c r="D291" s="36" t="s">
        <v>1486</v>
      </c>
      <c r="E291" s="32" t="s">
        <v>29</v>
      </c>
      <c r="F291" s="36" t="s">
        <v>1638</v>
      </c>
      <c r="G291" s="36" t="s">
        <v>1639</v>
      </c>
      <c r="H291" s="36" t="s">
        <v>352</v>
      </c>
      <c r="I291" s="37" t="s">
        <v>1487</v>
      </c>
      <c r="J291" s="31">
        <v>99</v>
      </c>
      <c r="K291" s="33" t="s">
        <v>704</v>
      </c>
      <c r="L291" s="33" t="s">
        <v>39</v>
      </c>
      <c r="M291" s="34" t="s">
        <v>39</v>
      </c>
      <c r="N291" s="34" t="s">
        <v>1693</v>
      </c>
      <c r="O291" s="35">
        <v>1</v>
      </c>
      <c r="P291" s="35">
        <v>1</v>
      </c>
      <c r="Q291" s="36"/>
      <c r="S291" s="1">
        <f t="shared" si="97"/>
        <v>0</v>
      </c>
      <c r="T291" s="1">
        <f t="shared" si="98"/>
        <v>0</v>
      </c>
      <c r="U291" s="1">
        <f t="shared" si="99"/>
        <v>0</v>
      </c>
      <c r="V291" s="1">
        <f t="shared" si="100"/>
        <v>0</v>
      </c>
      <c r="W291" s="1">
        <f t="shared" si="101"/>
        <v>0</v>
      </c>
      <c r="X291" s="1">
        <f t="shared" si="102"/>
        <v>0</v>
      </c>
      <c r="Y291" s="1">
        <f t="shared" si="103"/>
        <v>0</v>
      </c>
      <c r="Z291" s="1">
        <f t="shared" si="104"/>
        <v>0</v>
      </c>
      <c r="AA291" s="1">
        <f t="shared" si="105"/>
        <v>0</v>
      </c>
      <c r="AB291" s="1">
        <f t="shared" si="106"/>
        <v>0</v>
      </c>
      <c r="AD291" s="1">
        <f t="shared" si="107"/>
        <v>1</v>
      </c>
      <c r="AE291" s="1">
        <f t="shared" si="108"/>
        <v>0</v>
      </c>
      <c r="AF291" s="1">
        <f t="shared" si="109"/>
        <v>1</v>
      </c>
      <c r="AG291" s="1">
        <f t="shared" si="110"/>
        <v>0</v>
      </c>
      <c r="AH291" s="1">
        <f t="shared" si="111"/>
        <v>1</v>
      </c>
      <c r="AI291" s="1">
        <f t="shared" si="112"/>
        <v>0</v>
      </c>
    </row>
    <row r="292" spans="1:35" ht="14.25" customHeight="1" x14ac:dyDescent="0.25">
      <c r="A292" s="31">
        <v>0</v>
      </c>
      <c r="B292" s="31">
        <v>1</v>
      </c>
      <c r="C292" s="31">
        <v>7</v>
      </c>
      <c r="D292" s="32" t="s">
        <v>1122</v>
      </c>
      <c r="E292" s="32" t="s">
        <v>29</v>
      </c>
      <c r="F292" s="32" t="s">
        <v>1123</v>
      </c>
      <c r="G292" s="32" t="s">
        <v>1125</v>
      </c>
      <c r="H292" s="32" t="s">
        <v>352</v>
      </c>
      <c r="I292" s="31" t="s">
        <v>1124</v>
      </c>
      <c r="J292" s="31">
        <v>99</v>
      </c>
      <c r="K292" s="33" t="s">
        <v>694</v>
      </c>
      <c r="L292" s="33">
        <v>30</v>
      </c>
      <c r="M292" s="34" t="s">
        <v>1381</v>
      </c>
      <c r="N292" s="34" t="s">
        <v>1809</v>
      </c>
      <c r="O292" s="35">
        <v>1</v>
      </c>
      <c r="P292" s="35"/>
      <c r="Q292" s="32"/>
      <c r="S292" s="1">
        <f t="shared" si="97"/>
        <v>0</v>
      </c>
      <c r="T292" s="1">
        <f t="shared" si="98"/>
        <v>0</v>
      </c>
      <c r="U292" s="1">
        <f t="shared" si="99"/>
        <v>0</v>
      </c>
      <c r="V292" s="1">
        <f t="shared" si="100"/>
        <v>0</v>
      </c>
      <c r="W292" s="1">
        <f t="shared" si="101"/>
        <v>0</v>
      </c>
      <c r="X292" s="1">
        <f t="shared" si="102"/>
        <v>0</v>
      </c>
      <c r="Y292" s="1">
        <f t="shared" si="103"/>
        <v>0</v>
      </c>
      <c r="Z292" s="1">
        <f t="shared" si="104"/>
        <v>0</v>
      </c>
      <c r="AA292" s="1">
        <f t="shared" si="105"/>
        <v>0</v>
      </c>
      <c r="AB292" s="1">
        <f t="shared" si="106"/>
        <v>0</v>
      </c>
      <c r="AD292" s="1">
        <f t="shared" si="107"/>
        <v>0</v>
      </c>
      <c r="AE292" s="1">
        <f t="shared" si="108"/>
        <v>1</v>
      </c>
      <c r="AF292" s="1">
        <f t="shared" si="109"/>
        <v>0</v>
      </c>
      <c r="AG292" s="1">
        <f t="shared" si="110"/>
        <v>1</v>
      </c>
      <c r="AH292" s="1">
        <f t="shared" si="111"/>
        <v>0</v>
      </c>
      <c r="AI292" s="1">
        <f t="shared" si="112"/>
        <v>1</v>
      </c>
    </row>
    <row r="293" spans="1:35" ht="14.25" customHeight="1" x14ac:dyDescent="0.25">
      <c r="A293" s="31">
        <v>0</v>
      </c>
      <c r="B293" s="31">
        <v>1</v>
      </c>
      <c r="C293" s="31">
        <v>7</v>
      </c>
      <c r="D293" s="32" t="s">
        <v>98</v>
      </c>
      <c r="E293" s="32" t="s">
        <v>29</v>
      </c>
      <c r="F293" s="32" t="s">
        <v>295</v>
      </c>
      <c r="G293" s="32" t="s">
        <v>196</v>
      </c>
      <c r="H293" s="32" t="s">
        <v>352</v>
      </c>
      <c r="I293" s="31" t="s">
        <v>443</v>
      </c>
      <c r="J293" s="31">
        <v>9</v>
      </c>
      <c r="K293" s="33" t="s">
        <v>694</v>
      </c>
      <c r="L293" s="33">
        <v>30</v>
      </c>
      <c r="M293" s="34" t="s">
        <v>699</v>
      </c>
      <c r="N293" s="34" t="s">
        <v>1705</v>
      </c>
      <c r="O293" s="35">
        <v>1</v>
      </c>
      <c r="P293" s="35"/>
      <c r="Q293" s="32"/>
      <c r="S293" s="1">
        <f t="shared" si="97"/>
        <v>0</v>
      </c>
      <c r="T293" s="1">
        <f t="shared" si="98"/>
        <v>0</v>
      </c>
      <c r="U293" s="1">
        <f t="shared" si="99"/>
        <v>0</v>
      </c>
      <c r="V293" s="1">
        <f t="shared" si="100"/>
        <v>0</v>
      </c>
      <c r="W293" s="1">
        <f t="shared" si="101"/>
        <v>0</v>
      </c>
      <c r="X293" s="1">
        <f t="shared" si="102"/>
        <v>0</v>
      </c>
      <c r="Y293" s="1">
        <f t="shared" si="103"/>
        <v>0</v>
      </c>
      <c r="Z293" s="1">
        <f t="shared" si="104"/>
        <v>0</v>
      </c>
      <c r="AA293" s="1">
        <f t="shared" si="105"/>
        <v>1</v>
      </c>
      <c r="AB293" s="1">
        <f t="shared" si="106"/>
        <v>0</v>
      </c>
      <c r="AD293" s="1">
        <f t="shared" si="107"/>
        <v>0</v>
      </c>
      <c r="AE293" s="1">
        <f t="shared" si="108"/>
        <v>1</v>
      </c>
      <c r="AF293" s="1">
        <f t="shared" si="109"/>
        <v>0</v>
      </c>
      <c r="AG293" s="1">
        <f t="shared" si="110"/>
        <v>1</v>
      </c>
      <c r="AH293" s="1">
        <f t="shared" si="111"/>
        <v>0</v>
      </c>
      <c r="AI293" s="1">
        <f t="shared" si="112"/>
        <v>1</v>
      </c>
    </row>
    <row r="294" spans="1:35" ht="14.25" customHeight="1" x14ac:dyDescent="0.25">
      <c r="A294" s="31">
        <v>0</v>
      </c>
      <c r="B294" s="31">
        <v>1</v>
      </c>
      <c r="C294" s="31">
        <v>7</v>
      </c>
      <c r="D294" s="32" t="s">
        <v>788</v>
      </c>
      <c r="E294" s="32" t="s">
        <v>29</v>
      </c>
      <c r="F294" s="32" t="s">
        <v>767</v>
      </c>
      <c r="G294" s="32" t="s">
        <v>789</v>
      </c>
      <c r="H294" s="32" t="s">
        <v>352</v>
      </c>
      <c r="I294" s="31" t="s">
        <v>933</v>
      </c>
      <c r="J294" s="31">
        <v>99</v>
      </c>
      <c r="K294" s="33" t="s">
        <v>704</v>
      </c>
      <c r="L294" s="33" t="s">
        <v>685</v>
      </c>
      <c r="M294" s="34" t="s">
        <v>699</v>
      </c>
      <c r="N294" s="34" t="s">
        <v>1785</v>
      </c>
      <c r="O294" s="35">
        <v>1</v>
      </c>
      <c r="P294" s="35"/>
      <c r="Q294" s="32"/>
      <c r="S294" s="1">
        <f t="shared" si="97"/>
        <v>0</v>
      </c>
      <c r="T294" s="1">
        <f t="shared" si="98"/>
        <v>0</v>
      </c>
      <c r="U294" s="1">
        <f t="shared" si="99"/>
        <v>0</v>
      </c>
      <c r="V294" s="1">
        <f t="shared" si="100"/>
        <v>0</v>
      </c>
      <c r="W294" s="1">
        <f t="shared" si="101"/>
        <v>0</v>
      </c>
      <c r="X294" s="1">
        <f t="shared" si="102"/>
        <v>0</v>
      </c>
      <c r="Y294" s="1">
        <f t="shared" si="103"/>
        <v>0</v>
      </c>
      <c r="Z294" s="1">
        <f t="shared" si="104"/>
        <v>0</v>
      </c>
      <c r="AA294" s="1">
        <f t="shared" si="105"/>
        <v>0</v>
      </c>
      <c r="AB294" s="1">
        <f t="shared" si="106"/>
        <v>0</v>
      </c>
      <c r="AD294" s="1">
        <f t="shared" si="107"/>
        <v>0</v>
      </c>
      <c r="AE294" s="1">
        <f t="shared" si="108"/>
        <v>1</v>
      </c>
      <c r="AF294" s="1">
        <f t="shared" si="109"/>
        <v>0</v>
      </c>
      <c r="AG294" s="1">
        <f t="shared" si="110"/>
        <v>1</v>
      </c>
      <c r="AH294" s="1">
        <f t="shared" si="111"/>
        <v>0</v>
      </c>
      <c r="AI294" s="1">
        <f t="shared" si="112"/>
        <v>1</v>
      </c>
    </row>
    <row r="295" spans="1:35" ht="14.25" customHeight="1" x14ac:dyDescent="0.25">
      <c r="A295" s="31">
        <v>0</v>
      </c>
      <c r="B295" s="31">
        <v>1</v>
      </c>
      <c r="C295" s="31">
        <v>7</v>
      </c>
      <c r="D295" s="32" t="s">
        <v>1298</v>
      </c>
      <c r="E295" s="32" t="s">
        <v>29</v>
      </c>
      <c r="F295" s="32" t="s">
        <v>1321</v>
      </c>
      <c r="G295" s="32" t="s">
        <v>1159</v>
      </c>
      <c r="H295" s="32" t="s">
        <v>352</v>
      </c>
      <c r="I295" s="31" t="s">
        <v>1658</v>
      </c>
      <c r="J295" s="31">
        <v>99</v>
      </c>
      <c r="K295" s="33" t="s">
        <v>704</v>
      </c>
      <c r="L295" s="33" t="s">
        <v>685</v>
      </c>
      <c r="M295" s="34" t="s">
        <v>1382</v>
      </c>
      <c r="N295" s="34" t="s">
        <v>1722</v>
      </c>
      <c r="O295" s="35">
        <v>1</v>
      </c>
      <c r="P295" s="35"/>
      <c r="Q295" s="32"/>
      <c r="S295" s="1">
        <f t="shared" si="97"/>
        <v>0</v>
      </c>
      <c r="T295" s="1">
        <f t="shared" si="98"/>
        <v>0</v>
      </c>
      <c r="U295" s="1">
        <f t="shared" si="99"/>
        <v>0</v>
      </c>
      <c r="V295" s="1">
        <f t="shared" si="100"/>
        <v>0</v>
      </c>
      <c r="W295" s="1">
        <f t="shared" si="101"/>
        <v>0</v>
      </c>
      <c r="X295" s="1">
        <f t="shared" si="102"/>
        <v>0</v>
      </c>
      <c r="Y295" s="1">
        <f t="shared" si="103"/>
        <v>0</v>
      </c>
      <c r="Z295" s="1">
        <f t="shared" si="104"/>
        <v>0</v>
      </c>
      <c r="AA295" s="1">
        <f t="shared" si="105"/>
        <v>0</v>
      </c>
      <c r="AB295" s="1">
        <f t="shared" si="106"/>
        <v>0</v>
      </c>
      <c r="AD295" s="1">
        <f t="shared" si="107"/>
        <v>0</v>
      </c>
      <c r="AE295" s="1">
        <f t="shared" si="108"/>
        <v>1</v>
      </c>
      <c r="AF295" s="1">
        <f t="shared" si="109"/>
        <v>0</v>
      </c>
      <c r="AG295" s="1">
        <f t="shared" si="110"/>
        <v>1</v>
      </c>
      <c r="AH295" s="1">
        <f t="shared" si="111"/>
        <v>0</v>
      </c>
      <c r="AI295" s="1">
        <f t="shared" si="112"/>
        <v>1</v>
      </c>
    </row>
    <row r="296" spans="1:35" ht="14.25" customHeight="1" x14ac:dyDescent="0.25">
      <c r="A296" s="15">
        <v>0</v>
      </c>
      <c r="B296" s="15">
        <v>1</v>
      </c>
      <c r="C296" s="15">
        <v>7</v>
      </c>
      <c r="D296" s="20" t="s">
        <v>1253</v>
      </c>
      <c r="E296" s="20" t="s">
        <v>29</v>
      </c>
      <c r="F296" s="20" t="s">
        <v>1254</v>
      </c>
      <c r="G296" s="16" t="s">
        <v>1255</v>
      </c>
      <c r="H296" s="20" t="s">
        <v>352</v>
      </c>
      <c r="I296" s="21" t="s">
        <v>1256</v>
      </c>
      <c r="J296" s="15">
        <v>99</v>
      </c>
      <c r="K296" s="10" t="s">
        <v>704</v>
      </c>
      <c r="L296" s="10" t="s">
        <v>685</v>
      </c>
      <c r="M296" s="19" t="s">
        <v>699</v>
      </c>
      <c r="N296" s="17"/>
      <c r="Q296" s="16"/>
      <c r="S296" s="1">
        <f t="shared" si="97"/>
        <v>0</v>
      </c>
      <c r="T296" s="1">
        <f t="shared" si="98"/>
        <v>0</v>
      </c>
      <c r="U296" s="1">
        <f t="shared" si="99"/>
        <v>0</v>
      </c>
      <c r="V296" s="1">
        <f t="shared" si="100"/>
        <v>0</v>
      </c>
      <c r="W296" s="1">
        <f t="shared" si="101"/>
        <v>0</v>
      </c>
      <c r="X296" s="1">
        <f t="shared" si="102"/>
        <v>0</v>
      </c>
      <c r="Y296" s="1">
        <f t="shared" si="103"/>
        <v>0</v>
      </c>
      <c r="Z296" s="1">
        <f t="shared" si="104"/>
        <v>0</v>
      </c>
      <c r="AA296" s="1">
        <f t="shared" si="105"/>
        <v>0</v>
      </c>
      <c r="AB296" s="1">
        <f t="shared" si="106"/>
        <v>0</v>
      </c>
      <c r="AD296" s="1">
        <f t="shared" si="107"/>
        <v>0</v>
      </c>
      <c r="AE296" s="1">
        <f t="shared" si="108"/>
        <v>0</v>
      </c>
      <c r="AF296" s="1">
        <f t="shared" si="109"/>
        <v>0</v>
      </c>
      <c r="AG296" s="1">
        <f t="shared" si="110"/>
        <v>0</v>
      </c>
      <c r="AH296" s="1">
        <f t="shared" si="111"/>
        <v>0</v>
      </c>
      <c r="AI296" s="1">
        <f t="shared" si="112"/>
        <v>1</v>
      </c>
    </row>
    <row r="297" spans="1:35" ht="14.25" customHeight="1" x14ac:dyDescent="0.25">
      <c r="A297" s="31">
        <v>0</v>
      </c>
      <c r="B297" s="31">
        <v>1</v>
      </c>
      <c r="C297" s="31">
        <v>7</v>
      </c>
      <c r="D297" s="32" t="s">
        <v>700</v>
      </c>
      <c r="E297" s="32" t="s">
        <v>29</v>
      </c>
      <c r="F297" s="32" t="s">
        <v>701</v>
      </c>
      <c r="G297" s="32" t="s">
        <v>183</v>
      </c>
      <c r="H297" s="32" t="s">
        <v>352</v>
      </c>
      <c r="I297" s="31" t="s">
        <v>702</v>
      </c>
      <c r="J297" s="31">
        <v>99</v>
      </c>
      <c r="K297" s="33" t="s">
        <v>936</v>
      </c>
      <c r="L297" s="33" t="s">
        <v>39</v>
      </c>
      <c r="M297" s="34" t="s">
        <v>39</v>
      </c>
      <c r="N297" s="34" t="s">
        <v>1699</v>
      </c>
      <c r="O297" s="35">
        <v>1</v>
      </c>
      <c r="P297" s="35">
        <v>1</v>
      </c>
      <c r="Q297" s="32"/>
      <c r="S297" s="1">
        <f t="shared" si="97"/>
        <v>0</v>
      </c>
      <c r="T297" s="1">
        <f t="shared" si="98"/>
        <v>0</v>
      </c>
      <c r="U297" s="1">
        <f t="shared" si="99"/>
        <v>0</v>
      </c>
      <c r="V297" s="1">
        <f t="shared" si="100"/>
        <v>0</v>
      </c>
      <c r="W297" s="1">
        <f t="shared" si="101"/>
        <v>0</v>
      </c>
      <c r="X297" s="1">
        <f t="shared" si="102"/>
        <v>0</v>
      </c>
      <c r="Y297" s="1">
        <f t="shared" si="103"/>
        <v>0</v>
      </c>
      <c r="Z297" s="1">
        <f t="shared" si="104"/>
        <v>0</v>
      </c>
      <c r="AA297" s="1">
        <f t="shared" si="105"/>
        <v>0</v>
      </c>
      <c r="AB297" s="1">
        <f t="shared" si="106"/>
        <v>0</v>
      </c>
      <c r="AD297" s="1">
        <f t="shared" si="107"/>
        <v>1</v>
      </c>
      <c r="AE297" s="1">
        <f t="shared" si="108"/>
        <v>0</v>
      </c>
      <c r="AF297" s="1">
        <f t="shared" si="109"/>
        <v>1</v>
      </c>
      <c r="AG297" s="1">
        <f t="shared" si="110"/>
        <v>0</v>
      </c>
      <c r="AH297" s="1">
        <f t="shared" si="111"/>
        <v>1</v>
      </c>
      <c r="AI297" s="1">
        <f t="shared" si="112"/>
        <v>0</v>
      </c>
    </row>
    <row r="298" spans="1:35" ht="14.25" customHeight="1" x14ac:dyDescent="0.25">
      <c r="A298" s="31">
        <v>0</v>
      </c>
      <c r="B298" s="31">
        <v>1</v>
      </c>
      <c r="C298" s="31">
        <v>7</v>
      </c>
      <c r="D298" s="36" t="s">
        <v>2086</v>
      </c>
      <c r="E298" s="36" t="s">
        <v>29</v>
      </c>
      <c r="F298" s="36" t="s">
        <v>2087</v>
      </c>
      <c r="G298" s="36" t="s">
        <v>239</v>
      </c>
      <c r="H298" s="36" t="s">
        <v>352</v>
      </c>
      <c r="I298" s="37" t="s">
        <v>2088</v>
      </c>
      <c r="J298" s="31">
        <v>1</v>
      </c>
      <c r="K298" s="33" t="s">
        <v>694</v>
      </c>
      <c r="L298" s="33"/>
      <c r="M298" s="34"/>
      <c r="N298" s="34" t="s">
        <v>1709</v>
      </c>
      <c r="O298" s="35">
        <v>1</v>
      </c>
      <c r="P298" s="35"/>
      <c r="Q298" s="32" t="s">
        <v>2089</v>
      </c>
      <c r="S298" s="1">
        <f t="shared" si="97"/>
        <v>1</v>
      </c>
      <c r="T298" s="1">
        <f t="shared" si="98"/>
        <v>0</v>
      </c>
      <c r="U298" s="1">
        <f t="shared" si="99"/>
        <v>0</v>
      </c>
      <c r="V298" s="1">
        <f t="shared" si="100"/>
        <v>0</v>
      </c>
      <c r="W298" s="1">
        <f t="shared" si="101"/>
        <v>0</v>
      </c>
      <c r="X298" s="1">
        <f t="shared" si="102"/>
        <v>0</v>
      </c>
      <c r="Y298" s="1">
        <f t="shared" si="103"/>
        <v>0</v>
      </c>
      <c r="Z298" s="1">
        <f t="shared" si="104"/>
        <v>0</v>
      </c>
      <c r="AA298" s="1">
        <f t="shared" si="105"/>
        <v>0</v>
      </c>
      <c r="AB298" s="1">
        <f t="shared" si="106"/>
        <v>0</v>
      </c>
      <c r="AD298" s="1">
        <f t="shared" si="107"/>
        <v>0</v>
      </c>
      <c r="AE298" s="1">
        <f t="shared" si="108"/>
        <v>1</v>
      </c>
      <c r="AF298" s="1">
        <f t="shared" si="109"/>
        <v>0</v>
      </c>
      <c r="AG298" s="1">
        <f t="shared" si="110"/>
        <v>1</v>
      </c>
      <c r="AH298" s="1">
        <f t="shared" si="111"/>
        <v>0</v>
      </c>
      <c r="AI298" s="1">
        <f t="shared" si="112"/>
        <v>1</v>
      </c>
    </row>
    <row r="299" spans="1:35" ht="14.25" customHeight="1" x14ac:dyDescent="0.25">
      <c r="A299" s="31">
        <v>0</v>
      </c>
      <c r="B299" s="31">
        <v>2</v>
      </c>
      <c r="C299" s="31">
        <v>1</v>
      </c>
      <c r="D299" s="32" t="s">
        <v>532</v>
      </c>
      <c r="E299" s="32" t="s">
        <v>34</v>
      </c>
      <c r="F299" s="32" t="s">
        <v>533</v>
      </c>
      <c r="G299" s="32" t="s">
        <v>219</v>
      </c>
      <c r="H299" s="32" t="s">
        <v>352</v>
      </c>
      <c r="I299" s="31" t="s">
        <v>534</v>
      </c>
      <c r="J299" s="31">
        <v>8</v>
      </c>
      <c r="K299" s="33" t="s">
        <v>704</v>
      </c>
      <c r="L299" s="33" t="s">
        <v>704</v>
      </c>
      <c r="M299" s="34" t="s">
        <v>705</v>
      </c>
      <c r="N299" s="34" t="s">
        <v>1709</v>
      </c>
      <c r="O299" s="35">
        <v>1</v>
      </c>
      <c r="P299" s="35"/>
      <c r="Q299" s="32"/>
      <c r="S299" s="1">
        <f t="shared" si="97"/>
        <v>0</v>
      </c>
      <c r="T299" s="1">
        <f t="shared" si="98"/>
        <v>0</v>
      </c>
      <c r="U299" s="1">
        <f t="shared" si="99"/>
        <v>0</v>
      </c>
      <c r="V299" s="1">
        <f t="shared" si="100"/>
        <v>0</v>
      </c>
      <c r="W299" s="1">
        <f t="shared" si="101"/>
        <v>0</v>
      </c>
      <c r="X299" s="1">
        <f t="shared" si="102"/>
        <v>0</v>
      </c>
      <c r="Y299" s="1">
        <f t="shared" si="103"/>
        <v>0</v>
      </c>
      <c r="Z299" s="1">
        <f t="shared" si="104"/>
        <v>1</v>
      </c>
      <c r="AA299" s="1">
        <f t="shared" si="105"/>
        <v>0</v>
      </c>
      <c r="AB299" s="1">
        <f t="shared" si="106"/>
        <v>0</v>
      </c>
      <c r="AD299" s="1">
        <f t="shared" si="107"/>
        <v>0</v>
      </c>
      <c r="AE299" s="1">
        <f t="shared" si="108"/>
        <v>1</v>
      </c>
      <c r="AF299" s="1">
        <f t="shared" si="109"/>
        <v>0</v>
      </c>
      <c r="AG299" s="1">
        <f t="shared" si="110"/>
        <v>1</v>
      </c>
      <c r="AH299" s="1">
        <f t="shared" si="111"/>
        <v>0</v>
      </c>
      <c r="AI299" s="1">
        <f t="shared" si="112"/>
        <v>1</v>
      </c>
    </row>
    <row r="300" spans="1:35" ht="14.25" customHeight="1" x14ac:dyDescent="0.25">
      <c r="A300" s="31">
        <v>0</v>
      </c>
      <c r="B300" s="31">
        <v>2</v>
      </c>
      <c r="C300" s="31">
        <v>1</v>
      </c>
      <c r="D300" s="32" t="s">
        <v>1264</v>
      </c>
      <c r="E300" s="32" t="s">
        <v>555</v>
      </c>
      <c r="F300" s="32" t="s">
        <v>1265</v>
      </c>
      <c r="G300" s="32" t="s">
        <v>229</v>
      </c>
      <c r="H300" s="32" t="s">
        <v>352</v>
      </c>
      <c r="I300" s="31" t="s">
        <v>1266</v>
      </c>
      <c r="J300" s="31">
        <v>7</v>
      </c>
      <c r="K300" s="33" t="s">
        <v>704</v>
      </c>
      <c r="L300" s="33" t="s">
        <v>704</v>
      </c>
      <c r="M300" s="34" t="s">
        <v>705</v>
      </c>
      <c r="N300" s="34" t="s">
        <v>1717</v>
      </c>
      <c r="O300" s="35">
        <v>1</v>
      </c>
      <c r="P300" s="35"/>
      <c r="Q300" s="32"/>
      <c r="S300" s="1">
        <f t="shared" si="97"/>
        <v>0</v>
      </c>
      <c r="T300" s="1">
        <f t="shared" si="98"/>
        <v>0</v>
      </c>
      <c r="U300" s="1">
        <f t="shared" si="99"/>
        <v>0</v>
      </c>
      <c r="V300" s="1">
        <f t="shared" si="100"/>
        <v>0</v>
      </c>
      <c r="W300" s="1">
        <f t="shared" si="101"/>
        <v>0</v>
      </c>
      <c r="X300" s="1">
        <f t="shared" si="102"/>
        <v>0</v>
      </c>
      <c r="Y300" s="1">
        <f t="shared" si="103"/>
        <v>1</v>
      </c>
      <c r="Z300" s="1">
        <f t="shared" si="104"/>
        <v>0</v>
      </c>
      <c r="AA300" s="1">
        <f t="shared" si="105"/>
        <v>0</v>
      </c>
      <c r="AB300" s="1">
        <f t="shared" si="106"/>
        <v>0</v>
      </c>
      <c r="AD300" s="1">
        <f t="shared" si="107"/>
        <v>0</v>
      </c>
      <c r="AE300" s="1">
        <f t="shared" si="108"/>
        <v>1</v>
      </c>
      <c r="AF300" s="1">
        <f t="shared" si="109"/>
        <v>0</v>
      </c>
      <c r="AG300" s="1">
        <f t="shared" si="110"/>
        <v>1</v>
      </c>
      <c r="AH300" s="1">
        <f t="shared" si="111"/>
        <v>0</v>
      </c>
      <c r="AI300" s="1">
        <f t="shared" si="112"/>
        <v>1</v>
      </c>
    </row>
    <row r="301" spans="1:35" ht="14.25" customHeight="1" x14ac:dyDescent="0.25">
      <c r="A301" s="31">
        <v>0</v>
      </c>
      <c r="B301" s="31">
        <v>2</v>
      </c>
      <c r="C301" s="31">
        <v>1</v>
      </c>
      <c r="D301" s="32" t="s">
        <v>1300</v>
      </c>
      <c r="E301" s="32" t="s">
        <v>555</v>
      </c>
      <c r="F301" s="32" t="s">
        <v>1942</v>
      </c>
      <c r="G301" s="32" t="s">
        <v>212</v>
      </c>
      <c r="H301" s="32" t="s">
        <v>352</v>
      </c>
      <c r="I301" s="31" t="s">
        <v>1134</v>
      </c>
      <c r="J301" s="31">
        <v>1</v>
      </c>
      <c r="K301" s="33" t="s">
        <v>935</v>
      </c>
      <c r="L301" s="33" t="s">
        <v>704</v>
      </c>
      <c r="M301" s="34" t="s">
        <v>705</v>
      </c>
      <c r="N301" s="34" t="s">
        <v>1722</v>
      </c>
      <c r="O301" s="35">
        <v>1</v>
      </c>
      <c r="P301" s="35"/>
      <c r="Q301" s="32"/>
      <c r="S301" s="1">
        <f t="shared" si="97"/>
        <v>1</v>
      </c>
      <c r="T301" s="1">
        <f t="shared" si="98"/>
        <v>0</v>
      </c>
      <c r="U301" s="1">
        <f t="shared" si="99"/>
        <v>0</v>
      </c>
      <c r="V301" s="1">
        <f t="shared" si="100"/>
        <v>0</v>
      </c>
      <c r="W301" s="1">
        <f t="shared" si="101"/>
        <v>0</v>
      </c>
      <c r="X301" s="1">
        <f t="shared" si="102"/>
        <v>0</v>
      </c>
      <c r="Y301" s="1">
        <f t="shared" si="103"/>
        <v>0</v>
      </c>
      <c r="Z301" s="1">
        <f t="shared" si="104"/>
        <v>0</v>
      </c>
      <c r="AA301" s="1">
        <f t="shared" si="105"/>
        <v>0</v>
      </c>
      <c r="AB301" s="1">
        <f t="shared" si="106"/>
        <v>0</v>
      </c>
      <c r="AD301" s="1">
        <f t="shared" si="107"/>
        <v>0</v>
      </c>
      <c r="AE301" s="1">
        <f t="shared" si="108"/>
        <v>1</v>
      </c>
      <c r="AF301" s="1">
        <f t="shared" si="109"/>
        <v>0</v>
      </c>
      <c r="AG301" s="1">
        <f t="shared" si="110"/>
        <v>1</v>
      </c>
      <c r="AH301" s="1">
        <f t="shared" si="111"/>
        <v>0</v>
      </c>
      <c r="AI301" s="1">
        <f t="shared" si="112"/>
        <v>1</v>
      </c>
    </row>
    <row r="302" spans="1:35" ht="14.25" customHeight="1" x14ac:dyDescent="0.25">
      <c r="A302" s="31">
        <v>0</v>
      </c>
      <c r="B302" s="31">
        <v>2</v>
      </c>
      <c r="C302" s="31">
        <v>1</v>
      </c>
      <c r="D302" s="32" t="s">
        <v>1301</v>
      </c>
      <c r="E302" s="32" t="s">
        <v>555</v>
      </c>
      <c r="F302" s="32" t="s">
        <v>1129</v>
      </c>
      <c r="G302" s="32" t="s">
        <v>283</v>
      </c>
      <c r="H302" s="32" t="s">
        <v>352</v>
      </c>
      <c r="I302" s="31" t="s">
        <v>1130</v>
      </c>
      <c r="J302" s="31">
        <v>10</v>
      </c>
      <c r="K302" s="33" t="s">
        <v>935</v>
      </c>
      <c r="L302" s="33" t="s">
        <v>704</v>
      </c>
      <c r="M302" s="34" t="s">
        <v>705</v>
      </c>
      <c r="N302" s="34" t="s">
        <v>1722</v>
      </c>
      <c r="O302" s="35">
        <v>1</v>
      </c>
      <c r="P302" s="35"/>
      <c r="Q302" s="32"/>
      <c r="S302" s="1">
        <f t="shared" si="97"/>
        <v>0</v>
      </c>
      <c r="T302" s="1">
        <f t="shared" si="98"/>
        <v>0</v>
      </c>
      <c r="U302" s="1">
        <f t="shared" si="99"/>
        <v>0</v>
      </c>
      <c r="V302" s="1">
        <f t="shared" si="100"/>
        <v>0</v>
      </c>
      <c r="W302" s="1">
        <f t="shared" si="101"/>
        <v>0</v>
      </c>
      <c r="X302" s="1">
        <f t="shared" si="102"/>
        <v>0</v>
      </c>
      <c r="Y302" s="1">
        <f t="shared" si="103"/>
        <v>0</v>
      </c>
      <c r="Z302" s="1">
        <f t="shared" si="104"/>
        <v>0</v>
      </c>
      <c r="AA302" s="1">
        <f t="shared" si="105"/>
        <v>0</v>
      </c>
      <c r="AB302" s="1">
        <f t="shared" si="106"/>
        <v>1</v>
      </c>
      <c r="AD302" s="1">
        <f t="shared" si="107"/>
        <v>0</v>
      </c>
      <c r="AE302" s="1">
        <f t="shared" si="108"/>
        <v>1</v>
      </c>
      <c r="AF302" s="1">
        <f t="shared" si="109"/>
        <v>0</v>
      </c>
      <c r="AG302" s="1">
        <f t="shared" si="110"/>
        <v>1</v>
      </c>
      <c r="AH302" s="1">
        <f t="shared" si="111"/>
        <v>0</v>
      </c>
      <c r="AI302" s="1">
        <f t="shared" si="112"/>
        <v>1</v>
      </c>
    </row>
    <row r="303" spans="1:35" ht="14.25" customHeight="1" x14ac:dyDescent="0.25">
      <c r="A303" s="31">
        <v>0</v>
      </c>
      <c r="B303" s="31">
        <v>2</v>
      </c>
      <c r="C303" s="31">
        <v>1</v>
      </c>
      <c r="D303" s="32" t="s">
        <v>2021</v>
      </c>
      <c r="E303" s="32" t="s">
        <v>36</v>
      </c>
      <c r="F303" s="32" t="s">
        <v>2022</v>
      </c>
      <c r="G303" s="32" t="s">
        <v>1452</v>
      </c>
      <c r="H303" s="32" t="s">
        <v>352</v>
      </c>
      <c r="I303" s="31" t="s">
        <v>2024</v>
      </c>
      <c r="J303" s="31">
        <v>99</v>
      </c>
      <c r="K303" s="33" t="s">
        <v>694</v>
      </c>
      <c r="L303" s="33">
        <v>7</v>
      </c>
      <c r="M303" s="34" t="s">
        <v>2023</v>
      </c>
      <c r="N303" s="34" t="s">
        <v>1699</v>
      </c>
      <c r="O303" s="35">
        <v>1</v>
      </c>
      <c r="P303" s="35">
        <v>1</v>
      </c>
      <c r="Q303" s="32" t="s">
        <v>2025</v>
      </c>
      <c r="S303" s="1">
        <f t="shared" si="97"/>
        <v>0</v>
      </c>
      <c r="T303" s="1">
        <f t="shared" si="98"/>
        <v>0</v>
      </c>
      <c r="U303" s="1">
        <f t="shared" si="99"/>
        <v>0</v>
      </c>
      <c r="V303" s="1">
        <f t="shared" si="100"/>
        <v>0</v>
      </c>
      <c r="W303" s="1">
        <f t="shared" si="101"/>
        <v>0</v>
      </c>
      <c r="X303" s="1">
        <f t="shared" si="102"/>
        <v>0</v>
      </c>
      <c r="Y303" s="1">
        <f t="shared" si="103"/>
        <v>0</v>
      </c>
      <c r="Z303" s="1">
        <f t="shared" si="104"/>
        <v>0</v>
      </c>
      <c r="AA303" s="1">
        <f t="shared" si="105"/>
        <v>0</v>
      </c>
      <c r="AB303" s="1">
        <f t="shared" si="106"/>
        <v>0</v>
      </c>
      <c r="AD303" s="1">
        <f t="shared" si="107"/>
        <v>1</v>
      </c>
      <c r="AE303" s="1">
        <f t="shared" si="108"/>
        <v>0</v>
      </c>
      <c r="AF303" s="1">
        <f t="shared" si="109"/>
        <v>1</v>
      </c>
      <c r="AG303" s="1">
        <f t="shared" si="110"/>
        <v>0</v>
      </c>
      <c r="AH303" s="1">
        <f t="shared" si="111"/>
        <v>1</v>
      </c>
      <c r="AI303" s="1">
        <f t="shared" si="112"/>
        <v>0</v>
      </c>
    </row>
    <row r="304" spans="1:35" ht="14.25" customHeight="1" x14ac:dyDescent="0.25">
      <c r="A304" s="15">
        <v>0</v>
      </c>
      <c r="B304" s="15">
        <v>2</v>
      </c>
      <c r="C304" s="15">
        <v>1</v>
      </c>
      <c r="D304" s="16" t="s">
        <v>508</v>
      </c>
      <c r="E304" s="16" t="s">
        <v>34</v>
      </c>
      <c r="F304" s="16" t="s">
        <v>507</v>
      </c>
      <c r="G304" s="16" t="s">
        <v>542</v>
      </c>
      <c r="H304" s="16" t="s">
        <v>352</v>
      </c>
      <c r="I304" s="15" t="s">
        <v>1336</v>
      </c>
      <c r="J304" s="15">
        <v>99</v>
      </c>
      <c r="K304" s="10" t="s">
        <v>936</v>
      </c>
      <c r="L304" s="10" t="s">
        <v>704</v>
      </c>
      <c r="M304" s="19" t="s">
        <v>705</v>
      </c>
      <c r="N304" s="19"/>
      <c r="Q304" s="20" t="s">
        <v>1965</v>
      </c>
      <c r="S304" s="1">
        <f t="shared" si="97"/>
        <v>0</v>
      </c>
      <c r="T304" s="1">
        <f t="shared" si="98"/>
        <v>0</v>
      </c>
      <c r="U304" s="1">
        <f t="shared" si="99"/>
        <v>0</v>
      </c>
      <c r="V304" s="1">
        <f t="shared" si="100"/>
        <v>0</v>
      </c>
      <c r="W304" s="1">
        <f t="shared" si="101"/>
        <v>0</v>
      </c>
      <c r="X304" s="1">
        <f t="shared" si="102"/>
        <v>0</v>
      </c>
      <c r="Y304" s="1">
        <f t="shared" si="103"/>
        <v>0</v>
      </c>
      <c r="Z304" s="1">
        <f t="shared" si="104"/>
        <v>0</v>
      </c>
      <c r="AA304" s="1">
        <f t="shared" si="105"/>
        <v>0</v>
      </c>
      <c r="AB304" s="1">
        <f t="shared" si="106"/>
        <v>0</v>
      </c>
      <c r="AD304" s="1">
        <f t="shared" si="107"/>
        <v>0</v>
      </c>
      <c r="AE304" s="1">
        <f t="shared" si="108"/>
        <v>0</v>
      </c>
      <c r="AF304" s="1">
        <f t="shared" si="109"/>
        <v>0</v>
      </c>
      <c r="AG304" s="1">
        <f t="shared" si="110"/>
        <v>0</v>
      </c>
      <c r="AH304" s="1">
        <f t="shared" si="111"/>
        <v>0</v>
      </c>
      <c r="AI304" s="1">
        <f t="shared" si="112"/>
        <v>1</v>
      </c>
    </row>
    <row r="305" spans="1:35" ht="14.25" customHeight="1" x14ac:dyDescent="0.25">
      <c r="A305" s="31">
        <v>0</v>
      </c>
      <c r="B305" s="31">
        <v>2</v>
      </c>
      <c r="C305" s="31">
        <v>1</v>
      </c>
      <c r="D305" s="32" t="s">
        <v>1023</v>
      </c>
      <c r="E305" s="32" t="s">
        <v>36</v>
      </c>
      <c r="F305" s="32" t="s">
        <v>1626</v>
      </c>
      <c r="G305" s="32" t="s">
        <v>620</v>
      </c>
      <c r="H305" s="32" t="s">
        <v>352</v>
      </c>
      <c r="I305" s="31" t="s">
        <v>1024</v>
      </c>
      <c r="J305" s="31">
        <v>99</v>
      </c>
      <c r="K305" s="33" t="s">
        <v>940</v>
      </c>
      <c r="L305" s="33" t="s">
        <v>704</v>
      </c>
      <c r="M305" s="34" t="s">
        <v>705</v>
      </c>
      <c r="N305" s="34" t="s">
        <v>1699</v>
      </c>
      <c r="O305" s="35">
        <v>1</v>
      </c>
      <c r="P305" s="35">
        <v>1</v>
      </c>
      <c r="Q305" s="32" t="s">
        <v>1858</v>
      </c>
      <c r="S305" s="1">
        <f t="shared" si="97"/>
        <v>0</v>
      </c>
      <c r="T305" s="1">
        <f t="shared" si="98"/>
        <v>0</v>
      </c>
      <c r="U305" s="1">
        <f t="shared" si="99"/>
        <v>0</v>
      </c>
      <c r="V305" s="1">
        <f t="shared" si="100"/>
        <v>0</v>
      </c>
      <c r="W305" s="1">
        <f t="shared" si="101"/>
        <v>0</v>
      </c>
      <c r="X305" s="1">
        <f t="shared" si="102"/>
        <v>0</v>
      </c>
      <c r="Y305" s="1">
        <f t="shared" si="103"/>
        <v>0</v>
      </c>
      <c r="Z305" s="1">
        <f t="shared" si="104"/>
        <v>0</v>
      </c>
      <c r="AA305" s="1">
        <f t="shared" si="105"/>
        <v>0</v>
      </c>
      <c r="AB305" s="1">
        <f t="shared" si="106"/>
        <v>0</v>
      </c>
      <c r="AD305" s="1">
        <f t="shared" si="107"/>
        <v>1</v>
      </c>
      <c r="AE305" s="1">
        <f t="shared" si="108"/>
        <v>0</v>
      </c>
      <c r="AF305" s="1">
        <f t="shared" si="109"/>
        <v>1</v>
      </c>
      <c r="AG305" s="1">
        <f t="shared" si="110"/>
        <v>0</v>
      </c>
      <c r="AH305" s="1">
        <f t="shared" si="111"/>
        <v>1</v>
      </c>
      <c r="AI305" s="1">
        <f t="shared" si="112"/>
        <v>0</v>
      </c>
    </row>
    <row r="306" spans="1:35" ht="14.25" customHeight="1" x14ac:dyDescent="0.25">
      <c r="A306" s="31">
        <v>1</v>
      </c>
      <c r="B306" s="31">
        <v>2</v>
      </c>
      <c r="C306" s="31">
        <v>1</v>
      </c>
      <c r="D306" s="32" t="s">
        <v>49</v>
      </c>
      <c r="E306" s="32" t="s">
        <v>1288</v>
      </c>
      <c r="F306" s="32" t="s">
        <v>190</v>
      </c>
      <c r="G306" s="32" t="s">
        <v>191</v>
      </c>
      <c r="H306" s="32" t="s">
        <v>352</v>
      </c>
      <c r="I306" s="31" t="s">
        <v>384</v>
      </c>
      <c r="J306" s="31">
        <v>99</v>
      </c>
      <c r="K306" s="33" t="s">
        <v>703</v>
      </c>
      <c r="L306" s="33" t="s">
        <v>704</v>
      </c>
      <c r="M306" s="34" t="s">
        <v>705</v>
      </c>
      <c r="N306" s="34" t="s">
        <v>1717</v>
      </c>
      <c r="O306" s="35">
        <v>1</v>
      </c>
      <c r="P306" s="35"/>
      <c r="Q306" s="32"/>
      <c r="S306" s="1">
        <f t="shared" si="97"/>
        <v>0</v>
      </c>
      <c r="T306" s="1">
        <f t="shared" si="98"/>
        <v>0</v>
      </c>
      <c r="U306" s="1">
        <f t="shared" si="99"/>
        <v>0</v>
      </c>
      <c r="V306" s="1">
        <f t="shared" si="100"/>
        <v>0</v>
      </c>
      <c r="W306" s="1">
        <f t="shared" si="101"/>
        <v>0</v>
      </c>
      <c r="X306" s="1">
        <f t="shared" si="102"/>
        <v>0</v>
      </c>
      <c r="Y306" s="1">
        <f t="shared" si="103"/>
        <v>0</v>
      </c>
      <c r="Z306" s="1">
        <f t="shared" si="104"/>
        <v>0</v>
      </c>
      <c r="AA306" s="1">
        <f t="shared" si="105"/>
        <v>0</v>
      </c>
      <c r="AB306" s="1">
        <f t="shared" si="106"/>
        <v>0</v>
      </c>
      <c r="AD306" s="1">
        <f t="shared" si="107"/>
        <v>0</v>
      </c>
      <c r="AE306" s="1">
        <f t="shared" si="108"/>
        <v>1</v>
      </c>
      <c r="AF306" s="1">
        <f t="shared" si="109"/>
        <v>0</v>
      </c>
      <c r="AG306" s="1">
        <f t="shared" si="110"/>
        <v>0</v>
      </c>
      <c r="AH306" s="1">
        <f t="shared" si="111"/>
        <v>0</v>
      </c>
      <c r="AI306" s="1">
        <f t="shared" si="112"/>
        <v>0</v>
      </c>
    </row>
    <row r="307" spans="1:35" ht="14.25" customHeight="1" x14ac:dyDescent="0.25">
      <c r="A307" s="31">
        <v>0</v>
      </c>
      <c r="B307" s="31">
        <v>2</v>
      </c>
      <c r="C307" s="31">
        <v>1</v>
      </c>
      <c r="D307" s="32" t="s">
        <v>1055</v>
      </c>
      <c r="E307" s="32" t="s">
        <v>1288</v>
      </c>
      <c r="F307" s="32" t="s">
        <v>1070</v>
      </c>
      <c r="G307" s="32" t="s">
        <v>201</v>
      </c>
      <c r="H307" s="32" t="s">
        <v>352</v>
      </c>
      <c r="I307" s="31" t="s">
        <v>384</v>
      </c>
      <c r="J307" s="31">
        <v>10</v>
      </c>
      <c r="K307" s="33" t="s">
        <v>703</v>
      </c>
      <c r="L307" s="33" t="s">
        <v>704</v>
      </c>
      <c r="M307" s="34" t="s">
        <v>705</v>
      </c>
      <c r="N307" s="34" t="s">
        <v>1717</v>
      </c>
      <c r="O307" s="35">
        <v>1</v>
      </c>
      <c r="P307" s="35"/>
      <c r="Q307" s="32"/>
      <c r="S307" s="1">
        <f t="shared" si="97"/>
        <v>0</v>
      </c>
      <c r="T307" s="1">
        <f t="shared" si="98"/>
        <v>0</v>
      </c>
      <c r="U307" s="1">
        <f t="shared" si="99"/>
        <v>0</v>
      </c>
      <c r="V307" s="1">
        <f t="shared" si="100"/>
        <v>0</v>
      </c>
      <c r="W307" s="1">
        <f t="shared" si="101"/>
        <v>0</v>
      </c>
      <c r="X307" s="1">
        <f t="shared" si="102"/>
        <v>0</v>
      </c>
      <c r="Y307" s="1">
        <f t="shared" si="103"/>
        <v>0</v>
      </c>
      <c r="Z307" s="1">
        <f t="shared" si="104"/>
        <v>0</v>
      </c>
      <c r="AA307" s="1">
        <f t="shared" si="105"/>
        <v>0</v>
      </c>
      <c r="AB307" s="1">
        <f t="shared" si="106"/>
        <v>1</v>
      </c>
      <c r="AD307" s="1">
        <f t="shared" si="107"/>
        <v>0</v>
      </c>
      <c r="AE307" s="1">
        <f t="shared" si="108"/>
        <v>1</v>
      </c>
      <c r="AF307" s="1">
        <f t="shared" si="109"/>
        <v>0</v>
      </c>
      <c r="AG307" s="1">
        <f t="shared" si="110"/>
        <v>1</v>
      </c>
      <c r="AH307" s="1">
        <f t="shared" si="111"/>
        <v>0</v>
      </c>
      <c r="AI307" s="1">
        <f t="shared" si="112"/>
        <v>1</v>
      </c>
    </row>
    <row r="308" spans="1:35" ht="14.25" customHeight="1" x14ac:dyDescent="0.25">
      <c r="A308" s="31">
        <v>0</v>
      </c>
      <c r="B308" s="31">
        <v>2</v>
      </c>
      <c r="C308" s="31">
        <v>1</v>
      </c>
      <c r="D308" s="32" t="s">
        <v>1247</v>
      </c>
      <c r="E308" s="32" t="s">
        <v>555</v>
      </c>
      <c r="F308" s="32" t="s">
        <v>1248</v>
      </c>
      <c r="G308" s="32" t="s">
        <v>257</v>
      </c>
      <c r="H308" s="32" t="s">
        <v>352</v>
      </c>
      <c r="I308" s="31" t="s">
        <v>1249</v>
      </c>
      <c r="J308" s="31">
        <v>8</v>
      </c>
      <c r="K308" s="33" t="s">
        <v>935</v>
      </c>
      <c r="L308" s="33" t="s">
        <v>704</v>
      </c>
      <c r="M308" s="34" t="s">
        <v>705</v>
      </c>
      <c r="N308" s="34" t="s">
        <v>1709</v>
      </c>
      <c r="O308" s="35">
        <v>1</v>
      </c>
      <c r="P308" s="35"/>
      <c r="Q308" s="32"/>
      <c r="S308" s="1">
        <f t="shared" si="97"/>
        <v>0</v>
      </c>
      <c r="T308" s="1">
        <f t="shared" si="98"/>
        <v>0</v>
      </c>
      <c r="U308" s="1">
        <f t="shared" si="99"/>
        <v>0</v>
      </c>
      <c r="V308" s="1">
        <f t="shared" si="100"/>
        <v>0</v>
      </c>
      <c r="W308" s="1">
        <f t="shared" si="101"/>
        <v>0</v>
      </c>
      <c r="X308" s="1">
        <f t="shared" si="102"/>
        <v>0</v>
      </c>
      <c r="Y308" s="1">
        <f t="shared" si="103"/>
        <v>0</v>
      </c>
      <c r="Z308" s="1">
        <f t="shared" si="104"/>
        <v>1</v>
      </c>
      <c r="AA308" s="1">
        <f t="shared" si="105"/>
        <v>0</v>
      </c>
      <c r="AB308" s="1">
        <f t="shared" si="106"/>
        <v>0</v>
      </c>
      <c r="AD308" s="1">
        <f t="shared" si="107"/>
        <v>0</v>
      </c>
      <c r="AE308" s="1">
        <f t="shared" si="108"/>
        <v>1</v>
      </c>
      <c r="AF308" s="1">
        <f t="shared" si="109"/>
        <v>0</v>
      </c>
      <c r="AG308" s="1">
        <f t="shared" si="110"/>
        <v>1</v>
      </c>
      <c r="AH308" s="1">
        <f t="shared" si="111"/>
        <v>0</v>
      </c>
      <c r="AI308" s="1">
        <f t="shared" si="112"/>
        <v>1</v>
      </c>
    </row>
    <row r="309" spans="1:35" ht="14.25" customHeight="1" x14ac:dyDescent="0.25">
      <c r="A309" s="15">
        <v>0</v>
      </c>
      <c r="B309" s="15">
        <v>2</v>
      </c>
      <c r="C309" s="15">
        <v>1</v>
      </c>
      <c r="D309" s="16" t="s">
        <v>48</v>
      </c>
      <c r="E309" s="16" t="s">
        <v>571</v>
      </c>
      <c r="F309" s="16" t="s">
        <v>188</v>
      </c>
      <c r="G309" s="16" t="s">
        <v>298</v>
      </c>
      <c r="H309" s="16" t="s">
        <v>352</v>
      </c>
      <c r="I309" s="15" t="s">
        <v>383</v>
      </c>
      <c r="J309" s="15">
        <v>99</v>
      </c>
      <c r="K309" s="10" t="s">
        <v>704</v>
      </c>
      <c r="L309" s="10" t="s">
        <v>704</v>
      </c>
      <c r="M309" s="19" t="s">
        <v>705</v>
      </c>
      <c r="N309" s="19"/>
      <c r="Q309" s="16"/>
      <c r="S309" s="1">
        <f t="shared" si="97"/>
        <v>0</v>
      </c>
      <c r="T309" s="1">
        <f t="shared" si="98"/>
        <v>0</v>
      </c>
      <c r="U309" s="1">
        <f t="shared" si="99"/>
        <v>0</v>
      </c>
      <c r="V309" s="1">
        <f t="shared" si="100"/>
        <v>0</v>
      </c>
      <c r="W309" s="1">
        <f t="shared" si="101"/>
        <v>0</v>
      </c>
      <c r="X309" s="1">
        <f t="shared" si="102"/>
        <v>0</v>
      </c>
      <c r="Y309" s="1">
        <f t="shared" si="103"/>
        <v>0</v>
      </c>
      <c r="Z309" s="1">
        <f t="shared" si="104"/>
        <v>0</v>
      </c>
      <c r="AA309" s="1">
        <f t="shared" si="105"/>
        <v>0</v>
      </c>
      <c r="AB309" s="1">
        <f t="shared" si="106"/>
        <v>0</v>
      </c>
      <c r="AD309" s="1">
        <f t="shared" si="107"/>
        <v>0</v>
      </c>
      <c r="AE309" s="1">
        <f t="shared" si="108"/>
        <v>0</v>
      </c>
      <c r="AF309" s="1">
        <f t="shared" si="109"/>
        <v>0</v>
      </c>
      <c r="AG309" s="1">
        <f t="shared" si="110"/>
        <v>0</v>
      </c>
      <c r="AH309" s="1">
        <f t="shared" si="111"/>
        <v>0</v>
      </c>
      <c r="AI309" s="1">
        <f t="shared" si="112"/>
        <v>1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57</v>
      </c>
      <c r="E310" s="32" t="s">
        <v>161</v>
      </c>
      <c r="F310" s="32" t="s">
        <v>658</v>
      </c>
      <c r="G310" s="32" t="s">
        <v>220</v>
      </c>
      <c r="H310" s="32" t="s">
        <v>352</v>
      </c>
      <c r="I310" s="31" t="s">
        <v>394</v>
      </c>
      <c r="J310" s="31">
        <v>99</v>
      </c>
      <c r="K310" s="33" t="s">
        <v>942</v>
      </c>
      <c r="L310" s="33" t="s">
        <v>704</v>
      </c>
      <c r="M310" s="34" t="s">
        <v>705</v>
      </c>
      <c r="N310" s="34" t="s">
        <v>1705</v>
      </c>
      <c r="O310" s="35">
        <v>1</v>
      </c>
      <c r="P310" s="35"/>
      <c r="Q310" s="32"/>
      <c r="S310" s="1">
        <f t="shared" si="97"/>
        <v>0</v>
      </c>
      <c r="T310" s="1">
        <f t="shared" si="98"/>
        <v>0</v>
      </c>
      <c r="U310" s="1">
        <f t="shared" si="99"/>
        <v>0</v>
      </c>
      <c r="V310" s="1">
        <f t="shared" si="100"/>
        <v>0</v>
      </c>
      <c r="W310" s="1">
        <f t="shared" si="101"/>
        <v>0</v>
      </c>
      <c r="X310" s="1">
        <f t="shared" si="102"/>
        <v>0</v>
      </c>
      <c r="Y310" s="1">
        <f t="shared" si="103"/>
        <v>0</v>
      </c>
      <c r="Z310" s="1">
        <f t="shared" si="104"/>
        <v>0</v>
      </c>
      <c r="AA310" s="1">
        <f t="shared" si="105"/>
        <v>0</v>
      </c>
      <c r="AB310" s="1">
        <f t="shared" si="106"/>
        <v>0</v>
      </c>
      <c r="AD310" s="1">
        <f t="shared" si="107"/>
        <v>0</v>
      </c>
      <c r="AE310" s="1">
        <f t="shared" si="108"/>
        <v>1</v>
      </c>
      <c r="AF310" s="1">
        <f t="shared" si="109"/>
        <v>0</v>
      </c>
      <c r="AG310" s="1">
        <f t="shared" si="110"/>
        <v>1</v>
      </c>
      <c r="AH310" s="1">
        <f t="shared" si="111"/>
        <v>0</v>
      </c>
      <c r="AI310" s="1">
        <f t="shared" si="112"/>
        <v>1</v>
      </c>
    </row>
    <row r="311" spans="1:35" ht="14.25" customHeight="1" x14ac:dyDescent="0.25">
      <c r="A311" s="31">
        <v>0</v>
      </c>
      <c r="B311" s="31">
        <v>2</v>
      </c>
      <c r="C311" s="31">
        <v>1</v>
      </c>
      <c r="D311" s="32" t="s">
        <v>511</v>
      </c>
      <c r="E311" s="32" t="s">
        <v>555</v>
      </c>
      <c r="F311" s="32" t="s">
        <v>228</v>
      </c>
      <c r="G311" s="32" t="s">
        <v>229</v>
      </c>
      <c r="H311" s="32" t="s">
        <v>352</v>
      </c>
      <c r="I311" s="31" t="s">
        <v>398</v>
      </c>
      <c r="J311" s="31">
        <v>7</v>
      </c>
      <c r="K311" s="33" t="s">
        <v>935</v>
      </c>
      <c r="L311" s="33" t="s">
        <v>704</v>
      </c>
      <c r="M311" s="34" t="s">
        <v>705</v>
      </c>
      <c r="N311" s="34" t="s">
        <v>1710</v>
      </c>
      <c r="O311" s="35">
        <v>1</v>
      </c>
      <c r="P311" s="35"/>
      <c r="Q311" s="32"/>
      <c r="S311" s="1">
        <f t="shared" si="97"/>
        <v>0</v>
      </c>
      <c r="T311" s="1">
        <f t="shared" si="98"/>
        <v>0</v>
      </c>
      <c r="U311" s="1">
        <f t="shared" si="99"/>
        <v>0</v>
      </c>
      <c r="V311" s="1">
        <f t="shared" si="100"/>
        <v>0</v>
      </c>
      <c r="W311" s="1">
        <f t="shared" si="101"/>
        <v>0</v>
      </c>
      <c r="X311" s="1">
        <f t="shared" si="102"/>
        <v>0</v>
      </c>
      <c r="Y311" s="1">
        <f t="shared" si="103"/>
        <v>1</v>
      </c>
      <c r="Z311" s="1">
        <f t="shared" si="104"/>
        <v>0</v>
      </c>
      <c r="AA311" s="1">
        <f t="shared" si="105"/>
        <v>0</v>
      </c>
      <c r="AB311" s="1">
        <f t="shared" si="106"/>
        <v>0</v>
      </c>
      <c r="AD311" s="1">
        <f t="shared" si="107"/>
        <v>0</v>
      </c>
      <c r="AE311" s="1">
        <f t="shared" si="108"/>
        <v>1</v>
      </c>
      <c r="AF311" s="1">
        <f t="shared" si="109"/>
        <v>0</v>
      </c>
      <c r="AG311" s="1">
        <f t="shared" si="110"/>
        <v>1</v>
      </c>
      <c r="AH311" s="1">
        <f t="shared" si="111"/>
        <v>0</v>
      </c>
      <c r="AI311" s="1">
        <f t="shared" si="112"/>
        <v>1</v>
      </c>
    </row>
    <row r="312" spans="1:35" ht="14.25" customHeight="1" x14ac:dyDescent="0.25">
      <c r="A312" s="31">
        <v>0</v>
      </c>
      <c r="B312" s="31">
        <v>2</v>
      </c>
      <c r="C312" s="31">
        <v>1</v>
      </c>
      <c r="D312" s="32" t="s">
        <v>554</v>
      </c>
      <c r="E312" s="32" t="s">
        <v>555</v>
      </c>
      <c r="F312" s="32" t="s">
        <v>556</v>
      </c>
      <c r="G312" s="32" t="s">
        <v>207</v>
      </c>
      <c r="H312" s="32" t="s">
        <v>352</v>
      </c>
      <c r="I312" s="31" t="s">
        <v>557</v>
      </c>
      <c r="J312" s="31">
        <v>3</v>
      </c>
      <c r="K312" s="33" t="s">
        <v>703</v>
      </c>
      <c r="L312" s="33" t="s">
        <v>704</v>
      </c>
      <c r="M312" s="34" t="s">
        <v>705</v>
      </c>
      <c r="N312" s="34" t="s">
        <v>1699</v>
      </c>
      <c r="O312" s="35">
        <v>1</v>
      </c>
      <c r="P312" s="35">
        <v>1</v>
      </c>
      <c r="Q312" s="32"/>
      <c r="S312" s="1">
        <f t="shared" si="97"/>
        <v>0</v>
      </c>
      <c r="T312" s="1">
        <f t="shared" si="98"/>
        <v>0</v>
      </c>
      <c r="U312" s="1">
        <f t="shared" si="99"/>
        <v>1</v>
      </c>
      <c r="V312" s="1">
        <f t="shared" si="100"/>
        <v>0</v>
      </c>
      <c r="W312" s="1">
        <f t="shared" si="101"/>
        <v>0</v>
      </c>
      <c r="X312" s="1">
        <f t="shared" si="102"/>
        <v>0</v>
      </c>
      <c r="Y312" s="1">
        <f t="shared" si="103"/>
        <v>0</v>
      </c>
      <c r="Z312" s="1">
        <f t="shared" si="104"/>
        <v>0</v>
      </c>
      <c r="AA312" s="1">
        <f t="shared" si="105"/>
        <v>0</v>
      </c>
      <c r="AB312" s="1">
        <f t="shared" si="106"/>
        <v>0</v>
      </c>
      <c r="AD312" s="1">
        <f t="shared" si="107"/>
        <v>1</v>
      </c>
      <c r="AE312" s="1">
        <f t="shared" si="108"/>
        <v>0</v>
      </c>
      <c r="AF312" s="1">
        <f t="shared" si="109"/>
        <v>1</v>
      </c>
      <c r="AG312" s="1">
        <f t="shared" si="110"/>
        <v>0</v>
      </c>
      <c r="AH312" s="1">
        <f t="shared" si="111"/>
        <v>1</v>
      </c>
      <c r="AI312" s="1">
        <f t="shared" si="112"/>
        <v>0</v>
      </c>
    </row>
    <row r="313" spans="1:35" ht="14.25" customHeight="1" x14ac:dyDescent="0.25">
      <c r="A313" s="37">
        <v>0</v>
      </c>
      <c r="B313" s="37">
        <v>2</v>
      </c>
      <c r="C313" s="37">
        <v>1</v>
      </c>
      <c r="D313" s="36" t="s">
        <v>1034</v>
      </c>
      <c r="E313" s="36" t="s">
        <v>32</v>
      </c>
      <c r="F313" s="36" t="s">
        <v>1251</v>
      </c>
      <c r="G313" s="36" t="s">
        <v>531</v>
      </c>
      <c r="H313" s="36" t="s">
        <v>352</v>
      </c>
      <c r="I313" s="37" t="s">
        <v>1252</v>
      </c>
      <c r="J313" s="37">
        <v>6</v>
      </c>
      <c r="K313" s="50" t="s">
        <v>704</v>
      </c>
      <c r="L313" s="33" t="s">
        <v>704</v>
      </c>
      <c r="M313" s="34" t="s">
        <v>705</v>
      </c>
      <c r="N313" s="34" t="s">
        <v>1709</v>
      </c>
      <c r="O313" s="35">
        <v>1</v>
      </c>
      <c r="P313" s="35"/>
      <c r="Q313" s="36"/>
      <c r="S313" s="1">
        <f t="shared" si="97"/>
        <v>0</v>
      </c>
      <c r="T313" s="1">
        <f t="shared" si="98"/>
        <v>0</v>
      </c>
      <c r="U313" s="1">
        <f t="shared" si="99"/>
        <v>0</v>
      </c>
      <c r="V313" s="1">
        <f t="shared" si="100"/>
        <v>0</v>
      </c>
      <c r="W313" s="1">
        <f t="shared" si="101"/>
        <v>0</v>
      </c>
      <c r="X313" s="1">
        <f t="shared" si="102"/>
        <v>1</v>
      </c>
      <c r="Y313" s="1">
        <f t="shared" si="103"/>
        <v>0</v>
      </c>
      <c r="Z313" s="1">
        <f t="shared" si="104"/>
        <v>0</v>
      </c>
      <c r="AA313" s="1">
        <f t="shared" si="105"/>
        <v>0</v>
      </c>
      <c r="AB313" s="1">
        <f t="shared" si="106"/>
        <v>0</v>
      </c>
      <c r="AD313" s="1">
        <f t="shared" si="107"/>
        <v>0</v>
      </c>
      <c r="AE313" s="1">
        <f t="shared" si="108"/>
        <v>1</v>
      </c>
      <c r="AF313" s="1">
        <f t="shared" si="109"/>
        <v>0</v>
      </c>
      <c r="AG313" s="1">
        <f t="shared" si="110"/>
        <v>1</v>
      </c>
      <c r="AH313" s="1">
        <f t="shared" si="111"/>
        <v>0</v>
      </c>
      <c r="AI313" s="1">
        <f t="shared" si="112"/>
        <v>1</v>
      </c>
    </row>
    <row r="314" spans="1:35" ht="14.25" customHeight="1" x14ac:dyDescent="0.25">
      <c r="A314" s="44">
        <v>0</v>
      </c>
      <c r="B314" s="44">
        <v>2</v>
      </c>
      <c r="C314" s="44">
        <v>1</v>
      </c>
      <c r="D314" s="57" t="s">
        <v>900</v>
      </c>
      <c r="E314" s="45" t="s">
        <v>1307</v>
      </c>
      <c r="F314" s="45" t="s">
        <v>774</v>
      </c>
      <c r="G314" s="45" t="s">
        <v>256</v>
      </c>
      <c r="H314" s="45" t="s">
        <v>352</v>
      </c>
      <c r="I314" s="44" t="s">
        <v>926</v>
      </c>
      <c r="J314" s="44">
        <v>99</v>
      </c>
      <c r="K314" s="46" t="s">
        <v>703</v>
      </c>
      <c r="L314" s="46" t="s">
        <v>704</v>
      </c>
      <c r="M314" s="47" t="s">
        <v>705</v>
      </c>
      <c r="N314" s="47" t="s">
        <v>1700</v>
      </c>
      <c r="O314" s="48"/>
      <c r="P314" s="48"/>
      <c r="Q314" s="45"/>
      <c r="S314" s="1">
        <f t="shared" si="97"/>
        <v>0</v>
      </c>
      <c r="T314" s="1">
        <f t="shared" si="98"/>
        <v>0</v>
      </c>
      <c r="U314" s="1">
        <f t="shared" si="99"/>
        <v>0</v>
      </c>
      <c r="V314" s="1">
        <f t="shared" si="100"/>
        <v>0</v>
      </c>
      <c r="W314" s="1">
        <f t="shared" si="101"/>
        <v>0</v>
      </c>
      <c r="X314" s="1">
        <f t="shared" si="102"/>
        <v>0</v>
      </c>
      <c r="Y314" s="1">
        <f t="shared" si="103"/>
        <v>0</v>
      </c>
      <c r="Z314" s="1">
        <f t="shared" si="104"/>
        <v>0</v>
      </c>
      <c r="AA314" s="1">
        <f t="shared" si="105"/>
        <v>0</v>
      </c>
      <c r="AB314" s="1">
        <f t="shared" si="106"/>
        <v>0</v>
      </c>
      <c r="AD314" s="1">
        <f t="shared" si="107"/>
        <v>0</v>
      </c>
      <c r="AE314" s="1">
        <f t="shared" si="108"/>
        <v>0</v>
      </c>
      <c r="AF314" s="1">
        <f t="shared" si="109"/>
        <v>0</v>
      </c>
      <c r="AG314" s="1">
        <f t="shared" si="110"/>
        <v>0</v>
      </c>
      <c r="AH314" s="1">
        <f t="shared" si="111"/>
        <v>0</v>
      </c>
      <c r="AI314" s="1">
        <f t="shared" si="112"/>
        <v>1</v>
      </c>
    </row>
    <row r="315" spans="1:35" ht="14.25" customHeight="1" x14ac:dyDescent="0.25">
      <c r="A315" s="37">
        <v>0</v>
      </c>
      <c r="B315" s="37">
        <v>2</v>
      </c>
      <c r="C315" s="37">
        <v>1</v>
      </c>
      <c r="D315" s="36" t="s">
        <v>1732</v>
      </c>
      <c r="E315" s="36" t="s">
        <v>1733</v>
      </c>
      <c r="F315" s="36" t="s">
        <v>1734</v>
      </c>
      <c r="G315" s="36" t="s">
        <v>179</v>
      </c>
      <c r="H315" s="36" t="s">
        <v>352</v>
      </c>
      <c r="I315" s="37" t="s">
        <v>1735</v>
      </c>
      <c r="J315" s="37"/>
      <c r="K315" s="50" t="s">
        <v>694</v>
      </c>
      <c r="L315" s="33">
        <v>4</v>
      </c>
      <c r="M315" s="34" t="s">
        <v>705</v>
      </c>
      <c r="N315" s="34" t="s">
        <v>1705</v>
      </c>
      <c r="O315" s="35">
        <v>1</v>
      </c>
      <c r="P315" s="35"/>
      <c r="Q315" s="36"/>
      <c r="S315" s="1">
        <f t="shared" si="97"/>
        <v>0</v>
      </c>
      <c r="T315" s="1">
        <f t="shared" si="98"/>
        <v>0</v>
      </c>
      <c r="U315" s="1">
        <f t="shared" si="99"/>
        <v>0</v>
      </c>
      <c r="V315" s="1">
        <f t="shared" si="100"/>
        <v>0</v>
      </c>
      <c r="W315" s="1">
        <f t="shared" si="101"/>
        <v>0</v>
      </c>
      <c r="X315" s="1">
        <f t="shared" si="102"/>
        <v>0</v>
      </c>
      <c r="Y315" s="1">
        <f t="shared" si="103"/>
        <v>0</v>
      </c>
      <c r="Z315" s="1">
        <f t="shared" si="104"/>
        <v>0</v>
      </c>
      <c r="AA315" s="1">
        <f t="shared" si="105"/>
        <v>0</v>
      </c>
      <c r="AB315" s="1">
        <f t="shared" si="106"/>
        <v>0</v>
      </c>
      <c r="AD315" s="1">
        <f t="shared" si="107"/>
        <v>0</v>
      </c>
      <c r="AE315" s="1">
        <f t="shared" si="108"/>
        <v>1</v>
      </c>
      <c r="AF315" s="1">
        <f t="shared" si="109"/>
        <v>0</v>
      </c>
      <c r="AG315" s="1">
        <f t="shared" si="110"/>
        <v>1</v>
      </c>
      <c r="AH315" s="1">
        <f t="shared" si="111"/>
        <v>0</v>
      </c>
      <c r="AI315" s="1">
        <f t="shared" si="112"/>
        <v>1</v>
      </c>
    </row>
    <row r="316" spans="1:35" ht="14.25" customHeight="1" x14ac:dyDescent="0.25">
      <c r="A316" s="31">
        <v>0</v>
      </c>
      <c r="B316" s="31">
        <v>2</v>
      </c>
      <c r="C316" s="31">
        <v>1</v>
      </c>
      <c r="D316" s="32" t="s">
        <v>611</v>
      </c>
      <c r="E316" s="32" t="s">
        <v>612</v>
      </c>
      <c r="F316" s="32" t="s">
        <v>613</v>
      </c>
      <c r="G316" s="32" t="s">
        <v>614</v>
      </c>
      <c r="H316" s="32" t="s">
        <v>352</v>
      </c>
      <c r="I316" s="31" t="s">
        <v>615</v>
      </c>
      <c r="J316" s="31">
        <v>99</v>
      </c>
      <c r="K316" s="33" t="s">
        <v>703</v>
      </c>
      <c r="L316" s="33" t="s">
        <v>704</v>
      </c>
      <c r="M316" s="34" t="s">
        <v>705</v>
      </c>
      <c r="N316" s="34" t="s">
        <v>1717</v>
      </c>
      <c r="O316" s="35">
        <v>1</v>
      </c>
      <c r="P316" s="35"/>
      <c r="Q316" s="32"/>
      <c r="S316" s="1">
        <f t="shared" si="97"/>
        <v>0</v>
      </c>
      <c r="T316" s="1">
        <f t="shared" si="98"/>
        <v>0</v>
      </c>
      <c r="U316" s="1">
        <f t="shared" si="99"/>
        <v>0</v>
      </c>
      <c r="V316" s="1">
        <f t="shared" si="100"/>
        <v>0</v>
      </c>
      <c r="W316" s="1">
        <f t="shared" si="101"/>
        <v>0</v>
      </c>
      <c r="X316" s="1">
        <f t="shared" si="102"/>
        <v>0</v>
      </c>
      <c r="Y316" s="1">
        <f t="shared" si="103"/>
        <v>0</v>
      </c>
      <c r="Z316" s="1">
        <f t="shared" si="104"/>
        <v>0</v>
      </c>
      <c r="AA316" s="1">
        <f t="shared" si="105"/>
        <v>0</v>
      </c>
      <c r="AB316" s="1">
        <f t="shared" si="106"/>
        <v>0</v>
      </c>
      <c r="AD316" s="1">
        <f t="shared" si="107"/>
        <v>0</v>
      </c>
      <c r="AE316" s="1">
        <f t="shared" si="108"/>
        <v>1</v>
      </c>
      <c r="AF316" s="1">
        <f t="shared" si="109"/>
        <v>0</v>
      </c>
      <c r="AG316" s="1">
        <f t="shared" si="110"/>
        <v>1</v>
      </c>
      <c r="AH316" s="1">
        <f t="shared" si="111"/>
        <v>0</v>
      </c>
      <c r="AI316" s="1">
        <f t="shared" si="112"/>
        <v>1</v>
      </c>
    </row>
    <row r="317" spans="1:35" ht="14.25" customHeight="1" x14ac:dyDescent="0.25">
      <c r="A317" s="31">
        <v>0</v>
      </c>
      <c r="B317" s="31">
        <v>2</v>
      </c>
      <c r="C317" s="31">
        <v>1</v>
      </c>
      <c r="D317" s="32" t="s">
        <v>1061</v>
      </c>
      <c r="E317" s="32" t="s">
        <v>1308</v>
      </c>
      <c r="F317" s="32" t="s">
        <v>1630</v>
      </c>
      <c r="G317" s="32" t="s">
        <v>189</v>
      </c>
      <c r="H317" s="32" t="s">
        <v>352</v>
      </c>
      <c r="I317" s="31" t="s">
        <v>1821</v>
      </c>
      <c r="J317" s="31">
        <v>99</v>
      </c>
      <c r="K317" s="33" t="s">
        <v>703</v>
      </c>
      <c r="L317" s="33" t="s">
        <v>704</v>
      </c>
      <c r="M317" s="34" t="s">
        <v>705</v>
      </c>
      <c r="N317" s="34" t="s">
        <v>1705</v>
      </c>
      <c r="O317" s="35">
        <v>1</v>
      </c>
      <c r="P317" s="35"/>
      <c r="Q317" s="32"/>
      <c r="S317" s="1">
        <f t="shared" si="97"/>
        <v>0</v>
      </c>
      <c r="T317" s="1">
        <f t="shared" si="98"/>
        <v>0</v>
      </c>
      <c r="U317" s="1">
        <f t="shared" si="99"/>
        <v>0</v>
      </c>
      <c r="V317" s="1">
        <f t="shared" si="100"/>
        <v>0</v>
      </c>
      <c r="W317" s="1">
        <f t="shared" si="101"/>
        <v>0</v>
      </c>
      <c r="X317" s="1">
        <f t="shared" si="102"/>
        <v>0</v>
      </c>
      <c r="Y317" s="1">
        <f t="shared" si="103"/>
        <v>0</v>
      </c>
      <c r="Z317" s="1">
        <f t="shared" si="104"/>
        <v>0</v>
      </c>
      <c r="AA317" s="1">
        <f t="shared" si="105"/>
        <v>0</v>
      </c>
      <c r="AB317" s="1">
        <f t="shared" si="106"/>
        <v>0</v>
      </c>
      <c r="AD317" s="1">
        <f t="shared" si="107"/>
        <v>0</v>
      </c>
      <c r="AE317" s="1">
        <f t="shared" si="108"/>
        <v>1</v>
      </c>
      <c r="AF317" s="1">
        <f t="shared" si="109"/>
        <v>0</v>
      </c>
      <c r="AG317" s="1">
        <f t="shared" si="110"/>
        <v>1</v>
      </c>
      <c r="AH317" s="1">
        <f t="shared" si="111"/>
        <v>0</v>
      </c>
      <c r="AI317" s="1">
        <f t="shared" si="112"/>
        <v>1</v>
      </c>
    </row>
    <row r="318" spans="1:35" ht="14.25" customHeight="1" x14ac:dyDescent="0.25">
      <c r="A318" s="15">
        <v>0</v>
      </c>
      <c r="B318" s="15">
        <v>2</v>
      </c>
      <c r="C318" s="15">
        <v>1</v>
      </c>
      <c r="D318" s="16" t="s">
        <v>643</v>
      </c>
      <c r="E318" s="16" t="s">
        <v>36</v>
      </c>
      <c r="F318" s="16" t="s">
        <v>659</v>
      </c>
      <c r="G318" s="16" t="s">
        <v>200</v>
      </c>
      <c r="H318" s="16" t="s">
        <v>352</v>
      </c>
      <c r="I318" s="15" t="s">
        <v>986</v>
      </c>
      <c r="J318" s="15">
        <v>99</v>
      </c>
      <c r="K318" s="10" t="s">
        <v>694</v>
      </c>
      <c r="L318" s="10">
        <v>4</v>
      </c>
      <c r="M318" s="19" t="s">
        <v>705</v>
      </c>
      <c r="N318" s="17"/>
      <c r="Q318" s="16"/>
      <c r="S318" s="1">
        <f t="shared" si="97"/>
        <v>0</v>
      </c>
      <c r="T318" s="1">
        <f t="shared" si="98"/>
        <v>0</v>
      </c>
      <c r="U318" s="1">
        <f t="shared" si="99"/>
        <v>0</v>
      </c>
      <c r="V318" s="1">
        <f t="shared" si="100"/>
        <v>0</v>
      </c>
      <c r="W318" s="1">
        <f t="shared" si="101"/>
        <v>0</v>
      </c>
      <c r="X318" s="1">
        <f t="shared" si="102"/>
        <v>0</v>
      </c>
      <c r="Y318" s="1">
        <f t="shared" si="103"/>
        <v>0</v>
      </c>
      <c r="Z318" s="1">
        <f t="shared" si="104"/>
        <v>0</v>
      </c>
      <c r="AA318" s="1">
        <f t="shared" si="105"/>
        <v>0</v>
      </c>
      <c r="AB318" s="1">
        <f t="shared" si="106"/>
        <v>0</v>
      </c>
      <c r="AD318" s="1">
        <f t="shared" si="107"/>
        <v>0</v>
      </c>
      <c r="AE318" s="1">
        <f t="shared" si="108"/>
        <v>0</v>
      </c>
      <c r="AF318" s="1">
        <f t="shared" si="109"/>
        <v>0</v>
      </c>
      <c r="AG318" s="1">
        <f t="shared" si="110"/>
        <v>0</v>
      </c>
      <c r="AH318" s="1">
        <f t="shared" si="111"/>
        <v>0</v>
      </c>
      <c r="AI318" s="1">
        <f t="shared" si="112"/>
        <v>1</v>
      </c>
    </row>
    <row r="319" spans="1:35" ht="14.25" customHeight="1" x14ac:dyDescent="0.25">
      <c r="A319" s="44">
        <v>0</v>
      </c>
      <c r="B319" s="44">
        <v>2</v>
      </c>
      <c r="C319" s="44">
        <v>1</v>
      </c>
      <c r="D319" s="45" t="s">
        <v>1238</v>
      </c>
      <c r="E319" s="45" t="s">
        <v>1239</v>
      </c>
      <c r="F319" s="45" t="s">
        <v>1240</v>
      </c>
      <c r="G319" s="45" t="s">
        <v>1143</v>
      </c>
      <c r="H319" s="45" t="s">
        <v>352</v>
      </c>
      <c r="I319" s="44" t="s">
        <v>1241</v>
      </c>
      <c r="J319" s="44">
        <v>11</v>
      </c>
      <c r="K319" s="46" t="s">
        <v>694</v>
      </c>
      <c r="L319" s="46">
        <v>6</v>
      </c>
      <c r="M319" s="47" t="s">
        <v>1694</v>
      </c>
      <c r="N319" s="47" t="s">
        <v>1769</v>
      </c>
      <c r="O319" s="48"/>
      <c r="P319" s="48"/>
      <c r="Q319" s="45"/>
      <c r="S319" s="1">
        <f t="shared" si="97"/>
        <v>0</v>
      </c>
      <c r="T319" s="1">
        <f t="shared" si="98"/>
        <v>0</v>
      </c>
      <c r="U319" s="1">
        <f t="shared" si="99"/>
        <v>0</v>
      </c>
      <c r="V319" s="1">
        <f t="shared" si="100"/>
        <v>0</v>
      </c>
      <c r="W319" s="1">
        <f t="shared" si="101"/>
        <v>0</v>
      </c>
      <c r="X319" s="1">
        <f t="shared" si="102"/>
        <v>0</v>
      </c>
      <c r="Y319" s="1">
        <f t="shared" si="103"/>
        <v>0</v>
      </c>
      <c r="Z319" s="1">
        <f t="shared" si="104"/>
        <v>0</v>
      </c>
      <c r="AA319" s="1">
        <f t="shared" si="105"/>
        <v>0</v>
      </c>
      <c r="AB319" s="1">
        <f t="shared" si="106"/>
        <v>0</v>
      </c>
      <c r="AD319" s="1">
        <f t="shared" si="107"/>
        <v>0</v>
      </c>
      <c r="AE319" s="1">
        <f t="shared" si="108"/>
        <v>0</v>
      </c>
      <c r="AF319" s="1">
        <f t="shared" si="109"/>
        <v>0</v>
      </c>
      <c r="AG319" s="1">
        <f t="shared" si="110"/>
        <v>0</v>
      </c>
      <c r="AH319" s="1">
        <f t="shared" si="111"/>
        <v>0</v>
      </c>
      <c r="AI319" s="1">
        <f t="shared" si="112"/>
        <v>1</v>
      </c>
    </row>
    <row r="320" spans="1:35" ht="14.25" customHeight="1" x14ac:dyDescent="0.25">
      <c r="A320" s="31">
        <v>0</v>
      </c>
      <c r="B320" s="31">
        <v>2</v>
      </c>
      <c r="C320" s="31">
        <v>1</v>
      </c>
      <c r="D320" s="32" t="s">
        <v>1104</v>
      </c>
      <c r="E320" s="32" t="s">
        <v>1288</v>
      </c>
      <c r="F320" s="32" t="s">
        <v>1102</v>
      </c>
      <c r="G320" s="32" t="s">
        <v>229</v>
      </c>
      <c r="H320" s="32" t="s">
        <v>352</v>
      </c>
      <c r="I320" s="31" t="s">
        <v>1103</v>
      </c>
      <c r="J320" s="31">
        <v>7</v>
      </c>
      <c r="K320" s="33" t="s">
        <v>704</v>
      </c>
      <c r="L320" s="33" t="s">
        <v>1675</v>
      </c>
      <c r="M320" s="34" t="s">
        <v>705</v>
      </c>
      <c r="N320" s="34" t="s">
        <v>1717</v>
      </c>
      <c r="O320" s="35">
        <v>1</v>
      </c>
      <c r="P320" s="35"/>
      <c r="Q320" s="32"/>
      <c r="S320" s="1">
        <f t="shared" si="97"/>
        <v>0</v>
      </c>
      <c r="T320" s="1">
        <f t="shared" si="98"/>
        <v>0</v>
      </c>
      <c r="U320" s="1">
        <f t="shared" si="99"/>
        <v>0</v>
      </c>
      <c r="V320" s="1">
        <f t="shared" si="100"/>
        <v>0</v>
      </c>
      <c r="W320" s="1">
        <f t="shared" si="101"/>
        <v>0</v>
      </c>
      <c r="X320" s="1">
        <f t="shared" si="102"/>
        <v>0</v>
      </c>
      <c r="Y320" s="1">
        <f t="shared" si="103"/>
        <v>1</v>
      </c>
      <c r="Z320" s="1">
        <f t="shared" si="104"/>
        <v>0</v>
      </c>
      <c r="AA320" s="1">
        <f t="shared" si="105"/>
        <v>0</v>
      </c>
      <c r="AB320" s="1">
        <f t="shared" si="106"/>
        <v>0</v>
      </c>
      <c r="AD320" s="1">
        <f t="shared" si="107"/>
        <v>0</v>
      </c>
      <c r="AE320" s="1">
        <f t="shared" si="108"/>
        <v>1</v>
      </c>
      <c r="AF320" s="1">
        <f t="shared" si="109"/>
        <v>0</v>
      </c>
      <c r="AG320" s="1">
        <f t="shared" si="110"/>
        <v>1</v>
      </c>
      <c r="AH320" s="1">
        <f t="shared" si="111"/>
        <v>0</v>
      </c>
      <c r="AI320" s="1">
        <f t="shared" si="112"/>
        <v>1</v>
      </c>
    </row>
    <row r="321" spans="1:35" ht="14.25" customHeight="1" x14ac:dyDescent="0.25">
      <c r="A321" s="31">
        <v>0</v>
      </c>
      <c r="B321" s="31">
        <v>2</v>
      </c>
      <c r="C321" s="31">
        <v>1</v>
      </c>
      <c r="D321" s="32" t="s">
        <v>989</v>
      </c>
      <c r="E321" s="32" t="s">
        <v>1310</v>
      </c>
      <c r="F321" s="32" t="s">
        <v>990</v>
      </c>
      <c r="G321" s="32" t="s">
        <v>1081</v>
      </c>
      <c r="H321" s="32" t="s">
        <v>352</v>
      </c>
      <c r="I321" s="31" t="s">
        <v>406</v>
      </c>
      <c r="J321" s="31">
        <v>99</v>
      </c>
      <c r="K321" s="33" t="s">
        <v>704</v>
      </c>
      <c r="L321" s="33" t="s">
        <v>704</v>
      </c>
      <c r="M321" s="34" t="s">
        <v>705</v>
      </c>
      <c r="N321" s="34" t="s">
        <v>1705</v>
      </c>
      <c r="O321" s="35">
        <v>1</v>
      </c>
      <c r="P321" s="35"/>
      <c r="Q321" s="32"/>
      <c r="S321" s="1">
        <f t="shared" si="97"/>
        <v>0</v>
      </c>
      <c r="T321" s="1">
        <f t="shared" si="98"/>
        <v>0</v>
      </c>
      <c r="U321" s="1">
        <f t="shared" si="99"/>
        <v>0</v>
      </c>
      <c r="V321" s="1">
        <f t="shared" si="100"/>
        <v>0</v>
      </c>
      <c r="W321" s="1">
        <f t="shared" si="101"/>
        <v>0</v>
      </c>
      <c r="X321" s="1">
        <f t="shared" si="102"/>
        <v>0</v>
      </c>
      <c r="Y321" s="1">
        <f t="shared" si="103"/>
        <v>0</v>
      </c>
      <c r="Z321" s="1">
        <f t="shared" si="104"/>
        <v>0</v>
      </c>
      <c r="AA321" s="1">
        <f t="shared" si="105"/>
        <v>0</v>
      </c>
      <c r="AB321" s="1">
        <f t="shared" si="106"/>
        <v>0</v>
      </c>
      <c r="AD321" s="1">
        <f t="shared" si="107"/>
        <v>0</v>
      </c>
      <c r="AE321" s="1">
        <f t="shared" si="108"/>
        <v>1</v>
      </c>
      <c r="AF321" s="1">
        <f t="shared" si="109"/>
        <v>0</v>
      </c>
      <c r="AG321" s="1">
        <f t="shared" si="110"/>
        <v>1</v>
      </c>
      <c r="AH321" s="1">
        <f t="shared" si="111"/>
        <v>0</v>
      </c>
      <c r="AI321" s="1">
        <f t="shared" si="112"/>
        <v>1</v>
      </c>
    </row>
    <row r="322" spans="1:35" ht="14.25" customHeight="1" x14ac:dyDescent="0.25">
      <c r="A322" s="31">
        <v>0</v>
      </c>
      <c r="B322" s="31">
        <v>2</v>
      </c>
      <c r="C322" s="31">
        <v>1</v>
      </c>
      <c r="D322" s="32" t="s">
        <v>1111</v>
      </c>
      <c r="E322" s="32" t="s">
        <v>555</v>
      </c>
      <c r="F322" s="32" t="s">
        <v>1327</v>
      </c>
      <c r="G322" s="32" t="s">
        <v>264</v>
      </c>
      <c r="H322" s="32" t="s">
        <v>352</v>
      </c>
      <c r="I322" s="31" t="s">
        <v>1112</v>
      </c>
      <c r="J322" s="31">
        <v>8</v>
      </c>
      <c r="K322" s="33" t="s">
        <v>703</v>
      </c>
      <c r="L322" s="33" t="s">
        <v>1675</v>
      </c>
      <c r="M322" s="34" t="s">
        <v>705</v>
      </c>
      <c r="N322" s="34" t="s">
        <v>1709</v>
      </c>
      <c r="O322" s="35">
        <v>1</v>
      </c>
      <c r="P322" s="35"/>
      <c r="Q322" s="32"/>
      <c r="S322" s="1">
        <f t="shared" si="97"/>
        <v>0</v>
      </c>
      <c r="T322" s="1">
        <f t="shared" si="98"/>
        <v>0</v>
      </c>
      <c r="U322" s="1">
        <f t="shared" si="99"/>
        <v>0</v>
      </c>
      <c r="V322" s="1">
        <f t="shared" si="100"/>
        <v>0</v>
      </c>
      <c r="W322" s="1">
        <f t="shared" si="101"/>
        <v>0</v>
      </c>
      <c r="X322" s="1">
        <f t="shared" si="102"/>
        <v>0</v>
      </c>
      <c r="Y322" s="1">
        <f t="shared" si="103"/>
        <v>0</v>
      </c>
      <c r="Z322" s="1">
        <f t="shared" si="104"/>
        <v>1</v>
      </c>
      <c r="AA322" s="1">
        <f t="shared" si="105"/>
        <v>0</v>
      </c>
      <c r="AB322" s="1">
        <f t="shared" si="106"/>
        <v>0</v>
      </c>
      <c r="AD322" s="1">
        <f t="shared" si="107"/>
        <v>0</v>
      </c>
      <c r="AE322" s="1">
        <f t="shared" si="108"/>
        <v>1</v>
      </c>
      <c r="AF322" s="1">
        <f t="shared" si="109"/>
        <v>0</v>
      </c>
      <c r="AG322" s="1">
        <f t="shared" si="110"/>
        <v>1</v>
      </c>
      <c r="AH322" s="1">
        <f t="shared" si="111"/>
        <v>0</v>
      </c>
      <c r="AI322" s="1">
        <f t="shared" si="112"/>
        <v>1</v>
      </c>
    </row>
    <row r="323" spans="1:35" ht="14.25" customHeight="1" x14ac:dyDescent="0.25">
      <c r="A323" s="31">
        <v>0</v>
      </c>
      <c r="B323" s="31">
        <v>2</v>
      </c>
      <c r="C323" s="31">
        <v>1</v>
      </c>
      <c r="D323" s="32" t="s">
        <v>1260</v>
      </c>
      <c r="E323" s="32" t="s">
        <v>1308</v>
      </c>
      <c r="F323" s="32" t="s">
        <v>1257</v>
      </c>
      <c r="G323" s="32" t="s">
        <v>1258</v>
      </c>
      <c r="H323" s="32" t="s">
        <v>352</v>
      </c>
      <c r="I323" s="31" t="s">
        <v>1259</v>
      </c>
      <c r="J323" s="31">
        <v>1</v>
      </c>
      <c r="K323" s="33" t="s">
        <v>703</v>
      </c>
      <c r="L323" s="33" t="s">
        <v>704</v>
      </c>
      <c r="M323" s="34" t="s">
        <v>705</v>
      </c>
      <c r="N323" s="34" t="s">
        <v>1722</v>
      </c>
      <c r="O323" s="35">
        <v>1</v>
      </c>
      <c r="P323" s="35"/>
      <c r="Q323" s="32" t="s">
        <v>1861</v>
      </c>
      <c r="S323" s="1">
        <f t="shared" si="97"/>
        <v>1</v>
      </c>
      <c r="T323" s="1">
        <f t="shared" si="98"/>
        <v>0</v>
      </c>
      <c r="U323" s="1">
        <f t="shared" si="99"/>
        <v>0</v>
      </c>
      <c r="V323" s="1">
        <f t="shared" si="100"/>
        <v>0</v>
      </c>
      <c r="W323" s="1">
        <f t="shared" si="101"/>
        <v>0</v>
      </c>
      <c r="X323" s="1">
        <f t="shared" si="102"/>
        <v>0</v>
      </c>
      <c r="Y323" s="1">
        <f t="shared" si="103"/>
        <v>0</v>
      </c>
      <c r="Z323" s="1">
        <f t="shared" si="104"/>
        <v>0</v>
      </c>
      <c r="AA323" s="1">
        <f t="shared" si="105"/>
        <v>0</v>
      </c>
      <c r="AB323" s="1">
        <f t="shared" si="106"/>
        <v>0</v>
      </c>
      <c r="AD323" s="1">
        <f t="shared" si="107"/>
        <v>0</v>
      </c>
      <c r="AE323" s="1">
        <f t="shared" si="108"/>
        <v>1</v>
      </c>
      <c r="AF323" s="1">
        <f t="shared" si="109"/>
        <v>0</v>
      </c>
      <c r="AG323" s="1">
        <f t="shared" si="110"/>
        <v>1</v>
      </c>
      <c r="AH323" s="1">
        <f t="shared" si="111"/>
        <v>0</v>
      </c>
      <c r="AI323" s="1">
        <f t="shared" si="112"/>
        <v>1</v>
      </c>
    </row>
    <row r="324" spans="1:35" ht="14.25" customHeight="1" x14ac:dyDescent="0.25">
      <c r="A324" s="15">
        <v>0</v>
      </c>
      <c r="B324" s="15">
        <v>2</v>
      </c>
      <c r="C324" s="15">
        <v>1</v>
      </c>
      <c r="D324" s="16" t="s">
        <v>52</v>
      </c>
      <c r="E324" s="16" t="s">
        <v>32</v>
      </c>
      <c r="F324" s="16" t="s">
        <v>205</v>
      </c>
      <c r="G324" s="16" t="s">
        <v>206</v>
      </c>
      <c r="H324" s="16" t="s">
        <v>352</v>
      </c>
      <c r="I324" s="15" t="s">
        <v>389</v>
      </c>
      <c r="J324" s="15">
        <v>99</v>
      </c>
      <c r="K324" s="10" t="s">
        <v>703</v>
      </c>
      <c r="L324" s="10" t="s">
        <v>704</v>
      </c>
      <c r="M324" s="19" t="s">
        <v>705</v>
      </c>
      <c r="N324" s="19"/>
      <c r="Q324" s="16"/>
      <c r="S324" s="1">
        <f t="shared" si="97"/>
        <v>0</v>
      </c>
      <c r="T324" s="1">
        <f t="shared" si="98"/>
        <v>0</v>
      </c>
      <c r="U324" s="1">
        <f t="shared" si="99"/>
        <v>0</v>
      </c>
      <c r="V324" s="1">
        <f t="shared" si="100"/>
        <v>0</v>
      </c>
      <c r="W324" s="1">
        <f t="shared" si="101"/>
        <v>0</v>
      </c>
      <c r="X324" s="1">
        <f t="shared" si="102"/>
        <v>0</v>
      </c>
      <c r="Y324" s="1">
        <f t="shared" si="103"/>
        <v>0</v>
      </c>
      <c r="Z324" s="1">
        <f t="shared" si="104"/>
        <v>0</v>
      </c>
      <c r="AA324" s="1">
        <f t="shared" si="105"/>
        <v>0</v>
      </c>
      <c r="AB324" s="1">
        <f t="shared" si="106"/>
        <v>0</v>
      </c>
      <c r="AD324" s="1">
        <f t="shared" si="107"/>
        <v>0</v>
      </c>
      <c r="AE324" s="1">
        <f t="shared" si="108"/>
        <v>0</v>
      </c>
      <c r="AF324" s="1">
        <f t="shared" si="109"/>
        <v>0</v>
      </c>
      <c r="AG324" s="1">
        <f t="shared" si="110"/>
        <v>0</v>
      </c>
      <c r="AH324" s="1">
        <f t="shared" si="111"/>
        <v>0</v>
      </c>
      <c r="AI324" s="1">
        <f t="shared" si="112"/>
        <v>1</v>
      </c>
    </row>
    <row r="325" spans="1:35" ht="14.25" customHeight="1" x14ac:dyDescent="0.25">
      <c r="A325" s="31">
        <v>0</v>
      </c>
      <c r="B325" s="31">
        <v>2</v>
      </c>
      <c r="C325" s="31">
        <v>1</v>
      </c>
      <c r="D325" s="32" t="s">
        <v>73</v>
      </c>
      <c r="E325" s="32" t="s">
        <v>555</v>
      </c>
      <c r="F325" s="32" t="s">
        <v>1031</v>
      </c>
      <c r="G325" s="32" t="s">
        <v>189</v>
      </c>
      <c r="H325" s="32" t="s">
        <v>352</v>
      </c>
      <c r="I325" s="31" t="s">
        <v>419</v>
      </c>
      <c r="J325" s="31">
        <v>99</v>
      </c>
      <c r="K325" s="33" t="s">
        <v>935</v>
      </c>
      <c r="L325" s="33" t="s">
        <v>704</v>
      </c>
      <c r="M325" s="34" t="s">
        <v>705</v>
      </c>
      <c r="N325" s="34" t="s">
        <v>1705</v>
      </c>
      <c r="O325" s="35">
        <v>1</v>
      </c>
      <c r="P325" s="35"/>
      <c r="Q325" s="32"/>
      <c r="S325" s="1">
        <f t="shared" si="97"/>
        <v>0</v>
      </c>
      <c r="T325" s="1">
        <f t="shared" si="98"/>
        <v>0</v>
      </c>
      <c r="U325" s="1">
        <f t="shared" si="99"/>
        <v>0</v>
      </c>
      <c r="V325" s="1">
        <f t="shared" si="100"/>
        <v>0</v>
      </c>
      <c r="W325" s="1">
        <f t="shared" si="101"/>
        <v>0</v>
      </c>
      <c r="X325" s="1">
        <f t="shared" si="102"/>
        <v>0</v>
      </c>
      <c r="Y325" s="1">
        <f t="shared" si="103"/>
        <v>0</v>
      </c>
      <c r="Z325" s="1">
        <f t="shared" si="104"/>
        <v>0</v>
      </c>
      <c r="AA325" s="1">
        <f t="shared" si="105"/>
        <v>0</v>
      </c>
      <c r="AB325" s="1">
        <f t="shared" si="106"/>
        <v>0</v>
      </c>
      <c r="AD325" s="1">
        <f t="shared" si="107"/>
        <v>0</v>
      </c>
      <c r="AE325" s="1">
        <f t="shared" si="108"/>
        <v>1</v>
      </c>
      <c r="AF325" s="1">
        <f t="shared" si="109"/>
        <v>0</v>
      </c>
      <c r="AG325" s="1">
        <f t="shared" si="110"/>
        <v>1</v>
      </c>
      <c r="AH325" s="1">
        <f t="shared" si="111"/>
        <v>0</v>
      </c>
      <c r="AI325" s="1">
        <f t="shared" si="112"/>
        <v>1</v>
      </c>
    </row>
    <row r="326" spans="1:35" ht="14.25" customHeight="1" x14ac:dyDescent="0.25">
      <c r="A326" s="31">
        <v>0</v>
      </c>
      <c r="B326" s="31">
        <v>2</v>
      </c>
      <c r="C326" s="31">
        <v>1</v>
      </c>
      <c r="D326" s="32" t="s">
        <v>47</v>
      </c>
      <c r="E326" s="32" t="s">
        <v>32</v>
      </c>
      <c r="F326" s="32" t="s">
        <v>186</v>
      </c>
      <c r="G326" s="32" t="s">
        <v>179</v>
      </c>
      <c r="H326" s="32" t="s">
        <v>352</v>
      </c>
      <c r="I326" s="31" t="s">
        <v>381</v>
      </c>
      <c r="J326" s="31">
        <v>10</v>
      </c>
      <c r="K326" s="33" t="s">
        <v>936</v>
      </c>
      <c r="L326" s="33" t="s">
        <v>704</v>
      </c>
      <c r="M326" s="34" t="s">
        <v>705</v>
      </c>
      <c r="N326" s="34" t="s">
        <v>1705</v>
      </c>
      <c r="O326" s="35">
        <v>1</v>
      </c>
      <c r="P326" s="35"/>
      <c r="Q326" s="32"/>
      <c r="S326" s="1">
        <f t="shared" si="97"/>
        <v>0</v>
      </c>
      <c r="T326" s="1">
        <f t="shared" si="98"/>
        <v>0</v>
      </c>
      <c r="U326" s="1">
        <f t="shared" si="99"/>
        <v>0</v>
      </c>
      <c r="V326" s="1">
        <f t="shared" si="100"/>
        <v>0</v>
      </c>
      <c r="W326" s="1">
        <f t="shared" si="101"/>
        <v>0</v>
      </c>
      <c r="X326" s="1">
        <f t="shared" si="102"/>
        <v>0</v>
      </c>
      <c r="Y326" s="1">
        <f t="shared" si="103"/>
        <v>0</v>
      </c>
      <c r="Z326" s="1">
        <f t="shared" si="104"/>
        <v>0</v>
      </c>
      <c r="AA326" s="1">
        <f t="shared" si="105"/>
        <v>0</v>
      </c>
      <c r="AB326" s="1">
        <f t="shared" si="106"/>
        <v>1</v>
      </c>
      <c r="AD326" s="1">
        <f t="shared" si="107"/>
        <v>0</v>
      </c>
      <c r="AE326" s="1">
        <f t="shared" si="108"/>
        <v>1</v>
      </c>
      <c r="AF326" s="1">
        <f t="shared" si="109"/>
        <v>0</v>
      </c>
      <c r="AG326" s="1">
        <f t="shared" si="110"/>
        <v>1</v>
      </c>
      <c r="AH326" s="1">
        <f t="shared" si="111"/>
        <v>0</v>
      </c>
      <c r="AI326" s="1">
        <f t="shared" si="112"/>
        <v>1</v>
      </c>
    </row>
    <row r="327" spans="1:35" ht="14.25" customHeight="1" x14ac:dyDescent="0.25">
      <c r="A327" s="31">
        <v>0</v>
      </c>
      <c r="B327" s="31">
        <v>2</v>
      </c>
      <c r="C327" s="31">
        <v>1</v>
      </c>
      <c r="D327" s="32" t="s">
        <v>644</v>
      </c>
      <c r="E327" s="32" t="s">
        <v>159</v>
      </c>
      <c r="F327" s="32" t="s">
        <v>187</v>
      </c>
      <c r="G327" s="32" t="s">
        <v>660</v>
      </c>
      <c r="H327" s="32" t="s">
        <v>352</v>
      </c>
      <c r="I327" s="31" t="s">
        <v>382</v>
      </c>
      <c r="J327" s="31">
        <v>99</v>
      </c>
      <c r="K327" s="33" t="s">
        <v>703</v>
      </c>
      <c r="L327" s="33" t="s">
        <v>704</v>
      </c>
      <c r="M327" s="34" t="s">
        <v>705</v>
      </c>
      <c r="N327" s="34" t="s">
        <v>1717</v>
      </c>
      <c r="O327" s="35">
        <v>1</v>
      </c>
      <c r="P327" s="35"/>
      <c r="Q327" s="32"/>
      <c r="S327" s="1">
        <f t="shared" si="97"/>
        <v>0</v>
      </c>
      <c r="T327" s="1">
        <f t="shared" si="98"/>
        <v>0</v>
      </c>
      <c r="U327" s="1">
        <f t="shared" si="99"/>
        <v>0</v>
      </c>
      <c r="V327" s="1">
        <f t="shared" si="100"/>
        <v>0</v>
      </c>
      <c r="W327" s="1">
        <f t="shared" si="101"/>
        <v>0</v>
      </c>
      <c r="X327" s="1">
        <f t="shared" si="102"/>
        <v>0</v>
      </c>
      <c r="Y327" s="1">
        <f t="shared" si="103"/>
        <v>0</v>
      </c>
      <c r="Z327" s="1">
        <f t="shared" si="104"/>
        <v>0</v>
      </c>
      <c r="AA327" s="1">
        <f t="shared" si="105"/>
        <v>0</v>
      </c>
      <c r="AB327" s="1">
        <f t="shared" si="106"/>
        <v>0</v>
      </c>
      <c r="AD327" s="1">
        <f t="shared" si="107"/>
        <v>0</v>
      </c>
      <c r="AE327" s="1">
        <f t="shared" si="108"/>
        <v>1</v>
      </c>
      <c r="AF327" s="1">
        <f t="shared" si="109"/>
        <v>0</v>
      </c>
      <c r="AG327" s="1">
        <f t="shared" si="110"/>
        <v>1</v>
      </c>
      <c r="AH327" s="1">
        <f t="shared" si="111"/>
        <v>0</v>
      </c>
      <c r="AI327" s="1">
        <f t="shared" si="112"/>
        <v>1</v>
      </c>
    </row>
    <row r="328" spans="1:35" ht="14.25" customHeight="1" x14ac:dyDescent="0.25">
      <c r="A328" s="31">
        <v>0</v>
      </c>
      <c r="B328" s="31">
        <v>2</v>
      </c>
      <c r="C328" s="31">
        <v>1</v>
      </c>
      <c r="D328" s="32" t="s">
        <v>1278</v>
      </c>
      <c r="E328" s="32" t="s">
        <v>36</v>
      </c>
      <c r="F328" s="32" t="s">
        <v>1279</v>
      </c>
      <c r="G328" s="32" t="s">
        <v>257</v>
      </c>
      <c r="H328" s="32" t="s">
        <v>352</v>
      </c>
      <c r="I328" s="31" t="s">
        <v>1280</v>
      </c>
      <c r="J328" s="31">
        <v>8</v>
      </c>
      <c r="K328" s="33" t="s">
        <v>940</v>
      </c>
      <c r="L328" s="33" t="s">
        <v>704</v>
      </c>
      <c r="M328" s="34" t="s">
        <v>705</v>
      </c>
      <c r="N328" s="34" t="s">
        <v>1699</v>
      </c>
      <c r="O328" s="35">
        <v>1</v>
      </c>
      <c r="P328" s="35">
        <v>1</v>
      </c>
      <c r="Q328" s="32"/>
      <c r="S328" s="1">
        <f t="shared" si="97"/>
        <v>0</v>
      </c>
      <c r="T328" s="1">
        <f t="shared" si="98"/>
        <v>0</v>
      </c>
      <c r="U328" s="1">
        <f t="shared" si="99"/>
        <v>0</v>
      </c>
      <c r="V328" s="1">
        <f t="shared" si="100"/>
        <v>0</v>
      </c>
      <c r="W328" s="1">
        <f t="shared" si="101"/>
        <v>0</v>
      </c>
      <c r="X328" s="1">
        <f t="shared" si="102"/>
        <v>0</v>
      </c>
      <c r="Y328" s="1">
        <f t="shared" si="103"/>
        <v>0</v>
      </c>
      <c r="Z328" s="1">
        <f t="shared" si="104"/>
        <v>1</v>
      </c>
      <c r="AA328" s="1">
        <f t="shared" si="105"/>
        <v>0</v>
      </c>
      <c r="AB328" s="1">
        <f t="shared" si="106"/>
        <v>0</v>
      </c>
      <c r="AD328" s="1">
        <f t="shared" si="107"/>
        <v>1</v>
      </c>
      <c r="AE328" s="1">
        <f t="shared" si="108"/>
        <v>0</v>
      </c>
      <c r="AF328" s="1">
        <f t="shared" si="109"/>
        <v>1</v>
      </c>
      <c r="AG328" s="1">
        <f t="shared" si="110"/>
        <v>0</v>
      </c>
      <c r="AH328" s="1">
        <f t="shared" si="111"/>
        <v>1</v>
      </c>
      <c r="AI328" s="1">
        <f t="shared" si="112"/>
        <v>0</v>
      </c>
    </row>
    <row r="329" spans="1:35" ht="14.25" customHeight="1" x14ac:dyDescent="0.25">
      <c r="A329" s="31">
        <v>0</v>
      </c>
      <c r="B329" s="31">
        <v>2</v>
      </c>
      <c r="C329" s="31">
        <v>1</v>
      </c>
      <c r="D329" s="32" t="s">
        <v>54</v>
      </c>
      <c r="E329" s="32" t="s">
        <v>555</v>
      </c>
      <c r="F329" s="32" t="s">
        <v>211</v>
      </c>
      <c r="G329" s="32" t="s">
        <v>212</v>
      </c>
      <c r="H329" s="32" t="s">
        <v>352</v>
      </c>
      <c r="I329" s="31" t="s">
        <v>391</v>
      </c>
      <c r="J329" s="31">
        <v>1</v>
      </c>
      <c r="K329" s="33" t="s">
        <v>936</v>
      </c>
      <c r="L329" s="33" t="s">
        <v>704</v>
      </c>
      <c r="M329" s="34" t="s">
        <v>39</v>
      </c>
      <c r="N329" s="34" t="s">
        <v>1705</v>
      </c>
      <c r="O329" s="35">
        <v>1</v>
      </c>
      <c r="P329" s="35"/>
      <c r="Q329" s="32"/>
      <c r="S329" s="1">
        <f t="shared" si="97"/>
        <v>1</v>
      </c>
      <c r="T329" s="1">
        <f t="shared" si="98"/>
        <v>0</v>
      </c>
      <c r="U329" s="1">
        <f t="shared" si="99"/>
        <v>0</v>
      </c>
      <c r="V329" s="1">
        <f t="shared" si="100"/>
        <v>0</v>
      </c>
      <c r="W329" s="1">
        <f t="shared" si="101"/>
        <v>0</v>
      </c>
      <c r="X329" s="1">
        <f t="shared" si="102"/>
        <v>0</v>
      </c>
      <c r="Y329" s="1">
        <f t="shared" si="103"/>
        <v>0</v>
      </c>
      <c r="Z329" s="1">
        <f t="shared" si="104"/>
        <v>0</v>
      </c>
      <c r="AA329" s="1">
        <f t="shared" si="105"/>
        <v>0</v>
      </c>
      <c r="AB329" s="1">
        <f t="shared" si="106"/>
        <v>0</v>
      </c>
      <c r="AD329" s="1">
        <f t="shared" si="107"/>
        <v>0</v>
      </c>
      <c r="AE329" s="1">
        <f t="shared" si="108"/>
        <v>1</v>
      </c>
      <c r="AF329" s="1">
        <f t="shared" si="109"/>
        <v>0</v>
      </c>
      <c r="AG329" s="1">
        <f t="shared" si="110"/>
        <v>1</v>
      </c>
      <c r="AH329" s="1">
        <f t="shared" si="111"/>
        <v>0</v>
      </c>
      <c r="AI329" s="1">
        <f t="shared" si="112"/>
        <v>1</v>
      </c>
    </row>
    <row r="330" spans="1:35" ht="14.25" customHeight="1" x14ac:dyDescent="0.25">
      <c r="A330" s="31">
        <v>0</v>
      </c>
      <c r="B330" s="31">
        <v>2</v>
      </c>
      <c r="C330" s="31">
        <v>1</v>
      </c>
      <c r="D330" s="32" t="s">
        <v>61</v>
      </c>
      <c r="E330" s="32" t="s">
        <v>539</v>
      </c>
      <c r="F330" s="32" t="s">
        <v>232</v>
      </c>
      <c r="G330" s="32" t="s">
        <v>203</v>
      </c>
      <c r="H330" s="32" t="s">
        <v>352</v>
      </c>
      <c r="I330" s="31" t="s">
        <v>399</v>
      </c>
      <c r="J330" s="31">
        <v>7</v>
      </c>
      <c r="K330" s="33" t="s">
        <v>703</v>
      </c>
      <c r="L330" s="33" t="s">
        <v>704</v>
      </c>
      <c r="M330" s="34" t="s">
        <v>705</v>
      </c>
      <c r="N330" s="34" t="s">
        <v>1722</v>
      </c>
      <c r="O330" s="35">
        <v>1</v>
      </c>
      <c r="P330" s="35"/>
      <c r="Q330" s="32"/>
      <c r="S330" s="1">
        <f t="shared" si="97"/>
        <v>0</v>
      </c>
      <c r="T330" s="1">
        <f t="shared" si="98"/>
        <v>0</v>
      </c>
      <c r="U330" s="1">
        <f t="shared" si="99"/>
        <v>0</v>
      </c>
      <c r="V330" s="1">
        <f t="shared" si="100"/>
        <v>0</v>
      </c>
      <c r="W330" s="1">
        <f t="shared" si="101"/>
        <v>0</v>
      </c>
      <c r="X330" s="1">
        <f t="shared" si="102"/>
        <v>0</v>
      </c>
      <c r="Y330" s="1">
        <f t="shared" si="103"/>
        <v>1</v>
      </c>
      <c r="Z330" s="1">
        <f t="shared" si="104"/>
        <v>0</v>
      </c>
      <c r="AA330" s="1">
        <f t="shared" si="105"/>
        <v>0</v>
      </c>
      <c r="AB330" s="1">
        <f t="shared" si="106"/>
        <v>0</v>
      </c>
      <c r="AD330" s="1">
        <f t="shared" si="107"/>
        <v>0</v>
      </c>
      <c r="AE330" s="1">
        <f t="shared" si="108"/>
        <v>1</v>
      </c>
      <c r="AF330" s="1">
        <f t="shared" si="109"/>
        <v>0</v>
      </c>
      <c r="AG330" s="1">
        <f t="shared" si="110"/>
        <v>1</v>
      </c>
      <c r="AH330" s="1">
        <f t="shared" si="111"/>
        <v>0</v>
      </c>
      <c r="AI330" s="1">
        <f t="shared" si="112"/>
        <v>1</v>
      </c>
    </row>
    <row r="331" spans="1:35" ht="14.25" customHeight="1" x14ac:dyDescent="0.25">
      <c r="A331" s="31">
        <v>0</v>
      </c>
      <c r="B331" s="31">
        <v>2</v>
      </c>
      <c r="C331" s="31">
        <v>1</v>
      </c>
      <c r="D331" s="32" t="s">
        <v>1614</v>
      </c>
      <c r="E331" s="32" t="s">
        <v>555</v>
      </c>
      <c r="F331" s="32" t="s">
        <v>1330</v>
      </c>
      <c r="G331" s="32" t="s">
        <v>1258</v>
      </c>
      <c r="H331" s="32" t="s">
        <v>352</v>
      </c>
      <c r="I331" s="31" t="s">
        <v>1145</v>
      </c>
      <c r="J331" s="31">
        <v>99</v>
      </c>
      <c r="K331" s="33" t="s">
        <v>703</v>
      </c>
      <c r="L331" s="33" t="s">
        <v>704</v>
      </c>
      <c r="M331" s="34" t="s">
        <v>705</v>
      </c>
      <c r="N331" s="34" t="s">
        <v>1709</v>
      </c>
      <c r="O331" s="35">
        <v>1</v>
      </c>
      <c r="P331" s="35"/>
      <c r="Q331" s="32" t="s">
        <v>1860</v>
      </c>
      <c r="S331" s="1">
        <f t="shared" si="97"/>
        <v>0</v>
      </c>
      <c r="T331" s="1">
        <f t="shared" si="98"/>
        <v>0</v>
      </c>
      <c r="U331" s="1">
        <f t="shared" si="99"/>
        <v>0</v>
      </c>
      <c r="V331" s="1">
        <f t="shared" si="100"/>
        <v>0</v>
      </c>
      <c r="W331" s="1">
        <f t="shared" si="101"/>
        <v>0</v>
      </c>
      <c r="X331" s="1">
        <f t="shared" si="102"/>
        <v>0</v>
      </c>
      <c r="Y331" s="1">
        <f t="shared" si="103"/>
        <v>0</v>
      </c>
      <c r="Z331" s="1">
        <f t="shared" si="104"/>
        <v>0</v>
      </c>
      <c r="AA331" s="1">
        <f t="shared" si="105"/>
        <v>0</v>
      </c>
      <c r="AB331" s="1">
        <f t="shared" si="106"/>
        <v>0</v>
      </c>
      <c r="AD331" s="1">
        <f t="shared" si="107"/>
        <v>0</v>
      </c>
      <c r="AE331" s="1">
        <f t="shared" si="108"/>
        <v>1</v>
      </c>
      <c r="AF331" s="1">
        <f t="shared" si="109"/>
        <v>0</v>
      </c>
      <c r="AG331" s="1">
        <f t="shared" si="110"/>
        <v>1</v>
      </c>
      <c r="AH331" s="1">
        <f t="shared" si="111"/>
        <v>0</v>
      </c>
      <c r="AI331" s="1">
        <f t="shared" si="112"/>
        <v>1</v>
      </c>
    </row>
    <row r="332" spans="1:35" ht="14.25" customHeight="1" x14ac:dyDescent="0.25">
      <c r="A332" s="31">
        <v>0</v>
      </c>
      <c r="B332" s="31">
        <v>2</v>
      </c>
      <c r="C332" s="31">
        <v>1</v>
      </c>
      <c r="D332" s="32" t="s">
        <v>1743</v>
      </c>
      <c r="E332" s="32" t="s">
        <v>1744</v>
      </c>
      <c r="F332" s="32" t="s">
        <v>1745</v>
      </c>
      <c r="G332" s="32" t="s">
        <v>1746</v>
      </c>
      <c r="H332" s="32" t="s">
        <v>352</v>
      </c>
      <c r="I332" s="31"/>
      <c r="J332" s="31">
        <v>1</v>
      </c>
      <c r="K332" s="33" t="s">
        <v>694</v>
      </c>
      <c r="L332" s="33"/>
      <c r="M332" s="34"/>
      <c r="N332" s="34" t="s">
        <v>1705</v>
      </c>
      <c r="O332" s="35">
        <v>1</v>
      </c>
      <c r="P332" s="35"/>
      <c r="Q332" s="32" t="s">
        <v>1868</v>
      </c>
      <c r="S332" s="1">
        <f t="shared" si="97"/>
        <v>1</v>
      </c>
      <c r="T332" s="1">
        <f t="shared" si="98"/>
        <v>0</v>
      </c>
      <c r="U332" s="1">
        <f t="shared" si="99"/>
        <v>0</v>
      </c>
      <c r="V332" s="1">
        <f t="shared" si="100"/>
        <v>0</v>
      </c>
      <c r="W332" s="1">
        <f t="shared" si="101"/>
        <v>0</v>
      </c>
      <c r="X332" s="1">
        <f t="shared" si="102"/>
        <v>0</v>
      </c>
      <c r="Y332" s="1">
        <f t="shared" si="103"/>
        <v>0</v>
      </c>
      <c r="Z332" s="1">
        <f t="shared" si="104"/>
        <v>0</v>
      </c>
      <c r="AA332" s="1">
        <f t="shared" si="105"/>
        <v>0</v>
      </c>
      <c r="AB332" s="1">
        <f t="shared" si="106"/>
        <v>0</v>
      </c>
      <c r="AD332" s="1">
        <f t="shared" si="107"/>
        <v>0</v>
      </c>
      <c r="AE332" s="1">
        <f t="shared" si="108"/>
        <v>1</v>
      </c>
      <c r="AF332" s="1">
        <f t="shared" si="109"/>
        <v>0</v>
      </c>
      <c r="AG332" s="1">
        <f t="shared" si="110"/>
        <v>1</v>
      </c>
      <c r="AH332" s="1">
        <f t="shared" si="111"/>
        <v>0</v>
      </c>
      <c r="AI332" s="1">
        <f t="shared" si="112"/>
        <v>1</v>
      </c>
    </row>
    <row r="333" spans="1:35" ht="14.25" customHeight="1" x14ac:dyDescent="0.25">
      <c r="A333" s="62">
        <v>0</v>
      </c>
      <c r="B333" s="62">
        <v>2</v>
      </c>
      <c r="C333" s="62">
        <v>1</v>
      </c>
      <c r="D333" s="63" t="s">
        <v>1292</v>
      </c>
      <c r="E333" s="63" t="s">
        <v>1312</v>
      </c>
      <c r="F333" s="63" t="s">
        <v>1275</v>
      </c>
      <c r="G333" s="63" t="s">
        <v>1276</v>
      </c>
      <c r="H333" s="63" t="s">
        <v>352</v>
      </c>
      <c r="I333" s="62" t="s">
        <v>1277</v>
      </c>
      <c r="J333" s="62">
        <v>99</v>
      </c>
      <c r="K333" s="64" t="s">
        <v>936</v>
      </c>
      <c r="L333" s="64" t="s">
        <v>704</v>
      </c>
      <c r="M333" s="65" t="s">
        <v>705</v>
      </c>
      <c r="N333" s="65" t="s">
        <v>1878</v>
      </c>
      <c r="O333" s="66">
        <v>1</v>
      </c>
      <c r="P333" s="66"/>
      <c r="Q333" s="63"/>
      <c r="S333" s="1">
        <f t="shared" si="97"/>
        <v>0</v>
      </c>
      <c r="T333" s="1">
        <f t="shared" si="98"/>
        <v>0</v>
      </c>
      <c r="U333" s="1">
        <f t="shared" si="99"/>
        <v>0</v>
      </c>
      <c r="V333" s="1">
        <f t="shared" si="100"/>
        <v>0</v>
      </c>
      <c r="W333" s="1">
        <f t="shared" si="101"/>
        <v>0</v>
      </c>
      <c r="X333" s="1">
        <f t="shared" si="102"/>
        <v>0</v>
      </c>
      <c r="Y333" s="1">
        <f t="shared" si="103"/>
        <v>0</v>
      </c>
      <c r="Z333" s="1">
        <f t="shared" si="104"/>
        <v>0</v>
      </c>
      <c r="AA333" s="1">
        <f t="shared" si="105"/>
        <v>0</v>
      </c>
      <c r="AB333" s="1">
        <f t="shared" si="106"/>
        <v>0</v>
      </c>
      <c r="AD333" s="1">
        <f t="shared" si="107"/>
        <v>0</v>
      </c>
      <c r="AE333" s="1">
        <f t="shared" si="108"/>
        <v>1</v>
      </c>
      <c r="AF333" s="1">
        <f t="shared" si="109"/>
        <v>0</v>
      </c>
      <c r="AG333" s="1">
        <f t="shared" si="110"/>
        <v>1</v>
      </c>
      <c r="AH333" s="1">
        <f t="shared" si="111"/>
        <v>0</v>
      </c>
      <c r="AI333" s="1">
        <f t="shared" si="112"/>
        <v>1</v>
      </c>
    </row>
    <row r="334" spans="1:35" ht="14.25" customHeight="1" x14ac:dyDescent="0.25">
      <c r="A334" s="15">
        <v>0</v>
      </c>
      <c r="B334" s="15">
        <v>2</v>
      </c>
      <c r="C334" s="15">
        <v>1</v>
      </c>
      <c r="D334" s="16" t="s">
        <v>1287</v>
      </c>
      <c r="E334" s="16" t="s">
        <v>159</v>
      </c>
      <c r="F334" s="16" t="s">
        <v>1289</v>
      </c>
      <c r="G334" s="16" t="s">
        <v>1290</v>
      </c>
      <c r="H334" s="16" t="s">
        <v>352</v>
      </c>
      <c r="I334" s="15" t="s">
        <v>1291</v>
      </c>
      <c r="J334" s="15">
        <v>8</v>
      </c>
      <c r="K334" s="10" t="s">
        <v>704</v>
      </c>
      <c r="L334" s="10" t="s">
        <v>704</v>
      </c>
      <c r="M334" s="19" t="s">
        <v>705</v>
      </c>
      <c r="N334" s="19"/>
      <c r="Q334" s="16"/>
      <c r="S334" s="1">
        <f t="shared" si="97"/>
        <v>0</v>
      </c>
      <c r="T334" s="1">
        <f t="shared" si="98"/>
        <v>0</v>
      </c>
      <c r="U334" s="1">
        <f t="shared" si="99"/>
        <v>0</v>
      </c>
      <c r="V334" s="1">
        <f t="shared" si="100"/>
        <v>0</v>
      </c>
      <c r="W334" s="1">
        <f t="shared" si="101"/>
        <v>0</v>
      </c>
      <c r="X334" s="1">
        <f t="shared" si="102"/>
        <v>0</v>
      </c>
      <c r="Y334" s="1">
        <f t="shared" si="103"/>
        <v>0</v>
      </c>
      <c r="Z334" s="1">
        <f t="shared" si="104"/>
        <v>1</v>
      </c>
      <c r="AA334" s="1">
        <f t="shared" si="105"/>
        <v>0</v>
      </c>
      <c r="AB334" s="1">
        <f t="shared" si="106"/>
        <v>0</v>
      </c>
      <c r="AD334" s="1">
        <f t="shared" si="107"/>
        <v>0</v>
      </c>
      <c r="AE334" s="1">
        <f t="shared" si="108"/>
        <v>0</v>
      </c>
      <c r="AF334" s="1">
        <f t="shared" si="109"/>
        <v>0</v>
      </c>
      <c r="AG334" s="1">
        <f t="shared" si="110"/>
        <v>0</v>
      </c>
      <c r="AH334" s="1">
        <f t="shared" si="111"/>
        <v>0</v>
      </c>
      <c r="AI334" s="1">
        <f t="shared" si="112"/>
        <v>1</v>
      </c>
    </row>
    <row r="335" spans="1:35" ht="14.25" customHeight="1" x14ac:dyDescent="0.25">
      <c r="A335" s="31">
        <v>0</v>
      </c>
      <c r="B335" s="31">
        <v>2</v>
      </c>
      <c r="C335" s="31">
        <v>2</v>
      </c>
      <c r="D335" s="32" t="s">
        <v>1613</v>
      </c>
      <c r="E335" s="32" t="s">
        <v>1146</v>
      </c>
      <c r="F335" s="32" t="s">
        <v>1646</v>
      </c>
      <c r="G335" s="32" t="s">
        <v>189</v>
      </c>
      <c r="H335" s="32" t="s">
        <v>352</v>
      </c>
      <c r="I335" s="31" t="s">
        <v>1574</v>
      </c>
      <c r="J335" s="31">
        <v>99</v>
      </c>
      <c r="K335" s="33" t="s">
        <v>704</v>
      </c>
      <c r="L335" s="33" t="s">
        <v>687</v>
      </c>
      <c r="M335" s="34" t="s">
        <v>1575</v>
      </c>
      <c r="N335" s="34" t="s">
        <v>1722</v>
      </c>
      <c r="O335" s="35">
        <v>1</v>
      </c>
      <c r="P335" s="35"/>
      <c r="Q335" s="32"/>
      <c r="S335" s="1">
        <f t="shared" si="97"/>
        <v>0</v>
      </c>
      <c r="T335" s="1">
        <f t="shared" si="98"/>
        <v>0</v>
      </c>
      <c r="U335" s="1">
        <f t="shared" si="99"/>
        <v>0</v>
      </c>
      <c r="V335" s="1">
        <f t="shared" si="100"/>
        <v>0</v>
      </c>
      <c r="W335" s="1">
        <f t="shared" si="101"/>
        <v>0</v>
      </c>
      <c r="X335" s="1">
        <f t="shared" si="102"/>
        <v>0</v>
      </c>
      <c r="Y335" s="1">
        <f t="shared" si="103"/>
        <v>0</v>
      </c>
      <c r="Z335" s="1">
        <f t="shared" si="104"/>
        <v>0</v>
      </c>
      <c r="AA335" s="1">
        <f t="shared" si="105"/>
        <v>0</v>
      </c>
      <c r="AB335" s="1">
        <f t="shared" si="106"/>
        <v>0</v>
      </c>
      <c r="AD335" s="1">
        <f t="shared" si="107"/>
        <v>0</v>
      </c>
      <c r="AE335" s="1">
        <f t="shared" si="108"/>
        <v>1</v>
      </c>
      <c r="AF335" s="1">
        <f t="shared" si="109"/>
        <v>0</v>
      </c>
      <c r="AG335" s="1">
        <f t="shared" si="110"/>
        <v>1</v>
      </c>
      <c r="AH335" s="1">
        <f t="shared" si="111"/>
        <v>0</v>
      </c>
      <c r="AI335" s="1">
        <f t="shared" si="112"/>
        <v>1</v>
      </c>
    </row>
    <row r="336" spans="1:35" ht="14.25" customHeight="1" x14ac:dyDescent="0.25">
      <c r="A336" s="31">
        <v>0</v>
      </c>
      <c r="B336" s="31">
        <v>2</v>
      </c>
      <c r="C336" s="31">
        <v>2</v>
      </c>
      <c r="D336" s="32" t="s">
        <v>65</v>
      </c>
      <c r="E336" s="32" t="s">
        <v>163</v>
      </c>
      <c r="F336" s="32" t="s">
        <v>242</v>
      </c>
      <c r="G336" s="32" t="s">
        <v>199</v>
      </c>
      <c r="H336" s="32" t="s">
        <v>352</v>
      </c>
      <c r="I336" s="31" t="s">
        <v>405</v>
      </c>
      <c r="J336" s="31">
        <v>2</v>
      </c>
      <c r="K336" s="33" t="s">
        <v>936</v>
      </c>
      <c r="L336" s="33" t="s">
        <v>687</v>
      </c>
      <c r="M336" s="34" t="s">
        <v>706</v>
      </c>
      <c r="N336" s="34" t="s">
        <v>1705</v>
      </c>
      <c r="O336" s="35">
        <v>1</v>
      </c>
      <c r="P336" s="35"/>
      <c r="Q336" s="32"/>
      <c r="S336" s="1">
        <f t="shared" si="97"/>
        <v>0</v>
      </c>
      <c r="T336" s="1">
        <f t="shared" si="98"/>
        <v>1</v>
      </c>
      <c r="U336" s="1">
        <f t="shared" si="99"/>
        <v>0</v>
      </c>
      <c r="V336" s="1">
        <f t="shared" si="100"/>
        <v>0</v>
      </c>
      <c r="W336" s="1">
        <f t="shared" si="101"/>
        <v>0</v>
      </c>
      <c r="X336" s="1">
        <f t="shared" si="102"/>
        <v>0</v>
      </c>
      <c r="Y336" s="1">
        <f t="shared" si="103"/>
        <v>0</v>
      </c>
      <c r="Z336" s="1">
        <f t="shared" si="104"/>
        <v>0</v>
      </c>
      <c r="AA336" s="1">
        <f t="shared" si="105"/>
        <v>0</v>
      </c>
      <c r="AB336" s="1">
        <f t="shared" si="106"/>
        <v>0</v>
      </c>
      <c r="AD336" s="1">
        <f t="shared" si="107"/>
        <v>0</v>
      </c>
      <c r="AE336" s="1">
        <f t="shared" si="108"/>
        <v>1</v>
      </c>
      <c r="AF336" s="1">
        <f t="shared" si="109"/>
        <v>0</v>
      </c>
      <c r="AG336" s="1">
        <f t="shared" si="110"/>
        <v>1</v>
      </c>
      <c r="AH336" s="1">
        <f t="shared" si="111"/>
        <v>0</v>
      </c>
      <c r="AI336" s="1">
        <f t="shared" si="112"/>
        <v>1</v>
      </c>
    </row>
    <row r="337" spans="1:35" ht="14.25" customHeight="1" x14ac:dyDescent="0.25">
      <c r="A337" s="31">
        <v>0</v>
      </c>
      <c r="B337" s="31">
        <v>2</v>
      </c>
      <c r="C337" s="31">
        <v>2</v>
      </c>
      <c r="D337" s="32" t="s">
        <v>1788</v>
      </c>
      <c r="E337" s="32" t="s">
        <v>1789</v>
      </c>
      <c r="F337" s="32" t="s">
        <v>1790</v>
      </c>
      <c r="G337" s="32" t="s">
        <v>195</v>
      </c>
      <c r="H337" s="32" t="s">
        <v>352</v>
      </c>
      <c r="I337" s="31" t="s">
        <v>1791</v>
      </c>
      <c r="J337" s="31"/>
      <c r="K337" s="33" t="s">
        <v>694</v>
      </c>
      <c r="L337" s="33">
        <v>20</v>
      </c>
      <c r="M337" s="34" t="s">
        <v>1792</v>
      </c>
      <c r="N337" s="34" t="s">
        <v>1709</v>
      </c>
      <c r="O337" s="35">
        <v>1</v>
      </c>
      <c r="P337" s="35"/>
      <c r="Q337" s="32"/>
      <c r="S337" s="1">
        <f t="shared" si="97"/>
        <v>0</v>
      </c>
      <c r="T337" s="1">
        <f t="shared" si="98"/>
        <v>0</v>
      </c>
      <c r="U337" s="1">
        <f t="shared" si="99"/>
        <v>0</v>
      </c>
      <c r="V337" s="1">
        <f t="shared" si="100"/>
        <v>0</v>
      </c>
      <c r="W337" s="1">
        <f t="shared" si="101"/>
        <v>0</v>
      </c>
      <c r="X337" s="1">
        <f t="shared" si="102"/>
        <v>0</v>
      </c>
      <c r="Y337" s="1">
        <f t="shared" si="103"/>
        <v>0</v>
      </c>
      <c r="Z337" s="1">
        <f t="shared" si="104"/>
        <v>0</v>
      </c>
      <c r="AA337" s="1">
        <f t="shared" si="105"/>
        <v>0</v>
      </c>
      <c r="AB337" s="1">
        <f t="shared" si="106"/>
        <v>0</v>
      </c>
      <c r="AD337" s="1">
        <f t="shared" si="107"/>
        <v>0</v>
      </c>
      <c r="AE337" s="1">
        <f t="shared" si="108"/>
        <v>1</v>
      </c>
      <c r="AF337" s="1">
        <f t="shared" si="109"/>
        <v>0</v>
      </c>
      <c r="AG337" s="1">
        <f t="shared" si="110"/>
        <v>1</v>
      </c>
      <c r="AH337" s="1">
        <f t="shared" si="111"/>
        <v>0</v>
      </c>
      <c r="AI337" s="1">
        <f t="shared" si="112"/>
        <v>1</v>
      </c>
    </row>
    <row r="338" spans="1:35" ht="14.25" customHeight="1" x14ac:dyDescent="0.25">
      <c r="A338" s="37">
        <v>0</v>
      </c>
      <c r="B338" s="37">
        <v>2</v>
      </c>
      <c r="C338" s="37">
        <v>2</v>
      </c>
      <c r="D338" s="36" t="s">
        <v>2096</v>
      </c>
      <c r="E338" s="36" t="s">
        <v>2094</v>
      </c>
      <c r="F338" s="36" t="s">
        <v>2095</v>
      </c>
      <c r="G338" s="36" t="s">
        <v>256</v>
      </c>
      <c r="H338" s="36" t="s">
        <v>352</v>
      </c>
      <c r="I338" s="37" t="s">
        <v>30</v>
      </c>
      <c r="J338" s="37">
        <v>2</v>
      </c>
      <c r="K338" s="33" t="s">
        <v>694</v>
      </c>
      <c r="L338" s="33"/>
      <c r="M338" s="34"/>
      <c r="N338" s="34" t="s">
        <v>1693</v>
      </c>
      <c r="O338" s="35">
        <v>1</v>
      </c>
      <c r="P338" s="35">
        <v>1</v>
      </c>
      <c r="Q338" s="36"/>
      <c r="S338" s="1">
        <f t="shared" si="97"/>
        <v>0</v>
      </c>
      <c r="T338" s="1">
        <f t="shared" si="98"/>
        <v>1</v>
      </c>
      <c r="U338" s="1">
        <f t="shared" si="99"/>
        <v>0</v>
      </c>
      <c r="V338" s="1">
        <f t="shared" si="100"/>
        <v>0</v>
      </c>
      <c r="W338" s="1">
        <f t="shared" si="101"/>
        <v>0</v>
      </c>
      <c r="X338" s="1">
        <f t="shared" si="102"/>
        <v>0</v>
      </c>
      <c r="Y338" s="1">
        <f t="shared" si="103"/>
        <v>0</v>
      </c>
      <c r="Z338" s="1">
        <f t="shared" si="104"/>
        <v>0</v>
      </c>
      <c r="AA338" s="1">
        <f t="shared" si="105"/>
        <v>0</v>
      </c>
      <c r="AB338" s="1">
        <f t="shared" si="106"/>
        <v>0</v>
      </c>
      <c r="AD338" s="1">
        <f t="shared" si="107"/>
        <v>1</v>
      </c>
      <c r="AE338" s="1">
        <f t="shared" si="108"/>
        <v>0</v>
      </c>
      <c r="AF338" s="1">
        <f t="shared" si="109"/>
        <v>1</v>
      </c>
      <c r="AG338" s="1">
        <f t="shared" si="110"/>
        <v>0</v>
      </c>
      <c r="AH338" s="1">
        <f t="shared" si="111"/>
        <v>1</v>
      </c>
      <c r="AI338" s="1">
        <f t="shared" si="112"/>
        <v>0</v>
      </c>
    </row>
    <row r="339" spans="1:35" ht="14.25" customHeight="1" x14ac:dyDescent="0.25">
      <c r="A339" s="31">
        <v>0</v>
      </c>
      <c r="B339" s="31">
        <v>2</v>
      </c>
      <c r="C339" s="31">
        <v>2</v>
      </c>
      <c r="D339" s="32" t="s">
        <v>1543</v>
      </c>
      <c r="E339" s="32" t="s">
        <v>1544</v>
      </c>
      <c r="F339" s="32" t="s">
        <v>1546</v>
      </c>
      <c r="G339" s="32" t="s">
        <v>1547</v>
      </c>
      <c r="H339" s="32" t="s">
        <v>352</v>
      </c>
      <c r="I339" s="31" t="s">
        <v>1545</v>
      </c>
      <c r="J339" s="31">
        <v>99</v>
      </c>
      <c r="K339" s="33" t="s">
        <v>694</v>
      </c>
      <c r="L339" s="33">
        <v>18</v>
      </c>
      <c r="M339" s="34" t="s">
        <v>1548</v>
      </c>
      <c r="N339" s="34" t="s">
        <v>1709</v>
      </c>
      <c r="O339" s="35">
        <v>1</v>
      </c>
      <c r="P339" s="35"/>
      <c r="Q339" s="32"/>
      <c r="S339" s="1">
        <f t="shared" ref="S339:S403" si="113">IF(J339=$S$7,1,0)</f>
        <v>0</v>
      </c>
      <c r="T339" s="1">
        <f t="shared" ref="T339:T403" si="114">IF(J339=$T$7,1,0)</f>
        <v>0</v>
      </c>
      <c r="U339" s="1">
        <f t="shared" ref="U339:U403" si="115">IF(J339=$U$7,1,0)</f>
        <v>0</v>
      </c>
      <c r="V339" s="1">
        <f t="shared" ref="V339:V403" si="116">IF(J339=$V$7,1,0)</f>
        <v>0</v>
      </c>
      <c r="W339" s="1">
        <f t="shared" ref="W339:W403" si="117">IF(J339=$W$7,1,0)</f>
        <v>0</v>
      </c>
      <c r="X339" s="1">
        <f t="shared" ref="X339:X403" si="118">IF(J339=$X$7,1,0)</f>
        <v>0</v>
      </c>
      <c r="Y339" s="1">
        <f t="shared" ref="Y339:Y403" si="119">IF(J339=$Y$7,1,0)</f>
        <v>0</v>
      </c>
      <c r="Z339" s="1">
        <f t="shared" ref="Z339:Z403" si="120">IF(J339=$Z$7,1,0)</f>
        <v>0</v>
      </c>
      <c r="AA339" s="1">
        <f t="shared" ref="AA339:AA403" si="121">IF(J339=$AA$7,1,0)</f>
        <v>0</v>
      </c>
      <c r="AB339" s="1">
        <f t="shared" ref="AB339:AB403" si="122">IF(J339=$AB$7,1,0)</f>
        <v>0</v>
      </c>
      <c r="AD339" s="1">
        <f t="shared" ref="AD339:AD403" si="123">+O339*P339</f>
        <v>0</v>
      </c>
      <c r="AE339" s="1">
        <f t="shared" ref="AE339:AE403" si="124">O339*(1-P339)</f>
        <v>1</v>
      </c>
      <c r="AF339" s="1">
        <f t="shared" si="109"/>
        <v>0</v>
      </c>
      <c r="AG339" s="1">
        <f t="shared" si="110"/>
        <v>1</v>
      </c>
      <c r="AH339" s="1">
        <f t="shared" si="111"/>
        <v>0</v>
      </c>
      <c r="AI339" s="1">
        <f t="shared" si="112"/>
        <v>1</v>
      </c>
    </row>
    <row r="340" spans="1:35" ht="14.25" customHeight="1" x14ac:dyDescent="0.25">
      <c r="A340" s="31">
        <v>0</v>
      </c>
      <c r="B340" s="31">
        <v>2</v>
      </c>
      <c r="C340" s="31">
        <v>2</v>
      </c>
      <c r="D340" s="32" t="s">
        <v>64</v>
      </c>
      <c r="E340" s="32" t="s">
        <v>33</v>
      </c>
      <c r="F340" s="32" t="s">
        <v>240</v>
      </c>
      <c r="G340" s="32" t="s">
        <v>241</v>
      </c>
      <c r="H340" s="32" t="s">
        <v>352</v>
      </c>
      <c r="I340" s="31" t="s">
        <v>404</v>
      </c>
      <c r="J340" s="31">
        <v>1</v>
      </c>
      <c r="K340" s="33" t="s">
        <v>942</v>
      </c>
      <c r="L340" s="33" t="s">
        <v>707</v>
      </c>
      <c r="M340" s="34" t="s">
        <v>708</v>
      </c>
      <c r="N340" s="34" t="s">
        <v>1705</v>
      </c>
      <c r="O340" s="35">
        <v>1</v>
      </c>
      <c r="P340" s="35"/>
      <c r="Q340" s="32"/>
      <c r="S340" s="1">
        <f t="shared" si="113"/>
        <v>1</v>
      </c>
      <c r="T340" s="1">
        <f t="shared" si="114"/>
        <v>0</v>
      </c>
      <c r="U340" s="1">
        <f t="shared" si="115"/>
        <v>0</v>
      </c>
      <c r="V340" s="1">
        <f t="shared" si="116"/>
        <v>0</v>
      </c>
      <c r="W340" s="1">
        <f t="shared" si="117"/>
        <v>0</v>
      </c>
      <c r="X340" s="1">
        <f t="shared" si="118"/>
        <v>0</v>
      </c>
      <c r="Y340" s="1">
        <f t="shared" si="119"/>
        <v>0</v>
      </c>
      <c r="Z340" s="1">
        <f t="shared" si="120"/>
        <v>0</v>
      </c>
      <c r="AA340" s="1">
        <f t="shared" si="121"/>
        <v>0</v>
      </c>
      <c r="AB340" s="1">
        <f t="shared" si="122"/>
        <v>0</v>
      </c>
      <c r="AD340" s="1">
        <f t="shared" si="123"/>
        <v>0</v>
      </c>
      <c r="AE340" s="1">
        <f t="shared" si="124"/>
        <v>1</v>
      </c>
      <c r="AF340" s="1">
        <f t="shared" ref="AF340:AF404" si="125">+O340*P340*(1-A340)</f>
        <v>0</v>
      </c>
      <c r="AG340" s="1">
        <f t="shared" ref="AG340:AG404" si="126">O340*(1-P340)*(1-A340)</f>
        <v>1</v>
      </c>
      <c r="AH340" s="1">
        <f t="shared" ref="AH340:AH404" si="127">+P340*(1-A340)</f>
        <v>0</v>
      </c>
      <c r="AI340" s="1">
        <f t="shared" ref="AI340:AI404" si="128">+(1-A340)*(1-P340)</f>
        <v>1</v>
      </c>
    </row>
    <row r="341" spans="1:35" ht="14.25" customHeight="1" x14ac:dyDescent="0.25">
      <c r="A341" s="31">
        <v>0</v>
      </c>
      <c r="B341" s="31">
        <v>2</v>
      </c>
      <c r="C341" s="31">
        <v>2</v>
      </c>
      <c r="D341" s="32" t="s">
        <v>62</v>
      </c>
      <c r="E341" s="32" t="s">
        <v>1067</v>
      </c>
      <c r="F341" s="32" t="s">
        <v>233</v>
      </c>
      <c r="G341" s="32" t="s">
        <v>234</v>
      </c>
      <c r="H341" s="32" t="s">
        <v>352</v>
      </c>
      <c r="I341" s="31" t="s">
        <v>1337</v>
      </c>
      <c r="J341" s="31">
        <v>99</v>
      </c>
      <c r="K341" s="33" t="s">
        <v>936</v>
      </c>
      <c r="L341" s="33" t="s">
        <v>707</v>
      </c>
      <c r="M341" s="34" t="s">
        <v>709</v>
      </c>
      <c r="N341" s="34" t="s">
        <v>1705</v>
      </c>
      <c r="O341" s="35">
        <v>1</v>
      </c>
      <c r="P341" s="35"/>
      <c r="Q341" s="32"/>
      <c r="S341" s="1">
        <f t="shared" si="113"/>
        <v>0</v>
      </c>
      <c r="T341" s="1">
        <f t="shared" si="114"/>
        <v>0</v>
      </c>
      <c r="U341" s="1">
        <f t="shared" si="115"/>
        <v>0</v>
      </c>
      <c r="V341" s="1">
        <f t="shared" si="116"/>
        <v>0</v>
      </c>
      <c r="W341" s="1">
        <f t="shared" si="117"/>
        <v>0</v>
      </c>
      <c r="X341" s="1">
        <f t="shared" si="118"/>
        <v>0</v>
      </c>
      <c r="Y341" s="1">
        <f t="shared" si="119"/>
        <v>0</v>
      </c>
      <c r="Z341" s="1">
        <f t="shared" si="120"/>
        <v>0</v>
      </c>
      <c r="AA341" s="1">
        <f t="shared" si="121"/>
        <v>0</v>
      </c>
      <c r="AB341" s="1">
        <f t="shared" si="122"/>
        <v>0</v>
      </c>
      <c r="AD341" s="1">
        <f t="shared" si="123"/>
        <v>0</v>
      </c>
      <c r="AE341" s="1">
        <f t="shared" si="124"/>
        <v>1</v>
      </c>
      <c r="AF341" s="1">
        <f t="shared" si="125"/>
        <v>0</v>
      </c>
      <c r="AG341" s="1">
        <f t="shared" si="126"/>
        <v>1</v>
      </c>
      <c r="AH341" s="1">
        <f t="shared" si="127"/>
        <v>0</v>
      </c>
      <c r="AI341" s="1">
        <f t="shared" si="128"/>
        <v>1</v>
      </c>
    </row>
    <row r="342" spans="1:35" ht="14.25" customHeight="1" x14ac:dyDescent="0.25">
      <c r="A342" s="31">
        <v>0</v>
      </c>
      <c r="B342" s="31">
        <v>2</v>
      </c>
      <c r="C342" s="31">
        <v>2</v>
      </c>
      <c r="D342" s="32" t="s">
        <v>1682</v>
      </c>
      <c r="E342" s="32" t="s">
        <v>1684</v>
      </c>
      <c r="F342" s="32" t="s">
        <v>1683</v>
      </c>
      <c r="G342" s="32"/>
      <c r="H342" s="32" t="s">
        <v>352</v>
      </c>
      <c r="I342" s="31" t="s">
        <v>1685</v>
      </c>
      <c r="J342" s="31"/>
      <c r="K342" s="33" t="s">
        <v>694</v>
      </c>
      <c r="L342" s="33"/>
      <c r="M342" s="34"/>
      <c r="N342" s="34" t="s">
        <v>1693</v>
      </c>
      <c r="O342" s="35">
        <v>1</v>
      </c>
      <c r="P342" s="35">
        <v>1</v>
      </c>
      <c r="Q342" s="32"/>
      <c r="S342" s="1">
        <f t="shared" si="113"/>
        <v>0</v>
      </c>
      <c r="T342" s="1">
        <f t="shared" si="114"/>
        <v>0</v>
      </c>
      <c r="U342" s="1">
        <f t="shared" si="115"/>
        <v>0</v>
      </c>
      <c r="V342" s="1">
        <f t="shared" si="116"/>
        <v>0</v>
      </c>
      <c r="W342" s="1">
        <f t="shared" si="117"/>
        <v>0</v>
      </c>
      <c r="X342" s="1">
        <f t="shared" si="118"/>
        <v>0</v>
      </c>
      <c r="Y342" s="1">
        <f t="shared" si="119"/>
        <v>0</v>
      </c>
      <c r="Z342" s="1">
        <f t="shared" si="120"/>
        <v>0</v>
      </c>
      <c r="AA342" s="1">
        <f t="shared" si="121"/>
        <v>0</v>
      </c>
      <c r="AB342" s="1">
        <f t="shared" si="122"/>
        <v>0</v>
      </c>
      <c r="AD342" s="1">
        <f t="shared" si="123"/>
        <v>1</v>
      </c>
      <c r="AE342" s="1">
        <f t="shared" si="124"/>
        <v>0</v>
      </c>
      <c r="AF342" s="1">
        <f t="shared" si="125"/>
        <v>1</v>
      </c>
      <c r="AG342" s="1">
        <f t="shared" si="126"/>
        <v>0</v>
      </c>
      <c r="AH342" s="1">
        <f t="shared" si="127"/>
        <v>1</v>
      </c>
      <c r="AI342" s="1">
        <f t="shared" si="128"/>
        <v>0</v>
      </c>
    </row>
    <row r="343" spans="1:35" ht="14.25" customHeight="1" x14ac:dyDescent="0.25">
      <c r="A343" s="31">
        <v>0</v>
      </c>
      <c r="B343" s="31">
        <v>2</v>
      </c>
      <c r="C343" s="31">
        <v>2</v>
      </c>
      <c r="D343" s="32" t="s">
        <v>772</v>
      </c>
      <c r="E343" s="32" t="s">
        <v>892</v>
      </c>
      <c r="F343" s="32" t="s">
        <v>1538</v>
      </c>
      <c r="G343" s="32" t="s">
        <v>229</v>
      </c>
      <c r="H343" s="32" t="s">
        <v>352</v>
      </c>
      <c r="I343" s="31" t="s">
        <v>1660</v>
      </c>
      <c r="J343" s="31">
        <v>7</v>
      </c>
      <c r="K343" s="33" t="s">
        <v>704</v>
      </c>
      <c r="L343" s="33">
        <v>20</v>
      </c>
      <c r="M343" s="34" t="s">
        <v>39</v>
      </c>
      <c r="N343" s="34" t="s">
        <v>1710</v>
      </c>
      <c r="O343" s="35">
        <v>1</v>
      </c>
      <c r="P343" s="35"/>
      <c r="Q343" s="32"/>
      <c r="S343" s="1">
        <f t="shared" si="113"/>
        <v>0</v>
      </c>
      <c r="T343" s="1">
        <f t="shared" si="114"/>
        <v>0</v>
      </c>
      <c r="U343" s="1">
        <f t="shared" si="115"/>
        <v>0</v>
      </c>
      <c r="V343" s="1">
        <f t="shared" si="116"/>
        <v>0</v>
      </c>
      <c r="W343" s="1">
        <f t="shared" si="117"/>
        <v>0</v>
      </c>
      <c r="X343" s="1">
        <f t="shared" si="118"/>
        <v>0</v>
      </c>
      <c r="Y343" s="1">
        <f t="shared" si="119"/>
        <v>1</v>
      </c>
      <c r="Z343" s="1">
        <f t="shared" si="120"/>
        <v>0</v>
      </c>
      <c r="AA343" s="1">
        <f t="shared" si="121"/>
        <v>0</v>
      </c>
      <c r="AB343" s="1">
        <f t="shared" si="122"/>
        <v>0</v>
      </c>
      <c r="AD343" s="1">
        <f t="shared" si="123"/>
        <v>0</v>
      </c>
      <c r="AE343" s="1">
        <f t="shared" si="124"/>
        <v>1</v>
      </c>
      <c r="AF343" s="1">
        <f t="shared" si="125"/>
        <v>0</v>
      </c>
      <c r="AG343" s="1">
        <f t="shared" si="126"/>
        <v>1</v>
      </c>
      <c r="AH343" s="1">
        <f t="shared" si="127"/>
        <v>0</v>
      </c>
      <c r="AI343" s="1">
        <f t="shared" si="128"/>
        <v>1</v>
      </c>
    </row>
    <row r="344" spans="1:35" ht="14.25" customHeight="1" x14ac:dyDescent="0.25">
      <c r="A344" s="31">
        <v>0</v>
      </c>
      <c r="B344" s="31">
        <v>2</v>
      </c>
      <c r="C344" s="31">
        <v>2</v>
      </c>
      <c r="D344" s="32" t="s">
        <v>837</v>
      </c>
      <c r="E344" s="32" t="s">
        <v>537</v>
      </c>
      <c r="F344" s="32" t="s">
        <v>839</v>
      </c>
      <c r="G344" s="32" t="s">
        <v>219</v>
      </c>
      <c r="H344" s="32" t="s">
        <v>352</v>
      </c>
      <c r="I344" s="31" t="s">
        <v>840</v>
      </c>
      <c r="J344" s="31">
        <v>8</v>
      </c>
      <c r="K344" s="33" t="s">
        <v>704</v>
      </c>
      <c r="L344" s="33" t="s">
        <v>707</v>
      </c>
      <c r="M344" s="34" t="s">
        <v>1383</v>
      </c>
      <c r="N344" s="34" t="s">
        <v>1705</v>
      </c>
      <c r="O344" s="35">
        <v>1</v>
      </c>
      <c r="P344" s="35"/>
      <c r="Q344" s="32"/>
      <c r="S344" s="1">
        <f t="shared" si="113"/>
        <v>0</v>
      </c>
      <c r="T344" s="1">
        <f t="shared" si="114"/>
        <v>0</v>
      </c>
      <c r="U344" s="1">
        <f t="shared" si="115"/>
        <v>0</v>
      </c>
      <c r="V344" s="1">
        <f t="shared" si="116"/>
        <v>0</v>
      </c>
      <c r="W344" s="1">
        <f t="shared" si="117"/>
        <v>0</v>
      </c>
      <c r="X344" s="1">
        <f t="shared" si="118"/>
        <v>0</v>
      </c>
      <c r="Y344" s="1">
        <f t="shared" si="119"/>
        <v>0</v>
      </c>
      <c r="Z344" s="1">
        <f t="shared" si="120"/>
        <v>1</v>
      </c>
      <c r="AA344" s="1">
        <f t="shared" si="121"/>
        <v>0</v>
      </c>
      <c r="AB344" s="1">
        <f t="shared" si="122"/>
        <v>0</v>
      </c>
      <c r="AD344" s="1">
        <f t="shared" si="123"/>
        <v>0</v>
      </c>
      <c r="AE344" s="1">
        <f t="shared" si="124"/>
        <v>1</v>
      </c>
      <c r="AF344" s="1">
        <f t="shared" si="125"/>
        <v>0</v>
      </c>
      <c r="AG344" s="1">
        <f t="shared" si="126"/>
        <v>1</v>
      </c>
      <c r="AH344" s="1">
        <f t="shared" si="127"/>
        <v>0</v>
      </c>
      <c r="AI344" s="1">
        <f t="shared" si="128"/>
        <v>1</v>
      </c>
    </row>
    <row r="345" spans="1:35" ht="14.25" customHeight="1" x14ac:dyDescent="0.25">
      <c r="A345" s="31">
        <v>1</v>
      </c>
      <c r="B345" s="31">
        <v>2</v>
      </c>
      <c r="C345" s="31">
        <v>2</v>
      </c>
      <c r="D345" s="32" t="s">
        <v>837</v>
      </c>
      <c r="E345" s="32" t="s">
        <v>537</v>
      </c>
      <c r="F345" s="32" t="s">
        <v>1326</v>
      </c>
      <c r="G345" s="32" t="s">
        <v>193</v>
      </c>
      <c r="H345" s="32" t="s">
        <v>352</v>
      </c>
      <c r="I345" s="31" t="s">
        <v>838</v>
      </c>
      <c r="J345" s="31">
        <v>9</v>
      </c>
      <c r="K345" s="33" t="s">
        <v>704</v>
      </c>
      <c r="L345" s="33" t="s">
        <v>707</v>
      </c>
      <c r="M345" s="34" t="s">
        <v>1383</v>
      </c>
      <c r="N345" s="34" t="s">
        <v>1705</v>
      </c>
      <c r="O345" s="35">
        <v>1</v>
      </c>
      <c r="P345" s="35"/>
      <c r="Q345" s="32"/>
      <c r="S345" s="1">
        <f t="shared" si="113"/>
        <v>0</v>
      </c>
      <c r="T345" s="1">
        <f t="shared" si="114"/>
        <v>0</v>
      </c>
      <c r="U345" s="1">
        <f t="shared" si="115"/>
        <v>0</v>
      </c>
      <c r="V345" s="1">
        <f t="shared" si="116"/>
        <v>0</v>
      </c>
      <c r="W345" s="1">
        <f t="shared" si="117"/>
        <v>0</v>
      </c>
      <c r="X345" s="1">
        <f t="shared" si="118"/>
        <v>0</v>
      </c>
      <c r="Y345" s="1">
        <f t="shared" si="119"/>
        <v>0</v>
      </c>
      <c r="Z345" s="1">
        <f t="shared" si="120"/>
        <v>0</v>
      </c>
      <c r="AA345" s="1">
        <f t="shared" si="121"/>
        <v>1</v>
      </c>
      <c r="AB345" s="1">
        <f t="shared" si="122"/>
        <v>0</v>
      </c>
      <c r="AD345" s="1">
        <f t="shared" si="123"/>
        <v>0</v>
      </c>
      <c r="AE345" s="1">
        <f t="shared" si="124"/>
        <v>1</v>
      </c>
      <c r="AF345" s="1">
        <f t="shared" si="125"/>
        <v>0</v>
      </c>
      <c r="AG345" s="1">
        <f t="shared" si="126"/>
        <v>0</v>
      </c>
      <c r="AH345" s="1">
        <f t="shared" si="127"/>
        <v>0</v>
      </c>
      <c r="AI345" s="1">
        <f t="shared" si="128"/>
        <v>0</v>
      </c>
    </row>
    <row r="346" spans="1:35" ht="14.25" customHeight="1" x14ac:dyDescent="0.25">
      <c r="A346" s="31">
        <v>0</v>
      </c>
      <c r="B346" s="31">
        <v>2</v>
      </c>
      <c r="C346" s="31">
        <v>2</v>
      </c>
      <c r="D346" s="32" t="s">
        <v>901</v>
      </c>
      <c r="E346" s="32" t="s">
        <v>770</v>
      </c>
      <c r="F346" s="32" t="s">
        <v>771</v>
      </c>
      <c r="G346" s="32" t="s">
        <v>229</v>
      </c>
      <c r="H346" s="32" t="s">
        <v>352</v>
      </c>
      <c r="I346" s="31" t="s">
        <v>773</v>
      </c>
      <c r="J346" s="31">
        <v>7</v>
      </c>
      <c r="K346" s="33" t="s">
        <v>703</v>
      </c>
      <c r="L346" s="33">
        <v>15</v>
      </c>
      <c r="M346" s="34" t="s">
        <v>39</v>
      </c>
      <c r="N346" s="34" t="s">
        <v>1705</v>
      </c>
      <c r="O346" s="35">
        <v>1</v>
      </c>
      <c r="P346" s="35"/>
      <c r="Q346" s="32"/>
      <c r="S346" s="1">
        <f t="shared" si="113"/>
        <v>0</v>
      </c>
      <c r="T346" s="1">
        <f t="shared" si="114"/>
        <v>0</v>
      </c>
      <c r="U346" s="1">
        <f t="shared" si="115"/>
        <v>0</v>
      </c>
      <c r="V346" s="1">
        <f t="shared" si="116"/>
        <v>0</v>
      </c>
      <c r="W346" s="1">
        <f t="shared" si="117"/>
        <v>0</v>
      </c>
      <c r="X346" s="1">
        <f t="shared" si="118"/>
        <v>0</v>
      </c>
      <c r="Y346" s="1">
        <f t="shared" si="119"/>
        <v>1</v>
      </c>
      <c r="Z346" s="1">
        <f t="shared" si="120"/>
        <v>0</v>
      </c>
      <c r="AA346" s="1">
        <f t="shared" si="121"/>
        <v>0</v>
      </c>
      <c r="AB346" s="1">
        <f t="shared" si="122"/>
        <v>0</v>
      </c>
      <c r="AD346" s="1">
        <f t="shared" si="123"/>
        <v>0</v>
      </c>
      <c r="AE346" s="1">
        <f t="shared" si="124"/>
        <v>1</v>
      </c>
      <c r="AF346" s="1">
        <f t="shared" si="125"/>
        <v>0</v>
      </c>
      <c r="AG346" s="1">
        <f t="shared" si="126"/>
        <v>1</v>
      </c>
      <c r="AH346" s="1">
        <f t="shared" si="127"/>
        <v>0</v>
      </c>
      <c r="AI346" s="1">
        <f t="shared" si="128"/>
        <v>1</v>
      </c>
    </row>
    <row r="347" spans="1:35" ht="14.25" customHeight="1" x14ac:dyDescent="0.25">
      <c r="A347" s="31">
        <v>0</v>
      </c>
      <c r="B347" s="31">
        <v>2</v>
      </c>
      <c r="C347" s="31">
        <v>2</v>
      </c>
      <c r="D347" s="32" t="s">
        <v>83</v>
      </c>
      <c r="E347" s="32" t="s">
        <v>156</v>
      </c>
      <c r="F347" s="32" t="s">
        <v>1832</v>
      </c>
      <c r="G347" s="32" t="s">
        <v>208</v>
      </c>
      <c r="H347" s="32" t="s">
        <v>352</v>
      </c>
      <c r="I347" s="31" t="s">
        <v>430</v>
      </c>
      <c r="J347" s="31">
        <v>99</v>
      </c>
      <c r="K347" s="33" t="s">
        <v>935</v>
      </c>
      <c r="L347" s="33" t="s">
        <v>695</v>
      </c>
      <c r="M347" s="34" t="s">
        <v>710</v>
      </c>
      <c r="N347" s="34" t="s">
        <v>1705</v>
      </c>
      <c r="O347" s="35">
        <v>1</v>
      </c>
      <c r="P347" s="35"/>
      <c r="Q347" s="32"/>
      <c r="S347" s="1">
        <f t="shared" si="113"/>
        <v>0</v>
      </c>
      <c r="T347" s="1">
        <f t="shared" si="114"/>
        <v>0</v>
      </c>
      <c r="U347" s="1">
        <f t="shared" si="115"/>
        <v>0</v>
      </c>
      <c r="V347" s="1">
        <f t="shared" si="116"/>
        <v>0</v>
      </c>
      <c r="W347" s="1">
        <f t="shared" si="117"/>
        <v>0</v>
      </c>
      <c r="X347" s="1">
        <f t="shared" si="118"/>
        <v>0</v>
      </c>
      <c r="Y347" s="1">
        <f t="shared" si="119"/>
        <v>0</v>
      </c>
      <c r="Z347" s="1">
        <f t="shared" si="120"/>
        <v>0</v>
      </c>
      <c r="AA347" s="1">
        <f t="shared" si="121"/>
        <v>0</v>
      </c>
      <c r="AB347" s="1">
        <f t="shared" si="122"/>
        <v>0</v>
      </c>
      <c r="AD347" s="1">
        <f t="shared" si="123"/>
        <v>0</v>
      </c>
      <c r="AE347" s="1">
        <f t="shared" si="124"/>
        <v>1</v>
      </c>
      <c r="AF347" s="1">
        <f t="shared" si="125"/>
        <v>0</v>
      </c>
      <c r="AG347" s="1">
        <f t="shared" si="126"/>
        <v>1</v>
      </c>
      <c r="AH347" s="1">
        <f t="shared" si="127"/>
        <v>0</v>
      </c>
      <c r="AI347" s="1">
        <f t="shared" si="128"/>
        <v>1</v>
      </c>
    </row>
    <row r="348" spans="1:35" ht="14.25" customHeight="1" x14ac:dyDescent="0.25">
      <c r="A348" s="31">
        <v>0</v>
      </c>
      <c r="B348" s="31">
        <v>2</v>
      </c>
      <c r="C348" s="31">
        <v>2</v>
      </c>
      <c r="D348" s="32" t="s">
        <v>1531</v>
      </c>
      <c r="E348" s="32" t="s">
        <v>1308</v>
      </c>
      <c r="F348" s="32" t="s">
        <v>1532</v>
      </c>
      <c r="G348" s="32" t="s">
        <v>1144</v>
      </c>
      <c r="H348" s="32" t="s">
        <v>352</v>
      </c>
      <c r="I348" s="31" t="s">
        <v>1533</v>
      </c>
      <c r="J348" s="31">
        <v>1</v>
      </c>
      <c r="K348" s="33" t="s">
        <v>704</v>
      </c>
      <c r="L348" s="33" t="s">
        <v>39</v>
      </c>
      <c r="M348" s="34" t="s">
        <v>39</v>
      </c>
      <c r="N348" s="34" t="s">
        <v>1693</v>
      </c>
      <c r="O348" s="35">
        <v>1</v>
      </c>
      <c r="P348" s="35">
        <v>1</v>
      </c>
      <c r="Q348" s="32"/>
      <c r="S348" s="1">
        <f t="shared" si="113"/>
        <v>1</v>
      </c>
      <c r="T348" s="1">
        <f t="shared" si="114"/>
        <v>0</v>
      </c>
      <c r="U348" s="1">
        <f t="shared" si="115"/>
        <v>0</v>
      </c>
      <c r="V348" s="1">
        <f t="shared" si="116"/>
        <v>0</v>
      </c>
      <c r="W348" s="1">
        <f t="shared" si="117"/>
        <v>0</v>
      </c>
      <c r="X348" s="1">
        <f t="shared" si="118"/>
        <v>0</v>
      </c>
      <c r="Y348" s="1">
        <f t="shared" si="119"/>
        <v>0</v>
      </c>
      <c r="Z348" s="1">
        <f t="shared" si="120"/>
        <v>0</v>
      </c>
      <c r="AA348" s="1">
        <f t="shared" si="121"/>
        <v>0</v>
      </c>
      <c r="AB348" s="1">
        <f t="shared" si="122"/>
        <v>0</v>
      </c>
      <c r="AD348" s="1">
        <f t="shared" si="123"/>
        <v>1</v>
      </c>
      <c r="AE348" s="1">
        <f t="shared" si="124"/>
        <v>0</v>
      </c>
      <c r="AF348" s="1">
        <f t="shared" si="125"/>
        <v>1</v>
      </c>
      <c r="AG348" s="1">
        <f t="shared" si="126"/>
        <v>0</v>
      </c>
      <c r="AH348" s="1">
        <f t="shared" si="127"/>
        <v>1</v>
      </c>
      <c r="AI348" s="1">
        <f t="shared" si="128"/>
        <v>0</v>
      </c>
    </row>
    <row r="349" spans="1:35" ht="14.25" customHeight="1" x14ac:dyDescent="0.25">
      <c r="A349" s="31">
        <v>0</v>
      </c>
      <c r="B349" s="31">
        <v>2</v>
      </c>
      <c r="C349" s="31">
        <v>2</v>
      </c>
      <c r="D349" s="32" t="s">
        <v>1706</v>
      </c>
      <c r="E349" s="32" t="s">
        <v>27</v>
      </c>
      <c r="F349" s="32" t="s">
        <v>1025</v>
      </c>
      <c r="G349" s="32" t="s">
        <v>219</v>
      </c>
      <c r="H349" s="32" t="s">
        <v>352</v>
      </c>
      <c r="I349" s="31" t="s">
        <v>1026</v>
      </c>
      <c r="J349" s="31">
        <v>8</v>
      </c>
      <c r="K349" s="33" t="s">
        <v>704</v>
      </c>
      <c r="L349" s="33">
        <v>25</v>
      </c>
      <c r="M349" s="34" t="s">
        <v>1707</v>
      </c>
      <c r="N349" s="34" t="s">
        <v>1693</v>
      </c>
      <c r="O349" s="35">
        <v>1</v>
      </c>
      <c r="P349" s="35">
        <v>1</v>
      </c>
      <c r="Q349" s="32"/>
      <c r="S349" s="1">
        <f t="shared" si="113"/>
        <v>0</v>
      </c>
      <c r="T349" s="1">
        <f t="shared" si="114"/>
        <v>0</v>
      </c>
      <c r="U349" s="1">
        <f t="shared" si="115"/>
        <v>0</v>
      </c>
      <c r="V349" s="1">
        <f t="shared" si="116"/>
        <v>0</v>
      </c>
      <c r="W349" s="1">
        <f t="shared" si="117"/>
        <v>0</v>
      </c>
      <c r="X349" s="1">
        <f t="shared" si="118"/>
        <v>0</v>
      </c>
      <c r="Y349" s="1">
        <f t="shared" si="119"/>
        <v>0</v>
      </c>
      <c r="Z349" s="1">
        <f t="shared" si="120"/>
        <v>1</v>
      </c>
      <c r="AA349" s="1">
        <f t="shared" si="121"/>
        <v>0</v>
      </c>
      <c r="AB349" s="1">
        <f t="shared" si="122"/>
        <v>0</v>
      </c>
      <c r="AD349" s="1">
        <f t="shared" si="123"/>
        <v>1</v>
      </c>
      <c r="AE349" s="1">
        <f t="shared" si="124"/>
        <v>0</v>
      </c>
      <c r="AF349" s="1">
        <f t="shared" si="125"/>
        <v>1</v>
      </c>
      <c r="AG349" s="1">
        <f t="shared" si="126"/>
        <v>0</v>
      </c>
      <c r="AH349" s="1">
        <f t="shared" si="127"/>
        <v>1</v>
      </c>
      <c r="AI349" s="1">
        <f t="shared" si="128"/>
        <v>0</v>
      </c>
    </row>
    <row r="350" spans="1:35" ht="14.25" customHeight="1" x14ac:dyDescent="0.25">
      <c r="A350" s="31">
        <v>0</v>
      </c>
      <c r="B350" s="31">
        <v>2</v>
      </c>
      <c r="C350" s="31">
        <v>2</v>
      </c>
      <c r="D350" s="32" t="s">
        <v>45</v>
      </c>
      <c r="E350" s="32" t="s">
        <v>44</v>
      </c>
      <c r="F350" s="32" t="s">
        <v>661</v>
      </c>
      <c r="G350" s="32" t="s">
        <v>179</v>
      </c>
      <c r="H350" s="32" t="s">
        <v>352</v>
      </c>
      <c r="I350" s="31" t="s">
        <v>931</v>
      </c>
      <c r="J350" s="31">
        <v>10</v>
      </c>
      <c r="K350" s="33" t="s">
        <v>704</v>
      </c>
      <c r="L350" s="33" t="s">
        <v>711</v>
      </c>
      <c r="M350" s="34" t="s">
        <v>712</v>
      </c>
      <c r="N350" s="34" t="s">
        <v>1693</v>
      </c>
      <c r="O350" s="35">
        <v>1</v>
      </c>
      <c r="P350" s="35">
        <v>1</v>
      </c>
      <c r="Q350" s="32"/>
      <c r="S350" s="1">
        <f t="shared" si="113"/>
        <v>0</v>
      </c>
      <c r="T350" s="1">
        <f t="shared" si="114"/>
        <v>0</v>
      </c>
      <c r="U350" s="1">
        <f t="shared" si="115"/>
        <v>0</v>
      </c>
      <c r="V350" s="1">
        <f t="shared" si="116"/>
        <v>0</v>
      </c>
      <c r="W350" s="1">
        <f t="shared" si="117"/>
        <v>0</v>
      </c>
      <c r="X350" s="1">
        <f t="shared" si="118"/>
        <v>0</v>
      </c>
      <c r="Y350" s="1">
        <f t="shared" si="119"/>
        <v>0</v>
      </c>
      <c r="Z350" s="1">
        <f t="shared" si="120"/>
        <v>0</v>
      </c>
      <c r="AA350" s="1">
        <f t="shared" si="121"/>
        <v>0</v>
      </c>
      <c r="AB350" s="1">
        <f t="shared" si="122"/>
        <v>1</v>
      </c>
      <c r="AD350" s="1">
        <f t="shared" si="123"/>
        <v>1</v>
      </c>
      <c r="AE350" s="1">
        <f t="shared" si="124"/>
        <v>0</v>
      </c>
      <c r="AF350" s="1">
        <f t="shared" si="125"/>
        <v>1</v>
      </c>
      <c r="AG350" s="1">
        <f t="shared" si="126"/>
        <v>0</v>
      </c>
      <c r="AH350" s="1">
        <f t="shared" si="127"/>
        <v>1</v>
      </c>
      <c r="AI350" s="1">
        <f t="shared" si="128"/>
        <v>0</v>
      </c>
    </row>
    <row r="351" spans="1:35" ht="14.25" customHeight="1" x14ac:dyDescent="0.25">
      <c r="A351" s="31">
        <v>0</v>
      </c>
      <c r="B351" s="31">
        <v>2</v>
      </c>
      <c r="C351" s="31">
        <v>2</v>
      </c>
      <c r="D351" s="32" t="s">
        <v>1417</v>
      </c>
      <c r="E351" s="32" t="s">
        <v>1620</v>
      </c>
      <c r="F351" s="32" t="s">
        <v>1635</v>
      </c>
      <c r="G351" s="32" t="s">
        <v>229</v>
      </c>
      <c r="H351" s="32" t="s">
        <v>352</v>
      </c>
      <c r="I351" s="31" t="s">
        <v>1418</v>
      </c>
      <c r="J351" s="31">
        <v>99</v>
      </c>
      <c r="K351" s="33" t="s">
        <v>936</v>
      </c>
      <c r="L351" s="33">
        <v>20</v>
      </c>
      <c r="M351" s="34" t="s">
        <v>39</v>
      </c>
      <c r="N351" s="34" t="s">
        <v>1693</v>
      </c>
      <c r="O351" s="35">
        <v>1</v>
      </c>
      <c r="P351" s="35">
        <v>1</v>
      </c>
      <c r="Q351" s="32"/>
      <c r="S351" s="1">
        <f t="shared" si="113"/>
        <v>0</v>
      </c>
      <c r="T351" s="1">
        <f t="shared" si="114"/>
        <v>0</v>
      </c>
      <c r="U351" s="1">
        <f t="shared" si="115"/>
        <v>0</v>
      </c>
      <c r="V351" s="1">
        <f t="shared" si="116"/>
        <v>0</v>
      </c>
      <c r="W351" s="1">
        <f t="shared" si="117"/>
        <v>0</v>
      </c>
      <c r="X351" s="1">
        <f t="shared" si="118"/>
        <v>0</v>
      </c>
      <c r="Y351" s="1">
        <f t="shared" si="119"/>
        <v>0</v>
      </c>
      <c r="Z351" s="1">
        <f t="shared" si="120"/>
        <v>0</v>
      </c>
      <c r="AA351" s="1">
        <f t="shared" si="121"/>
        <v>0</v>
      </c>
      <c r="AB351" s="1">
        <f t="shared" si="122"/>
        <v>0</v>
      </c>
      <c r="AD351" s="1">
        <f t="shared" si="123"/>
        <v>1</v>
      </c>
      <c r="AE351" s="1">
        <f t="shared" si="124"/>
        <v>0</v>
      </c>
      <c r="AF351" s="1">
        <f t="shared" si="125"/>
        <v>1</v>
      </c>
      <c r="AG351" s="1">
        <f t="shared" si="126"/>
        <v>0</v>
      </c>
      <c r="AH351" s="1">
        <f t="shared" si="127"/>
        <v>1</v>
      </c>
      <c r="AI351" s="1">
        <f t="shared" si="128"/>
        <v>0</v>
      </c>
    </row>
    <row r="352" spans="1:35" ht="14.25" customHeight="1" x14ac:dyDescent="0.25">
      <c r="A352" s="59">
        <v>0</v>
      </c>
      <c r="B352" s="59">
        <v>2</v>
      </c>
      <c r="C352" s="59">
        <v>2</v>
      </c>
      <c r="D352" s="49" t="s">
        <v>1947</v>
      </c>
      <c r="E352" s="49" t="s">
        <v>2031</v>
      </c>
      <c r="F352" s="49" t="s">
        <v>1948</v>
      </c>
      <c r="G352" s="49" t="s">
        <v>178</v>
      </c>
      <c r="H352" s="49" t="s">
        <v>352</v>
      </c>
      <c r="I352" s="59" t="s">
        <v>1949</v>
      </c>
      <c r="J352" s="59"/>
      <c r="K352" s="59" t="s">
        <v>694</v>
      </c>
      <c r="L352" s="59"/>
      <c r="M352" s="49"/>
      <c r="N352" s="49"/>
      <c r="O352" s="60"/>
      <c r="P352" s="60">
        <v>1</v>
      </c>
      <c r="Q352" s="49"/>
      <c r="S352" s="1">
        <f t="shared" si="113"/>
        <v>0</v>
      </c>
      <c r="T352" s="1">
        <f t="shared" si="114"/>
        <v>0</v>
      </c>
      <c r="U352" s="1">
        <f t="shared" si="115"/>
        <v>0</v>
      </c>
      <c r="V352" s="1">
        <f t="shared" si="116"/>
        <v>0</v>
      </c>
      <c r="W352" s="1">
        <f t="shared" si="117"/>
        <v>0</v>
      </c>
      <c r="X352" s="1">
        <f t="shared" si="118"/>
        <v>0</v>
      </c>
      <c r="Y352" s="1">
        <f t="shared" si="119"/>
        <v>0</v>
      </c>
      <c r="Z352" s="1">
        <f t="shared" si="120"/>
        <v>0</v>
      </c>
      <c r="AA352" s="1">
        <f t="shared" si="121"/>
        <v>0</v>
      </c>
      <c r="AB352" s="1">
        <f t="shared" si="122"/>
        <v>0</v>
      </c>
      <c r="AD352" s="1">
        <f t="shared" si="123"/>
        <v>0</v>
      </c>
      <c r="AE352" s="1">
        <f t="shared" si="124"/>
        <v>0</v>
      </c>
      <c r="AF352" s="1">
        <f t="shared" si="125"/>
        <v>0</v>
      </c>
      <c r="AG352" s="1">
        <f t="shared" si="126"/>
        <v>0</v>
      </c>
      <c r="AH352" s="1">
        <f t="shared" si="127"/>
        <v>1</v>
      </c>
      <c r="AI352" s="1">
        <f t="shared" si="128"/>
        <v>0</v>
      </c>
    </row>
    <row r="353" spans="1:35" ht="14.25" customHeight="1" x14ac:dyDescent="0.25">
      <c r="A353" s="31">
        <v>0</v>
      </c>
      <c r="B353" s="31">
        <v>2</v>
      </c>
      <c r="C353" s="31">
        <v>2</v>
      </c>
      <c r="D353" s="32" t="s">
        <v>598</v>
      </c>
      <c r="E353" s="32" t="s">
        <v>599</v>
      </c>
      <c r="F353" s="32" t="s">
        <v>600</v>
      </c>
      <c r="G353" s="32" t="s">
        <v>256</v>
      </c>
      <c r="H353" s="32" t="s">
        <v>352</v>
      </c>
      <c r="I353" s="31" t="s">
        <v>601</v>
      </c>
      <c r="J353" s="31">
        <v>99</v>
      </c>
      <c r="K353" s="33" t="s">
        <v>936</v>
      </c>
      <c r="L353" s="33" t="s">
        <v>695</v>
      </c>
      <c r="M353" s="34" t="s">
        <v>1384</v>
      </c>
      <c r="N353" s="34" t="s">
        <v>1705</v>
      </c>
      <c r="O353" s="35">
        <v>1</v>
      </c>
      <c r="P353" s="35"/>
      <c r="Q353" s="32"/>
      <c r="S353" s="1">
        <f t="shared" si="113"/>
        <v>0</v>
      </c>
      <c r="T353" s="1">
        <f t="shared" si="114"/>
        <v>0</v>
      </c>
      <c r="U353" s="1">
        <f t="shared" si="115"/>
        <v>0</v>
      </c>
      <c r="V353" s="1">
        <f t="shared" si="116"/>
        <v>0</v>
      </c>
      <c r="W353" s="1">
        <f t="shared" si="117"/>
        <v>0</v>
      </c>
      <c r="X353" s="1">
        <f t="shared" si="118"/>
        <v>0</v>
      </c>
      <c r="Y353" s="1">
        <f t="shared" si="119"/>
        <v>0</v>
      </c>
      <c r="Z353" s="1">
        <f t="shared" si="120"/>
        <v>0</v>
      </c>
      <c r="AA353" s="1">
        <f t="shared" si="121"/>
        <v>0</v>
      </c>
      <c r="AB353" s="1">
        <f t="shared" si="122"/>
        <v>0</v>
      </c>
      <c r="AD353" s="1">
        <f t="shared" si="123"/>
        <v>0</v>
      </c>
      <c r="AE353" s="1">
        <f t="shared" si="124"/>
        <v>1</v>
      </c>
      <c r="AF353" s="1">
        <f t="shared" si="125"/>
        <v>0</v>
      </c>
      <c r="AG353" s="1">
        <f t="shared" si="126"/>
        <v>1</v>
      </c>
      <c r="AH353" s="1">
        <f t="shared" si="127"/>
        <v>0</v>
      </c>
      <c r="AI353" s="1">
        <f t="shared" si="128"/>
        <v>1</v>
      </c>
    </row>
    <row r="354" spans="1:35" ht="14.25" customHeight="1" x14ac:dyDescent="0.25">
      <c r="A354" s="31">
        <v>0</v>
      </c>
      <c r="B354" s="31">
        <v>2</v>
      </c>
      <c r="C354" s="31">
        <v>2</v>
      </c>
      <c r="D354" s="32" t="s">
        <v>1884</v>
      </c>
      <c r="E354" s="32" t="s">
        <v>1885</v>
      </c>
      <c r="F354" s="32" t="s">
        <v>1886</v>
      </c>
      <c r="G354" s="32" t="s">
        <v>183</v>
      </c>
      <c r="H354" s="32" t="s">
        <v>352</v>
      </c>
      <c r="I354" s="31" t="s">
        <v>1888</v>
      </c>
      <c r="J354" s="31">
        <v>99</v>
      </c>
      <c r="K354" s="33" t="s">
        <v>694</v>
      </c>
      <c r="L354" s="33"/>
      <c r="M354" s="34"/>
      <c r="N354" s="34" t="s">
        <v>1693</v>
      </c>
      <c r="O354" s="35">
        <v>1</v>
      </c>
      <c r="P354" s="35">
        <v>1</v>
      </c>
      <c r="Q354" s="32" t="s">
        <v>1887</v>
      </c>
      <c r="S354" s="1">
        <f t="shared" si="113"/>
        <v>0</v>
      </c>
      <c r="T354" s="1">
        <f t="shared" si="114"/>
        <v>0</v>
      </c>
      <c r="U354" s="1">
        <f t="shared" si="115"/>
        <v>0</v>
      </c>
      <c r="V354" s="1">
        <f t="shared" si="116"/>
        <v>0</v>
      </c>
      <c r="W354" s="1">
        <f t="shared" si="117"/>
        <v>0</v>
      </c>
      <c r="X354" s="1">
        <f t="shared" si="118"/>
        <v>0</v>
      </c>
      <c r="Y354" s="1">
        <f t="shared" si="119"/>
        <v>0</v>
      </c>
      <c r="Z354" s="1">
        <f t="shared" si="120"/>
        <v>0</v>
      </c>
      <c r="AA354" s="1">
        <f t="shared" si="121"/>
        <v>0</v>
      </c>
      <c r="AB354" s="1">
        <f t="shared" si="122"/>
        <v>0</v>
      </c>
      <c r="AD354" s="1">
        <f t="shared" si="123"/>
        <v>1</v>
      </c>
      <c r="AE354" s="1">
        <f t="shared" si="124"/>
        <v>0</v>
      </c>
      <c r="AF354" s="1">
        <f t="shared" si="125"/>
        <v>1</v>
      </c>
      <c r="AG354" s="1">
        <f t="shared" si="126"/>
        <v>0</v>
      </c>
      <c r="AH354" s="1">
        <f t="shared" si="127"/>
        <v>1</v>
      </c>
      <c r="AI354" s="1">
        <f t="shared" si="128"/>
        <v>0</v>
      </c>
    </row>
    <row r="355" spans="1:35" ht="14.25" customHeight="1" x14ac:dyDescent="0.25">
      <c r="A355" s="31">
        <v>0</v>
      </c>
      <c r="B355" s="31">
        <v>2</v>
      </c>
      <c r="C355" s="31">
        <v>2</v>
      </c>
      <c r="D355" s="32" t="s">
        <v>1610</v>
      </c>
      <c r="E355" s="32" t="s">
        <v>1146</v>
      </c>
      <c r="F355" s="32" t="s">
        <v>1641</v>
      </c>
      <c r="G355" s="32" t="s">
        <v>179</v>
      </c>
      <c r="H355" s="32" t="s">
        <v>352</v>
      </c>
      <c r="I355" s="31" t="s">
        <v>1463</v>
      </c>
      <c r="J355" s="31">
        <v>10</v>
      </c>
      <c r="K355" s="33" t="s">
        <v>703</v>
      </c>
      <c r="L355" s="33">
        <v>15</v>
      </c>
      <c r="M355" s="34" t="s">
        <v>39</v>
      </c>
      <c r="N355" s="34" t="s">
        <v>1750</v>
      </c>
      <c r="O355" s="35">
        <v>1</v>
      </c>
      <c r="P355" s="35"/>
      <c r="Q355" s="32"/>
      <c r="S355" s="1">
        <f t="shared" si="113"/>
        <v>0</v>
      </c>
      <c r="T355" s="1">
        <f t="shared" si="114"/>
        <v>0</v>
      </c>
      <c r="U355" s="1">
        <f t="shared" si="115"/>
        <v>0</v>
      </c>
      <c r="V355" s="1">
        <f t="shared" si="116"/>
        <v>0</v>
      </c>
      <c r="W355" s="1">
        <f t="shared" si="117"/>
        <v>0</v>
      </c>
      <c r="X355" s="1">
        <f t="shared" si="118"/>
        <v>0</v>
      </c>
      <c r="Y355" s="1">
        <f t="shared" si="119"/>
        <v>0</v>
      </c>
      <c r="Z355" s="1">
        <f t="shared" si="120"/>
        <v>0</v>
      </c>
      <c r="AA355" s="1">
        <f t="shared" si="121"/>
        <v>0</v>
      </c>
      <c r="AB355" s="1">
        <f t="shared" si="122"/>
        <v>1</v>
      </c>
      <c r="AD355" s="1">
        <f t="shared" si="123"/>
        <v>0</v>
      </c>
      <c r="AE355" s="1">
        <f t="shared" si="124"/>
        <v>1</v>
      </c>
      <c r="AF355" s="1">
        <f t="shared" si="125"/>
        <v>0</v>
      </c>
      <c r="AG355" s="1">
        <f t="shared" si="126"/>
        <v>1</v>
      </c>
      <c r="AH355" s="1">
        <f t="shared" si="127"/>
        <v>0</v>
      </c>
      <c r="AI355" s="1">
        <f t="shared" si="128"/>
        <v>1</v>
      </c>
    </row>
    <row r="356" spans="1:35" ht="14.25" customHeight="1" x14ac:dyDescent="0.25">
      <c r="A356" s="31">
        <v>0</v>
      </c>
      <c r="B356" s="31">
        <v>2</v>
      </c>
      <c r="C356" s="31">
        <v>2</v>
      </c>
      <c r="D356" s="32" t="s">
        <v>847</v>
      </c>
      <c r="E356" s="32" t="s">
        <v>540</v>
      </c>
      <c r="F356" s="32" t="s">
        <v>848</v>
      </c>
      <c r="G356" s="32" t="s">
        <v>312</v>
      </c>
      <c r="H356" s="32" t="s">
        <v>352</v>
      </c>
      <c r="I356" s="31" t="s">
        <v>849</v>
      </c>
      <c r="J356" s="31">
        <v>1</v>
      </c>
      <c r="K356" s="33" t="s">
        <v>703</v>
      </c>
      <c r="L356" s="33">
        <v>25</v>
      </c>
      <c r="M356" s="34" t="s">
        <v>39</v>
      </c>
      <c r="N356" s="34" t="s">
        <v>1705</v>
      </c>
      <c r="O356" s="35">
        <v>1</v>
      </c>
      <c r="P356" s="35"/>
      <c r="Q356" s="32"/>
      <c r="S356" s="1">
        <f t="shared" si="113"/>
        <v>1</v>
      </c>
      <c r="T356" s="1">
        <f t="shared" si="114"/>
        <v>0</v>
      </c>
      <c r="U356" s="1">
        <f t="shared" si="115"/>
        <v>0</v>
      </c>
      <c r="V356" s="1">
        <f t="shared" si="116"/>
        <v>0</v>
      </c>
      <c r="W356" s="1">
        <f t="shared" si="117"/>
        <v>0</v>
      </c>
      <c r="X356" s="1">
        <f t="shared" si="118"/>
        <v>0</v>
      </c>
      <c r="Y356" s="1">
        <f t="shared" si="119"/>
        <v>0</v>
      </c>
      <c r="Z356" s="1">
        <f t="shared" si="120"/>
        <v>0</v>
      </c>
      <c r="AA356" s="1">
        <f t="shared" si="121"/>
        <v>0</v>
      </c>
      <c r="AB356" s="1">
        <f t="shared" si="122"/>
        <v>0</v>
      </c>
      <c r="AD356" s="1">
        <f t="shared" si="123"/>
        <v>0</v>
      </c>
      <c r="AE356" s="1">
        <f t="shared" si="124"/>
        <v>1</v>
      </c>
      <c r="AF356" s="1">
        <f t="shared" si="125"/>
        <v>0</v>
      </c>
      <c r="AG356" s="1">
        <f t="shared" si="126"/>
        <v>1</v>
      </c>
      <c r="AH356" s="1">
        <f t="shared" si="127"/>
        <v>0</v>
      </c>
      <c r="AI356" s="1">
        <f t="shared" si="128"/>
        <v>1</v>
      </c>
    </row>
    <row r="357" spans="1:35" ht="14.25" customHeight="1" x14ac:dyDescent="0.25">
      <c r="A357" s="31">
        <v>0</v>
      </c>
      <c r="B357" s="31">
        <v>2</v>
      </c>
      <c r="C357" s="31">
        <v>3</v>
      </c>
      <c r="D357" s="32" t="s">
        <v>562</v>
      </c>
      <c r="E357" s="32" t="s">
        <v>38</v>
      </c>
      <c r="F357" s="32" t="s">
        <v>236</v>
      </c>
      <c r="G357" s="32" t="s">
        <v>535</v>
      </c>
      <c r="H357" s="32" t="s">
        <v>352</v>
      </c>
      <c r="I357" s="31" t="s">
        <v>401</v>
      </c>
      <c r="J357" s="31">
        <v>1</v>
      </c>
      <c r="K357" s="33" t="s">
        <v>703</v>
      </c>
      <c r="L357" s="33" t="s">
        <v>715</v>
      </c>
      <c r="M357" s="34" t="s">
        <v>716</v>
      </c>
      <c r="N357" s="34" t="s">
        <v>1693</v>
      </c>
      <c r="O357" s="35">
        <v>1</v>
      </c>
      <c r="P357" s="35">
        <v>1</v>
      </c>
      <c r="Q357" s="32"/>
      <c r="S357" s="1">
        <f t="shared" si="113"/>
        <v>1</v>
      </c>
      <c r="T357" s="1">
        <f t="shared" si="114"/>
        <v>0</v>
      </c>
      <c r="U357" s="1">
        <f t="shared" si="115"/>
        <v>0</v>
      </c>
      <c r="V357" s="1">
        <f t="shared" si="116"/>
        <v>0</v>
      </c>
      <c r="W357" s="1">
        <f t="shared" si="117"/>
        <v>0</v>
      </c>
      <c r="X357" s="1">
        <f t="shared" si="118"/>
        <v>0</v>
      </c>
      <c r="Y357" s="1">
        <f t="shared" si="119"/>
        <v>0</v>
      </c>
      <c r="Z357" s="1">
        <f t="shared" si="120"/>
        <v>0</v>
      </c>
      <c r="AA357" s="1">
        <f t="shared" si="121"/>
        <v>0</v>
      </c>
      <c r="AB357" s="1">
        <f t="shared" si="122"/>
        <v>0</v>
      </c>
      <c r="AD357" s="1">
        <f t="shared" si="123"/>
        <v>1</v>
      </c>
      <c r="AE357" s="1">
        <f t="shared" si="124"/>
        <v>0</v>
      </c>
      <c r="AF357" s="1">
        <f t="shared" si="125"/>
        <v>1</v>
      </c>
      <c r="AG357" s="1">
        <f t="shared" si="126"/>
        <v>0</v>
      </c>
      <c r="AH357" s="1">
        <f t="shared" si="127"/>
        <v>1</v>
      </c>
      <c r="AI357" s="1">
        <f t="shared" si="128"/>
        <v>0</v>
      </c>
    </row>
    <row r="358" spans="1:35" ht="14.25" customHeight="1" x14ac:dyDescent="0.25">
      <c r="A358" s="31">
        <v>0</v>
      </c>
      <c r="B358" s="31">
        <v>2</v>
      </c>
      <c r="C358" s="31">
        <v>3</v>
      </c>
      <c r="D358" s="32" t="s">
        <v>835</v>
      </c>
      <c r="E358" s="32" t="s">
        <v>34</v>
      </c>
      <c r="F358" s="32" t="s">
        <v>909</v>
      </c>
      <c r="G358" s="32" t="s">
        <v>630</v>
      </c>
      <c r="H358" s="32" t="s">
        <v>352</v>
      </c>
      <c r="I358" s="31" t="s">
        <v>836</v>
      </c>
      <c r="J358" s="31">
        <v>1</v>
      </c>
      <c r="K358" s="33" t="s">
        <v>935</v>
      </c>
      <c r="L358" s="33" t="s">
        <v>720</v>
      </c>
      <c r="M358" s="34" t="s">
        <v>714</v>
      </c>
      <c r="N358" s="34" t="s">
        <v>1705</v>
      </c>
      <c r="O358" s="35">
        <v>1</v>
      </c>
      <c r="P358" s="35"/>
      <c r="Q358" s="32"/>
      <c r="S358" s="1">
        <f t="shared" si="113"/>
        <v>1</v>
      </c>
      <c r="T358" s="1">
        <f t="shared" si="114"/>
        <v>0</v>
      </c>
      <c r="U358" s="1">
        <f t="shared" si="115"/>
        <v>0</v>
      </c>
      <c r="V358" s="1">
        <f t="shared" si="116"/>
        <v>0</v>
      </c>
      <c r="W358" s="1">
        <f t="shared" si="117"/>
        <v>0</v>
      </c>
      <c r="X358" s="1">
        <f t="shared" si="118"/>
        <v>0</v>
      </c>
      <c r="Y358" s="1">
        <f t="shared" si="119"/>
        <v>0</v>
      </c>
      <c r="Z358" s="1">
        <f t="shared" si="120"/>
        <v>0</v>
      </c>
      <c r="AA358" s="1">
        <f t="shared" si="121"/>
        <v>0</v>
      </c>
      <c r="AB358" s="1">
        <f t="shared" si="122"/>
        <v>0</v>
      </c>
      <c r="AD358" s="1">
        <f t="shared" si="123"/>
        <v>0</v>
      </c>
      <c r="AE358" s="1">
        <f t="shared" si="124"/>
        <v>1</v>
      </c>
      <c r="AF358" s="1">
        <f t="shared" si="125"/>
        <v>0</v>
      </c>
      <c r="AG358" s="1">
        <f t="shared" si="126"/>
        <v>1</v>
      </c>
      <c r="AH358" s="1">
        <f t="shared" si="127"/>
        <v>0</v>
      </c>
      <c r="AI358" s="1">
        <f t="shared" si="128"/>
        <v>1</v>
      </c>
    </row>
    <row r="359" spans="1:35" ht="14.25" customHeight="1" x14ac:dyDescent="0.25">
      <c r="A359" s="44">
        <v>0</v>
      </c>
      <c r="B359" s="44">
        <v>2</v>
      </c>
      <c r="C359" s="44">
        <v>3</v>
      </c>
      <c r="D359" s="45" t="s">
        <v>778</v>
      </c>
      <c r="E359" s="45" t="s">
        <v>32</v>
      </c>
      <c r="F359" s="45" t="s">
        <v>779</v>
      </c>
      <c r="G359" s="45" t="s">
        <v>250</v>
      </c>
      <c r="H359" s="45" t="s">
        <v>352</v>
      </c>
      <c r="I359" s="44" t="s">
        <v>780</v>
      </c>
      <c r="J359" s="44">
        <v>99</v>
      </c>
      <c r="K359" s="46" t="s">
        <v>704</v>
      </c>
      <c r="L359" s="46" t="s">
        <v>713</v>
      </c>
      <c r="M359" s="47" t="s">
        <v>714</v>
      </c>
      <c r="N359" s="47" t="s">
        <v>1769</v>
      </c>
      <c r="O359" s="48"/>
      <c r="P359" s="48"/>
      <c r="Q359" s="45"/>
      <c r="S359" s="1">
        <f t="shared" si="113"/>
        <v>0</v>
      </c>
      <c r="T359" s="1">
        <f t="shared" si="114"/>
        <v>0</v>
      </c>
      <c r="U359" s="1">
        <f t="shared" si="115"/>
        <v>0</v>
      </c>
      <c r="V359" s="1">
        <f t="shared" si="116"/>
        <v>0</v>
      </c>
      <c r="W359" s="1">
        <f t="shared" si="117"/>
        <v>0</v>
      </c>
      <c r="X359" s="1">
        <f t="shared" si="118"/>
        <v>0</v>
      </c>
      <c r="Y359" s="1">
        <f t="shared" si="119"/>
        <v>0</v>
      </c>
      <c r="Z359" s="1">
        <f t="shared" si="120"/>
        <v>0</v>
      </c>
      <c r="AA359" s="1">
        <f t="shared" si="121"/>
        <v>0</v>
      </c>
      <c r="AB359" s="1">
        <f t="shared" si="122"/>
        <v>0</v>
      </c>
      <c r="AD359" s="1">
        <f t="shared" si="123"/>
        <v>0</v>
      </c>
      <c r="AE359" s="1">
        <f t="shared" si="124"/>
        <v>0</v>
      </c>
      <c r="AF359" s="1">
        <f t="shared" si="125"/>
        <v>0</v>
      </c>
      <c r="AG359" s="1">
        <f t="shared" si="126"/>
        <v>0</v>
      </c>
      <c r="AH359" s="1">
        <f t="shared" si="127"/>
        <v>0</v>
      </c>
      <c r="AI359" s="1">
        <f t="shared" si="128"/>
        <v>1</v>
      </c>
    </row>
    <row r="360" spans="1:35" ht="14.25" customHeight="1" x14ac:dyDescent="0.25">
      <c r="A360" s="44">
        <v>0</v>
      </c>
      <c r="B360" s="44">
        <v>2</v>
      </c>
      <c r="C360" s="44">
        <v>3</v>
      </c>
      <c r="D360" s="45" t="s">
        <v>56</v>
      </c>
      <c r="E360" s="45" t="s">
        <v>160</v>
      </c>
      <c r="F360" s="45" t="s">
        <v>218</v>
      </c>
      <c r="G360" s="45" t="s">
        <v>195</v>
      </c>
      <c r="H360" s="45" t="s">
        <v>352</v>
      </c>
      <c r="I360" s="44" t="s">
        <v>547</v>
      </c>
      <c r="J360" s="44">
        <v>99</v>
      </c>
      <c r="K360" s="46" t="s">
        <v>704</v>
      </c>
      <c r="L360" s="46" t="s">
        <v>713</v>
      </c>
      <c r="M360" s="47" t="s">
        <v>714</v>
      </c>
      <c r="N360" s="47" t="s">
        <v>1762</v>
      </c>
      <c r="O360" s="48"/>
      <c r="P360" s="48"/>
      <c r="Q360" s="45"/>
      <c r="S360" s="1">
        <f t="shared" si="113"/>
        <v>0</v>
      </c>
      <c r="T360" s="1">
        <f t="shared" si="114"/>
        <v>0</v>
      </c>
      <c r="U360" s="1">
        <f t="shared" si="115"/>
        <v>0</v>
      </c>
      <c r="V360" s="1">
        <f t="shared" si="116"/>
        <v>0</v>
      </c>
      <c r="W360" s="1">
        <f t="shared" si="117"/>
        <v>0</v>
      </c>
      <c r="X360" s="1">
        <f t="shared" si="118"/>
        <v>0</v>
      </c>
      <c r="Y360" s="1">
        <f t="shared" si="119"/>
        <v>0</v>
      </c>
      <c r="Z360" s="1">
        <f t="shared" si="120"/>
        <v>0</v>
      </c>
      <c r="AA360" s="1">
        <f t="shared" si="121"/>
        <v>0</v>
      </c>
      <c r="AB360" s="1">
        <f t="shared" si="122"/>
        <v>0</v>
      </c>
      <c r="AD360" s="1">
        <f t="shared" si="123"/>
        <v>0</v>
      </c>
      <c r="AE360" s="1">
        <f t="shared" si="124"/>
        <v>0</v>
      </c>
      <c r="AF360" s="1">
        <f t="shared" si="125"/>
        <v>0</v>
      </c>
      <c r="AG360" s="1">
        <f t="shared" si="126"/>
        <v>0</v>
      </c>
      <c r="AH360" s="1">
        <f t="shared" si="127"/>
        <v>0</v>
      </c>
      <c r="AI360" s="1">
        <f t="shared" si="128"/>
        <v>1</v>
      </c>
    </row>
    <row r="361" spans="1:35" ht="14.25" customHeight="1" x14ac:dyDescent="0.25">
      <c r="A361" s="31">
        <v>0</v>
      </c>
      <c r="B361" s="31">
        <v>2</v>
      </c>
      <c r="C361" s="31">
        <v>3</v>
      </c>
      <c r="D361" s="32" t="s">
        <v>1153</v>
      </c>
      <c r="E361" s="32" t="s">
        <v>1309</v>
      </c>
      <c r="F361" s="32" t="s">
        <v>1154</v>
      </c>
      <c r="G361" s="32" t="s">
        <v>300</v>
      </c>
      <c r="H361" s="32" t="s">
        <v>352</v>
      </c>
      <c r="I361" s="31" t="s">
        <v>1155</v>
      </c>
      <c r="J361" s="31">
        <v>1</v>
      </c>
      <c r="K361" s="33" t="s">
        <v>936</v>
      </c>
      <c r="L361" s="33" t="s">
        <v>684</v>
      </c>
      <c r="M361" s="34" t="s">
        <v>1385</v>
      </c>
      <c r="N361" s="34" t="s">
        <v>1705</v>
      </c>
      <c r="O361" s="35">
        <v>1</v>
      </c>
      <c r="P361" s="35"/>
      <c r="Q361" s="32"/>
      <c r="S361" s="1">
        <f t="shared" si="113"/>
        <v>1</v>
      </c>
      <c r="T361" s="1">
        <f t="shared" si="114"/>
        <v>0</v>
      </c>
      <c r="U361" s="1">
        <f t="shared" si="115"/>
        <v>0</v>
      </c>
      <c r="V361" s="1">
        <f t="shared" si="116"/>
        <v>0</v>
      </c>
      <c r="W361" s="1">
        <f t="shared" si="117"/>
        <v>0</v>
      </c>
      <c r="X361" s="1">
        <f t="shared" si="118"/>
        <v>0</v>
      </c>
      <c r="Y361" s="1">
        <f t="shared" si="119"/>
        <v>0</v>
      </c>
      <c r="Z361" s="1">
        <f t="shared" si="120"/>
        <v>0</v>
      </c>
      <c r="AA361" s="1">
        <f t="shared" si="121"/>
        <v>0</v>
      </c>
      <c r="AB361" s="1">
        <f t="shared" si="122"/>
        <v>0</v>
      </c>
      <c r="AD361" s="1">
        <f t="shared" si="123"/>
        <v>0</v>
      </c>
      <c r="AE361" s="1">
        <f t="shared" si="124"/>
        <v>1</v>
      </c>
      <c r="AF361" s="1">
        <f t="shared" si="125"/>
        <v>0</v>
      </c>
      <c r="AG361" s="1">
        <f t="shared" si="126"/>
        <v>1</v>
      </c>
      <c r="AH361" s="1">
        <f t="shared" si="127"/>
        <v>0</v>
      </c>
      <c r="AI361" s="1">
        <f t="shared" si="128"/>
        <v>1</v>
      </c>
    </row>
    <row r="362" spans="1:35" ht="14.25" customHeight="1" x14ac:dyDescent="0.25">
      <c r="A362" s="31">
        <v>0</v>
      </c>
      <c r="B362" s="31">
        <v>2</v>
      </c>
      <c r="C362" s="31">
        <v>3</v>
      </c>
      <c r="D362" s="32" t="s">
        <v>1150</v>
      </c>
      <c r="E362" s="32" t="s">
        <v>1309</v>
      </c>
      <c r="F362" s="32" t="s">
        <v>1151</v>
      </c>
      <c r="G362" s="32" t="s">
        <v>1037</v>
      </c>
      <c r="H362" s="32" t="s">
        <v>352</v>
      </c>
      <c r="I362" s="31" t="s">
        <v>1152</v>
      </c>
      <c r="J362" s="31">
        <v>1</v>
      </c>
      <c r="K362" s="33" t="s">
        <v>704</v>
      </c>
      <c r="L362" s="33" t="s">
        <v>684</v>
      </c>
      <c r="M362" s="34" t="s">
        <v>1385</v>
      </c>
      <c r="N362" s="34" t="s">
        <v>1705</v>
      </c>
      <c r="O362" s="35">
        <v>1</v>
      </c>
      <c r="P362" s="35"/>
      <c r="Q362" s="32"/>
      <c r="S362" s="1">
        <f t="shared" si="113"/>
        <v>1</v>
      </c>
      <c r="T362" s="1">
        <f t="shared" si="114"/>
        <v>0</v>
      </c>
      <c r="U362" s="1">
        <f t="shared" si="115"/>
        <v>0</v>
      </c>
      <c r="V362" s="1">
        <f t="shared" si="116"/>
        <v>0</v>
      </c>
      <c r="W362" s="1">
        <f t="shared" si="117"/>
        <v>0</v>
      </c>
      <c r="X362" s="1">
        <f t="shared" si="118"/>
        <v>0</v>
      </c>
      <c r="Y362" s="1">
        <f t="shared" si="119"/>
        <v>0</v>
      </c>
      <c r="Z362" s="1">
        <f t="shared" si="120"/>
        <v>0</v>
      </c>
      <c r="AA362" s="1">
        <f t="shared" si="121"/>
        <v>0</v>
      </c>
      <c r="AB362" s="1">
        <f t="shared" si="122"/>
        <v>0</v>
      </c>
      <c r="AD362" s="1">
        <f t="shared" si="123"/>
        <v>0</v>
      </c>
      <c r="AE362" s="1">
        <f t="shared" si="124"/>
        <v>1</v>
      </c>
      <c r="AF362" s="1">
        <f t="shared" si="125"/>
        <v>0</v>
      </c>
      <c r="AG362" s="1">
        <f t="shared" si="126"/>
        <v>1</v>
      </c>
      <c r="AH362" s="1">
        <f t="shared" si="127"/>
        <v>0</v>
      </c>
      <c r="AI362" s="1">
        <f t="shared" si="128"/>
        <v>1</v>
      </c>
    </row>
    <row r="363" spans="1:35" ht="14.25" customHeight="1" x14ac:dyDescent="0.25">
      <c r="A363" s="31">
        <v>0</v>
      </c>
      <c r="B363" s="31">
        <v>2</v>
      </c>
      <c r="C363" s="31">
        <v>3</v>
      </c>
      <c r="D363" s="32" t="s">
        <v>1268</v>
      </c>
      <c r="E363" s="32" t="s">
        <v>32</v>
      </c>
      <c r="F363" s="32" t="s">
        <v>1269</v>
      </c>
      <c r="G363" s="32" t="s">
        <v>221</v>
      </c>
      <c r="H363" s="32" t="s">
        <v>352</v>
      </c>
      <c r="I363" s="31" t="s">
        <v>1655</v>
      </c>
      <c r="J363" s="31">
        <v>99</v>
      </c>
      <c r="K363" s="33" t="s">
        <v>704</v>
      </c>
      <c r="L363" s="33" t="s">
        <v>707</v>
      </c>
      <c r="M363" s="34" t="s">
        <v>1270</v>
      </c>
      <c r="N363" s="34" t="s">
        <v>1693</v>
      </c>
      <c r="O363" s="35">
        <v>1</v>
      </c>
      <c r="P363" s="35">
        <v>1</v>
      </c>
      <c r="Q363" s="32"/>
      <c r="S363" s="1">
        <f t="shared" si="113"/>
        <v>0</v>
      </c>
      <c r="T363" s="1">
        <f t="shared" si="114"/>
        <v>0</v>
      </c>
      <c r="U363" s="1">
        <f t="shared" si="115"/>
        <v>0</v>
      </c>
      <c r="V363" s="1">
        <f t="shared" si="116"/>
        <v>0</v>
      </c>
      <c r="W363" s="1">
        <f t="shared" si="117"/>
        <v>0</v>
      </c>
      <c r="X363" s="1">
        <f t="shared" si="118"/>
        <v>0</v>
      </c>
      <c r="Y363" s="1">
        <f t="shared" si="119"/>
        <v>0</v>
      </c>
      <c r="Z363" s="1">
        <f t="shared" si="120"/>
        <v>0</v>
      </c>
      <c r="AA363" s="1">
        <f t="shared" si="121"/>
        <v>0</v>
      </c>
      <c r="AB363" s="1">
        <f t="shared" si="122"/>
        <v>0</v>
      </c>
      <c r="AD363" s="1">
        <f t="shared" si="123"/>
        <v>1</v>
      </c>
      <c r="AE363" s="1">
        <f t="shared" si="124"/>
        <v>0</v>
      </c>
      <c r="AF363" s="1">
        <f t="shared" si="125"/>
        <v>1</v>
      </c>
      <c r="AG363" s="1">
        <f t="shared" si="126"/>
        <v>0</v>
      </c>
      <c r="AH363" s="1">
        <f t="shared" si="127"/>
        <v>1</v>
      </c>
      <c r="AI363" s="1">
        <f t="shared" si="128"/>
        <v>0</v>
      </c>
    </row>
    <row r="364" spans="1:35" ht="14.25" customHeight="1" x14ac:dyDescent="0.25">
      <c r="A364" s="31">
        <v>0</v>
      </c>
      <c r="B364" s="31">
        <v>2</v>
      </c>
      <c r="C364" s="31">
        <v>3</v>
      </c>
      <c r="D364" s="32" t="s">
        <v>746</v>
      </c>
      <c r="E364" s="32" t="s">
        <v>896</v>
      </c>
      <c r="F364" s="32" t="s">
        <v>747</v>
      </c>
      <c r="G364" s="32" t="s">
        <v>219</v>
      </c>
      <c r="H364" s="32" t="s">
        <v>352</v>
      </c>
      <c r="I364" s="31" t="s">
        <v>748</v>
      </c>
      <c r="J364" s="31">
        <v>8</v>
      </c>
      <c r="K364" s="33" t="s">
        <v>936</v>
      </c>
      <c r="L364" s="33" t="s">
        <v>720</v>
      </c>
      <c r="M364" s="34" t="s">
        <v>714</v>
      </c>
      <c r="N364" s="34" t="s">
        <v>1709</v>
      </c>
      <c r="O364" s="35">
        <v>1</v>
      </c>
      <c r="P364" s="35"/>
      <c r="Q364" s="32"/>
      <c r="S364" s="1">
        <f t="shared" si="113"/>
        <v>0</v>
      </c>
      <c r="T364" s="1">
        <f t="shared" si="114"/>
        <v>0</v>
      </c>
      <c r="U364" s="1">
        <f t="shared" si="115"/>
        <v>0</v>
      </c>
      <c r="V364" s="1">
        <f t="shared" si="116"/>
        <v>0</v>
      </c>
      <c r="W364" s="1">
        <f t="shared" si="117"/>
        <v>0</v>
      </c>
      <c r="X364" s="1">
        <f t="shared" si="118"/>
        <v>0</v>
      </c>
      <c r="Y364" s="1">
        <f t="shared" si="119"/>
        <v>0</v>
      </c>
      <c r="Z364" s="1">
        <f t="shared" si="120"/>
        <v>1</v>
      </c>
      <c r="AA364" s="1">
        <f t="shared" si="121"/>
        <v>0</v>
      </c>
      <c r="AB364" s="1">
        <f t="shared" si="122"/>
        <v>0</v>
      </c>
      <c r="AD364" s="1">
        <f t="shared" si="123"/>
        <v>0</v>
      </c>
      <c r="AE364" s="1">
        <f t="shared" si="124"/>
        <v>1</v>
      </c>
      <c r="AF364" s="1">
        <f t="shared" si="125"/>
        <v>0</v>
      </c>
      <c r="AG364" s="1">
        <f t="shared" si="126"/>
        <v>1</v>
      </c>
      <c r="AH364" s="1">
        <f t="shared" si="127"/>
        <v>0</v>
      </c>
      <c r="AI364" s="1">
        <f t="shared" si="128"/>
        <v>1</v>
      </c>
    </row>
    <row r="365" spans="1:35" ht="14.25" customHeight="1" x14ac:dyDescent="0.25">
      <c r="A365" s="44">
        <v>0</v>
      </c>
      <c r="B365" s="44">
        <v>2</v>
      </c>
      <c r="C365" s="44">
        <v>3</v>
      </c>
      <c r="D365" s="45" t="s">
        <v>1464</v>
      </c>
      <c r="E365" s="45" t="s">
        <v>1465</v>
      </c>
      <c r="F365" s="45" t="s">
        <v>1466</v>
      </c>
      <c r="G365" s="45" t="s">
        <v>237</v>
      </c>
      <c r="H365" s="45" t="s">
        <v>352</v>
      </c>
      <c r="I365" s="44" t="s">
        <v>1467</v>
      </c>
      <c r="J365" s="44">
        <v>4</v>
      </c>
      <c r="K365" s="46" t="s">
        <v>703</v>
      </c>
      <c r="L365" s="46">
        <v>15</v>
      </c>
      <c r="M365" s="47" t="s">
        <v>39</v>
      </c>
      <c r="N365" s="47" t="s">
        <v>1762</v>
      </c>
      <c r="O365" s="48"/>
      <c r="P365" s="48"/>
      <c r="Q365" s="45"/>
      <c r="S365" s="1">
        <f t="shared" si="113"/>
        <v>0</v>
      </c>
      <c r="T365" s="1">
        <f t="shared" si="114"/>
        <v>0</v>
      </c>
      <c r="U365" s="1">
        <f t="shared" si="115"/>
        <v>0</v>
      </c>
      <c r="V365" s="1">
        <f t="shared" si="116"/>
        <v>1</v>
      </c>
      <c r="W365" s="1">
        <f t="shared" si="117"/>
        <v>0</v>
      </c>
      <c r="X365" s="1">
        <f t="shared" si="118"/>
        <v>0</v>
      </c>
      <c r="Y365" s="1">
        <f t="shared" si="119"/>
        <v>0</v>
      </c>
      <c r="Z365" s="1">
        <f t="shared" si="120"/>
        <v>0</v>
      </c>
      <c r="AA365" s="1">
        <f t="shared" si="121"/>
        <v>0</v>
      </c>
      <c r="AB365" s="1">
        <f t="shared" si="122"/>
        <v>0</v>
      </c>
      <c r="AD365" s="1">
        <f t="shared" si="123"/>
        <v>0</v>
      </c>
      <c r="AE365" s="1">
        <f t="shared" si="124"/>
        <v>0</v>
      </c>
      <c r="AF365" s="1">
        <f t="shared" si="125"/>
        <v>0</v>
      </c>
      <c r="AG365" s="1">
        <f t="shared" si="126"/>
        <v>0</v>
      </c>
      <c r="AH365" s="1">
        <f t="shared" si="127"/>
        <v>0</v>
      </c>
      <c r="AI365" s="1">
        <f t="shared" si="128"/>
        <v>1</v>
      </c>
    </row>
    <row r="366" spans="1:35" ht="14.25" customHeight="1" x14ac:dyDescent="0.25">
      <c r="A366" s="31">
        <v>0</v>
      </c>
      <c r="B366" s="31">
        <v>2</v>
      </c>
      <c r="C366" s="31">
        <v>3</v>
      </c>
      <c r="D366" s="32" t="s">
        <v>1520</v>
      </c>
      <c r="E366" s="32" t="s">
        <v>1521</v>
      </c>
      <c r="F366" s="32" t="s">
        <v>1522</v>
      </c>
      <c r="G366" s="32" t="s">
        <v>1523</v>
      </c>
      <c r="H366" s="32" t="s">
        <v>352</v>
      </c>
      <c r="I366" s="31" t="s">
        <v>1524</v>
      </c>
      <c r="J366" s="31">
        <v>7</v>
      </c>
      <c r="K366" s="33" t="s">
        <v>936</v>
      </c>
      <c r="L366" s="33">
        <v>10</v>
      </c>
      <c r="M366" s="34" t="s">
        <v>39</v>
      </c>
      <c r="N366" s="34" t="s">
        <v>1705</v>
      </c>
      <c r="O366" s="35">
        <v>1</v>
      </c>
      <c r="P366" s="35"/>
      <c r="Q366" s="32"/>
      <c r="S366" s="1">
        <f t="shared" si="113"/>
        <v>0</v>
      </c>
      <c r="T366" s="1">
        <f t="shared" si="114"/>
        <v>0</v>
      </c>
      <c r="U366" s="1">
        <f t="shared" si="115"/>
        <v>0</v>
      </c>
      <c r="V366" s="1">
        <f t="shared" si="116"/>
        <v>0</v>
      </c>
      <c r="W366" s="1">
        <f t="shared" si="117"/>
        <v>0</v>
      </c>
      <c r="X366" s="1">
        <f t="shared" si="118"/>
        <v>0</v>
      </c>
      <c r="Y366" s="1">
        <f t="shared" si="119"/>
        <v>1</v>
      </c>
      <c r="Z366" s="1">
        <f t="shared" si="120"/>
        <v>0</v>
      </c>
      <c r="AA366" s="1">
        <f t="shared" si="121"/>
        <v>0</v>
      </c>
      <c r="AB366" s="1">
        <f t="shared" si="122"/>
        <v>0</v>
      </c>
      <c r="AD366" s="1">
        <f t="shared" si="123"/>
        <v>0</v>
      </c>
      <c r="AE366" s="1">
        <f t="shared" si="124"/>
        <v>1</v>
      </c>
      <c r="AF366" s="1">
        <f t="shared" si="125"/>
        <v>0</v>
      </c>
      <c r="AG366" s="1">
        <f t="shared" si="126"/>
        <v>1</v>
      </c>
      <c r="AH366" s="1">
        <f t="shared" si="127"/>
        <v>0</v>
      </c>
      <c r="AI366" s="1">
        <f t="shared" si="128"/>
        <v>1</v>
      </c>
    </row>
    <row r="367" spans="1:35" ht="14.25" customHeight="1" x14ac:dyDescent="0.25">
      <c r="A367" s="31">
        <v>0</v>
      </c>
      <c r="B367" s="31">
        <v>2</v>
      </c>
      <c r="C367" s="31">
        <v>3</v>
      </c>
      <c r="D367" s="32" t="s">
        <v>826</v>
      </c>
      <c r="E367" s="32" t="s">
        <v>32</v>
      </c>
      <c r="F367" s="32" t="s">
        <v>828</v>
      </c>
      <c r="G367" s="32" t="s">
        <v>39</v>
      </c>
      <c r="H367" s="32" t="s">
        <v>352</v>
      </c>
      <c r="I367" s="31" t="s">
        <v>827</v>
      </c>
      <c r="J367" s="31">
        <v>1</v>
      </c>
      <c r="K367" s="33" t="s">
        <v>704</v>
      </c>
      <c r="L367" s="33" t="s">
        <v>685</v>
      </c>
      <c r="M367" s="34" t="s">
        <v>1385</v>
      </c>
      <c r="N367" s="34" t="s">
        <v>1705</v>
      </c>
      <c r="O367" s="35">
        <v>1</v>
      </c>
      <c r="P367" s="35"/>
      <c r="Q367" s="32"/>
      <c r="S367" s="1">
        <f t="shared" si="113"/>
        <v>1</v>
      </c>
      <c r="T367" s="1">
        <f t="shared" si="114"/>
        <v>0</v>
      </c>
      <c r="U367" s="1">
        <f t="shared" si="115"/>
        <v>0</v>
      </c>
      <c r="V367" s="1">
        <f t="shared" si="116"/>
        <v>0</v>
      </c>
      <c r="W367" s="1">
        <f t="shared" si="117"/>
        <v>0</v>
      </c>
      <c r="X367" s="1">
        <f t="shared" si="118"/>
        <v>0</v>
      </c>
      <c r="Y367" s="1">
        <f t="shared" si="119"/>
        <v>0</v>
      </c>
      <c r="Z367" s="1">
        <f t="shared" si="120"/>
        <v>0</v>
      </c>
      <c r="AA367" s="1">
        <f t="shared" si="121"/>
        <v>0</v>
      </c>
      <c r="AB367" s="1">
        <f t="shared" si="122"/>
        <v>0</v>
      </c>
      <c r="AD367" s="1">
        <f t="shared" si="123"/>
        <v>0</v>
      </c>
      <c r="AE367" s="1">
        <f t="shared" si="124"/>
        <v>1</v>
      </c>
      <c r="AF367" s="1">
        <f t="shared" si="125"/>
        <v>0</v>
      </c>
      <c r="AG367" s="1">
        <f t="shared" si="126"/>
        <v>1</v>
      </c>
      <c r="AH367" s="1">
        <f t="shared" si="127"/>
        <v>0</v>
      </c>
      <c r="AI367" s="1">
        <f t="shared" si="128"/>
        <v>1</v>
      </c>
    </row>
    <row r="368" spans="1:35" ht="14.25" customHeight="1" x14ac:dyDescent="0.25">
      <c r="A368" s="15">
        <v>0</v>
      </c>
      <c r="B368" s="15">
        <v>2</v>
      </c>
      <c r="C368" s="15">
        <v>4</v>
      </c>
      <c r="D368" s="16" t="s">
        <v>749</v>
      </c>
      <c r="E368" s="16" t="s">
        <v>750</v>
      </c>
      <c r="F368" s="16" t="s">
        <v>751</v>
      </c>
      <c r="G368" s="16" t="s">
        <v>752</v>
      </c>
      <c r="H368" s="16" t="s">
        <v>352</v>
      </c>
      <c r="I368" s="15" t="s">
        <v>753</v>
      </c>
      <c r="J368" s="15">
        <v>99</v>
      </c>
      <c r="K368" s="10" t="s">
        <v>694</v>
      </c>
      <c r="L368" s="10">
        <v>15</v>
      </c>
      <c r="M368" s="19" t="s">
        <v>754</v>
      </c>
      <c r="N368" s="19"/>
      <c r="Q368" s="16"/>
      <c r="S368" s="1">
        <f t="shared" si="113"/>
        <v>0</v>
      </c>
      <c r="T368" s="1">
        <f t="shared" si="114"/>
        <v>0</v>
      </c>
      <c r="U368" s="1">
        <f t="shared" si="115"/>
        <v>0</v>
      </c>
      <c r="V368" s="1">
        <f t="shared" si="116"/>
        <v>0</v>
      </c>
      <c r="W368" s="1">
        <f t="shared" si="117"/>
        <v>0</v>
      </c>
      <c r="X368" s="1">
        <f t="shared" si="118"/>
        <v>0</v>
      </c>
      <c r="Y368" s="1">
        <f t="shared" si="119"/>
        <v>0</v>
      </c>
      <c r="Z368" s="1">
        <f t="shared" si="120"/>
        <v>0</v>
      </c>
      <c r="AA368" s="1">
        <f t="shared" si="121"/>
        <v>0</v>
      </c>
      <c r="AB368" s="1">
        <f t="shared" si="122"/>
        <v>0</v>
      </c>
      <c r="AD368" s="1">
        <f t="shared" si="123"/>
        <v>0</v>
      </c>
      <c r="AE368" s="1">
        <f t="shared" si="124"/>
        <v>0</v>
      </c>
      <c r="AF368" s="1">
        <f t="shared" si="125"/>
        <v>0</v>
      </c>
      <c r="AG368" s="1">
        <f t="shared" si="126"/>
        <v>0</v>
      </c>
      <c r="AH368" s="1">
        <f t="shared" si="127"/>
        <v>0</v>
      </c>
      <c r="AI368" s="1">
        <f t="shared" si="128"/>
        <v>1</v>
      </c>
    </row>
    <row r="369" spans="1:35" ht="14.25" customHeight="1" x14ac:dyDescent="0.25">
      <c r="A369" s="31">
        <v>0</v>
      </c>
      <c r="B369" s="31">
        <v>2</v>
      </c>
      <c r="C369" s="31">
        <v>4</v>
      </c>
      <c r="D369" s="32" t="s">
        <v>783</v>
      </c>
      <c r="E369" s="32" t="s">
        <v>891</v>
      </c>
      <c r="F369" s="32" t="s">
        <v>908</v>
      </c>
      <c r="G369" s="32" t="s">
        <v>207</v>
      </c>
      <c r="H369" s="32" t="s">
        <v>352</v>
      </c>
      <c r="I369" s="31" t="s">
        <v>1335</v>
      </c>
      <c r="J369" s="31">
        <v>3</v>
      </c>
      <c r="K369" s="33" t="s">
        <v>694</v>
      </c>
      <c r="L369" s="33">
        <v>20</v>
      </c>
      <c r="M369" s="34" t="s">
        <v>1387</v>
      </c>
      <c r="N369" s="34" t="s">
        <v>1785</v>
      </c>
      <c r="O369" s="35">
        <v>1</v>
      </c>
      <c r="P369" s="35"/>
      <c r="Q369" s="32"/>
      <c r="S369" s="1">
        <f t="shared" si="113"/>
        <v>0</v>
      </c>
      <c r="T369" s="1">
        <f t="shared" si="114"/>
        <v>0</v>
      </c>
      <c r="U369" s="1">
        <f t="shared" si="115"/>
        <v>1</v>
      </c>
      <c r="V369" s="1">
        <f t="shared" si="116"/>
        <v>0</v>
      </c>
      <c r="W369" s="1">
        <f t="shared" si="117"/>
        <v>0</v>
      </c>
      <c r="X369" s="1">
        <f t="shared" si="118"/>
        <v>0</v>
      </c>
      <c r="Y369" s="1">
        <f t="shared" si="119"/>
        <v>0</v>
      </c>
      <c r="Z369" s="1">
        <f t="shared" si="120"/>
        <v>0</v>
      </c>
      <c r="AA369" s="1">
        <f t="shared" si="121"/>
        <v>0</v>
      </c>
      <c r="AB369" s="1">
        <f t="shared" si="122"/>
        <v>0</v>
      </c>
      <c r="AD369" s="1">
        <f t="shared" si="123"/>
        <v>0</v>
      </c>
      <c r="AE369" s="1">
        <f t="shared" si="124"/>
        <v>1</v>
      </c>
      <c r="AF369" s="1">
        <f t="shared" si="125"/>
        <v>0</v>
      </c>
      <c r="AG369" s="1">
        <f t="shared" si="126"/>
        <v>1</v>
      </c>
      <c r="AH369" s="1">
        <f t="shared" si="127"/>
        <v>0</v>
      </c>
      <c r="AI369" s="1">
        <f t="shared" si="128"/>
        <v>1</v>
      </c>
    </row>
    <row r="370" spans="1:35" ht="14.25" customHeight="1" x14ac:dyDescent="0.25">
      <c r="A370" s="51">
        <v>0</v>
      </c>
      <c r="B370" s="51">
        <v>2</v>
      </c>
      <c r="C370" s="51">
        <v>4</v>
      </c>
      <c r="D370" s="52" t="s">
        <v>561</v>
      </c>
      <c r="E370" s="52" t="s">
        <v>37</v>
      </c>
      <c r="F370" s="52" t="s">
        <v>204</v>
      </c>
      <c r="G370" s="52" t="s">
        <v>39</v>
      </c>
      <c r="H370" s="52" t="s">
        <v>352</v>
      </c>
      <c r="I370" s="51" t="s">
        <v>387</v>
      </c>
      <c r="J370" s="51">
        <v>6</v>
      </c>
      <c r="K370" s="53" t="s">
        <v>694</v>
      </c>
      <c r="L370" s="53" t="s">
        <v>39</v>
      </c>
      <c r="M370" s="54" t="s">
        <v>39</v>
      </c>
      <c r="N370" s="55"/>
      <c r="O370" s="56"/>
      <c r="P370" s="56"/>
      <c r="Q370" s="52"/>
      <c r="S370" s="1">
        <f t="shared" si="113"/>
        <v>0</v>
      </c>
      <c r="T370" s="1">
        <f t="shared" si="114"/>
        <v>0</v>
      </c>
      <c r="U370" s="1">
        <f t="shared" si="115"/>
        <v>0</v>
      </c>
      <c r="V370" s="1">
        <f t="shared" si="116"/>
        <v>0</v>
      </c>
      <c r="W370" s="1">
        <f t="shared" si="117"/>
        <v>0</v>
      </c>
      <c r="X370" s="1">
        <f t="shared" si="118"/>
        <v>1</v>
      </c>
      <c r="Y370" s="1">
        <f t="shared" si="119"/>
        <v>0</v>
      </c>
      <c r="Z370" s="1">
        <f t="shared" si="120"/>
        <v>0</v>
      </c>
      <c r="AA370" s="1">
        <f t="shared" si="121"/>
        <v>0</v>
      </c>
      <c r="AB370" s="1">
        <f t="shared" si="122"/>
        <v>0</v>
      </c>
      <c r="AD370" s="1">
        <f t="shared" si="123"/>
        <v>0</v>
      </c>
      <c r="AE370" s="1">
        <f t="shared" si="124"/>
        <v>0</v>
      </c>
      <c r="AF370" s="1">
        <f t="shared" si="125"/>
        <v>0</v>
      </c>
      <c r="AG370" s="1">
        <f t="shared" si="126"/>
        <v>0</v>
      </c>
      <c r="AH370" s="1">
        <f t="shared" si="127"/>
        <v>0</v>
      </c>
      <c r="AI370" s="1">
        <f t="shared" si="128"/>
        <v>1</v>
      </c>
    </row>
    <row r="371" spans="1:35" ht="14.25" customHeight="1" x14ac:dyDescent="0.25">
      <c r="A371" s="31">
        <v>0</v>
      </c>
      <c r="B371" s="31">
        <v>2</v>
      </c>
      <c r="C371" s="31">
        <v>4</v>
      </c>
      <c r="D371" s="32" t="s">
        <v>645</v>
      </c>
      <c r="E371" s="32" t="s">
        <v>893</v>
      </c>
      <c r="F371" s="32" t="s">
        <v>616</v>
      </c>
      <c r="G371" s="32" t="s">
        <v>339</v>
      </c>
      <c r="H371" s="32" t="s">
        <v>352</v>
      </c>
      <c r="I371" s="31" t="s">
        <v>617</v>
      </c>
      <c r="J371" s="31">
        <v>10</v>
      </c>
      <c r="K371" s="33" t="s">
        <v>935</v>
      </c>
      <c r="L371" s="33" t="s">
        <v>695</v>
      </c>
      <c r="M371" s="34" t="s">
        <v>1388</v>
      </c>
      <c r="N371" s="34" t="s">
        <v>1710</v>
      </c>
      <c r="O371" s="35">
        <v>1</v>
      </c>
      <c r="P371" s="35"/>
      <c r="Q371" s="32"/>
      <c r="S371" s="1">
        <f t="shared" si="113"/>
        <v>0</v>
      </c>
      <c r="T371" s="1">
        <f t="shared" si="114"/>
        <v>0</v>
      </c>
      <c r="U371" s="1">
        <f t="shared" si="115"/>
        <v>0</v>
      </c>
      <c r="V371" s="1">
        <f t="shared" si="116"/>
        <v>0</v>
      </c>
      <c r="W371" s="1">
        <f t="shared" si="117"/>
        <v>0</v>
      </c>
      <c r="X371" s="1">
        <f t="shared" si="118"/>
        <v>0</v>
      </c>
      <c r="Y371" s="1">
        <f t="shared" si="119"/>
        <v>0</v>
      </c>
      <c r="Z371" s="1">
        <f t="shared" si="120"/>
        <v>0</v>
      </c>
      <c r="AA371" s="1">
        <f t="shared" si="121"/>
        <v>0</v>
      </c>
      <c r="AB371" s="1">
        <f t="shared" si="122"/>
        <v>1</v>
      </c>
      <c r="AD371" s="1">
        <f t="shared" si="123"/>
        <v>0</v>
      </c>
      <c r="AE371" s="1">
        <f t="shared" si="124"/>
        <v>1</v>
      </c>
      <c r="AF371" s="1">
        <f t="shared" si="125"/>
        <v>0</v>
      </c>
      <c r="AG371" s="1">
        <f t="shared" si="126"/>
        <v>1</v>
      </c>
      <c r="AH371" s="1">
        <f t="shared" si="127"/>
        <v>0</v>
      </c>
      <c r="AI371" s="1">
        <f t="shared" si="128"/>
        <v>1</v>
      </c>
    </row>
    <row r="372" spans="1:35" ht="14.25" customHeight="1" x14ac:dyDescent="0.25">
      <c r="A372" s="31">
        <v>0</v>
      </c>
      <c r="B372" s="31">
        <v>2</v>
      </c>
      <c r="C372" s="31">
        <v>4</v>
      </c>
      <c r="D372" s="32" t="s">
        <v>75</v>
      </c>
      <c r="E372" s="32" t="s">
        <v>35</v>
      </c>
      <c r="F372" s="32" t="s">
        <v>265</v>
      </c>
      <c r="G372" s="32" t="s">
        <v>212</v>
      </c>
      <c r="H372" s="32" t="s">
        <v>352</v>
      </c>
      <c r="I372" s="31" t="s">
        <v>927</v>
      </c>
      <c r="J372" s="31">
        <v>1</v>
      </c>
      <c r="K372" s="33" t="s">
        <v>704</v>
      </c>
      <c r="L372" s="33" t="s">
        <v>695</v>
      </c>
      <c r="M372" s="34" t="s">
        <v>1389</v>
      </c>
      <c r="N372" s="34" t="s">
        <v>1705</v>
      </c>
      <c r="O372" s="35">
        <v>1</v>
      </c>
      <c r="P372" s="35"/>
      <c r="Q372" s="32"/>
      <c r="S372" s="1">
        <f t="shared" si="113"/>
        <v>1</v>
      </c>
      <c r="T372" s="1">
        <f t="shared" si="114"/>
        <v>0</v>
      </c>
      <c r="U372" s="1">
        <f t="shared" si="115"/>
        <v>0</v>
      </c>
      <c r="V372" s="1">
        <f t="shared" si="116"/>
        <v>0</v>
      </c>
      <c r="W372" s="1">
        <f t="shared" si="117"/>
        <v>0</v>
      </c>
      <c r="X372" s="1">
        <f t="shared" si="118"/>
        <v>0</v>
      </c>
      <c r="Y372" s="1">
        <f t="shared" si="119"/>
        <v>0</v>
      </c>
      <c r="Z372" s="1">
        <f t="shared" si="120"/>
        <v>0</v>
      </c>
      <c r="AA372" s="1">
        <f t="shared" si="121"/>
        <v>0</v>
      </c>
      <c r="AB372" s="1">
        <f t="shared" si="122"/>
        <v>0</v>
      </c>
      <c r="AD372" s="1">
        <f t="shared" si="123"/>
        <v>0</v>
      </c>
      <c r="AE372" s="1">
        <f t="shared" si="124"/>
        <v>1</v>
      </c>
      <c r="AF372" s="1">
        <f t="shared" si="125"/>
        <v>0</v>
      </c>
      <c r="AG372" s="1">
        <f t="shared" si="126"/>
        <v>1</v>
      </c>
      <c r="AH372" s="1">
        <f t="shared" si="127"/>
        <v>0</v>
      </c>
      <c r="AI372" s="1">
        <f t="shared" si="128"/>
        <v>1</v>
      </c>
    </row>
    <row r="373" spans="1:35" ht="14.25" customHeight="1" x14ac:dyDescent="0.25">
      <c r="A373" s="31">
        <v>0</v>
      </c>
      <c r="B373" s="31">
        <v>2</v>
      </c>
      <c r="C373" s="31">
        <v>4</v>
      </c>
      <c r="D373" s="32" t="s">
        <v>902</v>
      </c>
      <c r="E373" s="32" t="s">
        <v>895</v>
      </c>
      <c r="F373" s="32" t="s">
        <v>767</v>
      </c>
      <c r="G373" s="32" t="s">
        <v>283</v>
      </c>
      <c r="H373" s="32" t="s">
        <v>352</v>
      </c>
      <c r="I373" s="31" t="s">
        <v>928</v>
      </c>
      <c r="J373" s="31">
        <v>4</v>
      </c>
      <c r="K373" s="33" t="s">
        <v>704</v>
      </c>
      <c r="L373" s="33" t="s">
        <v>687</v>
      </c>
      <c r="M373" s="34" t="s">
        <v>1390</v>
      </c>
      <c r="N373" s="34" t="s">
        <v>1710</v>
      </c>
      <c r="O373" s="35">
        <v>1</v>
      </c>
      <c r="P373" s="35"/>
      <c r="Q373" s="32"/>
      <c r="S373" s="1">
        <f t="shared" si="113"/>
        <v>0</v>
      </c>
      <c r="T373" s="1">
        <f t="shared" si="114"/>
        <v>0</v>
      </c>
      <c r="U373" s="1">
        <f t="shared" si="115"/>
        <v>0</v>
      </c>
      <c r="V373" s="1">
        <f t="shared" si="116"/>
        <v>1</v>
      </c>
      <c r="W373" s="1">
        <f t="shared" si="117"/>
        <v>0</v>
      </c>
      <c r="X373" s="1">
        <f t="shared" si="118"/>
        <v>0</v>
      </c>
      <c r="Y373" s="1">
        <f t="shared" si="119"/>
        <v>0</v>
      </c>
      <c r="Z373" s="1">
        <f t="shared" si="120"/>
        <v>0</v>
      </c>
      <c r="AA373" s="1">
        <f t="shared" si="121"/>
        <v>0</v>
      </c>
      <c r="AB373" s="1">
        <f t="shared" si="122"/>
        <v>0</v>
      </c>
      <c r="AD373" s="1">
        <f t="shared" si="123"/>
        <v>0</v>
      </c>
      <c r="AE373" s="1">
        <f t="shared" si="124"/>
        <v>1</v>
      </c>
      <c r="AF373" s="1">
        <f t="shared" si="125"/>
        <v>0</v>
      </c>
      <c r="AG373" s="1">
        <f t="shared" si="126"/>
        <v>1</v>
      </c>
      <c r="AH373" s="1">
        <f t="shared" si="127"/>
        <v>0</v>
      </c>
      <c r="AI373" s="1">
        <f t="shared" si="128"/>
        <v>1</v>
      </c>
    </row>
    <row r="374" spans="1:35" ht="14.25" customHeight="1" x14ac:dyDescent="0.25">
      <c r="A374" s="31">
        <v>0</v>
      </c>
      <c r="B374" s="31">
        <v>2</v>
      </c>
      <c r="C374" s="31">
        <v>4</v>
      </c>
      <c r="D374" s="32" t="s">
        <v>621</v>
      </c>
      <c r="E374" s="32" t="s">
        <v>676</v>
      </c>
      <c r="F374" s="32" t="s">
        <v>662</v>
      </c>
      <c r="G374" s="32" t="s">
        <v>620</v>
      </c>
      <c r="H374" s="32" t="s">
        <v>352</v>
      </c>
      <c r="I374" s="31" t="s">
        <v>622</v>
      </c>
      <c r="J374" s="31">
        <v>99</v>
      </c>
      <c r="K374" s="33" t="s">
        <v>936</v>
      </c>
      <c r="L374" s="33" t="s">
        <v>39</v>
      </c>
      <c r="M374" s="34" t="s">
        <v>39</v>
      </c>
      <c r="N374" s="34" t="s">
        <v>1699</v>
      </c>
      <c r="O374" s="35">
        <v>1</v>
      </c>
      <c r="P374" s="35">
        <v>1</v>
      </c>
      <c r="Q374" s="32" t="s">
        <v>1856</v>
      </c>
      <c r="S374" s="1">
        <f t="shared" si="113"/>
        <v>0</v>
      </c>
      <c r="T374" s="1">
        <f t="shared" si="114"/>
        <v>0</v>
      </c>
      <c r="U374" s="1">
        <f t="shared" si="115"/>
        <v>0</v>
      </c>
      <c r="V374" s="1">
        <f t="shared" si="116"/>
        <v>0</v>
      </c>
      <c r="W374" s="1">
        <f t="shared" si="117"/>
        <v>0</v>
      </c>
      <c r="X374" s="1">
        <f t="shared" si="118"/>
        <v>0</v>
      </c>
      <c r="Y374" s="1">
        <f t="shared" si="119"/>
        <v>0</v>
      </c>
      <c r="Z374" s="1">
        <f t="shared" si="120"/>
        <v>0</v>
      </c>
      <c r="AA374" s="1">
        <f t="shared" si="121"/>
        <v>0</v>
      </c>
      <c r="AB374" s="1">
        <f t="shared" si="122"/>
        <v>0</v>
      </c>
      <c r="AD374" s="1">
        <f t="shared" si="123"/>
        <v>1</v>
      </c>
      <c r="AE374" s="1">
        <f t="shared" si="124"/>
        <v>0</v>
      </c>
      <c r="AF374" s="1">
        <f t="shared" si="125"/>
        <v>1</v>
      </c>
      <c r="AG374" s="1">
        <f t="shared" si="126"/>
        <v>0</v>
      </c>
      <c r="AH374" s="1">
        <f t="shared" si="127"/>
        <v>1</v>
      </c>
      <c r="AI374" s="1">
        <f t="shared" si="128"/>
        <v>0</v>
      </c>
    </row>
    <row r="375" spans="1:35" ht="14.25" customHeight="1" x14ac:dyDescent="0.25">
      <c r="A375" s="31">
        <v>0</v>
      </c>
      <c r="B375" s="31">
        <v>2</v>
      </c>
      <c r="C375" s="31">
        <v>4</v>
      </c>
      <c r="D375" s="32" t="s">
        <v>84</v>
      </c>
      <c r="E375" s="32" t="s">
        <v>35</v>
      </c>
      <c r="F375" s="32" t="s">
        <v>276</v>
      </c>
      <c r="G375" s="32" t="s">
        <v>223</v>
      </c>
      <c r="H375" s="32" t="s">
        <v>352</v>
      </c>
      <c r="I375" s="31" t="s">
        <v>431</v>
      </c>
      <c r="J375" s="31">
        <v>99</v>
      </c>
      <c r="K375" s="33" t="s">
        <v>935</v>
      </c>
      <c r="L375" s="33" t="s">
        <v>695</v>
      </c>
      <c r="M375" s="34" t="s">
        <v>717</v>
      </c>
      <c r="N375" s="34" t="s">
        <v>1722</v>
      </c>
      <c r="O375" s="35">
        <v>1</v>
      </c>
      <c r="P375" s="35"/>
      <c r="Q375" s="32"/>
      <c r="S375" s="1">
        <f t="shared" si="113"/>
        <v>0</v>
      </c>
      <c r="T375" s="1">
        <f t="shared" si="114"/>
        <v>0</v>
      </c>
      <c r="U375" s="1">
        <f t="shared" si="115"/>
        <v>0</v>
      </c>
      <c r="V375" s="1">
        <f t="shared" si="116"/>
        <v>0</v>
      </c>
      <c r="W375" s="1">
        <f t="shared" si="117"/>
        <v>0</v>
      </c>
      <c r="X375" s="1">
        <f t="shared" si="118"/>
        <v>0</v>
      </c>
      <c r="Y375" s="1">
        <f t="shared" si="119"/>
        <v>0</v>
      </c>
      <c r="Z375" s="1">
        <f t="shared" si="120"/>
        <v>0</v>
      </c>
      <c r="AA375" s="1">
        <f t="shared" si="121"/>
        <v>0</v>
      </c>
      <c r="AB375" s="1">
        <f t="shared" si="122"/>
        <v>0</v>
      </c>
      <c r="AD375" s="1">
        <f t="shared" si="123"/>
        <v>0</v>
      </c>
      <c r="AE375" s="1">
        <f t="shared" si="124"/>
        <v>1</v>
      </c>
      <c r="AF375" s="1">
        <f t="shared" si="125"/>
        <v>0</v>
      </c>
      <c r="AG375" s="1">
        <f t="shared" si="126"/>
        <v>1</v>
      </c>
      <c r="AH375" s="1">
        <f t="shared" si="127"/>
        <v>0</v>
      </c>
      <c r="AI375" s="1">
        <f t="shared" si="128"/>
        <v>1</v>
      </c>
    </row>
    <row r="376" spans="1:35" ht="14.25" customHeight="1" x14ac:dyDescent="0.25">
      <c r="A376" s="31">
        <v>0</v>
      </c>
      <c r="B376" s="31">
        <v>2</v>
      </c>
      <c r="C376" s="31">
        <v>4</v>
      </c>
      <c r="D376" s="32" t="s">
        <v>864</v>
      </c>
      <c r="E376" s="32" t="s">
        <v>757</v>
      </c>
      <c r="F376" s="32" t="s">
        <v>862</v>
      </c>
      <c r="G376" s="32" t="s">
        <v>278</v>
      </c>
      <c r="H376" s="32" t="s">
        <v>352</v>
      </c>
      <c r="I376" s="31" t="s">
        <v>863</v>
      </c>
      <c r="J376" s="31">
        <v>99</v>
      </c>
      <c r="K376" s="33" t="s">
        <v>694</v>
      </c>
      <c r="L376" s="33">
        <v>25</v>
      </c>
      <c r="M376" s="34" t="s">
        <v>1391</v>
      </c>
      <c r="N376" s="34" t="s">
        <v>1809</v>
      </c>
      <c r="O376" s="35">
        <v>1</v>
      </c>
      <c r="P376" s="35"/>
      <c r="Q376" s="32"/>
      <c r="S376" s="1">
        <f t="shared" si="113"/>
        <v>0</v>
      </c>
      <c r="T376" s="1">
        <f t="shared" si="114"/>
        <v>0</v>
      </c>
      <c r="U376" s="1">
        <f t="shared" si="115"/>
        <v>0</v>
      </c>
      <c r="V376" s="1">
        <f t="shared" si="116"/>
        <v>0</v>
      </c>
      <c r="W376" s="1">
        <f t="shared" si="117"/>
        <v>0</v>
      </c>
      <c r="X376" s="1">
        <f t="shared" si="118"/>
        <v>0</v>
      </c>
      <c r="Y376" s="1">
        <f t="shared" si="119"/>
        <v>0</v>
      </c>
      <c r="Z376" s="1">
        <f t="shared" si="120"/>
        <v>0</v>
      </c>
      <c r="AA376" s="1">
        <f t="shared" si="121"/>
        <v>0</v>
      </c>
      <c r="AB376" s="1">
        <f t="shared" si="122"/>
        <v>0</v>
      </c>
      <c r="AD376" s="1">
        <f t="shared" si="123"/>
        <v>0</v>
      </c>
      <c r="AE376" s="1">
        <f t="shared" si="124"/>
        <v>1</v>
      </c>
      <c r="AF376" s="1">
        <f t="shared" si="125"/>
        <v>0</v>
      </c>
      <c r="AG376" s="1">
        <f t="shared" si="126"/>
        <v>1</v>
      </c>
      <c r="AH376" s="1">
        <f t="shared" si="127"/>
        <v>0</v>
      </c>
      <c r="AI376" s="1">
        <f t="shared" si="128"/>
        <v>1</v>
      </c>
    </row>
    <row r="377" spans="1:35" ht="14.25" customHeight="1" x14ac:dyDescent="0.25">
      <c r="A377" s="31">
        <v>0</v>
      </c>
      <c r="B377" s="31">
        <v>2</v>
      </c>
      <c r="C377" s="31">
        <v>4</v>
      </c>
      <c r="D377" s="32" t="s">
        <v>905</v>
      </c>
      <c r="E377" s="32" t="s">
        <v>757</v>
      </c>
      <c r="F377" s="32" t="s">
        <v>829</v>
      </c>
      <c r="G377" s="32" t="s">
        <v>208</v>
      </c>
      <c r="H377" s="32" t="s">
        <v>352</v>
      </c>
      <c r="I377" s="31" t="s">
        <v>830</v>
      </c>
      <c r="J377" s="31">
        <v>99</v>
      </c>
      <c r="K377" s="33" t="s">
        <v>703</v>
      </c>
      <c r="L377" s="33" t="s">
        <v>695</v>
      </c>
      <c r="M377" s="34" t="s">
        <v>717</v>
      </c>
      <c r="N377" s="34" t="s">
        <v>1717</v>
      </c>
      <c r="O377" s="35">
        <v>1</v>
      </c>
      <c r="P377" s="35"/>
      <c r="Q377" s="32"/>
      <c r="S377" s="1">
        <f t="shared" si="113"/>
        <v>0</v>
      </c>
      <c r="T377" s="1">
        <f t="shared" si="114"/>
        <v>0</v>
      </c>
      <c r="U377" s="1">
        <f t="shared" si="115"/>
        <v>0</v>
      </c>
      <c r="V377" s="1">
        <f t="shared" si="116"/>
        <v>0</v>
      </c>
      <c r="W377" s="1">
        <f t="shared" si="117"/>
        <v>0</v>
      </c>
      <c r="X377" s="1">
        <f t="shared" si="118"/>
        <v>0</v>
      </c>
      <c r="Y377" s="1">
        <f t="shared" si="119"/>
        <v>0</v>
      </c>
      <c r="Z377" s="1">
        <f t="shared" si="120"/>
        <v>0</v>
      </c>
      <c r="AA377" s="1">
        <f t="shared" si="121"/>
        <v>0</v>
      </c>
      <c r="AB377" s="1">
        <f t="shared" si="122"/>
        <v>0</v>
      </c>
      <c r="AD377" s="1">
        <f t="shared" si="123"/>
        <v>0</v>
      </c>
      <c r="AE377" s="1">
        <f t="shared" si="124"/>
        <v>1</v>
      </c>
      <c r="AF377" s="1">
        <f t="shared" si="125"/>
        <v>0</v>
      </c>
      <c r="AG377" s="1">
        <f t="shared" si="126"/>
        <v>1</v>
      </c>
      <c r="AH377" s="1">
        <f t="shared" si="127"/>
        <v>0</v>
      </c>
      <c r="AI377" s="1">
        <f t="shared" si="128"/>
        <v>1</v>
      </c>
    </row>
    <row r="378" spans="1:35" ht="14.25" customHeight="1" x14ac:dyDescent="0.25">
      <c r="A378" s="31">
        <v>0</v>
      </c>
      <c r="B378" s="31">
        <v>2</v>
      </c>
      <c r="C378" s="31">
        <v>4</v>
      </c>
      <c r="D378" s="32" t="s">
        <v>1981</v>
      </c>
      <c r="E378" s="32" t="s">
        <v>35</v>
      </c>
      <c r="F378" s="32" t="s">
        <v>1982</v>
      </c>
      <c r="G378" s="32" t="s">
        <v>208</v>
      </c>
      <c r="H378" s="32" t="s">
        <v>352</v>
      </c>
      <c r="I378" s="31" t="s">
        <v>1983</v>
      </c>
      <c r="J378" s="31">
        <v>99</v>
      </c>
      <c r="K378" s="33" t="s">
        <v>694</v>
      </c>
      <c r="L378" s="33">
        <v>25</v>
      </c>
      <c r="M378" s="34" t="s">
        <v>1985</v>
      </c>
      <c r="N378" s="34" t="s">
        <v>1809</v>
      </c>
      <c r="O378" s="35">
        <v>1</v>
      </c>
      <c r="P378" s="35"/>
      <c r="Q378" s="32" t="s">
        <v>1984</v>
      </c>
      <c r="S378" s="1">
        <f t="shared" si="113"/>
        <v>0</v>
      </c>
      <c r="T378" s="1">
        <f t="shared" si="114"/>
        <v>0</v>
      </c>
      <c r="U378" s="1">
        <f t="shared" si="115"/>
        <v>0</v>
      </c>
      <c r="V378" s="1">
        <f t="shared" si="116"/>
        <v>0</v>
      </c>
      <c r="W378" s="1">
        <f t="shared" si="117"/>
        <v>0</v>
      </c>
      <c r="X378" s="1">
        <f t="shared" si="118"/>
        <v>0</v>
      </c>
      <c r="Y378" s="1">
        <f t="shared" si="119"/>
        <v>0</v>
      </c>
      <c r="Z378" s="1">
        <f t="shared" si="120"/>
        <v>0</v>
      </c>
      <c r="AA378" s="1">
        <f t="shared" si="121"/>
        <v>0</v>
      </c>
      <c r="AB378" s="1">
        <f t="shared" si="122"/>
        <v>0</v>
      </c>
      <c r="AD378" s="1">
        <f t="shared" si="123"/>
        <v>0</v>
      </c>
      <c r="AE378" s="1">
        <f t="shared" si="124"/>
        <v>1</v>
      </c>
      <c r="AF378" s="1">
        <f t="shared" si="125"/>
        <v>0</v>
      </c>
      <c r="AG378" s="1">
        <f t="shared" si="126"/>
        <v>1</v>
      </c>
      <c r="AH378" s="1">
        <f t="shared" si="127"/>
        <v>0</v>
      </c>
      <c r="AI378" s="1">
        <f t="shared" si="128"/>
        <v>1</v>
      </c>
    </row>
    <row r="379" spans="1:35" ht="14.25" customHeight="1" x14ac:dyDescent="0.25">
      <c r="A379" s="31">
        <v>0</v>
      </c>
      <c r="B379" s="31">
        <v>2</v>
      </c>
      <c r="C379" s="31">
        <v>4</v>
      </c>
      <c r="D379" s="32" t="s">
        <v>1198</v>
      </c>
      <c r="E379" s="32" t="s">
        <v>1197</v>
      </c>
      <c r="F379" s="32" t="s">
        <v>1199</v>
      </c>
      <c r="G379" s="32" t="s">
        <v>531</v>
      </c>
      <c r="H379" s="32" t="s">
        <v>352</v>
      </c>
      <c r="I379" s="31" t="s">
        <v>1200</v>
      </c>
      <c r="J379" s="31">
        <v>99</v>
      </c>
      <c r="K379" s="33" t="s">
        <v>704</v>
      </c>
      <c r="L379" s="33" t="s">
        <v>685</v>
      </c>
      <c r="M379" s="34" t="s">
        <v>1392</v>
      </c>
      <c r="N379" s="34" t="s">
        <v>1693</v>
      </c>
      <c r="O379" s="35">
        <v>1</v>
      </c>
      <c r="P379" s="35">
        <v>1</v>
      </c>
      <c r="Q379" s="32"/>
      <c r="S379" s="1">
        <f t="shared" si="113"/>
        <v>0</v>
      </c>
      <c r="T379" s="1">
        <f t="shared" si="114"/>
        <v>0</v>
      </c>
      <c r="U379" s="1">
        <f t="shared" si="115"/>
        <v>0</v>
      </c>
      <c r="V379" s="1">
        <f t="shared" si="116"/>
        <v>0</v>
      </c>
      <c r="W379" s="1">
        <f t="shared" si="117"/>
        <v>0</v>
      </c>
      <c r="X379" s="1">
        <f t="shared" si="118"/>
        <v>0</v>
      </c>
      <c r="Y379" s="1">
        <f t="shared" si="119"/>
        <v>0</v>
      </c>
      <c r="Z379" s="1">
        <f t="shared" si="120"/>
        <v>0</v>
      </c>
      <c r="AA379" s="1">
        <f t="shared" si="121"/>
        <v>0</v>
      </c>
      <c r="AB379" s="1">
        <f t="shared" si="122"/>
        <v>0</v>
      </c>
      <c r="AD379" s="1">
        <f t="shared" si="123"/>
        <v>1</v>
      </c>
      <c r="AE379" s="1">
        <f t="shared" si="124"/>
        <v>0</v>
      </c>
      <c r="AF379" s="1">
        <f t="shared" si="125"/>
        <v>1</v>
      </c>
      <c r="AG379" s="1">
        <f t="shared" si="126"/>
        <v>0</v>
      </c>
      <c r="AH379" s="1">
        <f t="shared" si="127"/>
        <v>1</v>
      </c>
      <c r="AI379" s="1">
        <f t="shared" si="128"/>
        <v>0</v>
      </c>
    </row>
    <row r="380" spans="1:35" ht="14.25" customHeight="1" x14ac:dyDescent="0.25">
      <c r="A380" s="31">
        <v>0</v>
      </c>
      <c r="B380" s="31">
        <v>2</v>
      </c>
      <c r="C380" s="31">
        <v>4</v>
      </c>
      <c r="D380" s="32" t="s">
        <v>808</v>
      </c>
      <c r="E380" s="32" t="s">
        <v>582</v>
      </c>
      <c r="F380" s="32" t="s">
        <v>809</v>
      </c>
      <c r="G380" s="32" t="s">
        <v>919</v>
      </c>
      <c r="H380" s="32" t="s">
        <v>352</v>
      </c>
      <c r="I380" s="31" t="s">
        <v>932</v>
      </c>
      <c r="J380" s="31">
        <v>7</v>
      </c>
      <c r="K380" s="33" t="s">
        <v>703</v>
      </c>
      <c r="L380" s="33" t="s">
        <v>39</v>
      </c>
      <c r="M380" s="34" t="s">
        <v>39</v>
      </c>
      <c r="N380" s="34" t="s">
        <v>1693</v>
      </c>
      <c r="O380" s="35">
        <v>1</v>
      </c>
      <c r="P380" s="35">
        <v>1</v>
      </c>
      <c r="Q380" s="32"/>
      <c r="S380" s="1">
        <f t="shared" si="113"/>
        <v>0</v>
      </c>
      <c r="T380" s="1">
        <f t="shared" si="114"/>
        <v>0</v>
      </c>
      <c r="U380" s="1">
        <f t="shared" si="115"/>
        <v>0</v>
      </c>
      <c r="V380" s="1">
        <f t="shared" si="116"/>
        <v>0</v>
      </c>
      <c r="W380" s="1">
        <f t="shared" si="117"/>
        <v>0</v>
      </c>
      <c r="X380" s="1">
        <f t="shared" si="118"/>
        <v>0</v>
      </c>
      <c r="Y380" s="1">
        <f t="shared" si="119"/>
        <v>1</v>
      </c>
      <c r="Z380" s="1">
        <f t="shared" si="120"/>
        <v>0</v>
      </c>
      <c r="AA380" s="1">
        <f t="shared" si="121"/>
        <v>0</v>
      </c>
      <c r="AB380" s="1">
        <f t="shared" si="122"/>
        <v>0</v>
      </c>
      <c r="AD380" s="1">
        <f t="shared" si="123"/>
        <v>1</v>
      </c>
      <c r="AE380" s="1">
        <f t="shared" si="124"/>
        <v>0</v>
      </c>
      <c r="AF380" s="1">
        <f t="shared" si="125"/>
        <v>1</v>
      </c>
      <c r="AG380" s="1">
        <f t="shared" si="126"/>
        <v>0</v>
      </c>
      <c r="AH380" s="1">
        <f t="shared" si="127"/>
        <v>1</v>
      </c>
      <c r="AI380" s="1">
        <f t="shared" si="128"/>
        <v>0</v>
      </c>
    </row>
    <row r="381" spans="1:35" ht="14.25" customHeight="1" x14ac:dyDescent="0.25">
      <c r="A381" s="31">
        <v>0</v>
      </c>
      <c r="B381" s="31">
        <v>2</v>
      </c>
      <c r="C381" s="31">
        <v>4</v>
      </c>
      <c r="D381" s="32" t="s">
        <v>1572</v>
      </c>
      <c r="E381" s="32" t="s">
        <v>1622</v>
      </c>
      <c r="F381" s="32" t="s">
        <v>1573</v>
      </c>
      <c r="G381" s="32" t="s">
        <v>331</v>
      </c>
      <c r="H381" s="32" t="s">
        <v>352</v>
      </c>
      <c r="I381" s="31" t="s">
        <v>30</v>
      </c>
      <c r="J381" s="31">
        <v>99</v>
      </c>
      <c r="K381" s="33" t="s">
        <v>704</v>
      </c>
      <c r="L381" s="33">
        <v>20</v>
      </c>
      <c r="M381" s="34" t="s">
        <v>39</v>
      </c>
      <c r="N381" s="34" t="s">
        <v>1716</v>
      </c>
      <c r="O381" s="35">
        <v>1</v>
      </c>
      <c r="P381" s="35"/>
      <c r="Q381" s="32"/>
      <c r="S381" s="1">
        <f t="shared" si="113"/>
        <v>0</v>
      </c>
      <c r="T381" s="1">
        <f t="shared" si="114"/>
        <v>0</v>
      </c>
      <c r="U381" s="1">
        <f t="shared" si="115"/>
        <v>0</v>
      </c>
      <c r="V381" s="1">
        <f t="shared" si="116"/>
        <v>0</v>
      </c>
      <c r="W381" s="1">
        <f t="shared" si="117"/>
        <v>0</v>
      </c>
      <c r="X381" s="1">
        <f t="shared" si="118"/>
        <v>0</v>
      </c>
      <c r="Y381" s="1">
        <f t="shared" si="119"/>
        <v>0</v>
      </c>
      <c r="Z381" s="1">
        <f t="shared" si="120"/>
        <v>0</v>
      </c>
      <c r="AA381" s="1">
        <f t="shared" si="121"/>
        <v>0</v>
      </c>
      <c r="AB381" s="1">
        <f t="shared" si="122"/>
        <v>0</v>
      </c>
      <c r="AD381" s="1">
        <f t="shared" si="123"/>
        <v>0</v>
      </c>
      <c r="AE381" s="1">
        <f t="shared" si="124"/>
        <v>1</v>
      </c>
      <c r="AF381" s="1">
        <f t="shared" si="125"/>
        <v>0</v>
      </c>
      <c r="AG381" s="1">
        <f t="shared" si="126"/>
        <v>1</v>
      </c>
      <c r="AH381" s="1">
        <f t="shared" si="127"/>
        <v>0</v>
      </c>
      <c r="AI381" s="1">
        <f t="shared" si="128"/>
        <v>1</v>
      </c>
    </row>
    <row r="382" spans="1:35" ht="14.25" customHeight="1" x14ac:dyDescent="0.25">
      <c r="A382" s="15">
        <v>0</v>
      </c>
      <c r="B382" s="15">
        <v>2</v>
      </c>
      <c r="C382" s="15">
        <v>4</v>
      </c>
      <c r="D382" s="16" t="s">
        <v>2146</v>
      </c>
      <c r="E382" s="16" t="s">
        <v>2147</v>
      </c>
      <c r="F382" s="16" t="s">
        <v>2148</v>
      </c>
      <c r="G382" s="16" t="s">
        <v>278</v>
      </c>
      <c r="H382" s="16" t="s">
        <v>352</v>
      </c>
      <c r="I382" s="21" t="s">
        <v>2149</v>
      </c>
      <c r="J382" s="15">
        <v>99</v>
      </c>
      <c r="K382" s="10" t="s">
        <v>694</v>
      </c>
      <c r="L382" s="10">
        <v>30</v>
      </c>
      <c r="M382" s="19" t="s">
        <v>2150</v>
      </c>
      <c r="N382" s="19"/>
      <c r="Q382" s="16" t="s">
        <v>2151</v>
      </c>
      <c r="S382" s="1">
        <f t="shared" si="113"/>
        <v>0</v>
      </c>
      <c r="T382" s="1">
        <f t="shared" si="114"/>
        <v>0</v>
      </c>
      <c r="U382" s="1">
        <f t="shared" si="115"/>
        <v>0</v>
      </c>
      <c r="V382" s="1">
        <f t="shared" si="116"/>
        <v>0</v>
      </c>
      <c r="W382" s="1">
        <f t="shared" si="117"/>
        <v>0</v>
      </c>
      <c r="X382" s="1">
        <f t="shared" si="118"/>
        <v>0</v>
      </c>
      <c r="Y382" s="1">
        <f t="shared" si="119"/>
        <v>0</v>
      </c>
      <c r="Z382" s="1">
        <f t="shared" si="120"/>
        <v>0</v>
      </c>
      <c r="AA382" s="1">
        <f t="shared" si="121"/>
        <v>0</v>
      </c>
      <c r="AB382" s="1">
        <f t="shared" si="122"/>
        <v>0</v>
      </c>
      <c r="AD382" s="1">
        <f t="shared" ref="AD382:AD385" si="129">+O382*P382</f>
        <v>0</v>
      </c>
      <c r="AE382" s="1">
        <f t="shared" ref="AE382:AE385" si="130">O382*(1-P382)</f>
        <v>0</v>
      </c>
      <c r="AF382" s="1">
        <f t="shared" ref="AF382:AF385" si="131">+O382*P382*(1-A382)</f>
        <v>0</v>
      </c>
      <c r="AG382" s="1">
        <f t="shared" ref="AG382:AG385" si="132">O382*(1-P382)*(1-A382)</f>
        <v>0</v>
      </c>
      <c r="AH382" s="1">
        <f t="shared" ref="AH382:AH385" si="133">+P382*(1-A382)</f>
        <v>0</v>
      </c>
      <c r="AI382" s="1">
        <f t="shared" ref="AI382:AI385" si="134">+(1-A382)*(1-P382)</f>
        <v>1</v>
      </c>
    </row>
    <row r="383" spans="1:35" ht="14.25" customHeight="1" x14ac:dyDescent="0.25">
      <c r="A383" s="31">
        <v>0</v>
      </c>
      <c r="B383" s="31">
        <v>2</v>
      </c>
      <c r="C383" s="31">
        <v>5</v>
      </c>
      <c r="D383" s="32" t="s">
        <v>58</v>
      </c>
      <c r="E383" s="32" t="s">
        <v>44</v>
      </c>
      <c r="F383" s="32" t="s">
        <v>663</v>
      </c>
      <c r="G383" s="32" t="s">
        <v>222</v>
      </c>
      <c r="H383" s="32" t="s">
        <v>352</v>
      </c>
      <c r="I383" s="31" t="s">
        <v>395</v>
      </c>
      <c r="J383" s="31">
        <v>8</v>
      </c>
      <c r="K383" s="33" t="s">
        <v>704</v>
      </c>
      <c r="L383" s="33" t="s">
        <v>707</v>
      </c>
      <c r="M383" s="34" t="s">
        <v>1393</v>
      </c>
      <c r="N383" s="34" t="s">
        <v>1709</v>
      </c>
      <c r="O383" s="35">
        <v>1</v>
      </c>
      <c r="P383" s="35"/>
      <c r="Q383" s="32"/>
      <c r="S383" s="1">
        <f t="shared" si="113"/>
        <v>0</v>
      </c>
      <c r="T383" s="1">
        <f t="shared" si="114"/>
        <v>0</v>
      </c>
      <c r="U383" s="1">
        <f t="shared" si="115"/>
        <v>0</v>
      </c>
      <c r="V383" s="1">
        <f t="shared" si="116"/>
        <v>0</v>
      </c>
      <c r="W383" s="1">
        <f t="shared" si="117"/>
        <v>0</v>
      </c>
      <c r="X383" s="1">
        <f t="shared" si="118"/>
        <v>0</v>
      </c>
      <c r="Y383" s="1">
        <f t="shared" si="119"/>
        <v>0</v>
      </c>
      <c r="Z383" s="1">
        <f t="shared" si="120"/>
        <v>1</v>
      </c>
      <c r="AA383" s="1">
        <f t="shared" si="121"/>
        <v>0</v>
      </c>
      <c r="AB383" s="1">
        <f t="shared" si="122"/>
        <v>0</v>
      </c>
      <c r="AD383" s="1">
        <f t="shared" si="129"/>
        <v>0</v>
      </c>
      <c r="AE383" s="1">
        <f t="shared" si="130"/>
        <v>1</v>
      </c>
      <c r="AF383" s="1">
        <f t="shared" si="131"/>
        <v>0</v>
      </c>
      <c r="AG383" s="1">
        <f t="shared" si="132"/>
        <v>1</v>
      </c>
      <c r="AH383" s="1">
        <f t="shared" si="133"/>
        <v>0</v>
      </c>
      <c r="AI383" s="1">
        <f t="shared" si="134"/>
        <v>1</v>
      </c>
    </row>
    <row r="384" spans="1:35" ht="14.25" customHeight="1" x14ac:dyDescent="0.25">
      <c r="A384" s="31">
        <v>0</v>
      </c>
      <c r="B384" s="31">
        <v>2</v>
      </c>
      <c r="C384" s="31">
        <v>5</v>
      </c>
      <c r="D384" s="32" t="s">
        <v>817</v>
      </c>
      <c r="E384" s="32" t="s">
        <v>816</v>
      </c>
      <c r="F384" s="32" t="s">
        <v>907</v>
      </c>
      <c r="G384" s="32" t="s">
        <v>212</v>
      </c>
      <c r="H384" s="32" t="s">
        <v>352</v>
      </c>
      <c r="I384" s="31" t="s">
        <v>818</v>
      </c>
      <c r="J384" s="31">
        <v>1</v>
      </c>
      <c r="K384" s="33" t="s">
        <v>703</v>
      </c>
      <c r="L384" s="33" t="s">
        <v>684</v>
      </c>
      <c r="M384" s="34" t="s">
        <v>1394</v>
      </c>
      <c r="N384" s="34" t="s">
        <v>1705</v>
      </c>
      <c r="O384" s="35">
        <v>1</v>
      </c>
      <c r="P384" s="35"/>
      <c r="Q384" s="32"/>
      <c r="S384" s="1">
        <f t="shared" si="113"/>
        <v>1</v>
      </c>
      <c r="T384" s="1">
        <f t="shared" si="114"/>
        <v>0</v>
      </c>
      <c r="U384" s="1">
        <f t="shared" si="115"/>
        <v>0</v>
      </c>
      <c r="V384" s="1">
        <f t="shared" si="116"/>
        <v>0</v>
      </c>
      <c r="W384" s="1">
        <f t="shared" si="117"/>
        <v>0</v>
      </c>
      <c r="X384" s="1">
        <f t="shared" si="118"/>
        <v>0</v>
      </c>
      <c r="Y384" s="1">
        <f t="shared" si="119"/>
        <v>0</v>
      </c>
      <c r="Z384" s="1">
        <f t="shared" si="120"/>
        <v>0</v>
      </c>
      <c r="AA384" s="1">
        <f t="shared" si="121"/>
        <v>0</v>
      </c>
      <c r="AB384" s="1">
        <f t="shared" si="122"/>
        <v>0</v>
      </c>
      <c r="AD384" s="1">
        <f t="shared" si="129"/>
        <v>0</v>
      </c>
      <c r="AE384" s="1">
        <f t="shared" si="130"/>
        <v>1</v>
      </c>
      <c r="AF384" s="1">
        <f t="shared" si="131"/>
        <v>0</v>
      </c>
      <c r="AG384" s="1">
        <f t="shared" si="132"/>
        <v>1</v>
      </c>
      <c r="AH384" s="1">
        <f t="shared" si="133"/>
        <v>0</v>
      </c>
      <c r="AI384" s="1">
        <f t="shared" si="134"/>
        <v>1</v>
      </c>
    </row>
    <row r="385" spans="1:35" ht="14.25" customHeight="1" x14ac:dyDescent="0.25">
      <c r="A385" s="31">
        <v>0</v>
      </c>
      <c r="B385" s="31">
        <v>2</v>
      </c>
      <c r="C385" s="31">
        <v>5</v>
      </c>
      <c r="D385" s="36" t="s">
        <v>2014</v>
      </c>
      <c r="E385" s="36" t="s">
        <v>169</v>
      </c>
      <c r="F385" s="36" t="s">
        <v>2015</v>
      </c>
      <c r="G385" s="36" t="s">
        <v>1501</v>
      </c>
      <c r="H385" s="36" t="s">
        <v>352</v>
      </c>
      <c r="I385" s="37" t="s">
        <v>2016</v>
      </c>
      <c r="J385" s="31">
        <v>5</v>
      </c>
      <c r="K385" s="33" t="s">
        <v>694</v>
      </c>
      <c r="L385" s="33"/>
      <c r="M385" s="34"/>
      <c r="N385" s="34" t="s">
        <v>1693</v>
      </c>
      <c r="O385" s="35">
        <v>1</v>
      </c>
      <c r="P385" s="35">
        <v>1</v>
      </c>
      <c r="Q385" s="36" t="s">
        <v>2017</v>
      </c>
      <c r="S385" s="1">
        <f t="shared" si="113"/>
        <v>0</v>
      </c>
      <c r="T385" s="1">
        <f t="shared" si="114"/>
        <v>0</v>
      </c>
      <c r="U385" s="1">
        <f t="shared" si="115"/>
        <v>0</v>
      </c>
      <c r="V385" s="1">
        <f t="shared" si="116"/>
        <v>0</v>
      </c>
      <c r="W385" s="1">
        <f t="shared" si="117"/>
        <v>1</v>
      </c>
      <c r="X385" s="1">
        <f t="shared" si="118"/>
        <v>0</v>
      </c>
      <c r="Y385" s="1">
        <f t="shared" si="119"/>
        <v>0</v>
      </c>
      <c r="Z385" s="1">
        <f t="shared" si="120"/>
        <v>0</v>
      </c>
      <c r="AA385" s="1">
        <f t="shared" si="121"/>
        <v>0</v>
      </c>
      <c r="AB385" s="1">
        <f t="shared" si="122"/>
        <v>0</v>
      </c>
      <c r="AD385" s="1">
        <f t="shared" si="129"/>
        <v>1</v>
      </c>
      <c r="AE385" s="1">
        <f t="shared" si="130"/>
        <v>0</v>
      </c>
      <c r="AF385" s="1">
        <f t="shared" si="131"/>
        <v>1</v>
      </c>
      <c r="AG385" s="1">
        <f t="shared" si="132"/>
        <v>0</v>
      </c>
      <c r="AH385" s="1">
        <f t="shared" si="133"/>
        <v>1</v>
      </c>
      <c r="AI385" s="1">
        <f t="shared" si="134"/>
        <v>0</v>
      </c>
    </row>
    <row r="386" spans="1:35" ht="14.25" customHeight="1" x14ac:dyDescent="0.25">
      <c r="A386" s="31">
        <v>0</v>
      </c>
      <c r="B386" s="31">
        <v>2</v>
      </c>
      <c r="C386" s="31">
        <v>5</v>
      </c>
      <c r="D386" s="32" t="s">
        <v>65</v>
      </c>
      <c r="E386" s="32" t="s">
        <v>163</v>
      </c>
      <c r="F386" s="32" t="s">
        <v>543</v>
      </c>
      <c r="G386" s="32" t="s">
        <v>193</v>
      </c>
      <c r="H386" s="32" t="s">
        <v>352</v>
      </c>
      <c r="I386" s="31" t="s">
        <v>548</v>
      </c>
      <c r="J386" s="31">
        <v>9</v>
      </c>
      <c r="K386" s="33" t="s">
        <v>704</v>
      </c>
      <c r="L386" s="33" t="s">
        <v>678</v>
      </c>
      <c r="M386" s="34" t="s">
        <v>1412</v>
      </c>
      <c r="N386" s="34" t="s">
        <v>1722</v>
      </c>
      <c r="O386" s="35">
        <v>1</v>
      </c>
      <c r="P386" s="35"/>
      <c r="Q386" s="32"/>
      <c r="S386" s="1">
        <f t="shared" si="113"/>
        <v>0</v>
      </c>
      <c r="T386" s="1">
        <f t="shared" si="114"/>
        <v>0</v>
      </c>
      <c r="U386" s="1">
        <f t="shared" si="115"/>
        <v>0</v>
      </c>
      <c r="V386" s="1">
        <f t="shared" si="116"/>
        <v>0</v>
      </c>
      <c r="W386" s="1">
        <f t="shared" si="117"/>
        <v>0</v>
      </c>
      <c r="X386" s="1">
        <f t="shared" si="118"/>
        <v>0</v>
      </c>
      <c r="Y386" s="1">
        <f t="shared" si="119"/>
        <v>0</v>
      </c>
      <c r="Z386" s="1">
        <f t="shared" si="120"/>
        <v>0</v>
      </c>
      <c r="AA386" s="1">
        <f t="shared" si="121"/>
        <v>1</v>
      </c>
      <c r="AB386" s="1">
        <f t="shared" si="122"/>
        <v>0</v>
      </c>
      <c r="AD386" s="1">
        <f t="shared" si="123"/>
        <v>0</v>
      </c>
      <c r="AE386" s="1">
        <f t="shared" si="124"/>
        <v>1</v>
      </c>
      <c r="AF386" s="1">
        <f t="shared" si="125"/>
        <v>0</v>
      </c>
      <c r="AG386" s="1">
        <f t="shared" si="126"/>
        <v>1</v>
      </c>
      <c r="AH386" s="1">
        <f t="shared" si="127"/>
        <v>0</v>
      </c>
      <c r="AI386" s="1">
        <f t="shared" si="128"/>
        <v>1</v>
      </c>
    </row>
    <row r="387" spans="1:35" ht="14.25" customHeight="1" x14ac:dyDescent="0.25">
      <c r="A387" s="44">
        <v>0</v>
      </c>
      <c r="B387" s="44">
        <v>2</v>
      </c>
      <c r="C387" s="44">
        <v>5</v>
      </c>
      <c r="D387" s="45" t="s">
        <v>1455</v>
      </c>
      <c r="E387" s="45" t="s">
        <v>35</v>
      </c>
      <c r="F387" s="57" t="s">
        <v>1833</v>
      </c>
      <c r="G387" s="45" t="s">
        <v>221</v>
      </c>
      <c r="H387" s="45" t="s">
        <v>352</v>
      </c>
      <c r="I387" s="44" t="s">
        <v>1652</v>
      </c>
      <c r="J387" s="44">
        <v>99</v>
      </c>
      <c r="K387" s="46" t="s">
        <v>704</v>
      </c>
      <c r="L387" s="46">
        <v>25</v>
      </c>
      <c r="M387" s="47" t="s">
        <v>39</v>
      </c>
      <c r="N387" s="47" t="s">
        <v>1702</v>
      </c>
      <c r="O387" s="48"/>
      <c r="P387" s="48"/>
      <c r="Q387" s="45"/>
      <c r="S387" s="1">
        <f t="shared" si="113"/>
        <v>0</v>
      </c>
      <c r="T387" s="1">
        <f t="shared" si="114"/>
        <v>0</v>
      </c>
      <c r="U387" s="1">
        <f t="shared" si="115"/>
        <v>0</v>
      </c>
      <c r="V387" s="1">
        <f t="shared" si="116"/>
        <v>0</v>
      </c>
      <c r="W387" s="1">
        <f t="shared" si="117"/>
        <v>0</v>
      </c>
      <c r="X387" s="1">
        <f t="shared" si="118"/>
        <v>0</v>
      </c>
      <c r="Y387" s="1">
        <f t="shared" si="119"/>
        <v>0</v>
      </c>
      <c r="Z387" s="1">
        <f t="shared" si="120"/>
        <v>0</v>
      </c>
      <c r="AA387" s="1">
        <f t="shared" si="121"/>
        <v>0</v>
      </c>
      <c r="AB387" s="1">
        <f t="shared" si="122"/>
        <v>0</v>
      </c>
      <c r="AD387" s="1">
        <f t="shared" si="123"/>
        <v>0</v>
      </c>
      <c r="AE387" s="1">
        <f t="shared" si="124"/>
        <v>0</v>
      </c>
      <c r="AF387" s="1">
        <f t="shared" si="125"/>
        <v>0</v>
      </c>
      <c r="AG387" s="1">
        <f t="shared" si="126"/>
        <v>0</v>
      </c>
      <c r="AH387" s="1">
        <f t="shared" si="127"/>
        <v>0</v>
      </c>
      <c r="AI387" s="1">
        <f t="shared" si="128"/>
        <v>1</v>
      </c>
    </row>
    <row r="388" spans="1:35" ht="14.25" customHeight="1" x14ac:dyDescent="0.25">
      <c r="A388" s="31">
        <v>0</v>
      </c>
      <c r="B388" s="31">
        <v>2</v>
      </c>
      <c r="C388" s="31">
        <v>5</v>
      </c>
      <c r="D388" s="32" t="s">
        <v>1779</v>
      </c>
      <c r="E388" s="32" t="s">
        <v>757</v>
      </c>
      <c r="F388" s="32" t="s">
        <v>1780</v>
      </c>
      <c r="G388" s="32" t="s">
        <v>223</v>
      </c>
      <c r="H388" s="32" t="s">
        <v>352</v>
      </c>
      <c r="I388" s="31" t="s">
        <v>1781</v>
      </c>
      <c r="J388" s="31">
        <v>99</v>
      </c>
      <c r="K388" s="33" t="s">
        <v>1782</v>
      </c>
      <c r="L388" s="33">
        <v>40</v>
      </c>
      <c r="M388" s="34" t="s">
        <v>1783</v>
      </c>
      <c r="N388" s="34" t="s">
        <v>1809</v>
      </c>
      <c r="O388" s="35">
        <v>1</v>
      </c>
      <c r="P388" s="35"/>
      <c r="Q388" s="32"/>
      <c r="S388" s="1">
        <f t="shared" si="113"/>
        <v>0</v>
      </c>
      <c r="T388" s="1">
        <f t="shared" si="114"/>
        <v>0</v>
      </c>
      <c r="U388" s="1">
        <f t="shared" si="115"/>
        <v>0</v>
      </c>
      <c r="V388" s="1">
        <f t="shared" si="116"/>
        <v>0</v>
      </c>
      <c r="W388" s="1">
        <f t="shared" si="117"/>
        <v>0</v>
      </c>
      <c r="X388" s="1">
        <f t="shared" si="118"/>
        <v>0</v>
      </c>
      <c r="Y388" s="1">
        <f t="shared" si="119"/>
        <v>0</v>
      </c>
      <c r="Z388" s="1">
        <f t="shared" si="120"/>
        <v>0</v>
      </c>
      <c r="AA388" s="1">
        <f t="shared" si="121"/>
        <v>0</v>
      </c>
      <c r="AB388" s="1">
        <f t="shared" si="122"/>
        <v>0</v>
      </c>
      <c r="AD388" s="1">
        <f t="shared" si="123"/>
        <v>0</v>
      </c>
      <c r="AE388" s="1">
        <f t="shared" si="124"/>
        <v>1</v>
      </c>
      <c r="AF388" s="1">
        <f t="shared" si="125"/>
        <v>0</v>
      </c>
      <c r="AG388" s="1">
        <f t="shared" si="126"/>
        <v>1</v>
      </c>
      <c r="AH388" s="1">
        <f t="shared" si="127"/>
        <v>0</v>
      </c>
      <c r="AI388" s="1">
        <f t="shared" si="128"/>
        <v>1</v>
      </c>
    </row>
    <row r="389" spans="1:35" ht="14.25" customHeight="1" x14ac:dyDescent="0.25">
      <c r="A389" s="31">
        <v>0</v>
      </c>
      <c r="B389" s="31">
        <v>2</v>
      </c>
      <c r="C389" s="31">
        <v>5</v>
      </c>
      <c r="D389" s="32" t="s">
        <v>608</v>
      </c>
      <c r="E389" s="32" t="s">
        <v>677</v>
      </c>
      <c r="F389" s="32" t="s">
        <v>609</v>
      </c>
      <c r="G389" s="32" t="s">
        <v>285</v>
      </c>
      <c r="H389" s="32" t="s">
        <v>352</v>
      </c>
      <c r="I389" s="31" t="s">
        <v>610</v>
      </c>
      <c r="J389" s="31">
        <v>99</v>
      </c>
      <c r="K389" s="33" t="s">
        <v>703</v>
      </c>
      <c r="L389" s="33" t="s">
        <v>695</v>
      </c>
      <c r="M389" s="34" t="s">
        <v>1395</v>
      </c>
      <c r="N389" s="34" t="s">
        <v>1705</v>
      </c>
      <c r="O389" s="35">
        <v>1</v>
      </c>
      <c r="P389" s="35"/>
      <c r="Q389" s="32"/>
      <c r="S389" s="1">
        <f t="shared" si="113"/>
        <v>0</v>
      </c>
      <c r="T389" s="1">
        <f t="shared" si="114"/>
        <v>0</v>
      </c>
      <c r="U389" s="1">
        <f t="shared" si="115"/>
        <v>0</v>
      </c>
      <c r="V389" s="1">
        <f t="shared" si="116"/>
        <v>0</v>
      </c>
      <c r="W389" s="1">
        <f t="shared" si="117"/>
        <v>0</v>
      </c>
      <c r="X389" s="1">
        <f t="shared" si="118"/>
        <v>0</v>
      </c>
      <c r="Y389" s="1">
        <f t="shared" si="119"/>
        <v>0</v>
      </c>
      <c r="Z389" s="1">
        <f t="shared" si="120"/>
        <v>0</v>
      </c>
      <c r="AA389" s="1">
        <f t="shared" si="121"/>
        <v>0</v>
      </c>
      <c r="AB389" s="1">
        <f t="shared" si="122"/>
        <v>0</v>
      </c>
      <c r="AD389" s="1">
        <f t="shared" si="123"/>
        <v>0</v>
      </c>
      <c r="AE389" s="1">
        <f t="shared" si="124"/>
        <v>1</v>
      </c>
      <c r="AF389" s="1">
        <f t="shared" si="125"/>
        <v>0</v>
      </c>
      <c r="AG389" s="1">
        <f t="shared" si="126"/>
        <v>1</v>
      </c>
      <c r="AH389" s="1">
        <f t="shared" si="127"/>
        <v>0</v>
      </c>
      <c r="AI389" s="1">
        <f t="shared" si="128"/>
        <v>1</v>
      </c>
    </row>
    <row r="390" spans="1:35" ht="14.25" customHeight="1" x14ac:dyDescent="0.25">
      <c r="A390" s="31">
        <v>0</v>
      </c>
      <c r="B390" s="31">
        <v>2</v>
      </c>
      <c r="C390" s="31">
        <v>5</v>
      </c>
      <c r="D390" s="32" t="s">
        <v>1457</v>
      </c>
      <c r="E390" s="32" t="s">
        <v>757</v>
      </c>
      <c r="F390" s="32" t="s">
        <v>1458</v>
      </c>
      <c r="G390" s="32" t="s">
        <v>195</v>
      </c>
      <c r="H390" s="32" t="s">
        <v>352</v>
      </c>
      <c r="I390" s="31" t="s">
        <v>1459</v>
      </c>
      <c r="J390" s="31">
        <v>99</v>
      </c>
      <c r="K390" s="33" t="s">
        <v>935</v>
      </c>
      <c r="L390" s="33" t="s">
        <v>684</v>
      </c>
      <c r="M390" s="34" t="s">
        <v>1386</v>
      </c>
      <c r="N390" s="34" t="s">
        <v>1705</v>
      </c>
      <c r="O390" s="35">
        <v>1</v>
      </c>
      <c r="P390" s="35"/>
      <c r="Q390" s="32"/>
      <c r="S390" s="1">
        <f t="shared" si="113"/>
        <v>0</v>
      </c>
      <c r="T390" s="1">
        <f t="shared" si="114"/>
        <v>0</v>
      </c>
      <c r="U390" s="1">
        <f t="shared" si="115"/>
        <v>0</v>
      </c>
      <c r="V390" s="1">
        <f t="shared" si="116"/>
        <v>0</v>
      </c>
      <c r="W390" s="1">
        <f t="shared" si="117"/>
        <v>0</v>
      </c>
      <c r="X390" s="1">
        <f t="shared" si="118"/>
        <v>0</v>
      </c>
      <c r="Y390" s="1">
        <f t="shared" si="119"/>
        <v>0</v>
      </c>
      <c r="Z390" s="1">
        <f t="shared" si="120"/>
        <v>0</v>
      </c>
      <c r="AA390" s="1">
        <f t="shared" si="121"/>
        <v>0</v>
      </c>
      <c r="AB390" s="1">
        <f t="shared" si="122"/>
        <v>0</v>
      </c>
      <c r="AD390" s="1">
        <f t="shared" si="123"/>
        <v>0</v>
      </c>
      <c r="AE390" s="1">
        <f t="shared" si="124"/>
        <v>1</v>
      </c>
      <c r="AF390" s="1">
        <f t="shared" si="125"/>
        <v>0</v>
      </c>
      <c r="AG390" s="1">
        <f t="shared" si="126"/>
        <v>1</v>
      </c>
      <c r="AH390" s="1">
        <f t="shared" si="127"/>
        <v>0</v>
      </c>
      <c r="AI390" s="1">
        <f t="shared" si="128"/>
        <v>1</v>
      </c>
    </row>
    <row r="391" spans="1:35" ht="14.25" customHeight="1" x14ac:dyDescent="0.25">
      <c r="A391" s="31">
        <v>0</v>
      </c>
      <c r="B391" s="31">
        <v>2</v>
      </c>
      <c r="C391" s="31">
        <v>5</v>
      </c>
      <c r="D391" s="32" t="s">
        <v>760</v>
      </c>
      <c r="E391" s="32" t="s">
        <v>757</v>
      </c>
      <c r="F391" s="32" t="s">
        <v>762</v>
      </c>
      <c r="G391" s="32" t="s">
        <v>206</v>
      </c>
      <c r="H391" s="32" t="s">
        <v>352</v>
      </c>
      <c r="I391" s="31" t="s">
        <v>761</v>
      </c>
      <c r="J391" s="31">
        <v>99</v>
      </c>
      <c r="K391" s="33" t="s">
        <v>703</v>
      </c>
      <c r="L391" s="33" t="s">
        <v>685</v>
      </c>
      <c r="M391" s="34" t="s">
        <v>1396</v>
      </c>
      <c r="N391" s="34" t="s">
        <v>1705</v>
      </c>
      <c r="O391" s="35">
        <v>1</v>
      </c>
      <c r="P391" s="35"/>
      <c r="Q391" s="32"/>
      <c r="S391" s="1">
        <f t="shared" si="113"/>
        <v>0</v>
      </c>
      <c r="T391" s="1">
        <f t="shared" si="114"/>
        <v>0</v>
      </c>
      <c r="U391" s="1">
        <f t="shared" si="115"/>
        <v>0</v>
      </c>
      <c r="V391" s="1">
        <f t="shared" si="116"/>
        <v>0</v>
      </c>
      <c r="W391" s="1">
        <f t="shared" si="117"/>
        <v>0</v>
      </c>
      <c r="X391" s="1">
        <f t="shared" si="118"/>
        <v>0</v>
      </c>
      <c r="Y391" s="1">
        <f t="shared" si="119"/>
        <v>0</v>
      </c>
      <c r="Z391" s="1">
        <f t="shared" si="120"/>
        <v>0</v>
      </c>
      <c r="AA391" s="1">
        <f t="shared" si="121"/>
        <v>0</v>
      </c>
      <c r="AB391" s="1">
        <f t="shared" si="122"/>
        <v>0</v>
      </c>
      <c r="AD391" s="1">
        <f t="shared" si="123"/>
        <v>0</v>
      </c>
      <c r="AE391" s="1">
        <f t="shared" si="124"/>
        <v>1</v>
      </c>
      <c r="AF391" s="1">
        <f t="shared" si="125"/>
        <v>0</v>
      </c>
      <c r="AG391" s="1">
        <f t="shared" si="126"/>
        <v>1</v>
      </c>
      <c r="AH391" s="1">
        <f t="shared" si="127"/>
        <v>0</v>
      </c>
      <c r="AI391" s="1">
        <f t="shared" si="128"/>
        <v>1</v>
      </c>
    </row>
    <row r="392" spans="1:35" ht="14.25" customHeight="1" x14ac:dyDescent="0.25">
      <c r="A392" s="31">
        <v>1</v>
      </c>
      <c r="B392" s="31">
        <v>2</v>
      </c>
      <c r="C392" s="31">
        <v>5</v>
      </c>
      <c r="D392" s="32" t="s">
        <v>760</v>
      </c>
      <c r="E392" s="32" t="s">
        <v>757</v>
      </c>
      <c r="F392" s="32" t="s">
        <v>987</v>
      </c>
      <c r="G392" s="32" t="s">
        <v>189</v>
      </c>
      <c r="H392" s="32" t="s">
        <v>352</v>
      </c>
      <c r="I392" s="31" t="s">
        <v>988</v>
      </c>
      <c r="J392" s="31">
        <v>99</v>
      </c>
      <c r="K392" s="33" t="s">
        <v>703</v>
      </c>
      <c r="L392" s="33" t="s">
        <v>685</v>
      </c>
      <c r="M392" s="34" t="s">
        <v>1396</v>
      </c>
      <c r="N392" s="34" t="s">
        <v>1705</v>
      </c>
      <c r="O392" s="35">
        <v>1</v>
      </c>
      <c r="P392" s="35"/>
      <c r="Q392" s="32"/>
      <c r="S392" s="1">
        <f t="shared" si="113"/>
        <v>0</v>
      </c>
      <c r="T392" s="1">
        <f t="shared" si="114"/>
        <v>0</v>
      </c>
      <c r="U392" s="1">
        <f t="shared" si="115"/>
        <v>0</v>
      </c>
      <c r="V392" s="1">
        <f t="shared" si="116"/>
        <v>0</v>
      </c>
      <c r="W392" s="1">
        <f t="shared" si="117"/>
        <v>0</v>
      </c>
      <c r="X392" s="1">
        <f t="shared" si="118"/>
        <v>0</v>
      </c>
      <c r="Y392" s="1">
        <f t="shared" si="119"/>
        <v>0</v>
      </c>
      <c r="Z392" s="1">
        <f t="shared" si="120"/>
        <v>0</v>
      </c>
      <c r="AA392" s="1">
        <f t="shared" si="121"/>
        <v>0</v>
      </c>
      <c r="AB392" s="1">
        <f t="shared" si="122"/>
        <v>0</v>
      </c>
      <c r="AD392" s="1">
        <f t="shared" si="123"/>
        <v>0</v>
      </c>
      <c r="AE392" s="1">
        <f t="shared" si="124"/>
        <v>1</v>
      </c>
      <c r="AF392" s="1">
        <f t="shared" si="125"/>
        <v>0</v>
      </c>
      <c r="AG392" s="1">
        <f t="shared" si="126"/>
        <v>0</v>
      </c>
      <c r="AH392" s="1">
        <f t="shared" si="127"/>
        <v>0</v>
      </c>
      <c r="AI392" s="1">
        <f t="shared" si="128"/>
        <v>0</v>
      </c>
    </row>
    <row r="393" spans="1:35" ht="14.25" customHeight="1" x14ac:dyDescent="0.25">
      <c r="A393" s="15">
        <v>0</v>
      </c>
      <c r="B393" s="15">
        <v>2</v>
      </c>
      <c r="C393" s="15">
        <v>5</v>
      </c>
      <c r="D393" s="16" t="s">
        <v>899</v>
      </c>
      <c r="E393" s="16" t="s">
        <v>894</v>
      </c>
      <c r="F393" s="16" t="s">
        <v>912</v>
      </c>
      <c r="G393" s="16" t="s">
        <v>1323</v>
      </c>
      <c r="H393" s="16" t="s">
        <v>352</v>
      </c>
      <c r="I393" s="15" t="s">
        <v>755</v>
      </c>
      <c r="J393" s="15">
        <v>99</v>
      </c>
      <c r="K393" s="10" t="s">
        <v>694</v>
      </c>
      <c r="L393" s="10">
        <v>20</v>
      </c>
      <c r="M393" s="19" t="s">
        <v>1397</v>
      </c>
      <c r="N393" s="19"/>
      <c r="Q393" s="16"/>
      <c r="S393" s="1">
        <f t="shared" si="113"/>
        <v>0</v>
      </c>
      <c r="T393" s="1">
        <f t="shared" si="114"/>
        <v>0</v>
      </c>
      <c r="U393" s="1">
        <f t="shared" si="115"/>
        <v>0</v>
      </c>
      <c r="V393" s="1">
        <f t="shared" si="116"/>
        <v>0</v>
      </c>
      <c r="W393" s="1">
        <f t="shared" si="117"/>
        <v>0</v>
      </c>
      <c r="X393" s="1">
        <f t="shared" si="118"/>
        <v>0</v>
      </c>
      <c r="Y393" s="1">
        <f t="shared" si="119"/>
        <v>0</v>
      </c>
      <c r="Z393" s="1">
        <f t="shared" si="120"/>
        <v>0</v>
      </c>
      <c r="AA393" s="1">
        <f t="shared" si="121"/>
        <v>0</v>
      </c>
      <c r="AB393" s="1">
        <f t="shared" si="122"/>
        <v>0</v>
      </c>
      <c r="AD393" s="1">
        <f t="shared" si="123"/>
        <v>0</v>
      </c>
      <c r="AE393" s="1">
        <f t="shared" si="124"/>
        <v>0</v>
      </c>
      <c r="AF393" s="1">
        <f t="shared" si="125"/>
        <v>0</v>
      </c>
      <c r="AG393" s="1">
        <f t="shared" si="126"/>
        <v>0</v>
      </c>
      <c r="AH393" s="1">
        <f t="shared" si="127"/>
        <v>0</v>
      </c>
      <c r="AI393" s="1">
        <f t="shared" si="128"/>
        <v>1</v>
      </c>
    </row>
    <row r="394" spans="1:35" ht="14.25" customHeight="1" x14ac:dyDescent="0.25">
      <c r="A394" s="31">
        <v>0</v>
      </c>
      <c r="B394" s="31">
        <v>2</v>
      </c>
      <c r="C394" s="31">
        <v>5</v>
      </c>
      <c r="D394" s="32" t="s">
        <v>1880</v>
      </c>
      <c r="E394" s="32"/>
      <c r="F394" s="32" t="s">
        <v>1881</v>
      </c>
      <c r="G394" s="32" t="s">
        <v>207</v>
      </c>
      <c r="H394" s="32" t="s">
        <v>352</v>
      </c>
      <c r="I394" s="31" t="s">
        <v>1882</v>
      </c>
      <c r="J394" s="31">
        <v>3</v>
      </c>
      <c r="K394" s="33" t="s">
        <v>694</v>
      </c>
      <c r="L394" s="33"/>
      <c r="M394" s="34"/>
      <c r="N394" s="34" t="s">
        <v>1693</v>
      </c>
      <c r="O394" s="35">
        <v>1</v>
      </c>
      <c r="P394" s="35">
        <v>1</v>
      </c>
      <c r="Q394" s="32" t="s">
        <v>1883</v>
      </c>
      <c r="S394" s="1">
        <f t="shared" si="113"/>
        <v>0</v>
      </c>
      <c r="T394" s="1">
        <f t="shared" si="114"/>
        <v>0</v>
      </c>
      <c r="U394" s="1">
        <f t="shared" si="115"/>
        <v>1</v>
      </c>
      <c r="V394" s="1">
        <f t="shared" si="116"/>
        <v>0</v>
      </c>
      <c r="W394" s="1">
        <f t="shared" si="117"/>
        <v>0</v>
      </c>
      <c r="X394" s="1">
        <f t="shared" si="118"/>
        <v>0</v>
      </c>
      <c r="Y394" s="1">
        <f t="shared" si="119"/>
        <v>0</v>
      </c>
      <c r="Z394" s="1">
        <f t="shared" si="120"/>
        <v>0</v>
      </c>
      <c r="AA394" s="1">
        <f t="shared" si="121"/>
        <v>0</v>
      </c>
      <c r="AB394" s="1">
        <f t="shared" si="122"/>
        <v>0</v>
      </c>
      <c r="AD394" s="1">
        <f t="shared" si="123"/>
        <v>1</v>
      </c>
      <c r="AE394" s="1">
        <f t="shared" si="124"/>
        <v>0</v>
      </c>
      <c r="AF394" s="1">
        <f t="shared" si="125"/>
        <v>1</v>
      </c>
      <c r="AG394" s="1">
        <f t="shared" si="126"/>
        <v>0</v>
      </c>
      <c r="AH394" s="1">
        <f t="shared" si="127"/>
        <v>1</v>
      </c>
      <c r="AI394" s="1">
        <f t="shared" si="128"/>
        <v>0</v>
      </c>
    </row>
    <row r="395" spans="1:35" ht="14.25" customHeight="1" x14ac:dyDescent="0.25">
      <c r="A395" s="31">
        <v>0</v>
      </c>
      <c r="B395" s="31">
        <v>2</v>
      </c>
      <c r="C395" s="31">
        <v>5</v>
      </c>
      <c r="D395" s="32" t="s">
        <v>1244</v>
      </c>
      <c r="E395" s="32" t="s">
        <v>1245</v>
      </c>
      <c r="F395" s="32" t="s">
        <v>1246</v>
      </c>
      <c r="G395" s="32" t="s">
        <v>219</v>
      </c>
      <c r="H395" s="32" t="s">
        <v>352</v>
      </c>
      <c r="I395" s="31" t="s">
        <v>1689</v>
      </c>
      <c r="J395" s="31">
        <v>8</v>
      </c>
      <c r="K395" s="33" t="s">
        <v>704</v>
      </c>
      <c r="L395" s="33" t="s">
        <v>39</v>
      </c>
      <c r="M395" s="34" t="s">
        <v>39</v>
      </c>
      <c r="N395" s="34" t="s">
        <v>1693</v>
      </c>
      <c r="O395" s="35">
        <v>1</v>
      </c>
      <c r="P395" s="35">
        <v>1</v>
      </c>
      <c r="Q395" s="32"/>
      <c r="S395" s="1">
        <f t="shared" si="113"/>
        <v>0</v>
      </c>
      <c r="T395" s="1">
        <f t="shared" si="114"/>
        <v>0</v>
      </c>
      <c r="U395" s="1">
        <f t="shared" si="115"/>
        <v>0</v>
      </c>
      <c r="V395" s="1">
        <f t="shared" si="116"/>
        <v>0</v>
      </c>
      <c r="W395" s="1">
        <f t="shared" si="117"/>
        <v>0</v>
      </c>
      <c r="X395" s="1">
        <f t="shared" si="118"/>
        <v>0</v>
      </c>
      <c r="Y395" s="1">
        <f t="shared" si="119"/>
        <v>0</v>
      </c>
      <c r="Z395" s="1">
        <f t="shared" si="120"/>
        <v>1</v>
      </c>
      <c r="AA395" s="1">
        <f t="shared" si="121"/>
        <v>0</v>
      </c>
      <c r="AB395" s="1">
        <f t="shared" si="122"/>
        <v>0</v>
      </c>
      <c r="AD395" s="1">
        <f t="shared" si="123"/>
        <v>1</v>
      </c>
      <c r="AE395" s="1">
        <f t="shared" si="124"/>
        <v>0</v>
      </c>
      <c r="AF395" s="1">
        <f t="shared" si="125"/>
        <v>1</v>
      </c>
      <c r="AG395" s="1">
        <f t="shared" si="126"/>
        <v>0</v>
      </c>
      <c r="AH395" s="1">
        <f t="shared" si="127"/>
        <v>1</v>
      </c>
      <c r="AI395" s="1">
        <f t="shared" si="128"/>
        <v>0</v>
      </c>
    </row>
    <row r="396" spans="1:35" ht="14.25" customHeight="1" x14ac:dyDescent="0.25">
      <c r="A396" s="31">
        <v>0</v>
      </c>
      <c r="B396" s="31">
        <v>2</v>
      </c>
      <c r="C396" s="31">
        <v>5</v>
      </c>
      <c r="D396" s="32" t="s">
        <v>1063</v>
      </c>
      <c r="E396" s="32" t="s">
        <v>154</v>
      </c>
      <c r="F396" s="32" t="s">
        <v>1047</v>
      </c>
      <c r="G396" s="32" t="s">
        <v>319</v>
      </c>
      <c r="H396" s="32" t="s">
        <v>352</v>
      </c>
      <c r="I396" s="31" t="s">
        <v>1048</v>
      </c>
      <c r="J396" s="31">
        <v>99</v>
      </c>
      <c r="K396" s="33" t="s">
        <v>704</v>
      </c>
      <c r="L396" s="33" t="s">
        <v>685</v>
      </c>
      <c r="M396" s="34" t="s">
        <v>1398</v>
      </c>
      <c r="N396" s="34" t="s">
        <v>1717</v>
      </c>
      <c r="O396" s="35">
        <v>1</v>
      </c>
      <c r="P396" s="35"/>
      <c r="Q396" s="32"/>
      <c r="S396" s="1">
        <f t="shared" si="113"/>
        <v>0</v>
      </c>
      <c r="T396" s="1">
        <f t="shared" si="114"/>
        <v>0</v>
      </c>
      <c r="U396" s="1">
        <f t="shared" si="115"/>
        <v>0</v>
      </c>
      <c r="V396" s="1">
        <f t="shared" si="116"/>
        <v>0</v>
      </c>
      <c r="W396" s="1">
        <f t="shared" si="117"/>
        <v>0</v>
      </c>
      <c r="X396" s="1">
        <f t="shared" si="118"/>
        <v>0</v>
      </c>
      <c r="Y396" s="1">
        <f t="shared" si="119"/>
        <v>0</v>
      </c>
      <c r="Z396" s="1">
        <f t="shared" si="120"/>
        <v>0</v>
      </c>
      <c r="AA396" s="1">
        <f t="shared" si="121"/>
        <v>0</v>
      </c>
      <c r="AB396" s="1">
        <f t="shared" si="122"/>
        <v>0</v>
      </c>
      <c r="AD396" s="1">
        <f t="shared" si="123"/>
        <v>0</v>
      </c>
      <c r="AE396" s="1">
        <f t="shared" si="124"/>
        <v>1</v>
      </c>
      <c r="AF396" s="1">
        <f t="shared" si="125"/>
        <v>0</v>
      </c>
      <c r="AG396" s="1">
        <f t="shared" si="126"/>
        <v>1</v>
      </c>
      <c r="AH396" s="1">
        <f t="shared" si="127"/>
        <v>0</v>
      </c>
      <c r="AI396" s="1">
        <f t="shared" si="128"/>
        <v>1</v>
      </c>
    </row>
    <row r="397" spans="1:35" ht="14.25" customHeight="1" x14ac:dyDescent="0.25">
      <c r="A397" s="31">
        <v>0</v>
      </c>
      <c r="B397" s="31">
        <v>2</v>
      </c>
      <c r="C397" s="31">
        <v>5</v>
      </c>
      <c r="D397" s="32" t="s">
        <v>781</v>
      </c>
      <c r="E397" s="32" t="s">
        <v>757</v>
      </c>
      <c r="F397" s="32" t="s">
        <v>915</v>
      </c>
      <c r="G397" s="32" t="s">
        <v>219</v>
      </c>
      <c r="H397" s="32" t="s">
        <v>352</v>
      </c>
      <c r="I397" s="31" t="s">
        <v>782</v>
      </c>
      <c r="J397" s="31">
        <v>8</v>
      </c>
      <c r="K397" s="33" t="s">
        <v>694</v>
      </c>
      <c r="L397" s="33">
        <v>20</v>
      </c>
      <c r="M397" s="34" t="s">
        <v>1389</v>
      </c>
      <c r="N397" s="34" t="s">
        <v>1785</v>
      </c>
      <c r="O397" s="35">
        <v>1</v>
      </c>
      <c r="P397" s="35"/>
      <c r="Q397" s="32"/>
      <c r="S397" s="1">
        <f t="shared" si="113"/>
        <v>0</v>
      </c>
      <c r="T397" s="1">
        <f t="shared" si="114"/>
        <v>0</v>
      </c>
      <c r="U397" s="1">
        <f t="shared" si="115"/>
        <v>0</v>
      </c>
      <c r="V397" s="1">
        <f t="shared" si="116"/>
        <v>0</v>
      </c>
      <c r="W397" s="1">
        <f t="shared" si="117"/>
        <v>0</v>
      </c>
      <c r="X397" s="1">
        <f t="shared" si="118"/>
        <v>0</v>
      </c>
      <c r="Y397" s="1">
        <f t="shared" si="119"/>
        <v>0</v>
      </c>
      <c r="Z397" s="1">
        <f t="shared" si="120"/>
        <v>1</v>
      </c>
      <c r="AA397" s="1">
        <f t="shared" si="121"/>
        <v>0</v>
      </c>
      <c r="AB397" s="1">
        <f t="shared" si="122"/>
        <v>0</v>
      </c>
      <c r="AD397" s="1">
        <f t="shared" si="123"/>
        <v>0</v>
      </c>
      <c r="AE397" s="1">
        <f t="shared" si="124"/>
        <v>1</v>
      </c>
      <c r="AF397" s="1">
        <f t="shared" si="125"/>
        <v>0</v>
      </c>
      <c r="AG397" s="1">
        <f t="shared" si="126"/>
        <v>1</v>
      </c>
      <c r="AH397" s="1">
        <f t="shared" si="127"/>
        <v>0</v>
      </c>
      <c r="AI397" s="1">
        <f t="shared" si="128"/>
        <v>1</v>
      </c>
    </row>
    <row r="398" spans="1:35" ht="14.25" customHeight="1" x14ac:dyDescent="0.25">
      <c r="A398" s="31">
        <v>0</v>
      </c>
      <c r="B398" s="31">
        <v>2</v>
      </c>
      <c r="C398" s="31">
        <v>5</v>
      </c>
      <c r="D398" s="32" t="s">
        <v>79</v>
      </c>
      <c r="E398" s="32" t="s">
        <v>158</v>
      </c>
      <c r="F398" s="32" t="s">
        <v>267</v>
      </c>
      <c r="G398" s="32" t="s">
        <v>212</v>
      </c>
      <c r="H398" s="32" t="s">
        <v>352</v>
      </c>
      <c r="I398" s="31" t="s">
        <v>423</v>
      </c>
      <c r="J398" s="31">
        <v>1</v>
      </c>
      <c r="K398" s="33" t="s">
        <v>936</v>
      </c>
      <c r="L398" s="33" t="s">
        <v>695</v>
      </c>
      <c r="M398" s="34" t="s">
        <v>718</v>
      </c>
      <c r="N398" s="34" t="s">
        <v>1705</v>
      </c>
      <c r="O398" s="35">
        <v>1</v>
      </c>
      <c r="P398" s="35"/>
      <c r="Q398" s="32"/>
      <c r="S398" s="1">
        <f t="shared" si="113"/>
        <v>1</v>
      </c>
      <c r="T398" s="1">
        <f t="shared" si="114"/>
        <v>0</v>
      </c>
      <c r="U398" s="1">
        <f t="shared" si="115"/>
        <v>0</v>
      </c>
      <c r="V398" s="1">
        <f t="shared" si="116"/>
        <v>0</v>
      </c>
      <c r="W398" s="1">
        <f t="shared" si="117"/>
        <v>0</v>
      </c>
      <c r="X398" s="1">
        <f t="shared" si="118"/>
        <v>0</v>
      </c>
      <c r="Y398" s="1">
        <f t="shared" si="119"/>
        <v>0</v>
      </c>
      <c r="Z398" s="1">
        <f t="shared" si="120"/>
        <v>0</v>
      </c>
      <c r="AA398" s="1">
        <f t="shared" si="121"/>
        <v>0</v>
      </c>
      <c r="AB398" s="1">
        <f t="shared" si="122"/>
        <v>0</v>
      </c>
      <c r="AD398" s="1">
        <f t="shared" si="123"/>
        <v>0</v>
      </c>
      <c r="AE398" s="1">
        <f t="shared" si="124"/>
        <v>1</v>
      </c>
      <c r="AF398" s="1">
        <f t="shared" si="125"/>
        <v>0</v>
      </c>
      <c r="AG398" s="1">
        <f t="shared" si="126"/>
        <v>1</v>
      </c>
      <c r="AH398" s="1">
        <f t="shared" si="127"/>
        <v>0</v>
      </c>
      <c r="AI398" s="1">
        <f t="shared" si="128"/>
        <v>1</v>
      </c>
    </row>
    <row r="399" spans="1:35" ht="14.25" customHeight="1" x14ac:dyDescent="0.25">
      <c r="A399" s="31">
        <v>0</v>
      </c>
      <c r="B399" s="31">
        <v>2</v>
      </c>
      <c r="C399" s="31">
        <v>5</v>
      </c>
      <c r="D399" s="36" t="s">
        <v>2103</v>
      </c>
      <c r="E399" s="36" t="s">
        <v>816</v>
      </c>
      <c r="F399" s="36" t="s">
        <v>2104</v>
      </c>
      <c r="G399" s="36" t="s">
        <v>202</v>
      </c>
      <c r="H399" s="36" t="s">
        <v>352</v>
      </c>
      <c r="I399" s="37" t="s">
        <v>2105</v>
      </c>
      <c r="J399" s="31">
        <v>99</v>
      </c>
      <c r="K399" s="33" t="s">
        <v>694</v>
      </c>
      <c r="L399" s="33"/>
      <c r="M399" s="34"/>
      <c r="N399" s="34" t="s">
        <v>1693</v>
      </c>
      <c r="O399" s="35">
        <v>1</v>
      </c>
      <c r="P399" s="35">
        <v>1</v>
      </c>
      <c r="Q399" s="32"/>
      <c r="S399" s="1">
        <f t="shared" si="113"/>
        <v>0</v>
      </c>
      <c r="T399" s="1">
        <f t="shared" si="114"/>
        <v>0</v>
      </c>
      <c r="U399" s="1">
        <f t="shared" si="115"/>
        <v>0</v>
      </c>
      <c r="V399" s="1">
        <f t="shared" si="116"/>
        <v>0</v>
      </c>
      <c r="W399" s="1">
        <f t="shared" si="117"/>
        <v>0</v>
      </c>
      <c r="X399" s="1">
        <f t="shared" si="118"/>
        <v>0</v>
      </c>
      <c r="Y399" s="1">
        <f t="shared" si="119"/>
        <v>0</v>
      </c>
      <c r="Z399" s="1">
        <f t="shared" si="120"/>
        <v>0</v>
      </c>
      <c r="AA399" s="1">
        <f t="shared" si="121"/>
        <v>0</v>
      </c>
      <c r="AB399" s="1">
        <f t="shared" si="122"/>
        <v>0</v>
      </c>
      <c r="AD399" s="1">
        <f t="shared" si="123"/>
        <v>1</v>
      </c>
      <c r="AE399" s="1">
        <f t="shared" si="124"/>
        <v>0</v>
      </c>
      <c r="AF399" s="1">
        <f t="shared" si="125"/>
        <v>1</v>
      </c>
      <c r="AG399" s="1">
        <f t="shared" si="126"/>
        <v>0</v>
      </c>
      <c r="AH399" s="1">
        <f t="shared" si="127"/>
        <v>1</v>
      </c>
      <c r="AI399" s="1">
        <f t="shared" si="128"/>
        <v>0</v>
      </c>
    </row>
    <row r="400" spans="1:35" ht="14.25" customHeight="1" x14ac:dyDescent="0.25">
      <c r="A400" s="31">
        <v>0</v>
      </c>
      <c r="B400" s="31">
        <v>2</v>
      </c>
      <c r="C400" s="31">
        <v>5</v>
      </c>
      <c r="D400" s="32" t="s">
        <v>2039</v>
      </c>
      <c r="E400" s="32" t="s">
        <v>171</v>
      </c>
      <c r="F400" s="32" t="s">
        <v>2040</v>
      </c>
      <c r="G400" s="32" t="s">
        <v>206</v>
      </c>
      <c r="H400" s="32" t="s">
        <v>352</v>
      </c>
      <c r="I400" s="31" t="s">
        <v>2041</v>
      </c>
      <c r="J400" s="31">
        <v>99</v>
      </c>
      <c r="K400" s="33" t="s">
        <v>694</v>
      </c>
      <c r="L400" s="33">
        <v>30</v>
      </c>
      <c r="M400" s="34" t="s">
        <v>951</v>
      </c>
      <c r="N400" s="34" t="s">
        <v>1705</v>
      </c>
      <c r="O400" s="35">
        <v>1</v>
      </c>
      <c r="P400" s="35"/>
      <c r="Q400" s="32" t="s">
        <v>2042</v>
      </c>
      <c r="S400" s="1">
        <f t="shared" si="113"/>
        <v>0</v>
      </c>
      <c r="T400" s="1">
        <f t="shared" si="114"/>
        <v>0</v>
      </c>
      <c r="U400" s="1">
        <f t="shared" si="115"/>
        <v>0</v>
      </c>
      <c r="V400" s="1">
        <f t="shared" si="116"/>
        <v>0</v>
      </c>
      <c r="W400" s="1">
        <f t="shared" si="117"/>
        <v>0</v>
      </c>
      <c r="X400" s="1">
        <f t="shared" si="118"/>
        <v>0</v>
      </c>
      <c r="Y400" s="1">
        <f t="shared" si="119"/>
        <v>0</v>
      </c>
      <c r="Z400" s="1">
        <f t="shared" si="120"/>
        <v>0</v>
      </c>
      <c r="AA400" s="1">
        <f t="shared" si="121"/>
        <v>0</v>
      </c>
      <c r="AB400" s="1">
        <f t="shared" si="122"/>
        <v>0</v>
      </c>
      <c r="AD400" s="1">
        <f t="shared" si="123"/>
        <v>0</v>
      </c>
      <c r="AE400" s="1">
        <f t="shared" si="124"/>
        <v>1</v>
      </c>
      <c r="AF400" s="1">
        <f t="shared" si="125"/>
        <v>0</v>
      </c>
      <c r="AG400" s="1">
        <f t="shared" si="126"/>
        <v>1</v>
      </c>
      <c r="AH400" s="1">
        <f t="shared" si="127"/>
        <v>0</v>
      </c>
      <c r="AI400" s="1">
        <f t="shared" si="128"/>
        <v>1</v>
      </c>
    </row>
    <row r="401" spans="1:35" ht="14.25" customHeight="1" x14ac:dyDescent="0.25">
      <c r="A401" s="31">
        <v>0</v>
      </c>
      <c r="B401" s="31">
        <v>2</v>
      </c>
      <c r="C401" s="31">
        <v>5</v>
      </c>
      <c r="D401" s="32" t="s">
        <v>1609</v>
      </c>
      <c r="E401" s="32" t="s">
        <v>1621</v>
      </c>
      <c r="F401" s="32" t="s">
        <v>1518</v>
      </c>
      <c r="G401" s="32" t="s">
        <v>261</v>
      </c>
      <c r="H401" s="32" t="s">
        <v>352</v>
      </c>
      <c r="I401" s="31" t="s">
        <v>1519</v>
      </c>
      <c r="J401" s="31">
        <v>99</v>
      </c>
      <c r="K401" s="33" t="s">
        <v>936</v>
      </c>
      <c r="L401" s="33">
        <v>40</v>
      </c>
      <c r="M401" s="34" t="s">
        <v>39</v>
      </c>
      <c r="N401" s="34" t="s">
        <v>1785</v>
      </c>
      <c r="O401" s="35">
        <v>1</v>
      </c>
      <c r="P401" s="35"/>
      <c r="Q401" s="32"/>
      <c r="S401" s="1">
        <f t="shared" si="113"/>
        <v>0</v>
      </c>
      <c r="T401" s="1">
        <f t="shared" si="114"/>
        <v>0</v>
      </c>
      <c r="U401" s="1">
        <f t="shared" si="115"/>
        <v>0</v>
      </c>
      <c r="V401" s="1">
        <f t="shared" si="116"/>
        <v>0</v>
      </c>
      <c r="W401" s="1">
        <f t="shared" si="117"/>
        <v>0</v>
      </c>
      <c r="X401" s="1">
        <f t="shared" si="118"/>
        <v>0</v>
      </c>
      <c r="Y401" s="1">
        <f t="shared" si="119"/>
        <v>0</v>
      </c>
      <c r="Z401" s="1">
        <f t="shared" si="120"/>
        <v>0</v>
      </c>
      <c r="AA401" s="1">
        <f t="shared" si="121"/>
        <v>0</v>
      </c>
      <c r="AB401" s="1">
        <f t="shared" si="122"/>
        <v>0</v>
      </c>
      <c r="AD401" s="1">
        <f t="shared" si="123"/>
        <v>0</v>
      </c>
      <c r="AE401" s="1">
        <f t="shared" si="124"/>
        <v>1</v>
      </c>
      <c r="AF401" s="1">
        <f t="shared" si="125"/>
        <v>0</v>
      </c>
      <c r="AG401" s="1">
        <f t="shared" si="126"/>
        <v>1</v>
      </c>
      <c r="AH401" s="1">
        <f t="shared" si="127"/>
        <v>0</v>
      </c>
      <c r="AI401" s="1">
        <f t="shared" si="128"/>
        <v>1</v>
      </c>
    </row>
    <row r="402" spans="1:35" ht="14.25" customHeight="1" x14ac:dyDescent="0.25">
      <c r="A402" s="31">
        <v>0</v>
      </c>
      <c r="B402" s="31">
        <v>2</v>
      </c>
      <c r="C402" s="31">
        <v>5</v>
      </c>
      <c r="D402" s="32" t="s">
        <v>1271</v>
      </c>
      <c r="E402" s="32" t="s">
        <v>27</v>
      </c>
      <c r="F402" s="32" t="s">
        <v>1272</v>
      </c>
      <c r="G402" s="32" t="s">
        <v>1273</v>
      </c>
      <c r="H402" s="32" t="s">
        <v>352</v>
      </c>
      <c r="I402" s="31" t="s">
        <v>1274</v>
      </c>
      <c r="J402" s="31">
        <v>99</v>
      </c>
      <c r="K402" s="33" t="s">
        <v>936</v>
      </c>
      <c r="L402" s="33" t="s">
        <v>39</v>
      </c>
      <c r="M402" s="34" t="s">
        <v>39</v>
      </c>
      <c r="N402" s="34" t="s">
        <v>1693</v>
      </c>
      <c r="O402" s="35">
        <v>1</v>
      </c>
      <c r="P402" s="35">
        <v>1</v>
      </c>
      <c r="Q402" s="36"/>
      <c r="S402" s="1">
        <f t="shared" si="113"/>
        <v>0</v>
      </c>
      <c r="T402" s="1">
        <f t="shared" si="114"/>
        <v>0</v>
      </c>
      <c r="U402" s="1">
        <f t="shared" si="115"/>
        <v>0</v>
      </c>
      <c r="V402" s="1">
        <f t="shared" si="116"/>
        <v>0</v>
      </c>
      <c r="W402" s="1">
        <f t="shared" si="117"/>
        <v>0</v>
      </c>
      <c r="X402" s="1">
        <f t="shared" si="118"/>
        <v>0</v>
      </c>
      <c r="Y402" s="1">
        <f t="shared" si="119"/>
        <v>0</v>
      </c>
      <c r="Z402" s="1">
        <f t="shared" si="120"/>
        <v>0</v>
      </c>
      <c r="AA402" s="1">
        <f t="shared" si="121"/>
        <v>0</v>
      </c>
      <c r="AB402" s="1">
        <f t="shared" si="122"/>
        <v>0</v>
      </c>
      <c r="AD402" s="1">
        <f t="shared" si="123"/>
        <v>1</v>
      </c>
      <c r="AE402" s="1">
        <f t="shared" si="124"/>
        <v>0</v>
      </c>
      <c r="AF402" s="1">
        <f t="shared" si="125"/>
        <v>1</v>
      </c>
      <c r="AG402" s="1">
        <f t="shared" si="126"/>
        <v>0</v>
      </c>
      <c r="AH402" s="1">
        <f t="shared" si="127"/>
        <v>1</v>
      </c>
      <c r="AI402" s="1">
        <f t="shared" si="128"/>
        <v>0</v>
      </c>
    </row>
    <row r="403" spans="1:35" ht="14.25" customHeight="1" x14ac:dyDescent="0.25">
      <c r="A403" s="15">
        <v>0</v>
      </c>
      <c r="B403" s="15">
        <v>2</v>
      </c>
      <c r="C403" s="15">
        <v>5</v>
      </c>
      <c r="D403" s="16" t="s">
        <v>1570</v>
      </c>
      <c r="E403" s="16" t="s">
        <v>158</v>
      </c>
      <c r="F403" s="16" t="s">
        <v>2102</v>
      </c>
      <c r="G403" s="16" t="s">
        <v>1437</v>
      </c>
      <c r="H403" s="16" t="s">
        <v>352</v>
      </c>
      <c r="I403" s="15" t="s">
        <v>1438</v>
      </c>
      <c r="J403" s="15">
        <v>99</v>
      </c>
      <c r="K403" s="10" t="s">
        <v>704</v>
      </c>
      <c r="L403" s="10" t="s">
        <v>687</v>
      </c>
      <c r="M403" s="19" t="s">
        <v>1439</v>
      </c>
      <c r="N403" s="19"/>
      <c r="Q403" s="16"/>
      <c r="S403" s="1">
        <f t="shared" si="113"/>
        <v>0</v>
      </c>
      <c r="T403" s="1">
        <f t="shared" si="114"/>
        <v>0</v>
      </c>
      <c r="U403" s="1">
        <f t="shared" si="115"/>
        <v>0</v>
      </c>
      <c r="V403" s="1">
        <f t="shared" si="116"/>
        <v>0</v>
      </c>
      <c r="W403" s="1">
        <f t="shared" si="117"/>
        <v>0</v>
      </c>
      <c r="X403" s="1">
        <f t="shared" si="118"/>
        <v>0</v>
      </c>
      <c r="Y403" s="1">
        <f t="shared" si="119"/>
        <v>0</v>
      </c>
      <c r="Z403" s="1">
        <f t="shared" si="120"/>
        <v>0</v>
      </c>
      <c r="AA403" s="1">
        <f t="shared" si="121"/>
        <v>0</v>
      </c>
      <c r="AB403" s="1">
        <f t="shared" si="122"/>
        <v>0</v>
      </c>
      <c r="AD403" s="1">
        <f t="shared" si="123"/>
        <v>0</v>
      </c>
      <c r="AE403" s="1">
        <f t="shared" si="124"/>
        <v>0</v>
      </c>
      <c r="AF403" s="1">
        <f t="shared" si="125"/>
        <v>0</v>
      </c>
      <c r="AG403" s="1">
        <f t="shared" si="126"/>
        <v>0</v>
      </c>
      <c r="AH403" s="1">
        <f t="shared" si="127"/>
        <v>0</v>
      </c>
      <c r="AI403" s="1">
        <f t="shared" si="128"/>
        <v>1</v>
      </c>
    </row>
    <row r="404" spans="1:35" ht="14.25" customHeight="1" x14ac:dyDescent="0.25">
      <c r="A404" s="31">
        <v>0</v>
      </c>
      <c r="B404" s="31">
        <v>2</v>
      </c>
      <c r="C404" s="31">
        <v>5</v>
      </c>
      <c r="D404" s="32" t="s">
        <v>1998</v>
      </c>
      <c r="E404" s="32" t="s">
        <v>1999</v>
      </c>
      <c r="F404" s="32" t="s">
        <v>2000</v>
      </c>
      <c r="G404" s="32" t="s">
        <v>2003</v>
      </c>
      <c r="H404" s="32" t="s">
        <v>352</v>
      </c>
      <c r="I404" s="31" t="s">
        <v>2001</v>
      </c>
      <c r="J404" s="31"/>
      <c r="K404" s="33" t="s">
        <v>1782</v>
      </c>
      <c r="L404" s="33"/>
      <c r="M404" s="34"/>
      <c r="N404" s="34" t="s">
        <v>1693</v>
      </c>
      <c r="O404" s="35">
        <v>1</v>
      </c>
      <c r="P404" s="35">
        <v>1</v>
      </c>
      <c r="Q404" s="32" t="s">
        <v>2002</v>
      </c>
      <c r="S404" s="1">
        <f t="shared" ref="S404:S468" si="135">IF(J404=$S$7,1,0)</f>
        <v>0</v>
      </c>
      <c r="T404" s="1">
        <f t="shared" ref="T404:T468" si="136">IF(J404=$T$7,1,0)</f>
        <v>0</v>
      </c>
      <c r="U404" s="1">
        <f t="shared" ref="U404:U468" si="137">IF(J404=$U$7,1,0)</f>
        <v>0</v>
      </c>
      <c r="V404" s="1">
        <f t="shared" ref="V404:V468" si="138">IF(J404=$V$7,1,0)</f>
        <v>0</v>
      </c>
      <c r="W404" s="1">
        <f t="shared" ref="W404:W468" si="139">IF(J404=$W$7,1,0)</f>
        <v>0</v>
      </c>
      <c r="X404" s="1">
        <f t="shared" ref="X404:X468" si="140">IF(J404=$X$7,1,0)</f>
        <v>0</v>
      </c>
      <c r="Y404" s="1">
        <f t="shared" ref="Y404:Y468" si="141">IF(J404=$Y$7,1,0)</f>
        <v>0</v>
      </c>
      <c r="Z404" s="1">
        <f t="shared" ref="Z404:Z468" si="142">IF(J404=$Z$7,1,0)</f>
        <v>0</v>
      </c>
      <c r="AA404" s="1">
        <f t="shared" ref="AA404:AA468" si="143">IF(J404=$AA$7,1,0)</f>
        <v>0</v>
      </c>
      <c r="AB404" s="1">
        <f t="shared" ref="AB404:AB468" si="144">IF(J404=$AB$7,1,0)</f>
        <v>0</v>
      </c>
      <c r="AD404" s="1">
        <f t="shared" ref="AD404:AD468" si="145">+O404*P404</f>
        <v>1</v>
      </c>
      <c r="AE404" s="1">
        <f t="shared" ref="AE404:AE468" si="146">O404*(1-P404)</f>
        <v>0</v>
      </c>
      <c r="AF404" s="1">
        <f t="shared" si="125"/>
        <v>1</v>
      </c>
      <c r="AG404" s="1">
        <f t="shared" si="126"/>
        <v>0</v>
      </c>
      <c r="AH404" s="1">
        <f t="shared" si="127"/>
        <v>1</v>
      </c>
      <c r="AI404" s="1">
        <f t="shared" si="128"/>
        <v>0</v>
      </c>
    </row>
    <row r="405" spans="1:35" ht="14.25" customHeight="1" x14ac:dyDescent="0.25">
      <c r="A405" s="31">
        <v>0</v>
      </c>
      <c r="B405" s="31">
        <v>2</v>
      </c>
      <c r="C405" s="31">
        <v>5</v>
      </c>
      <c r="D405" s="32" t="s">
        <v>1739</v>
      </c>
      <c r="E405" s="32" t="s">
        <v>154</v>
      </c>
      <c r="F405" s="32" t="s">
        <v>1740</v>
      </c>
      <c r="G405" s="32" t="s">
        <v>648</v>
      </c>
      <c r="H405" s="32" t="s">
        <v>352</v>
      </c>
      <c r="I405" s="31" t="s">
        <v>1741</v>
      </c>
      <c r="J405" s="31"/>
      <c r="K405" s="33" t="s">
        <v>694</v>
      </c>
      <c r="L405" s="33">
        <v>40</v>
      </c>
      <c r="M405" s="34" t="s">
        <v>1742</v>
      </c>
      <c r="N405" s="34" t="s">
        <v>1705</v>
      </c>
      <c r="O405" s="35">
        <v>1</v>
      </c>
      <c r="P405" s="35"/>
      <c r="Q405" s="32"/>
      <c r="S405" s="1">
        <f t="shared" si="135"/>
        <v>0</v>
      </c>
      <c r="T405" s="1">
        <f t="shared" si="136"/>
        <v>0</v>
      </c>
      <c r="U405" s="1">
        <f t="shared" si="137"/>
        <v>0</v>
      </c>
      <c r="V405" s="1">
        <f t="shared" si="138"/>
        <v>0</v>
      </c>
      <c r="W405" s="1">
        <f t="shared" si="139"/>
        <v>0</v>
      </c>
      <c r="X405" s="1">
        <f t="shared" si="140"/>
        <v>0</v>
      </c>
      <c r="Y405" s="1">
        <f t="shared" si="141"/>
        <v>0</v>
      </c>
      <c r="Z405" s="1">
        <f t="shared" si="142"/>
        <v>0</v>
      </c>
      <c r="AA405" s="1">
        <f t="shared" si="143"/>
        <v>0</v>
      </c>
      <c r="AB405" s="1">
        <f t="shared" si="144"/>
        <v>0</v>
      </c>
      <c r="AD405" s="1">
        <f t="shared" si="145"/>
        <v>0</v>
      </c>
      <c r="AE405" s="1">
        <f t="shared" si="146"/>
        <v>1</v>
      </c>
      <c r="AF405" s="1">
        <f t="shared" ref="AF405:AF469" si="147">+O405*P405*(1-A405)</f>
        <v>0</v>
      </c>
      <c r="AG405" s="1">
        <f t="shared" ref="AG405:AG469" si="148">O405*(1-P405)*(1-A405)</f>
        <v>1</v>
      </c>
      <c r="AH405" s="1">
        <f t="shared" ref="AH405:AH469" si="149">+P405*(1-A405)</f>
        <v>0</v>
      </c>
      <c r="AI405" s="1">
        <f t="shared" ref="AI405:AI469" si="150">+(1-A405)*(1-P405)</f>
        <v>1</v>
      </c>
    </row>
    <row r="406" spans="1:35" ht="14.25" customHeight="1" x14ac:dyDescent="0.25">
      <c r="A406" s="31">
        <v>0</v>
      </c>
      <c r="B406" s="31">
        <v>2</v>
      </c>
      <c r="C406" s="31">
        <v>5</v>
      </c>
      <c r="D406" s="32" t="s">
        <v>822</v>
      </c>
      <c r="E406" s="32" t="s">
        <v>816</v>
      </c>
      <c r="F406" s="32" t="s">
        <v>923</v>
      </c>
      <c r="G406" s="32" t="s">
        <v>179</v>
      </c>
      <c r="H406" s="32" t="s">
        <v>352</v>
      </c>
      <c r="I406" s="31" t="s">
        <v>1090</v>
      </c>
      <c r="J406" s="31">
        <v>10</v>
      </c>
      <c r="K406" s="33" t="s">
        <v>703</v>
      </c>
      <c r="L406" s="33" t="s">
        <v>684</v>
      </c>
      <c r="M406" s="34" t="s">
        <v>1399</v>
      </c>
      <c r="N406" s="34" t="s">
        <v>1716</v>
      </c>
      <c r="O406" s="35">
        <v>1</v>
      </c>
      <c r="P406" s="35"/>
      <c r="Q406" s="32"/>
      <c r="S406" s="1">
        <f t="shared" si="135"/>
        <v>0</v>
      </c>
      <c r="T406" s="1">
        <f t="shared" si="136"/>
        <v>0</v>
      </c>
      <c r="U406" s="1">
        <f t="shared" si="137"/>
        <v>0</v>
      </c>
      <c r="V406" s="1">
        <f t="shared" si="138"/>
        <v>0</v>
      </c>
      <c r="W406" s="1">
        <f t="shared" si="139"/>
        <v>0</v>
      </c>
      <c r="X406" s="1">
        <f t="shared" si="140"/>
        <v>0</v>
      </c>
      <c r="Y406" s="1">
        <f t="shared" si="141"/>
        <v>0</v>
      </c>
      <c r="Z406" s="1">
        <f t="shared" si="142"/>
        <v>0</v>
      </c>
      <c r="AA406" s="1">
        <f t="shared" si="143"/>
        <v>0</v>
      </c>
      <c r="AB406" s="1">
        <f t="shared" si="144"/>
        <v>1</v>
      </c>
      <c r="AD406" s="1">
        <f t="shared" si="145"/>
        <v>0</v>
      </c>
      <c r="AE406" s="1">
        <f t="shared" si="146"/>
        <v>1</v>
      </c>
      <c r="AF406" s="1">
        <f t="shared" si="147"/>
        <v>0</v>
      </c>
      <c r="AG406" s="1">
        <f t="shared" si="148"/>
        <v>1</v>
      </c>
      <c r="AH406" s="1">
        <f t="shared" si="149"/>
        <v>0</v>
      </c>
      <c r="AI406" s="1">
        <f t="shared" si="150"/>
        <v>1</v>
      </c>
    </row>
    <row r="407" spans="1:35" ht="14.25" customHeight="1" x14ac:dyDescent="0.25">
      <c r="A407" s="51">
        <v>0</v>
      </c>
      <c r="B407" s="51">
        <v>2</v>
      </c>
      <c r="C407" s="51">
        <v>6</v>
      </c>
      <c r="D407" s="52" t="s">
        <v>1510</v>
      </c>
      <c r="E407" s="52" t="s">
        <v>27</v>
      </c>
      <c r="F407" s="52" t="s">
        <v>1512</v>
      </c>
      <c r="G407" s="52" t="s">
        <v>1501</v>
      </c>
      <c r="H407" s="52" t="s">
        <v>352</v>
      </c>
      <c r="I407" s="51" t="s">
        <v>1511</v>
      </c>
      <c r="J407" s="51">
        <v>5</v>
      </c>
      <c r="K407" s="53" t="s">
        <v>936</v>
      </c>
      <c r="L407" s="53" t="s">
        <v>39</v>
      </c>
      <c r="M407" s="54" t="s">
        <v>39</v>
      </c>
      <c r="N407" s="55"/>
      <c r="O407" s="56"/>
      <c r="P407" s="56"/>
      <c r="Q407" s="58" t="s">
        <v>1859</v>
      </c>
      <c r="S407" s="1">
        <f t="shared" si="135"/>
        <v>0</v>
      </c>
      <c r="T407" s="1">
        <f t="shared" si="136"/>
        <v>0</v>
      </c>
      <c r="U407" s="1">
        <f t="shared" si="137"/>
        <v>0</v>
      </c>
      <c r="V407" s="1">
        <f t="shared" si="138"/>
        <v>0</v>
      </c>
      <c r="W407" s="1">
        <f t="shared" si="139"/>
        <v>1</v>
      </c>
      <c r="X407" s="1">
        <f t="shared" si="140"/>
        <v>0</v>
      </c>
      <c r="Y407" s="1">
        <f t="shared" si="141"/>
        <v>0</v>
      </c>
      <c r="Z407" s="1">
        <f t="shared" si="142"/>
        <v>0</v>
      </c>
      <c r="AA407" s="1">
        <f t="shared" si="143"/>
        <v>0</v>
      </c>
      <c r="AB407" s="1">
        <f t="shared" si="144"/>
        <v>0</v>
      </c>
      <c r="AD407" s="1">
        <f t="shared" si="145"/>
        <v>0</v>
      </c>
      <c r="AE407" s="1">
        <f t="shared" si="146"/>
        <v>0</v>
      </c>
      <c r="AF407" s="1">
        <f t="shared" si="147"/>
        <v>0</v>
      </c>
      <c r="AG407" s="1">
        <f t="shared" si="148"/>
        <v>0</v>
      </c>
      <c r="AH407" s="1">
        <f t="shared" si="149"/>
        <v>0</v>
      </c>
      <c r="AI407" s="1">
        <f t="shared" si="150"/>
        <v>1</v>
      </c>
    </row>
    <row r="408" spans="1:35" ht="14.25" customHeight="1" x14ac:dyDescent="0.25">
      <c r="A408" s="31">
        <v>0</v>
      </c>
      <c r="B408" s="31">
        <v>2</v>
      </c>
      <c r="C408" s="31">
        <v>6</v>
      </c>
      <c r="D408" s="32" t="s">
        <v>515</v>
      </c>
      <c r="E408" s="32" t="s">
        <v>31</v>
      </c>
      <c r="F408" s="32" t="s">
        <v>664</v>
      </c>
      <c r="G408" s="32" t="s">
        <v>199</v>
      </c>
      <c r="H408" s="32" t="s">
        <v>352</v>
      </c>
      <c r="I408" s="31" t="s">
        <v>516</v>
      </c>
      <c r="J408" s="31">
        <v>2</v>
      </c>
      <c r="K408" s="33" t="s">
        <v>935</v>
      </c>
      <c r="L408" s="33" t="s">
        <v>685</v>
      </c>
      <c r="M408" s="34" t="s">
        <v>1400</v>
      </c>
      <c r="N408" s="34" t="s">
        <v>1705</v>
      </c>
      <c r="O408" s="35">
        <v>1</v>
      </c>
      <c r="P408" s="35"/>
      <c r="Q408" s="32"/>
      <c r="S408" s="1">
        <f t="shared" si="135"/>
        <v>0</v>
      </c>
      <c r="T408" s="1">
        <f t="shared" si="136"/>
        <v>1</v>
      </c>
      <c r="U408" s="1">
        <f t="shared" si="137"/>
        <v>0</v>
      </c>
      <c r="V408" s="1">
        <f t="shared" si="138"/>
        <v>0</v>
      </c>
      <c r="W408" s="1">
        <f t="shared" si="139"/>
        <v>0</v>
      </c>
      <c r="X408" s="1">
        <f t="shared" si="140"/>
        <v>0</v>
      </c>
      <c r="Y408" s="1">
        <f t="shared" si="141"/>
        <v>0</v>
      </c>
      <c r="Z408" s="1">
        <f t="shared" si="142"/>
        <v>0</v>
      </c>
      <c r="AA408" s="1">
        <f t="shared" si="143"/>
        <v>0</v>
      </c>
      <c r="AB408" s="1">
        <f t="shared" si="144"/>
        <v>0</v>
      </c>
      <c r="AD408" s="1">
        <f t="shared" si="145"/>
        <v>0</v>
      </c>
      <c r="AE408" s="1">
        <f t="shared" si="146"/>
        <v>1</v>
      </c>
      <c r="AF408" s="1">
        <f t="shared" si="147"/>
        <v>0</v>
      </c>
      <c r="AG408" s="1">
        <f t="shared" si="148"/>
        <v>1</v>
      </c>
      <c r="AH408" s="1">
        <f t="shared" si="149"/>
        <v>0</v>
      </c>
      <c r="AI408" s="1">
        <f t="shared" si="150"/>
        <v>1</v>
      </c>
    </row>
    <row r="409" spans="1:35" ht="14.25" customHeight="1" x14ac:dyDescent="0.25">
      <c r="A409" s="31">
        <v>0</v>
      </c>
      <c r="B409" s="31">
        <v>2</v>
      </c>
      <c r="C409" s="31">
        <v>6</v>
      </c>
      <c r="D409" s="32" t="s">
        <v>53</v>
      </c>
      <c r="E409" s="32" t="s">
        <v>31</v>
      </c>
      <c r="F409" s="32" t="s">
        <v>209</v>
      </c>
      <c r="G409" s="32" t="s">
        <v>210</v>
      </c>
      <c r="H409" s="32" t="s">
        <v>352</v>
      </c>
      <c r="I409" s="31" t="s">
        <v>390</v>
      </c>
      <c r="J409" s="31">
        <v>1</v>
      </c>
      <c r="K409" s="33" t="s">
        <v>703</v>
      </c>
      <c r="L409" s="33" t="s">
        <v>695</v>
      </c>
      <c r="M409" s="34" t="s">
        <v>719</v>
      </c>
      <c r="N409" s="34" t="s">
        <v>1705</v>
      </c>
      <c r="O409" s="35">
        <v>1</v>
      </c>
      <c r="P409" s="35"/>
      <c r="Q409" s="32"/>
      <c r="S409" s="1">
        <f t="shared" si="135"/>
        <v>1</v>
      </c>
      <c r="T409" s="1">
        <f t="shared" si="136"/>
        <v>0</v>
      </c>
      <c r="U409" s="1">
        <f t="shared" si="137"/>
        <v>0</v>
      </c>
      <c r="V409" s="1">
        <f t="shared" si="138"/>
        <v>0</v>
      </c>
      <c r="W409" s="1">
        <f t="shared" si="139"/>
        <v>0</v>
      </c>
      <c r="X409" s="1">
        <f t="shared" si="140"/>
        <v>0</v>
      </c>
      <c r="Y409" s="1">
        <f t="shared" si="141"/>
        <v>0</v>
      </c>
      <c r="Z409" s="1">
        <f t="shared" si="142"/>
        <v>0</v>
      </c>
      <c r="AA409" s="1">
        <f t="shared" si="143"/>
        <v>0</v>
      </c>
      <c r="AB409" s="1">
        <f t="shared" si="144"/>
        <v>0</v>
      </c>
      <c r="AD409" s="1">
        <f t="shared" si="145"/>
        <v>0</v>
      </c>
      <c r="AE409" s="1">
        <f t="shared" si="146"/>
        <v>1</v>
      </c>
      <c r="AF409" s="1">
        <f t="shared" si="147"/>
        <v>0</v>
      </c>
      <c r="AG409" s="1">
        <f t="shared" si="148"/>
        <v>1</v>
      </c>
      <c r="AH409" s="1">
        <f t="shared" si="149"/>
        <v>0</v>
      </c>
      <c r="AI409" s="1">
        <f t="shared" si="150"/>
        <v>1</v>
      </c>
    </row>
    <row r="410" spans="1:35" ht="14.25" customHeight="1" x14ac:dyDescent="0.25">
      <c r="A410" s="31">
        <v>0</v>
      </c>
      <c r="B410" s="31">
        <v>2</v>
      </c>
      <c r="C410" s="31">
        <v>6</v>
      </c>
      <c r="D410" s="32" t="s">
        <v>1822</v>
      </c>
      <c r="E410" s="32" t="s">
        <v>1823</v>
      </c>
      <c r="F410" s="32" t="s">
        <v>1824</v>
      </c>
      <c r="G410" s="32"/>
      <c r="H410" s="32" t="s">
        <v>352</v>
      </c>
      <c r="I410" s="31" t="s">
        <v>1825</v>
      </c>
      <c r="J410" s="31">
        <v>99</v>
      </c>
      <c r="K410" s="33" t="s">
        <v>694</v>
      </c>
      <c r="L410" s="33">
        <v>25</v>
      </c>
      <c r="M410" s="34" t="s">
        <v>1826</v>
      </c>
      <c r="N410" s="34" t="s">
        <v>1705</v>
      </c>
      <c r="O410" s="35">
        <v>1</v>
      </c>
      <c r="P410" s="35"/>
      <c r="Q410" s="32" t="s">
        <v>2004</v>
      </c>
      <c r="S410" s="1">
        <f t="shared" si="135"/>
        <v>0</v>
      </c>
      <c r="T410" s="1">
        <f t="shared" si="136"/>
        <v>0</v>
      </c>
      <c r="U410" s="1">
        <f t="shared" si="137"/>
        <v>0</v>
      </c>
      <c r="V410" s="1">
        <f t="shared" si="138"/>
        <v>0</v>
      </c>
      <c r="W410" s="1">
        <f t="shared" si="139"/>
        <v>0</v>
      </c>
      <c r="X410" s="1">
        <f t="shared" si="140"/>
        <v>0</v>
      </c>
      <c r="Y410" s="1">
        <f t="shared" si="141"/>
        <v>0</v>
      </c>
      <c r="Z410" s="1">
        <f t="shared" si="142"/>
        <v>0</v>
      </c>
      <c r="AA410" s="1">
        <f t="shared" si="143"/>
        <v>0</v>
      </c>
      <c r="AB410" s="1">
        <f t="shared" si="144"/>
        <v>0</v>
      </c>
      <c r="AD410" s="1">
        <f t="shared" si="145"/>
        <v>0</v>
      </c>
      <c r="AE410" s="1">
        <f t="shared" si="146"/>
        <v>1</v>
      </c>
      <c r="AF410" s="1">
        <f t="shared" si="147"/>
        <v>0</v>
      </c>
      <c r="AG410" s="1">
        <f t="shared" si="148"/>
        <v>1</v>
      </c>
      <c r="AH410" s="1">
        <f t="shared" si="149"/>
        <v>0</v>
      </c>
      <c r="AI410" s="1">
        <f t="shared" si="150"/>
        <v>1</v>
      </c>
    </row>
    <row r="411" spans="1:35" ht="14.25" customHeight="1" x14ac:dyDescent="0.25">
      <c r="A411" s="44">
        <v>0</v>
      </c>
      <c r="B411" s="44">
        <v>2</v>
      </c>
      <c r="C411" s="44">
        <v>6</v>
      </c>
      <c r="D411" s="45" t="s">
        <v>80</v>
      </c>
      <c r="E411" s="45" t="s">
        <v>31</v>
      </c>
      <c r="F411" s="45" t="s">
        <v>269</v>
      </c>
      <c r="G411" s="45" t="s">
        <v>223</v>
      </c>
      <c r="H411" s="45" t="s">
        <v>352</v>
      </c>
      <c r="I411" s="44" t="s">
        <v>670</v>
      </c>
      <c r="J411" s="44">
        <v>99</v>
      </c>
      <c r="K411" s="46" t="s">
        <v>936</v>
      </c>
      <c r="L411" s="46" t="s">
        <v>685</v>
      </c>
      <c r="M411" s="47" t="s">
        <v>1401</v>
      </c>
      <c r="N411" s="47" t="s">
        <v>1769</v>
      </c>
      <c r="O411" s="48"/>
      <c r="P411" s="48"/>
      <c r="Q411" s="45"/>
      <c r="S411" s="1">
        <f t="shared" si="135"/>
        <v>0</v>
      </c>
      <c r="T411" s="1">
        <f t="shared" si="136"/>
        <v>0</v>
      </c>
      <c r="U411" s="1">
        <f t="shared" si="137"/>
        <v>0</v>
      </c>
      <c r="V411" s="1">
        <f t="shared" si="138"/>
        <v>0</v>
      </c>
      <c r="W411" s="1">
        <f t="shared" si="139"/>
        <v>0</v>
      </c>
      <c r="X411" s="1">
        <f t="shared" si="140"/>
        <v>0</v>
      </c>
      <c r="Y411" s="1">
        <f t="shared" si="141"/>
        <v>0</v>
      </c>
      <c r="Z411" s="1">
        <f t="shared" si="142"/>
        <v>0</v>
      </c>
      <c r="AA411" s="1">
        <f t="shared" si="143"/>
        <v>0</v>
      </c>
      <c r="AB411" s="1">
        <f t="shared" si="144"/>
        <v>0</v>
      </c>
      <c r="AD411" s="1">
        <f t="shared" si="145"/>
        <v>0</v>
      </c>
      <c r="AE411" s="1">
        <f t="shared" si="146"/>
        <v>0</v>
      </c>
      <c r="AF411" s="1">
        <f t="shared" si="147"/>
        <v>0</v>
      </c>
      <c r="AG411" s="1">
        <f t="shared" si="148"/>
        <v>0</v>
      </c>
      <c r="AH411" s="1">
        <f t="shared" si="149"/>
        <v>0</v>
      </c>
      <c r="AI411" s="1">
        <f t="shared" si="150"/>
        <v>1</v>
      </c>
    </row>
    <row r="412" spans="1:35" ht="14.25" customHeight="1" x14ac:dyDescent="0.25">
      <c r="A412" s="31">
        <v>0</v>
      </c>
      <c r="B412" s="31">
        <v>2</v>
      </c>
      <c r="C412" s="31">
        <v>6</v>
      </c>
      <c r="D412" s="32" t="s">
        <v>631</v>
      </c>
      <c r="E412" s="32" t="s">
        <v>31</v>
      </c>
      <c r="F412" s="32" t="s">
        <v>632</v>
      </c>
      <c r="G412" s="32" t="s">
        <v>239</v>
      </c>
      <c r="H412" s="32" t="s">
        <v>352</v>
      </c>
      <c r="I412" s="31" t="s">
        <v>633</v>
      </c>
      <c r="J412" s="31">
        <v>1</v>
      </c>
      <c r="K412" s="33" t="s">
        <v>704</v>
      </c>
      <c r="L412" s="33" t="s">
        <v>685</v>
      </c>
      <c r="M412" s="34" t="s">
        <v>1402</v>
      </c>
      <c r="N412" s="34" t="s">
        <v>1705</v>
      </c>
      <c r="O412" s="35">
        <v>1</v>
      </c>
      <c r="P412" s="35"/>
      <c r="Q412" s="32"/>
      <c r="S412" s="1">
        <f t="shared" si="135"/>
        <v>1</v>
      </c>
      <c r="T412" s="1">
        <f t="shared" si="136"/>
        <v>0</v>
      </c>
      <c r="U412" s="1">
        <f t="shared" si="137"/>
        <v>0</v>
      </c>
      <c r="V412" s="1">
        <f t="shared" si="138"/>
        <v>0</v>
      </c>
      <c r="W412" s="1">
        <f t="shared" si="139"/>
        <v>0</v>
      </c>
      <c r="X412" s="1">
        <f t="shared" si="140"/>
        <v>0</v>
      </c>
      <c r="Y412" s="1">
        <f t="shared" si="141"/>
        <v>0</v>
      </c>
      <c r="Z412" s="1">
        <f t="shared" si="142"/>
        <v>0</v>
      </c>
      <c r="AA412" s="1">
        <f t="shared" si="143"/>
        <v>0</v>
      </c>
      <c r="AB412" s="1">
        <f t="shared" si="144"/>
        <v>0</v>
      </c>
      <c r="AD412" s="1">
        <f t="shared" si="145"/>
        <v>0</v>
      </c>
      <c r="AE412" s="1">
        <f t="shared" si="146"/>
        <v>1</v>
      </c>
      <c r="AF412" s="1">
        <f t="shared" si="147"/>
        <v>0</v>
      </c>
      <c r="AG412" s="1">
        <f t="shared" si="148"/>
        <v>1</v>
      </c>
      <c r="AH412" s="1">
        <f t="shared" si="149"/>
        <v>0</v>
      </c>
      <c r="AI412" s="1">
        <f t="shared" si="150"/>
        <v>1</v>
      </c>
    </row>
    <row r="413" spans="1:35" ht="14.25" customHeight="1" x14ac:dyDescent="0.25">
      <c r="A413" s="44">
        <v>0</v>
      </c>
      <c r="B413" s="44">
        <v>2</v>
      </c>
      <c r="C413" s="44">
        <v>6</v>
      </c>
      <c r="D413" s="45" t="s">
        <v>1113</v>
      </c>
      <c r="E413" s="45" t="s">
        <v>31</v>
      </c>
      <c r="F413" s="45" t="s">
        <v>664</v>
      </c>
      <c r="G413" s="45" t="s">
        <v>199</v>
      </c>
      <c r="H413" s="45" t="s">
        <v>352</v>
      </c>
      <c r="I413" s="44" t="s">
        <v>516</v>
      </c>
      <c r="J413" s="44">
        <v>2</v>
      </c>
      <c r="K413" s="46" t="s">
        <v>703</v>
      </c>
      <c r="L413" s="46" t="s">
        <v>685</v>
      </c>
      <c r="M413" s="47" t="s">
        <v>719</v>
      </c>
      <c r="N413" s="47" t="s">
        <v>1701</v>
      </c>
      <c r="O413" s="48"/>
      <c r="P413" s="48"/>
      <c r="Q413" s="45"/>
      <c r="S413" s="1">
        <f t="shared" si="135"/>
        <v>0</v>
      </c>
      <c r="T413" s="1">
        <f t="shared" si="136"/>
        <v>1</v>
      </c>
      <c r="U413" s="1">
        <f t="shared" si="137"/>
        <v>0</v>
      </c>
      <c r="V413" s="1">
        <f t="shared" si="138"/>
        <v>0</v>
      </c>
      <c r="W413" s="1">
        <f t="shared" si="139"/>
        <v>0</v>
      </c>
      <c r="X413" s="1">
        <f t="shared" si="140"/>
        <v>0</v>
      </c>
      <c r="Y413" s="1">
        <f t="shared" si="141"/>
        <v>0</v>
      </c>
      <c r="Z413" s="1">
        <f t="shared" si="142"/>
        <v>0</v>
      </c>
      <c r="AA413" s="1">
        <f t="shared" si="143"/>
        <v>0</v>
      </c>
      <c r="AB413" s="1">
        <f t="shared" si="144"/>
        <v>0</v>
      </c>
      <c r="AD413" s="1">
        <f t="shared" si="145"/>
        <v>0</v>
      </c>
      <c r="AE413" s="1">
        <f t="shared" si="146"/>
        <v>0</v>
      </c>
      <c r="AF413" s="1">
        <f t="shared" si="147"/>
        <v>0</v>
      </c>
      <c r="AG413" s="1">
        <f t="shared" si="148"/>
        <v>0</v>
      </c>
      <c r="AH413" s="1">
        <f t="shared" si="149"/>
        <v>0</v>
      </c>
      <c r="AI413" s="1">
        <f t="shared" si="150"/>
        <v>1</v>
      </c>
    </row>
    <row r="414" spans="1:35" ht="14.25" customHeight="1" x14ac:dyDescent="0.25">
      <c r="A414" s="31">
        <v>0</v>
      </c>
      <c r="B414" s="31">
        <v>2</v>
      </c>
      <c r="C414" s="31">
        <v>6</v>
      </c>
      <c r="D414" s="32" t="s">
        <v>1064</v>
      </c>
      <c r="E414" s="32" t="s">
        <v>158</v>
      </c>
      <c r="F414" s="32" t="s">
        <v>197</v>
      </c>
      <c r="G414" s="32" t="s">
        <v>198</v>
      </c>
      <c r="H414" s="32" t="s">
        <v>352</v>
      </c>
      <c r="I414" s="31" t="s">
        <v>386</v>
      </c>
      <c r="J414" s="31">
        <v>99</v>
      </c>
      <c r="K414" s="33" t="s">
        <v>703</v>
      </c>
      <c r="L414" s="33" t="s">
        <v>707</v>
      </c>
      <c r="M414" s="34" t="s">
        <v>721</v>
      </c>
      <c r="N414" s="34" t="s">
        <v>1710</v>
      </c>
      <c r="O414" s="35">
        <v>1</v>
      </c>
      <c r="P414" s="35"/>
      <c r="Q414" s="32"/>
      <c r="S414" s="1">
        <f t="shared" si="135"/>
        <v>0</v>
      </c>
      <c r="T414" s="1">
        <f t="shared" si="136"/>
        <v>0</v>
      </c>
      <c r="U414" s="1">
        <f t="shared" si="137"/>
        <v>0</v>
      </c>
      <c r="V414" s="1">
        <f t="shared" si="138"/>
        <v>0</v>
      </c>
      <c r="W414" s="1">
        <f t="shared" si="139"/>
        <v>0</v>
      </c>
      <c r="X414" s="1">
        <f t="shared" si="140"/>
        <v>0</v>
      </c>
      <c r="Y414" s="1">
        <f t="shared" si="141"/>
        <v>0</v>
      </c>
      <c r="Z414" s="1">
        <f t="shared" si="142"/>
        <v>0</v>
      </c>
      <c r="AA414" s="1">
        <f t="shared" si="143"/>
        <v>0</v>
      </c>
      <c r="AB414" s="1">
        <f t="shared" si="144"/>
        <v>0</v>
      </c>
      <c r="AD414" s="1">
        <f t="shared" si="145"/>
        <v>0</v>
      </c>
      <c r="AE414" s="1">
        <f t="shared" si="146"/>
        <v>1</v>
      </c>
      <c r="AF414" s="1">
        <f t="shared" si="147"/>
        <v>0</v>
      </c>
      <c r="AG414" s="1">
        <f t="shared" si="148"/>
        <v>1</v>
      </c>
      <c r="AH414" s="1">
        <f t="shared" si="149"/>
        <v>0</v>
      </c>
      <c r="AI414" s="1">
        <f t="shared" si="150"/>
        <v>1</v>
      </c>
    </row>
    <row r="415" spans="1:35" ht="14.25" customHeight="1" x14ac:dyDescent="0.25">
      <c r="A415" s="31">
        <v>0</v>
      </c>
      <c r="B415" s="31">
        <v>2</v>
      </c>
      <c r="C415" s="31">
        <v>7</v>
      </c>
      <c r="D415" s="32" t="s">
        <v>505</v>
      </c>
      <c r="E415" s="32" t="s">
        <v>155</v>
      </c>
      <c r="F415" s="32" t="s">
        <v>506</v>
      </c>
      <c r="G415" s="32" t="s">
        <v>39</v>
      </c>
      <c r="H415" s="32" t="s">
        <v>352</v>
      </c>
      <c r="I415" s="31" t="s">
        <v>924</v>
      </c>
      <c r="J415" s="31">
        <v>7</v>
      </c>
      <c r="K415" s="33" t="s">
        <v>936</v>
      </c>
      <c r="L415" s="33" t="s">
        <v>39</v>
      </c>
      <c r="M415" s="34" t="s">
        <v>39</v>
      </c>
      <c r="N415" s="34" t="s">
        <v>1693</v>
      </c>
      <c r="O415" s="35">
        <v>1</v>
      </c>
      <c r="P415" s="35">
        <v>1</v>
      </c>
      <c r="Q415" s="32"/>
      <c r="S415" s="1">
        <f t="shared" si="135"/>
        <v>0</v>
      </c>
      <c r="T415" s="1">
        <f t="shared" si="136"/>
        <v>0</v>
      </c>
      <c r="U415" s="1">
        <f t="shared" si="137"/>
        <v>0</v>
      </c>
      <c r="V415" s="1">
        <f t="shared" si="138"/>
        <v>0</v>
      </c>
      <c r="W415" s="1">
        <f t="shared" si="139"/>
        <v>0</v>
      </c>
      <c r="X415" s="1">
        <f t="shared" si="140"/>
        <v>0</v>
      </c>
      <c r="Y415" s="1">
        <f t="shared" si="141"/>
        <v>1</v>
      </c>
      <c r="Z415" s="1">
        <f t="shared" si="142"/>
        <v>0</v>
      </c>
      <c r="AA415" s="1">
        <f t="shared" si="143"/>
        <v>0</v>
      </c>
      <c r="AB415" s="1">
        <f t="shared" si="144"/>
        <v>0</v>
      </c>
      <c r="AD415" s="1">
        <f t="shared" si="145"/>
        <v>1</v>
      </c>
      <c r="AE415" s="1">
        <f t="shared" si="146"/>
        <v>0</v>
      </c>
      <c r="AF415" s="1">
        <f t="shared" si="147"/>
        <v>1</v>
      </c>
      <c r="AG415" s="1">
        <f t="shared" si="148"/>
        <v>0</v>
      </c>
      <c r="AH415" s="1">
        <f t="shared" si="149"/>
        <v>1</v>
      </c>
      <c r="AI415" s="1">
        <f t="shared" si="150"/>
        <v>0</v>
      </c>
    </row>
    <row r="416" spans="1:35" ht="14.25" customHeight="1" x14ac:dyDescent="0.25">
      <c r="A416" s="31">
        <v>0</v>
      </c>
      <c r="B416" s="31">
        <v>2</v>
      </c>
      <c r="C416" s="31">
        <v>7</v>
      </c>
      <c r="D416" s="32" t="s">
        <v>70</v>
      </c>
      <c r="E416" s="32" t="s">
        <v>28</v>
      </c>
      <c r="F416" s="32" t="s">
        <v>665</v>
      </c>
      <c r="G416" s="32" t="s">
        <v>257</v>
      </c>
      <c r="H416" s="32" t="s">
        <v>352</v>
      </c>
      <c r="I416" s="31" t="s">
        <v>415</v>
      </c>
      <c r="J416" s="31">
        <v>8</v>
      </c>
      <c r="K416" s="33" t="s">
        <v>704</v>
      </c>
      <c r="L416" s="33" t="s">
        <v>704</v>
      </c>
      <c r="M416" s="34" t="s">
        <v>722</v>
      </c>
      <c r="N416" s="34" t="s">
        <v>1705</v>
      </c>
      <c r="O416" s="35">
        <v>1</v>
      </c>
      <c r="P416" s="35"/>
      <c r="Q416" s="32"/>
      <c r="S416" s="1">
        <f t="shared" si="135"/>
        <v>0</v>
      </c>
      <c r="T416" s="1">
        <f t="shared" si="136"/>
        <v>0</v>
      </c>
      <c r="U416" s="1">
        <f t="shared" si="137"/>
        <v>0</v>
      </c>
      <c r="V416" s="1">
        <f t="shared" si="138"/>
        <v>0</v>
      </c>
      <c r="W416" s="1">
        <f t="shared" si="139"/>
        <v>0</v>
      </c>
      <c r="X416" s="1">
        <f t="shared" si="140"/>
        <v>0</v>
      </c>
      <c r="Y416" s="1">
        <f t="shared" si="141"/>
        <v>0</v>
      </c>
      <c r="Z416" s="1">
        <f t="shared" si="142"/>
        <v>1</v>
      </c>
      <c r="AA416" s="1">
        <f t="shared" si="143"/>
        <v>0</v>
      </c>
      <c r="AB416" s="1">
        <f t="shared" si="144"/>
        <v>0</v>
      </c>
      <c r="AD416" s="1">
        <f t="shared" si="145"/>
        <v>0</v>
      </c>
      <c r="AE416" s="1">
        <f t="shared" si="146"/>
        <v>1</v>
      </c>
      <c r="AF416" s="1">
        <f t="shared" si="147"/>
        <v>0</v>
      </c>
      <c r="AG416" s="1">
        <f t="shared" si="148"/>
        <v>1</v>
      </c>
      <c r="AH416" s="1">
        <f t="shared" si="149"/>
        <v>0</v>
      </c>
      <c r="AI416" s="1">
        <f t="shared" si="150"/>
        <v>1</v>
      </c>
    </row>
    <row r="417" spans="1:35" ht="14.25" customHeight="1" x14ac:dyDescent="0.25">
      <c r="A417" s="31">
        <v>0</v>
      </c>
      <c r="B417" s="31">
        <v>2</v>
      </c>
      <c r="C417" s="31">
        <v>7</v>
      </c>
      <c r="D417" s="32" t="s">
        <v>646</v>
      </c>
      <c r="E417" s="32" t="s">
        <v>155</v>
      </c>
      <c r="F417" s="32" t="s">
        <v>577</v>
      </c>
      <c r="G417" s="32" t="s">
        <v>248</v>
      </c>
      <c r="H417" s="32" t="s">
        <v>352</v>
      </c>
      <c r="I417" s="31" t="s">
        <v>671</v>
      </c>
      <c r="J417" s="31">
        <v>7</v>
      </c>
      <c r="K417" s="33" t="s">
        <v>936</v>
      </c>
      <c r="L417" s="33" t="s">
        <v>39</v>
      </c>
      <c r="M417" s="34" t="s">
        <v>39</v>
      </c>
      <c r="N417" s="34" t="s">
        <v>1693</v>
      </c>
      <c r="O417" s="35">
        <v>1</v>
      </c>
      <c r="P417" s="35">
        <v>1</v>
      </c>
      <c r="Q417" s="32"/>
      <c r="S417" s="1">
        <f t="shared" si="135"/>
        <v>0</v>
      </c>
      <c r="T417" s="1">
        <f t="shared" si="136"/>
        <v>0</v>
      </c>
      <c r="U417" s="1">
        <f t="shared" si="137"/>
        <v>0</v>
      </c>
      <c r="V417" s="1">
        <f t="shared" si="138"/>
        <v>0</v>
      </c>
      <c r="W417" s="1">
        <f t="shared" si="139"/>
        <v>0</v>
      </c>
      <c r="X417" s="1">
        <f t="shared" si="140"/>
        <v>0</v>
      </c>
      <c r="Y417" s="1">
        <f t="shared" si="141"/>
        <v>1</v>
      </c>
      <c r="Z417" s="1">
        <f t="shared" si="142"/>
        <v>0</v>
      </c>
      <c r="AA417" s="1">
        <f t="shared" si="143"/>
        <v>0</v>
      </c>
      <c r="AB417" s="1">
        <f t="shared" si="144"/>
        <v>0</v>
      </c>
      <c r="AD417" s="1">
        <f t="shared" si="145"/>
        <v>1</v>
      </c>
      <c r="AE417" s="1">
        <f t="shared" si="146"/>
        <v>0</v>
      </c>
      <c r="AF417" s="1">
        <f t="shared" si="147"/>
        <v>1</v>
      </c>
      <c r="AG417" s="1">
        <f t="shared" si="148"/>
        <v>0</v>
      </c>
      <c r="AH417" s="1">
        <f t="shared" si="149"/>
        <v>1</v>
      </c>
      <c r="AI417" s="1">
        <f t="shared" si="150"/>
        <v>0</v>
      </c>
    </row>
    <row r="418" spans="1:35" ht="14.25" customHeight="1" x14ac:dyDescent="0.25">
      <c r="A418" s="44">
        <v>0</v>
      </c>
      <c r="B418" s="44">
        <v>2</v>
      </c>
      <c r="C418" s="44">
        <v>7</v>
      </c>
      <c r="D418" s="45" t="s">
        <v>1601</v>
      </c>
      <c r="E418" s="45" t="s">
        <v>155</v>
      </c>
      <c r="F418" s="45" t="s">
        <v>1624</v>
      </c>
      <c r="G418" s="45" t="s">
        <v>212</v>
      </c>
      <c r="H418" s="45" t="s">
        <v>352</v>
      </c>
      <c r="I418" s="44" t="s">
        <v>586</v>
      </c>
      <c r="J418" s="44">
        <v>1</v>
      </c>
      <c r="K418" s="46" t="s">
        <v>703</v>
      </c>
      <c r="L418" s="46" t="s">
        <v>713</v>
      </c>
      <c r="M418" s="47" t="s">
        <v>1403</v>
      </c>
      <c r="N418" s="47" t="s">
        <v>1701</v>
      </c>
      <c r="O418" s="48"/>
      <c r="P418" s="48"/>
      <c r="Q418" s="45"/>
      <c r="S418" s="1">
        <f t="shared" si="135"/>
        <v>1</v>
      </c>
      <c r="T418" s="1">
        <f t="shared" si="136"/>
        <v>0</v>
      </c>
      <c r="U418" s="1">
        <f t="shared" si="137"/>
        <v>0</v>
      </c>
      <c r="V418" s="1">
        <f t="shared" si="138"/>
        <v>0</v>
      </c>
      <c r="W418" s="1">
        <f t="shared" si="139"/>
        <v>0</v>
      </c>
      <c r="X418" s="1">
        <f t="shared" si="140"/>
        <v>0</v>
      </c>
      <c r="Y418" s="1">
        <f t="shared" si="141"/>
        <v>0</v>
      </c>
      <c r="Z418" s="1">
        <f t="shared" si="142"/>
        <v>0</v>
      </c>
      <c r="AA418" s="1">
        <f t="shared" si="143"/>
        <v>0</v>
      </c>
      <c r="AB418" s="1">
        <f t="shared" si="144"/>
        <v>0</v>
      </c>
      <c r="AD418" s="1">
        <f t="shared" si="145"/>
        <v>0</v>
      </c>
      <c r="AE418" s="1">
        <f t="shared" si="146"/>
        <v>0</v>
      </c>
      <c r="AF418" s="1">
        <f t="shared" si="147"/>
        <v>0</v>
      </c>
      <c r="AG418" s="1">
        <f t="shared" si="148"/>
        <v>0</v>
      </c>
      <c r="AH418" s="1">
        <f t="shared" si="149"/>
        <v>0</v>
      </c>
      <c r="AI418" s="1">
        <f t="shared" si="150"/>
        <v>1</v>
      </c>
    </row>
    <row r="419" spans="1:35" ht="14.25" customHeight="1" x14ac:dyDescent="0.25">
      <c r="A419" s="31">
        <v>0</v>
      </c>
      <c r="B419" s="31">
        <v>2</v>
      </c>
      <c r="C419" s="31">
        <v>7</v>
      </c>
      <c r="D419" s="32" t="s">
        <v>1051</v>
      </c>
      <c r="E419" s="32" t="s">
        <v>1027</v>
      </c>
      <c r="F419" s="32" t="s">
        <v>1052</v>
      </c>
      <c r="G419" s="32" t="s">
        <v>212</v>
      </c>
      <c r="H419" s="32" t="s">
        <v>352</v>
      </c>
      <c r="I419" s="31" t="s">
        <v>1053</v>
      </c>
      <c r="J419" s="31">
        <v>1</v>
      </c>
      <c r="K419" s="33" t="s">
        <v>936</v>
      </c>
      <c r="L419" s="33" t="s">
        <v>713</v>
      </c>
      <c r="M419" s="34" t="s">
        <v>1404</v>
      </c>
      <c r="N419" s="34" t="s">
        <v>1705</v>
      </c>
      <c r="O419" s="35">
        <v>1</v>
      </c>
      <c r="P419" s="35"/>
      <c r="Q419" s="32" t="s">
        <v>1877</v>
      </c>
      <c r="S419" s="1">
        <f t="shared" si="135"/>
        <v>1</v>
      </c>
      <c r="T419" s="1">
        <f t="shared" si="136"/>
        <v>0</v>
      </c>
      <c r="U419" s="1">
        <f t="shared" si="137"/>
        <v>0</v>
      </c>
      <c r="V419" s="1">
        <f t="shared" si="138"/>
        <v>0</v>
      </c>
      <c r="W419" s="1">
        <f t="shared" si="139"/>
        <v>0</v>
      </c>
      <c r="X419" s="1">
        <f t="shared" si="140"/>
        <v>0</v>
      </c>
      <c r="Y419" s="1">
        <f t="shared" si="141"/>
        <v>0</v>
      </c>
      <c r="Z419" s="1">
        <f t="shared" si="142"/>
        <v>0</v>
      </c>
      <c r="AA419" s="1">
        <f t="shared" si="143"/>
        <v>0</v>
      </c>
      <c r="AB419" s="1">
        <f t="shared" si="144"/>
        <v>0</v>
      </c>
      <c r="AD419" s="1">
        <f t="shared" si="145"/>
        <v>0</v>
      </c>
      <c r="AE419" s="1">
        <f t="shared" si="146"/>
        <v>1</v>
      </c>
      <c r="AF419" s="1">
        <f t="shared" si="147"/>
        <v>0</v>
      </c>
      <c r="AG419" s="1">
        <f t="shared" si="148"/>
        <v>1</v>
      </c>
      <c r="AH419" s="1">
        <f t="shared" si="149"/>
        <v>0</v>
      </c>
      <c r="AI419" s="1">
        <f t="shared" si="150"/>
        <v>1</v>
      </c>
    </row>
    <row r="420" spans="1:35" ht="14.25" customHeight="1" x14ac:dyDescent="0.25">
      <c r="A420" s="31">
        <v>0</v>
      </c>
      <c r="B420" s="31">
        <v>2</v>
      </c>
      <c r="C420" s="31">
        <v>7</v>
      </c>
      <c r="D420" s="32" t="s">
        <v>998</v>
      </c>
      <c r="E420" s="32" t="s">
        <v>155</v>
      </c>
      <c r="F420" s="32" t="s">
        <v>1069</v>
      </c>
      <c r="G420" s="32" t="s">
        <v>1079</v>
      </c>
      <c r="H420" s="32" t="s">
        <v>352</v>
      </c>
      <c r="I420" s="31" t="s">
        <v>999</v>
      </c>
      <c r="J420" s="31">
        <v>99</v>
      </c>
      <c r="K420" s="33" t="s">
        <v>704</v>
      </c>
      <c r="L420" s="33" t="s">
        <v>713</v>
      </c>
      <c r="M420" s="34" t="s">
        <v>1404</v>
      </c>
      <c r="N420" s="34" t="s">
        <v>1709</v>
      </c>
      <c r="O420" s="35">
        <v>1</v>
      </c>
      <c r="P420" s="35"/>
      <c r="Q420" s="32"/>
      <c r="S420" s="1">
        <f t="shared" si="135"/>
        <v>0</v>
      </c>
      <c r="T420" s="1">
        <f t="shared" si="136"/>
        <v>0</v>
      </c>
      <c r="U420" s="1">
        <f t="shared" si="137"/>
        <v>0</v>
      </c>
      <c r="V420" s="1">
        <f t="shared" si="138"/>
        <v>0</v>
      </c>
      <c r="W420" s="1">
        <f t="shared" si="139"/>
        <v>0</v>
      </c>
      <c r="X420" s="1">
        <f t="shared" si="140"/>
        <v>0</v>
      </c>
      <c r="Y420" s="1">
        <f t="shared" si="141"/>
        <v>0</v>
      </c>
      <c r="Z420" s="1">
        <f t="shared" si="142"/>
        <v>0</v>
      </c>
      <c r="AA420" s="1">
        <f t="shared" si="143"/>
        <v>0</v>
      </c>
      <c r="AB420" s="1">
        <f t="shared" si="144"/>
        <v>0</v>
      </c>
      <c r="AD420" s="1">
        <f t="shared" si="145"/>
        <v>0</v>
      </c>
      <c r="AE420" s="1">
        <f t="shared" si="146"/>
        <v>1</v>
      </c>
      <c r="AF420" s="1">
        <f t="shared" si="147"/>
        <v>0</v>
      </c>
      <c r="AG420" s="1">
        <f t="shared" si="148"/>
        <v>1</v>
      </c>
      <c r="AH420" s="1">
        <f t="shared" si="149"/>
        <v>0</v>
      </c>
      <c r="AI420" s="1">
        <f t="shared" si="150"/>
        <v>1</v>
      </c>
    </row>
    <row r="421" spans="1:35" ht="14.25" customHeight="1" x14ac:dyDescent="0.25">
      <c r="A421" s="31">
        <v>0</v>
      </c>
      <c r="B421" s="31">
        <v>2</v>
      </c>
      <c r="C421" s="31">
        <v>7</v>
      </c>
      <c r="D421" s="32" t="s">
        <v>1180</v>
      </c>
      <c r="E421" s="32" t="s">
        <v>1306</v>
      </c>
      <c r="F421" s="32" t="s">
        <v>1181</v>
      </c>
      <c r="G421" s="32" t="s">
        <v>39</v>
      </c>
      <c r="H421" s="32" t="s">
        <v>352</v>
      </c>
      <c r="I421" s="31" t="s">
        <v>1651</v>
      </c>
      <c r="J421" s="31">
        <v>99</v>
      </c>
      <c r="K421" s="33" t="s">
        <v>936</v>
      </c>
      <c r="L421" s="33" t="s">
        <v>720</v>
      </c>
      <c r="M421" s="34" t="s">
        <v>1405</v>
      </c>
      <c r="N421" s="34" t="s">
        <v>1709</v>
      </c>
      <c r="O421" s="35">
        <v>1</v>
      </c>
      <c r="P421" s="35"/>
      <c r="Q421" s="32"/>
      <c r="S421" s="1">
        <f t="shared" si="135"/>
        <v>0</v>
      </c>
      <c r="T421" s="1">
        <f t="shared" si="136"/>
        <v>0</v>
      </c>
      <c r="U421" s="1">
        <f t="shared" si="137"/>
        <v>0</v>
      </c>
      <c r="V421" s="1">
        <f t="shared" si="138"/>
        <v>0</v>
      </c>
      <c r="W421" s="1">
        <f t="shared" si="139"/>
        <v>0</v>
      </c>
      <c r="X421" s="1">
        <f t="shared" si="140"/>
        <v>0</v>
      </c>
      <c r="Y421" s="1">
        <f t="shared" si="141"/>
        <v>0</v>
      </c>
      <c r="Z421" s="1">
        <f t="shared" si="142"/>
        <v>0</v>
      </c>
      <c r="AA421" s="1">
        <f t="shared" si="143"/>
        <v>0</v>
      </c>
      <c r="AB421" s="1">
        <f t="shared" si="144"/>
        <v>0</v>
      </c>
      <c r="AD421" s="1">
        <f t="shared" si="145"/>
        <v>0</v>
      </c>
      <c r="AE421" s="1">
        <f t="shared" si="146"/>
        <v>1</v>
      </c>
      <c r="AF421" s="1">
        <f t="shared" si="147"/>
        <v>0</v>
      </c>
      <c r="AG421" s="1">
        <f t="shared" si="148"/>
        <v>1</v>
      </c>
      <c r="AH421" s="1">
        <f t="shared" si="149"/>
        <v>0</v>
      </c>
      <c r="AI421" s="1">
        <f t="shared" si="150"/>
        <v>1</v>
      </c>
    </row>
    <row r="422" spans="1:35" ht="14.25" customHeight="1" x14ac:dyDescent="0.25">
      <c r="A422" s="31">
        <v>0</v>
      </c>
      <c r="B422" s="31">
        <v>2</v>
      </c>
      <c r="C422" s="31">
        <v>7</v>
      </c>
      <c r="D422" s="32" t="s">
        <v>55</v>
      </c>
      <c r="E422" s="32" t="s">
        <v>28</v>
      </c>
      <c r="F422" s="32" t="s">
        <v>636</v>
      </c>
      <c r="G422" s="32" t="s">
        <v>531</v>
      </c>
      <c r="H422" s="32" t="s">
        <v>352</v>
      </c>
      <c r="I422" s="31" t="s">
        <v>392</v>
      </c>
      <c r="J422" s="31">
        <v>6</v>
      </c>
      <c r="K422" s="33" t="s">
        <v>703</v>
      </c>
      <c r="L422" s="33" t="s">
        <v>704</v>
      </c>
      <c r="M422" s="34" t="s">
        <v>722</v>
      </c>
      <c r="N422" s="34" t="s">
        <v>1722</v>
      </c>
      <c r="O422" s="35">
        <v>1</v>
      </c>
      <c r="P422" s="35"/>
      <c r="Q422" s="32"/>
      <c r="S422" s="1">
        <f t="shared" si="135"/>
        <v>0</v>
      </c>
      <c r="T422" s="1">
        <f t="shared" si="136"/>
        <v>0</v>
      </c>
      <c r="U422" s="1">
        <f t="shared" si="137"/>
        <v>0</v>
      </c>
      <c r="V422" s="1">
        <f t="shared" si="138"/>
        <v>0</v>
      </c>
      <c r="W422" s="1">
        <f t="shared" si="139"/>
        <v>0</v>
      </c>
      <c r="X422" s="1">
        <f t="shared" si="140"/>
        <v>1</v>
      </c>
      <c r="Y422" s="1">
        <f t="shared" si="141"/>
        <v>0</v>
      </c>
      <c r="Z422" s="1">
        <f t="shared" si="142"/>
        <v>0</v>
      </c>
      <c r="AA422" s="1">
        <f t="shared" si="143"/>
        <v>0</v>
      </c>
      <c r="AB422" s="1">
        <f t="shared" si="144"/>
        <v>0</v>
      </c>
      <c r="AD422" s="1">
        <f t="shared" si="145"/>
        <v>0</v>
      </c>
      <c r="AE422" s="1">
        <f t="shared" si="146"/>
        <v>1</v>
      </c>
      <c r="AF422" s="1">
        <f t="shared" si="147"/>
        <v>0</v>
      </c>
      <c r="AG422" s="1">
        <f t="shared" si="148"/>
        <v>1</v>
      </c>
      <c r="AH422" s="1">
        <f t="shared" si="149"/>
        <v>0</v>
      </c>
      <c r="AI422" s="1">
        <f t="shared" si="150"/>
        <v>1</v>
      </c>
    </row>
    <row r="423" spans="1:35" ht="14.25" customHeight="1" x14ac:dyDescent="0.25">
      <c r="A423" s="31">
        <v>1</v>
      </c>
      <c r="B423" s="31">
        <v>2</v>
      </c>
      <c r="C423" s="31">
        <v>7</v>
      </c>
      <c r="D423" s="32" t="s">
        <v>55</v>
      </c>
      <c r="E423" s="32" t="s">
        <v>28</v>
      </c>
      <c r="F423" s="32" t="s">
        <v>215</v>
      </c>
      <c r="G423" s="32" t="s">
        <v>39</v>
      </c>
      <c r="H423" s="32" t="s">
        <v>352</v>
      </c>
      <c r="I423" s="31" t="s">
        <v>30</v>
      </c>
      <c r="J423" s="31">
        <v>99</v>
      </c>
      <c r="K423" s="33" t="s">
        <v>703</v>
      </c>
      <c r="L423" s="33" t="s">
        <v>704</v>
      </c>
      <c r="M423" s="34" t="s">
        <v>722</v>
      </c>
      <c r="N423" s="34" t="s">
        <v>1722</v>
      </c>
      <c r="O423" s="35">
        <v>1</v>
      </c>
      <c r="P423" s="35"/>
      <c r="Q423" s="32"/>
      <c r="S423" s="1">
        <f t="shared" si="135"/>
        <v>0</v>
      </c>
      <c r="T423" s="1">
        <f t="shared" si="136"/>
        <v>0</v>
      </c>
      <c r="U423" s="1">
        <f t="shared" si="137"/>
        <v>0</v>
      </c>
      <c r="V423" s="1">
        <f t="shared" si="138"/>
        <v>0</v>
      </c>
      <c r="W423" s="1">
        <f t="shared" si="139"/>
        <v>0</v>
      </c>
      <c r="X423" s="1">
        <f t="shared" si="140"/>
        <v>0</v>
      </c>
      <c r="Y423" s="1">
        <f t="shared" si="141"/>
        <v>0</v>
      </c>
      <c r="Z423" s="1">
        <f t="shared" si="142"/>
        <v>0</v>
      </c>
      <c r="AA423" s="1">
        <f t="shared" si="143"/>
        <v>0</v>
      </c>
      <c r="AB423" s="1">
        <f t="shared" si="144"/>
        <v>0</v>
      </c>
      <c r="AD423" s="1">
        <f t="shared" si="145"/>
        <v>0</v>
      </c>
      <c r="AE423" s="1">
        <f t="shared" si="146"/>
        <v>1</v>
      </c>
      <c r="AF423" s="1">
        <f t="shared" si="147"/>
        <v>0</v>
      </c>
      <c r="AG423" s="1">
        <f t="shared" si="148"/>
        <v>0</v>
      </c>
      <c r="AH423" s="1">
        <f t="shared" si="149"/>
        <v>0</v>
      </c>
      <c r="AI423" s="1">
        <f t="shared" si="150"/>
        <v>0</v>
      </c>
    </row>
    <row r="424" spans="1:35" ht="14.25" customHeight="1" x14ac:dyDescent="0.25">
      <c r="A424" s="31">
        <v>1</v>
      </c>
      <c r="B424" s="31">
        <v>2</v>
      </c>
      <c r="C424" s="31">
        <v>7</v>
      </c>
      <c r="D424" s="32" t="s">
        <v>55</v>
      </c>
      <c r="E424" s="32" t="s">
        <v>28</v>
      </c>
      <c r="F424" s="32" t="s">
        <v>214</v>
      </c>
      <c r="G424" s="32" t="s">
        <v>39</v>
      </c>
      <c r="H424" s="32" t="s">
        <v>352</v>
      </c>
      <c r="I424" s="31" t="s">
        <v>392</v>
      </c>
      <c r="J424" s="31">
        <v>99</v>
      </c>
      <c r="K424" s="33" t="s">
        <v>703</v>
      </c>
      <c r="L424" s="33" t="s">
        <v>704</v>
      </c>
      <c r="M424" s="34" t="s">
        <v>722</v>
      </c>
      <c r="N424" s="34" t="s">
        <v>1722</v>
      </c>
      <c r="O424" s="35">
        <v>1</v>
      </c>
      <c r="P424" s="35"/>
      <c r="Q424" s="32"/>
      <c r="S424" s="1">
        <f t="shared" si="135"/>
        <v>0</v>
      </c>
      <c r="T424" s="1">
        <f t="shared" si="136"/>
        <v>0</v>
      </c>
      <c r="U424" s="1">
        <f t="shared" si="137"/>
        <v>0</v>
      </c>
      <c r="V424" s="1">
        <f t="shared" si="138"/>
        <v>0</v>
      </c>
      <c r="W424" s="1">
        <f t="shared" si="139"/>
        <v>0</v>
      </c>
      <c r="X424" s="1">
        <f t="shared" si="140"/>
        <v>0</v>
      </c>
      <c r="Y424" s="1">
        <f t="shared" si="141"/>
        <v>0</v>
      </c>
      <c r="Z424" s="1">
        <f t="shared" si="142"/>
        <v>0</v>
      </c>
      <c r="AA424" s="1">
        <f t="shared" si="143"/>
        <v>0</v>
      </c>
      <c r="AB424" s="1">
        <f t="shared" si="144"/>
        <v>0</v>
      </c>
      <c r="AD424" s="1">
        <f t="shared" si="145"/>
        <v>0</v>
      </c>
      <c r="AE424" s="1">
        <f t="shared" si="146"/>
        <v>1</v>
      </c>
      <c r="AF424" s="1">
        <f t="shared" si="147"/>
        <v>0</v>
      </c>
      <c r="AG424" s="1">
        <f t="shared" si="148"/>
        <v>0</v>
      </c>
      <c r="AH424" s="1">
        <f t="shared" si="149"/>
        <v>0</v>
      </c>
      <c r="AI424" s="1">
        <f t="shared" si="150"/>
        <v>0</v>
      </c>
    </row>
    <row r="425" spans="1:35" ht="14.25" customHeight="1" x14ac:dyDescent="0.25">
      <c r="A425" s="31">
        <v>1</v>
      </c>
      <c r="B425" s="31">
        <v>2</v>
      </c>
      <c r="C425" s="31">
        <v>7</v>
      </c>
      <c r="D425" s="32" t="s">
        <v>55</v>
      </c>
      <c r="E425" s="32" t="s">
        <v>28</v>
      </c>
      <c r="F425" s="32" t="s">
        <v>216</v>
      </c>
      <c r="G425" s="32" t="s">
        <v>217</v>
      </c>
      <c r="H425" s="32" t="s">
        <v>352</v>
      </c>
      <c r="I425" s="31" t="s">
        <v>393</v>
      </c>
      <c r="J425" s="31">
        <v>99</v>
      </c>
      <c r="K425" s="33" t="s">
        <v>703</v>
      </c>
      <c r="L425" s="33" t="s">
        <v>704</v>
      </c>
      <c r="M425" s="34" t="s">
        <v>722</v>
      </c>
      <c r="N425" s="34" t="s">
        <v>1722</v>
      </c>
      <c r="O425" s="35">
        <v>1</v>
      </c>
      <c r="P425" s="35"/>
      <c r="Q425" s="32"/>
      <c r="S425" s="1">
        <f t="shared" si="135"/>
        <v>0</v>
      </c>
      <c r="T425" s="1">
        <f t="shared" si="136"/>
        <v>0</v>
      </c>
      <c r="U425" s="1">
        <f t="shared" si="137"/>
        <v>0</v>
      </c>
      <c r="V425" s="1">
        <f t="shared" si="138"/>
        <v>0</v>
      </c>
      <c r="W425" s="1">
        <f t="shared" si="139"/>
        <v>0</v>
      </c>
      <c r="X425" s="1">
        <f t="shared" si="140"/>
        <v>0</v>
      </c>
      <c r="Y425" s="1">
        <f t="shared" si="141"/>
        <v>0</v>
      </c>
      <c r="Z425" s="1">
        <f t="shared" si="142"/>
        <v>0</v>
      </c>
      <c r="AA425" s="1">
        <f t="shared" si="143"/>
        <v>0</v>
      </c>
      <c r="AB425" s="1">
        <f t="shared" si="144"/>
        <v>0</v>
      </c>
      <c r="AD425" s="1">
        <f t="shared" si="145"/>
        <v>0</v>
      </c>
      <c r="AE425" s="1">
        <f t="shared" si="146"/>
        <v>1</v>
      </c>
      <c r="AF425" s="1">
        <f t="shared" si="147"/>
        <v>0</v>
      </c>
      <c r="AG425" s="1">
        <f t="shared" si="148"/>
        <v>0</v>
      </c>
      <c r="AH425" s="1">
        <f t="shared" si="149"/>
        <v>0</v>
      </c>
      <c r="AI425" s="1">
        <f t="shared" si="150"/>
        <v>0</v>
      </c>
    </row>
    <row r="426" spans="1:35" ht="14.25" customHeight="1" x14ac:dyDescent="0.25">
      <c r="A426" s="31">
        <v>0</v>
      </c>
      <c r="B426" s="31">
        <v>2</v>
      </c>
      <c r="C426" s="31">
        <v>7</v>
      </c>
      <c r="D426" s="36" t="s">
        <v>2006</v>
      </c>
      <c r="E426" s="36" t="s">
        <v>155</v>
      </c>
      <c r="F426" s="36" t="s">
        <v>2007</v>
      </c>
      <c r="G426" s="36" t="s">
        <v>219</v>
      </c>
      <c r="H426" s="36" t="s">
        <v>352</v>
      </c>
      <c r="I426" s="37" t="s">
        <v>2008</v>
      </c>
      <c r="J426" s="31">
        <v>99</v>
      </c>
      <c r="K426" s="33" t="s">
        <v>694</v>
      </c>
      <c r="L426" s="33">
        <v>10</v>
      </c>
      <c r="M426" s="34" t="s">
        <v>2009</v>
      </c>
      <c r="N426" s="34" t="s">
        <v>1709</v>
      </c>
      <c r="O426" s="35">
        <v>1</v>
      </c>
      <c r="P426" s="35"/>
      <c r="Q426" s="32"/>
      <c r="S426" s="1">
        <f t="shared" si="135"/>
        <v>0</v>
      </c>
      <c r="T426" s="1">
        <f t="shared" si="136"/>
        <v>0</v>
      </c>
      <c r="U426" s="1">
        <f t="shared" si="137"/>
        <v>0</v>
      </c>
      <c r="V426" s="1">
        <f t="shared" si="138"/>
        <v>0</v>
      </c>
      <c r="W426" s="1">
        <f t="shared" si="139"/>
        <v>0</v>
      </c>
      <c r="X426" s="1">
        <f t="shared" si="140"/>
        <v>0</v>
      </c>
      <c r="Y426" s="1">
        <f t="shared" si="141"/>
        <v>0</v>
      </c>
      <c r="Z426" s="1">
        <f t="shared" si="142"/>
        <v>0</v>
      </c>
      <c r="AA426" s="1">
        <f t="shared" si="143"/>
        <v>0</v>
      </c>
      <c r="AB426" s="1">
        <f t="shared" si="144"/>
        <v>0</v>
      </c>
      <c r="AD426" s="1">
        <f t="shared" si="145"/>
        <v>0</v>
      </c>
      <c r="AE426" s="1">
        <f t="shared" si="146"/>
        <v>1</v>
      </c>
      <c r="AF426" s="1">
        <f t="shared" si="147"/>
        <v>0</v>
      </c>
      <c r="AG426" s="1">
        <f t="shared" si="148"/>
        <v>1</v>
      </c>
      <c r="AH426" s="1">
        <f t="shared" si="149"/>
        <v>0</v>
      </c>
      <c r="AI426" s="1">
        <f t="shared" si="150"/>
        <v>1</v>
      </c>
    </row>
    <row r="427" spans="1:35" ht="14.25" customHeight="1" x14ac:dyDescent="0.25">
      <c r="A427" s="31">
        <v>0</v>
      </c>
      <c r="B427" s="31">
        <v>2</v>
      </c>
      <c r="C427" s="31">
        <v>7</v>
      </c>
      <c r="D427" s="36" t="s">
        <v>68</v>
      </c>
      <c r="E427" s="36" t="s">
        <v>28</v>
      </c>
      <c r="F427" s="36" t="s">
        <v>252</v>
      </c>
      <c r="G427" s="36" t="s">
        <v>253</v>
      </c>
      <c r="H427" s="36" t="s">
        <v>352</v>
      </c>
      <c r="I427" s="37" t="s">
        <v>412</v>
      </c>
      <c r="J427" s="31">
        <v>99</v>
      </c>
      <c r="K427" s="33" t="s">
        <v>704</v>
      </c>
      <c r="L427" s="33" t="s">
        <v>704</v>
      </c>
      <c r="M427" s="34" t="s">
        <v>722</v>
      </c>
      <c r="N427" s="34" t="s">
        <v>1785</v>
      </c>
      <c r="O427" s="35">
        <v>1</v>
      </c>
      <c r="P427" s="35"/>
      <c r="Q427" s="32"/>
      <c r="S427" s="1">
        <f t="shared" si="135"/>
        <v>0</v>
      </c>
      <c r="T427" s="1">
        <f t="shared" si="136"/>
        <v>0</v>
      </c>
      <c r="U427" s="1">
        <f t="shared" si="137"/>
        <v>0</v>
      </c>
      <c r="V427" s="1">
        <f t="shared" si="138"/>
        <v>0</v>
      </c>
      <c r="W427" s="1">
        <f t="shared" si="139"/>
        <v>0</v>
      </c>
      <c r="X427" s="1">
        <f t="shared" si="140"/>
        <v>0</v>
      </c>
      <c r="Y427" s="1">
        <f t="shared" si="141"/>
        <v>0</v>
      </c>
      <c r="Z427" s="1">
        <f t="shared" si="142"/>
        <v>0</v>
      </c>
      <c r="AA427" s="1">
        <f t="shared" si="143"/>
        <v>0</v>
      </c>
      <c r="AB427" s="1">
        <f t="shared" si="144"/>
        <v>0</v>
      </c>
      <c r="AD427" s="1">
        <f t="shared" si="145"/>
        <v>0</v>
      </c>
      <c r="AE427" s="1">
        <f t="shared" si="146"/>
        <v>1</v>
      </c>
      <c r="AF427" s="1">
        <f t="shared" si="147"/>
        <v>0</v>
      </c>
      <c r="AG427" s="1">
        <f t="shared" si="148"/>
        <v>1</v>
      </c>
      <c r="AH427" s="1">
        <f t="shared" si="149"/>
        <v>0</v>
      </c>
      <c r="AI427" s="1">
        <f t="shared" si="150"/>
        <v>1</v>
      </c>
    </row>
    <row r="428" spans="1:35" ht="14.25" customHeight="1" x14ac:dyDescent="0.25">
      <c r="A428" s="31">
        <v>0</v>
      </c>
      <c r="B428" s="31">
        <v>2</v>
      </c>
      <c r="C428" s="31">
        <v>7</v>
      </c>
      <c r="D428" s="32" t="s">
        <v>1970</v>
      </c>
      <c r="E428" s="32" t="s">
        <v>28</v>
      </c>
      <c r="F428" s="32" t="s">
        <v>1972</v>
      </c>
      <c r="G428" s="32" t="s">
        <v>1085</v>
      </c>
      <c r="H428" s="32" t="s">
        <v>352</v>
      </c>
      <c r="I428" s="31" t="s">
        <v>1973</v>
      </c>
      <c r="J428" s="31">
        <v>1</v>
      </c>
      <c r="K428" s="33" t="s">
        <v>694</v>
      </c>
      <c r="L428" s="33"/>
      <c r="M428" s="34"/>
      <c r="N428" s="34" t="s">
        <v>1693</v>
      </c>
      <c r="O428" s="35">
        <v>1</v>
      </c>
      <c r="P428" s="35">
        <v>1</v>
      </c>
      <c r="Q428" s="32" t="s">
        <v>1975</v>
      </c>
      <c r="S428" s="1">
        <f t="shared" si="135"/>
        <v>1</v>
      </c>
      <c r="T428" s="1">
        <f t="shared" si="136"/>
        <v>0</v>
      </c>
      <c r="U428" s="1">
        <f t="shared" si="137"/>
        <v>0</v>
      </c>
      <c r="V428" s="1">
        <f t="shared" si="138"/>
        <v>0</v>
      </c>
      <c r="W428" s="1">
        <f t="shared" si="139"/>
        <v>0</v>
      </c>
      <c r="X428" s="1">
        <f t="shared" si="140"/>
        <v>0</v>
      </c>
      <c r="Y428" s="1">
        <f t="shared" si="141"/>
        <v>0</v>
      </c>
      <c r="Z428" s="1">
        <f t="shared" si="142"/>
        <v>0</v>
      </c>
      <c r="AA428" s="1">
        <f t="shared" si="143"/>
        <v>0</v>
      </c>
      <c r="AB428" s="1">
        <f t="shared" si="144"/>
        <v>0</v>
      </c>
      <c r="AD428" s="1">
        <f t="shared" si="145"/>
        <v>1</v>
      </c>
      <c r="AE428" s="1">
        <f t="shared" si="146"/>
        <v>0</v>
      </c>
      <c r="AF428" s="1">
        <f t="shared" si="147"/>
        <v>1</v>
      </c>
      <c r="AG428" s="1">
        <f t="shared" si="148"/>
        <v>0</v>
      </c>
      <c r="AH428" s="1">
        <f t="shared" si="149"/>
        <v>1</v>
      </c>
      <c r="AI428" s="1">
        <f t="shared" si="150"/>
        <v>0</v>
      </c>
    </row>
    <row r="429" spans="1:35" ht="14.25" customHeight="1" x14ac:dyDescent="0.25">
      <c r="A429" s="31">
        <v>1</v>
      </c>
      <c r="B429" s="31">
        <v>2</v>
      </c>
      <c r="C429" s="31">
        <v>7</v>
      </c>
      <c r="D429" s="32" t="s">
        <v>1970</v>
      </c>
      <c r="E429" s="32" t="s">
        <v>28</v>
      </c>
      <c r="F429" s="32" t="s">
        <v>1971</v>
      </c>
      <c r="G429" s="36" t="s">
        <v>1977</v>
      </c>
      <c r="H429" s="32" t="s">
        <v>352</v>
      </c>
      <c r="I429" s="31" t="s">
        <v>1974</v>
      </c>
      <c r="J429" s="31">
        <v>8</v>
      </c>
      <c r="K429" s="33" t="s">
        <v>694</v>
      </c>
      <c r="L429" s="33"/>
      <c r="M429" s="34"/>
      <c r="N429" s="34" t="s">
        <v>1693</v>
      </c>
      <c r="O429" s="35">
        <v>1</v>
      </c>
      <c r="P429" s="35">
        <v>1</v>
      </c>
      <c r="Q429" s="32" t="s">
        <v>1976</v>
      </c>
      <c r="S429" s="1">
        <f t="shared" si="135"/>
        <v>0</v>
      </c>
      <c r="T429" s="1">
        <f t="shared" si="136"/>
        <v>0</v>
      </c>
      <c r="U429" s="1">
        <f t="shared" si="137"/>
        <v>0</v>
      </c>
      <c r="V429" s="1">
        <f t="shared" si="138"/>
        <v>0</v>
      </c>
      <c r="W429" s="1">
        <f t="shared" si="139"/>
        <v>0</v>
      </c>
      <c r="X429" s="1">
        <f t="shared" si="140"/>
        <v>0</v>
      </c>
      <c r="Y429" s="1">
        <f t="shared" si="141"/>
        <v>0</v>
      </c>
      <c r="Z429" s="1">
        <f t="shared" si="142"/>
        <v>1</v>
      </c>
      <c r="AA429" s="1">
        <f t="shared" si="143"/>
        <v>0</v>
      </c>
      <c r="AB429" s="1">
        <f t="shared" si="144"/>
        <v>0</v>
      </c>
      <c r="AD429" s="1">
        <f t="shared" si="145"/>
        <v>1</v>
      </c>
      <c r="AE429" s="1">
        <f t="shared" si="146"/>
        <v>0</v>
      </c>
      <c r="AF429" s="1">
        <f t="shared" si="147"/>
        <v>0</v>
      </c>
      <c r="AG429" s="1">
        <f t="shared" si="148"/>
        <v>0</v>
      </c>
      <c r="AH429" s="1">
        <f t="shared" si="149"/>
        <v>0</v>
      </c>
      <c r="AI429" s="1">
        <f t="shared" si="150"/>
        <v>0</v>
      </c>
    </row>
    <row r="430" spans="1:35" ht="14.25" customHeight="1" x14ac:dyDescent="0.25">
      <c r="A430" s="31">
        <v>0</v>
      </c>
      <c r="B430" s="31">
        <v>2</v>
      </c>
      <c r="C430" s="31">
        <v>7</v>
      </c>
      <c r="D430" s="32" t="s">
        <v>69</v>
      </c>
      <c r="E430" s="32" t="s">
        <v>28</v>
      </c>
      <c r="F430" s="32" t="s">
        <v>254</v>
      </c>
      <c r="G430" s="36" t="s">
        <v>206</v>
      </c>
      <c r="H430" s="32" t="s">
        <v>352</v>
      </c>
      <c r="I430" s="31" t="s">
        <v>413</v>
      </c>
      <c r="J430" s="31">
        <v>99</v>
      </c>
      <c r="K430" s="33" t="s">
        <v>936</v>
      </c>
      <c r="L430" s="33" t="s">
        <v>704</v>
      </c>
      <c r="M430" s="34" t="s">
        <v>722</v>
      </c>
      <c r="N430" s="34" t="s">
        <v>1699</v>
      </c>
      <c r="O430" s="35">
        <v>1</v>
      </c>
      <c r="P430" s="35">
        <v>1</v>
      </c>
      <c r="Q430" s="32"/>
      <c r="S430" s="1">
        <f t="shared" si="135"/>
        <v>0</v>
      </c>
      <c r="T430" s="1">
        <f t="shared" si="136"/>
        <v>0</v>
      </c>
      <c r="U430" s="1">
        <f t="shared" si="137"/>
        <v>0</v>
      </c>
      <c r="V430" s="1">
        <f t="shared" si="138"/>
        <v>0</v>
      </c>
      <c r="W430" s="1">
        <f t="shared" si="139"/>
        <v>0</v>
      </c>
      <c r="X430" s="1">
        <f t="shared" si="140"/>
        <v>0</v>
      </c>
      <c r="Y430" s="1">
        <f t="shared" si="141"/>
        <v>0</v>
      </c>
      <c r="Z430" s="1">
        <f t="shared" si="142"/>
        <v>0</v>
      </c>
      <c r="AA430" s="1">
        <f t="shared" si="143"/>
        <v>0</v>
      </c>
      <c r="AB430" s="1">
        <f t="shared" si="144"/>
        <v>0</v>
      </c>
      <c r="AD430" s="1">
        <f t="shared" si="145"/>
        <v>1</v>
      </c>
      <c r="AE430" s="1">
        <f t="shared" si="146"/>
        <v>0</v>
      </c>
      <c r="AF430" s="1">
        <f t="shared" si="147"/>
        <v>1</v>
      </c>
      <c r="AG430" s="1">
        <f t="shared" si="148"/>
        <v>0</v>
      </c>
      <c r="AH430" s="1">
        <f t="shared" si="149"/>
        <v>1</v>
      </c>
      <c r="AI430" s="1">
        <f t="shared" si="150"/>
        <v>0</v>
      </c>
    </row>
    <row r="431" spans="1:35" ht="14.25" customHeight="1" x14ac:dyDescent="0.25">
      <c r="A431" s="31">
        <v>1</v>
      </c>
      <c r="B431" s="31">
        <v>2</v>
      </c>
      <c r="C431" s="31">
        <v>7</v>
      </c>
      <c r="D431" s="32" t="s">
        <v>69</v>
      </c>
      <c r="E431" s="32" t="s">
        <v>28</v>
      </c>
      <c r="F431" s="32" t="s">
        <v>1834</v>
      </c>
      <c r="G431" s="36" t="s">
        <v>255</v>
      </c>
      <c r="H431" s="32" t="s">
        <v>352</v>
      </c>
      <c r="I431" s="31" t="s">
        <v>414</v>
      </c>
      <c r="J431" s="31">
        <v>99</v>
      </c>
      <c r="K431" s="33" t="s">
        <v>936</v>
      </c>
      <c r="L431" s="33" t="s">
        <v>704</v>
      </c>
      <c r="M431" s="34" t="s">
        <v>722</v>
      </c>
      <c r="N431" s="34" t="s">
        <v>1699</v>
      </c>
      <c r="O431" s="35">
        <v>1</v>
      </c>
      <c r="P431" s="35">
        <v>1</v>
      </c>
      <c r="Q431" s="32"/>
      <c r="S431" s="1">
        <f t="shared" si="135"/>
        <v>0</v>
      </c>
      <c r="T431" s="1">
        <f t="shared" si="136"/>
        <v>0</v>
      </c>
      <c r="U431" s="1">
        <f t="shared" si="137"/>
        <v>0</v>
      </c>
      <c r="V431" s="1">
        <f t="shared" si="138"/>
        <v>0</v>
      </c>
      <c r="W431" s="1">
        <f t="shared" si="139"/>
        <v>0</v>
      </c>
      <c r="X431" s="1">
        <f t="shared" si="140"/>
        <v>0</v>
      </c>
      <c r="Y431" s="1">
        <f t="shared" si="141"/>
        <v>0</v>
      </c>
      <c r="Z431" s="1">
        <f t="shared" si="142"/>
        <v>0</v>
      </c>
      <c r="AA431" s="1">
        <f t="shared" si="143"/>
        <v>0</v>
      </c>
      <c r="AB431" s="1">
        <f t="shared" si="144"/>
        <v>0</v>
      </c>
      <c r="AD431" s="1">
        <f t="shared" si="145"/>
        <v>1</v>
      </c>
      <c r="AE431" s="1">
        <f t="shared" si="146"/>
        <v>0</v>
      </c>
      <c r="AF431" s="1">
        <f t="shared" si="147"/>
        <v>0</v>
      </c>
      <c r="AG431" s="1">
        <f t="shared" si="148"/>
        <v>0</v>
      </c>
      <c r="AH431" s="1">
        <f t="shared" si="149"/>
        <v>0</v>
      </c>
      <c r="AI431" s="1">
        <f t="shared" si="150"/>
        <v>0</v>
      </c>
    </row>
    <row r="432" spans="1:35" ht="14.25" customHeight="1" x14ac:dyDescent="0.25">
      <c r="A432" s="31">
        <v>1</v>
      </c>
      <c r="B432" s="31">
        <v>2</v>
      </c>
      <c r="C432" s="31">
        <v>7</v>
      </c>
      <c r="D432" s="32" t="s">
        <v>69</v>
      </c>
      <c r="E432" s="32" t="s">
        <v>28</v>
      </c>
      <c r="F432" s="32" t="s">
        <v>563</v>
      </c>
      <c r="G432" s="36" t="s">
        <v>564</v>
      </c>
      <c r="H432" s="32" t="s">
        <v>352</v>
      </c>
      <c r="I432" s="31" t="s">
        <v>572</v>
      </c>
      <c r="J432" s="31">
        <v>99</v>
      </c>
      <c r="K432" s="33" t="s">
        <v>936</v>
      </c>
      <c r="L432" s="33" t="s">
        <v>704</v>
      </c>
      <c r="M432" s="34" t="s">
        <v>722</v>
      </c>
      <c r="N432" s="34" t="s">
        <v>1699</v>
      </c>
      <c r="O432" s="35">
        <v>1</v>
      </c>
      <c r="P432" s="35">
        <v>1</v>
      </c>
      <c r="Q432" s="32"/>
      <c r="S432" s="1">
        <f t="shared" si="135"/>
        <v>0</v>
      </c>
      <c r="T432" s="1">
        <f t="shared" si="136"/>
        <v>0</v>
      </c>
      <c r="U432" s="1">
        <f t="shared" si="137"/>
        <v>0</v>
      </c>
      <c r="V432" s="1">
        <f t="shared" si="138"/>
        <v>0</v>
      </c>
      <c r="W432" s="1">
        <f t="shared" si="139"/>
        <v>0</v>
      </c>
      <c r="X432" s="1">
        <f t="shared" si="140"/>
        <v>0</v>
      </c>
      <c r="Y432" s="1">
        <f t="shared" si="141"/>
        <v>0</v>
      </c>
      <c r="Z432" s="1">
        <f t="shared" si="142"/>
        <v>0</v>
      </c>
      <c r="AA432" s="1">
        <f t="shared" si="143"/>
        <v>0</v>
      </c>
      <c r="AB432" s="1">
        <f t="shared" si="144"/>
        <v>0</v>
      </c>
      <c r="AD432" s="1">
        <f t="shared" si="145"/>
        <v>1</v>
      </c>
      <c r="AE432" s="1">
        <f t="shared" si="146"/>
        <v>0</v>
      </c>
      <c r="AF432" s="1">
        <f t="shared" si="147"/>
        <v>0</v>
      </c>
      <c r="AG432" s="1">
        <f t="shared" si="148"/>
        <v>0</v>
      </c>
      <c r="AH432" s="1">
        <f t="shared" si="149"/>
        <v>0</v>
      </c>
      <c r="AI432" s="1">
        <f t="shared" si="150"/>
        <v>0</v>
      </c>
    </row>
    <row r="433" spans="1:35" ht="14.25" customHeight="1" x14ac:dyDescent="0.25">
      <c r="A433" s="44">
        <v>0</v>
      </c>
      <c r="B433" s="44">
        <v>2</v>
      </c>
      <c r="C433" s="44">
        <v>7</v>
      </c>
      <c r="D433" s="45" t="s">
        <v>71</v>
      </c>
      <c r="E433" s="45" t="s">
        <v>28</v>
      </c>
      <c r="F433" s="45" t="s">
        <v>1322</v>
      </c>
      <c r="G433" s="45" t="s">
        <v>258</v>
      </c>
      <c r="H433" s="45" t="s">
        <v>352</v>
      </c>
      <c r="I433" s="44" t="s">
        <v>416</v>
      </c>
      <c r="J433" s="44">
        <v>99</v>
      </c>
      <c r="K433" s="46" t="s">
        <v>704</v>
      </c>
      <c r="L433" s="46" t="s">
        <v>704</v>
      </c>
      <c r="M433" s="47" t="s">
        <v>722</v>
      </c>
      <c r="N433" s="47" t="s">
        <v>1762</v>
      </c>
      <c r="O433" s="48"/>
      <c r="P433" s="48"/>
      <c r="Q433" s="45"/>
      <c r="S433" s="1">
        <f t="shared" si="135"/>
        <v>0</v>
      </c>
      <c r="T433" s="1">
        <f t="shared" si="136"/>
        <v>0</v>
      </c>
      <c r="U433" s="1">
        <f t="shared" si="137"/>
        <v>0</v>
      </c>
      <c r="V433" s="1">
        <f t="shared" si="138"/>
        <v>0</v>
      </c>
      <c r="W433" s="1">
        <f t="shared" si="139"/>
        <v>0</v>
      </c>
      <c r="X433" s="1">
        <f t="shared" si="140"/>
        <v>0</v>
      </c>
      <c r="Y433" s="1">
        <f t="shared" si="141"/>
        <v>0</v>
      </c>
      <c r="Z433" s="1">
        <f t="shared" si="142"/>
        <v>0</v>
      </c>
      <c r="AA433" s="1">
        <f t="shared" si="143"/>
        <v>0</v>
      </c>
      <c r="AB433" s="1">
        <f t="shared" si="144"/>
        <v>0</v>
      </c>
      <c r="AD433" s="1">
        <f t="shared" si="145"/>
        <v>0</v>
      </c>
      <c r="AE433" s="1">
        <f t="shared" si="146"/>
        <v>0</v>
      </c>
      <c r="AF433" s="1">
        <f t="shared" si="147"/>
        <v>0</v>
      </c>
      <c r="AG433" s="1">
        <f t="shared" si="148"/>
        <v>0</v>
      </c>
      <c r="AH433" s="1">
        <f t="shared" si="149"/>
        <v>0</v>
      </c>
      <c r="AI433" s="1">
        <f t="shared" si="150"/>
        <v>1</v>
      </c>
    </row>
    <row r="434" spans="1:35" ht="14.25" customHeight="1" x14ac:dyDescent="0.25">
      <c r="A434" s="44">
        <v>0</v>
      </c>
      <c r="B434" s="44">
        <v>2</v>
      </c>
      <c r="C434" s="44">
        <v>7</v>
      </c>
      <c r="D434" s="45" t="s">
        <v>1043</v>
      </c>
      <c r="E434" s="45" t="s">
        <v>28</v>
      </c>
      <c r="F434" s="45" t="s">
        <v>1044</v>
      </c>
      <c r="G434" s="45" t="s">
        <v>1045</v>
      </c>
      <c r="H434" s="45" t="s">
        <v>352</v>
      </c>
      <c r="I434" s="44" t="s">
        <v>1046</v>
      </c>
      <c r="J434" s="44">
        <v>99</v>
      </c>
      <c r="K434" s="46" t="s">
        <v>704</v>
      </c>
      <c r="L434" s="46" t="s">
        <v>704</v>
      </c>
      <c r="M434" s="47" t="s">
        <v>722</v>
      </c>
      <c r="N434" s="47" t="s">
        <v>1762</v>
      </c>
      <c r="O434" s="48"/>
      <c r="P434" s="48"/>
      <c r="Q434" s="45"/>
      <c r="S434" s="1">
        <f t="shared" si="135"/>
        <v>0</v>
      </c>
      <c r="T434" s="1">
        <f t="shared" si="136"/>
        <v>0</v>
      </c>
      <c r="U434" s="1">
        <f t="shared" si="137"/>
        <v>0</v>
      </c>
      <c r="V434" s="1">
        <f t="shared" si="138"/>
        <v>0</v>
      </c>
      <c r="W434" s="1">
        <f t="shared" si="139"/>
        <v>0</v>
      </c>
      <c r="X434" s="1">
        <f t="shared" si="140"/>
        <v>0</v>
      </c>
      <c r="Y434" s="1">
        <f t="shared" si="141"/>
        <v>0</v>
      </c>
      <c r="Z434" s="1">
        <f t="shared" si="142"/>
        <v>0</v>
      </c>
      <c r="AA434" s="1">
        <f t="shared" si="143"/>
        <v>0</v>
      </c>
      <c r="AB434" s="1">
        <f t="shared" si="144"/>
        <v>0</v>
      </c>
      <c r="AD434" s="1">
        <f t="shared" si="145"/>
        <v>0</v>
      </c>
      <c r="AE434" s="1">
        <f t="shared" si="146"/>
        <v>0</v>
      </c>
      <c r="AF434" s="1">
        <f t="shared" si="147"/>
        <v>0</v>
      </c>
      <c r="AG434" s="1">
        <f t="shared" si="148"/>
        <v>0</v>
      </c>
      <c r="AH434" s="1">
        <f t="shared" si="149"/>
        <v>0</v>
      </c>
      <c r="AI434" s="1">
        <f t="shared" si="150"/>
        <v>1</v>
      </c>
    </row>
    <row r="435" spans="1:35" ht="14.25" customHeight="1" x14ac:dyDescent="0.25">
      <c r="A435" s="31">
        <v>0</v>
      </c>
      <c r="B435" s="31">
        <v>2</v>
      </c>
      <c r="C435" s="31">
        <v>7</v>
      </c>
      <c r="D435" s="32" t="s">
        <v>1766</v>
      </c>
      <c r="E435" s="32" t="s">
        <v>155</v>
      </c>
      <c r="F435" s="32" t="s">
        <v>1767</v>
      </c>
      <c r="G435" s="32"/>
      <c r="H435" s="32" t="s">
        <v>352</v>
      </c>
      <c r="I435" s="31" t="s">
        <v>1768</v>
      </c>
      <c r="J435" s="31">
        <v>99</v>
      </c>
      <c r="K435" s="33" t="s">
        <v>694</v>
      </c>
      <c r="L435" s="33"/>
      <c r="M435" s="34"/>
      <c r="N435" s="34" t="s">
        <v>1693</v>
      </c>
      <c r="O435" s="35">
        <v>1</v>
      </c>
      <c r="P435" s="35">
        <v>1</v>
      </c>
      <c r="Q435" s="32"/>
      <c r="S435" s="1">
        <f t="shared" si="135"/>
        <v>0</v>
      </c>
      <c r="T435" s="1">
        <f t="shared" si="136"/>
        <v>0</v>
      </c>
      <c r="U435" s="1">
        <f t="shared" si="137"/>
        <v>0</v>
      </c>
      <c r="V435" s="1">
        <f t="shared" si="138"/>
        <v>0</v>
      </c>
      <c r="W435" s="1">
        <f t="shared" si="139"/>
        <v>0</v>
      </c>
      <c r="X435" s="1">
        <f t="shared" si="140"/>
        <v>0</v>
      </c>
      <c r="Y435" s="1">
        <f t="shared" si="141"/>
        <v>0</v>
      </c>
      <c r="Z435" s="1">
        <f t="shared" si="142"/>
        <v>0</v>
      </c>
      <c r="AA435" s="1">
        <f t="shared" si="143"/>
        <v>0</v>
      </c>
      <c r="AB435" s="1">
        <f t="shared" si="144"/>
        <v>0</v>
      </c>
      <c r="AD435" s="1">
        <f t="shared" si="145"/>
        <v>1</v>
      </c>
      <c r="AE435" s="1">
        <f t="shared" si="146"/>
        <v>0</v>
      </c>
      <c r="AF435" s="1">
        <f t="shared" si="147"/>
        <v>1</v>
      </c>
      <c r="AG435" s="1">
        <f t="shared" si="148"/>
        <v>0</v>
      </c>
      <c r="AH435" s="1">
        <f t="shared" si="149"/>
        <v>1</v>
      </c>
      <c r="AI435" s="1">
        <f t="shared" si="150"/>
        <v>0</v>
      </c>
    </row>
    <row r="436" spans="1:35" ht="14.25" customHeight="1" x14ac:dyDescent="0.25">
      <c r="A436" s="31">
        <v>0</v>
      </c>
      <c r="B436" s="31">
        <v>2</v>
      </c>
      <c r="C436" s="31">
        <v>7</v>
      </c>
      <c r="D436" s="32" t="s">
        <v>1156</v>
      </c>
      <c r="E436" s="32" t="s">
        <v>155</v>
      </c>
      <c r="F436" s="32" t="s">
        <v>1157</v>
      </c>
      <c r="G436" s="32" t="s">
        <v>291</v>
      </c>
      <c r="H436" s="32" t="s">
        <v>352</v>
      </c>
      <c r="I436" s="31" t="s">
        <v>1158</v>
      </c>
      <c r="J436" s="31">
        <v>99</v>
      </c>
      <c r="K436" s="33" t="s">
        <v>704</v>
      </c>
      <c r="L436" s="33" t="s">
        <v>713</v>
      </c>
      <c r="M436" s="34" t="s">
        <v>1404</v>
      </c>
      <c r="N436" s="34" t="s">
        <v>1709</v>
      </c>
      <c r="O436" s="35">
        <v>1</v>
      </c>
      <c r="P436" s="35"/>
      <c r="Q436" s="32"/>
      <c r="S436" s="1">
        <f t="shared" si="135"/>
        <v>0</v>
      </c>
      <c r="T436" s="1">
        <f t="shared" si="136"/>
        <v>0</v>
      </c>
      <c r="U436" s="1">
        <f t="shared" si="137"/>
        <v>0</v>
      </c>
      <c r="V436" s="1">
        <f t="shared" si="138"/>
        <v>0</v>
      </c>
      <c r="W436" s="1">
        <f t="shared" si="139"/>
        <v>0</v>
      </c>
      <c r="X436" s="1">
        <f t="shared" si="140"/>
        <v>0</v>
      </c>
      <c r="Y436" s="1">
        <f t="shared" si="141"/>
        <v>0</v>
      </c>
      <c r="Z436" s="1">
        <f t="shared" si="142"/>
        <v>0</v>
      </c>
      <c r="AA436" s="1">
        <f t="shared" si="143"/>
        <v>0</v>
      </c>
      <c r="AB436" s="1">
        <f t="shared" si="144"/>
        <v>0</v>
      </c>
      <c r="AD436" s="1">
        <f t="shared" si="145"/>
        <v>0</v>
      </c>
      <c r="AE436" s="1">
        <f t="shared" si="146"/>
        <v>1</v>
      </c>
      <c r="AF436" s="1">
        <f t="shared" si="147"/>
        <v>0</v>
      </c>
      <c r="AG436" s="1">
        <f t="shared" si="148"/>
        <v>1</v>
      </c>
      <c r="AH436" s="1">
        <f t="shared" si="149"/>
        <v>0</v>
      </c>
      <c r="AI436" s="1">
        <f t="shared" si="150"/>
        <v>1</v>
      </c>
    </row>
    <row r="437" spans="1:35" ht="14.25" customHeight="1" x14ac:dyDescent="0.25">
      <c r="A437" s="31">
        <v>0</v>
      </c>
      <c r="B437" s="31">
        <v>2</v>
      </c>
      <c r="C437" s="31">
        <v>7</v>
      </c>
      <c r="D437" s="36" t="s">
        <v>2135</v>
      </c>
      <c r="E437" s="32" t="s">
        <v>155</v>
      </c>
      <c r="F437" s="32" t="s">
        <v>1960</v>
      </c>
      <c r="G437" s="32" t="s">
        <v>281</v>
      </c>
      <c r="H437" s="32" t="s">
        <v>352</v>
      </c>
      <c r="I437" s="31" t="s">
        <v>1961</v>
      </c>
      <c r="J437" s="31">
        <v>99</v>
      </c>
      <c r="K437" s="33" t="s">
        <v>694</v>
      </c>
      <c r="L437" s="33" t="s">
        <v>713</v>
      </c>
      <c r="M437" s="34" t="s">
        <v>723</v>
      </c>
      <c r="N437" s="34" t="s">
        <v>1693</v>
      </c>
      <c r="O437" s="35">
        <v>1</v>
      </c>
      <c r="P437" s="35">
        <v>1</v>
      </c>
      <c r="Q437" s="32"/>
      <c r="S437" s="1">
        <f t="shared" si="135"/>
        <v>0</v>
      </c>
      <c r="T437" s="1">
        <f t="shared" si="136"/>
        <v>0</v>
      </c>
      <c r="U437" s="1">
        <f t="shared" si="137"/>
        <v>0</v>
      </c>
      <c r="V437" s="1">
        <f t="shared" si="138"/>
        <v>0</v>
      </c>
      <c r="W437" s="1">
        <f t="shared" si="139"/>
        <v>0</v>
      </c>
      <c r="X437" s="1">
        <f t="shared" si="140"/>
        <v>0</v>
      </c>
      <c r="Y437" s="1">
        <f t="shared" si="141"/>
        <v>0</v>
      </c>
      <c r="Z437" s="1">
        <f t="shared" si="142"/>
        <v>0</v>
      </c>
      <c r="AA437" s="1">
        <f t="shared" si="143"/>
        <v>0</v>
      </c>
      <c r="AB437" s="1">
        <f t="shared" si="144"/>
        <v>0</v>
      </c>
      <c r="AD437" s="1">
        <f t="shared" si="145"/>
        <v>1</v>
      </c>
      <c r="AE437" s="1">
        <f t="shared" si="146"/>
        <v>0</v>
      </c>
      <c r="AF437" s="1">
        <f t="shared" si="147"/>
        <v>1</v>
      </c>
      <c r="AG437" s="1">
        <f t="shared" si="148"/>
        <v>0</v>
      </c>
      <c r="AH437" s="1">
        <f t="shared" si="149"/>
        <v>1</v>
      </c>
      <c r="AI437" s="1">
        <f t="shared" si="150"/>
        <v>0</v>
      </c>
    </row>
    <row r="438" spans="1:35" ht="14.25" customHeight="1" x14ac:dyDescent="0.25">
      <c r="A438" s="31">
        <v>1</v>
      </c>
      <c r="B438" s="31">
        <v>2</v>
      </c>
      <c r="C438" s="31">
        <v>7</v>
      </c>
      <c r="D438" s="36" t="s">
        <v>2135</v>
      </c>
      <c r="E438" s="32" t="s">
        <v>155</v>
      </c>
      <c r="F438" s="32" t="s">
        <v>1962</v>
      </c>
      <c r="G438" s="32" t="s">
        <v>1963</v>
      </c>
      <c r="H438" s="32" t="s">
        <v>352</v>
      </c>
      <c r="I438" s="31" t="s">
        <v>1964</v>
      </c>
      <c r="J438" s="31">
        <v>99</v>
      </c>
      <c r="K438" s="33" t="s">
        <v>694</v>
      </c>
      <c r="L438" s="33" t="s">
        <v>713</v>
      </c>
      <c r="M438" s="34" t="s">
        <v>723</v>
      </c>
      <c r="N438" s="34" t="s">
        <v>1693</v>
      </c>
      <c r="O438" s="35">
        <v>1</v>
      </c>
      <c r="P438" s="35">
        <v>1</v>
      </c>
      <c r="Q438" s="32"/>
      <c r="S438" s="1">
        <f t="shared" si="135"/>
        <v>0</v>
      </c>
      <c r="T438" s="1">
        <f t="shared" si="136"/>
        <v>0</v>
      </c>
      <c r="U438" s="1">
        <f t="shared" si="137"/>
        <v>0</v>
      </c>
      <c r="V438" s="1">
        <f t="shared" si="138"/>
        <v>0</v>
      </c>
      <c r="W438" s="1">
        <f t="shared" si="139"/>
        <v>0</v>
      </c>
      <c r="X438" s="1">
        <f t="shared" si="140"/>
        <v>0</v>
      </c>
      <c r="Y438" s="1">
        <f t="shared" si="141"/>
        <v>0</v>
      </c>
      <c r="Z438" s="1">
        <f t="shared" si="142"/>
        <v>0</v>
      </c>
      <c r="AA438" s="1">
        <f t="shared" si="143"/>
        <v>0</v>
      </c>
      <c r="AB438" s="1">
        <f t="shared" si="144"/>
        <v>0</v>
      </c>
      <c r="AD438" s="1">
        <f t="shared" si="145"/>
        <v>1</v>
      </c>
      <c r="AE438" s="1">
        <f t="shared" si="146"/>
        <v>0</v>
      </c>
      <c r="AF438" s="1">
        <f t="shared" si="147"/>
        <v>0</v>
      </c>
      <c r="AG438" s="1">
        <f t="shared" si="148"/>
        <v>0</v>
      </c>
      <c r="AH438" s="1">
        <f t="shared" si="149"/>
        <v>0</v>
      </c>
      <c r="AI438" s="1">
        <f t="shared" si="150"/>
        <v>0</v>
      </c>
    </row>
    <row r="439" spans="1:35" ht="14.25" customHeight="1" x14ac:dyDescent="0.25">
      <c r="A439" s="31">
        <v>0</v>
      </c>
      <c r="B439" s="31">
        <v>2</v>
      </c>
      <c r="C439" s="31">
        <v>7</v>
      </c>
      <c r="D439" s="32" t="s">
        <v>1131</v>
      </c>
      <c r="E439" s="32" t="s">
        <v>1132</v>
      </c>
      <c r="F439" s="36" t="s">
        <v>1837</v>
      </c>
      <c r="G439" s="32" t="s">
        <v>620</v>
      </c>
      <c r="H439" s="32" t="s">
        <v>352</v>
      </c>
      <c r="I439" s="31" t="s">
        <v>1133</v>
      </c>
      <c r="J439" s="31">
        <v>99</v>
      </c>
      <c r="K439" s="33" t="s">
        <v>704</v>
      </c>
      <c r="L439" s="33" t="s">
        <v>704</v>
      </c>
      <c r="M439" s="34" t="s">
        <v>722</v>
      </c>
      <c r="N439" s="34" t="s">
        <v>1705</v>
      </c>
      <c r="O439" s="35">
        <v>1</v>
      </c>
      <c r="P439" s="35"/>
      <c r="Q439" s="36" t="s">
        <v>1857</v>
      </c>
      <c r="S439" s="1">
        <f t="shared" si="135"/>
        <v>0</v>
      </c>
      <c r="T439" s="1">
        <f t="shared" si="136"/>
        <v>0</v>
      </c>
      <c r="U439" s="1">
        <f t="shared" si="137"/>
        <v>0</v>
      </c>
      <c r="V439" s="1">
        <f t="shared" si="138"/>
        <v>0</v>
      </c>
      <c r="W439" s="1">
        <f t="shared" si="139"/>
        <v>0</v>
      </c>
      <c r="X439" s="1">
        <f t="shared" si="140"/>
        <v>0</v>
      </c>
      <c r="Y439" s="1">
        <f t="shared" si="141"/>
        <v>0</v>
      </c>
      <c r="Z439" s="1">
        <f t="shared" si="142"/>
        <v>0</v>
      </c>
      <c r="AA439" s="1">
        <f t="shared" si="143"/>
        <v>0</v>
      </c>
      <c r="AB439" s="1">
        <f t="shared" si="144"/>
        <v>0</v>
      </c>
      <c r="AD439" s="1">
        <f t="shared" si="145"/>
        <v>0</v>
      </c>
      <c r="AE439" s="1">
        <f t="shared" si="146"/>
        <v>1</v>
      </c>
      <c r="AF439" s="1">
        <f t="shared" si="147"/>
        <v>0</v>
      </c>
      <c r="AG439" s="1">
        <f t="shared" si="148"/>
        <v>1</v>
      </c>
      <c r="AH439" s="1">
        <f t="shared" si="149"/>
        <v>0</v>
      </c>
      <c r="AI439" s="1">
        <f t="shared" si="150"/>
        <v>1</v>
      </c>
    </row>
    <row r="440" spans="1:35" ht="14.25" customHeight="1" x14ac:dyDescent="0.25">
      <c r="A440" s="31">
        <v>0</v>
      </c>
      <c r="B440" s="31">
        <v>2</v>
      </c>
      <c r="C440" s="31">
        <v>7</v>
      </c>
      <c r="D440" s="32" t="s">
        <v>538</v>
      </c>
      <c r="E440" s="32" t="s">
        <v>157</v>
      </c>
      <c r="F440" s="32" t="s">
        <v>194</v>
      </c>
      <c r="G440" s="32" t="s">
        <v>195</v>
      </c>
      <c r="H440" s="32" t="s">
        <v>352</v>
      </c>
      <c r="I440" s="31" t="s">
        <v>546</v>
      </c>
      <c r="J440" s="31">
        <v>99</v>
      </c>
      <c r="K440" s="33" t="s">
        <v>936</v>
      </c>
      <c r="L440" s="33" t="s">
        <v>687</v>
      </c>
      <c r="M440" s="34" t="s">
        <v>1406</v>
      </c>
      <c r="N440" s="34" t="s">
        <v>1709</v>
      </c>
      <c r="O440" s="35">
        <v>1</v>
      </c>
      <c r="P440" s="35"/>
      <c r="Q440" s="32"/>
      <c r="S440" s="1">
        <f t="shared" si="135"/>
        <v>0</v>
      </c>
      <c r="T440" s="1">
        <f t="shared" si="136"/>
        <v>0</v>
      </c>
      <c r="U440" s="1">
        <f t="shared" si="137"/>
        <v>0</v>
      </c>
      <c r="V440" s="1">
        <f t="shared" si="138"/>
        <v>0</v>
      </c>
      <c r="W440" s="1">
        <f t="shared" si="139"/>
        <v>0</v>
      </c>
      <c r="X440" s="1">
        <f t="shared" si="140"/>
        <v>0</v>
      </c>
      <c r="Y440" s="1">
        <f t="shared" si="141"/>
        <v>0</v>
      </c>
      <c r="Z440" s="1">
        <f t="shared" si="142"/>
        <v>0</v>
      </c>
      <c r="AA440" s="1">
        <f t="shared" si="143"/>
        <v>0</v>
      </c>
      <c r="AB440" s="1">
        <f t="shared" si="144"/>
        <v>0</v>
      </c>
      <c r="AD440" s="1">
        <f t="shared" si="145"/>
        <v>0</v>
      </c>
      <c r="AE440" s="1">
        <f t="shared" si="146"/>
        <v>1</v>
      </c>
      <c r="AF440" s="1">
        <f t="shared" si="147"/>
        <v>0</v>
      </c>
      <c r="AG440" s="1">
        <f t="shared" si="148"/>
        <v>1</v>
      </c>
      <c r="AH440" s="1">
        <f t="shared" si="149"/>
        <v>0</v>
      </c>
      <c r="AI440" s="1">
        <f t="shared" si="150"/>
        <v>1</v>
      </c>
    </row>
    <row r="441" spans="1:35" ht="14.25" customHeight="1" x14ac:dyDescent="0.25">
      <c r="A441" s="44">
        <v>0</v>
      </c>
      <c r="B441" s="44">
        <v>2</v>
      </c>
      <c r="C441" s="44">
        <v>7</v>
      </c>
      <c r="D441" s="45" t="s">
        <v>46</v>
      </c>
      <c r="E441" s="45" t="s">
        <v>155</v>
      </c>
      <c r="F441" s="45" t="s">
        <v>182</v>
      </c>
      <c r="G441" s="45" t="s">
        <v>178</v>
      </c>
      <c r="H441" s="45" t="s">
        <v>352</v>
      </c>
      <c r="I441" s="44" t="s">
        <v>380</v>
      </c>
      <c r="J441" s="44">
        <v>10</v>
      </c>
      <c r="K441" s="46" t="s">
        <v>936</v>
      </c>
      <c r="L441" s="46" t="s">
        <v>713</v>
      </c>
      <c r="M441" s="47" t="s">
        <v>1404</v>
      </c>
      <c r="N441" s="47" t="s">
        <v>1769</v>
      </c>
      <c r="O441" s="48"/>
      <c r="P441" s="48"/>
      <c r="Q441" s="45"/>
      <c r="S441" s="1">
        <f t="shared" si="135"/>
        <v>0</v>
      </c>
      <c r="T441" s="1">
        <f t="shared" si="136"/>
        <v>0</v>
      </c>
      <c r="U441" s="1">
        <f t="shared" si="137"/>
        <v>0</v>
      </c>
      <c r="V441" s="1">
        <f t="shared" si="138"/>
        <v>0</v>
      </c>
      <c r="W441" s="1">
        <f t="shared" si="139"/>
        <v>0</v>
      </c>
      <c r="X441" s="1">
        <f t="shared" si="140"/>
        <v>0</v>
      </c>
      <c r="Y441" s="1">
        <f t="shared" si="141"/>
        <v>0</v>
      </c>
      <c r="Z441" s="1">
        <f t="shared" si="142"/>
        <v>0</v>
      </c>
      <c r="AA441" s="1">
        <f t="shared" si="143"/>
        <v>0</v>
      </c>
      <c r="AB441" s="1">
        <f t="shared" si="144"/>
        <v>1</v>
      </c>
      <c r="AD441" s="1">
        <f t="shared" si="145"/>
        <v>0</v>
      </c>
      <c r="AE441" s="1">
        <f t="shared" si="146"/>
        <v>0</v>
      </c>
      <c r="AF441" s="1">
        <f t="shared" si="147"/>
        <v>0</v>
      </c>
      <c r="AG441" s="1">
        <f t="shared" si="148"/>
        <v>0</v>
      </c>
      <c r="AH441" s="1">
        <f t="shared" si="149"/>
        <v>0</v>
      </c>
      <c r="AI441" s="1">
        <f t="shared" si="150"/>
        <v>1</v>
      </c>
    </row>
    <row r="442" spans="1:35" ht="14.25" customHeight="1" x14ac:dyDescent="0.25">
      <c r="A442" s="31">
        <v>0</v>
      </c>
      <c r="B442" s="31">
        <v>2</v>
      </c>
      <c r="C442" s="31">
        <v>7</v>
      </c>
      <c r="D442" s="32" t="s">
        <v>67</v>
      </c>
      <c r="E442" s="32" t="s">
        <v>28</v>
      </c>
      <c r="F442" s="32" t="s">
        <v>247</v>
      </c>
      <c r="G442" s="32" t="s">
        <v>248</v>
      </c>
      <c r="H442" s="32" t="s">
        <v>352</v>
      </c>
      <c r="I442" s="31" t="s">
        <v>409</v>
      </c>
      <c r="J442" s="31">
        <v>7</v>
      </c>
      <c r="K442" s="33" t="s">
        <v>704</v>
      </c>
      <c r="L442" s="33" t="s">
        <v>704</v>
      </c>
      <c r="M442" s="34" t="s">
        <v>722</v>
      </c>
      <c r="N442" s="34" t="s">
        <v>1710</v>
      </c>
      <c r="O442" s="35">
        <v>1</v>
      </c>
      <c r="P442" s="35"/>
      <c r="Q442" s="32"/>
      <c r="S442" s="1">
        <f t="shared" si="135"/>
        <v>0</v>
      </c>
      <c r="T442" s="1">
        <f t="shared" si="136"/>
        <v>0</v>
      </c>
      <c r="U442" s="1">
        <f t="shared" si="137"/>
        <v>0</v>
      </c>
      <c r="V442" s="1">
        <f t="shared" si="138"/>
        <v>0</v>
      </c>
      <c r="W442" s="1">
        <f t="shared" si="139"/>
        <v>0</v>
      </c>
      <c r="X442" s="1">
        <f t="shared" si="140"/>
        <v>0</v>
      </c>
      <c r="Y442" s="1">
        <f t="shared" si="141"/>
        <v>1</v>
      </c>
      <c r="Z442" s="1">
        <f t="shared" si="142"/>
        <v>0</v>
      </c>
      <c r="AA442" s="1">
        <f t="shared" si="143"/>
        <v>0</v>
      </c>
      <c r="AB442" s="1">
        <f t="shared" si="144"/>
        <v>0</v>
      </c>
      <c r="AD442" s="1">
        <f t="shared" si="145"/>
        <v>0</v>
      </c>
      <c r="AE442" s="1">
        <f t="shared" si="146"/>
        <v>1</v>
      </c>
      <c r="AF442" s="1">
        <f t="shared" si="147"/>
        <v>0</v>
      </c>
      <c r="AG442" s="1">
        <f t="shared" si="148"/>
        <v>1</v>
      </c>
      <c r="AH442" s="1">
        <f t="shared" si="149"/>
        <v>0</v>
      </c>
      <c r="AI442" s="1">
        <f t="shared" si="150"/>
        <v>1</v>
      </c>
    </row>
    <row r="443" spans="1:35" ht="14.25" customHeight="1" x14ac:dyDescent="0.25">
      <c r="A443" s="31">
        <v>1</v>
      </c>
      <c r="B443" s="31">
        <v>2</v>
      </c>
      <c r="C443" s="31">
        <v>7</v>
      </c>
      <c r="D443" s="32" t="s">
        <v>67</v>
      </c>
      <c r="E443" s="32" t="s">
        <v>28</v>
      </c>
      <c r="F443" s="32" t="s">
        <v>1020</v>
      </c>
      <c r="G443" s="32" t="s">
        <v>535</v>
      </c>
      <c r="H443" s="32" t="s">
        <v>352</v>
      </c>
      <c r="I443" s="31" t="s">
        <v>30</v>
      </c>
      <c r="J443" s="31">
        <v>1</v>
      </c>
      <c r="K443" s="33" t="s">
        <v>704</v>
      </c>
      <c r="L443" s="33" t="s">
        <v>704</v>
      </c>
      <c r="M443" s="34" t="s">
        <v>722</v>
      </c>
      <c r="N443" s="34" t="s">
        <v>1710</v>
      </c>
      <c r="O443" s="35">
        <v>1</v>
      </c>
      <c r="P443" s="35"/>
      <c r="Q443" s="32"/>
      <c r="S443" s="1">
        <f t="shared" si="135"/>
        <v>1</v>
      </c>
      <c r="T443" s="1">
        <f t="shared" si="136"/>
        <v>0</v>
      </c>
      <c r="U443" s="1">
        <f t="shared" si="137"/>
        <v>0</v>
      </c>
      <c r="V443" s="1">
        <f t="shared" si="138"/>
        <v>0</v>
      </c>
      <c r="W443" s="1">
        <f t="shared" si="139"/>
        <v>0</v>
      </c>
      <c r="X443" s="1">
        <f t="shared" si="140"/>
        <v>0</v>
      </c>
      <c r="Y443" s="1">
        <f t="shared" si="141"/>
        <v>0</v>
      </c>
      <c r="Z443" s="1">
        <f t="shared" si="142"/>
        <v>0</v>
      </c>
      <c r="AA443" s="1">
        <f t="shared" si="143"/>
        <v>0</v>
      </c>
      <c r="AB443" s="1">
        <f t="shared" si="144"/>
        <v>0</v>
      </c>
      <c r="AD443" s="1">
        <f t="shared" si="145"/>
        <v>0</v>
      </c>
      <c r="AE443" s="1">
        <f t="shared" si="146"/>
        <v>1</v>
      </c>
      <c r="AF443" s="1">
        <f t="shared" si="147"/>
        <v>0</v>
      </c>
      <c r="AG443" s="1">
        <f t="shared" si="148"/>
        <v>0</v>
      </c>
      <c r="AH443" s="1">
        <f t="shared" si="149"/>
        <v>0</v>
      </c>
      <c r="AI443" s="1">
        <f t="shared" si="150"/>
        <v>0</v>
      </c>
    </row>
    <row r="444" spans="1:35" ht="14.25" customHeight="1" x14ac:dyDescent="0.25">
      <c r="A444" s="31">
        <v>1</v>
      </c>
      <c r="B444" s="31">
        <v>2</v>
      </c>
      <c r="C444" s="31">
        <v>7</v>
      </c>
      <c r="D444" s="32" t="s">
        <v>67</v>
      </c>
      <c r="E444" s="32" t="s">
        <v>28</v>
      </c>
      <c r="F444" s="32" t="s">
        <v>249</v>
      </c>
      <c r="G444" s="32" t="s">
        <v>199</v>
      </c>
      <c r="H444" s="32" t="s">
        <v>352</v>
      </c>
      <c r="I444" s="31" t="s">
        <v>410</v>
      </c>
      <c r="J444" s="31">
        <v>2</v>
      </c>
      <c r="K444" s="33" t="s">
        <v>704</v>
      </c>
      <c r="L444" s="33" t="s">
        <v>704</v>
      </c>
      <c r="M444" s="34" t="s">
        <v>722</v>
      </c>
      <c r="N444" s="34" t="s">
        <v>1710</v>
      </c>
      <c r="O444" s="35">
        <v>1</v>
      </c>
      <c r="P444" s="35"/>
      <c r="Q444" s="32"/>
      <c r="S444" s="1">
        <f t="shared" si="135"/>
        <v>0</v>
      </c>
      <c r="T444" s="1">
        <f t="shared" si="136"/>
        <v>1</v>
      </c>
      <c r="U444" s="1">
        <f t="shared" si="137"/>
        <v>0</v>
      </c>
      <c r="V444" s="1">
        <f t="shared" si="138"/>
        <v>0</v>
      </c>
      <c r="W444" s="1">
        <f t="shared" si="139"/>
        <v>0</v>
      </c>
      <c r="X444" s="1">
        <f t="shared" si="140"/>
        <v>0</v>
      </c>
      <c r="Y444" s="1">
        <f t="shared" si="141"/>
        <v>0</v>
      </c>
      <c r="Z444" s="1">
        <f t="shared" si="142"/>
        <v>0</v>
      </c>
      <c r="AA444" s="1">
        <f t="shared" si="143"/>
        <v>0</v>
      </c>
      <c r="AB444" s="1">
        <f t="shared" si="144"/>
        <v>0</v>
      </c>
      <c r="AD444" s="1">
        <f t="shared" si="145"/>
        <v>0</v>
      </c>
      <c r="AE444" s="1">
        <f t="shared" si="146"/>
        <v>1</v>
      </c>
      <c r="AF444" s="1">
        <f t="shared" si="147"/>
        <v>0</v>
      </c>
      <c r="AG444" s="1">
        <f t="shared" si="148"/>
        <v>0</v>
      </c>
      <c r="AH444" s="1">
        <f t="shared" si="149"/>
        <v>0</v>
      </c>
      <c r="AI444" s="1">
        <f t="shared" si="150"/>
        <v>0</v>
      </c>
    </row>
    <row r="445" spans="1:35" ht="14.25" customHeight="1" x14ac:dyDescent="0.25">
      <c r="A445" s="31">
        <v>1</v>
      </c>
      <c r="B445" s="31">
        <v>2</v>
      </c>
      <c r="C445" s="31">
        <v>7</v>
      </c>
      <c r="D445" s="32" t="s">
        <v>67</v>
      </c>
      <c r="E445" s="32" t="s">
        <v>28</v>
      </c>
      <c r="F445" s="32" t="s">
        <v>246</v>
      </c>
      <c r="G445" s="32" t="s">
        <v>1324</v>
      </c>
      <c r="H445" s="32" t="s">
        <v>352</v>
      </c>
      <c r="I445" s="31" t="s">
        <v>30</v>
      </c>
      <c r="J445" s="31">
        <v>1</v>
      </c>
      <c r="K445" s="33" t="s">
        <v>704</v>
      </c>
      <c r="L445" s="33" t="s">
        <v>704</v>
      </c>
      <c r="M445" s="34" t="s">
        <v>722</v>
      </c>
      <c r="N445" s="34" t="s">
        <v>1710</v>
      </c>
      <c r="O445" s="35">
        <v>1</v>
      </c>
      <c r="P445" s="35"/>
      <c r="Q445" s="32" t="s">
        <v>1876</v>
      </c>
      <c r="S445" s="1">
        <f t="shared" si="135"/>
        <v>1</v>
      </c>
      <c r="T445" s="1">
        <f t="shared" si="136"/>
        <v>0</v>
      </c>
      <c r="U445" s="1">
        <f t="shared" si="137"/>
        <v>0</v>
      </c>
      <c r="V445" s="1">
        <f t="shared" si="138"/>
        <v>0</v>
      </c>
      <c r="W445" s="1">
        <f t="shared" si="139"/>
        <v>0</v>
      </c>
      <c r="X445" s="1">
        <f t="shared" si="140"/>
        <v>0</v>
      </c>
      <c r="Y445" s="1">
        <f t="shared" si="141"/>
        <v>0</v>
      </c>
      <c r="Z445" s="1">
        <f t="shared" si="142"/>
        <v>0</v>
      </c>
      <c r="AA445" s="1">
        <f t="shared" si="143"/>
        <v>0</v>
      </c>
      <c r="AB445" s="1">
        <f t="shared" si="144"/>
        <v>0</v>
      </c>
      <c r="AD445" s="1">
        <f t="shared" si="145"/>
        <v>0</v>
      </c>
      <c r="AE445" s="1">
        <f t="shared" si="146"/>
        <v>1</v>
      </c>
      <c r="AF445" s="1">
        <f t="shared" si="147"/>
        <v>0</v>
      </c>
      <c r="AG445" s="1">
        <f t="shared" si="148"/>
        <v>0</v>
      </c>
      <c r="AH445" s="1">
        <f t="shared" si="149"/>
        <v>0</v>
      </c>
      <c r="AI445" s="1">
        <f t="shared" si="150"/>
        <v>0</v>
      </c>
    </row>
    <row r="446" spans="1:35" ht="14.25" customHeight="1" x14ac:dyDescent="0.25">
      <c r="A446" s="31">
        <v>1</v>
      </c>
      <c r="B446" s="31">
        <v>2</v>
      </c>
      <c r="C446" s="31">
        <v>7</v>
      </c>
      <c r="D446" s="32" t="s">
        <v>67</v>
      </c>
      <c r="E446" s="32" t="s">
        <v>28</v>
      </c>
      <c r="F446" s="32" t="s">
        <v>251</v>
      </c>
      <c r="G446" s="32" t="s">
        <v>193</v>
      </c>
      <c r="H446" s="32" t="s">
        <v>352</v>
      </c>
      <c r="I446" s="31" t="s">
        <v>411</v>
      </c>
      <c r="J446" s="31">
        <v>9</v>
      </c>
      <c r="K446" s="33" t="s">
        <v>704</v>
      </c>
      <c r="L446" s="33" t="s">
        <v>704</v>
      </c>
      <c r="M446" s="34" t="s">
        <v>722</v>
      </c>
      <c r="N446" s="34" t="s">
        <v>1710</v>
      </c>
      <c r="O446" s="35">
        <v>1</v>
      </c>
      <c r="P446" s="35"/>
      <c r="Q446" s="32"/>
      <c r="S446" s="1">
        <f t="shared" si="135"/>
        <v>0</v>
      </c>
      <c r="T446" s="1">
        <f t="shared" si="136"/>
        <v>0</v>
      </c>
      <c r="U446" s="1">
        <f t="shared" si="137"/>
        <v>0</v>
      </c>
      <c r="V446" s="1">
        <f t="shared" si="138"/>
        <v>0</v>
      </c>
      <c r="W446" s="1">
        <f t="shared" si="139"/>
        <v>0</v>
      </c>
      <c r="X446" s="1">
        <f t="shared" si="140"/>
        <v>0</v>
      </c>
      <c r="Y446" s="1">
        <f t="shared" si="141"/>
        <v>0</v>
      </c>
      <c r="Z446" s="1">
        <f t="shared" si="142"/>
        <v>0</v>
      </c>
      <c r="AA446" s="1">
        <f t="shared" si="143"/>
        <v>1</v>
      </c>
      <c r="AB446" s="1">
        <f t="shared" si="144"/>
        <v>0</v>
      </c>
      <c r="AD446" s="1">
        <f t="shared" si="145"/>
        <v>0</v>
      </c>
      <c r="AE446" s="1">
        <f t="shared" si="146"/>
        <v>1</v>
      </c>
      <c r="AF446" s="1">
        <f t="shared" si="147"/>
        <v>0</v>
      </c>
      <c r="AG446" s="1">
        <f t="shared" si="148"/>
        <v>0</v>
      </c>
      <c r="AH446" s="1">
        <f t="shared" si="149"/>
        <v>0</v>
      </c>
      <c r="AI446" s="1">
        <f t="shared" si="150"/>
        <v>0</v>
      </c>
    </row>
    <row r="447" spans="1:35" ht="14.25" customHeight="1" x14ac:dyDescent="0.25">
      <c r="A447" s="31">
        <v>0</v>
      </c>
      <c r="B447" s="31">
        <v>2</v>
      </c>
      <c r="C447" s="31">
        <v>7</v>
      </c>
      <c r="D447" s="32" t="s">
        <v>1004</v>
      </c>
      <c r="E447" s="32" t="s">
        <v>28</v>
      </c>
      <c r="F447" s="32" t="s">
        <v>1005</v>
      </c>
      <c r="G447" s="32" t="s">
        <v>193</v>
      </c>
      <c r="H447" s="32" t="s">
        <v>352</v>
      </c>
      <c r="I447" s="31" t="s">
        <v>1006</v>
      </c>
      <c r="J447" s="31">
        <v>9</v>
      </c>
      <c r="K447" s="33" t="s">
        <v>703</v>
      </c>
      <c r="L447" s="33" t="s">
        <v>704</v>
      </c>
      <c r="M447" s="34" t="s">
        <v>722</v>
      </c>
      <c r="N447" s="34" t="s">
        <v>1705</v>
      </c>
      <c r="O447" s="35">
        <v>1</v>
      </c>
      <c r="P447" s="35"/>
      <c r="Q447" s="32"/>
      <c r="S447" s="1">
        <f t="shared" si="135"/>
        <v>0</v>
      </c>
      <c r="T447" s="1">
        <f t="shared" si="136"/>
        <v>0</v>
      </c>
      <c r="U447" s="1">
        <f t="shared" si="137"/>
        <v>0</v>
      </c>
      <c r="V447" s="1">
        <f t="shared" si="138"/>
        <v>0</v>
      </c>
      <c r="W447" s="1">
        <f t="shared" si="139"/>
        <v>0</v>
      </c>
      <c r="X447" s="1">
        <f t="shared" si="140"/>
        <v>0</v>
      </c>
      <c r="Y447" s="1">
        <f t="shared" si="141"/>
        <v>0</v>
      </c>
      <c r="Z447" s="1">
        <f t="shared" si="142"/>
        <v>0</v>
      </c>
      <c r="AA447" s="1">
        <f t="shared" si="143"/>
        <v>1</v>
      </c>
      <c r="AB447" s="1">
        <f t="shared" si="144"/>
        <v>0</v>
      </c>
      <c r="AD447" s="1">
        <f t="shared" si="145"/>
        <v>0</v>
      </c>
      <c r="AE447" s="1">
        <f t="shared" si="146"/>
        <v>1</v>
      </c>
      <c r="AF447" s="1">
        <f t="shared" si="147"/>
        <v>0</v>
      </c>
      <c r="AG447" s="1">
        <f t="shared" si="148"/>
        <v>1</v>
      </c>
      <c r="AH447" s="1">
        <f t="shared" si="149"/>
        <v>0</v>
      </c>
      <c r="AI447" s="1">
        <f t="shared" si="150"/>
        <v>1</v>
      </c>
    </row>
    <row r="448" spans="1:35" ht="14.25" customHeight="1" x14ac:dyDescent="0.25">
      <c r="A448" s="31">
        <v>0</v>
      </c>
      <c r="B448" s="31">
        <v>2</v>
      </c>
      <c r="C448" s="31">
        <v>7</v>
      </c>
      <c r="D448" s="32" t="s">
        <v>1793</v>
      </c>
      <c r="E448" s="32" t="s">
        <v>1794</v>
      </c>
      <c r="F448" s="32" t="s">
        <v>1795</v>
      </c>
      <c r="G448" s="32" t="s">
        <v>206</v>
      </c>
      <c r="H448" s="32" t="s">
        <v>352</v>
      </c>
      <c r="I448" s="31" t="s">
        <v>30</v>
      </c>
      <c r="J448" s="31"/>
      <c r="K448" s="33" t="s">
        <v>694</v>
      </c>
      <c r="L448" s="33">
        <v>20</v>
      </c>
      <c r="M448" s="34" t="s">
        <v>1796</v>
      </c>
      <c r="N448" s="34" t="s">
        <v>1705</v>
      </c>
      <c r="O448" s="35">
        <v>1</v>
      </c>
      <c r="P448" s="35"/>
      <c r="Q448" s="32"/>
      <c r="S448" s="1">
        <f t="shared" si="135"/>
        <v>0</v>
      </c>
      <c r="T448" s="1">
        <f t="shared" si="136"/>
        <v>0</v>
      </c>
      <c r="U448" s="1">
        <f t="shared" si="137"/>
        <v>0</v>
      </c>
      <c r="V448" s="1">
        <f t="shared" si="138"/>
        <v>0</v>
      </c>
      <c r="W448" s="1">
        <f t="shared" si="139"/>
        <v>0</v>
      </c>
      <c r="X448" s="1">
        <f t="shared" si="140"/>
        <v>0</v>
      </c>
      <c r="Y448" s="1">
        <f t="shared" si="141"/>
        <v>0</v>
      </c>
      <c r="Z448" s="1">
        <f t="shared" si="142"/>
        <v>0</v>
      </c>
      <c r="AA448" s="1">
        <f t="shared" si="143"/>
        <v>0</v>
      </c>
      <c r="AB448" s="1">
        <f t="shared" si="144"/>
        <v>0</v>
      </c>
      <c r="AD448" s="1">
        <f t="shared" si="145"/>
        <v>0</v>
      </c>
      <c r="AE448" s="1">
        <f t="shared" si="146"/>
        <v>1</v>
      </c>
      <c r="AF448" s="1">
        <f t="shared" si="147"/>
        <v>0</v>
      </c>
      <c r="AG448" s="1">
        <f t="shared" si="148"/>
        <v>1</v>
      </c>
      <c r="AH448" s="1">
        <f t="shared" si="149"/>
        <v>0</v>
      </c>
      <c r="AI448" s="1">
        <f t="shared" si="150"/>
        <v>1</v>
      </c>
    </row>
    <row r="449" spans="1:35" ht="14.25" customHeight="1" x14ac:dyDescent="0.25">
      <c r="A449" s="31">
        <v>0</v>
      </c>
      <c r="B449" s="31">
        <v>2</v>
      </c>
      <c r="C449" s="31">
        <v>7</v>
      </c>
      <c r="D449" s="32" t="s">
        <v>1060</v>
      </c>
      <c r="E449" s="32" t="s">
        <v>540</v>
      </c>
      <c r="F449" s="32" t="s">
        <v>1041</v>
      </c>
      <c r="G449" s="32" t="s">
        <v>237</v>
      </c>
      <c r="H449" s="32" t="s">
        <v>352</v>
      </c>
      <c r="I449" s="31" t="s">
        <v>1042</v>
      </c>
      <c r="J449" s="31">
        <v>99</v>
      </c>
      <c r="K449" s="33" t="s">
        <v>936</v>
      </c>
      <c r="L449" s="33" t="s">
        <v>713</v>
      </c>
      <c r="M449" s="34" t="s">
        <v>1407</v>
      </c>
      <c r="N449" s="34" t="s">
        <v>1705</v>
      </c>
      <c r="O449" s="35">
        <v>1</v>
      </c>
      <c r="P449" s="35"/>
      <c r="Q449" s="32"/>
      <c r="S449" s="1">
        <f t="shared" si="135"/>
        <v>0</v>
      </c>
      <c r="T449" s="1">
        <f t="shared" si="136"/>
        <v>0</v>
      </c>
      <c r="U449" s="1">
        <f t="shared" si="137"/>
        <v>0</v>
      </c>
      <c r="V449" s="1">
        <f t="shared" si="138"/>
        <v>0</v>
      </c>
      <c r="W449" s="1">
        <f t="shared" si="139"/>
        <v>0</v>
      </c>
      <c r="X449" s="1">
        <f t="shared" si="140"/>
        <v>0</v>
      </c>
      <c r="Y449" s="1">
        <f t="shared" si="141"/>
        <v>0</v>
      </c>
      <c r="Z449" s="1">
        <f t="shared" si="142"/>
        <v>0</v>
      </c>
      <c r="AA449" s="1">
        <f t="shared" si="143"/>
        <v>0</v>
      </c>
      <c r="AB449" s="1">
        <f t="shared" si="144"/>
        <v>0</v>
      </c>
      <c r="AD449" s="1">
        <f t="shared" si="145"/>
        <v>0</v>
      </c>
      <c r="AE449" s="1">
        <f t="shared" si="146"/>
        <v>1</v>
      </c>
      <c r="AF449" s="1">
        <f t="shared" si="147"/>
        <v>0</v>
      </c>
      <c r="AG449" s="1">
        <f t="shared" si="148"/>
        <v>1</v>
      </c>
      <c r="AH449" s="1">
        <f t="shared" si="149"/>
        <v>0</v>
      </c>
      <c r="AI449" s="1">
        <f t="shared" si="150"/>
        <v>1</v>
      </c>
    </row>
    <row r="450" spans="1:35" ht="14.25" customHeight="1" x14ac:dyDescent="0.25">
      <c r="A450" s="31">
        <v>0</v>
      </c>
      <c r="B450" s="31">
        <v>2</v>
      </c>
      <c r="C450" s="31">
        <v>7</v>
      </c>
      <c r="D450" s="32" t="s">
        <v>1201</v>
      </c>
      <c r="E450" s="32" t="s">
        <v>155</v>
      </c>
      <c r="F450" s="32" t="s">
        <v>1202</v>
      </c>
      <c r="G450" s="32" t="s">
        <v>250</v>
      </c>
      <c r="H450" s="32" t="s">
        <v>352</v>
      </c>
      <c r="I450" s="31" t="s">
        <v>1203</v>
      </c>
      <c r="J450" s="31">
        <v>99</v>
      </c>
      <c r="K450" s="33" t="s">
        <v>704</v>
      </c>
      <c r="L450" s="33">
        <v>10</v>
      </c>
      <c r="M450" s="34" t="s">
        <v>1708</v>
      </c>
      <c r="N450" s="34" t="s">
        <v>1693</v>
      </c>
      <c r="O450" s="35">
        <v>1</v>
      </c>
      <c r="P450" s="35">
        <v>1</v>
      </c>
      <c r="Q450" s="32"/>
      <c r="S450" s="1">
        <f t="shared" si="135"/>
        <v>0</v>
      </c>
      <c r="T450" s="1">
        <f t="shared" si="136"/>
        <v>0</v>
      </c>
      <c r="U450" s="1">
        <f t="shared" si="137"/>
        <v>0</v>
      </c>
      <c r="V450" s="1">
        <f t="shared" si="138"/>
        <v>0</v>
      </c>
      <c r="W450" s="1">
        <f t="shared" si="139"/>
        <v>0</v>
      </c>
      <c r="X450" s="1">
        <f t="shared" si="140"/>
        <v>0</v>
      </c>
      <c r="Y450" s="1">
        <f t="shared" si="141"/>
        <v>0</v>
      </c>
      <c r="Z450" s="1">
        <f t="shared" si="142"/>
        <v>0</v>
      </c>
      <c r="AA450" s="1">
        <f t="shared" si="143"/>
        <v>0</v>
      </c>
      <c r="AB450" s="1">
        <f t="shared" si="144"/>
        <v>0</v>
      </c>
      <c r="AD450" s="1">
        <f t="shared" si="145"/>
        <v>1</v>
      </c>
      <c r="AE450" s="1">
        <f t="shared" si="146"/>
        <v>0</v>
      </c>
      <c r="AF450" s="1">
        <f t="shared" si="147"/>
        <v>1</v>
      </c>
      <c r="AG450" s="1">
        <f t="shared" si="148"/>
        <v>0</v>
      </c>
      <c r="AH450" s="1">
        <f t="shared" si="149"/>
        <v>1</v>
      </c>
      <c r="AI450" s="1">
        <f t="shared" si="150"/>
        <v>0</v>
      </c>
    </row>
    <row r="451" spans="1:35" ht="14.25" customHeight="1" x14ac:dyDescent="0.25">
      <c r="A451" s="31">
        <v>0</v>
      </c>
      <c r="B451" s="31">
        <v>2</v>
      </c>
      <c r="C451" s="31">
        <v>7</v>
      </c>
      <c r="D451" s="36" t="s">
        <v>1763</v>
      </c>
      <c r="E451" s="36" t="s">
        <v>28</v>
      </c>
      <c r="F451" s="36" t="s">
        <v>1764</v>
      </c>
      <c r="G451" s="36" t="s">
        <v>179</v>
      </c>
      <c r="H451" s="36" t="s">
        <v>352</v>
      </c>
      <c r="I451" s="37" t="s">
        <v>1765</v>
      </c>
      <c r="J451" s="31">
        <v>10</v>
      </c>
      <c r="K451" s="33" t="s">
        <v>694</v>
      </c>
      <c r="L451" s="33">
        <v>10</v>
      </c>
      <c r="M451" s="34"/>
      <c r="N451" s="34" t="s">
        <v>1693</v>
      </c>
      <c r="O451" s="35">
        <v>1</v>
      </c>
      <c r="P451" s="35">
        <v>1</v>
      </c>
      <c r="Q451" s="36"/>
      <c r="S451" s="1">
        <f t="shared" si="135"/>
        <v>0</v>
      </c>
      <c r="T451" s="1">
        <f t="shared" si="136"/>
        <v>0</v>
      </c>
      <c r="U451" s="1">
        <f t="shared" si="137"/>
        <v>0</v>
      </c>
      <c r="V451" s="1">
        <f t="shared" si="138"/>
        <v>0</v>
      </c>
      <c r="W451" s="1">
        <f t="shared" si="139"/>
        <v>0</v>
      </c>
      <c r="X451" s="1">
        <f t="shared" si="140"/>
        <v>0</v>
      </c>
      <c r="Y451" s="1">
        <f t="shared" si="141"/>
        <v>0</v>
      </c>
      <c r="Z451" s="1">
        <f t="shared" si="142"/>
        <v>0</v>
      </c>
      <c r="AA451" s="1">
        <f t="shared" si="143"/>
        <v>0</v>
      </c>
      <c r="AB451" s="1">
        <f t="shared" si="144"/>
        <v>1</v>
      </c>
      <c r="AD451" s="1">
        <f t="shared" si="145"/>
        <v>1</v>
      </c>
      <c r="AE451" s="1">
        <f t="shared" si="146"/>
        <v>0</v>
      </c>
      <c r="AF451" s="1">
        <f t="shared" si="147"/>
        <v>1</v>
      </c>
      <c r="AG451" s="1">
        <f t="shared" si="148"/>
        <v>0</v>
      </c>
      <c r="AH451" s="1">
        <f t="shared" si="149"/>
        <v>1</v>
      </c>
      <c r="AI451" s="1">
        <f t="shared" si="150"/>
        <v>0</v>
      </c>
    </row>
    <row r="452" spans="1:35" ht="14.25" customHeight="1" x14ac:dyDescent="0.25">
      <c r="A452" s="37">
        <v>0</v>
      </c>
      <c r="B452" s="37">
        <v>2</v>
      </c>
      <c r="C452" s="37">
        <v>7</v>
      </c>
      <c r="D452" s="36" t="s">
        <v>1552</v>
      </c>
      <c r="E452" s="36" t="s">
        <v>1618</v>
      </c>
      <c r="F452" s="36" t="s">
        <v>1553</v>
      </c>
      <c r="G452" s="36" t="s">
        <v>648</v>
      </c>
      <c r="H452" s="36" t="s">
        <v>352</v>
      </c>
      <c r="I452" s="37" t="s">
        <v>1554</v>
      </c>
      <c r="J452" s="37">
        <v>99</v>
      </c>
      <c r="K452" s="33" t="s">
        <v>704</v>
      </c>
      <c r="L452" s="33" t="s">
        <v>39</v>
      </c>
      <c r="M452" s="34" t="s">
        <v>39</v>
      </c>
      <c r="N452" s="34" t="s">
        <v>1693</v>
      </c>
      <c r="O452" s="35">
        <v>1</v>
      </c>
      <c r="P452" s="35">
        <v>1</v>
      </c>
      <c r="Q452" s="36"/>
      <c r="S452" s="1">
        <f t="shared" si="135"/>
        <v>0</v>
      </c>
      <c r="T452" s="1">
        <f t="shared" si="136"/>
        <v>0</v>
      </c>
      <c r="U452" s="1">
        <f t="shared" si="137"/>
        <v>0</v>
      </c>
      <c r="V452" s="1">
        <f t="shared" si="138"/>
        <v>0</v>
      </c>
      <c r="W452" s="1">
        <f t="shared" si="139"/>
        <v>0</v>
      </c>
      <c r="X452" s="1">
        <f t="shared" si="140"/>
        <v>0</v>
      </c>
      <c r="Y452" s="1">
        <f t="shared" si="141"/>
        <v>0</v>
      </c>
      <c r="Z452" s="1">
        <f t="shared" si="142"/>
        <v>0</v>
      </c>
      <c r="AA452" s="1">
        <f t="shared" si="143"/>
        <v>0</v>
      </c>
      <c r="AB452" s="1">
        <f t="shared" si="144"/>
        <v>0</v>
      </c>
      <c r="AD452" s="1">
        <f t="shared" si="145"/>
        <v>1</v>
      </c>
      <c r="AE452" s="1">
        <f t="shared" si="146"/>
        <v>0</v>
      </c>
      <c r="AF452" s="1">
        <f t="shared" si="147"/>
        <v>1</v>
      </c>
      <c r="AG452" s="1">
        <f t="shared" si="148"/>
        <v>0</v>
      </c>
      <c r="AH452" s="1">
        <f t="shared" si="149"/>
        <v>1</v>
      </c>
      <c r="AI452" s="1">
        <f t="shared" si="150"/>
        <v>0</v>
      </c>
    </row>
    <row r="453" spans="1:35" ht="14.25" customHeight="1" x14ac:dyDescent="0.25">
      <c r="A453" s="21">
        <v>0</v>
      </c>
      <c r="B453" s="21">
        <v>2</v>
      </c>
      <c r="C453" s="21">
        <v>7</v>
      </c>
      <c r="D453" s="20" t="s">
        <v>2140</v>
      </c>
      <c r="E453" s="20" t="s">
        <v>2141</v>
      </c>
      <c r="F453" s="20" t="s">
        <v>2143</v>
      </c>
      <c r="G453" s="20" t="s">
        <v>2144</v>
      </c>
      <c r="H453" s="20" t="s">
        <v>352</v>
      </c>
      <c r="I453" s="21" t="s">
        <v>2142</v>
      </c>
      <c r="J453" s="21">
        <v>99</v>
      </c>
      <c r="K453" s="10" t="s">
        <v>694</v>
      </c>
      <c r="L453" s="10" t="s">
        <v>704</v>
      </c>
      <c r="M453" s="19" t="s">
        <v>722</v>
      </c>
      <c r="N453" s="19"/>
      <c r="Q453" s="20" t="s">
        <v>2145</v>
      </c>
      <c r="S453" s="1">
        <f t="shared" si="135"/>
        <v>0</v>
      </c>
      <c r="T453" s="1">
        <f t="shared" si="136"/>
        <v>0</v>
      </c>
      <c r="U453" s="1">
        <f t="shared" si="137"/>
        <v>0</v>
      </c>
      <c r="V453" s="1">
        <f t="shared" si="138"/>
        <v>0</v>
      </c>
      <c r="W453" s="1">
        <f t="shared" si="139"/>
        <v>0</v>
      </c>
      <c r="X453" s="1">
        <f t="shared" si="140"/>
        <v>0</v>
      </c>
      <c r="Y453" s="1">
        <f t="shared" si="141"/>
        <v>0</v>
      </c>
      <c r="Z453" s="1">
        <f t="shared" si="142"/>
        <v>0</v>
      </c>
      <c r="AA453" s="1">
        <f t="shared" si="143"/>
        <v>0</v>
      </c>
      <c r="AB453" s="1">
        <f t="shared" si="144"/>
        <v>0</v>
      </c>
      <c r="AD453" s="1">
        <f t="shared" ref="AD453:AD455" si="151">+O453*P453</f>
        <v>0</v>
      </c>
      <c r="AE453" s="1">
        <f t="shared" ref="AE453:AE455" si="152">O453*(1-P453)</f>
        <v>0</v>
      </c>
      <c r="AF453" s="1">
        <f t="shared" ref="AF453:AF455" si="153">+O453*P453*(1-A453)</f>
        <v>0</v>
      </c>
      <c r="AG453" s="1">
        <f t="shared" ref="AG453:AG455" si="154">O453*(1-P453)*(1-A453)</f>
        <v>0</v>
      </c>
      <c r="AH453" s="1">
        <f t="shared" ref="AH453:AH455" si="155">+P453*(1-A453)</f>
        <v>0</v>
      </c>
      <c r="AI453" s="1">
        <f t="shared" ref="AI453:AI455" si="156">+(1-A453)*(1-P453)</f>
        <v>1</v>
      </c>
    </row>
    <row r="454" spans="1:35" ht="14.25" customHeight="1" x14ac:dyDescent="0.25">
      <c r="A454" s="31">
        <v>0</v>
      </c>
      <c r="B454" s="31">
        <v>2</v>
      </c>
      <c r="C454" s="31">
        <v>7</v>
      </c>
      <c r="D454" s="32" t="s">
        <v>1504</v>
      </c>
      <c r="E454" s="32" t="s">
        <v>28</v>
      </c>
      <c r="F454" s="32" t="s">
        <v>1629</v>
      </c>
      <c r="G454" s="32" t="s">
        <v>285</v>
      </c>
      <c r="H454" s="32" t="s">
        <v>352</v>
      </c>
      <c r="I454" s="31" t="s">
        <v>1654</v>
      </c>
      <c r="J454" s="31">
        <v>99</v>
      </c>
      <c r="K454" s="33" t="s">
        <v>704</v>
      </c>
      <c r="L454" s="33" t="s">
        <v>704</v>
      </c>
      <c r="M454" s="34" t="s">
        <v>722</v>
      </c>
      <c r="N454" s="34" t="s">
        <v>1705</v>
      </c>
      <c r="O454" s="35">
        <v>1</v>
      </c>
      <c r="P454" s="35"/>
      <c r="Q454" s="32"/>
      <c r="S454" s="1">
        <f t="shared" si="135"/>
        <v>0</v>
      </c>
      <c r="T454" s="1">
        <f t="shared" si="136"/>
        <v>0</v>
      </c>
      <c r="U454" s="1">
        <f t="shared" si="137"/>
        <v>0</v>
      </c>
      <c r="V454" s="1">
        <f t="shared" si="138"/>
        <v>0</v>
      </c>
      <c r="W454" s="1">
        <f t="shared" si="139"/>
        <v>0</v>
      </c>
      <c r="X454" s="1">
        <f t="shared" si="140"/>
        <v>0</v>
      </c>
      <c r="Y454" s="1">
        <f t="shared" si="141"/>
        <v>0</v>
      </c>
      <c r="Z454" s="1">
        <f t="shared" si="142"/>
        <v>0</v>
      </c>
      <c r="AA454" s="1">
        <f t="shared" si="143"/>
        <v>0</v>
      </c>
      <c r="AB454" s="1">
        <f t="shared" si="144"/>
        <v>0</v>
      </c>
      <c r="AD454" s="1">
        <f t="shared" si="151"/>
        <v>0</v>
      </c>
      <c r="AE454" s="1">
        <f t="shared" si="152"/>
        <v>1</v>
      </c>
      <c r="AF454" s="1">
        <f t="shared" si="153"/>
        <v>0</v>
      </c>
      <c r="AG454" s="1">
        <f t="shared" si="154"/>
        <v>1</v>
      </c>
      <c r="AH454" s="1">
        <f t="shared" si="155"/>
        <v>0</v>
      </c>
      <c r="AI454" s="1">
        <f t="shared" si="156"/>
        <v>1</v>
      </c>
    </row>
    <row r="455" spans="1:35" ht="14.25" customHeight="1" x14ac:dyDescent="0.25">
      <c r="A455" s="31">
        <v>0</v>
      </c>
      <c r="B455" s="31">
        <v>2</v>
      </c>
      <c r="C455" s="31">
        <v>7</v>
      </c>
      <c r="D455" s="32" t="s">
        <v>1302</v>
      </c>
      <c r="E455" s="32" t="s">
        <v>28</v>
      </c>
      <c r="F455" s="32" t="s">
        <v>565</v>
      </c>
      <c r="G455" s="32" t="s">
        <v>180</v>
      </c>
      <c r="H455" s="32" t="s">
        <v>352</v>
      </c>
      <c r="I455" s="31" t="s">
        <v>428</v>
      </c>
      <c r="J455" s="31">
        <v>7</v>
      </c>
      <c r="K455" s="33" t="s">
        <v>703</v>
      </c>
      <c r="L455" s="33" t="s">
        <v>704</v>
      </c>
      <c r="M455" s="34" t="s">
        <v>722</v>
      </c>
      <c r="N455" s="34" t="s">
        <v>1705</v>
      </c>
      <c r="O455" s="35">
        <v>1</v>
      </c>
      <c r="P455" s="35"/>
      <c r="Q455" s="32"/>
      <c r="S455" s="1">
        <f t="shared" si="135"/>
        <v>0</v>
      </c>
      <c r="T455" s="1">
        <f t="shared" si="136"/>
        <v>0</v>
      </c>
      <c r="U455" s="1">
        <f t="shared" si="137"/>
        <v>0</v>
      </c>
      <c r="V455" s="1">
        <f t="shared" si="138"/>
        <v>0</v>
      </c>
      <c r="W455" s="1">
        <f t="shared" si="139"/>
        <v>0</v>
      </c>
      <c r="X455" s="1">
        <f t="shared" si="140"/>
        <v>0</v>
      </c>
      <c r="Y455" s="1">
        <f t="shared" si="141"/>
        <v>1</v>
      </c>
      <c r="Z455" s="1">
        <f t="shared" si="142"/>
        <v>0</v>
      </c>
      <c r="AA455" s="1">
        <f t="shared" si="143"/>
        <v>0</v>
      </c>
      <c r="AB455" s="1">
        <f t="shared" si="144"/>
        <v>0</v>
      </c>
      <c r="AD455" s="1">
        <f t="shared" si="151"/>
        <v>0</v>
      </c>
      <c r="AE455" s="1">
        <f t="shared" si="152"/>
        <v>1</v>
      </c>
      <c r="AF455" s="1">
        <f t="shared" si="153"/>
        <v>0</v>
      </c>
      <c r="AG455" s="1">
        <f t="shared" si="154"/>
        <v>1</v>
      </c>
      <c r="AH455" s="1">
        <f t="shared" si="155"/>
        <v>0</v>
      </c>
      <c r="AI455" s="1">
        <f t="shared" si="156"/>
        <v>1</v>
      </c>
    </row>
    <row r="456" spans="1:35" ht="14.25" customHeight="1" x14ac:dyDescent="0.25">
      <c r="A456" s="31">
        <v>0</v>
      </c>
      <c r="B456" s="31">
        <v>2</v>
      </c>
      <c r="C456" s="31">
        <v>7</v>
      </c>
      <c r="D456" s="32" t="s">
        <v>72</v>
      </c>
      <c r="E456" s="32" t="s">
        <v>28</v>
      </c>
      <c r="F456" s="32" t="s">
        <v>260</v>
      </c>
      <c r="G456" s="32" t="s">
        <v>219</v>
      </c>
      <c r="H456" s="32" t="s">
        <v>352</v>
      </c>
      <c r="I456" s="31" t="s">
        <v>418</v>
      </c>
      <c r="J456" s="31">
        <v>8</v>
      </c>
      <c r="K456" s="33" t="s">
        <v>704</v>
      </c>
      <c r="L456" s="33" t="s">
        <v>704</v>
      </c>
      <c r="M456" s="34" t="s">
        <v>722</v>
      </c>
      <c r="N456" s="34" t="s">
        <v>1705</v>
      </c>
      <c r="O456" s="35">
        <v>1</v>
      </c>
      <c r="P456" s="35"/>
      <c r="Q456" s="32"/>
      <c r="S456" s="1">
        <f t="shared" si="135"/>
        <v>0</v>
      </c>
      <c r="T456" s="1">
        <f t="shared" si="136"/>
        <v>0</v>
      </c>
      <c r="U456" s="1">
        <f t="shared" si="137"/>
        <v>0</v>
      </c>
      <c r="V456" s="1">
        <f t="shared" si="138"/>
        <v>0</v>
      </c>
      <c r="W456" s="1">
        <f t="shared" si="139"/>
        <v>0</v>
      </c>
      <c r="X456" s="1">
        <f t="shared" si="140"/>
        <v>0</v>
      </c>
      <c r="Y456" s="1">
        <f t="shared" si="141"/>
        <v>0</v>
      </c>
      <c r="Z456" s="1">
        <f t="shared" si="142"/>
        <v>1</v>
      </c>
      <c r="AA456" s="1">
        <f t="shared" si="143"/>
        <v>0</v>
      </c>
      <c r="AB456" s="1">
        <f t="shared" si="144"/>
        <v>0</v>
      </c>
      <c r="AD456" s="1">
        <f t="shared" si="145"/>
        <v>0</v>
      </c>
      <c r="AE456" s="1">
        <f t="shared" si="146"/>
        <v>1</v>
      </c>
      <c r="AF456" s="1">
        <f t="shared" si="147"/>
        <v>0</v>
      </c>
      <c r="AG456" s="1">
        <f t="shared" si="148"/>
        <v>1</v>
      </c>
      <c r="AH456" s="1">
        <f t="shared" si="149"/>
        <v>0</v>
      </c>
      <c r="AI456" s="1">
        <f t="shared" si="150"/>
        <v>1</v>
      </c>
    </row>
    <row r="457" spans="1:35" ht="14.25" customHeight="1" x14ac:dyDescent="0.25">
      <c r="A457" s="31">
        <v>1</v>
      </c>
      <c r="B457" s="31">
        <v>2</v>
      </c>
      <c r="C457" s="31">
        <v>7</v>
      </c>
      <c r="D457" s="32" t="s">
        <v>72</v>
      </c>
      <c r="E457" s="32" t="s">
        <v>28</v>
      </c>
      <c r="F457" s="32" t="s">
        <v>259</v>
      </c>
      <c r="G457" s="32" t="s">
        <v>177</v>
      </c>
      <c r="H457" s="32" t="s">
        <v>352</v>
      </c>
      <c r="I457" s="31" t="s">
        <v>417</v>
      </c>
      <c r="J457" s="31">
        <v>1</v>
      </c>
      <c r="K457" s="33" t="s">
        <v>704</v>
      </c>
      <c r="L457" s="33" t="s">
        <v>704</v>
      </c>
      <c r="M457" s="34" t="s">
        <v>722</v>
      </c>
      <c r="N457" s="34" t="s">
        <v>1705</v>
      </c>
      <c r="O457" s="35">
        <v>1</v>
      </c>
      <c r="P457" s="35"/>
      <c r="Q457" s="32"/>
      <c r="S457" s="1">
        <f t="shared" si="135"/>
        <v>1</v>
      </c>
      <c r="T457" s="1">
        <f t="shared" si="136"/>
        <v>0</v>
      </c>
      <c r="U457" s="1">
        <f t="shared" si="137"/>
        <v>0</v>
      </c>
      <c r="V457" s="1">
        <f t="shared" si="138"/>
        <v>0</v>
      </c>
      <c r="W457" s="1">
        <f t="shared" si="139"/>
        <v>0</v>
      </c>
      <c r="X457" s="1">
        <f t="shared" si="140"/>
        <v>0</v>
      </c>
      <c r="Y457" s="1">
        <f t="shared" si="141"/>
        <v>0</v>
      </c>
      <c r="Z457" s="1">
        <f t="shared" si="142"/>
        <v>0</v>
      </c>
      <c r="AA457" s="1">
        <f t="shared" si="143"/>
        <v>0</v>
      </c>
      <c r="AB457" s="1">
        <f t="shared" si="144"/>
        <v>0</v>
      </c>
      <c r="AD457" s="1">
        <f t="shared" si="145"/>
        <v>0</v>
      </c>
      <c r="AE457" s="1">
        <f t="shared" si="146"/>
        <v>1</v>
      </c>
      <c r="AF457" s="1">
        <f t="shared" si="147"/>
        <v>0</v>
      </c>
      <c r="AG457" s="1">
        <f t="shared" si="148"/>
        <v>0</v>
      </c>
      <c r="AH457" s="1">
        <f t="shared" si="149"/>
        <v>0</v>
      </c>
      <c r="AI457" s="1">
        <f t="shared" si="150"/>
        <v>0</v>
      </c>
    </row>
    <row r="458" spans="1:35" ht="14.25" customHeight="1" x14ac:dyDescent="0.25">
      <c r="A458" s="31">
        <v>0</v>
      </c>
      <c r="B458" s="31">
        <v>2</v>
      </c>
      <c r="C458" s="31">
        <v>7</v>
      </c>
      <c r="D458" s="32" t="s">
        <v>763</v>
      </c>
      <c r="E458" s="32" t="s">
        <v>28</v>
      </c>
      <c r="F458" s="32" t="s">
        <v>764</v>
      </c>
      <c r="G458" s="32" t="s">
        <v>278</v>
      </c>
      <c r="H458" s="32" t="s">
        <v>352</v>
      </c>
      <c r="I458" s="31" t="s">
        <v>765</v>
      </c>
      <c r="J458" s="31">
        <v>99</v>
      </c>
      <c r="K458" s="33" t="s">
        <v>704</v>
      </c>
      <c r="L458" s="33" t="s">
        <v>704</v>
      </c>
      <c r="M458" s="34" t="s">
        <v>722</v>
      </c>
      <c r="N458" s="34" t="s">
        <v>1705</v>
      </c>
      <c r="O458" s="35">
        <v>1</v>
      </c>
      <c r="P458" s="35"/>
      <c r="Q458" s="32"/>
      <c r="S458" s="1">
        <f t="shared" si="135"/>
        <v>0</v>
      </c>
      <c r="T458" s="1">
        <f t="shared" si="136"/>
        <v>0</v>
      </c>
      <c r="U458" s="1">
        <f t="shared" si="137"/>
        <v>0</v>
      </c>
      <c r="V458" s="1">
        <f t="shared" si="138"/>
        <v>0</v>
      </c>
      <c r="W458" s="1">
        <f t="shared" si="139"/>
        <v>0</v>
      </c>
      <c r="X458" s="1">
        <f t="shared" si="140"/>
        <v>0</v>
      </c>
      <c r="Y458" s="1">
        <f t="shared" si="141"/>
        <v>0</v>
      </c>
      <c r="Z458" s="1">
        <f t="shared" si="142"/>
        <v>0</v>
      </c>
      <c r="AA458" s="1">
        <f t="shared" si="143"/>
        <v>0</v>
      </c>
      <c r="AB458" s="1">
        <f t="shared" si="144"/>
        <v>0</v>
      </c>
      <c r="AD458" s="1">
        <f t="shared" si="145"/>
        <v>0</v>
      </c>
      <c r="AE458" s="1">
        <f t="shared" si="146"/>
        <v>1</v>
      </c>
      <c r="AF458" s="1">
        <f t="shared" si="147"/>
        <v>0</v>
      </c>
      <c r="AG458" s="1">
        <f t="shared" si="148"/>
        <v>1</v>
      </c>
      <c r="AH458" s="1">
        <f t="shared" si="149"/>
        <v>0</v>
      </c>
      <c r="AI458" s="1">
        <f t="shared" si="150"/>
        <v>1</v>
      </c>
    </row>
    <row r="459" spans="1:35" ht="14.25" customHeight="1" x14ac:dyDescent="0.25">
      <c r="A459" s="31">
        <v>0</v>
      </c>
      <c r="B459" s="31">
        <v>2</v>
      </c>
      <c r="C459" s="31">
        <v>7</v>
      </c>
      <c r="D459" s="32" t="s">
        <v>85</v>
      </c>
      <c r="E459" s="32" t="s">
        <v>28</v>
      </c>
      <c r="F459" s="32" t="s">
        <v>277</v>
      </c>
      <c r="G459" s="32" t="s">
        <v>278</v>
      </c>
      <c r="H459" s="32" t="s">
        <v>352</v>
      </c>
      <c r="I459" s="31" t="s">
        <v>432</v>
      </c>
      <c r="J459" s="31">
        <v>99</v>
      </c>
      <c r="K459" s="33" t="s">
        <v>704</v>
      </c>
      <c r="L459" s="33" t="s">
        <v>704</v>
      </c>
      <c r="M459" s="34" t="s">
        <v>722</v>
      </c>
      <c r="N459" s="34" t="s">
        <v>1705</v>
      </c>
      <c r="O459" s="35">
        <v>1</v>
      </c>
      <c r="P459" s="35"/>
      <c r="Q459" s="32"/>
      <c r="S459" s="1">
        <f t="shared" si="135"/>
        <v>0</v>
      </c>
      <c r="T459" s="1">
        <f t="shared" si="136"/>
        <v>0</v>
      </c>
      <c r="U459" s="1">
        <f t="shared" si="137"/>
        <v>0</v>
      </c>
      <c r="V459" s="1">
        <f t="shared" si="138"/>
        <v>0</v>
      </c>
      <c r="W459" s="1">
        <f t="shared" si="139"/>
        <v>0</v>
      </c>
      <c r="X459" s="1">
        <f t="shared" si="140"/>
        <v>0</v>
      </c>
      <c r="Y459" s="1">
        <f t="shared" si="141"/>
        <v>0</v>
      </c>
      <c r="Z459" s="1">
        <f t="shared" si="142"/>
        <v>0</v>
      </c>
      <c r="AA459" s="1">
        <f t="shared" si="143"/>
        <v>0</v>
      </c>
      <c r="AB459" s="1">
        <f t="shared" si="144"/>
        <v>0</v>
      </c>
      <c r="AD459" s="1">
        <f t="shared" si="145"/>
        <v>0</v>
      </c>
      <c r="AE459" s="1">
        <f t="shared" si="146"/>
        <v>1</v>
      </c>
      <c r="AF459" s="1">
        <f t="shared" si="147"/>
        <v>0</v>
      </c>
      <c r="AG459" s="1">
        <f t="shared" si="148"/>
        <v>1</v>
      </c>
      <c r="AH459" s="1">
        <f t="shared" si="149"/>
        <v>0</v>
      </c>
      <c r="AI459" s="1">
        <f t="shared" si="150"/>
        <v>1</v>
      </c>
    </row>
    <row r="460" spans="1:35" ht="14.25" customHeight="1" x14ac:dyDescent="0.25">
      <c r="A460" s="37">
        <v>0</v>
      </c>
      <c r="B460" s="37">
        <v>2</v>
      </c>
      <c r="C460" s="37">
        <v>7</v>
      </c>
      <c r="D460" s="36" t="s">
        <v>1896</v>
      </c>
      <c r="E460" s="36" t="s">
        <v>28</v>
      </c>
      <c r="F460" s="36" t="s">
        <v>1897</v>
      </c>
      <c r="G460" s="36" t="s">
        <v>184</v>
      </c>
      <c r="H460" s="36" t="s">
        <v>352</v>
      </c>
      <c r="I460" s="37" t="s">
        <v>1898</v>
      </c>
      <c r="J460" s="37">
        <v>99</v>
      </c>
      <c r="K460" s="33" t="s">
        <v>694</v>
      </c>
      <c r="L460" s="33">
        <v>4</v>
      </c>
      <c r="M460" s="34" t="s">
        <v>722</v>
      </c>
      <c r="N460" s="34" t="s">
        <v>1705</v>
      </c>
      <c r="O460" s="35">
        <v>1</v>
      </c>
      <c r="P460" s="35"/>
      <c r="Q460" s="36" t="s">
        <v>1899</v>
      </c>
      <c r="S460" s="1">
        <f t="shared" si="135"/>
        <v>0</v>
      </c>
      <c r="T460" s="1">
        <f t="shared" si="136"/>
        <v>0</v>
      </c>
      <c r="U460" s="1">
        <f t="shared" si="137"/>
        <v>0</v>
      </c>
      <c r="V460" s="1">
        <f t="shared" si="138"/>
        <v>0</v>
      </c>
      <c r="W460" s="1">
        <f t="shared" si="139"/>
        <v>0</v>
      </c>
      <c r="X460" s="1">
        <f t="shared" si="140"/>
        <v>0</v>
      </c>
      <c r="Y460" s="1">
        <f t="shared" si="141"/>
        <v>0</v>
      </c>
      <c r="Z460" s="1">
        <f t="shared" si="142"/>
        <v>0</v>
      </c>
      <c r="AA460" s="1">
        <f t="shared" si="143"/>
        <v>0</v>
      </c>
      <c r="AB460" s="1">
        <f t="shared" si="144"/>
        <v>0</v>
      </c>
      <c r="AD460" s="1">
        <f t="shared" si="145"/>
        <v>0</v>
      </c>
      <c r="AE460" s="1">
        <f t="shared" si="146"/>
        <v>1</v>
      </c>
      <c r="AF460" s="1">
        <f t="shared" si="147"/>
        <v>0</v>
      </c>
      <c r="AG460" s="1">
        <f t="shared" si="148"/>
        <v>1</v>
      </c>
      <c r="AH460" s="1">
        <f t="shared" si="149"/>
        <v>0</v>
      </c>
      <c r="AI460" s="1">
        <f t="shared" si="150"/>
        <v>1</v>
      </c>
    </row>
    <row r="461" spans="1:35" ht="14.25" customHeight="1" x14ac:dyDescent="0.25">
      <c r="A461" s="37">
        <v>0</v>
      </c>
      <c r="B461" s="37">
        <v>2</v>
      </c>
      <c r="C461" s="37">
        <v>7</v>
      </c>
      <c r="D461" s="36" t="s">
        <v>549</v>
      </c>
      <c r="E461" s="36" t="s">
        <v>28</v>
      </c>
      <c r="F461" s="36" t="s">
        <v>1835</v>
      </c>
      <c r="G461" s="36" t="s">
        <v>552</v>
      </c>
      <c r="H461" s="36" t="s">
        <v>352</v>
      </c>
      <c r="I461" s="37" t="s">
        <v>553</v>
      </c>
      <c r="J461" s="37">
        <v>99</v>
      </c>
      <c r="K461" s="33" t="s">
        <v>704</v>
      </c>
      <c r="L461" s="33" t="s">
        <v>704</v>
      </c>
      <c r="M461" s="34" t="s">
        <v>722</v>
      </c>
      <c r="N461" s="34" t="s">
        <v>1785</v>
      </c>
      <c r="O461" s="35">
        <v>1</v>
      </c>
      <c r="P461" s="35"/>
      <c r="Q461" s="36"/>
      <c r="S461" s="1">
        <f t="shared" si="135"/>
        <v>0</v>
      </c>
      <c r="T461" s="1">
        <f t="shared" si="136"/>
        <v>0</v>
      </c>
      <c r="U461" s="1">
        <f t="shared" si="137"/>
        <v>0</v>
      </c>
      <c r="V461" s="1">
        <f t="shared" si="138"/>
        <v>0</v>
      </c>
      <c r="W461" s="1">
        <f t="shared" si="139"/>
        <v>0</v>
      </c>
      <c r="X461" s="1">
        <f t="shared" si="140"/>
        <v>0</v>
      </c>
      <c r="Y461" s="1">
        <f t="shared" si="141"/>
        <v>0</v>
      </c>
      <c r="Z461" s="1">
        <f t="shared" si="142"/>
        <v>0</v>
      </c>
      <c r="AA461" s="1">
        <f t="shared" si="143"/>
        <v>0</v>
      </c>
      <c r="AB461" s="1">
        <f t="shared" si="144"/>
        <v>0</v>
      </c>
      <c r="AD461" s="1">
        <f t="shared" si="145"/>
        <v>0</v>
      </c>
      <c r="AE461" s="1">
        <f t="shared" si="146"/>
        <v>1</v>
      </c>
      <c r="AF461" s="1">
        <f t="shared" si="147"/>
        <v>0</v>
      </c>
      <c r="AG461" s="1">
        <f t="shared" si="148"/>
        <v>1</v>
      </c>
      <c r="AH461" s="1">
        <f t="shared" si="149"/>
        <v>0</v>
      </c>
      <c r="AI461" s="1">
        <f t="shared" si="150"/>
        <v>1</v>
      </c>
    </row>
    <row r="462" spans="1:35" ht="14.25" customHeight="1" x14ac:dyDescent="0.25">
      <c r="A462" s="37">
        <v>1</v>
      </c>
      <c r="B462" s="37">
        <v>2</v>
      </c>
      <c r="C462" s="37">
        <v>7</v>
      </c>
      <c r="D462" s="36" t="s">
        <v>549</v>
      </c>
      <c r="E462" s="36" t="s">
        <v>28</v>
      </c>
      <c r="F462" s="36" t="s">
        <v>1836</v>
      </c>
      <c r="G462" s="36" t="s">
        <v>550</v>
      </c>
      <c r="H462" s="36" t="s">
        <v>352</v>
      </c>
      <c r="I462" s="37" t="s">
        <v>551</v>
      </c>
      <c r="J462" s="37">
        <v>99</v>
      </c>
      <c r="K462" s="33" t="s">
        <v>704</v>
      </c>
      <c r="L462" s="33" t="s">
        <v>704</v>
      </c>
      <c r="M462" s="34" t="s">
        <v>722</v>
      </c>
      <c r="N462" s="34" t="s">
        <v>1785</v>
      </c>
      <c r="O462" s="35">
        <v>1</v>
      </c>
      <c r="P462" s="35"/>
      <c r="Q462" s="36"/>
      <c r="S462" s="1">
        <f t="shared" si="135"/>
        <v>0</v>
      </c>
      <c r="T462" s="1">
        <f t="shared" si="136"/>
        <v>0</v>
      </c>
      <c r="U462" s="1">
        <f t="shared" si="137"/>
        <v>0</v>
      </c>
      <c r="V462" s="1">
        <f t="shared" si="138"/>
        <v>0</v>
      </c>
      <c r="W462" s="1">
        <f t="shared" si="139"/>
        <v>0</v>
      </c>
      <c r="X462" s="1">
        <f t="shared" si="140"/>
        <v>0</v>
      </c>
      <c r="Y462" s="1">
        <f t="shared" si="141"/>
        <v>0</v>
      </c>
      <c r="Z462" s="1">
        <f t="shared" si="142"/>
        <v>0</v>
      </c>
      <c r="AA462" s="1">
        <f t="shared" si="143"/>
        <v>0</v>
      </c>
      <c r="AB462" s="1">
        <f t="shared" si="144"/>
        <v>0</v>
      </c>
      <c r="AD462" s="1">
        <f t="shared" si="145"/>
        <v>0</v>
      </c>
      <c r="AE462" s="1">
        <f t="shared" si="146"/>
        <v>1</v>
      </c>
      <c r="AF462" s="1">
        <f t="shared" si="147"/>
        <v>0</v>
      </c>
      <c r="AG462" s="1">
        <f t="shared" si="148"/>
        <v>0</v>
      </c>
      <c r="AH462" s="1">
        <f t="shared" si="149"/>
        <v>0</v>
      </c>
      <c r="AI462" s="1">
        <f t="shared" si="150"/>
        <v>0</v>
      </c>
    </row>
    <row r="463" spans="1:35" ht="14.25" customHeight="1" x14ac:dyDescent="0.25">
      <c r="A463" s="31">
        <v>0</v>
      </c>
      <c r="B463" s="31">
        <v>2</v>
      </c>
      <c r="C463" s="31">
        <v>7</v>
      </c>
      <c r="D463" s="32" t="s">
        <v>1160</v>
      </c>
      <c r="E463" s="32" t="s">
        <v>28</v>
      </c>
      <c r="F463" s="32" t="s">
        <v>1644</v>
      </c>
      <c r="G463" s="32" t="s">
        <v>234</v>
      </c>
      <c r="H463" s="32" t="s">
        <v>352</v>
      </c>
      <c r="I463" s="31" t="s">
        <v>1338</v>
      </c>
      <c r="J463" s="31">
        <v>99</v>
      </c>
      <c r="K463" s="33" t="s">
        <v>703</v>
      </c>
      <c r="L463" s="33" t="s">
        <v>704</v>
      </c>
      <c r="M463" s="34" t="s">
        <v>722</v>
      </c>
      <c r="N463" s="34" t="s">
        <v>1705</v>
      </c>
      <c r="O463" s="35">
        <v>1</v>
      </c>
      <c r="P463" s="35"/>
      <c r="Q463" s="32"/>
      <c r="S463" s="1">
        <f t="shared" si="135"/>
        <v>0</v>
      </c>
      <c r="T463" s="1">
        <f t="shared" si="136"/>
        <v>0</v>
      </c>
      <c r="U463" s="1">
        <f t="shared" si="137"/>
        <v>0</v>
      </c>
      <c r="V463" s="1">
        <f t="shared" si="138"/>
        <v>0</v>
      </c>
      <c r="W463" s="1">
        <f t="shared" si="139"/>
        <v>0</v>
      </c>
      <c r="X463" s="1">
        <f t="shared" si="140"/>
        <v>0</v>
      </c>
      <c r="Y463" s="1">
        <f t="shared" si="141"/>
        <v>0</v>
      </c>
      <c r="Z463" s="1">
        <f t="shared" si="142"/>
        <v>0</v>
      </c>
      <c r="AA463" s="1">
        <f t="shared" si="143"/>
        <v>0</v>
      </c>
      <c r="AB463" s="1">
        <f t="shared" si="144"/>
        <v>0</v>
      </c>
      <c r="AD463" s="1">
        <f t="shared" si="145"/>
        <v>0</v>
      </c>
      <c r="AE463" s="1">
        <f t="shared" si="146"/>
        <v>1</v>
      </c>
      <c r="AF463" s="1">
        <f t="shared" si="147"/>
        <v>0</v>
      </c>
      <c r="AG463" s="1">
        <f t="shared" si="148"/>
        <v>1</v>
      </c>
      <c r="AH463" s="1">
        <f t="shared" si="149"/>
        <v>0</v>
      </c>
      <c r="AI463" s="1">
        <f t="shared" si="150"/>
        <v>1</v>
      </c>
    </row>
    <row r="464" spans="1:35" ht="14.25" customHeight="1" x14ac:dyDescent="0.25">
      <c r="A464" s="31">
        <v>1</v>
      </c>
      <c r="B464" s="31">
        <v>2</v>
      </c>
      <c r="C464" s="31">
        <v>7</v>
      </c>
      <c r="D464" s="32" t="s">
        <v>1160</v>
      </c>
      <c r="E464" s="32" t="s">
        <v>28</v>
      </c>
      <c r="F464" s="32" t="s">
        <v>1645</v>
      </c>
      <c r="G464" s="32" t="s">
        <v>1325</v>
      </c>
      <c r="H464" s="32" t="s">
        <v>352</v>
      </c>
      <c r="I464" s="31" t="s">
        <v>1339</v>
      </c>
      <c r="J464" s="31">
        <v>99</v>
      </c>
      <c r="K464" s="33" t="s">
        <v>703</v>
      </c>
      <c r="L464" s="33" t="s">
        <v>704</v>
      </c>
      <c r="M464" s="34" t="s">
        <v>722</v>
      </c>
      <c r="N464" s="34" t="s">
        <v>1705</v>
      </c>
      <c r="O464" s="35">
        <v>1</v>
      </c>
      <c r="P464" s="35"/>
      <c r="Q464" s="32"/>
      <c r="S464" s="1">
        <f t="shared" si="135"/>
        <v>0</v>
      </c>
      <c r="T464" s="1">
        <f t="shared" si="136"/>
        <v>0</v>
      </c>
      <c r="U464" s="1">
        <f t="shared" si="137"/>
        <v>0</v>
      </c>
      <c r="V464" s="1">
        <f t="shared" si="138"/>
        <v>0</v>
      </c>
      <c r="W464" s="1">
        <f t="shared" si="139"/>
        <v>0</v>
      </c>
      <c r="X464" s="1">
        <f t="shared" si="140"/>
        <v>0</v>
      </c>
      <c r="Y464" s="1">
        <f t="shared" si="141"/>
        <v>0</v>
      </c>
      <c r="Z464" s="1">
        <f t="shared" si="142"/>
        <v>0</v>
      </c>
      <c r="AA464" s="1">
        <f t="shared" si="143"/>
        <v>0</v>
      </c>
      <c r="AB464" s="1">
        <f t="shared" si="144"/>
        <v>0</v>
      </c>
      <c r="AD464" s="1">
        <f t="shared" si="145"/>
        <v>0</v>
      </c>
      <c r="AE464" s="1">
        <f t="shared" si="146"/>
        <v>1</v>
      </c>
      <c r="AF464" s="1">
        <f t="shared" si="147"/>
        <v>0</v>
      </c>
      <c r="AG464" s="1">
        <f t="shared" si="148"/>
        <v>0</v>
      </c>
      <c r="AH464" s="1">
        <f t="shared" si="149"/>
        <v>0</v>
      </c>
      <c r="AI464" s="1">
        <f t="shared" si="150"/>
        <v>0</v>
      </c>
    </row>
    <row r="465" spans="1:35" ht="14.25" customHeight="1" x14ac:dyDescent="0.25">
      <c r="A465" s="31">
        <v>0</v>
      </c>
      <c r="B465" s="31">
        <v>2</v>
      </c>
      <c r="C465" s="31">
        <v>7</v>
      </c>
      <c r="D465" s="32" t="s">
        <v>1228</v>
      </c>
      <c r="E465" s="32" t="s">
        <v>28</v>
      </c>
      <c r="F465" s="32" t="s">
        <v>1227</v>
      </c>
      <c r="G465" s="32" t="s">
        <v>1212</v>
      </c>
      <c r="H465" s="32" t="s">
        <v>352</v>
      </c>
      <c r="I465" s="31" t="s">
        <v>1229</v>
      </c>
      <c r="J465" s="31">
        <v>99</v>
      </c>
      <c r="K465" s="33" t="s">
        <v>694</v>
      </c>
      <c r="L465" s="33" t="s">
        <v>704</v>
      </c>
      <c r="M465" s="34" t="s">
        <v>722</v>
      </c>
      <c r="N465" s="34" t="s">
        <v>1705</v>
      </c>
      <c r="O465" s="35">
        <v>1</v>
      </c>
      <c r="P465" s="35"/>
      <c r="Q465" s="32"/>
      <c r="S465" s="1">
        <f t="shared" si="135"/>
        <v>0</v>
      </c>
      <c r="T465" s="1">
        <f t="shared" si="136"/>
        <v>0</v>
      </c>
      <c r="U465" s="1">
        <f t="shared" si="137"/>
        <v>0</v>
      </c>
      <c r="V465" s="1">
        <f t="shared" si="138"/>
        <v>0</v>
      </c>
      <c r="W465" s="1">
        <f t="shared" si="139"/>
        <v>0</v>
      </c>
      <c r="X465" s="1">
        <f t="shared" si="140"/>
        <v>0</v>
      </c>
      <c r="Y465" s="1">
        <f t="shared" si="141"/>
        <v>0</v>
      </c>
      <c r="Z465" s="1">
        <f t="shared" si="142"/>
        <v>0</v>
      </c>
      <c r="AA465" s="1">
        <f t="shared" si="143"/>
        <v>0</v>
      </c>
      <c r="AB465" s="1">
        <f t="shared" si="144"/>
        <v>0</v>
      </c>
      <c r="AD465" s="1">
        <f t="shared" si="145"/>
        <v>0</v>
      </c>
      <c r="AE465" s="1">
        <f t="shared" si="146"/>
        <v>1</v>
      </c>
      <c r="AF465" s="1">
        <f t="shared" si="147"/>
        <v>0</v>
      </c>
      <c r="AG465" s="1">
        <f t="shared" si="148"/>
        <v>1</v>
      </c>
      <c r="AH465" s="1">
        <f t="shared" si="149"/>
        <v>0</v>
      </c>
      <c r="AI465" s="1">
        <f t="shared" si="150"/>
        <v>1</v>
      </c>
    </row>
    <row r="466" spans="1:35" ht="14.25" customHeight="1" x14ac:dyDescent="0.25">
      <c r="A466" s="31">
        <v>1</v>
      </c>
      <c r="B466" s="31">
        <v>2</v>
      </c>
      <c r="C466" s="31">
        <v>7</v>
      </c>
      <c r="D466" s="32" t="s">
        <v>1228</v>
      </c>
      <c r="E466" s="32" t="s">
        <v>28</v>
      </c>
      <c r="F466" s="32" t="s">
        <v>1226</v>
      </c>
      <c r="G466" s="32" t="s">
        <v>39</v>
      </c>
      <c r="H466" s="32" t="s">
        <v>352</v>
      </c>
      <c r="I466" s="31" t="s">
        <v>1230</v>
      </c>
      <c r="J466" s="31">
        <v>9</v>
      </c>
      <c r="K466" s="33" t="s">
        <v>694</v>
      </c>
      <c r="L466" s="33" t="s">
        <v>704</v>
      </c>
      <c r="M466" s="34" t="s">
        <v>722</v>
      </c>
      <c r="N466" s="34" t="s">
        <v>1705</v>
      </c>
      <c r="O466" s="35">
        <v>1</v>
      </c>
      <c r="P466" s="35"/>
      <c r="Q466" s="32"/>
      <c r="S466" s="1">
        <f t="shared" si="135"/>
        <v>0</v>
      </c>
      <c r="T466" s="1">
        <f t="shared" si="136"/>
        <v>0</v>
      </c>
      <c r="U466" s="1">
        <f t="shared" si="137"/>
        <v>0</v>
      </c>
      <c r="V466" s="1">
        <f t="shared" si="138"/>
        <v>0</v>
      </c>
      <c r="W466" s="1">
        <f t="shared" si="139"/>
        <v>0</v>
      </c>
      <c r="X466" s="1">
        <f t="shared" si="140"/>
        <v>0</v>
      </c>
      <c r="Y466" s="1">
        <f t="shared" si="141"/>
        <v>0</v>
      </c>
      <c r="Z466" s="1">
        <f t="shared" si="142"/>
        <v>0</v>
      </c>
      <c r="AA466" s="1">
        <f t="shared" si="143"/>
        <v>1</v>
      </c>
      <c r="AB466" s="1">
        <f t="shared" si="144"/>
        <v>0</v>
      </c>
      <c r="AD466" s="1">
        <f t="shared" si="145"/>
        <v>0</v>
      </c>
      <c r="AE466" s="1">
        <f t="shared" si="146"/>
        <v>1</v>
      </c>
      <c r="AF466" s="1">
        <f t="shared" si="147"/>
        <v>0</v>
      </c>
      <c r="AG466" s="1">
        <f t="shared" si="148"/>
        <v>0</v>
      </c>
      <c r="AH466" s="1">
        <f t="shared" si="149"/>
        <v>0</v>
      </c>
      <c r="AI466" s="1">
        <f t="shared" si="150"/>
        <v>0</v>
      </c>
    </row>
    <row r="467" spans="1:35" ht="14.25" customHeight="1" x14ac:dyDescent="0.25">
      <c r="A467" s="31">
        <v>1</v>
      </c>
      <c r="B467" s="31">
        <v>2</v>
      </c>
      <c r="C467" s="31">
        <v>7</v>
      </c>
      <c r="D467" s="32" t="s">
        <v>1228</v>
      </c>
      <c r="E467" s="32" t="s">
        <v>28</v>
      </c>
      <c r="F467" s="36" t="s">
        <v>1784</v>
      </c>
      <c r="G467" s="36" t="s">
        <v>257</v>
      </c>
      <c r="H467" s="32" t="s">
        <v>352</v>
      </c>
      <c r="I467" s="37" t="s">
        <v>30</v>
      </c>
      <c r="J467" s="31">
        <v>8</v>
      </c>
      <c r="K467" s="33" t="s">
        <v>694</v>
      </c>
      <c r="L467" s="33" t="s">
        <v>704</v>
      </c>
      <c r="M467" s="34" t="s">
        <v>722</v>
      </c>
      <c r="N467" s="34" t="s">
        <v>1705</v>
      </c>
      <c r="O467" s="35">
        <v>1</v>
      </c>
      <c r="P467" s="35"/>
      <c r="Q467" s="32"/>
      <c r="S467" s="1">
        <f t="shared" si="135"/>
        <v>0</v>
      </c>
      <c r="T467" s="1">
        <f t="shared" si="136"/>
        <v>0</v>
      </c>
      <c r="U467" s="1">
        <f t="shared" si="137"/>
        <v>0</v>
      </c>
      <c r="V467" s="1">
        <f t="shared" si="138"/>
        <v>0</v>
      </c>
      <c r="W467" s="1">
        <f t="shared" si="139"/>
        <v>0</v>
      </c>
      <c r="X467" s="1">
        <f t="shared" si="140"/>
        <v>0</v>
      </c>
      <c r="Y467" s="1">
        <f t="shared" si="141"/>
        <v>0</v>
      </c>
      <c r="Z467" s="1">
        <f t="shared" si="142"/>
        <v>1</v>
      </c>
      <c r="AA467" s="1">
        <f t="shared" si="143"/>
        <v>0</v>
      </c>
      <c r="AB467" s="1">
        <f t="shared" si="144"/>
        <v>0</v>
      </c>
      <c r="AD467" s="1">
        <f t="shared" si="145"/>
        <v>0</v>
      </c>
      <c r="AE467" s="1">
        <f t="shared" si="146"/>
        <v>1</v>
      </c>
      <c r="AF467" s="1">
        <f t="shared" si="147"/>
        <v>0</v>
      </c>
      <c r="AG467" s="1">
        <f t="shared" si="148"/>
        <v>0</v>
      </c>
      <c r="AH467" s="1">
        <f t="shared" si="149"/>
        <v>0</v>
      </c>
      <c r="AI467" s="1">
        <f t="shared" si="150"/>
        <v>0</v>
      </c>
    </row>
    <row r="468" spans="1:35" ht="14.25" customHeight="1" x14ac:dyDescent="0.25">
      <c r="A468" s="31">
        <v>0</v>
      </c>
      <c r="B468" s="31">
        <v>2</v>
      </c>
      <c r="C468" s="31">
        <v>7</v>
      </c>
      <c r="D468" s="32" t="s">
        <v>51</v>
      </c>
      <c r="E468" s="32" t="s">
        <v>28</v>
      </c>
      <c r="F468" s="32" t="s">
        <v>666</v>
      </c>
      <c r="G468" s="32" t="s">
        <v>184</v>
      </c>
      <c r="H468" s="32" t="s">
        <v>352</v>
      </c>
      <c r="I468" s="31" t="s">
        <v>388</v>
      </c>
      <c r="J468" s="31">
        <v>99</v>
      </c>
      <c r="K468" s="33" t="s">
        <v>703</v>
      </c>
      <c r="L468" s="33" t="s">
        <v>704</v>
      </c>
      <c r="M468" s="34" t="s">
        <v>722</v>
      </c>
      <c r="N468" s="34" t="s">
        <v>1710</v>
      </c>
      <c r="O468" s="35">
        <v>1</v>
      </c>
      <c r="P468" s="35"/>
      <c r="Q468" s="32"/>
      <c r="S468" s="1">
        <f t="shared" si="135"/>
        <v>0</v>
      </c>
      <c r="T468" s="1">
        <f t="shared" si="136"/>
        <v>0</v>
      </c>
      <c r="U468" s="1">
        <f t="shared" si="137"/>
        <v>0</v>
      </c>
      <c r="V468" s="1">
        <f t="shared" si="138"/>
        <v>0</v>
      </c>
      <c r="W468" s="1">
        <f t="shared" si="139"/>
        <v>0</v>
      </c>
      <c r="X468" s="1">
        <f t="shared" si="140"/>
        <v>0</v>
      </c>
      <c r="Y468" s="1">
        <f t="shared" si="141"/>
        <v>0</v>
      </c>
      <c r="Z468" s="1">
        <f t="shared" si="142"/>
        <v>0</v>
      </c>
      <c r="AA468" s="1">
        <f t="shared" si="143"/>
        <v>0</v>
      </c>
      <c r="AB468" s="1">
        <f t="shared" si="144"/>
        <v>0</v>
      </c>
      <c r="AD468" s="1">
        <f t="shared" si="145"/>
        <v>0</v>
      </c>
      <c r="AE468" s="1">
        <f t="shared" si="146"/>
        <v>1</v>
      </c>
      <c r="AF468" s="1">
        <f t="shared" si="147"/>
        <v>0</v>
      </c>
      <c r="AG468" s="1">
        <f t="shared" si="148"/>
        <v>1</v>
      </c>
      <c r="AH468" s="1">
        <f t="shared" si="149"/>
        <v>0</v>
      </c>
      <c r="AI468" s="1">
        <f t="shared" si="150"/>
        <v>1</v>
      </c>
    </row>
    <row r="469" spans="1:35" ht="14.25" customHeight="1" x14ac:dyDescent="0.25">
      <c r="A469" s="31">
        <v>0</v>
      </c>
      <c r="B469" s="31">
        <v>2</v>
      </c>
      <c r="C469" s="31">
        <v>7</v>
      </c>
      <c r="D469" s="32" t="s">
        <v>1062</v>
      </c>
      <c r="E469" s="32" t="s">
        <v>28</v>
      </c>
      <c r="F469" s="32" t="s">
        <v>979</v>
      </c>
      <c r="G469" s="32" t="s">
        <v>239</v>
      </c>
      <c r="H469" s="32" t="s">
        <v>352</v>
      </c>
      <c r="I469" s="31" t="s">
        <v>1087</v>
      </c>
      <c r="J469" s="31">
        <v>1</v>
      </c>
      <c r="K469" s="33" t="s">
        <v>703</v>
      </c>
      <c r="L469" s="33" t="s">
        <v>704</v>
      </c>
      <c r="M469" s="34" t="s">
        <v>722</v>
      </c>
      <c r="N469" s="34" t="s">
        <v>1705</v>
      </c>
      <c r="O469" s="35">
        <v>1</v>
      </c>
      <c r="P469" s="35"/>
      <c r="Q469" s="32"/>
      <c r="S469" s="1">
        <f t="shared" ref="S469:S512" si="157">IF(J469=$S$7,1,0)</f>
        <v>1</v>
      </c>
      <c r="T469" s="1">
        <f t="shared" ref="T469:T512" si="158">IF(J469=$T$7,1,0)</f>
        <v>0</v>
      </c>
      <c r="U469" s="1">
        <f t="shared" ref="U469:U512" si="159">IF(J469=$U$7,1,0)</f>
        <v>0</v>
      </c>
      <c r="V469" s="1">
        <f t="shared" ref="V469:V512" si="160">IF(J469=$V$7,1,0)</f>
        <v>0</v>
      </c>
      <c r="W469" s="1">
        <f t="shared" ref="W469:W512" si="161">IF(J469=$W$7,1,0)</f>
        <v>0</v>
      </c>
      <c r="X469" s="1">
        <f t="shared" ref="X469:X512" si="162">IF(J469=$X$7,1,0)</f>
        <v>0</v>
      </c>
      <c r="Y469" s="1">
        <f t="shared" ref="Y469:Y512" si="163">IF(J469=$Y$7,1,0)</f>
        <v>0</v>
      </c>
      <c r="Z469" s="1">
        <f t="shared" ref="Z469:Z512" si="164">IF(J469=$Z$7,1,0)</f>
        <v>0</v>
      </c>
      <c r="AA469" s="1">
        <f t="shared" ref="AA469:AA512" si="165">IF(J469=$AA$7,1,0)</f>
        <v>0</v>
      </c>
      <c r="AB469" s="1">
        <f t="shared" ref="AB469:AB512" si="166">IF(J469=$AB$7,1,0)</f>
        <v>0</v>
      </c>
      <c r="AD469" s="1">
        <f t="shared" ref="AD469:AD512" si="167">+O469*P469</f>
        <v>0</v>
      </c>
      <c r="AE469" s="1">
        <f t="shared" ref="AE469:AE512" si="168">O469*(1-P469)</f>
        <v>1</v>
      </c>
      <c r="AF469" s="1">
        <f t="shared" si="147"/>
        <v>0</v>
      </c>
      <c r="AG469" s="1">
        <f t="shared" si="148"/>
        <v>1</v>
      </c>
      <c r="AH469" s="1">
        <f t="shared" si="149"/>
        <v>0</v>
      </c>
      <c r="AI469" s="1">
        <f t="shared" si="150"/>
        <v>1</v>
      </c>
    </row>
    <row r="470" spans="1:35" ht="14.25" customHeight="1" x14ac:dyDescent="0.25">
      <c r="A470" s="31">
        <v>1</v>
      </c>
      <c r="B470" s="31">
        <v>2</v>
      </c>
      <c r="C470" s="31">
        <v>7</v>
      </c>
      <c r="D470" s="32" t="s">
        <v>1062</v>
      </c>
      <c r="E470" s="32" t="s">
        <v>28</v>
      </c>
      <c r="F470" s="32" t="s">
        <v>980</v>
      </c>
      <c r="G470" s="32" t="s">
        <v>1080</v>
      </c>
      <c r="H470" s="32" t="s">
        <v>352</v>
      </c>
      <c r="I470" s="31" t="s">
        <v>1088</v>
      </c>
      <c r="J470" s="31">
        <v>1</v>
      </c>
      <c r="K470" s="33" t="s">
        <v>703</v>
      </c>
      <c r="L470" s="33" t="s">
        <v>704</v>
      </c>
      <c r="M470" s="34" t="s">
        <v>722</v>
      </c>
      <c r="N470" s="34" t="s">
        <v>1705</v>
      </c>
      <c r="O470" s="35">
        <v>1</v>
      </c>
      <c r="P470" s="35"/>
      <c r="Q470" s="32"/>
      <c r="S470" s="1">
        <f t="shared" si="157"/>
        <v>1</v>
      </c>
      <c r="T470" s="1">
        <f t="shared" si="158"/>
        <v>0</v>
      </c>
      <c r="U470" s="1">
        <f t="shared" si="159"/>
        <v>0</v>
      </c>
      <c r="V470" s="1">
        <f t="shared" si="160"/>
        <v>0</v>
      </c>
      <c r="W470" s="1">
        <f t="shared" si="161"/>
        <v>0</v>
      </c>
      <c r="X470" s="1">
        <f t="shared" si="162"/>
        <v>0</v>
      </c>
      <c r="Y470" s="1">
        <f t="shared" si="163"/>
        <v>0</v>
      </c>
      <c r="Z470" s="1">
        <f t="shared" si="164"/>
        <v>0</v>
      </c>
      <c r="AA470" s="1">
        <f t="shared" si="165"/>
        <v>0</v>
      </c>
      <c r="AB470" s="1">
        <f t="shared" si="166"/>
        <v>0</v>
      </c>
      <c r="AD470" s="1">
        <f t="shared" si="167"/>
        <v>0</v>
      </c>
      <c r="AE470" s="1">
        <f t="shared" si="168"/>
        <v>1</v>
      </c>
      <c r="AF470" s="1">
        <f t="shared" ref="AF470:AF512" si="169">+O470*P470*(1-A470)</f>
        <v>0</v>
      </c>
      <c r="AG470" s="1">
        <f t="shared" ref="AG470:AG512" si="170">O470*(1-P470)*(1-A470)</f>
        <v>0</v>
      </c>
      <c r="AH470" s="1">
        <f t="shared" ref="AH470:AH512" si="171">+P470*(1-A470)</f>
        <v>0</v>
      </c>
      <c r="AI470" s="1">
        <f t="shared" ref="AI470:AI512" si="172">+(1-A470)*(1-P470)</f>
        <v>0</v>
      </c>
    </row>
    <row r="471" spans="1:35" ht="14.25" customHeight="1" x14ac:dyDescent="0.25">
      <c r="A471" s="31">
        <v>0</v>
      </c>
      <c r="B471" s="31">
        <v>2</v>
      </c>
      <c r="C471" s="31">
        <v>7</v>
      </c>
      <c r="D471" s="32" t="s">
        <v>1605</v>
      </c>
      <c r="E471" s="32" t="s">
        <v>155</v>
      </c>
      <c r="F471" s="32" t="s">
        <v>1460</v>
      </c>
      <c r="G471" s="32" t="s">
        <v>1461</v>
      </c>
      <c r="H471" s="32" t="s">
        <v>352</v>
      </c>
      <c r="I471" s="31" t="s">
        <v>1462</v>
      </c>
      <c r="J471" s="31">
        <v>99</v>
      </c>
      <c r="K471" s="33" t="s">
        <v>936</v>
      </c>
      <c r="L471" s="33" t="s">
        <v>713</v>
      </c>
      <c r="M471" s="34" t="s">
        <v>723</v>
      </c>
      <c r="N471" s="34" t="s">
        <v>1709</v>
      </c>
      <c r="O471" s="35">
        <v>1</v>
      </c>
      <c r="P471" s="35"/>
      <c r="Q471" s="32"/>
      <c r="S471" s="1">
        <f t="shared" si="157"/>
        <v>0</v>
      </c>
      <c r="T471" s="1">
        <f t="shared" si="158"/>
        <v>0</v>
      </c>
      <c r="U471" s="1">
        <f t="shared" si="159"/>
        <v>0</v>
      </c>
      <c r="V471" s="1">
        <f t="shared" si="160"/>
        <v>0</v>
      </c>
      <c r="W471" s="1">
        <f t="shared" si="161"/>
        <v>0</v>
      </c>
      <c r="X471" s="1">
        <f t="shared" si="162"/>
        <v>0</v>
      </c>
      <c r="Y471" s="1">
        <f t="shared" si="163"/>
        <v>0</v>
      </c>
      <c r="Z471" s="1">
        <f t="shared" si="164"/>
        <v>0</v>
      </c>
      <c r="AA471" s="1">
        <f t="shared" si="165"/>
        <v>0</v>
      </c>
      <c r="AB471" s="1">
        <f t="shared" si="166"/>
        <v>0</v>
      </c>
      <c r="AD471" s="1">
        <f t="shared" si="167"/>
        <v>0</v>
      </c>
      <c r="AE471" s="1">
        <f t="shared" si="168"/>
        <v>1</v>
      </c>
      <c r="AF471" s="1">
        <f t="shared" si="169"/>
        <v>0</v>
      </c>
      <c r="AG471" s="1">
        <f t="shared" si="170"/>
        <v>1</v>
      </c>
      <c r="AH471" s="1">
        <f t="shared" si="171"/>
        <v>0</v>
      </c>
      <c r="AI471" s="1">
        <f t="shared" si="172"/>
        <v>1</v>
      </c>
    </row>
    <row r="472" spans="1:35" ht="14.25" customHeight="1" x14ac:dyDescent="0.25">
      <c r="A472" s="31">
        <v>0</v>
      </c>
      <c r="B472" s="31">
        <v>2</v>
      </c>
      <c r="C472" s="31">
        <v>7</v>
      </c>
      <c r="D472" s="32" t="s">
        <v>82</v>
      </c>
      <c r="E472" s="32" t="s">
        <v>28</v>
      </c>
      <c r="F472" s="32" t="s">
        <v>273</v>
      </c>
      <c r="G472" s="32" t="s">
        <v>274</v>
      </c>
      <c r="H472" s="32" t="s">
        <v>352</v>
      </c>
      <c r="I472" s="31" t="s">
        <v>427</v>
      </c>
      <c r="J472" s="31">
        <v>7</v>
      </c>
      <c r="K472" s="33" t="s">
        <v>936</v>
      </c>
      <c r="L472" s="33" t="s">
        <v>935</v>
      </c>
      <c r="M472" s="34" t="s">
        <v>949</v>
      </c>
      <c r="N472" s="34" t="s">
        <v>1809</v>
      </c>
      <c r="O472" s="35">
        <v>1</v>
      </c>
      <c r="P472" s="35"/>
      <c r="Q472" s="32"/>
      <c r="S472" s="1">
        <f t="shared" si="157"/>
        <v>0</v>
      </c>
      <c r="T472" s="1">
        <f t="shared" si="158"/>
        <v>0</v>
      </c>
      <c r="U472" s="1">
        <f t="shared" si="159"/>
        <v>0</v>
      </c>
      <c r="V472" s="1">
        <f t="shared" si="160"/>
        <v>0</v>
      </c>
      <c r="W472" s="1">
        <f t="shared" si="161"/>
        <v>0</v>
      </c>
      <c r="X472" s="1">
        <f t="shared" si="162"/>
        <v>0</v>
      </c>
      <c r="Y472" s="1">
        <f t="shared" si="163"/>
        <v>1</v>
      </c>
      <c r="Z472" s="1">
        <f t="shared" si="164"/>
        <v>0</v>
      </c>
      <c r="AA472" s="1">
        <f t="shared" si="165"/>
        <v>0</v>
      </c>
      <c r="AB472" s="1">
        <f t="shared" si="166"/>
        <v>0</v>
      </c>
      <c r="AD472" s="1">
        <f t="shared" si="167"/>
        <v>0</v>
      </c>
      <c r="AE472" s="1">
        <f t="shared" si="168"/>
        <v>1</v>
      </c>
      <c r="AF472" s="1">
        <f t="shared" si="169"/>
        <v>0</v>
      </c>
      <c r="AG472" s="1">
        <f t="shared" si="170"/>
        <v>1</v>
      </c>
      <c r="AH472" s="1">
        <f t="shared" si="171"/>
        <v>0</v>
      </c>
      <c r="AI472" s="1">
        <f t="shared" si="172"/>
        <v>1</v>
      </c>
    </row>
    <row r="473" spans="1:35" ht="14.25" customHeight="1" x14ac:dyDescent="0.25">
      <c r="A473" s="31">
        <v>0</v>
      </c>
      <c r="B473" s="31">
        <v>2</v>
      </c>
      <c r="C473" s="31">
        <v>7</v>
      </c>
      <c r="D473" s="32" t="s">
        <v>76</v>
      </c>
      <c r="E473" s="32" t="s">
        <v>28</v>
      </c>
      <c r="F473" s="32" t="s">
        <v>1647</v>
      </c>
      <c r="G473" s="32" t="s">
        <v>189</v>
      </c>
      <c r="H473" s="32" t="s">
        <v>352</v>
      </c>
      <c r="I473" s="31" t="s">
        <v>421</v>
      </c>
      <c r="J473" s="31">
        <v>99</v>
      </c>
      <c r="K473" s="33" t="s">
        <v>935</v>
      </c>
      <c r="L473" s="33" t="s">
        <v>704</v>
      </c>
      <c r="M473" s="34" t="s">
        <v>722</v>
      </c>
      <c r="N473" s="34" t="s">
        <v>1705</v>
      </c>
      <c r="O473" s="35">
        <v>1</v>
      </c>
      <c r="P473" s="35"/>
      <c r="Q473" s="32"/>
      <c r="S473" s="1">
        <f t="shared" si="157"/>
        <v>0</v>
      </c>
      <c r="T473" s="1">
        <f t="shared" si="158"/>
        <v>0</v>
      </c>
      <c r="U473" s="1">
        <f t="shared" si="159"/>
        <v>0</v>
      </c>
      <c r="V473" s="1">
        <f t="shared" si="160"/>
        <v>0</v>
      </c>
      <c r="W473" s="1">
        <f t="shared" si="161"/>
        <v>0</v>
      </c>
      <c r="X473" s="1">
        <f t="shared" si="162"/>
        <v>0</v>
      </c>
      <c r="Y473" s="1">
        <f t="shared" si="163"/>
        <v>0</v>
      </c>
      <c r="Z473" s="1">
        <f t="shared" si="164"/>
        <v>0</v>
      </c>
      <c r="AA473" s="1">
        <f t="shared" si="165"/>
        <v>0</v>
      </c>
      <c r="AB473" s="1">
        <f t="shared" si="166"/>
        <v>0</v>
      </c>
      <c r="AD473" s="1">
        <f t="shared" si="167"/>
        <v>0</v>
      </c>
      <c r="AE473" s="1">
        <f t="shared" si="168"/>
        <v>1</v>
      </c>
      <c r="AF473" s="1">
        <f t="shared" si="169"/>
        <v>0</v>
      </c>
      <c r="AG473" s="1">
        <f t="shared" si="170"/>
        <v>1</v>
      </c>
      <c r="AH473" s="1">
        <f t="shared" si="171"/>
        <v>0</v>
      </c>
      <c r="AI473" s="1">
        <f t="shared" si="172"/>
        <v>1</v>
      </c>
    </row>
    <row r="474" spans="1:35" ht="14.25" customHeight="1" x14ac:dyDescent="0.25">
      <c r="A474" s="31">
        <v>0</v>
      </c>
      <c r="B474" s="31">
        <v>2</v>
      </c>
      <c r="C474" s="31">
        <v>7</v>
      </c>
      <c r="D474" s="36" t="s">
        <v>1986</v>
      </c>
      <c r="E474" s="32" t="s">
        <v>1990</v>
      </c>
      <c r="F474" s="36" t="s">
        <v>1987</v>
      </c>
      <c r="G474" s="36" t="s">
        <v>1988</v>
      </c>
      <c r="H474" s="36" t="s">
        <v>352</v>
      </c>
      <c r="I474" s="37" t="s">
        <v>1989</v>
      </c>
      <c r="J474" s="31">
        <v>99</v>
      </c>
      <c r="K474" s="33" t="s">
        <v>694</v>
      </c>
      <c r="L474" s="33">
        <v>20</v>
      </c>
      <c r="M474" s="34" t="s">
        <v>1992</v>
      </c>
      <c r="N474" s="34" t="s">
        <v>1709</v>
      </c>
      <c r="O474" s="35">
        <v>1</v>
      </c>
      <c r="P474" s="35"/>
      <c r="Q474" s="36" t="s">
        <v>1991</v>
      </c>
      <c r="S474" s="1">
        <f t="shared" si="157"/>
        <v>0</v>
      </c>
      <c r="T474" s="1">
        <f t="shared" si="158"/>
        <v>0</v>
      </c>
      <c r="U474" s="1">
        <f t="shared" si="159"/>
        <v>0</v>
      </c>
      <c r="V474" s="1">
        <f t="shared" si="160"/>
        <v>0</v>
      </c>
      <c r="W474" s="1">
        <f t="shared" si="161"/>
        <v>0</v>
      </c>
      <c r="X474" s="1">
        <f t="shared" si="162"/>
        <v>0</v>
      </c>
      <c r="Y474" s="1">
        <f t="shared" si="163"/>
        <v>0</v>
      </c>
      <c r="Z474" s="1">
        <f t="shared" si="164"/>
        <v>0</v>
      </c>
      <c r="AA474" s="1">
        <f t="shared" si="165"/>
        <v>0</v>
      </c>
      <c r="AB474" s="1">
        <f t="shared" si="166"/>
        <v>0</v>
      </c>
      <c r="AD474" s="1">
        <f t="shared" si="167"/>
        <v>0</v>
      </c>
      <c r="AE474" s="1">
        <f t="shared" si="168"/>
        <v>1</v>
      </c>
      <c r="AF474" s="1">
        <f t="shared" si="169"/>
        <v>0</v>
      </c>
      <c r="AG474" s="1">
        <f t="shared" si="170"/>
        <v>1</v>
      </c>
      <c r="AH474" s="1">
        <f t="shared" si="171"/>
        <v>0</v>
      </c>
      <c r="AI474" s="1">
        <f t="shared" si="172"/>
        <v>1</v>
      </c>
    </row>
    <row r="475" spans="1:35" ht="14.25" customHeight="1" x14ac:dyDescent="0.25">
      <c r="A475" s="31">
        <v>0</v>
      </c>
      <c r="B475" s="31">
        <v>2</v>
      </c>
      <c r="C475" s="31">
        <v>7</v>
      </c>
      <c r="D475" s="32" t="s">
        <v>1607</v>
      </c>
      <c r="E475" s="32" t="s">
        <v>162</v>
      </c>
      <c r="F475" s="32" t="s">
        <v>243</v>
      </c>
      <c r="G475" s="32" t="s">
        <v>217</v>
      </c>
      <c r="H475" s="32" t="s">
        <v>352</v>
      </c>
      <c r="I475" s="31" t="s">
        <v>406</v>
      </c>
      <c r="J475" s="31">
        <v>99</v>
      </c>
      <c r="K475" s="33" t="s">
        <v>704</v>
      </c>
      <c r="L475" s="33" t="s">
        <v>713</v>
      </c>
      <c r="M475" s="34" t="s">
        <v>723</v>
      </c>
      <c r="N475" s="34" t="s">
        <v>1693</v>
      </c>
      <c r="O475" s="35">
        <v>1</v>
      </c>
      <c r="P475" s="35">
        <v>1</v>
      </c>
      <c r="Q475" s="32"/>
      <c r="S475" s="1">
        <f t="shared" si="157"/>
        <v>0</v>
      </c>
      <c r="T475" s="1">
        <f t="shared" si="158"/>
        <v>0</v>
      </c>
      <c r="U475" s="1">
        <f t="shared" si="159"/>
        <v>0</v>
      </c>
      <c r="V475" s="1">
        <f t="shared" si="160"/>
        <v>0</v>
      </c>
      <c r="W475" s="1">
        <f t="shared" si="161"/>
        <v>0</v>
      </c>
      <c r="X475" s="1">
        <f t="shared" si="162"/>
        <v>0</v>
      </c>
      <c r="Y475" s="1">
        <f t="shared" si="163"/>
        <v>0</v>
      </c>
      <c r="Z475" s="1">
        <f t="shared" si="164"/>
        <v>0</v>
      </c>
      <c r="AA475" s="1">
        <f t="shared" si="165"/>
        <v>0</v>
      </c>
      <c r="AB475" s="1">
        <f t="shared" si="166"/>
        <v>0</v>
      </c>
      <c r="AD475" s="1">
        <f t="shared" si="167"/>
        <v>1</v>
      </c>
      <c r="AE475" s="1">
        <f t="shared" si="168"/>
        <v>0</v>
      </c>
      <c r="AF475" s="1">
        <f t="shared" si="169"/>
        <v>1</v>
      </c>
      <c r="AG475" s="1">
        <f t="shared" si="170"/>
        <v>0</v>
      </c>
      <c r="AH475" s="1">
        <f t="shared" si="171"/>
        <v>1</v>
      </c>
      <c r="AI475" s="1">
        <f t="shared" si="172"/>
        <v>0</v>
      </c>
    </row>
    <row r="476" spans="1:35" ht="14.25" customHeight="1" x14ac:dyDescent="0.25">
      <c r="A476" s="31">
        <v>0</v>
      </c>
      <c r="B476" s="31">
        <v>2</v>
      </c>
      <c r="C476" s="31">
        <v>7</v>
      </c>
      <c r="D476" s="32" t="s">
        <v>1505</v>
      </c>
      <c r="E476" s="32" t="s">
        <v>155</v>
      </c>
      <c r="F476" s="32" t="s">
        <v>1506</v>
      </c>
      <c r="G476" s="32" t="s">
        <v>39</v>
      </c>
      <c r="H476" s="32" t="s">
        <v>352</v>
      </c>
      <c r="I476" s="31" t="s">
        <v>1507</v>
      </c>
      <c r="J476" s="31">
        <v>99</v>
      </c>
      <c r="K476" s="33" t="s">
        <v>704</v>
      </c>
      <c r="L476" s="33" t="s">
        <v>713</v>
      </c>
      <c r="M476" s="34" t="s">
        <v>723</v>
      </c>
      <c r="N476" s="34" t="s">
        <v>1709</v>
      </c>
      <c r="O476" s="35">
        <v>1</v>
      </c>
      <c r="P476" s="35"/>
      <c r="Q476" s="32"/>
      <c r="S476" s="1">
        <f t="shared" si="157"/>
        <v>0</v>
      </c>
      <c r="T476" s="1">
        <f t="shared" si="158"/>
        <v>0</v>
      </c>
      <c r="U476" s="1">
        <f t="shared" si="159"/>
        <v>0</v>
      </c>
      <c r="V476" s="1">
        <f t="shared" si="160"/>
        <v>0</v>
      </c>
      <c r="W476" s="1">
        <f t="shared" si="161"/>
        <v>0</v>
      </c>
      <c r="X476" s="1">
        <f t="shared" si="162"/>
        <v>0</v>
      </c>
      <c r="Y476" s="1">
        <f t="shared" si="163"/>
        <v>0</v>
      </c>
      <c r="Z476" s="1">
        <f t="shared" si="164"/>
        <v>0</v>
      </c>
      <c r="AA476" s="1">
        <f t="shared" si="165"/>
        <v>0</v>
      </c>
      <c r="AB476" s="1">
        <f t="shared" si="166"/>
        <v>0</v>
      </c>
      <c r="AD476" s="1">
        <f t="shared" si="167"/>
        <v>0</v>
      </c>
      <c r="AE476" s="1">
        <f t="shared" si="168"/>
        <v>1</v>
      </c>
      <c r="AF476" s="1">
        <f t="shared" si="169"/>
        <v>0</v>
      </c>
      <c r="AG476" s="1">
        <f t="shared" si="170"/>
        <v>1</v>
      </c>
      <c r="AH476" s="1">
        <f t="shared" si="171"/>
        <v>0</v>
      </c>
      <c r="AI476" s="1">
        <f t="shared" si="172"/>
        <v>1</v>
      </c>
    </row>
    <row r="477" spans="1:35" ht="14.25" customHeight="1" x14ac:dyDescent="0.25">
      <c r="A477" s="31">
        <v>0</v>
      </c>
      <c r="B477" s="31">
        <v>2</v>
      </c>
      <c r="C477" s="31">
        <v>7</v>
      </c>
      <c r="D477" s="32" t="s">
        <v>66</v>
      </c>
      <c r="E477" s="32" t="s">
        <v>28</v>
      </c>
      <c r="F477" s="32" t="s">
        <v>955</v>
      </c>
      <c r="G477" s="32" t="s">
        <v>1082</v>
      </c>
      <c r="H477" s="32" t="s">
        <v>352</v>
      </c>
      <c r="I477" s="31" t="s">
        <v>1089</v>
      </c>
      <c r="J477" s="31">
        <v>99</v>
      </c>
      <c r="K477" s="33" t="s">
        <v>704</v>
      </c>
      <c r="L477" s="33" t="s">
        <v>704</v>
      </c>
      <c r="M477" s="34" t="s">
        <v>722</v>
      </c>
      <c r="N477" s="34" t="s">
        <v>1705</v>
      </c>
      <c r="O477" s="35">
        <v>1</v>
      </c>
      <c r="P477" s="35"/>
      <c r="Q477" s="32"/>
      <c r="S477" s="1">
        <f t="shared" si="157"/>
        <v>0</v>
      </c>
      <c r="T477" s="1">
        <f t="shared" si="158"/>
        <v>0</v>
      </c>
      <c r="U477" s="1">
        <f t="shared" si="159"/>
        <v>0</v>
      </c>
      <c r="V477" s="1">
        <f t="shared" si="160"/>
        <v>0</v>
      </c>
      <c r="W477" s="1">
        <f t="shared" si="161"/>
        <v>0</v>
      </c>
      <c r="X477" s="1">
        <f t="shared" si="162"/>
        <v>0</v>
      </c>
      <c r="Y477" s="1">
        <f t="shared" si="163"/>
        <v>0</v>
      </c>
      <c r="Z477" s="1">
        <f t="shared" si="164"/>
        <v>0</v>
      </c>
      <c r="AA477" s="1">
        <f t="shared" si="165"/>
        <v>0</v>
      </c>
      <c r="AB477" s="1">
        <f t="shared" si="166"/>
        <v>0</v>
      </c>
      <c r="AD477" s="1">
        <f t="shared" si="167"/>
        <v>0</v>
      </c>
      <c r="AE477" s="1">
        <f t="shared" si="168"/>
        <v>1</v>
      </c>
      <c r="AF477" s="1">
        <f t="shared" si="169"/>
        <v>0</v>
      </c>
      <c r="AG477" s="1">
        <f t="shared" si="170"/>
        <v>1</v>
      </c>
      <c r="AH477" s="1">
        <f t="shared" si="171"/>
        <v>0</v>
      </c>
      <c r="AI477" s="1">
        <f t="shared" si="172"/>
        <v>1</v>
      </c>
    </row>
    <row r="478" spans="1:35" ht="14.25" customHeight="1" x14ac:dyDescent="0.25">
      <c r="A478" s="31">
        <v>1</v>
      </c>
      <c r="B478" s="31">
        <v>2</v>
      </c>
      <c r="C478" s="31">
        <v>7</v>
      </c>
      <c r="D478" s="32" t="s">
        <v>66</v>
      </c>
      <c r="E478" s="32" t="s">
        <v>28</v>
      </c>
      <c r="F478" s="32" t="s">
        <v>244</v>
      </c>
      <c r="G478" s="32" t="s">
        <v>223</v>
      </c>
      <c r="H478" s="32" t="s">
        <v>352</v>
      </c>
      <c r="I478" s="31" t="s">
        <v>407</v>
      </c>
      <c r="J478" s="31">
        <v>99</v>
      </c>
      <c r="K478" s="33" t="s">
        <v>704</v>
      </c>
      <c r="L478" s="33" t="s">
        <v>704</v>
      </c>
      <c r="M478" s="34" t="s">
        <v>722</v>
      </c>
      <c r="N478" s="34" t="s">
        <v>1705</v>
      </c>
      <c r="O478" s="35">
        <v>1</v>
      </c>
      <c r="P478" s="35"/>
      <c r="Q478" s="32"/>
      <c r="S478" s="1">
        <f t="shared" si="157"/>
        <v>0</v>
      </c>
      <c r="T478" s="1">
        <f t="shared" si="158"/>
        <v>0</v>
      </c>
      <c r="U478" s="1">
        <f t="shared" si="159"/>
        <v>0</v>
      </c>
      <c r="V478" s="1">
        <f t="shared" si="160"/>
        <v>0</v>
      </c>
      <c r="W478" s="1">
        <f t="shared" si="161"/>
        <v>0</v>
      </c>
      <c r="X478" s="1">
        <f t="shared" si="162"/>
        <v>0</v>
      </c>
      <c r="Y478" s="1">
        <f t="shared" si="163"/>
        <v>0</v>
      </c>
      <c r="Z478" s="1">
        <f t="shared" si="164"/>
        <v>0</v>
      </c>
      <c r="AA478" s="1">
        <f t="shared" si="165"/>
        <v>0</v>
      </c>
      <c r="AB478" s="1">
        <f t="shared" si="166"/>
        <v>0</v>
      </c>
      <c r="AD478" s="1">
        <f t="shared" si="167"/>
        <v>0</v>
      </c>
      <c r="AE478" s="1">
        <f t="shared" si="168"/>
        <v>1</v>
      </c>
      <c r="AF478" s="1">
        <f t="shared" si="169"/>
        <v>0</v>
      </c>
      <c r="AG478" s="1">
        <f t="shared" si="170"/>
        <v>0</v>
      </c>
      <c r="AH478" s="1">
        <f t="shared" si="171"/>
        <v>0</v>
      </c>
      <c r="AI478" s="1">
        <f t="shared" si="172"/>
        <v>0</v>
      </c>
    </row>
    <row r="479" spans="1:35" ht="14.25" customHeight="1" x14ac:dyDescent="0.25">
      <c r="A479" s="31">
        <v>1</v>
      </c>
      <c r="B479" s="31">
        <v>2</v>
      </c>
      <c r="C479" s="31">
        <v>7</v>
      </c>
      <c r="D479" s="32" t="s">
        <v>66</v>
      </c>
      <c r="E479" s="32" t="s">
        <v>28</v>
      </c>
      <c r="F479" s="32" t="s">
        <v>245</v>
      </c>
      <c r="G479" s="32" t="s">
        <v>219</v>
      </c>
      <c r="H479" s="32" t="s">
        <v>352</v>
      </c>
      <c r="I479" s="31" t="s">
        <v>408</v>
      </c>
      <c r="J479" s="31">
        <v>8</v>
      </c>
      <c r="K479" s="33" t="s">
        <v>704</v>
      </c>
      <c r="L479" s="33" t="s">
        <v>704</v>
      </c>
      <c r="M479" s="34" t="s">
        <v>722</v>
      </c>
      <c r="N479" s="34" t="s">
        <v>1705</v>
      </c>
      <c r="O479" s="35">
        <v>1</v>
      </c>
      <c r="P479" s="35"/>
      <c r="Q479" s="32" t="s">
        <v>1969</v>
      </c>
      <c r="S479" s="1">
        <f t="shared" si="157"/>
        <v>0</v>
      </c>
      <c r="T479" s="1">
        <f t="shared" si="158"/>
        <v>0</v>
      </c>
      <c r="U479" s="1">
        <f t="shared" si="159"/>
        <v>0</v>
      </c>
      <c r="V479" s="1">
        <f t="shared" si="160"/>
        <v>0</v>
      </c>
      <c r="W479" s="1">
        <f t="shared" si="161"/>
        <v>0</v>
      </c>
      <c r="X479" s="1">
        <f t="shared" si="162"/>
        <v>0</v>
      </c>
      <c r="Y479" s="1">
        <f t="shared" si="163"/>
        <v>0</v>
      </c>
      <c r="Z479" s="1">
        <f t="shared" si="164"/>
        <v>1</v>
      </c>
      <c r="AA479" s="1">
        <f t="shared" si="165"/>
        <v>0</v>
      </c>
      <c r="AB479" s="1">
        <f t="shared" si="166"/>
        <v>0</v>
      </c>
      <c r="AD479" s="1">
        <f t="shared" si="167"/>
        <v>0</v>
      </c>
      <c r="AE479" s="1">
        <f t="shared" si="168"/>
        <v>1</v>
      </c>
      <c r="AF479" s="1">
        <f t="shared" si="169"/>
        <v>0</v>
      </c>
      <c r="AG479" s="1">
        <f t="shared" si="170"/>
        <v>0</v>
      </c>
      <c r="AH479" s="1">
        <f t="shared" si="171"/>
        <v>0</v>
      </c>
      <c r="AI479" s="1">
        <f t="shared" si="172"/>
        <v>0</v>
      </c>
    </row>
    <row r="480" spans="1:35" ht="14.25" customHeight="1" x14ac:dyDescent="0.25">
      <c r="A480" s="31">
        <v>1</v>
      </c>
      <c r="B480" s="31">
        <v>2</v>
      </c>
      <c r="C480" s="31">
        <v>7</v>
      </c>
      <c r="D480" s="32" t="s">
        <v>66</v>
      </c>
      <c r="E480" s="32" t="s">
        <v>28</v>
      </c>
      <c r="F480" s="32" t="s">
        <v>1015</v>
      </c>
      <c r="G480" s="32" t="s">
        <v>39</v>
      </c>
      <c r="H480" s="32" t="s">
        <v>352</v>
      </c>
      <c r="I480" s="31" t="s">
        <v>1016</v>
      </c>
      <c r="J480" s="31">
        <v>1</v>
      </c>
      <c r="K480" s="33" t="s">
        <v>704</v>
      </c>
      <c r="L480" s="33" t="s">
        <v>704</v>
      </c>
      <c r="M480" s="34" t="s">
        <v>722</v>
      </c>
      <c r="N480" s="34" t="s">
        <v>1705</v>
      </c>
      <c r="O480" s="35">
        <v>1</v>
      </c>
      <c r="P480" s="35"/>
      <c r="Q480" s="32"/>
      <c r="S480" s="1">
        <f t="shared" si="157"/>
        <v>1</v>
      </c>
      <c r="T480" s="1">
        <f t="shared" si="158"/>
        <v>0</v>
      </c>
      <c r="U480" s="1">
        <f t="shared" si="159"/>
        <v>0</v>
      </c>
      <c r="V480" s="1">
        <f t="shared" si="160"/>
        <v>0</v>
      </c>
      <c r="W480" s="1">
        <f t="shared" si="161"/>
        <v>0</v>
      </c>
      <c r="X480" s="1">
        <f t="shared" si="162"/>
        <v>0</v>
      </c>
      <c r="Y480" s="1">
        <f t="shared" si="163"/>
        <v>0</v>
      </c>
      <c r="Z480" s="1">
        <f t="shared" si="164"/>
        <v>0</v>
      </c>
      <c r="AA480" s="1">
        <f t="shared" si="165"/>
        <v>0</v>
      </c>
      <c r="AB480" s="1">
        <f t="shared" si="166"/>
        <v>0</v>
      </c>
      <c r="AD480" s="1">
        <f t="shared" si="167"/>
        <v>0</v>
      </c>
      <c r="AE480" s="1">
        <f t="shared" si="168"/>
        <v>1</v>
      </c>
      <c r="AF480" s="1">
        <f t="shared" si="169"/>
        <v>0</v>
      </c>
      <c r="AG480" s="1">
        <f t="shared" si="170"/>
        <v>0</v>
      </c>
      <c r="AH480" s="1">
        <f t="shared" si="171"/>
        <v>0</v>
      </c>
      <c r="AI480" s="1">
        <f t="shared" si="172"/>
        <v>0</v>
      </c>
    </row>
    <row r="481" spans="1:35" ht="14.25" customHeight="1" x14ac:dyDescent="0.25">
      <c r="A481" s="31">
        <v>1</v>
      </c>
      <c r="B481" s="31">
        <v>2</v>
      </c>
      <c r="C481" s="31">
        <v>7</v>
      </c>
      <c r="D481" s="32" t="s">
        <v>66</v>
      </c>
      <c r="E481" s="32" t="s">
        <v>28</v>
      </c>
      <c r="F481" s="32" t="s">
        <v>1017</v>
      </c>
      <c r="G481" s="32" t="s">
        <v>300</v>
      </c>
      <c r="H481" s="32" t="s">
        <v>352</v>
      </c>
      <c r="I481" s="31" t="s">
        <v>1018</v>
      </c>
      <c r="J481" s="31">
        <v>1</v>
      </c>
      <c r="K481" s="33" t="s">
        <v>704</v>
      </c>
      <c r="L481" s="33" t="s">
        <v>704</v>
      </c>
      <c r="M481" s="34" t="s">
        <v>722</v>
      </c>
      <c r="N481" s="34" t="s">
        <v>1705</v>
      </c>
      <c r="O481" s="35">
        <v>1</v>
      </c>
      <c r="P481" s="35"/>
      <c r="Q481" s="32"/>
      <c r="S481" s="1">
        <f t="shared" si="157"/>
        <v>1</v>
      </c>
      <c r="T481" s="1">
        <f t="shared" si="158"/>
        <v>0</v>
      </c>
      <c r="U481" s="1">
        <f t="shared" si="159"/>
        <v>0</v>
      </c>
      <c r="V481" s="1">
        <f t="shared" si="160"/>
        <v>0</v>
      </c>
      <c r="W481" s="1">
        <f t="shared" si="161"/>
        <v>0</v>
      </c>
      <c r="X481" s="1">
        <f t="shared" si="162"/>
        <v>0</v>
      </c>
      <c r="Y481" s="1">
        <f t="shared" si="163"/>
        <v>0</v>
      </c>
      <c r="Z481" s="1">
        <f t="shared" si="164"/>
        <v>0</v>
      </c>
      <c r="AA481" s="1">
        <f t="shared" si="165"/>
        <v>0</v>
      </c>
      <c r="AB481" s="1">
        <f t="shared" si="166"/>
        <v>0</v>
      </c>
      <c r="AD481" s="1">
        <f t="shared" si="167"/>
        <v>0</v>
      </c>
      <c r="AE481" s="1">
        <f t="shared" si="168"/>
        <v>1</v>
      </c>
      <c r="AF481" s="1">
        <f t="shared" si="169"/>
        <v>0</v>
      </c>
      <c r="AG481" s="1">
        <f t="shared" si="170"/>
        <v>0</v>
      </c>
      <c r="AH481" s="1">
        <f t="shared" si="171"/>
        <v>0</v>
      </c>
      <c r="AI481" s="1">
        <f t="shared" si="172"/>
        <v>0</v>
      </c>
    </row>
    <row r="482" spans="1:35" ht="14.25" customHeight="1" x14ac:dyDescent="0.25">
      <c r="A482" s="15">
        <v>0</v>
      </c>
      <c r="B482" s="15">
        <v>2</v>
      </c>
      <c r="C482" s="15">
        <v>7</v>
      </c>
      <c r="D482" s="20" t="s">
        <v>1540</v>
      </c>
      <c r="E482" s="20" t="s">
        <v>155</v>
      </c>
      <c r="F482" s="20" t="s">
        <v>1541</v>
      </c>
      <c r="G482" s="16" t="s">
        <v>206</v>
      </c>
      <c r="H482" s="20" t="s">
        <v>352</v>
      </c>
      <c r="I482" s="21" t="s">
        <v>1542</v>
      </c>
      <c r="J482" s="15">
        <v>99</v>
      </c>
      <c r="K482" s="10" t="s">
        <v>703</v>
      </c>
      <c r="L482" s="10" t="s">
        <v>713</v>
      </c>
      <c r="M482" s="19" t="s">
        <v>723</v>
      </c>
      <c r="N482" s="17"/>
      <c r="Q482" s="16"/>
      <c r="S482" s="1">
        <f t="shared" si="157"/>
        <v>0</v>
      </c>
      <c r="T482" s="1">
        <f t="shared" si="158"/>
        <v>0</v>
      </c>
      <c r="U482" s="1">
        <f t="shared" si="159"/>
        <v>0</v>
      </c>
      <c r="V482" s="1">
        <f t="shared" si="160"/>
        <v>0</v>
      </c>
      <c r="W482" s="1">
        <f t="shared" si="161"/>
        <v>0</v>
      </c>
      <c r="X482" s="1">
        <f t="shared" si="162"/>
        <v>0</v>
      </c>
      <c r="Y482" s="1">
        <f t="shared" si="163"/>
        <v>0</v>
      </c>
      <c r="Z482" s="1">
        <f t="shared" si="164"/>
        <v>0</v>
      </c>
      <c r="AA482" s="1">
        <f t="shared" si="165"/>
        <v>0</v>
      </c>
      <c r="AB482" s="1">
        <f t="shared" si="166"/>
        <v>0</v>
      </c>
      <c r="AD482" s="1">
        <f t="shared" si="167"/>
        <v>0</v>
      </c>
      <c r="AE482" s="1">
        <f t="shared" si="168"/>
        <v>0</v>
      </c>
      <c r="AF482" s="1">
        <f t="shared" si="169"/>
        <v>0</v>
      </c>
      <c r="AG482" s="1">
        <f t="shared" si="170"/>
        <v>0</v>
      </c>
      <c r="AH482" s="1">
        <f t="shared" si="171"/>
        <v>0</v>
      </c>
      <c r="AI482" s="1">
        <f t="shared" si="172"/>
        <v>1</v>
      </c>
    </row>
    <row r="483" spans="1:35" ht="14.25" customHeight="1" x14ac:dyDescent="0.25">
      <c r="A483" s="31">
        <v>0</v>
      </c>
      <c r="B483" s="31">
        <v>2</v>
      </c>
      <c r="C483" s="31">
        <v>7</v>
      </c>
      <c r="D483" s="32" t="s">
        <v>73</v>
      </c>
      <c r="E483" s="32" t="s">
        <v>28</v>
      </c>
      <c r="F483" s="32" t="s">
        <v>263</v>
      </c>
      <c r="G483" s="32" t="s">
        <v>193</v>
      </c>
      <c r="H483" s="32" t="s">
        <v>352</v>
      </c>
      <c r="I483" s="31" t="s">
        <v>419</v>
      </c>
      <c r="J483" s="31">
        <v>9</v>
      </c>
      <c r="K483" s="33" t="s">
        <v>703</v>
      </c>
      <c r="L483" s="33" t="s">
        <v>704</v>
      </c>
      <c r="M483" s="34" t="s">
        <v>722</v>
      </c>
      <c r="N483" s="34" t="s">
        <v>1705</v>
      </c>
      <c r="O483" s="35">
        <v>1</v>
      </c>
      <c r="P483" s="35"/>
      <c r="Q483" s="32"/>
      <c r="S483" s="1">
        <f t="shared" si="157"/>
        <v>0</v>
      </c>
      <c r="T483" s="1">
        <f t="shared" si="158"/>
        <v>0</v>
      </c>
      <c r="U483" s="1">
        <f t="shared" si="159"/>
        <v>0</v>
      </c>
      <c r="V483" s="1">
        <f t="shared" si="160"/>
        <v>0</v>
      </c>
      <c r="W483" s="1">
        <f t="shared" si="161"/>
        <v>0</v>
      </c>
      <c r="X483" s="1">
        <f t="shared" si="162"/>
        <v>0</v>
      </c>
      <c r="Y483" s="1">
        <f t="shared" si="163"/>
        <v>0</v>
      </c>
      <c r="Z483" s="1">
        <f t="shared" si="164"/>
        <v>0</v>
      </c>
      <c r="AA483" s="1">
        <f t="shared" si="165"/>
        <v>1</v>
      </c>
      <c r="AB483" s="1">
        <f t="shared" si="166"/>
        <v>0</v>
      </c>
      <c r="AD483" s="1">
        <f t="shared" si="167"/>
        <v>0</v>
      </c>
      <c r="AE483" s="1">
        <f t="shared" si="168"/>
        <v>1</v>
      </c>
      <c r="AF483" s="1">
        <f t="shared" si="169"/>
        <v>0</v>
      </c>
      <c r="AG483" s="1">
        <f t="shared" si="170"/>
        <v>1</v>
      </c>
      <c r="AH483" s="1">
        <f t="shared" si="171"/>
        <v>0</v>
      </c>
      <c r="AI483" s="1">
        <f t="shared" si="172"/>
        <v>1</v>
      </c>
    </row>
    <row r="484" spans="1:35" ht="14.25" customHeight="1" x14ac:dyDescent="0.25">
      <c r="A484" s="31">
        <v>0</v>
      </c>
      <c r="B484" s="31">
        <v>2</v>
      </c>
      <c r="C484" s="31">
        <v>7</v>
      </c>
      <c r="D484" s="32" t="s">
        <v>59</v>
      </c>
      <c r="E484" s="32" t="s">
        <v>162</v>
      </c>
      <c r="F484" s="32" t="s">
        <v>224</v>
      </c>
      <c r="G484" s="32" t="s">
        <v>225</v>
      </c>
      <c r="H484" s="32" t="s">
        <v>352</v>
      </c>
      <c r="I484" s="31" t="s">
        <v>396</v>
      </c>
      <c r="J484" s="31">
        <v>99</v>
      </c>
      <c r="K484" s="33" t="s">
        <v>704</v>
      </c>
      <c r="L484" s="33" t="s">
        <v>713</v>
      </c>
      <c r="M484" s="34" t="s">
        <v>723</v>
      </c>
      <c r="N484" s="34" t="s">
        <v>1711</v>
      </c>
      <c r="O484" s="35">
        <v>1</v>
      </c>
      <c r="P484" s="35"/>
      <c r="Q484" s="32"/>
      <c r="S484" s="1">
        <f t="shared" si="157"/>
        <v>0</v>
      </c>
      <c r="T484" s="1">
        <f t="shared" si="158"/>
        <v>0</v>
      </c>
      <c r="U484" s="1">
        <f t="shared" si="159"/>
        <v>0</v>
      </c>
      <c r="V484" s="1">
        <f t="shared" si="160"/>
        <v>0</v>
      </c>
      <c r="W484" s="1">
        <f t="shared" si="161"/>
        <v>0</v>
      </c>
      <c r="X484" s="1">
        <f t="shared" si="162"/>
        <v>0</v>
      </c>
      <c r="Y484" s="1">
        <f t="shared" si="163"/>
        <v>0</v>
      </c>
      <c r="Z484" s="1">
        <f t="shared" si="164"/>
        <v>0</v>
      </c>
      <c r="AA484" s="1">
        <f t="shared" si="165"/>
        <v>0</v>
      </c>
      <c r="AB484" s="1">
        <f t="shared" si="166"/>
        <v>0</v>
      </c>
      <c r="AD484" s="1">
        <f t="shared" si="167"/>
        <v>0</v>
      </c>
      <c r="AE484" s="1">
        <f t="shared" si="168"/>
        <v>1</v>
      </c>
      <c r="AF484" s="1">
        <f t="shared" si="169"/>
        <v>0</v>
      </c>
      <c r="AG484" s="1">
        <f t="shared" si="170"/>
        <v>1</v>
      </c>
      <c r="AH484" s="1">
        <f t="shared" si="171"/>
        <v>0</v>
      </c>
      <c r="AI484" s="1">
        <f t="shared" si="172"/>
        <v>1</v>
      </c>
    </row>
    <row r="485" spans="1:35" ht="14.25" customHeight="1" x14ac:dyDescent="0.25">
      <c r="A485" s="31">
        <v>0</v>
      </c>
      <c r="B485" s="31">
        <v>2</v>
      </c>
      <c r="C485" s="31">
        <v>7</v>
      </c>
      <c r="D485" s="32" t="s">
        <v>1056</v>
      </c>
      <c r="E485" s="32" t="s">
        <v>155</v>
      </c>
      <c r="F485" s="32" t="s">
        <v>1057</v>
      </c>
      <c r="G485" s="32" t="s">
        <v>219</v>
      </c>
      <c r="H485" s="32" t="s">
        <v>352</v>
      </c>
      <c r="I485" s="31" t="s">
        <v>1058</v>
      </c>
      <c r="J485" s="31">
        <v>8</v>
      </c>
      <c r="K485" s="33" t="s">
        <v>703</v>
      </c>
      <c r="L485" s="33" t="s">
        <v>713</v>
      </c>
      <c r="M485" s="34" t="s">
        <v>723</v>
      </c>
      <c r="N485" s="34" t="s">
        <v>1709</v>
      </c>
      <c r="O485" s="35">
        <v>1</v>
      </c>
      <c r="P485" s="35"/>
      <c r="Q485" s="32"/>
      <c r="S485" s="1">
        <f t="shared" si="157"/>
        <v>0</v>
      </c>
      <c r="T485" s="1">
        <f t="shared" si="158"/>
        <v>0</v>
      </c>
      <c r="U485" s="1">
        <f t="shared" si="159"/>
        <v>0</v>
      </c>
      <c r="V485" s="1">
        <f t="shared" si="160"/>
        <v>0</v>
      </c>
      <c r="W485" s="1">
        <f t="shared" si="161"/>
        <v>0</v>
      </c>
      <c r="X485" s="1">
        <f t="shared" si="162"/>
        <v>0</v>
      </c>
      <c r="Y485" s="1">
        <f t="shared" si="163"/>
        <v>0</v>
      </c>
      <c r="Z485" s="1">
        <f t="shared" si="164"/>
        <v>1</v>
      </c>
      <c r="AA485" s="1">
        <f t="shared" si="165"/>
        <v>0</v>
      </c>
      <c r="AB485" s="1">
        <f t="shared" si="166"/>
        <v>0</v>
      </c>
      <c r="AD485" s="1">
        <f t="shared" si="167"/>
        <v>0</v>
      </c>
      <c r="AE485" s="1">
        <f t="shared" si="168"/>
        <v>1</v>
      </c>
      <c r="AF485" s="1">
        <f t="shared" si="169"/>
        <v>0</v>
      </c>
      <c r="AG485" s="1">
        <f t="shared" si="170"/>
        <v>1</v>
      </c>
      <c r="AH485" s="1">
        <f t="shared" si="171"/>
        <v>0</v>
      </c>
      <c r="AI485" s="1">
        <f t="shared" si="172"/>
        <v>1</v>
      </c>
    </row>
    <row r="486" spans="1:35" ht="14.25" customHeight="1" x14ac:dyDescent="0.25">
      <c r="A486" s="31">
        <v>0</v>
      </c>
      <c r="B486" s="31">
        <v>2</v>
      </c>
      <c r="C486" s="31">
        <v>7</v>
      </c>
      <c r="D486" s="32" t="s">
        <v>81</v>
      </c>
      <c r="E486" s="32" t="s">
        <v>155</v>
      </c>
      <c r="F486" s="32" t="s">
        <v>272</v>
      </c>
      <c r="G486" s="32" t="s">
        <v>253</v>
      </c>
      <c r="H486" s="32" t="s">
        <v>352</v>
      </c>
      <c r="I486" s="31" t="s">
        <v>426</v>
      </c>
      <c r="J486" s="31">
        <v>99</v>
      </c>
      <c r="K486" s="33" t="s">
        <v>704</v>
      </c>
      <c r="L486" s="33" t="s">
        <v>724</v>
      </c>
      <c r="M486" s="34" t="s">
        <v>725</v>
      </c>
      <c r="N486" s="34" t="s">
        <v>1717</v>
      </c>
      <c r="O486" s="35">
        <v>1</v>
      </c>
      <c r="P486" s="35"/>
      <c r="Q486" s="32"/>
      <c r="S486" s="1">
        <f t="shared" si="157"/>
        <v>0</v>
      </c>
      <c r="T486" s="1">
        <f t="shared" si="158"/>
        <v>0</v>
      </c>
      <c r="U486" s="1">
        <f t="shared" si="159"/>
        <v>0</v>
      </c>
      <c r="V486" s="1">
        <f t="shared" si="160"/>
        <v>0</v>
      </c>
      <c r="W486" s="1">
        <f t="shared" si="161"/>
        <v>0</v>
      </c>
      <c r="X486" s="1">
        <f t="shared" si="162"/>
        <v>0</v>
      </c>
      <c r="Y486" s="1">
        <f t="shared" si="163"/>
        <v>0</v>
      </c>
      <c r="Z486" s="1">
        <f t="shared" si="164"/>
        <v>0</v>
      </c>
      <c r="AA486" s="1">
        <f t="shared" si="165"/>
        <v>0</v>
      </c>
      <c r="AB486" s="1">
        <f t="shared" si="166"/>
        <v>0</v>
      </c>
      <c r="AD486" s="1">
        <f t="shared" si="167"/>
        <v>0</v>
      </c>
      <c r="AE486" s="1">
        <f t="shared" si="168"/>
        <v>1</v>
      </c>
      <c r="AF486" s="1">
        <f t="shared" si="169"/>
        <v>0</v>
      </c>
      <c r="AG486" s="1">
        <f t="shared" si="170"/>
        <v>1</v>
      </c>
      <c r="AH486" s="1">
        <f t="shared" si="171"/>
        <v>0</v>
      </c>
      <c r="AI486" s="1">
        <f t="shared" si="172"/>
        <v>1</v>
      </c>
    </row>
    <row r="487" spans="1:35" ht="14.25" customHeight="1" x14ac:dyDescent="0.25">
      <c r="A487" s="37">
        <v>0</v>
      </c>
      <c r="B487" s="37">
        <v>2</v>
      </c>
      <c r="C487" s="37">
        <v>7</v>
      </c>
      <c r="D487" s="36" t="s">
        <v>1736</v>
      </c>
      <c r="E487" s="36" t="s">
        <v>1737</v>
      </c>
      <c r="F487" s="36" t="s">
        <v>1738</v>
      </c>
      <c r="G487" s="36" t="s">
        <v>189</v>
      </c>
      <c r="H487" s="36" t="s">
        <v>352</v>
      </c>
      <c r="I487" s="37"/>
      <c r="J487" s="37"/>
      <c r="K487" s="33" t="s">
        <v>694</v>
      </c>
      <c r="L487" s="33"/>
      <c r="M487" s="34"/>
      <c r="N487" s="34" t="s">
        <v>1693</v>
      </c>
      <c r="O487" s="35">
        <v>1</v>
      </c>
      <c r="P487" s="35">
        <v>1</v>
      </c>
      <c r="Q487" s="36"/>
      <c r="S487" s="1">
        <f t="shared" si="157"/>
        <v>0</v>
      </c>
      <c r="T487" s="1">
        <f t="shared" si="158"/>
        <v>0</v>
      </c>
      <c r="U487" s="1">
        <f t="shared" si="159"/>
        <v>0</v>
      </c>
      <c r="V487" s="1">
        <f t="shared" si="160"/>
        <v>0</v>
      </c>
      <c r="W487" s="1">
        <f t="shared" si="161"/>
        <v>0</v>
      </c>
      <c r="X487" s="1">
        <f t="shared" si="162"/>
        <v>0</v>
      </c>
      <c r="Y487" s="1">
        <f t="shared" si="163"/>
        <v>0</v>
      </c>
      <c r="Z487" s="1">
        <f t="shared" si="164"/>
        <v>0</v>
      </c>
      <c r="AA487" s="1">
        <f t="shared" si="165"/>
        <v>0</v>
      </c>
      <c r="AB487" s="1">
        <f t="shared" si="166"/>
        <v>0</v>
      </c>
      <c r="AD487" s="1">
        <f t="shared" si="167"/>
        <v>1</v>
      </c>
      <c r="AE487" s="1">
        <f t="shared" si="168"/>
        <v>0</v>
      </c>
      <c r="AF487" s="1">
        <f t="shared" si="169"/>
        <v>1</v>
      </c>
      <c r="AG487" s="1">
        <f t="shared" si="170"/>
        <v>0</v>
      </c>
      <c r="AH487" s="1">
        <f t="shared" si="171"/>
        <v>1</v>
      </c>
      <c r="AI487" s="1">
        <f t="shared" si="172"/>
        <v>0</v>
      </c>
    </row>
    <row r="488" spans="1:35" ht="14.25" customHeight="1" x14ac:dyDescent="0.25">
      <c r="A488" s="37">
        <v>0</v>
      </c>
      <c r="B488" s="37">
        <v>2</v>
      </c>
      <c r="C488" s="37">
        <v>7</v>
      </c>
      <c r="D488" s="36" t="s">
        <v>510</v>
      </c>
      <c r="E488" s="36" t="s">
        <v>155</v>
      </c>
      <c r="F488" s="36" t="s">
        <v>567</v>
      </c>
      <c r="G488" s="36" t="s">
        <v>319</v>
      </c>
      <c r="H488" s="36" t="s">
        <v>352</v>
      </c>
      <c r="I488" s="37" t="s">
        <v>573</v>
      </c>
      <c r="J488" s="37">
        <v>99</v>
      </c>
      <c r="K488" s="33" t="s">
        <v>935</v>
      </c>
      <c r="L488" s="33" t="s">
        <v>713</v>
      </c>
      <c r="M488" s="34" t="s">
        <v>723</v>
      </c>
      <c r="N488" s="34" t="s">
        <v>1722</v>
      </c>
      <c r="O488" s="35">
        <v>1</v>
      </c>
      <c r="P488" s="35"/>
      <c r="Q488" s="36"/>
      <c r="S488" s="1">
        <f t="shared" si="157"/>
        <v>0</v>
      </c>
      <c r="T488" s="1">
        <f t="shared" si="158"/>
        <v>0</v>
      </c>
      <c r="U488" s="1">
        <f t="shared" si="159"/>
        <v>0</v>
      </c>
      <c r="V488" s="1">
        <f t="shared" si="160"/>
        <v>0</v>
      </c>
      <c r="W488" s="1">
        <f t="shared" si="161"/>
        <v>0</v>
      </c>
      <c r="X488" s="1">
        <f t="shared" si="162"/>
        <v>0</v>
      </c>
      <c r="Y488" s="1">
        <f t="shared" si="163"/>
        <v>0</v>
      </c>
      <c r="Z488" s="1">
        <f t="shared" si="164"/>
        <v>0</v>
      </c>
      <c r="AA488" s="1">
        <f t="shared" si="165"/>
        <v>0</v>
      </c>
      <c r="AB488" s="1">
        <f t="shared" si="166"/>
        <v>0</v>
      </c>
      <c r="AD488" s="1">
        <f t="shared" si="167"/>
        <v>0</v>
      </c>
      <c r="AE488" s="1">
        <f t="shared" si="168"/>
        <v>1</v>
      </c>
      <c r="AF488" s="1">
        <f t="shared" si="169"/>
        <v>0</v>
      </c>
      <c r="AG488" s="1">
        <f t="shared" si="170"/>
        <v>1</v>
      </c>
      <c r="AH488" s="1">
        <f t="shared" si="171"/>
        <v>0</v>
      </c>
      <c r="AI488" s="1">
        <f t="shared" si="172"/>
        <v>1</v>
      </c>
    </row>
    <row r="489" spans="1:35" ht="14.25" customHeight="1" x14ac:dyDescent="0.25">
      <c r="A489" s="31">
        <v>0</v>
      </c>
      <c r="B489" s="31">
        <v>2</v>
      </c>
      <c r="C489" s="31">
        <v>7</v>
      </c>
      <c r="D489" s="32" t="s">
        <v>74</v>
      </c>
      <c r="E489" s="32" t="s">
        <v>155</v>
      </c>
      <c r="F489" s="32" t="s">
        <v>667</v>
      </c>
      <c r="G489" s="32" t="s">
        <v>264</v>
      </c>
      <c r="H489" s="32" t="s">
        <v>352</v>
      </c>
      <c r="I489" s="31" t="s">
        <v>420</v>
      </c>
      <c r="J489" s="31">
        <v>99</v>
      </c>
      <c r="K489" s="33" t="s">
        <v>703</v>
      </c>
      <c r="L489" s="33" t="s">
        <v>720</v>
      </c>
      <c r="M489" s="34" t="s">
        <v>723</v>
      </c>
      <c r="N489" s="34" t="s">
        <v>1705</v>
      </c>
      <c r="O489" s="35">
        <v>1</v>
      </c>
      <c r="P489" s="35"/>
      <c r="Q489" s="32"/>
      <c r="S489" s="1">
        <f t="shared" si="157"/>
        <v>0</v>
      </c>
      <c r="T489" s="1">
        <f t="shared" si="158"/>
        <v>0</v>
      </c>
      <c r="U489" s="1">
        <f t="shared" si="159"/>
        <v>0</v>
      </c>
      <c r="V489" s="1">
        <f t="shared" si="160"/>
        <v>0</v>
      </c>
      <c r="W489" s="1">
        <f t="shared" si="161"/>
        <v>0</v>
      </c>
      <c r="X489" s="1">
        <f t="shared" si="162"/>
        <v>0</v>
      </c>
      <c r="Y489" s="1">
        <f t="shared" si="163"/>
        <v>0</v>
      </c>
      <c r="Z489" s="1">
        <f t="shared" si="164"/>
        <v>0</v>
      </c>
      <c r="AA489" s="1">
        <f t="shared" si="165"/>
        <v>0</v>
      </c>
      <c r="AB489" s="1">
        <f t="shared" si="166"/>
        <v>0</v>
      </c>
      <c r="AD489" s="1">
        <f t="shared" si="167"/>
        <v>0</v>
      </c>
      <c r="AE489" s="1">
        <f t="shared" si="168"/>
        <v>1</v>
      </c>
      <c r="AF489" s="1">
        <f t="shared" si="169"/>
        <v>0</v>
      </c>
      <c r="AG489" s="1">
        <f t="shared" si="170"/>
        <v>1</v>
      </c>
      <c r="AH489" s="1">
        <f t="shared" si="171"/>
        <v>0</v>
      </c>
      <c r="AI489" s="1">
        <f t="shared" si="172"/>
        <v>1</v>
      </c>
    </row>
    <row r="490" spans="1:35" ht="14.25" customHeight="1" x14ac:dyDescent="0.25">
      <c r="A490" s="15">
        <v>0</v>
      </c>
      <c r="B490" s="15">
        <v>2</v>
      </c>
      <c r="C490" s="15">
        <v>7</v>
      </c>
      <c r="D490" s="20" t="s">
        <v>1818</v>
      </c>
      <c r="E490" s="16" t="s">
        <v>155</v>
      </c>
      <c r="F490" s="20" t="s">
        <v>1819</v>
      </c>
      <c r="G490" s="20" t="s">
        <v>281</v>
      </c>
      <c r="H490" s="20" t="s">
        <v>352</v>
      </c>
      <c r="I490" s="21" t="s">
        <v>1820</v>
      </c>
      <c r="J490" s="15">
        <v>99</v>
      </c>
      <c r="K490" s="10" t="s">
        <v>694</v>
      </c>
      <c r="L490" s="10" t="s">
        <v>713</v>
      </c>
      <c r="M490" s="19" t="s">
        <v>723</v>
      </c>
      <c r="N490" s="19"/>
      <c r="Q490" s="20"/>
      <c r="S490" s="1">
        <f t="shared" si="157"/>
        <v>0</v>
      </c>
      <c r="T490" s="1">
        <f t="shared" si="158"/>
        <v>0</v>
      </c>
      <c r="U490" s="1">
        <f t="shared" si="159"/>
        <v>0</v>
      </c>
      <c r="V490" s="1">
        <f t="shared" si="160"/>
        <v>0</v>
      </c>
      <c r="W490" s="1">
        <f t="shared" si="161"/>
        <v>0</v>
      </c>
      <c r="X490" s="1">
        <f t="shared" si="162"/>
        <v>0</v>
      </c>
      <c r="Y490" s="1">
        <f t="shared" si="163"/>
        <v>0</v>
      </c>
      <c r="Z490" s="1">
        <f t="shared" si="164"/>
        <v>0</v>
      </c>
      <c r="AA490" s="1">
        <f t="shared" si="165"/>
        <v>0</v>
      </c>
      <c r="AB490" s="1">
        <f t="shared" si="166"/>
        <v>0</v>
      </c>
      <c r="AD490" s="1">
        <f t="shared" si="167"/>
        <v>0</v>
      </c>
      <c r="AE490" s="1">
        <f t="shared" si="168"/>
        <v>0</v>
      </c>
      <c r="AF490" s="1">
        <f t="shared" si="169"/>
        <v>0</v>
      </c>
      <c r="AG490" s="1">
        <f t="shared" si="170"/>
        <v>0</v>
      </c>
      <c r="AH490" s="1">
        <f t="shared" si="171"/>
        <v>0</v>
      </c>
      <c r="AI490" s="1">
        <f t="shared" si="172"/>
        <v>1</v>
      </c>
    </row>
    <row r="491" spans="1:35" ht="14.25" customHeight="1" x14ac:dyDescent="0.25">
      <c r="A491" s="31">
        <v>0</v>
      </c>
      <c r="B491" s="31">
        <v>2</v>
      </c>
      <c r="C491" s="31">
        <v>7</v>
      </c>
      <c r="D491" s="32" t="s">
        <v>60</v>
      </c>
      <c r="E491" s="32" t="s">
        <v>162</v>
      </c>
      <c r="F491" s="32" t="s">
        <v>226</v>
      </c>
      <c r="G491" s="32" t="s">
        <v>189</v>
      </c>
      <c r="H491" s="32" t="s">
        <v>352</v>
      </c>
      <c r="I491" s="31" t="s">
        <v>397</v>
      </c>
      <c r="J491" s="31">
        <v>99</v>
      </c>
      <c r="K491" s="33" t="s">
        <v>704</v>
      </c>
      <c r="L491" s="33" t="s">
        <v>713</v>
      </c>
      <c r="M491" s="34" t="s">
        <v>723</v>
      </c>
      <c r="N491" s="34" t="s">
        <v>1709</v>
      </c>
      <c r="O491" s="35">
        <v>1</v>
      </c>
      <c r="P491" s="35"/>
      <c r="Q491" s="32"/>
      <c r="S491" s="1">
        <f t="shared" si="157"/>
        <v>0</v>
      </c>
      <c r="T491" s="1">
        <f t="shared" si="158"/>
        <v>0</v>
      </c>
      <c r="U491" s="1">
        <f t="shared" si="159"/>
        <v>0</v>
      </c>
      <c r="V491" s="1">
        <f t="shared" si="160"/>
        <v>0</v>
      </c>
      <c r="W491" s="1">
        <f t="shared" si="161"/>
        <v>0</v>
      </c>
      <c r="X491" s="1">
        <f t="shared" si="162"/>
        <v>0</v>
      </c>
      <c r="Y491" s="1">
        <f t="shared" si="163"/>
        <v>0</v>
      </c>
      <c r="Z491" s="1">
        <f t="shared" si="164"/>
        <v>0</v>
      </c>
      <c r="AA491" s="1">
        <f t="shared" si="165"/>
        <v>0</v>
      </c>
      <c r="AB491" s="1">
        <f t="shared" si="166"/>
        <v>0</v>
      </c>
      <c r="AD491" s="1">
        <f t="shared" si="167"/>
        <v>0</v>
      </c>
      <c r="AE491" s="1">
        <f t="shared" si="168"/>
        <v>1</v>
      </c>
      <c r="AF491" s="1">
        <f t="shared" si="169"/>
        <v>0</v>
      </c>
      <c r="AG491" s="1">
        <f t="shared" si="170"/>
        <v>1</v>
      </c>
      <c r="AH491" s="1">
        <f t="shared" si="171"/>
        <v>0</v>
      </c>
      <c r="AI491" s="1">
        <f t="shared" si="172"/>
        <v>1</v>
      </c>
    </row>
    <row r="492" spans="1:35" ht="14.25" customHeight="1" x14ac:dyDescent="0.25">
      <c r="A492" s="31">
        <v>0</v>
      </c>
      <c r="B492" s="31">
        <v>2</v>
      </c>
      <c r="C492" s="31">
        <v>7</v>
      </c>
      <c r="D492" s="32" t="s">
        <v>1303</v>
      </c>
      <c r="E492" s="32" t="s">
        <v>155</v>
      </c>
      <c r="F492" s="32" t="s">
        <v>1121</v>
      </c>
      <c r="G492" s="32" t="s">
        <v>191</v>
      </c>
      <c r="H492" s="32" t="s">
        <v>352</v>
      </c>
      <c r="I492" s="31" t="s">
        <v>1340</v>
      </c>
      <c r="J492" s="31">
        <v>99</v>
      </c>
      <c r="K492" s="33" t="s">
        <v>703</v>
      </c>
      <c r="L492" s="33" t="s">
        <v>39</v>
      </c>
      <c r="M492" s="34" t="s">
        <v>39</v>
      </c>
      <c r="N492" s="34" t="s">
        <v>1693</v>
      </c>
      <c r="O492" s="35">
        <v>1</v>
      </c>
      <c r="P492" s="35">
        <v>1</v>
      </c>
      <c r="Q492" s="32"/>
      <c r="S492" s="1">
        <f t="shared" si="157"/>
        <v>0</v>
      </c>
      <c r="T492" s="1">
        <f t="shared" si="158"/>
        <v>0</v>
      </c>
      <c r="U492" s="1">
        <f t="shared" si="159"/>
        <v>0</v>
      </c>
      <c r="V492" s="1">
        <f t="shared" si="160"/>
        <v>0</v>
      </c>
      <c r="W492" s="1">
        <f t="shared" si="161"/>
        <v>0</v>
      </c>
      <c r="X492" s="1">
        <f t="shared" si="162"/>
        <v>0</v>
      </c>
      <c r="Y492" s="1">
        <f t="shared" si="163"/>
        <v>0</v>
      </c>
      <c r="Z492" s="1">
        <f t="shared" si="164"/>
        <v>0</v>
      </c>
      <c r="AA492" s="1">
        <f t="shared" si="165"/>
        <v>0</v>
      </c>
      <c r="AB492" s="1">
        <f t="shared" si="166"/>
        <v>0</v>
      </c>
      <c r="AD492" s="1">
        <f t="shared" si="167"/>
        <v>1</v>
      </c>
      <c r="AE492" s="1">
        <f t="shared" si="168"/>
        <v>0</v>
      </c>
      <c r="AF492" s="1">
        <f t="shared" si="169"/>
        <v>1</v>
      </c>
      <c r="AG492" s="1">
        <f t="shared" si="170"/>
        <v>0</v>
      </c>
      <c r="AH492" s="1">
        <f t="shared" si="171"/>
        <v>1</v>
      </c>
      <c r="AI492" s="1">
        <f t="shared" si="172"/>
        <v>0</v>
      </c>
    </row>
    <row r="493" spans="1:35" ht="14.25" customHeight="1" x14ac:dyDescent="0.25">
      <c r="A493" s="31">
        <v>0</v>
      </c>
      <c r="B493" s="31">
        <v>2</v>
      </c>
      <c r="C493" s="31">
        <v>7</v>
      </c>
      <c r="D493" s="32" t="s">
        <v>581</v>
      </c>
      <c r="E493" s="32" t="s">
        <v>1311</v>
      </c>
      <c r="F493" s="32" t="s">
        <v>668</v>
      </c>
      <c r="G493" s="32" t="s">
        <v>239</v>
      </c>
      <c r="H493" s="32" t="s">
        <v>352</v>
      </c>
      <c r="I493" s="31" t="s">
        <v>403</v>
      </c>
      <c r="J493" s="31">
        <v>1</v>
      </c>
      <c r="K493" s="33" t="s">
        <v>704</v>
      </c>
      <c r="L493" s="33" t="s">
        <v>1677</v>
      </c>
      <c r="M493" s="34" t="s">
        <v>1408</v>
      </c>
      <c r="N493" s="34" t="s">
        <v>1709</v>
      </c>
      <c r="O493" s="35">
        <v>1</v>
      </c>
      <c r="P493" s="35"/>
      <c r="Q493" s="32"/>
      <c r="S493" s="1">
        <f t="shared" si="157"/>
        <v>1</v>
      </c>
      <c r="T493" s="1">
        <f t="shared" si="158"/>
        <v>0</v>
      </c>
      <c r="U493" s="1">
        <f t="shared" si="159"/>
        <v>0</v>
      </c>
      <c r="V493" s="1">
        <f t="shared" si="160"/>
        <v>0</v>
      </c>
      <c r="W493" s="1">
        <f t="shared" si="161"/>
        <v>0</v>
      </c>
      <c r="X493" s="1">
        <f t="shared" si="162"/>
        <v>0</v>
      </c>
      <c r="Y493" s="1">
        <f t="shared" si="163"/>
        <v>0</v>
      </c>
      <c r="Z493" s="1">
        <f t="shared" si="164"/>
        <v>0</v>
      </c>
      <c r="AA493" s="1">
        <f t="shared" si="165"/>
        <v>0</v>
      </c>
      <c r="AB493" s="1">
        <f t="shared" si="166"/>
        <v>0</v>
      </c>
      <c r="AD493" s="1">
        <f t="shared" si="167"/>
        <v>0</v>
      </c>
      <c r="AE493" s="1">
        <f t="shared" si="168"/>
        <v>1</v>
      </c>
      <c r="AF493" s="1">
        <f t="shared" si="169"/>
        <v>0</v>
      </c>
      <c r="AG493" s="1">
        <f t="shared" si="170"/>
        <v>1</v>
      </c>
      <c r="AH493" s="1">
        <f t="shared" si="171"/>
        <v>0</v>
      </c>
      <c r="AI493" s="1">
        <f t="shared" si="172"/>
        <v>1</v>
      </c>
    </row>
    <row r="494" spans="1:35" ht="14.25" customHeight="1" x14ac:dyDescent="0.25">
      <c r="A494" s="31">
        <v>1</v>
      </c>
      <c r="B494" s="31">
        <v>2</v>
      </c>
      <c r="C494" s="31">
        <v>7</v>
      </c>
      <c r="D494" s="32" t="s">
        <v>581</v>
      </c>
      <c r="E494" s="32" t="s">
        <v>1311</v>
      </c>
      <c r="F494" s="32" t="s">
        <v>238</v>
      </c>
      <c r="G494" s="32" t="s">
        <v>177</v>
      </c>
      <c r="H494" s="32" t="s">
        <v>352</v>
      </c>
      <c r="I494" s="31" t="s">
        <v>402</v>
      </c>
      <c r="J494" s="31">
        <v>1</v>
      </c>
      <c r="K494" s="33" t="s">
        <v>704</v>
      </c>
      <c r="L494" s="33" t="s">
        <v>1677</v>
      </c>
      <c r="M494" s="34" t="s">
        <v>1408</v>
      </c>
      <c r="N494" s="34" t="s">
        <v>1709</v>
      </c>
      <c r="O494" s="35">
        <v>1</v>
      </c>
      <c r="P494" s="35"/>
      <c r="Q494" s="36" t="s">
        <v>1870</v>
      </c>
      <c r="S494" s="1">
        <f t="shared" si="157"/>
        <v>1</v>
      </c>
      <c r="T494" s="1">
        <f t="shared" si="158"/>
        <v>0</v>
      </c>
      <c r="U494" s="1">
        <f t="shared" si="159"/>
        <v>0</v>
      </c>
      <c r="V494" s="1">
        <f t="shared" si="160"/>
        <v>0</v>
      </c>
      <c r="W494" s="1">
        <f t="shared" si="161"/>
        <v>0</v>
      </c>
      <c r="X494" s="1">
        <f t="shared" si="162"/>
        <v>0</v>
      </c>
      <c r="Y494" s="1">
        <f t="shared" si="163"/>
        <v>0</v>
      </c>
      <c r="Z494" s="1">
        <f t="shared" si="164"/>
        <v>0</v>
      </c>
      <c r="AA494" s="1">
        <f t="shared" si="165"/>
        <v>0</v>
      </c>
      <c r="AB494" s="1">
        <f t="shared" si="166"/>
        <v>0</v>
      </c>
      <c r="AD494" s="1">
        <f t="shared" si="167"/>
        <v>0</v>
      </c>
      <c r="AE494" s="1">
        <f t="shared" si="168"/>
        <v>1</v>
      </c>
      <c r="AF494" s="1">
        <f t="shared" si="169"/>
        <v>0</v>
      </c>
      <c r="AG494" s="1">
        <f t="shared" si="170"/>
        <v>0</v>
      </c>
      <c r="AH494" s="1">
        <f t="shared" si="171"/>
        <v>0</v>
      </c>
      <c r="AI494" s="1">
        <f t="shared" si="172"/>
        <v>0</v>
      </c>
    </row>
    <row r="495" spans="1:35" ht="14.25" customHeight="1" x14ac:dyDescent="0.25">
      <c r="A495" s="31">
        <v>0</v>
      </c>
      <c r="B495" s="31">
        <v>2</v>
      </c>
      <c r="C495" s="31">
        <v>7</v>
      </c>
      <c r="D495" s="32" t="s">
        <v>1304</v>
      </c>
      <c r="E495" s="32" t="s">
        <v>155</v>
      </c>
      <c r="F495" s="32" t="s">
        <v>1328</v>
      </c>
      <c r="G495" s="32" t="s">
        <v>257</v>
      </c>
      <c r="H495" s="32" t="s">
        <v>352</v>
      </c>
      <c r="I495" s="31" t="s">
        <v>1214</v>
      </c>
      <c r="J495" s="31">
        <v>8</v>
      </c>
      <c r="K495" s="33" t="s">
        <v>936</v>
      </c>
      <c r="L495" s="33" t="s">
        <v>713</v>
      </c>
      <c r="M495" s="34" t="s">
        <v>723</v>
      </c>
      <c r="N495" s="34" t="s">
        <v>1709</v>
      </c>
      <c r="O495" s="35">
        <v>1</v>
      </c>
      <c r="P495" s="35"/>
      <c r="Q495" s="32"/>
      <c r="S495" s="1">
        <f t="shared" si="157"/>
        <v>0</v>
      </c>
      <c r="T495" s="1">
        <f t="shared" si="158"/>
        <v>0</v>
      </c>
      <c r="U495" s="1">
        <f t="shared" si="159"/>
        <v>0</v>
      </c>
      <c r="V495" s="1">
        <f t="shared" si="160"/>
        <v>0</v>
      </c>
      <c r="W495" s="1">
        <f t="shared" si="161"/>
        <v>0</v>
      </c>
      <c r="X495" s="1">
        <f t="shared" si="162"/>
        <v>0</v>
      </c>
      <c r="Y495" s="1">
        <f t="shared" si="163"/>
        <v>0</v>
      </c>
      <c r="Z495" s="1">
        <f t="shared" si="164"/>
        <v>1</v>
      </c>
      <c r="AA495" s="1">
        <f t="shared" si="165"/>
        <v>0</v>
      </c>
      <c r="AB495" s="1">
        <f t="shared" si="166"/>
        <v>0</v>
      </c>
      <c r="AD495" s="1">
        <f t="shared" si="167"/>
        <v>0</v>
      </c>
      <c r="AE495" s="1">
        <f t="shared" si="168"/>
        <v>1</v>
      </c>
      <c r="AF495" s="1">
        <f t="shared" si="169"/>
        <v>0</v>
      </c>
      <c r="AG495" s="1">
        <f t="shared" si="170"/>
        <v>1</v>
      </c>
      <c r="AH495" s="1">
        <f t="shared" si="171"/>
        <v>0</v>
      </c>
      <c r="AI495" s="1">
        <f t="shared" si="172"/>
        <v>1</v>
      </c>
    </row>
    <row r="496" spans="1:35" ht="14.25" customHeight="1" x14ac:dyDescent="0.25">
      <c r="A496" s="31">
        <v>1</v>
      </c>
      <c r="B496" s="31">
        <v>2</v>
      </c>
      <c r="C496" s="31">
        <v>7</v>
      </c>
      <c r="D496" s="32" t="s">
        <v>1304</v>
      </c>
      <c r="E496" s="32" t="s">
        <v>155</v>
      </c>
      <c r="F496" s="32" t="s">
        <v>1193</v>
      </c>
      <c r="G496" s="32" t="s">
        <v>217</v>
      </c>
      <c r="H496" s="32" t="s">
        <v>352</v>
      </c>
      <c r="I496" s="31" t="s">
        <v>1214</v>
      </c>
      <c r="J496" s="31">
        <v>99</v>
      </c>
      <c r="K496" s="33" t="s">
        <v>936</v>
      </c>
      <c r="L496" s="33" t="s">
        <v>713</v>
      </c>
      <c r="M496" s="34" t="s">
        <v>723</v>
      </c>
      <c r="N496" s="34" t="s">
        <v>1709</v>
      </c>
      <c r="O496" s="35">
        <v>1</v>
      </c>
      <c r="P496" s="35"/>
      <c r="Q496" s="32"/>
      <c r="S496" s="1">
        <f t="shared" si="157"/>
        <v>0</v>
      </c>
      <c r="T496" s="1">
        <f t="shared" si="158"/>
        <v>0</v>
      </c>
      <c r="U496" s="1">
        <f t="shared" si="159"/>
        <v>0</v>
      </c>
      <c r="V496" s="1">
        <f t="shared" si="160"/>
        <v>0</v>
      </c>
      <c r="W496" s="1">
        <f t="shared" si="161"/>
        <v>0</v>
      </c>
      <c r="X496" s="1">
        <f t="shared" si="162"/>
        <v>0</v>
      </c>
      <c r="Y496" s="1">
        <f t="shared" si="163"/>
        <v>0</v>
      </c>
      <c r="Z496" s="1">
        <f t="shared" si="164"/>
        <v>0</v>
      </c>
      <c r="AA496" s="1">
        <f t="shared" si="165"/>
        <v>0</v>
      </c>
      <c r="AB496" s="1">
        <f t="shared" si="166"/>
        <v>0</v>
      </c>
      <c r="AD496" s="1">
        <f t="shared" si="167"/>
        <v>0</v>
      </c>
      <c r="AE496" s="1">
        <f t="shared" si="168"/>
        <v>1</v>
      </c>
      <c r="AF496" s="1">
        <f t="shared" si="169"/>
        <v>0</v>
      </c>
      <c r="AG496" s="1">
        <f t="shared" si="170"/>
        <v>0</v>
      </c>
      <c r="AH496" s="1">
        <f t="shared" si="171"/>
        <v>0</v>
      </c>
      <c r="AI496" s="1">
        <f t="shared" si="172"/>
        <v>0</v>
      </c>
    </row>
    <row r="497" spans="1:35" ht="14.25" customHeight="1" x14ac:dyDescent="0.25">
      <c r="A497" s="31">
        <v>0</v>
      </c>
      <c r="B497" s="31">
        <v>2</v>
      </c>
      <c r="C497" s="31">
        <v>7</v>
      </c>
      <c r="D497" s="32" t="s">
        <v>1223</v>
      </c>
      <c r="E497" s="32" t="s">
        <v>155</v>
      </c>
      <c r="F497" s="32" t="s">
        <v>1225</v>
      </c>
      <c r="G497" s="32" t="s">
        <v>219</v>
      </c>
      <c r="H497" s="32" t="s">
        <v>352</v>
      </c>
      <c r="I497" s="31" t="s">
        <v>1341</v>
      </c>
      <c r="J497" s="31">
        <v>8</v>
      </c>
      <c r="K497" s="33" t="s">
        <v>935</v>
      </c>
      <c r="L497" s="33" t="s">
        <v>713</v>
      </c>
      <c r="M497" s="34" t="s">
        <v>723</v>
      </c>
      <c r="N497" s="34" t="s">
        <v>1705</v>
      </c>
      <c r="O497" s="35">
        <v>1</v>
      </c>
      <c r="P497" s="35"/>
      <c r="Q497" s="32"/>
      <c r="S497" s="1">
        <f t="shared" si="157"/>
        <v>0</v>
      </c>
      <c r="T497" s="1">
        <f t="shared" si="158"/>
        <v>0</v>
      </c>
      <c r="U497" s="1">
        <f t="shared" si="159"/>
        <v>0</v>
      </c>
      <c r="V497" s="1">
        <f t="shared" si="160"/>
        <v>0</v>
      </c>
      <c r="W497" s="1">
        <f t="shared" si="161"/>
        <v>0</v>
      </c>
      <c r="X497" s="1">
        <f t="shared" si="162"/>
        <v>0</v>
      </c>
      <c r="Y497" s="1">
        <f t="shared" si="163"/>
        <v>0</v>
      </c>
      <c r="Z497" s="1">
        <f t="shared" si="164"/>
        <v>1</v>
      </c>
      <c r="AA497" s="1">
        <f t="shared" si="165"/>
        <v>0</v>
      </c>
      <c r="AB497" s="1">
        <f t="shared" si="166"/>
        <v>0</v>
      </c>
      <c r="AD497" s="1">
        <f t="shared" si="167"/>
        <v>0</v>
      </c>
      <c r="AE497" s="1">
        <f t="shared" si="168"/>
        <v>1</v>
      </c>
      <c r="AF497" s="1">
        <f t="shared" si="169"/>
        <v>0</v>
      </c>
      <c r="AG497" s="1">
        <f t="shared" si="170"/>
        <v>1</v>
      </c>
      <c r="AH497" s="1">
        <f t="shared" si="171"/>
        <v>0</v>
      </c>
      <c r="AI497" s="1">
        <f t="shared" si="172"/>
        <v>1</v>
      </c>
    </row>
    <row r="498" spans="1:35" ht="14.25" customHeight="1" x14ac:dyDescent="0.25">
      <c r="A498" s="31">
        <v>1</v>
      </c>
      <c r="B498" s="31">
        <v>2</v>
      </c>
      <c r="C498" s="31">
        <v>7</v>
      </c>
      <c r="D498" s="32" t="s">
        <v>1223</v>
      </c>
      <c r="E498" s="32" t="s">
        <v>155</v>
      </c>
      <c r="F498" s="32" t="s">
        <v>1329</v>
      </c>
      <c r="G498" s="32" t="s">
        <v>39</v>
      </c>
      <c r="H498" s="32" t="s">
        <v>353</v>
      </c>
      <c r="I498" s="31" t="s">
        <v>1224</v>
      </c>
      <c r="J498" s="31">
        <v>99</v>
      </c>
      <c r="K498" s="33" t="s">
        <v>935</v>
      </c>
      <c r="L498" s="33" t="s">
        <v>713</v>
      </c>
      <c r="M498" s="34" t="s">
        <v>723</v>
      </c>
      <c r="N498" s="34" t="s">
        <v>1705</v>
      </c>
      <c r="O498" s="35">
        <v>1</v>
      </c>
      <c r="P498" s="35"/>
      <c r="Q498" s="32" t="s">
        <v>1863</v>
      </c>
      <c r="S498" s="1">
        <f t="shared" si="157"/>
        <v>0</v>
      </c>
      <c r="T498" s="1">
        <f t="shared" si="158"/>
        <v>0</v>
      </c>
      <c r="U498" s="1">
        <f t="shared" si="159"/>
        <v>0</v>
      </c>
      <c r="V498" s="1">
        <f t="shared" si="160"/>
        <v>0</v>
      </c>
      <c r="W498" s="1">
        <f t="shared" si="161"/>
        <v>0</v>
      </c>
      <c r="X498" s="1">
        <f t="shared" si="162"/>
        <v>0</v>
      </c>
      <c r="Y498" s="1">
        <f t="shared" si="163"/>
        <v>0</v>
      </c>
      <c r="Z498" s="1">
        <f t="shared" si="164"/>
        <v>0</v>
      </c>
      <c r="AA498" s="1">
        <f t="shared" si="165"/>
        <v>0</v>
      </c>
      <c r="AB498" s="1">
        <f t="shared" si="166"/>
        <v>0</v>
      </c>
      <c r="AD498" s="1">
        <f t="shared" si="167"/>
        <v>0</v>
      </c>
      <c r="AE498" s="1">
        <f t="shared" si="168"/>
        <v>1</v>
      </c>
      <c r="AF498" s="1">
        <f t="shared" si="169"/>
        <v>0</v>
      </c>
      <c r="AG498" s="1">
        <f t="shared" si="170"/>
        <v>0</v>
      </c>
      <c r="AH498" s="1">
        <f t="shared" si="171"/>
        <v>0</v>
      </c>
      <c r="AI498" s="1">
        <f t="shared" si="172"/>
        <v>0</v>
      </c>
    </row>
    <row r="499" spans="1:35" ht="14.25" customHeight="1" x14ac:dyDescent="0.25">
      <c r="A499" s="31">
        <v>1</v>
      </c>
      <c r="B499" s="31">
        <v>2</v>
      </c>
      <c r="C499" s="31">
        <v>7</v>
      </c>
      <c r="D499" s="32" t="s">
        <v>1223</v>
      </c>
      <c r="E499" s="32" t="s">
        <v>155</v>
      </c>
      <c r="F499" s="32" t="s">
        <v>1491</v>
      </c>
      <c r="G499" s="32" t="s">
        <v>234</v>
      </c>
      <c r="H499" s="32" t="s">
        <v>352</v>
      </c>
      <c r="I499" s="31" t="s">
        <v>1657</v>
      </c>
      <c r="J499" s="31">
        <v>99</v>
      </c>
      <c r="K499" s="33" t="s">
        <v>935</v>
      </c>
      <c r="L499" s="33" t="s">
        <v>713</v>
      </c>
      <c r="M499" s="34" t="s">
        <v>723</v>
      </c>
      <c r="N499" s="34" t="s">
        <v>1705</v>
      </c>
      <c r="O499" s="35">
        <v>1</v>
      </c>
      <c r="P499" s="35"/>
      <c r="Q499" s="32"/>
      <c r="S499" s="1">
        <f t="shared" si="157"/>
        <v>0</v>
      </c>
      <c r="T499" s="1">
        <f t="shared" si="158"/>
        <v>0</v>
      </c>
      <c r="U499" s="1">
        <f t="shared" si="159"/>
        <v>0</v>
      </c>
      <c r="V499" s="1">
        <f t="shared" si="160"/>
        <v>0</v>
      </c>
      <c r="W499" s="1">
        <f t="shared" si="161"/>
        <v>0</v>
      </c>
      <c r="X499" s="1">
        <f t="shared" si="162"/>
        <v>0</v>
      </c>
      <c r="Y499" s="1">
        <f t="shared" si="163"/>
        <v>0</v>
      </c>
      <c r="Z499" s="1">
        <f t="shared" si="164"/>
        <v>0</v>
      </c>
      <c r="AA499" s="1">
        <f t="shared" si="165"/>
        <v>0</v>
      </c>
      <c r="AB499" s="1">
        <f t="shared" si="166"/>
        <v>0</v>
      </c>
      <c r="AD499" s="1">
        <f t="shared" si="167"/>
        <v>0</v>
      </c>
      <c r="AE499" s="1">
        <f t="shared" si="168"/>
        <v>1</v>
      </c>
      <c r="AF499" s="1">
        <f t="shared" si="169"/>
        <v>0</v>
      </c>
      <c r="AG499" s="1">
        <f t="shared" si="170"/>
        <v>0</v>
      </c>
      <c r="AH499" s="1">
        <f t="shared" si="171"/>
        <v>0</v>
      </c>
      <c r="AI499" s="1">
        <f t="shared" si="172"/>
        <v>0</v>
      </c>
    </row>
    <row r="500" spans="1:35" ht="14.25" customHeight="1" x14ac:dyDescent="0.25">
      <c r="A500" s="31">
        <v>0</v>
      </c>
      <c r="B500" s="31">
        <v>2</v>
      </c>
      <c r="C500" s="31">
        <v>7</v>
      </c>
      <c r="D500" s="32" t="s">
        <v>1810</v>
      </c>
      <c r="E500" s="32" t="s">
        <v>1811</v>
      </c>
      <c r="F500" s="32" t="s">
        <v>1812</v>
      </c>
      <c r="G500" s="32" t="s">
        <v>264</v>
      </c>
      <c r="H500" s="32" t="s">
        <v>352</v>
      </c>
      <c r="I500" s="31" t="s">
        <v>1813</v>
      </c>
      <c r="J500" s="31">
        <v>99</v>
      </c>
      <c r="K500" s="33" t="s">
        <v>694</v>
      </c>
      <c r="L500" s="33"/>
      <c r="M500" s="34"/>
      <c r="N500" s="34" t="s">
        <v>1693</v>
      </c>
      <c r="O500" s="35">
        <v>1</v>
      </c>
      <c r="P500" s="35">
        <v>1</v>
      </c>
      <c r="Q500" s="32"/>
      <c r="S500" s="1">
        <f t="shared" si="157"/>
        <v>0</v>
      </c>
      <c r="T500" s="1">
        <f t="shared" si="158"/>
        <v>0</v>
      </c>
      <c r="U500" s="1">
        <f t="shared" si="159"/>
        <v>0</v>
      </c>
      <c r="V500" s="1">
        <f t="shared" si="160"/>
        <v>0</v>
      </c>
      <c r="W500" s="1">
        <f t="shared" si="161"/>
        <v>0</v>
      </c>
      <c r="X500" s="1">
        <f t="shared" si="162"/>
        <v>0</v>
      </c>
      <c r="Y500" s="1">
        <f t="shared" si="163"/>
        <v>0</v>
      </c>
      <c r="Z500" s="1">
        <f t="shared" si="164"/>
        <v>0</v>
      </c>
      <c r="AA500" s="1">
        <f t="shared" si="165"/>
        <v>0</v>
      </c>
      <c r="AB500" s="1">
        <f t="shared" si="166"/>
        <v>0</v>
      </c>
      <c r="AD500" s="1">
        <f t="shared" si="167"/>
        <v>1</v>
      </c>
      <c r="AE500" s="1">
        <f t="shared" si="168"/>
        <v>0</v>
      </c>
      <c r="AF500" s="1">
        <f t="shared" si="169"/>
        <v>1</v>
      </c>
      <c r="AG500" s="1">
        <f t="shared" si="170"/>
        <v>0</v>
      </c>
      <c r="AH500" s="1">
        <f t="shared" si="171"/>
        <v>1</v>
      </c>
      <c r="AI500" s="1">
        <f t="shared" si="172"/>
        <v>0</v>
      </c>
    </row>
    <row r="501" spans="1:35" ht="14.25" customHeight="1" x14ac:dyDescent="0.25">
      <c r="A501" s="31">
        <v>0</v>
      </c>
      <c r="B501" s="31">
        <v>2</v>
      </c>
      <c r="C501" s="31">
        <v>7</v>
      </c>
      <c r="D501" s="32" t="s">
        <v>1218</v>
      </c>
      <c r="E501" s="32" t="s">
        <v>28</v>
      </c>
      <c r="F501" s="32" t="s">
        <v>1211</v>
      </c>
      <c r="G501" s="32" t="s">
        <v>1212</v>
      </c>
      <c r="H501" s="32" t="s">
        <v>352</v>
      </c>
      <c r="I501" s="31" t="s">
        <v>1213</v>
      </c>
      <c r="J501" s="31">
        <v>99</v>
      </c>
      <c r="K501" s="33" t="s">
        <v>703</v>
      </c>
      <c r="L501" s="33" t="s">
        <v>704</v>
      </c>
      <c r="M501" s="34" t="s">
        <v>722</v>
      </c>
      <c r="N501" s="34" t="s">
        <v>1705</v>
      </c>
      <c r="O501" s="35">
        <v>1</v>
      </c>
      <c r="P501" s="35"/>
      <c r="Q501" s="32"/>
      <c r="S501" s="1">
        <f t="shared" si="157"/>
        <v>0</v>
      </c>
      <c r="T501" s="1">
        <f t="shared" si="158"/>
        <v>0</v>
      </c>
      <c r="U501" s="1">
        <f t="shared" si="159"/>
        <v>0</v>
      </c>
      <c r="V501" s="1">
        <f t="shared" si="160"/>
        <v>0</v>
      </c>
      <c r="W501" s="1">
        <f t="shared" si="161"/>
        <v>0</v>
      </c>
      <c r="X501" s="1">
        <f t="shared" si="162"/>
        <v>0</v>
      </c>
      <c r="Y501" s="1">
        <f t="shared" si="163"/>
        <v>0</v>
      </c>
      <c r="Z501" s="1">
        <f t="shared" si="164"/>
        <v>0</v>
      </c>
      <c r="AA501" s="1">
        <f t="shared" si="165"/>
        <v>0</v>
      </c>
      <c r="AB501" s="1">
        <f t="shared" si="166"/>
        <v>0</v>
      </c>
      <c r="AD501" s="1">
        <f t="shared" si="167"/>
        <v>0</v>
      </c>
      <c r="AE501" s="1">
        <f t="shared" si="168"/>
        <v>1</v>
      </c>
      <c r="AF501" s="1">
        <f t="shared" si="169"/>
        <v>0</v>
      </c>
      <c r="AG501" s="1">
        <f t="shared" si="170"/>
        <v>1</v>
      </c>
      <c r="AH501" s="1">
        <f t="shared" si="171"/>
        <v>0</v>
      </c>
      <c r="AI501" s="1">
        <f t="shared" si="172"/>
        <v>1</v>
      </c>
    </row>
    <row r="502" spans="1:35" ht="14.25" customHeight="1" x14ac:dyDescent="0.25">
      <c r="A502" s="31">
        <v>1</v>
      </c>
      <c r="B502" s="31">
        <v>2</v>
      </c>
      <c r="C502" s="31">
        <v>7</v>
      </c>
      <c r="D502" s="32" t="s">
        <v>1215</v>
      </c>
      <c r="E502" s="32" t="s">
        <v>28</v>
      </c>
      <c r="F502" s="32" t="s">
        <v>1216</v>
      </c>
      <c r="G502" s="32" t="s">
        <v>519</v>
      </c>
      <c r="H502" s="32" t="s">
        <v>352</v>
      </c>
      <c r="I502" s="31" t="s">
        <v>1217</v>
      </c>
      <c r="J502" s="31">
        <v>99</v>
      </c>
      <c r="K502" s="33" t="s">
        <v>703</v>
      </c>
      <c r="L502" s="33" t="s">
        <v>704</v>
      </c>
      <c r="M502" s="34" t="s">
        <v>722</v>
      </c>
      <c r="N502" s="34" t="s">
        <v>1705</v>
      </c>
      <c r="O502" s="35">
        <v>1</v>
      </c>
      <c r="P502" s="35"/>
      <c r="Q502" s="32"/>
      <c r="S502" s="1">
        <f t="shared" si="157"/>
        <v>0</v>
      </c>
      <c r="T502" s="1">
        <f t="shared" si="158"/>
        <v>0</v>
      </c>
      <c r="U502" s="1">
        <f t="shared" si="159"/>
        <v>0</v>
      </c>
      <c r="V502" s="1">
        <f t="shared" si="160"/>
        <v>0</v>
      </c>
      <c r="W502" s="1">
        <f t="shared" si="161"/>
        <v>0</v>
      </c>
      <c r="X502" s="1">
        <f t="shared" si="162"/>
        <v>0</v>
      </c>
      <c r="Y502" s="1">
        <f t="shared" si="163"/>
        <v>0</v>
      </c>
      <c r="Z502" s="1">
        <f t="shared" si="164"/>
        <v>0</v>
      </c>
      <c r="AA502" s="1">
        <f t="shared" si="165"/>
        <v>0</v>
      </c>
      <c r="AB502" s="1">
        <f t="shared" si="166"/>
        <v>0</v>
      </c>
      <c r="AD502" s="1">
        <f t="shared" si="167"/>
        <v>0</v>
      </c>
      <c r="AE502" s="1">
        <f t="shared" si="168"/>
        <v>1</v>
      </c>
      <c r="AF502" s="1">
        <f t="shared" si="169"/>
        <v>0</v>
      </c>
      <c r="AG502" s="1">
        <f t="shared" si="170"/>
        <v>0</v>
      </c>
      <c r="AH502" s="1">
        <f t="shared" si="171"/>
        <v>0</v>
      </c>
      <c r="AI502" s="1">
        <f t="shared" si="172"/>
        <v>0</v>
      </c>
    </row>
    <row r="503" spans="1:35" ht="14.25" customHeight="1" x14ac:dyDescent="0.25">
      <c r="A503" s="31">
        <v>0</v>
      </c>
      <c r="B503" s="31">
        <v>2</v>
      </c>
      <c r="C503" s="31">
        <v>7</v>
      </c>
      <c r="D503" s="32" t="s">
        <v>1806</v>
      </c>
      <c r="E503" s="32" t="s">
        <v>1146</v>
      </c>
      <c r="F503" s="32" t="s">
        <v>1807</v>
      </c>
      <c r="G503" s="32"/>
      <c r="H503" s="32" t="s">
        <v>352</v>
      </c>
      <c r="I503" s="31" t="s">
        <v>1808</v>
      </c>
      <c r="J503" s="31">
        <v>6</v>
      </c>
      <c r="K503" s="33" t="s">
        <v>694</v>
      </c>
      <c r="L503" s="33"/>
      <c r="M503" s="34"/>
      <c r="N503" s="34" t="s">
        <v>1709</v>
      </c>
      <c r="O503" s="35">
        <v>1</v>
      </c>
      <c r="P503" s="35"/>
      <c r="Q503" s="32"/>
      <c r="S503" s="1">
        <f t="shared" si="157"/>
        <v>0</v>
      </c>
      <c r="T503" s="1">
        <f t="shared" si="158"/>
        <v>0</v>
      </c>
      <c r="U503" s="1">
        <f t="shared" si="159"/>
        <v>0</v>
      </c>
      <c r="V503" s="1">
        <f t="shared" si="160"/>
        <v>0</v>
      </c>
      <c r="W503" s="1">
        <f t="shared" si="161"/>
        <v>0</v>
      </c>
      <c r="X503" s="1">
        <f t="shared" si="162"/>
        <v>1</v>
      </c>
      <c r="Y503" s="1">
        <f t="shared" si="163"/>
        <v>0</v>
      </c>
      <c r="Z503" s="1">
        <f t="shared" si="164"/>
        <v>0</v>
      </c>
      <c r="AA503" s="1">
        <f t="shared" si="165"/>
        <v>0</v>
      </c>
      <c r="AB503" s="1">
        <f t="shared" si="166"/>
        <v>0</v>
      </c>
      <c r="AD503" s="1">
        <f t="shared" si="167"/>
        <v>0</v>
      </c>
      <c r="AE503" s="1">
        <f t="shared" si="168"/>
        <v>1</v>
      </c>
      <c r="AF503" s="1">
        <f t="shared" si="169"/>
        <v>0</v>
      </c>
      <c r="AG503" s="1">
        <f t="shared" si="170"/>
        <v>1</v>
      </c>
      <c r="AH503" s="1">
        <f t="shared" si="171"/>
        <v>0</v>
      </c>
      <c r="AI503" s="1">
        <f t="shared" si="172"/>
        <v>1</v>
      </c>
    </row>
    <row r="504" spans="1:35" ht="14.25" customHeight="1" x14ac:dyDescent="0.25">
      <c r="A504" s="31">
        <v>0</v>
      </c>
      <c r="B504" s="31">
        <v>2</v>
      </c>
      <c r="C504" s="31">
        <v>7</v>
      </c>
      <c r="D504" s="32" t="s">
        <v>1427</v>
      </c>
      <c r="E504" s="32" t="s">
        <v>28</v>
      </c>
      <c r="F504" s="32" t="s">
        <v>1428</v>
      </c>
      <c r="G504" s="32" t="s">
        <v>1429</v>
      </c>
      <c r="H504" s="32" t="s">
        <v>352</v>
      </c>
      <c r="I504" s="31" t="s">
        <v>1430</v>
      </c>
      <c r="J504" s="31">
        <v>99</v>
      </c>
      <c r="K504" s="33" t="s">
        <v>703</v>
      </c>
      <c r="L504" s="33" t="s">
        <v>704</v>
      </c>
      <c r="M504" s="34" t="s">
        <v>722</v>
      </c>
      <c r="N504" s="34" t="s">
        <v>1705</v>
      </c>
      <c r="O504" s="35">
        <v>1</v>
      </c>
      <c r="P504" s="35"/>
      <c r="Q504" s="32" t="s">
        <v>1890</v>
      </c>
      <c r="S504" s="1">
        <f t="shared" si="157"/>
        <v>0</v>
      </c>
      <c r="T504" s="1">
        <f t="shared" si="158"/>
        <v>0</v>
      </c>
      <c r="U504" s="1">
        <f t="shared" si="159"/>
        <v>0</v>
      </c>
      <c r="V504" s="1">
        <f t="shared" si="160"/>
        <v>0</v>
      </c>
      <c r="W504" s="1">
        <f t="shared" si="161"/>
        <v>0</v>
      </c>
      <c r="X504" s="1">
        <f t="shared" si="162"/>
        <v>0</v>
      </c>
      <c r="Y504" s="1">
        <f t="shared" si="163"/>
        <v>0</v>
      </c>
      <c r="Z504" s="1">
        <f t="shared" si="164"/>
        <v>0</v>
      </c>
      <c r="AA504" s="1">
        <f t="shared" si="165"/>
        <v>0</v>
      </c>
      <c r="AB504" s="1">
        <f t="shared" si="166"/>
        <v>0</v>
      </c>
      <c r="AD504" s="1">
        <f t="shared" si="167"/>
        <v>0</v>
      </c>
      <c r="AE504" s="1">
        <f t="shared" si="168"/>
        <v>1</v>
      </c>
      <c r="AF504" s="1">
        <f t="shared" si="169"/>
        <v>0</v>
      </c>
      <c r="AG504" s="1">
        <f t="shared" si="170"/>
        <v>1</v>
      </c>
      <c r="AH504" s="1">
        <f t="shared" si="171"/>
        <v>0</v>
      </c>
      <c r="AI504" s="1">
        <f t="shared" si="172"/>
        <v>1</v>
      </c>
    </row>
    <row r="505" spans="1:35" ht="14.25" customHeight="1" x14ac:dyDescent="0.25">
      <c r="A505" s="31">
        <v>0</v>
      </c>
      <c r="B505" s="31">
        <v>2</v>
      </c>
      <c r="C505" s="31">
        <v>7</v>
      </c>
      <c r="D505" s="32" t="s">
        <v>2090</v>
      </c>
      <c r="E505" s="32" t="s">
        <v>155</v>
      </c>
      <c r="F505" s="32" t="s">
        <v>2091</v>
      </c>
      <c r="G505" s="32" t="s">
        <v>552</v>
      </c>
      <c r="H505" s="32" t="s">
        <v>352</v>
      </c>
      <c r="I505" s="31" t="s">
        <v>2092</v>
      </c>
      <c r="J505" s="31">
        <v>99</v>
      </c>
      <c r="K505" s="33" t="s">
        <v>694</v>
      </c>
      <c r="L505" s="33">
        <v>7</v>
      </c>
      <c r="M505" s="34" t="s">
        <v>723</v>
      </c>
      <c r="N505" s="34" t="s">
        <v>1709</v>
      </c>
      <c r="O505" s="35">
        <v>1</v>
      </c>
      <c r="P505" s="35"/>
      <c r="Q505" s="32"/>
      <c r="S505" s="1">
        <f t="shared" si="157"/>
        <v>0</v>
      </c>
      <c r="T505" s="1">
        <f t="shared" si="158"/>
        <v>0</v>
      </c>
      <c r="U505" s="1">
        <f t="shared" si="159"/>
        <v>0</v>
      </c>
      <c r="V505" s="1">
        <f t="shared" si="160"/>
        <v>0</v>
      </c>
      <c r="W505" s="1">
        <f t="shared" si="161"/>
        <v>0</v>
      </c>
      <c r="X505" s="1">
        <f t="shared" si="162"/>
        <v>0</v>
      </c>
      <c r="Y505" s="1">
        <f t="shared" si="163"/>
        <v>0</v>
      </c>
      <c r="Z505" s="1">
        <f t="shared" si="164"/>
        <v>0</v>
      </c>
      <c r="AA505" s="1">
        <f t="shared" si="165"/>
        <v>0</v>
      </c>
      <c r="AB505" s="1">
        <f t="shared" si="166"/>
        <v>0</v>
      </c>
      <c r="AD505" s="1">
        <f t="shared" si="167"/>
        <v>0</v>
      </c>
      <c r="AE505" s="1">
        <f t="shared" si="168"/>
        <v>1</v>
      </c>
      <c r="AF505" s="1">
        <f t="shared" si="169"/>
        <v>0</v>
      </c>
      <c r="AG505" s="1">
        <f t="shared" si="170"/>
        <v>1</v>
      </c>
      <c r="AH505" s="1">
        <f t="shared" si="171"/>
        <v>0</v>
      </c>
      <c r="AI505" s="1">
        <f t="shared" si="172"/>
        <v>1</v>
      </c>
    </row>
    <row r="506" spans="1:35" ht="14.25" customHeight="1" x14ac:dyDescent="0.25">
      <c r="A506" s="31">
        <v>1</v>
      </c>
      <c r="B506" s="31">
        <v>2</v>
      </c>
      <c r="C506" s="31">
        <v>7</v>
      </c>
      <c r="D506" s="32" t="s">
        <v>2090</v>
      </c>
      <c r="E506" s="32" t="s">
        <v>155</v>
      </c>
      <c r="F506" s="32" t="s">
        <v>2093</v>
      </c>
      <c r="G506" s="32" t="s">
        <v>203</v>
      </c>
      <c r="H506" s="32" t="s">
        <v>352</v>
      </c>
      <c r="I506" s="31" t="s">
        <v>2092</v>
      </c>
      <c r="J506" s="31">
        <v>7</v>
      </c>
      <c r="K506" s="33" t="s">
        <v>694</v>
      </c>
      <c r="L506" s="33">
        <v>7</v>
      </c>
      <c r="M506" s="34" t="s">
        <v>723</v>
      </c>
      <c r="N506" s="34" t="s">
        <v>1709</v>
      </c>
      <c r="O506" s="35">
        <v>1</v>
      </c>
      <c r="P506" s="35"/>
      <c r="Q506" s="32"/>
      <c r="S506" s="1">
        <f t="shared" si="157"/>
        <v>0</v>
      </c>
      <c r="T506" s="1">
        <f t="shared" si="158"/>
        <v>0</v>
      </c>
      <c r="U506" s="1">
        <f t="shared" si="159"/>
        <v>0</v>
      </c>
      <c r="V506" s="1">
        <f t="shared" si="160"/>
        <v>0</v>
      </c>
      <c r="W506" s="1">
        <f t="shared" si="161"/>
        <v>0</v>
      </c>
      <c r="X506" s="1">
        <f t="shared" si="162"/>
        <v>0</v>
      </c>
      <c r="Y506" s="1">
        <f t="shared" si="163"/>
        <v>1</v>
      </c>
      <c r="Z506" s="1">
        <f t="shared" si="164"/>
        <v>0</v>
      </c>
      <c r="AA506" s="1">
        <f t="shared" si="165"/>
        <v>0</v>
      </c>
      <c r="AB506" s="1">
        <f t="shared" si="166"/>
        <v>0</v>
      </c>
      <c r="AD506" s="1">
        <f t="shared" si="167"/>
        <v>0</v>
      </c>
      <c r="AE506" s="1">
        <f t="shared" si="168"/>
        <v>1</v>
      </c>
      <c r="AF506" s="1">
        <f t="shared" si="169"/>
        <v>0</v>
      </c>
      <c r="AG506" s="1">
        <f t="shared" si="170"/>
        <v>0</v>
      </c>
      <c r="AH506" s="1">
        <f t="shared" si="171"/>
        <v>0</v>
      </c>
      <c r="AI506" s="1">
        <f t="shared" si="172"/>
        <v>0</v>
      </c>
    </row>
    <row r="507" spans="1:35" ht="14.25" customHeight="1" x14ac:dyDescent="0.25">
      <c r="A507" s="31">
        <v>0</v>
      </c>
      <c r="B507" s="31">
        <v>2</v>
      </c>
      <c r="C507" s="31">
        <v>7</v>
      </c>
      <c r="D507" s="32" t="s">
        <v>43</v>
      </c>
      <c r="E507" s="32" t="s">
        <v>537</v>
      </c>
      <c r="F507" s="32" t="s">
        <v>568</v>
      </c>
      <c r="G507" s="32" t="s">
        <v>234</v>
      </c>
      <c r="H507" s="32" t="s">
        <v>352</v>
      </c>
      <c r="I507" s="31" t="s">
        <v>574</v>
      </c>
      <c r="J507" s="31">
        <v>99</v>
      </c>
      <c r="K507" s="33" t="s">
        <v>703</v>
      </c>
      <c r="L507" s="33" t="s">
        <v>720</v>
      </c>
      <c r="M507" s="34" t="s">
        <v>1409</v>
      </c>
      <c r="N507" s="34" t="s">
        <v>1709</v>
      </c>
      <c r="O507" s="35">
        <v>1</v>
      </c>
      <c r="P507" s="35"/>
      <c r="Q507" s="32"/>
      <c r="S507" s="1">
        <f t="shared" si="157"/>
        <v>0</v>
      </c>
      <c r="T507" s="1">
        <f t="shared" si="158"/>
        <v>0</v>
      </c>
      <c r="U507" s="1">
        <f t="shared" si="159"/>
        <v>0</v>
      </c>
      <c r="V507" s="1">
        <f t="shared" si="160"/>
        <v>0</v>
      </c>
      <c r="W507" s="1">
        <f t="shared" si="161"/>
        <v>0</v>
      </c>
      <c r="X507" s="1">
        <f t="shared" si="162"/>
        <v>0</v>
      </c>
      <c r="Y507" s="1">
        <f t="shared" si="163"/>
        <v>0</v>
      </c>
      <c r="Z507" s="1">
        <f t="shared" si="164"/>
        <v>0</v>
      </c>
      <c r="AA507" s="1">
        <f t="shared" si="165"/>
        <v>0</v>
      </c>
      <c r="AB507" s="1">
        <f t="shared" si="166"/>
        <v>0</v>
      </c>
      <c r="AD507" s="1">
        <f t="shared" si="167"/>
        <v>0</v>
      </c>
      <c r="AE507" s="1">
        <f t="shared" si="168"/>
        <v>1</v>
      </c>
      <c r="AF507" s="1">
        <f t="shared" si="169"/>
        <v>0</v>
      </c>
      <c r="AG507" s="1">
        <f t="shared" si="170"/>
        <v>1</v>
      </c>
      <c r="AH507" s="1">
        <f t="shared" si="171"/>
        <v>0</v>
      </c>
      <c r="AI507" s="1">
        <f t="shared" si="172"/>
        <v>1</v>
      </c>
    </row>
    <row r="508" spans="1:35" ht="14.25" customHeight="1" x14ac:dyDescent="0.25">
      <c r="A508" s="31">
        <v>1</v>
      </c>
      <c r="B508" s="31">
        <v>2</v>
      </c>
      <c r="C508" s="31">
        <v>7</v>
      </c>
      <c r="D508" s="32" t="s">
        <v>43</v>
      </c>
      <c r="E508" s="32" t="s">
        <v>537</v>
      </c>
      <c r="F508" s="32" t="s">
        <v>270</v>
      </c>
      <c r="G508" s="32" t="s">
        <v>179</v>
      </c>
      <c r="H508" s="32" t="s">
        <v>352</v>
      </c>
      <c r="I508" s="31" t="s">
        <v>424</v>
      </c>
      <c r="J508" s="31">
        <v>10</v>
      </c>
      <c r="K508" s="33" t="s">
        <v>703</v>
      </c>
      <c r="L508" s="33" t="s">
        <v>720</v>
      </c>
      <c r="M508" s="34" t="s">
        <v>1409</v>
      </c>
      <c r="N508" s="34" t="s">
        <v>1709</v>
      </c>
      <c r="O508" s="35">
        <v>1</v>
      </c>
      <c r="P508" s="35"/>
      <c r="Q508" s="32"/>
      <c r="S508" s="1">
        <f t="shared" si="157"/>
        <v>0</v>
      </c>
      <c r="T508" s="1">
        <f t="shared" si="158"/>
        <v>0</v>
      </c>
      <c r="U508" s="1">
        <f t="shared" si="159"/>
        <v>0</v>
      </c>
      <c r="V508" s="1">
        <f t="shared" si="160"/>
        <v>0</v>
      </c>
      <c r="W508" s="1">
        <f t="shared" si="161"/>
        <v>0</v>
      </c>
      <c r="X508" s="1">
        <f t="shared" si="162"/>
        <v>0</v>
      </c>
      <c r="Y508" s="1">
        <f t="shared" si="163"/>
        <v>0</v>
      </c>
      <c r="Z508" s="1">
        <f t="shared" si="164"/>
        <v>0</v>
      </c>
      <c r="AA508" s="1">
        <f t="shared" si="165"/>
        <v>0</v>
      </c>
      <c r="AB508" s="1">
        <f t="shared" si="166"/>
        <v>1</v>
      </c>
      <c r="AD508" s="1">
        <f t="shared" si="167"/>
        <v>0</v>
      </c>
      <c r="AE508" s="1">
        <f t="shared" si="168"/>
        <v>1</v>
      </c>
      <c r="AF508" s="1">
        <f t="shared" si="169"/>
        <v>0</v>
      </c>
      <c r="AG508" s="1">
        <f t="shared" si="170"/>
        <v>0</v>
      </c>
      <c r="AH508" s="1">
        <f t="shared" si="171"/>
        <v>0</v>
      </c>
      <c r="AI508" s="1">
        <f t="shared" si="172"/>
        <v>0</v>
      </c>
    </row>
    <row r="509" spans="1:35" ht="14.25" customHeight="1" x14ac:dyDescent="0.25">
      <c r="A509" s="31">
        <v>1</v>
      </c>
      <c r="B509" s="31">
        <v>2</v>
      </c>
      <c r="C509" s="31">
        <v>7</v>
      </c>
      <c r="D509" s="32" t="s">
        <v>43</v>
      </c>
      <c r="E509" s="32" t="s">
        <v>537</v>
      </c>
      <c r="F509" s="32" t="s">
        <v>271</v>
      </c>
      <c r="G509" s="32" t="s">
        <v>39</v>
      </c>
      <c r="H509" s="32" t="s">
        <v>352</v>
      </c>
      <c r="I509" s="31" t="s">
        <v>425</v>
      </c>
      <c r="J509" s="31">
        <v>5</v>
      </c>
      <c r="K509" s="33" t="s">
        <v>703</v>
      </c>
      <c r="L509" s="33" t="s">
        <v>720</v>
      </c>
      <c r="M509" s="34" t="s">
        <v>1409</v>
      </c>
      <c r="N509" s="34" t="s">
        <v>1709</v>
      </c>
      <c r="O509" s="35">
        <v>1</v>
      </c>
      <c r="P509" s="35"/>
      <c r="Q509" s="32"/>
      <c r="S509" s="1">
        <f t="shared" si="157"/>
        <v>0</v>
      </c>
      <c r="T509" s="1">
        <f t="shared" si="158"/>
        <v>0</v>
      </c>
      <c r="U509" s="1">
        <f t="shared" si="159"/>
        <v>0</v>
      </c>
      <c r="V509" s="1">
        <f t="shared" si="160"/>
        <v>0</v>
      </c>
      <c r="W509" s="1">
        <f t="shared" si="161"/>
        <v>1</v>
      </c>
      <c r="X509" s="1">
        <f t="shared" si="162"/>
        <v>0</v>
      </c>
      <c r="Y509" s="1">
        <f t="shared" si="163"/>
        <v>0</v>
      </c>
      <c r="Z509" s="1">
        <f t="shared" si="164"/>
        <v>0</v>
      </c>
      <c r="AA509" s="1">
        <f t="shared" si="165"/>
        <v>0</v>
      </c>
      <c r="AB509" s="1">
        <f t="shared" si="166"/>
        <v>0</v>
      </c>
      <c r="AD509" s="1">
        <f t="shared" si="167"/>
        <v>0</v>
      </c>
      <c r="AE509" s="1">
        <f t="shared" si="168"/>
        <v>1</v>
      </c>
      <c r="AF509" s="1">
        <f t="shared" si="169"/>
        <v>0</v>
      </c>
      <c r="AG509" s="1">
        <f t="shared" si="170"/>
        <v>0</v>
      </c>
      <c r="AH509" s="1">
        <f t="shared" si="171"/>
        <v>0</v>
      </c>
      <c r="AI509" s="1">
        <f t="shared" si="172"/>
        <v>0</v>
      </c>
    </row>
    <row r="510" spans="1:35" ht="14.25" customHeight="1" x14ac:dyDescent="0.25">
      <c r="A510" s="31">
        <v>1</v>
      </c>
      <c r="B510" s="31">
        <v>2</v>
      </c>
      <c r="C510" s="31">
        <v>7</v>
      </c>
      <c r="D510" s="32" t="s">
        <v>43</v>
      </c>
      <c r="E510" s="32" t="s">
        <v>537</v>
      </c>
      <c r="F510" s="32" t="s">
        <v>275</v>
      </c>
      <c r="G510" s="32" t="s">
        <v>193</v>
      </c>
      <c r="H510" s="32" t="s">
        <v>352</v>
      </c>
      <c r="I510" s="31" t="s">
        <v>429</v>
      </c>
      <c r="J510" s="31">
        <v>9</v>
      </c>
      <c r="K510" s="33" t="s">
        <v>703</v>
      </c>
      <c r="L510" s="33" t="s">
        <v>720</v>
      </c>
      <c r="M510" s="34" t="s">
        <v>1409</v>
      </c>
      <c r="N510" s="34" t="s">
        <v>1709</v>
      </c>
      <c r="O510" s="35">
        <v>1</v>
      </c>
      <c r="P510" s="35"/>
      <c r="Q510" s="32"/>
      <c r="S510" s="1">
        <f t="shared" si="157"/>
        <v>0</v>
      </c>
      <c r="T510" s="1">
        <f t="shared" si="158"/>
        <v>0</v>
      </c>
      <c r="U510" s="1">
        <f t="shared" si="159"/>
        <v>0</v>
      </c>
      <c r="V510" s="1">
        <f t="shared" si="160"/>
        <v>0</v>
      </c>
      <c r="W510" s="1">
        <f t="shared" si="161"/>
        <v>0</v>
      </c>
      <c r="X510" s="1">
        <f t="shared" si="162"/>
        <v>0</v>
      </c>
      <c r="Y510" s="1">
        <f t="shared" si="163"/>
        <v>0</v>
      </c>
      <c r="Z510" s="1">
        <f t="shared" si="164"/>
        <v>0</v>
      </c>
      <c r="AA510" s="1">
        <f t="shared" si="165"/>
        <v>1</v>
      </c>
      <c r="AB510" s="1">
        <f t="shared" si="166"/>
        <v>0</v>
      </c>
      <c r="AD510" s="1">
        <f t="shared" si="167"/>
        <v>0</v>
      </c>
      <c r="AE510" s="1">
        <f t="shared" si="168"/>
        <v>1</v>
      </c>
      <c r="AF510" s="1">
        <f t="shared" si="169"/>
        <v>0</v>
      </c>
      <c r="AG510" s="1">
        <f t="shared" si="170"/>
        <v>0</v>
      </c>
      <c r="AH510" s="1">
        <f t="shared" si="171"/>
        <v>0</v>
      </c>
      <c r="AI510" s="1">
        <f t="shared" si="172"/>
        <v>0</v>
      </c>
    </row>
    <row r="511" spans="1:35" ht="14.25" customHeight="1" x14ac:dyDescent="0.25">
      <c r="A511" s="31">
        <v>0</v>
      </c>
      <c r="B511" s="31">
        <v>2</v>
      </c>
      <c r="C511" s="31">
        <v>7</v>
      </c>
      <c r="D511" s="32" t="s">
        <v>1528</v>
      </c>
      <c r="E511" s="32" t="s">
        <v>28</v>
      </c>
      <c r="F511" s="32" t="s">
        <v>1529</v>
      </c>
      <c r="G511" s="32" t="s">
        <v>237</v>
      </c>
      <c r="H511" s="32" t="s">
        <v>352</v>
      </c>
      <c r="I511" s="31" t="s">
        <v>1661</v>
      </c>
      <c r="J511" s="31">
        <v>4</v>
      </c>
      <c r="K511" s="33" t="s">
        <v>704</v>
      </c>
      <c r="L511" s="33" t="s">
        <v>704</v>
      </c>
      <c r="M511" s="34" t="s">
        <v>722</v>
      </c>
      <c r="N511" s="34" t="s">
        <v>1705</v>
      </c>
      <c r="O511" s="35">
        <v>1</v>
      </c>
      <c r="P511" s="35"/>
      <c r="Q511" s="32"/>
      <c r="S511" s="1">
        <f t="shared" si="157"/>
        <v>0</v>
      </c>
      <c r="T511" s="1">
        <f t="shared" si="158"/>
        <v>0</v>
      </c>
      <c r="U511" s="1">
        <f t="shared" si="159"/>
        <v>0</v>
      </c>
      <c r="V511" s="1">
        <f t="shared" si="160"/>
        <v>1</v>
      </c>
      <c r="W511" s="1">
        <f t="shared" si="161"/>
        <v>0</v>
      </c>
      <c r="X511" s="1">
        <f t="shared" si="162"/>
        <v>0</v>
      </c>
      <c r="Y511" s="1">
        <f t="shared" si="163"/>
        <v>0</v>
      </c>
      <c r="Z511" s="1">
        <f t="shared" si="164"/>
        <v>0</v>
      </c>
      <c r="AA511" s="1">
        <f t="shared" si="165"/>
        <v>0</v>
      </c>
      <c r="AB511" s="1">
        <f t="shared" si="166"/>
        <v>0</v>
      </c>
      <c r="AD511" s="1">
        <f t="shared" si="167"/>
        <v>0</v>
      </c>
      <c r="AE511" s="1">
        <f t="shared" si="168"/>
        <v>1</v>
      </c>
      <c r="AF511" s="1">
        <f t="shared" si="169"/>
        <v>0</v>
      </c>
      <c r="AG511" s="1">
        <f t="shared" si="170"/>
        <v>1</v>
      </c>
      <c r="AH511" s="1">
        <f t="shared" si="171"/>
        <v>0</v>
      </c>
      <c r="AI511" s="1">
        <f t="shared" si="172"/>
        <v>1</v>
      </c>
    </row>
    <row r="512" spans="1:35" ht="14.25" customHeight="1" x14ac:dyDescent="0.25">
      <c r="A512" s="31">
        <v>0</v>
      </c>
      <c r="B512" s="31">
        <v>2</v>
      </c>
      <c r="C512" s="31">
        <v>7</v>
      </c>
      <c r="D512" s="32" t="s">
        <v>63</v>
      </c>
      <c r="E512" s="32" t="s">
        <v>44</v>
      </c>
      <c r="F512" s="32" t="s">
        <v>235</v>
      </c>
      <c r="G512" s="32" t="s">
        <v>199</v>
      </c>
      <c r="H512" s="32" t="s">
        <v>352</v>
      </c>
      <c r="I512" s="31" t="s">
        <v>400</v>
      </c>
      <c r="J512" s="31">
        <v>2</v>
      </c>
      <c r="K512" s="33" t="s">
        <v>704</v>
      </c>
      <c r="L512" s="33" t="s">
        <v>713</v>
      </c>
      <c r="M512" s="34" t="s">
        <v>726</v>
      </c>
      <c r="N512" s="34" t="s">
        <v>1705</v>
      </c>
      <c r="O512" s="35">
        <v>1</v>
      </c>
      <c r="P512" s="35"/>
      <c r="Q512" s="32"/>
      <c r="S512" s="1">
        <f t="shared" si="157"/>
        <v>0</v>
      </c>
      <c r="T512" s="1">
        <f t="shared" si="158"/>
        <v>1</v>
      </c>
      <c r="U512" s="1">
        <f t="shared" si="159"/>
        <v>0</v>
      </c>
      <c r="V512" s="1">
        <f t="shared" si="160"/>
        <v>0</v>
      </c>
      <c r="W512" s="1">
        <f t="shared" si="161"/>
        <v>0</v>
      </c>
      <c r="X512" s="1">
        <f t="shared" si="162"/>
        <v>0</v>
      </c>
      <c r="Y512" s="1">
        <f t="shared" si="163"/>
        <v>0</v>
      </c>
      <c r="Z512" s="1">
        <f t="shared" si="164"/>
        <v>0</v>
      </c>
      <c r="AA512" s="1">
        <f t="shared" si="165"/>
        <v>0</v>
      </c>
      <c r="AB512" s="1">
        <f t="shared" si="166"/>
        <v>0</v>
      </c>
      <c r="AD512" s="1">
        <f t="shared" si="167"/>
        <v>0</v>
      </c>
      <c r="AE512" s="1">
        <f t="shared" si="168"/>
        <v>1</v>
      </c>
      <c r="AF512" s="1">
        <f t="shared" si="169"/>
        <v>0</v>
      </c>
      <c r="AG512" s="1">
        <f t="shared" si="170"/>
        <v>1</v>
      </c>
      <c r="AH512" s="1">
        <f t="shared" si="171"/>
        <v>0</v>
      </c>
      <c r="AI512" s="1">
        <f t="shared" si="172"/>
        <v>1</v>
      </c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M788" s="19"/>
      <c r="N788" s="17"/>
      <c r="Q788" s="20"/>
    </row>
    <row r="789" spans="1:17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M789" s="19"/>
      <c r="N789" s="17"/>
      <c r="Q789" s="20"/>
    </row>
    <row r="790" spans="1:17" ht="14.25" customHeight="1" x14ac:dyDescent="0.25">
      <c r="A790" s="15"/>
      <c r="B790" s="15"/>
      <c r="C790" s="15"/>
      <c r="D790" s="20"/>
      <c r="E790" s="20"/>
      <c r="F790" s="20"/>
      <c r="G790" s="20"/>
      <c r="H790" s="20"/>
      <c r="I790" s="21"/>
      <c r="J790" s="15"/>
      <c r="K790" s="21"/>
      <c r="M790" s="19"/>
      <c r="N790" s="17"/>
      <c r="Q790" s="20"/>
    </row>
    <row r="791" spans="1:17" ht="14.25" customHeight="1" x14ac:dyDescent="0.25">
      <c r="A791" s="15"/>
      <c r="B791" s="15"/>
      <c r="C791" s="15"/>
      <c r="D791" s="20"/>
      <c r="E791" s="20"/>
      <c r="F791" s="20"/>
      <c r="G791" s="20"/>
      <c r="H791" s="20"/>
      <c r="I791" s="21"/>
      <c r="J791" s="15"/>
      <c r="K791" s="21"/>
      <c r="M791" s="19"/>
      <c r="N791" s="17"/>
      <c r="Q791" s="20"/>
    </row>
    <row r="792" spans="1:17" ht="14.25" customHeight="1" x14ac:dyDescent="0.25">
      <c r="A792" s="15"/>
      <c r="B792" s="15"/>
      <c r="C792" s="15"/>
      <c r="D792" s="20"/>
      <c r="E792" s="20"/>
      <c r="F792" s="20"/>
      <c r="G792" s="20"/>
      <c r="H792" s="20"/>
      <c r="I792" s="21"/>
      <c r="J792" s="15"/>
      <c r="K792" s="21"/>
      <c r="M792" s="19"/>
      <c r="N792" s="17"/>
      <c r="Q792" s="20"/>
    </row>
    <row r="793" spans="1:17" ht="14.25" customHeight="1" x14ac:dyDescent="0.25">
      <c r="A793" s="15"/>
      <c r="B793" s="15"/>
      <c r="C793" s="15"/>
      <c r="D793" s="20"/>
      <c r="E793" s="20"/>
      <c r="F793" s="20"/>
      <c r="G793" s="20"/>
      <c r="H793" s="20"/>
      <c r="I793" s="21"/>
      <c r="J793" s="15"/>
      <c r="K793" s="21"/>
      <c r="M793" s="19"/>
      <c r="N793" s="17"/>
      <c r="Q793" s="20"/>
    </row>
    <row r="794" spans="1:17" ht="14.25" customHeight="1" x14ac:dyDescent="0.25">
      <c r="A794" s="15"/>
      <c r="B794" s="15"/>
      <c r="C794" s="15"/>
      <c r="D794" s="20"/>
      <c r="E794" s="20"/>
      <c r="F794" s="20"/>
      <c r="G794" s="20"/>
      <c r="H794" s="20"/>
      <c r="I794" s="21"/>
      <c r="J794" s="15"/>
      <c r="K794" s="21"/>
      <c r="M794" s="19"/>
      <c r="N794" s="17"/>
      <c r="Q794" s="20"/>
    </row>
    <row r="795" spans="1:17" ht="14.25" customHeight="1" x14ac:dyDescent="0.25">
      <c r="A795" s="15"/>
      <c r="B795" s="15"/>
      <c r="C795" s="15"/>
      <c r="D795" s="20"/>
      <c r="E795" s="20"/>
      <c r="F795" s="20"/>
      <c r="G795" s="20"/>
      <c r="H795" s="20"/>
      <c r="I795" s="21"/>
      <c r="J795" s="15"/>
      <c r="K795" s="21"/>
      <c r="M795" s="19"/>
      <c r="N795" s="17"/>
      <c r="Q795" s="20"/>
    </row>
    <row r="796" spans="1:17" ht="14.25" customHeight="1" x14ac:dyDescent="0.25">
      <c r="A796" s="15"/>
      <c r="B796" s="15"/>
      <c r="C796" s="15"/>
      <c r="D796" s="20"/>
      <c r="E796" s="20"/>
      <c r="F796" s="20"/>
      <c r="G796" s="20"/>
      <c r="H796" s="20"/>
      <c r="I796" s="21"/>
      <c r="J796" s="15"/>
      <c r="K796" s="21"/>
      <c r="M796" s="19"/>
      <c r="N796" s="17"/>
      <c r="Q796" s="20"/>
    </row>
    <row r="797" spans="1:17" ht="14.25" customHeight="1" x14ac:dyDescent="0.25">
      <c r="A797" s="15"/>
      <c r="B797" s="15"/>
      <c r="C797" s="15"/>
      <c r="D797" s="20"/>
      <c r="E797" s="20"/>
      <c r="F797" s="20"/>
      <c r="G797" s="20"/>
      <c r="H797" s="20"/>
      <c r="I797" s="21"/>
      <c r="J797" s="15"/>
      <c r="K797" s="21"/>
      <c r="M797" s="19"/>
      <c r="N797" s="17"/>
      <c r="Q797" s="20"/>
    </row>
    <row r="798" spans="1:17" ht="14.25" customHeight="1" x14ac:dyDescent="0.25">
      <c r="A798" s="15"/>
      <c r="B798" s="15"/>
      <c r="C798" s="15"/>
      <c r="D798" s="20"/>
      <c r="E798" s="20"/>
      <c r="F798" s="20"/>
      <c r="G798" s="20"/>
      <c r="H798" s="20"/>
      <c r="I798" s="21"/>
      <c r="J798" s="15"/>
      <c r="K798" s="21"/>
      <c r="M798" s="19"/>
      <c r="N798" s="17"/>
      <c r="Q798" s="20"/>
    </row>
    <row r="799" spans="1:17" ht="14.25" customHeight="1" x14ac:dyDescent="0.25">
      <c r="A799" s="15"/>
      <c r="B799" s="15"/>
      <c r="C799" s="15"/>
      <c r="D799" s="20"/>
      <c r="E799" s="20"/>
      <c r="F799" s="20"/>
      <c r="G799" s="20"/>
      <c r="H799" s="20"/>
      <c r="I799" s="21"/>
      <c r="J799" s="15"/>
      <c r="K799" s="21"/>
      <c r="M799" s="19"/>
      <c r="N799" s="17"/>
      <c r="Q799" s="20"/>
    </row>
    <row r="800" spans="1:17" ht="14.25" customHeight="1" x14ac:dyDescent="0.25">
      <c r="A800" s="15"/>
      <c r="B800" s="15"/>
      <c r="C800" s="15"/>
      <c r="D800" s="20"/>
      <c r="E800" s="20"/>
      <c r="F800" s="20"/>
      <c r="G800" s="20"/>
      <c r="H800" s="20"/>
      <c r="I800" s="21"/>
      <c r="J800" s="15"/>
      <c r="K800" s="21"/>
      <c r="M800" s="19"/>
      <c r="N800" s="17"/>
      <c r="Q800" s="20"/>
    </row>
    <row r="801" spans="1:17" ht="14.25" customHeight="1" x14ac:dyDescent="0.25">
      <c r="A801" s="15"/>
      <c r="B801" s="15"/>
      <c r="C801" s="15"/>
      <c r="D801" s="20"/>
      <c r="E801" s="20"/>
      <c r="F801" s="20"/>
      <c r="G801" s="20"/>
      <c r="H801" s="20"/>
      <c r="I801" s="21"/>
      <c r="J801" s="15"/>
      <c r="K801" s="21"/>
      <c r="M801" s="19"/>
      <c r="N801" s="17"/>
      <c r="Q801" s="20"/>
    </row>
    <row r="802" spans="1:17" ht="14.25" customHeight="1" x14ac:dyDescent="0.25">
      <c r="A802" s="15"/>
      <c r="B802" s="15"/>
      <c r="C802" s="15"/>
      <c r="D802" s="20"/>
      <c r="E802" s="20"/>
      <c r="F802" s="20"/>
      <c r="G802" s="20"/>
      <c r="H802" s="20"/>
      <c r="I802" s="21"/>
      <c r="J802" s="15"/>
      <c r="K802" s="21"/>
      <c r="M802" s="19"/>
      <c r="N802" s="17"/>
      <c r="Q802" s="20"/>
    </row>
    <row r="803" spans="1:17" ht="14.25" customHeight="1" x14ac:dyDescent="0.25">
      <c r="A803" s="15"/>
      <c r="B803" s="15"/>
      <c r="C803" s="15"/>
      <c r="D803" s="20"/>
      <c r="E803" s="20"/>
      <c r="F803" s="20"/>
      <c r="G803" s="20"/>
      <c r="H803" s="20"/>
      <c r="I803" s="21"/>
      <c r="J803" s="15"/>
      <c r="K803" s="21"/>
      <c r="M803" s="19"/>
      <c r="N803" s="17"/>
      <c r="Q803" s="20"/>
    </row>
    <row r="804" spans="1:17" ht="14.25" customHeight="1" x14ac:dyDescent="0.25">
      <c r="A804" s="15"/>
      <c r="B804" s="15"/>
      <c r="C804" s="15"/>
      <c r="D804" s="16"/>
      <c r="E804" s="16"/>
      <c r="F804" s="16"/>
      <c r="G804" s="16"/>
      <c r="H804" s="16"/>
      <c r="I804" s="15"/>
      <c r="J804" s="15"/>
      <c r="K804" s="10"/>
      <c r="M804" s="19"/>
      <c r="N804" s="17"/>
      <c r="Q804" s="16"/>
    </row>
    <row r="805" spans="1:17" ht="14.25" customHeight="1" x14ac:dyDescent="0.25">
      <c r="A805" s="15"/>
      <c r="B805" s="15"/>
      <c r="C805" s="15"/>
      <c r="D805" s="16"/>
      <c r="E805" s="16"/>
      <c r="F805" s="16"/>
      <c r="G805" s="16"/>
      <c r="H805" s="16"/>
      <c r="I805" s="15"/>
      <c r="J805" s="15"/>
      <c r="K805" s="10"/>
      <c r="M805" s="19"/>
      <c r="N805" s="17"/>
      <c r="Q805" s="16"/>
    </row>
    <row r="806" spans="1:17" ht="14.25" customHeight="1" x14ac:dyDescent="0.25">
      <c r="A806" s="15"/>
      <c r="B806" s="15"/>
      <c r="C806" s="15"/>
      <c r="D806" s="16"/>
      <c r="E806" s="16"/>
      <c r="F806" s="16"/>
      <c r="G806" s="16"/>
      <c r="H806" s="16"/>
      <c r="I806" s="15"/>
      <c r="J806" s="15"/>
      <c r="K806" s="10"/>
      <c r="M806" s="19"/>
      <c r="N806" s="17"/>
      <c r="Q806" s="16"/>
    </row>
    <row r="807" spans="1:17" ht="14.25" customHeight="1" x14ac:dyDescent="0.25">
      <c r="A807" s="15"/>
      <c r="B807" s="15"/>
      <c r="C807" s="15"/>
      <c r="D807" s="16"/>
      <c r="E807" s="16"/>
      <c r="F807" s="16"/>
      <c r="G807" s="16"/>
      <c r="H807" s="16"/>
      <c r="I807" s="15"/>
      <c r="J807" s="15"/>
      <c r="K807" s="10"/>
      <c r="M807" s="19"/>
      <c r="N807" s="17"/>
      <c r="Q807" s="16"/>
    </row>
    <row r="808" spans="1:17" ht="14.25" customHeight="1" x14ac:dyDescent="0.25">
      <c r="A808" s="15"/>
      <c r="B808" s="15"/>
      <c r="C808" s="15"/>
      <c r="D808" s="16"/>
      <c r="E808" s="16"/>
      <c r="F808" s="16"/>
      <c r="G808" s="16"/>
      <c r="H808" s="16"/>
      <c r="I808" s="15"/>
      <c r="J808" s="15"/>
      <c r="K808" s="10"/>
      <c r="M808" s="17"/>
      <c r="N808" s="17"/>
      <c r="Q808" s="16"/>
    </row>
    <row r="809" spans="1:17" ht="14.25" customHeight="1" x14ac:dyDescent="0.25">
      <c r="A809" s="15"/>
      <c r="B809" s="15"/>
      <c r="C809" s="15"/>
      <c r="D809" s="16"/>
      <c r="E809" s="16"/>
      <c r="F809" s="16"/>
      <c r="G809" s="16"/>
      <c r="H809" s="16"/>
      <c r="I809" s="15"/>
      <c r="J809" s="15"/>
      <c r="K809" s="10"/>
      <c r="M809" s="17"/>
      <c r="N809" s="17"/>
      <c r="Q809" s="16"/>
    </row>
    <row r="810" spans="1:17" ht="14.25" customHeight="1" x14ac:dyDescent="0.25">
      <c r="A810" s="15"/>
      <c r="B810" s="15"/>
      <c r="C810" s="15"/>
      <c r="D810" s="16"/>
      <c r="E810" s="16"/>
      <c r="F810" s="16"/>
      <c r="G810" s="16"/>
      <c r="H810" s="16"/>
      <c r="I810" s="15"/>
      <c r="J810" s="15"/>
      <c r="K810" s="10"/>
      <c r="M810" s="17"/>
      <c r="N810" s="17"/>
      <c r="Q810" s="16"/>
    </row>
    <row r="811" spans="1:17" ht="14.25" customHeight="1" x14ac:dyDescent="0.25">
      <c r="A811" s="15"/>
      <c r="B811" s="15"/>
      <c r="C811" s="15"/>
      <c r="D811" s="16"/>
      <c r="E811" s="16"/>
      <c r="F811" s="16"/>
      <c r="G811" s="16"/>
      <c r="H811" s="16"/>
      <c r="I811" s="15"/>
      <c r="J811" s="15"/>
      <c r="K811" s="10"/>
      <c r="M811" s="17"/>
      <c r="N811" s="17"/>
      <c r="Q811" s="16"/>
    </row>
  </sheetData>
  <autoFilter ref="A7:Q512" xr:uid="{AEE30112-88BB-441D-AEFC-A7A733AB1798}">
    <sortState xmlns:xlrd2="http://schemas.microsoft.com/office/spreadsheetml/2017/richdata2" ref="A8:Q512">
      <sortCondition ref="B8:B512"/>
      <sortCondition ref="C8:C512"/>
      <sortCondition ref="D8:D512"/>
      <sortCondition ref="A8:A512"/>
    </sortState>
  </autoFilter>
  <sortState xmlns:xlrd2="http://schemas.microsoft.com/office/spreadsheetml/2017/richdata2" ref="A8:Q512">
    <sortCondition ref="B8:B512"/>
    <sortCondition ref="C8:C512"/>
    <sortCondition ref="D8:D512"/>
    <sortCondition ref="A8:A512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2026-09-22T11:46:27Z</dcterms:modified>
</cp:coreProperties>
</file>