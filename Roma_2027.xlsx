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5D3D1C5A-5DED-4BF4-893B-88A73436BECB}" xr6:coauthVersionLast="47" xr6:coauthVersionMax="47" xr10:uidLastSave="{00000000-0000-0000-0000-000000000000}"/>
  <bookViews>
    <workbookView xWindow="-108" yWindow="-108" windowWidth="23256" windowHeight="12576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golose'!$A$7:$Q$496</definedName>
    <definedName name="_xlnm.Print_Area" localSheetId="0">'Tavole e pause golose'!$D$7:$I$179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185" i="6" l="1"/>
  <c r="AE185" i="6"/>
  <c r="AF185" i="6"/>
  <c r="AG185" i="6"/>
  <c r="S185" i="6"/>
  <c r="AH185" i="6"/>
  <c r="AI185" i="6"/>
  <c r="AD151" i="6"/>
  <c r="AE151" i="6"/>
  <c r="AF151" i="6"/>
  <c r="AG151" i="6"/>
  <c r="S151" i="6"/>
  <c r="AH151" i="6"/>
  <c r="AI151" i="6"/>
  <c r="AD238" i="6"/>
  <c r="AE238" i="6"/>
  <c r="AF238" i="6"/>
  <c r="AG238" i="6"/>
  <c r="AH238" i="6"/>
  <c r="AI238" i="6"/>
  <c r="AD239" i="6"/>
  <c r="AE239" i="6"/>
  <c r="AF239" i="6"/>
  <c r="AG239" i="6"/>
  <c r="AH239" i="6"/>
  <c r="AI239" i="6"/>
  <c r="AD240" i="6"/>
  <c r="AE240" i="6"/>
  <c r="AF240" i="6"/>
  <c r="AG240" i="6"/>
  <c r="AH240" i="6"/>
  <c r="AI240" i="6"/>
  <c r="AD241" i="6"/>
  <c r="AE241" i="6"/>
  <c r="AF241" i="6"/>
  <c r="AG241" i="6"/>
  <c r="AH241" i="6"/>
  <c r="AI241" i="6"/>
  <c r="S238" i="6"/>
  <c r="AD290" i="6"/>
  <c r="AE290" i="6"/>
  <c r="AF290" i="6"/>
  <c r="AG290" i="6"/>
  <c r="AH290" i="6"/>
  <c r="AI290" i="6"/>
  <c r="AD291" i="6"/>
  <c r="AE291" i="6"/>
  <c r="AF291" i="6"/>
  <c r="AG291" i="6"/>
  <c r="AH291" i="6"/>
  <c r="AI291" i="6"/>
  <c r="AD292" i="6"/>
  <c r="AE292" i="6"/>
  <c r="AF292" i="6"/>
  <c r="AG292" i="6"/>
  <c r="AH292" i="6"/>
  <c r="AI292" i="6"/>
  <c r="AD293" i="6"/>
  <c r="AE293" i="6"/>
  <c r="AF293" i="6"/>
  <c r="AG293" i="6"/>
  <c r="AH293" i="6"/>
  <c r="AI293" i="6"/>
  <c r="AD294" i="6"/>
  <c r="AE294" i="6"/>
  <c r="AF294" i="6"/>
  <c r="AG294" i="6"/>
  <c r="AH294" i="6"/>
  <c r="AI294" i="6"/>
  <c r="S290" i="6"/>
  <c r="AD85" i="6"/>
  <c r="AE85" i="6"/>
  <c r="AF85" i="6"/>
  <c r="AG85" i="6"/>
  <c r="S85" i="6"/>
  <c r="AH85" i="6"/>
  <c r="AI85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AD410" i="6"/>
  <c r="AE410" i="6"/>
  <c r="AF410" i="6"/>
  <c r="AG410" i="6"/>
  <c r="S410" i="6"/>
  <c r="AH410" i="6"/>
  <c r="AI410" i="6"/>
  <c r="S387" i="6"/>
  <c r="AD387" i="6"/>
  <c r="AE387" i="6"/>
  <c r="AF387" i="6"/>
  <c r="AG387" i="6"/>
  <c r="AH387" i="6"/>
  <c r="AI387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AD456" i="6"/>
  <c r="AE456" i="6"/>
  <c r="AF456" i="6"/>
  <c r="AG456" i="6"/>
  <c r="AH456" i="6"/>
  <c r="AI456" i="6"/>
  <c r="AD457" i="6"/>
  <c r="AE457" i="6"/>
  <c r="AF457" i="6"/>
  <c r="AG457" i="6"/>
  <c r="AH457" i="6"/>
  <c r="AI457" i="6"/>
  <c r="AD458" i="6"/>
  <c r="AE458" i="6"/>
  <c r="AF458" i="6"/>
  <c r="AG458" i="6"/>
  <c r="AH458" i="6"/>
  <c r="AI458" i="6"/>
  <c r="AD459" i="6"/>
  <c r="AE459" i="6"/>
  <c r="AF459" i="6"/>
  <c r="AG459" i="6"/>
  <c r="AH459" i="6"/>
  <c r="AI459" i="6"/>
  <c r="S456" i="6"/>
  <c r="AD364" i="6"/>
  <c r="AE364" i="6"/>
  <c r="AF364" i="6"/>
  <c r="AG364" i="6"/>
  <c r="AH364" i="6"/>
  <c r="AI364" i="6"/>
  <c r="AD365" i="6"/>
  <c r="AE365" i="6"/>
  <c r="AF365" i="6"/>
  <c r="AG365" i="6"/>
  <c r="AH365" i="6"/>
  <c r="AI365" i="6"/>
  <c r="AD366" i="6"/>
  <c r="AE366" i="6"/>
  <c r="AF366" i="6"/>
  <c r="AG366" i="6"/>
  <c r="AH366" i="6"/>
  <c r="AI366" i="6"/>
  <c r="S365" i="6"/>
  <c r="AI272" i="6"/>
  <c r="AH272" i="6"/>
  <c r="AG272" i="6"/>
  <c r="AF272" i="6"/>
  <c r="AE272" i="6"/>
  <c r="AD272" i="6"/>
  <c r="S272" i="6"/>
  <c r="AI271" i="6"/>
  <c r="AH271" i="6"/>
  <c r="AG271" i="6"/>
  <c r="AF271" i="6"/>
  <c r="AE271" i="6"/>
  <c r="AD271" i="6"/>
  <c r="S271" i="6"/>
  <c r="S411" i="6"/>
  <c r="AD411" i="6"/>
  <c r="AE411" i="6"/>
  <c r="AF411" i="6"/>
  <c r="AG411" i="6"/>
  <c r="AH411" i="6"/>
  <c r="AI411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16" i="6"/>
  <c r="AD416" i="6"/>
  <c r="AE416" i="6"/>
  <c r="AF416" i="6"/>
  <c r="AG416" i="6"/>
  <c r="AH416" i="6"/>
  <c r="AI416" i="6"/>
  <c r="S417" i="6"/>
  <c r="AD417" i="6"/>
  <c r="AE417" i="6"/>
  <c r="AF417" i="6"/>
  <c r="AG417" i="6"/>
  <c r="AH417" i="6"/>
  <c r="AI417" i="6"/>
  <c r="AD72" i="6"/>
  <c r="AE72" i="6"/>
  <c r="AF72" i="6"/>
  <c r="AG72" i="6"/>
  <c r="AH72" i="6"/>
  <c r="AI72" i="6"/>
  <c r="AD73" i="6"/>
  <c r="AE73" i="6"/>
  <c r="AF73" i="6"/>
  <c r="AG73" i="6"/>
  <c r="AH73" i="6"/>
  <c r="AI73" i="6"/>
  <c r="AD74" i="6"/>
  <c r="AE74" i="6"/>
  <c r="AF74" i="6"/>
  <c r="AG74" i="6"/>
  <c r="AH74" i="6"/>
  <c r="AI74" i="6"/>
  <c r="AD75" i="6"/>
  <c r="AE75" i="6"/>
  <c r="AF75" i="6"/>
  <c r="AG75" i="6"/>
  <c r="AH75" i="6"/>
  <c r="AI75" i="6"/>
  <c r="S74" i="6"/>
  <c r="S473" i="6"/>
  <c r="AD473" i="6"/>
  <c r="AE473" i="6"/>
  <c r="AF473" i="6"/>
  <c r="AG473" i="6"/>
  <c r="AH473" i="6"/>
  <c r="AI473" i="6"/>
  <c r="S474" i="6"/>
  <c r="AD474" i="6"/>
  <c r="AE474" i="6"/>
  <c r="AF474" i="6"/>
  <c r="AG474" i="6"/>
  <c r="AH474" i="6"/>
  <c r="AI474" i="6"/>
  <c r="S475" i="6"/>
  <c r="AD475" i="6"/>
  <c r="AE475" i="6"/>
  <c r="AF475" i="6"/>
  <c r="AG475" i="6"/>
  <c r="AH475" i="6"/>
  <c r="AI475" i="6"/>
  <c r="S476" i="6"/>
  <c r="AD476" i="6"/>
  <c r="AE476" i="6"/>
  <c r="AF476" i="6"/>
  <c r="AG476" i="6"/>
  <c r="AH476" i="6"/>
  <c r="AI476" i="6"/>
  <c r="S477" i="6"/>
  <c r="AD477" i="6"/>
  <c r="AE477" i="6"/>
  <c r="AF477" i="6"/>
  <c r="AG477" i="6"/>
  <c r="AH477" i="6"/>
  <c r="AI477" i="6"/>
  <c r="S478" i="6"/>
  <c r="AD478" i="6"/>
  <c r="AE478" i="6"/>
  <c r="AF478" i="6"/>
  <c r="AG478" i="6"/>
  <c r="AH478" i="6"/>
  <c r="AI478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AD190" i="6"/>
  <c r="AE190" i="6"/>
  <c r="AF190" i="6"/>
  <c r="AD191" i="6"/>
  <c r="AE191" i="6"/>
  <c r="AF191" i="6"/>
  <c r="AD192" i="6"/>
  <c r="AE192" i="6"/>
  <c r="AF192" i="6"/>
  <c r="AD193" i="6"/>
  <c r="AE193" i="6"/>
  <c r="AF193" i="6"/>
  <c r="AD194" i="6"/>
  <c r="AE194" i="6"/>
  <c r="AF194" i="6"/>
  <c r="S192" i="6"/>
  <c r="AG192" i="6"/>
  <c r="AH192" i="6"/>
  <c r="AI192" i="6"/>
  <c r="S495" i="6"/>
  <c r="AD495" i="6"/>
  <c r="AE495" i="6"/>
  <c r="AF495" i="6"/>
  <c r="AG495" i="6"/>
  <c r="AH495" i="6"/>
  <c r="AI495" i="6"/>
  <c r="S496" i="6"/>
  <c r="AD496" i="6"/>
  <c r="AE496" i="6"/>
  <c r="AF496" i="6"/>
  <c r="AG496" i="6"/>
  <c r="AH496" i="6"/>
  <c r="AI496" i="6"/>
  <c r="AI494" i="6"/>
  <c r="AH494" i="6"/>
  <c r="AG494" i="6"/>
  <c r="AF494" i="6"/>
  <c r="AE494" i="6"/>
  <c r="AD494" i="6"/>
  <c r="AI493" i="6"/>
  <c r="AH493" i="6"/>
  <c r="AG493" i="6"/>
  <c r="AF493" i="6"/>
  <c r="AE493" i="6"/>
  <c r="AD493" i="6"/>
  <c r="AI492" i="6"/>
  <c r="AH492" i="6"/>
  <c r="AG492" i="6"/>
  <c r="AF492" i="6"/>
  <c r="AE492" i="6"/>
  <c r="AD492" i="6"/>
  <c r="AI491" i="6"/>
  <c r="AH491" i="6"/>
  <c r="AG491" i="6"/>
  <c r="AF491" i="6"/>
  <c r="AE491" i="6"/>
  <c r="AD491" i="6"/>
  <c r="AI490" i="6"/>
  <c r="AH490" i="6"/>
  <c r="AG490" i="6"/>
  <c r="AF490" i="6"/>
  <c r="AE490" i="6"/>
  <c r="AD490" i="6"/>
  <c r="AI489" i="6"/>
  <c r="AH489" i="6"/>
  <c r="AG489" i="6"/>
  <c r="AF489" i="6"/>
  <c r="AE489" i="6"/>
  <c r="AD489" i="6"/>
  <c r="AI488" i="6"/>
  <c r="AH488" i="6"/>
  <c r="AG488" i="6"/>
  <c r="AF488" i="6"/>
  <c r="AE488" i="6"/>
  <c r="AD488" i="6"/>
  <c r="AI487" i="6"/>
  <c r="AH487" i="6"/>
  <c r="AG487" i="6"/>
  <c r="AF487" i="6"/>
  <c r="AE487" i="6"/>
  <c r="AD487" i="6"/>
  <c r="AI267" i="6"/>
  <c r="AH267" i="6"/>
  <c r="AG267" i="6"/>
  <c r="AF267" i="6"/>
  <c r="AE267" i="6"/>
  <c r="AD267" i="6"/>
  <c r="AI266" i="6"/>
  <c r="AH266" i="6"/>
  <c r="AG266" i="6"/>
  <c r="AF266" i="6"/>
  <c r="AE266" i="6"/>
  <c r="AD266" i="6"/>
  <c r="S494" i="6"/>
  <c r="S493" i="6"/>
  <c r="S492" i="6"/>
  <c r="S491" i="6"/>
  <c r="S490" i="6"/>
  <c r="S489" i="6"/>
  <c r="S488" i="6"/>
  <c r="S487" i="6"/>
  <c r="AD196" i="6"/>
  <c r="AE196" i="6"/>
  <c r="AF196" i="6"/>
  <c r="AD197" i="6"/>
  <c r="AE197" i="6"/>
  <c r="AF197" i="6"/>
  <c r="S197" i="6"/>
  <c r="AG197" i="6"/>
  <c r="AH197" i="6"/>
  <c r="AI197" i="6"/>
  <c r="S431" i="6"/>
  <c r="AD431" i="6"/>
  <c r="AE431" i="6"/>
  <c r="AF431" i="6"/>
  <c r="AG431" i="6"/>
  <c r="AH431" i="6"/>
  <c r="AI431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331" i="6"/>
  <c r="AD331" i="6"/>
  <c r="AE331" i="6"/>
  <c r="AF331" i="6"/>
  <c r="AG331" i="6"/>
  <c r="AH331" i="6"/>
  <c r="AI331" i="6"/>
  <c r="AD368" i="6"/>
  <c r="AE368" i="6"/>
  <c r="AF368" i="6"/>
  <c r="AG368" i="6"/>
  <c r="AH368" i="6"/>
  <c r="AI368" i="6"/>
  <c r="AD369" i="6"/>
  <c r="AE369" i="6"/>
  <c r="AF369" i="6"/>
  <c r="AG369" i="6"/>
  <c r="AH369" i="6"/>
  <c r="AI369" i="6"/>
  <c r="AD370" i="6"/>
  <c r="AE370" i="6"/>
  <c r="AF370" i="6"/>
  <c r="AG370" i="6"/>
  <c r="AH370" i="6"/>
  <c r="AI370" i="6"/>
  <c r="AD371" i="6"/>
  <c r="AE371" i="6"/>
  <c r="AF371" i="6"/>
  <c r="AG371" i="6"/>
  <c r="AH371" i="6"/>
  <c r="AI371" i="6"/>
  <c r="S369" i="6"/>
  <c r="S383" i="6"/>
  <c r="AD383" i="6"/>
  <c r="AE383" i="6"/>
  <c r="AF383" i="6"/>
  <c r="AG383" i="6"/>
  <c r="AH383" i="6"/>
  <c r="AI383" i="6"/>
  <c r="S384" i="6"/>
  <c r="AD384" i="6"/>
  <c r="AE384" i="6"/>
  <c r="AF384" i="6"/>
  <c r="AG384" i="6"/>
  <c r="AH384" i="6"/>
  <c r="AI384" i="6"/>
  <c r="S385" i="6"/>
  <c r="AD385" i="6"/>
  <c r="AE385" i="6"/>
  <c r="AF385" i="6"/>
  <c r="AG385" i="6"/>
  <c r="AH385" i="6"/>
  <c r="AI385" i="6"/>
  <c r="AD464" i="6"/>
  <c r="AE464" i="6"/>
  <c r="AD465" i="6"/>
  <c r="AE465" i="6"/>
  <c r="S464" i="6"/>
  <c r="AF464" i="6"/>
  <c r="AG464" i="6"/>
  <c r="AH464" i="6"/>
  <c r="AI464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AD479" i="6"/>
  <c r="AE479" i="6"/>
  <c r="S479" i="6"/>
  <c r="AF479" i="6"/>
  <c r="AG479" i="6"/>
  <c r="AH479" i="6"/>
  <c r="AI479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S73" i="6"/>
  <c r="S75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G190" i="6"/>
  <c r="AH190" i="6"/>
  <c r="AI190" i="6"/>
  <c r="S191" i="6"/>
  <c r="AG191" i="6"/>
  <c r="AH191" i="6"/>
  <c r="AI191" i="6"/>
  <c r="S193" i="6"/>
  <c r="AG193" i="6"/>
  <c r="AH193" i="6"/>
  <c r="AI193" i="6"/>
  <c r="S194" i="6"/>
  <c r="AG194" i="6"/>
  <c r="AH194" i="6"/>
  <c r="AI194" i="6"/>
  <c r="S195" i="6"/>
  <c r="AD195" i="6"/>
  <c r="AE195" i="6"/>
  <c r="AF195" i="6"/>
  <c r="AG195" i="6"/>
  <c r="AH195" i="6"/>
  <c r="AI195" i="6"/>
  <c r="S196" i="6"/>
  <c r="AG196" i="6"/>
  <c r="AH196" i="6"/>
  <c r="AI196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9" i="6"/>
  <c r="S240" i="6"/>
  <c r="S241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AD259" i="6"/>
  <c r="AE259" i="6"/>
  <c r="AF259" i="6"/>
  <c r="AG259" i="6"/>
  <c r="AH259" i="6"/>
  <c r="AI259" i="6"/>
  <c r="S260" i="6"/>
  <c r="AD260" i="6"/>
  <c r="AE260" i="6"/>
  <c r="AF260" i="6"/>
  <c r="AG260" i="6"/>
  <c r="AH260" i="6"/>
  <c r="AI260" i="6"/>
  <c r="S261" i="6"/>
  <c r="AD261" i="6"/>
  <c r="AE261" i="6"/>
  <c r="AF261" i="6"/>
  <c r="AG261" i="6"/>
  <c r="AH261" i="6"/>
  <c r="AI261" i="6"/>
  <c r="S262" i="6"/>
  <c r="AD262" i="6"/>
  <c r="AE262" i="6"/>
  <c r="AF262" i="6"/>
  <c r="AG262" i="6"/>
  <c r="AH262" i="6"/>
  <c r="AI262" i="6"/>
  <c r="S263" i="6"/>
  <c r="AD263" i="6"/>
  <c r="AE263" i="6"/>
  <c r="AF263" i="6"/>
  <c r="AG263" i="6"/>
  <c r="AH263" i="6"/>
  <c r="AI263" i="6"/>
  <c r="S264" i="6"/>
  <c r="AD264" i="6"/>
  <c r="AE264" i="6"/>
  <c r="AF264" i="6"/>
  <c r="AG264" i="6"/>
  <c r="AH264" i="6"/>
  <c r="AI264" i="6"/>
  <c r="S265" i="6"/>
  <c r="AD265" i="6"/>
  <c r="AE265" i="6"/>
  <c r="AF265" i="6"/>
  <c r="AG265" i="6"/>
  <c r="AH265" i="6"/>
  <c r="AI265" i="6"/>
  <c r="S266" i="6"/>
  <c r="S267" i="6"/>
  <c r="S268" i="6"/>
  <c r="AD268" i="6"/>
  <c r="AE268" i="6"/>
  <c r="AF268" i="6"/>
  <c r="AG268" i="6"/>
  <c r="AH268" i="6"/>
  <c r="AI268" i="6"/>
  <c r="S269" i="6"/>
  <c r="AD269" i="6"/>
  <c r="AE269" i="6"/>
  <c r="AF269" i="6"/>
  <c r="AG269" i="6"/>
  <c r="AH269" i="6"/>
  <c r="AI269" i="6"/>
  <c r="S270" i="6"/>
  <c r="AD270" i="6"/>
  <c r="AE270" i="6"/>
  <c r="AF270" i="6"/>
  <c r="AG270" i="6"/>
  <c r="AH270" i="6"/>
  <c r="AI270" i="6"/>
  <c r="S273" i="6"/>
  <c r="AD273" i="6"/>
  <c r="AE273" i="6"/>
  <c r="AF273" i="6"/>
  <c r="AG273" i="6"/>
  <c r="AH273" i="6"/>
  <c r="AI273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1" i="6"/>
  <c r="S292" i="6"/>
  <c r="S293" i="6"/>
  <c r="S294" i="6"/>
  <c r="S295" i="6"/>
  <c r="AD295" i="6"/>
  <c r="AE295" i="6"/>
  <c r="AF295" i="6"/>
  <c r="AG295" i="6"/>
  <c r="AH295" i="6"/>
  <c r="AI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0" i="6"/>
  <c r="AD320" i="6"/>
  <c r="AE320" i="6"/>
  <c r="AF320" i="6"/>
  <c r="AG320" i="6"/>
  <c r="AH320" i="6"/>
  <c r="AI320" i="6"/>
  <c r="S321" i="6"/>
  <c r="AD321" i="6"/>
  <c r="AE321" i="6"/>
  <c r="AF321" i="6"/>
  <c r="AG321" i="6"/>
  <c r="AH321" i="6"/>
  <c r="AI321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5" i="6"/>
  <c r="AD325" i="6"/>
  <c r="AE325" i="6"/>
  <c r="AF325" i="6"/>
  <c r="AG325" i="6"/>
  <c r="AH325" i="6"/>
  <c r="AI325" i="6"/>
  <c r="S326" i="6"/>
  <c r="AD326" i="6"/>
  <c r="AE326" i="6"/>
  <c r="AF326" i="6"/>
  <c r="AG326" i="6"/>
  <c r="AH326" i="6"/>
  <c r="AI326" i="6"/>
  <c r="S327" i="6"/>
  <c r="AD327" i="6"/>
  <c r="AE327" i="6"/>
  <c r="AF327" i="6"/>
  <c r="AG327" i="6"/>
  <c r="AH327" i="6"/>
  <c r="AI327" i="6"/>
  <c r="S328" i="6"/>
  <c r="AD328" i="6"/>
  <c r="AE328" i="6"/>
  <c r="AF328" i="6"/>
  <c r="AG328" i="6"/>
  <c r="AH328" i="6"/>
  <c r="AI328" i="6"/>
  <c r="S329" i="6"/>
  <c r="AD329" i="6"/>
  <c r="AE329" i="6"/>
  <c r="AF329" i="6"/>
  <c r="AG329" i="6"/>
  <c r="AH329" i="6"/>
  <c r="AI329" i="6"/>
  <c r="S330" i="6"/>
  <c r="AD330" i="6"/>
  <c r="AE330" i="6"/>
  <c r="AF330" i="6"/>
  <c r="AG330" i="6"/>
  <c r="AH330" i="6"/>
  <c r="AI330" i="6"/>
  <c r="S332" i="6"/>
  <c r="AD332" i="6"/>
  <c r="AE332" i="6"/>
  <c r="AF332" i="6"/>
  <c r="AG332" i="6"/>
  <c r="AH332" i="6"/>
  <c r="AI332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AD357" i="6"/>
  <c r="AE357" i="6"/>
  <c r="AF357" i="6"/>
  <c r="AG357" i="6"/>
  <c r="AH357" i="6"/>
  <c r="AI357" i="6"/>
  <c r="S358" i="6"/>
  <c r="AD358" i="6"/>
  <c r="AE358" i="6"/>
  <c r="AF358" i="6"/>
  <c r="AG358" i="6"/>
  <c r="AH358" i="6"/>
  <c r="AI358" i="6"/>
  <c r="S359" i="6"/>
  <c r="AD359" i="6"/>
  <c r="AE359" i="6"/>
  <c r="AF359" i="6"/>
  <c r="AG359" i="6"/>
  <c r="AH359" i="6"/>
  <c r="AI359" i="6"/>
  <c r="S360" i="6"/>
  <c r="AD360" i="6"/>
  <c r="AE360" i="6"/>
  <c r="AF360" i="6"/>
  <c r="AG360" i="6"/>
  <c r="AH360" i="6"/>
  <c r="AI360" i="6"/>
  <c r="S361" i="6"/>
  <c r="AD361" i="6"/>
  <c r="AE361" i="6"/>
  <c r="AF361" i="6"/>
  <c r="AG361" i="6"/>
  <c r="AH361" i="6"/>
  <c r="AI361" i="6"/>
  <c r="S362" i="6"/>
  <c r="AD362" i="6"/>
  <c r="AE362" i="6"/>
  <c r="AF362" i="6"/>
  <c r="AG362" i="6"/>
  <c r="AH362" i="6"/>
  <c r="AI362" i="6"/>
  <c r="S363" i="6"/>
  <c r="AD363" i="6"/>
  <c r="AE363" i="6"/>
  <c r="AF363" i="6"/>
  <c r="AG363" i="6"/>
  <c r="AH363" i="6"/>
  <c r="AI363" i="6"/>
  <c r="S364" i="6"/>
  <c r="S366" i="6"/>
  <c r="S367" i="6"/>
  <c r="AD367" i="6"/>
  <c r="AE367" i="6"/>
  <c r="AF367" i="6"/>
  <c r="AG367" i="6"/>
  <c r="AH367" i="6"/>
  <c r="AI367" i="6"/>
  <c r="S368" i="6"/>
  <c r="S370" i="6"/>
  <c r="S371" i="6"/>
  <c r="S372" i="6"/>
  <c r="AD372" i="6"/>
  <c r="AE372" i="6"/>
  <c r="AF372" i="6"/>
  <c r="AG372" i="6"/>
  <c r="AH372" i="6"/>
  <c r="AI372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S375" i="6"/>
  <c r="AD375" i="6"/>
  <c r="AE375" i="6"/>
  <c r="AF375" i="6"/>
  <c r="AG375" i="6"/>
  <c r="AH375" i="6"/>
  <c r="AI375" i="6"/>
  <c r="S376" i="6"/>
  <c r="AD376" i="6"/>
  <c r="AE376" i="6"/>
  <c r="AF376" i="6"/>
  <c r="AG376" i="6"/>
  <c r="AH376" i="6"/>
  <c r="AI376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S380" i="6"/>
  <c r="AD380" i="6"/>
  <c r="AE380" i="6"/>
  <c r="AF380" i="6"/>
  <c r="AG380" i="6"/>
  <c r="AH380" i="6"/>
  <c r="AI380" i="6"/>
  <c r="S381" i="6"/>
  <c r="AD381" i="6"/>
  <c r="AE381" i="6"/>
  <c r="AF381" i="6"/>
  <c r="AG381" i="6"/>
  <c r="AH381" i="6"/>
  <c r="AI381" i="6"/>
  <c r="S382" i="6"/>
  <c r="AD382" i="6"/>
  <c r="AE382" i="6"/>
  <c r="AF382" i="6"/>
  <c r="AG382" i="6"/>
  <c r="AH382" i="6"/>
  <c r="AI382" i="6"/>
  <c r="S386" i="6"/>
  <c r="AD386" i="6"/>
  <c r="AE386" i="6"/>
  <c r="AF386" i="6"/>
  <c r="AG386" i="6"/>
  <c r="AH386" i="6"/>
  <c r="AI386" i="6"/>
  <c r="S391" i="6"/>
  <c r="AD391" i="6"/>
  <c r="AE391" i="6"/>
  <c r="AF391" i="6"/>
  <c r="AG391" i="6"/>
  <c r="AH391" i="6"/>
  <c r="AI391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8" i="6"/>
  <c r="AD418" i="6"/>
  <c r="AE418" i="6"/>
  <c r="AF418" i="6"/>
  <c r="AG418" i="6"/>
  <c r="AH418" i="6"/>
  <c r="AI418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6" i="6"/>
  <c r="AD436" i="6"/>
  <c r="AE436" i="6"/>
  <c r="AF436" i="6"/>
  <c r="AG436" i="6"/>
  <c r="AH436" i="6"/>
  <c r="AI436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8" i="6"/>
  <c r="AD448" i="6"/>
  <c r="AE448" i="6"/>
  <c r="AF448" i="6"/>
  <c r="AG448" i="6"/>
  <c r="AH448" i="6"/>
  <c r="AI448" i="6"/>
  <c r="S449" i="6"/>
  <c r="AD449" i="6"/>
  <c r="AE449" i="6"/>
  <c r="AF449" i="6"/>
  <c r="AG449" i="6"/>
  <c r="AH449" i="6"/>
  <c r="AI449" i="6"/>
  <c r="S450" i="6"/>
  <c r="AD450" i="6"/>
  <c r="AE450" i="6"/>
  <c r="AF450" i="6"/>
  <c r="AG450" i="6"/>
  <c r="AH450" i="6"/>
  <c r="AI450" i="6"/>
  <c r="S451" i="6"/>
  <c r="AD451" i="6"/>
  <c r="AE451" i="6"/>
  <c r="AF451" i="6"/>
  <c r="AG451" i="6"/>
  <c r="AH451" i="6"/>
  <c r="AI451" i="6"/>
  <c r="S452" i="6"/>
  <c r="AD452" i="6"/>
  <c r="AE452" i="6"/>
  <c r="AF452" i="6"/>
  <c r="AG452" i="6"/>
  <c r="AH452" i="6"/>
  <c r="AI452" i="6"/>
  <c r="S453" i="6"/>
  <c r="AD453" i="6"/>
  <c r="AE453" i="6"/>
  <c r="AF453" i="6"/>
  <c r="AG453" i="6"/>
  <c r="AH453" i="6"/>
  <c r="AI453" i="6"/>
  <c r="S454" i="6"/>
  <c r="AD454" i="6"/>
  <c r="AE454" i="6"/>
  <c r="AF454" i="6"/>
  <c r="AG454" i="6"/>
  <c r="AH454" i="6"/>
  <c r="AI454" i="6"/>
  <c r="S455" i="6"/>
  <c r="AD455" i="6"/>
  <c r="AE455" i="6"/>
  <c r="AF455" i="6"/>
  <c r="AG455" i="6"/>
  <c r="AH455" i="6"/>
  <c r="AI455" i="6"/>
  <c r="S457" i="6"/>
  <c r="S458" i="6"/>
  <c r="S459" i="6"/>
  <c r="S460" i="6"/>
  <c r="AD460" i="6"/>
  <c r="AE460" i="6"/>
  <c r="AF460" i="6"/>
  <c r="AG460" i="6"/>
  <c r="AH460" i="6"/>
  <c r="AI460" i="6"/>
  <c r="S461" i="6"/>
  <c r="AD461" i="6"/>
  <c r="AE461" i="6"/>
  <c r="AF461" i="6"/>
  <c r="AG461" i="6"/>
  <c r="AH461" i="6"/>
  <c r="AI461" i="6"/>
  <c r="S462" i="6"/>
  <c r="AD462" i="6"/>
  <c r="AE462" i="6"/>
  <c r="AF462" i="6"/>
  <c r="AG462" i="6"/>
  <c r="AH462" i="6"/>
  <c r="AI462" i="6"/>
  <c r="S463" i="6"/>
  <c r="AD463" i="6"/>
  <c r="AE463" i="6"/>
  <c r="AF463" i="6"/>
  <c r="AG463" i="6"/>
  <c r="AH463" i="6"/>
  <c r="AI463" i="6"/>
  <c r="S465" i="6"/>
  <c r="AF465" i="6"/>
  <c r="AG465" i="6"/>
  <c r="AH465" i="6"/>
  <c r="AI465" i="6"/>
  <c r="S466" i="6"/>
  <c r="AD466" i="6"/>
  <c r="AE466" i="6"/>
  <c r="AF466" i="6"/>
  <c r="AG466" i="6"/>
  <c r="AH466" i="6"/>
  <c r="AI466" i="6"/>
  <c r="S467" i="6"/>
  <c r="AD467" i="6"/>
  <c r="AE467" i="6"/>
  <c r="AF467" i="6"/>
  <c r="AG467" i="6"/>
  <c r="AH467" i="6"/>
  <c r="AI467" i="6"/>
  <c r="S468" i="6"/>
  <c r="AD468" i="6"/>
  <c r="AE468" i="6"/>
  <c r="AF468" i="6"/>
  <c r="AG468" i="6"/>
  <c r="AH468" i="6"/>
  <c r="AI468" i="6"/>
  <c r="S469" i="6"/>
  <c r="AD469" i="6"/>
  <c r="AE469" i="6"/>
  <c r="AF469" i="6"/>
  <c r="AG469" i="6"/>
  <c r="AH469" i="6"/>
  <c r="AI469" i="6"/>
  <c r="S470" i="6"/>
  <c r="AD470" i="6"/>
  <c r="AE470" i="6"/>
  <c r="AF470" i="6"/>
  <c r="AG470" i="6"/>
  <c r="AH470" i="6"/>
  <c r="AI470" i="6"/>
  <c r="S471" i="6"/>
  <c r="AD471" i="6"/>
  <c r="AE471" i="6"/>
  <c r="AF471" i="6"/>
  <c r="AG471" i="6"/>
  <c r="AH471" i="6"/>
  <c r="AI471" i="6"/>
  <c r="S472" i="6"/>
  <c r="AD472" i="6"/>
  <c r="AE472" i="6"/>
  <c r="AF472" i="6"/>
  <c r="AG472" i="6"/>
  <c r="AH472" i="6"/>
  <c r="AI472" i="6"/>
  <c r="S480" i="6"/>
  <c r="AD480" i="6"/>
  <c r="AE480" i="6"/>
  <c r="AF480" i="6"/>
  <c r="AG480" i="6"/>
  <c r="AH480" i="6"/>
  <c r="AI480" i="6"/>
  <c r="S481" i="6"/>
  <c r="AD481" i="6"/>
  <c r="AE481" i="6"/>
  <c r="AF481" i="6"/>
  <c r="AG481" i="6"/>
  <c r="AH481" i="6"/>
  <c r="AI481" i="6"/>
  <c r="S482" i="6"/>
  <c r="AD482" i="6"/>
  <c r="AE482" i="6"/>
  <c r="AF482" i="6"/>
  <c r="AG482" i="6"/>
  <c r="AH482" i="6"/>
  <c r="AI482" i="6"/>
  <c r="S483" i="6"/>
  <c r="AD483" i="6"/>
  <c r="AE483" i="6"/>
  <c r="AF483" i="6"/>
  <c r="AG483" i="6"/>
  <c r="AH483" i="6"/>
  <c r="AI483" i="6"/>
  <c r="S484" i="6"/>
  <c r="AD484" i="6"/>
  <c r="AE484" i="6"/>
  <c r="AF484" i="6"/>
  <c r="AG484" i="6"/>
  <c r="AH484" i="6"/>
  <c r="AI484" i="6"/>
  <c r="S485" i="6"/>
  <c r="AD485" i="6"/>
  <c r="AE485" i="6"/>
  <c r="AF485" i="6"/>
  <c r="AG485" i="6"/>
  <c r="AH485" i="6"/>
  <c r="AI485" i="6"/>
  <c r="S486" i="6"/>
  <c r="AD486" i="6"/>
  <c r="AE486" i="6"/>
  <c r="AF486" i="6"/>
  <c r="AG486" i="6"/>
  <c r="AH486" i="6"/>
  <c r="AI486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441" i="6" s="1"/>
  <c r="T185" i="6" l="1"/>
  <c r="T151" i="6"/>
  <c r="T238" i="6"/>
  <c r="T290" i="6"/>
  <c r="T85" i="6"/>
  <c r="T35" i="6"/>
  <c r="T34" i="6"/>
  <c r="T33" i="6"/>
  <c r="T32" i="6"/>
  <c r="T172" i="6"/>
  <c r="T171" i="6"/>
  <c r="T410" i="6"/>
  <c r="T390" i="6"/>
  <c r="T389" i="6"/>
  <c r="T388" i="6"/>
  <c r="T387" i="6"/>
  <c r="T162" i="6"/>
  <c r="T161" i="6"/>
  <c r="T160" i="6"/>
  <c r="T159" i="6"/>
  <c r="T158" i="6"/>
  <c r="T456" i="6"/>
  <c r="T365" i="6"/>
  <c r="T271" i="6"/>
  <c r="T272" i="6"/>
  <c r="T417" i="6"/>
  <c r="T416" i="6"/>
  <c r="T415" i="6"/>
  <c r="T414" i="6"/>
  <c r="T413" i="6"/>
  <c r="T412" i="6"/>
  <c r="T411" i="6"/>
  <c r="T74" i="6"/>
  <c r="T478" i="6"/>
  <c r="T477" i="6"/>
  <c r="T476" i="6"/>
  <c r="T475" i="6"/>
  <c r="T474" i="6"/>
  <c r="T473" i="6"/>
  <c r="T54" i="6"/>
  <c r="T53" i="6"/>
  <c r="T52" i="6"/>
  <c r="T192" i="6"/>
  <c r="T489" i="6"/>
  <c r="T494" i="6"/>
  <c r="T491" i="6"/>
  <c r="T493" i="6"/>
  <c r="T490" i="6"/>
  <c r="T492" i="6"/>
  <c r="T496" i="6"/>
  <c r="T495" i="6"/>
  <c r="T488" i="6"/>
  <c r="T487" i="6"/>
  <c r="T197" i="6"/>
  <c r="T435" i="6"/>
  <c r="T434" i="6"/>
  <c r="T433" i="6"/>
  <c r="T432" i="6"/>
  <c r="T431" i="6"/>
  <c r="T101" i="6"/>
  <c r="T100" i="6"/>
  <c r="T99" i="6"/>
  <c r="T331" i="6"/>
  <c r="T369" i="6"/>
  <c r="T89" i="6"/>
  <c r="T343" i="6"/>
  <c r="T374" i="6"/>
  <c r="T305" i="6"/>
  <c r="T193" i="6"/>
  <c r="T191" i="6"/>
  <c r="T65" i="6"/>
  <c r="T385" i="6"/>
  <c r="T384" i="6"/>
  <c r="T383" i="6"/>
  <c r="T464" i="6"/>
  <c r="T276" i="6"/>
  <c r="T246" i="6"/>
  <c r="T277" i="6"/>
  <c r="T223" i="6"/>
  <c r="T222" i="6"/>
  <c r="T361" i="6"/>
  <c r="T347" i="6"/>
  <c r="T143" i="6"/>
  <c r="T168" i="6"/>
  <c r="T106" i="6"/>
  <c r="T144" i="6"/>
  <c r="T327" i="6"/>
  <c r="T105" i="6"/>
  <c r="T96" i="6"/>
  <c r="T95" i="6"/>
  <c r="T94" i="6"/>
  <c r="T302" i="6"/>
  <c r="T247" i="6"/>
  <c r="T378" i="6"/>
  <c r="T362" i="6"/>
  <c r="T326" i="6"/>
  <c r="T298" i="6"/>
  <c r="T274" i="6"/>
  <c r="T245" i="6"/>
  <c r="T221" i="6"/>
  <c r="T189" i="6"/>
  <c r="T71" i="6"/>
  <c r="T142" i="6"/>
  <c r="T102" i="6"/>
  <c r="T382" i="6"/>
  <c r="T349" i="6"/>
  <c r="T325" i="6"/>
  <c r="T297" i="6"/>
  <c r="T273" i="6"/>
  <c r="T244" i="6"/>
  <c r="T218" i="6"/>
  <c r="T188" i="6"/>
  <c r="T134" i="6"/>
  <c r="T66" i="6"/>
  <c r="T296" i="6"/>
  <c r="T187" i="6"/>
  <c r="T213" i="6"/>
  <c r="T400" i="6"/>
  <c r="T69" i="6"/>
  <c r="T211" i="6"/>
  <c r="T371" i="6"/>
  <c r="T408" i="6"/>
  <c r="T337" i="6"/>
  <c r="T314" i="6"/>
  <c r="T291" i="6"/>
  <c r="T81" i="6"/>
  <c r="T237" i="6"/>
  <c r="T210" i="6"/>
  <c r="T92" i="6"/>
  <c r="T126" i="6"/>
  <c r="T91" i="6"/>
  <c r="T129" i="6"/>
  <c r="T240" i="6"/>
  <c r="T353" i="6"/>
  <c r="T375" i="6"/>
  <c r="T419" i="6"/>
  <c r="T259" i="6"/>
  <c r="T313" i="6"/>
  <c r="T289" i="6"/>
  <c r="T253" i="6"/>
  <c r="T234" i="6"/>
  <c r="T209" i="6"/>
  <c r="T174" i="6"/>
  <c r="T125" i="6"/>
  <c r="T49" i="6"/>
  <c r="T335" i="6"/>
  <c r="T130" i="6"/>
  <c r="T267" i="6"/>
  <c r="T336" i="6"/>
  <c r="T263" i="6"/>
  <c r="T179" i="6"/>
  <c r="T404" i="6"/>
  <c r="T312" i="6"/>
  <c r="T254" i="6"/>
  <c r="T230" i="6"/>
  <c r="T207" i="6"/>
  <c r="T166" i="6"/>
  <c r="T156" i="6"/>
  <c r="T123" i="6"/>
  <c r="T48" i="6"/>
  <c r="T270" i="6"/>
  <c r="T61" i="6"/>
  <c r="T242" i="6"/>
  <c r="T294" i="6"/>
  <c r="T177" i="6"/>
  <c r="T379" i="6"/>
  <c r="T338" i="6"/>
  <c r="T288" i="6"/>
  <c r="T257" i="6"/>
  <c r="T311" i="6"/>
  <c r="T285" i="6"/>
  <c r="T255" i="6"/>
  <c r="T229" i="6"/>
  <c r="T206" i="6"/>
  <c r="T175" i="6"/>
  <c r="T155" i="6"/>
  <c r="T122" i="6"/>
  <c r="T46" i="6"/>
  <c r="T323" i="6"/>
  <c r="T86" i="6"/>
  <c r="T392" i="6"/>
  <c r="T295" i="6"/>
  <c r="T68" i="6"/>
  <c r="T321" i="6"/>
  <c r="T128" i="6"/>
  <c r="T127" i="6"/>
  <c r="T344" i="6"/>
  <c r="T345" i="6"/>
  <c r="T355" i="6"/>
  <c r="T310" i="6"/>
  <c r="T281" i="6"/>
  <c r="T176" i="6"/>
  <c r="T228" i="6"/>
  <c r="T198" i="6"/>
  <c r="T70" i="6"/>
  <c r="T154" i="6"/>
  <c r="T118" i="6"/>
  <c r="T45" i="6"/>
  <c r="T243" i="6"/>
  <c r="T352" i="6"/>
  <c r="T183" i="6"/>
  <c r="T212" i="6"/>
  <c r="T367" i="6"/>
  <c r="T318" i="6"/>
  <c r="T239" i="6"/>
  <c r="T170" i="6"/>
  <c r="T59" i="6"/>
  <c r="T332" i="6"/>
  <c r="T309" i="6"/>
  <c r="T167" i="6"/>
  <c r="T196" i="6"/>
  <c r="T150" i="6"/>
  <c r="T401" i="6"/>
  <c r="T261" i="6"/>
  <c r="T307" i="6"/>
  <c r="T279" i="6"/>
  <c r="T178" i="6"/>
  <c r="T226" i="6"/>
  <c r="T195" i="6"/>
  <c r="T93" i="6"/>
  <c r="T146" i="6"/>
  <c r="T109" i="6"/>
  <c r="T41" i="6"/>
  <c r="T214" i="6"/>
  <c r="T322" i="6"/>
  <c r="T87" i="6"/>
  <c r="T293" i="6"/>
  <c r="T397" i="6"/>
  <c r="T280" i="6"/>
  <c r="T227" i="6"/>
  <c r="T60" i="6"/>
  <c r="T114" i="6"/>
  <c r="T43" i="6"/>
  <c r="T405" i="6"/>
  <c r="T346" i="6"/>
  <c r="T262" i="6"/>
  <c r="T306" i="6"/>
  <c r="T278" i="6"/>
  <c r="T251" i="6"/>
  <c r="T225" i="6"/>
  <c r="T194" i="6"/>
  <c r="T75" i="6"/>
  <c r="T145" i="6"/>
  <c r="T107" i="6"/>
  <c r="T38" i="6"/>
  <c r="T62" i="6"/>
  <c r="T56" i="6"/>
  <c r="T141" i="6"/>
  <c r="T113" i="6"/>
  <c r="T80" i="6"/>
  <c r="T31" i="6"/>
  <c r="T205" i="6"/>
  <c r="T164" i="6"/>
  <c r="T139" i="6"/>
  <c r="T112" i="6"/>
  <c r="T64" i="6"/>
  <c r="T30" i="6"/>
  <c r="T202" i="6"/>
  <c r="T173" i="6"/>
  <c r="T163" i="6"/>
  <c r="T138" i="6"/>
  <c r="T111" i="6"/>
  <c r="T55" i="6"/>
  <c r="T29" i="6"/>
  <c r="T137" i="6"/>
  <c r="T110" i="6"/>
  <c r="T50" i="6"/>
  <c r="T27" i="6"/>
  <c r="T26" i="6"/>
  <c r="T25" i="6"/>
  <c r="T47" i="6"/>
  <c r="T17" i="6"/>
  <c r="T16" i="6"/>
  <c r="T15" i="6"/>
  <c r="T14" i="6"/>
  <c r="T42" i="6"/>
  <c r="T9" i="6"/>
  <c r="T11" i="6"/>
  <c r="T121" i="6"/>
  <c r="T83" i="6"/>
  <c r="T22" i="6"/>
  <c r="T18" i="6"/>
  <c r="T13" i="6"/>
  <c r="U7" i="6"/>
  <c r="U185" i="6" s="1"/>
  <c r="T443" i="6"/>
  <c r="T380" i="6"/>
  <c r="T479" i="6"/>
  <c r="T393" i="6"/>
  <c r="T396" i="6"/>
  <c r="T258" i="6"/>
  <c r="T354" i="6"/>
  <c r="T324" i="6"/>
  <c r="T308" i="6"/>
  <c r="T292" i="6"/>
  <c r="T275" i="6"/>
  <c r="T256" i="6"/>
  <c r="T241" i="6"/>
  <c r="T224" i="6"/>
  <c r="T208" i="6"/>
  <c r="T190" i="6"/>
  <c r="T84" i="6"/>
  <c r="T58" i="6"/>
  <c r="T157" i="6"/>
  <c r="T140" i="6"/>
  <c r="T124" i="6"/>
  <c r="T108" i="6"/>
  <c r="T97" i="6"/>
  <c r="T44" i="6"/>
  <c r="T28" i="6"/>
  <c r="T12" i="6"/>
  <c r="T485" i="6"/>
  <c r="T409" i="6"/>
  <c r="T348" i="6"/>
  <c r="T339" i="6"/>
  <c r="T320" i="6"/>
  <c r="T304" i="6"/>
  <c r="T287" i="6"/>
  <c r="T269" i="6"/>
  <c r="T169" i="6"/>
  <c r="T236" i="6"/>
  <c r="T220" i="6"/>
  <c r="T204" i="6"/>
  <c r="T186" i="6"/>
  <c r="T98" i="6"/>
  <c r="T153" i="6"/>
  <c r="T136" i="6"/>
  <c r="T120" i="6"/>
  <c r="T104" i="6"/>
  <c r="T57" i="6"/>
  <c r="T40" i="6"/>
  <c r="T24" i="6"/>
  <c r="T10" i="6"/>
  <c r="T480" i="6"/>
  <c r="T420" i="6"/>
  <c r="T333" i="6"/>
  <c r="T260" i="6"/>
  <c r="T319" i="6"/>
  <c r="T303" i="6"/>
  <c r="T286" i="6"/>
  <c r="T268" i="6"/>
  <c r="T252" i="6"/>
  <c r="T235" i="6"/>
  <c r="T219" i="6"/>
  <c r="T203" i="6"/>
  <c r="T184" i="6"/>
  <c r="T88" i="6"/>
  <c r="T82" i="6"/>
  <c r="T152" i="6"/>
  <c r="T135" i="6"/>
  <c r="T119" i="6"/>
  <c r="T103" i="6"/>
  <c r="T73" i="6"/>
  <c r="T39" i="6"/>
  <c r="T23" i="6"/>
  <c r="T359" i="6"/>
  <c r="T399" i="6"/>
  <c r="T448" i="6"/>
  <c r="AD6" i="6"/>
  <c r="F3" i="6" s="1"/>
  <c r="T423" i="6"/>
  <c r="T421" i="6"/>
  <c r="T358" i="6"/>
  <c r="T350" i="6"/>
  <c r="T330" i="6"/>
  <c r="T317" i="6"/>
  <c r="T301" i="6"/>
  <c r="T284" i="6"/>
  <c r="T266" i="6"/>
  <c r="T250" i="6"/>
  <c r="T233" i="6"/>
  <c r="T217" i="6"/>
  <c r="T201" i="6"/>
  <c r="T182" i="6"/>
  <c r="T67" i="6"/>
  <c r="T79" i="6"/>
  <c r="T149" i="6"/>
  <c r="T133" i="6"/>
  <c r="T117" i="6"/>
  <c r="T90" i="6"/>
  <c r="T37" i="6"/>
  <c r="T21" i="6"/>
  <c r="T460" i="6"/>
  <c r="T364" i="6"/>
  <c r="T341" i="6"/>
  <c r="T342" i="6"/>
  <c r="T334" i="6"/>
  <c r="T329" i="6"/>
  <c r="T316" i="6"/>
  <c r="T300" i="6"/>
  <c r="T283" i="6"/>
  <c r="T265" i="6"/>
  <c r="T249" i="6"/>
  <c r="T232" i="6"/>
  <c r="T216" i="6"/>
  <c r="T200" i="6"/>
  <c r="T181" i="6"/>
  <c r="T63" i="6"/>
  <c r="T148" i="6"/>
  <c r="T132" i="6"/>
  <c r="T116" i="6"/>
  <c r="T36" i="6"/>
  <c r="T20" i="6"/>
  <c r="T356" i="6"/>
  <c r="T366" i="6"/>
  <c r="T360" i="6"/>
  <c r="T351" i="6"/>
  <c r="T328" i="6"/>
  <c r="T315" i="6"/>
  <c r="T299" i="6"/>
  <c r="T282" i="6"/>
  <c r="T264" i="6"/>
  <c r="T248" i="6"/>
  <c r="T231" i="6"/>
  <c r="T215" i="6"/>
  <c r="T199" i="6"/>
  <c r="T180" i="6"/>
  <c r="T78" i="6"/>
  <c r="T165" i="6"/>
  <c r="T147" i="6"/>
  <c r="T131" i="6"/>
  <c r="T115" i="6"/>
  <c r="T72" i="6"/>
  <c r="T51" i="6"/>
  <c r="T19" i="6"/>
  <c r="T77" i="6"/>
  <c r="T76" i="6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T472" i="6"/>
  <c r="T455" i="6"/>
  <c r="T439" i="6"/>
  <c r="T483" i="6"/>
  <c r="T463" i="6"/>
  <c r="T446" i="6"/>
  <c r="T429" i="6"/>
  <c r="T403" i="6"/>
  <c r="T370" i="6"/>
  <c r="T470" i="6"/>
  <c r="T453" i="6"/>
  <c r="T437" i="6"/>
  <c r="T357" i="6"/>
  <c r="T481" i="6"/>
  <c r="T461" i="6"/>
  <c r="T444" i="6"/>
  <c r="T427" i="6"/>
  <c r="T407" i="6"/>
  <c r="T373" i="6"/>
  <c r="T468" i="6"/>
  <c r="T451" i="6"/>
  <c r="T425" i="6"/>
  <c r="T459" i="6"/>
  <c r="T442" i="6"/>
  <c r="T394" i="6"/>
  <c r="T377" i="6"/>
  <c r="T486" i="6"/>
  <c r="T466" i="6"/>
  <c r="T449" i="6"/>
  <c r="T457" i="6"/>
  <c r="T440" i="6"/>
  <c r="T398" i="6"/>
  <c r="T381" i="6"/>
  <c r="T363" i="6"/>
  <c r="T484" i="6"/>
  <c r="T465" i="6"/>
  <c r="T447" i="6"/>
  <c r="T430" i="6"/>
  <c r="T418" i="6"/>
  <c r="T471" i="6"/>
  <c r="T454" i="6"/>
  <c r="T438" i="6"/>
  <c r="T402" i="6"/>
  <c r="T386" i="6"/>
  <c r="T368" i="6"/>
  <c r="T482" i="6"/>
  <c r="T462" i="6"/>
  <c r="T445" i="6"/>
  <c r="T428" i="6"/>
  <c r="T469" i="6"/>
  <c r="T452" i="6"/>
  <c r="T436" i="6"/>
  <c r="T426" i="6"/>
  <c r="T422" i="6"/>
  <c r="T406" i="6"/>
  <c r="T391" i="6"/>
  <c r="T372" i="6"/>
  <c r="T424" i="6"/>
  <c r="T340" i="6"/>
  <c r="T467" i="6"/>
  <c r="T450" i="6"/>
  <c r="T395" i="6"/>
  <c r="T376" i="6"/>
  <c r="T458" i="6"/>
  <c r="U238" i="6" l="1"/>
  <c r="U151" i="6"/>
  <c r="U85" i="6"/>
  <c r="U290" i="6"/>
  <c r="U32" i="6"/>
  <c r="U33" i="6"/>
  <c r="U34" i="6"/>
  <c r="U35" i="6"/>
  <c r="U410" i="6"/>
  <c r="U171" i="6"/>
  <c r="U172" i="6"/>
  <c r="U387" i="6"/>
  <c r="U388" i="6"/>
  <c r="U389" i="6"/>
  <c r="U390" i="6"/>
  <c r="U158" i="6"/>
  <c r="U159" i="6"/>
  <c r="U160" i="6"/>
  <c r="U161" i="6"/>
  <c r="U162" i="6"/>
  <c r="U365" i="6"/>
  <c r="U456" i="6"/>
  <c r="U272" i="6"/>
  <c r="U271" i="6"/>
  <c r="U74" i="6"/>
  <c r="U411" i="6"/>
  <c r="U412" i="6"/>
  <c r="U413" i="6"/>
  <c r="U414" i="6"/>
  <c r="U415" i="6"/>
  <c r="U416" i="6"/>
  <c r="U417" i="6"/>
  <c r="U473" i="6"/>
  <c r="U474" i="6"/>
  <c r="U475" i="6"/>
  <c r="U476" i="6"/>
  <c r="U477" i="6"/>
  <c r="U478" i="6"/>
  <c r="U192" i="6"/>
  <c r="U52" i="6"/>
  <c r="U53" i="6"/>
  <c r="U54" i="6"/>
  <c r="U489" i="6"/>
  <c r="U495" i="6"/>
  <c r="U496" i="6"/>
  <c r="U492" i="6"/>
  <c r="U490" i="6"/>
  <c r="U493" i="6"/>
  <c r="U491" i="6"/>
  <c r="U494" i="6"/>
  <c r="U197" i="6"/>
  <c r="U487" i="6"/>
  <c r="U488" i="6"/>
  <c r="U431" i="6"/>
  <c r="U432" i="6"/>
  <c r="U433" i="6"/>
  <c r="U434" i="6"/>
  <c r="U435" i="6"/>
  <c r="U331" i="6"/>
  <c r="U99" i="6"/>
  <c r="U100" i="6"/>
  <c r="U101" i="6"/>
  <c r="U13" i="6"/>
  <c r="U369" i="6"/>
  <c r="U342" i="6"/>
  <c r="U464" i="6"/>
  <c r="U383" i="6"/>
  <c r="U384" i="6"/>
  <c r="U385" i="6"/>
  <c r="U94" i="6"/>
  <c r="U95" i="6"/>
  <c r="U96" i="6"/>
  <c r="U145" i="6"/>
  <c r="U110" i="6"/>
  <c r="U299" i="6"/>
  <c r="U187" i="6"/>
  <c r="U462" i="6"/>
  <c r="U425" i="6"/>
  <c r="U466" i="6"/>
  <c r="U300" i="6"/>
  <c r="U226" i="6"/>
  <c r="U236" i="6"/>
  <c r="U318" i="6"/>
  <c r="U177" i="6"/>
  <c r="U134" i="6"/>
  <c r="U281" i="6"/>
  <c r="U149" i="6"/>
  <c r="U284" i="6"/>
  <c r="U103" i="6"/>
  <c r="U340" i="6"/>
  <c r="U328" i="6"/>
  <c r="U78" i="6"/>
  <c r="U304" i="6"/>
  <c r="U166" i="6"/>
  <c r="U393" i="6"/>
  <c r="U111" i="6"/>
  <c r="U108" i="6"/>
  <c r="U339" i="6"/>
  <c r="U179" i="6"/>
  <c r="U212" i="6"/>
  <c r="U121" i="6"/>
  <c r="U333" i="6"/>
  <c r="U206" i="6"/>
  <c r="U302" i="6"/>
  <c r="U182" i="6"/>
  <c r="U45" i="6"/>
  <c r="U22" i="6"/>
  <c r="U194" i="6"/>
  <c r="U36" i="6"/>
  <c r="U24" i="6"/>
  <c r="U306" i="6"/>
  <c r="U124" i="6"/>
  <c r="U233" i="6"/>
  <c r="U209" i="6"/>
  <c r="U481" i="6"/>
  <c r="U486" i="6"/>
  <c r="U469" i="6"/>
  <c r="U20" i="6"/>
  <c r="U453" i="6"/>
  <c r="U330" i="6"/>
  <c r="U71" i="6"/>
  <c r="U468" i="6"/>
  <c r="U460" i="6"/>
  <c r="U242" i="6"/>
  <c r="U155" i="6"/>
  <c r="U322" i="6"/>
  <c r="U246" i="6"/>
  <c r="U235" i="6"/>
  <c r="U113" i="6"/>
  <c r="U205" i="6"/>
  <c r="U237" i="6"/>
  <c r="V7" i="6"/>
  <c r="V185" i="6" s="1"/>
  <c r="U27" i="6"/>
  <c r="U471" i="6"/>
  <c r="U253" i="6"/>
  <c r="U451" i="6"/>
  <c r="U21" i="6"/>
  <c r="U112" i="6"/>
  <c r="U19" i="6"/>
  <c r="U69" i="6"/>
  <c r="U422" i="6"/>
  <c r="U140" i="6"/>
  <c r="U350" i="6"/>
  <c r="U221" i="6"/>
  <c r="U358" i="6"/>
  <c r="U79" i="6"/>
  <c r="U273" i="6"/>
  <c r="U211" i="6"/>
  <c r="U289" i="6"/>
  <c r="U459" i="6"/>
  <c r="U470" i="6"/>
  <c r="U57" i="6"/>
  <c r="U107" i="6"/>
  <c r="U73" i="6"/>
  <c r="U142" i="6"/>
  <c r="U133" i="6"/>
  <c r="U135" i="6"/>
  <c r="U341" i="6"/>
  <c r="U180" i="6"/>
  <c r="U277" i="6"/>
  <c r="U448" i="6"/>
  <c r="U9" i="6"/>
  <c r="U68" i="6"/>
  <c r="U176" i="6"/>
  <c r="U154" i="6"/>
  <c r="U109" i="6"/>
  <c r="U11" i="6"/>
  <c r="U296" i="6"/>
  <c r="U359" i="6"/>
  <c r="U196" i="6"/>
  <c r="U446" i="6"/>
  <c r="U199" i="6"/>
  <c r="U77" i="6"/>
  <c r="U298" i="6"/>
  <c r="U439" i="6"/>
  <c r="U280" i="6"/>
  <c r="U184" i="6"/>
  <c r="U30" i="6"/>
  <c r="U452" i="6"/>
  <c r="U440" i="6"/>
  <c r="U482" i="6"/>
  <c r="U426" i="6"/>
  <c r="U144" i="6"/>
  <c r="U442" i="6"/>
  <c r="U10" i="6"/>
  <c r="U114" i="6"/>
  <c r="U23" i="6"/>
  <c r="U423" i="6"/>
  <c r="U480" i="6"/>
  <c r="U105" i="6"/>
  <c r="U279" i="6"/>
  <c r="U76" i="6"/>
  <c r="U244" i="6"/>
  <c r="U163" i="6"/>
  <c r="U420" i="6"/>
  <c r="U86" i="6"/>
  <c r="U137" i="6"/>
  <c r="U430" i="6"/>
  <c r="U120" i="6"/>
  <c r="U152" i="6"/>
  <c r="U25" i="6"/>
  <c r="U312" i="6"/>
  <c r="U427" i="6"/>
  <c r="U213" i="6"/>
  <c r="U215" i="6"/>
  <c r="U317" i="6"/>
  <c r="U181" i="6"/>
  <c r="U320" i="6"/>
  <c r="U214" i="6"/>
  <c r="U59" i="6"/>
  <c r="U484" i="6"/>
  <c r="U126" i="6"/>
  <c r="U62" i="6"/>
  <c r="U8" i="6"/>
  <c r="U443" i="6"/>
  <c r="U360" i="6"/>
  <c r="U40" i="6"/>
  <c r="U227" i="6"/>
  <c r="U458" i="6"/>
  <c r="U89" i="6"/>
  <c r="U87" i="6"/>
  <c r="U429" i="6"/>
  <c r="U51" i="6"/>
  <c r="U91" i="6"/>
  <c r="U421" i="6"/>
  <c r="U104" i="6"/>
  <c r="U428" i="6"/>
  <c r="U260" i="6"/>
  <c r="U190" i="6"/>
  <c r="U173" i="6"/>
  <c r="U41" i="6"/>
  <c r="U168" i="6"/>
  <c r="U229" i="6"/>
  <c r="U463" i="6"/>
  <c r="U231" i="6"/>
  <c r="U261" i="6"/>
  <c r="U207" i="6"/>
  <c r="U375" i="6"/>
  <c r="U178" i="6"/>
  <c r="U418" i="6"/>
  <c r="U252" i="6"/>
  <c r="U82" i="6"/>
  <c r="U437" i="6"/>
  <c r="U457" i="6"/>
  <c r="U43" i="6"/>
  <c r="U38" i="6"/>
  <c r="U60" i="6"/>
  <c r="U55" i="6"/>
  <c r="U167" i="6"/>
  <c r="U485" i="6"/>
  <c r="U467" i="6"/>
  <c r="U129" i="6"/>
  <c r="U445" i="6"/>
  <c r="U224" i="6"/>
  <c r="U449" i="6"/>
  <c r="U193" i="6"/>
  <c r="U75" i="6"/>
  <c r="U483" i="6"/>
  <c r="U265" i="6"/>
  <c r="U406" i="6"/>
  <c r="U240" i="6"/>
  <c r="U282" i="6"/>
  <c r="U16" i="6"/>
  <c r="U216" i="6"/>
  <c r="U454" i="6"/>
  <c r="U29" i="6"/>
  <c r="U169" i="6"/>
  <c r="U441" i="6"/>
  <c r="U97" i="6"/>
  <c r="U450" i="6"/>
  <c r="U18" i="6"/>
  <c r="U447" i="6"/>
  <c r="U208" i="6"/>
  <c r="U136" i="6"/>
  <c r="U58" i="6"/>
  <c r="U444" i="6"/>
  <c r="U357" i="6"/>
  <c r="U256" i="6"/>
  <c r="U351" i="6"/>
  <c r="U234" i="6"/>
  <c r="U15" i="6"/>
  <c r="U436" i="6"/>
  <c r="U156" i="6"/>
  <c r="U438" i="6"/>
  <c r="U465" i="6"/>
  <c r="U130" i="6"/>
  <c r="U210" i="6"/>
  <c r="U92" i="6"/>
  <c r="U461" i="6"/>
  <c r="U283" i="6"/>
  <c r="U80" i="6"/>
  <c r="U278" i="6"/>
  <c r="U409" i="6"/>
  <c r="U186" i="6"/>
  <c r="U49" i="6"/>
  <c r="U90" i="6"/>
  <c r="U119" i="6"/>
  <c r="U303" i="6"/>
  <c r="U377" i="6"/>
  <c r="U122" i="6"/>
  <c r="U131" i="6"/>
  <c r="U301" i="6"/>
  <c r="U321" i="6"/>
  <c r="U395" i="6"/>
  <c r="U323" i="6"/>
  <c r="U195" i="6"/>
  <c r="U373" i="6"/>
  <c r="U319" i="6"/>
  <c r="U356" i="6"/>
  <c r="U424" i="6"/>
  <c r="U288" i="6"/>
  <c r="U372" i="6"/>
  <c r="U250" i="6"/>
  <c r="U391" i="6"/>
  <c r="U349" i="6"/>
  <c r="U455" i="6"/>
  <c r="U472" i="6"/>
  <c r="U309" i="6"/>
  <c r="U407" i="6"/>
  <c r="U334" i="6"/>
  <c r="U376" i="6"/>
  <c r="U327" i="6"/>
  <c r="U44" i="6"/>
  <c r="U345" i="6"/>
  <c r="U392" i="6"/>
  <c r="U394" i="6"/>
  <c r="U354" i="6"/>
  <c r="U42" i="6"/>
  <c r="U332" i="6"/>
  <c r="U72" i="6"/>
  <c r="U374" i="6"/>
  <c r="U47" i="6"/>
  <c r="U14" i="6"/>
  <c r="U364" i="6"/>
  <c r="U70" i="6"/>
  <c r="U12" i="6"/>
  <c r="U106" i="6"/>
  <c r="U408" i="6"/>
  <c r="U183" i="6"/>
  <c r="U48" i="6"/>
  <c r="U343" i="6"/>
  <c r="U381" i="6"/>
  <c r="U174" i="6"/>
  <c r="U46" i="6"/>
  <c r="U248" i="6"/>
  <c r="U81" i="6"/>
  <c r="U115" i="6"/>
  <c r="U399" i="6"/>
  <c r="U344" i="6"/>
  <c r="U123" i="6"/>
  <c r="U217" i="6"/>
  <c r="U255" i="6"/>
  <c r="U293" i="6"/>
  <c r="U239" i="6"/>
  <c r="U362" i="6"/>
  <c r="U258" i="6"/>
  <c r="U218" i="6"/>
  <c r="U247" i="6"/>
  <c r="U50" i="6"/>
  <c r="U165" i="6"/>
  <c r="U222" i="6"/>
  <c r="U264" i="6"/>
  <c r="U297" i="6"/>
  <c r="U251" i="6"/>
  <c r="U367" i="6"/>
  <c r="U398" i="6"/>
  <c r="U116" i="6"/>
  <c r="U401" i="6"/>
  <c r="U201" i="6"/>
  <c r="U98" i="6"/>
  <c r="U147" i="6"/>
  <c r="U479" i="6"/>
  <c r="U102" i="6"/>
  <c r="U170" i="6"/>
  <c r="U223" i="6"/>
  <c r="U266" i="6"/>
  <c r="U305" i="6"/>
  <c r="U262" i="6"/>
  <c r="U368" i="6"/>
  <c r="U400" i="6"/>
  <c r="U128" i="6"/>
  <c r="U268" i="6"/>
  <c r="U125" i="6"/>
  <c r="U83" i="6"/>
  <c r="U316" i="6"/>
  <c r="U93" i="6"/>
  <c r="U326" i="6"/>
  <c r="U254" i="6"/>
  <c r="U346" i="6"/>
  <c r="U39" i="6"/>
  <c r="U295" i="6"/>
  <c r="U56" i="6"/>
  <c r="U225" i="6"/>
  <c r="U307" i="6"/>
  <c r="U370" i="6"/>
  <c r="U286" i="6"/>
  <c r="U292" i="6"/>
  <c r="U219" i="6"/>
  <c r="U61" i="6"/>
  <c r="U117" i="6"/>
  <c r="U153" i="6"/>
  <c r="U228" i="6"/>
  <c r="U269" i="6"/>
  <c r="U308" i="6"/>
  <c r="U355" i="6"/>
  <c r="U402" i="6"/>
  <c r="U148" i="6"/>
  <c r="U361" i="6"/>
  <c r="U397" i="6"/>
  <c r="U63" i="6"/>
  <c r="U118" i="6"/>
  <c r="U188" i="6"/>
  <c r="U230" i="6"/>
  <c r="U270" i="6"/>
  <c r="U310" i="6"/>
  <c r="U329" i="6"/>
  <c r="U371" i="6"/>
  <c r="U403" i="6"/>
  <c r="U232" i="6"/>
  <c r="U338" i="6"/>
  <c r="U378" i="6"/>
  <c r="U138" i="6"/>
  <c r="U259" i="6"/>
  <c r="U37" i="6"/>
  <c r="U64" i="6"/>
  <c r="U127" i="6"/>
  <c r="U189" i="6"/>
  <c r="U274" i="6"/>
  <c r="U311" i="6"/>
  <c r="U404" i="6"/>
  <c r="U275" i="6"/>
  <c r="U379" i="6"/>
  <c r="U139" i="6"/>
  <c r="U65" i="6"/>
  <c r="U143" i="6"/>
  <c r="U191" i="6"/>
  <c r="U313" i="6"/>
  <c r="U405" i="6"/>
  <c r="U141" i="6"/>
  <c r="U249" i="6"/>
  <c r="U366" i="6"/>
  <c r="U17" i="6"/>
  <c r="U66" i="6"/>
  <c r="U175" i="6"/>
  <c r="U198" i="6"/>
  <c r="U146" i="6"/>
  <c r="U276" i="6"/>
  <c r="U314" i="6"/>
  <c r="U337" i="6"/>
  <c r="U380" i="6"/>
  <c r="U285" i="6"/>
  <c r="U315" i="6"/>
  <c r="U382" i="6"/>
  <c r="U204" i="6"/>
  <c r="U396" i="6"/>
  <c r="U26" i="6"/>
  <c r="U67" i="6"/>
  <c r="U132" i="6"/>
  <c r="U200" i="6"/>
  <c r="U164" i="6"/>
  <c r="U353" i="6"/>
  <c r="U28" i="6"/>
  <c r="U336" i="6"/>
  <c r="U348" i="6"/>
  <c r="U294" i="6"/>
  <c r="U31" i="6"/>
  <c r="U84" i="6"/>
  <c r="U157" i="6"/>
  <c r="U202" i="6"/>
  <c r="U241" i="6"/>
  <c r="U287" i="6"/>
  <c r="U324" i="6"/>
  <c r="U352" i="6"/>
  <c r="U419" i="6"/>
  <c r="U243" i="6"/>
  <c r="U263" i="6"/>
  <c r="U88" i="6"/>
  <c r="U150" i="6"/>
  <c r="U203" i="6"/>
  <c r="U245" i="6"/>
  <c r="U291" i="6"/>
  <c r="U325" i="6"/>
  <c r="U335" i="6"/>
  <c r="U386" i="6"/>
  <c r="U347" i="6"/>
  <c r="U363" i="6"/>
  <c r="U220" i="6"/>
  <c r="U257" i="6"/>
  <c r="U267" i="6"/>
  <c r="F5" i="6"/>
  <c r="G5" i="6"/>
  <c r="E5" i="6"/>
  <c r="H4" i="6"/>
  <c r="H3" i="6"/>
  <c r="T5" i="6"/>
  <c r="V238" i="6" l="1"/>
  <c r="V151" i="6"/>
  <c r="V85" i="6"/>
  <c r="V290" i="6"/>
  <c r="V32" i="6"/>
  <c r="V33" i="6"/>
  <c r="V34" i="6"/>
  <c r="V35" i="6"/>
  <c r="V410" i="6"/>
  <c r="V171" i="6"/>
  <c r="V172" i="6"/>
  <c r="V387" i="6"/>
  <c r="V388" i="6"/>
  <c r="V389" i="6"/>
  <c r="V390" i="6"/>
  <c r="V158" i="6"/>
  <c r="V159" i="6"/>
  <c r="V160" i="6"/>
  <c r="V161" i="6"/>
  <c r="V162" i="6"/>
  <c r="V365" i="6"/>
  <c r="V456" i="6"/>
  <c r="V271" i="6"/>
  <c r="V272" i="6"/>
  <c r="V74" i="6"/>
  <c r="V411" i="6"/>
  <c r="V412" i="6"/>
  <c r="V413" i="6"/>
  <c r="V414" i="6"/>
  <c r="V415" i="6"/>
  <c r="V416" i="6"/>
  <c r="V417" i="6"/>
  <c r="V319" i="6"/>
  <c r="V473" i="6"/>
  <c r="V474" i="6"/>
  <c r="V475" i="6"/>
  <c r="V476" i="6"/>
  <c r="V477" i="6"/>
  <c r="V478" i="6"/>
  <c r="V52" i="6"/>
  <c r="V53" i="6"/>
  <c r="V54" i="6"/>
  <c r="V142" i="6"/>
  <c r="V192" i="6"/>
  <c r="V479" i="6"/>
  <c r="V489" i="6"/>
  <c r="V495" i="6"/>
  <c r="V496" i="6"/>
  <c r="V492" i="6"/>
  <c r="V490" i="6"/>
  <c r="V493" i="6"/>
  <c r="V491" i="6"/>
  <c r="V494" i="6"/>
  <c r="V386" i="6"/>
  <c r="V194" i="6"/>
  <c r="V361" i="6"/>
  <c r="V244" i="6"/>
  <c r="V197" i="6"/>
  <c r="V487" i="6"/>
  <c r="V488" i="6"/>
  <c r="V431" i="6"/>
  <c r="V432" i="6"/>
  <c r="V433" i="6"/>
  <c r="V434" i="6"/>
  <c r="V435" i="6"/>
  <c r="V99" i="6"/>
  <c r="V100" i="6"/>
  <c r="V101" i="6"/>
  <c r="V369" i="6"/>
  <c r="V331" i="6"/>
  <c r="V97" i="6"/>
  <c r="V316" i="6"/>
  <c r="V391" i="6"/>
  <c r="V38" i="6"/>
  <c r="V267" i="6"/>
  <c r="V130" i="6"/>
  <c r="V324" i="6"/>
  <c r="V399" i="6"/>
  <c r="V13" i="6"/>
  <c r="V68" i="6"/>
  <c r="V138" i="6"/>
  <c r="V358" i="6"/>
  <c r="V170" i="6"/>
  <c r="V289" i="6"/>
  <c r="V295" i="6"/>
  <c r="V232" i="6"/>
  <c r="V328" i="6"/>
  <c r="V28" i="6"/>
  <c r="V18" i="6"/>
  <c r="V239" i="6"/>
  <c r="V447" i="6"/>
  <c r="V187" i="6"/>
  <c r="V464" i="6"/>
  <c r="V383" i="6"/>
  <c r="V384" i="6"/>
  <c r="V385" i="6"/>
  <c r="V94" i="6"/>
  <c r="V95" i="6"/>
  <c r="V96" i="6"/>
  <c r="V156" i="6"/>
  <c r="V427" i="6"/>
  <c r="V209" i="6"/>
  <c r="V481" i="6"/>
  <c r="V257" i="6"/>
  <c r="V73" i="6"/>
  <c r="V364" i="6"/>
  <c r="V106" i="6"/>
  <c r="V397" i="6"/>
  <c r="V136" i="6"/>
  <c r="V258" i="6"/>
  <c r="V206" i="6"/>
  <c r="V260" i="6"/>
  <c r="V56" i="6"/>
  <c r="V286" i="6"/>
  <c r="V12" i="6"/>
  <c r="V235" i="6"/>
  <c r="V351" i="6"/>
  <c r="V51" i="6"/>
  <c r="V283" i="6"/>
  <c r="V459" i="6"/>
  <c r="V200" i="6"/>
  <c r="V298" i="6"/>
  <c r="V255" i="6"/>
  <c r="V400" i="6"/>
  <c r="V126" i="6"/>
  <c r="V449" i="6"/>
  <c r="V363" i="6"/>
  <c r="V65" i="6"/>
  <c r="V466" i="6"/>
  <c r="V354" i="6"/>
  <c r="V379" i="6"/>
  <c r="V120" i="6"/>
  <c r="V240" i="6"/>
  <c r="V448" i="6"/>
  <c r="V188" i="6"/>
  <c r="V149" i="6"/>
  <c r="V268" i="6"/>
  <c r="V482" i="6"/>
  <c r="V219" i="6"/>
  <c r="V332" i="6"/>
  <c r="V19" i="6"/>
  <c r="V265" i="6"/>
  <c r="V442" i="6"/>
  <c r="V181" i="6"/>
  <c r="V281" i="6"/>
  <c r="V402" i="6"/>
  <c r="V141" i="6"/>
  <c r="V245" i="6"/>
  <c r="V273" i="6"/>
  <c r="V461" i="6"/>
  <c r="V308" i="6"/>
  <c r="V486" i="6"/>
  <c r="V9" i="6"/>
  <c r="V253" i="6"/>
  <c r="V90" i="6"/>
  <c r="V437" i="6"/>
  <c r="V325" i="6"/>
  <c r="V66" i="6"/>
  <c r="V362" i="6"/>
  <c r="V104" i="6"/>
  <c r="V223" i="6"/>
  <c r="V175" i="6"/>
  <c r="V394" i="6"/>
  <c r="V133" i="6"/>
  <c r="V81" i="6"/>
  <c r="V462" i="6"/>
  <c r="V203" i="6"/>
  <c r="V317" i="6"/>
  <c r="V80" i="6"/>
  <c r="V250" i="6"/>
  <c r="W7" i="6"/>
  <c r="W185" i="6" s="1"/>
  <c r="V93" i="6"/>
  <c r="V263" i="6"/>
  <c r="V125" i="6"/>
  <c r="V228" i="6"/>
  <c r="V485" i="6"/>
  <c r="V214" i="6"/>
  <c r="V453" i="6"/>
  <c r="V370" i="6"/>
  <c r="V470" i="6"/>
  <c r="V421" i="6"/>
  <c r="V309" i="6"/>
  <c r="V67" i="6"/>
  <c r="V355" i="6"/>
  <c r="V31" i="6"/>
  <c r="V207" i="6"/>
  <c r="V344" i="6"/>
  <c r="V82" i="6"/>
  <c r="V376" i="6"/>
  <c r="V117" i="6"/>
  <c r="V236" i="6"/>
  <c r="V445" i="6"/>
  <c r="V184" i="6"/>
  <c r="V301" i="6"/>
  <c r="V40" i="6"/>
  <c r="V233" i="6"/>
  <c r="V424" i="6"/>
  <c r="V248" i="6"/>
  <c r="V368" i="6"/>
  <c r="V109" i="6"/>
  <c r="V212" i="6"/>
  <c r="V457" i="6"/>
  <c r="V259" i="6"/>
  <c r="V176" i="6"/>
  <c r="V373" i="6"/>
  <c r="V314" i="6"/>
  <c r="V139" i="6"/>
  <c r="V10" i="6"/>
  <c r="V277" i="6"/>
  <c r="V43" i="6"/>
  <c r="V439" i="6"/>
  <c r="V326" i="6"/>
  <c r="V293" i="6"/>
  <c r="V24" i="6"/>
  <c r="V323" i="6"/>
  <c r="V87" i="6"/>
  <c r="V189" i="6"/>
  <c r="V150" i="6"/>
  <c r="V349" i="6"/>
  <c r="V79" i="6"/>
  <c r="V220" i="6"/>
  <c r="V428" i="6"/>
  <c r="V92" i="6"/>
  <c r="V284" i="6"/>
  <c r="V480" i="6"/>
  <c r="V217" i="6"/>
  <c r="V405" i="6"/>
  <c r="V144" i="6"/>
  <c r="V231" i="6"/>
  <c r="V353" i="6"/>
  <c r="V41" i="6"/>
  <c r="V195" i="6"/>
  <c r="V77" i="6"/>
  <c r="V313" i="6"/>
  <c r="V455" i="6"/>
  <c r="V382" i="6"/>
  <c r="V191" i="6"/>
  <c r="V472" i="6"/>
  <c r="V423" i="6"/>
  <c r="V242" i="6"/>
  <c r="V276" i="6"/>
  <c r="V105" i="6"/>
  <c r="V307" i="6"/>
  <c r="V174" i="6"/>
  <c r="V395" i="6"/>
  <c r="V134" i="6"/>
  <c r="V340" i="6"/>
  <c r="V25" i="6"/>
  <c r="V204" i="6"/>
  <c r="V346" i="6"/>
  <c r="V165" i="6"/>
  <c r="V266" i="6"/>
  <c r="V460" i="6"/>
  <c r="V201" i="6"/>
  <c r="V128" i="6"/>
  <c r="V215" i="6"/>
  <c r="V262" i="6"/>
  <c r="V98" i="6"/>
  <c r="V60" i="6"/>
  <c r="V76" i="6"/>
  <c r="V227" i="6"/>
  <c r="V360" i="6"/>
  <c r="V292" i="6"/>
  <c r="V110" i="6"/>
  <c r="V441" i="6"/>
  <c r="V338" i="6"/>
  <c r="V169" i="6"/>
  <c r="V291" i="6"/>
  <c r="V20" i="6"/>
  <c r="V377" i="6"/>
  <c r="V118" i="6"/>
  <c r="V320" i="6"/>
  <c r="V59" i="6"/>
  <c r="V186" i="6"/>
  <c r="V408" i="6"/>
  <c r="V147" i="6"/>
  <c r="V251" i="6"/>
  <c r="V443" i="6"/>
  <c r="V182" i="6"/>
  <c r="V371" i="6"/>
  <c r="V112" i="6"/>
  <c r="V199" i="6"/>
  <c r="V312" i="6"/>
  <c r="V30" i="6"/>
  <c r="V71" i="6"/>
  <c r="V154" i="6"/>
  <c r="V398" i="6"/>
  <c r="V198" i="6"/>
  <c r="V247" i="6"/>
  <c r="V70" i="6"/>
  <c r="V243" i="6"/>
  <c r="V61" i="6"/>
  <c r="V274" i="6"/>
  <c r="V152" i="6"/>
  <c r="V333" i="6"/>
  <c r="V102" i="6"/>
  <c r="V304" i="6"/>
  <c r="V46" i="6"/>
  <c r="V167" i="6"/>
  <c r="V392" i="6"/>
  <c r="V131" i="6"/>
  <c r="V234" i="6"/>
  <c r="V342" i="6"/>
  <c r="V62" i="6"/>
  <c r="V47" i="6"/>
  <c r="V180" i="6"/>
  <c r="V296" i="6"/>
  <c r="V420" i="6"/>
  <c r="V157" i="6"/>
  <c r="V26" i="6"/>
  <c r="V297" i="6"/>
  <c r="V123" i="6"/>
  <c r="V446" i="6"/>
  <c r="V336" i="6"/>
  <c r="V58" i="6"/>
  <c r="V426" i="6"/>
  <c r="V226" i="6"/>
  <c r="V55" i="6"/>
  <c r="V178" i="6"/>
  <c r="V396" i="6"/>
  <c r="V135" i="6"/>
  <c r="V356" i="6"/>
  <c r="V27" i="6"/>
  <c r="V287" i="6"/>
  <c r="V14" i="6"/>
  <c r="V166" i="6"/>
  <c r="V374" i="6"/>
  <c r="V115" i="6"/>
  <c r="V218" i="6"/>
  <c r="V347" i="6"/>
  <c r="V163" i="6"/>
  <c r="V329" i="6"/>
  <c r="V15" i="6"/>
  <c r="V75" i="6"/>
  <c r="V279" i="6"/>
  <c r="V401" i="6"/>
  <c r="V140" i="6"/>
  <c r="V458" i="6"/>
  <c r="V211" i="6"/>
  <c r="V483" i="6"/>
  <c r="V11" i="6"/>
  <c r="V256" i="6"/>
  <c r="V72" i="6"/>
  <c r="V469" i="6"/>
  <c r="V210" i="6"/>
  <c r="V22" i="6"/>
  <c r="V241" i="6"/>
  <c r="V378" i="6"/>
  <c r="V119" i="6"/>
  <c r="V321" i="6"/>
  <c r="V83" i="6"/>
  <c r="V269" i="6"/>
  <c r="V409" i="6"/>
  <c r="V148" i="6"/>
  <c r="V334" i="6"/>
  <c r="V202" i="6"/>
  <c r="V406" i="6"/>
  <c r="V145" i="6"/>
  <c r="V315" i="6"/>
  <c r="V64" i="6"/>
  <c r="V254" i="6"/>
  <c r="V124" i="6"/>
  <c r="V294" i="6"/>
  <c r="V86" i="6"/>
  <c r="V153" i="6"/>
  <c r="V303" i="6"/>
  <c r="V114" i="6"/>
  <c r="V57" i="6"/>
  <c r="V429" i="6"/>
  <c r="V137" i="6"/>
  <c r="V451" i="6"/>
  <c r="V366" i="6"/>
  <c r="V468" i="6"/>
  <c r="V452" i="6"/>
  <c r="V193" i="6"/>
  <c r="V425" i="6"/>
  <c r="V224" i="6"/>
  <c r="V348" i="6"/>
  <c r="V103" i="6"/>
  <c r="V305" i="6"/>
  <c r="V48" i="6"/>
  <c r="V168" i="6"/>
  <c r="V393" i="6"/>
  <c r="V132" i="6"/>
  <c r="V341" i="6"/>
  <c r="V21" i="6"/>
  <c r="V183" i="6"/>
  <c r="V129" i="6"/>
  <c r="V299" i="6"/>
  <c r="V36" i="6"/>
  <c r="V143" i="6"/>
  <c r="V246" i="6"/>
  <c r="V367" i="6"/>
  <c r="V108" i="6"/>
  <c r="V230" i="6"/>
  <c r="V444" i="6"/>
  <c r="V122" i="6"/>
  <c r="V430" i="6"/>
  <c r="V252" i="6"/>
  <c r="V89" i="6"/>
  <c r="V463" i="6"/>
  <c r="V403" i="6"/>
  <c r="V359" i="6"/>
  <c r="V8" i="6"/>
  <c r="V275" i="6"/>
  <c r="V37" i="6"/>
  <c r="V438" i="6"/>
  <c r="V436" i="6"/>
  <c r="V173" i="6"/>
  <c r="V467" i="6"/>
  <c r="V208" i="6"/>
  <c r="V339" i="6"/>
  <c r="V29" i="6"/>
  <c r="V288" i="6"/>
  <c r="V16" i="6"/>
  <c r="V237" i="6"/>
  <c r="V375" i="6"/>
  <c r="V116" i="6"/>
  <c r="V318" i="6"/>
  <c r="V91" i="6"/>
  <c r="V84" i="6"/>
  <c r="V372" i="6"/>
  <c r="V113" i="6"/>
  <c r="V282" i="6"/>
  <c r="V404" i="6"/>
  <c r="V127" i="6"/>
  <c r="V229" i="6"/>
  <c r="V337" i="6"/>
  <c r="V39" i="6"/>
  <c r="V310" i="6"/>
  <c r="V454" i="6"/>
  <c r="V380" i="6"/>
  <c r="V179" i="6"/>
  <c r="V471" i="6"/>
  <c r="V422" i="6"/>
  <c r="V343" i="6"/>
  <c r="V450" i="6"/>
  <c r="V190" i="6"/>
  <c r="V322" i="6"/>
  <c r="V69" i="6"/>
  <c r="V270" i="6"/>
  <c r="V484" i="6"/>
  <c r="V221" i="6"/>
  <c r="V350" i="6"/>
  <c r="V63" i="6"/>
  <c r="V302" i="6"/>
  <c r="V42" i="6"/>
  <c r="V164" i="6"/>
  <c r="V335" i="6"/>
  <c r="V49" i="6"/>
  <c r="V264" i="6"/>
  <c r="V111" i="6"/>
  <c r="V213" i="6"/>
  <c r="V327" i="6"/>
  <c r="V121" i="6"/>
  <c r="V381" i="6"/>
  <c r="V222" i="6"/>
  <c r="V44" i="6"/>
  <c r="V300" i="6"/>
  <c r="V216" i="6"/>
  <c r="V278" i="6"/>
  <c r="V419" i="6"/>
  <c r="V225" i="6"/>
  <c r="V345" i="6"/>
  <c r="V280" i="6"/>
  <c r="V107" i="6"/>
  <c r="V440" i="6"/>
  <c r="V261" i="6"/>
  <c r="V418" i="6"/>
  <c r="V155" i="6"/>
  <c r="V78" i="6"/>
  <c r="V306" i="6"/>
  <c r="V50" i="6"/>
  <c r="V177" i="6"/>
  <c r="V465" i="6"/>
  <c r="V205" i="6"/>
  <c r="V357" i="6"/>
  <c r="V23" i="6"/>
  <c r="V285" i="6"/>
  <c r="V407" i="6"/>
  <c r="V146" i="6"/>
  <c r="V330" i="6"/>
  <c r="V17" i="6"/>
  <c r="V249" i="6"/>
  <c r="V352" i="6"/>
  <c r="V45" i="6"/>
  <c r="V196" i="6"/>
  <c r="V311" i="6"/>
  <c r="V88" i="6"/>
  <c r="U5" i="6"/>
  <c r="H5" i="6"/>
  <c r="W238" i="6" l="1"/>
  <c r="W151" i="6"/>
  <c r="W85" i="6"/>
  <c r="W290" i="6"/>
  <c r="W32" i="6"/>
  <c r="W33" i="6"/>
  <c r="W34" i="6"/>
  <c r="W35" i="6"/>
  <c r="W410" i="6"/>
  <c r="W171" i="6"/>
  <c r="W172" i="6"/>
  <c r="W387" i="6"/>
  <c r="W388" i="6"/>
  <c r="W389" i="6"/>
  <c r="W390" i="6"/>
  <c r="W158" i="6"/>
  <c r="W159" i="6"/>
  <c r="W160" i="6"/>
  <c r="W161" i="6"/>
  <c r="W162" i="6"/>
  <c r="W365" i="6"/>
  <c r="W456" i="6"/>
  <c r="W272" i="6"/>
  <c r="W271" i="6"/>
  <c r="W74" i="6"/>
  <c r="W411" i="6"/>
  <c r="W412" i="6"/>
  <c r="W413" i="6"/>
  <c r="W414" i="6"/>
  <c r="W415" i="6"/>
  <c r="W416" i="6"/>
  <c r="W417" i="6"/>
  <c r="W473" i="6"/>
  <c r="W474" i="6"/>
  <c r="W475" i="6"/>
  <c r="W476" i="6"/>
  <c r="W477" i="6"/>
  <c r="W478" i="6"/>
  <c r="W192" i="6"/>
  <c r="W52" i="6"/>
  <c r="W53" i="6"/>
  <c r="W54" i="6"/>
  <c r="W494" i="6"/>
  <c r="W489" i="6"/>
  <c r="W495" i="6"/>
  <c r="W496" i="6"/>
  <c r="W492" i="6"/>
  <c r="W490" i="6"/>
  <c r="W493" i="6"/>
  <c r="W491" i="6"/>
  <c r="W197" i="6"/>
  <c r="W487" i="6"/>
  <c r="W488" i="6"/>
  <c r="W431" i="6"/>
  <c r="W432" i="6"/>
  <c r="W433" i="6"/>
  <c r="W434" i="6"/>
  <c r="W435" i="6"/>
  <c r="W127" i="6"/>
  <c r="W99" i="6"/>
  <c r="W100" i="6"/>
  <c r="W101" i="6"/>
  <c r="W364" i="6"/>
  <c r="W331" i="6"/>
  <c r="W61" i="6"/>
  <c r="W120" i="6"/>
  <c r="W88" i="6"/>
  <c r="W256" i="6"/>
  <c r="W190" i="6"/>
  <c r="W284" i="6"/>
  <c r="W17" i="6"/>
  <c r="W420" i="6"/>
  <c r="W12" i="6"/>
  <c r="W37" i="6"/>
  <c r="W149" i="6"/>
  <c r="W325" i="6"/>
  <c r="W369" i="6"/>
  <c r="W361" i="6"/>
  <c r="W60" i="6"/>
  <c r="W441" i="6"/>
  <c r="W204" i="6"/>
  <c r="W8" i="6"/>
  <c r="W485" i="6"/>
  <c r="W429" i="6"/>
  <c r="W62" i="6"/>
  <c r="W67" i="6"/>
  <c r="W464" i="6"/>
  <c r="W383" i="6"/>
  <c r="W384" i="6"/>
  <c r="W385" i="6"/>
  <c r="W309" i="6"/>
  <c r="W94" i="6"/>
  <c r="W95" i="6"/>
  <c r="W96" i="6"/>
  <c r="V5" i="6"/>
  <c r="W386" i="6"/>
  <c r="W409" i="6"/>
  <c r="W421" i="6"/>
  <c r="W481" i="6"/>
  <c r="W461" i="6"/>
  <c r="W444" i="6"/>
  <c r="W31" i="6"/>
  <c r="W30" i="6"/>
  <c r="W59" i="6"/>
  <c r="W86" i="6"/>
  <c r="W119" i="6"/>
  <c r="W147" i="6"/>
  <c r="W166" i="6"/>
  <c r="W249" i="6"/>
  <c r="W183" i="6"/>
  <c r="W43" i="6"/>
  <c r="W266" i="6"/>
  <c r="W394" i="6"/>
  <c r="W111" i="6"/>
  <c r="W213" i="6"/>
  <c r="W36" i="6"/>
  <c r="W50" i="6"/>
  <c r="W293" i="6"/>
  <c r="W349" i="6"/>
  <c r="W407" i="6"/>
  <c r="W343" i="6"/>
  <c r="W428" i="6"/>
  <c r="W442" i="6"/>
  <c r="W260" i="6"/>
  <c r="W480" i="6"/>
  <c r="W460" i="6"/>
  <c r="W29" i="6"/>
  <c r="W57" i="6"/>
  <c r="W82" i="6"/>
  <c r="W118" i="6"/>
  <c r="W145" i="6"/>
  <c r="W167" i="6"/>
  <c r="W341" i="6"/>
  <c r="W27" i="6"/>
  <c r="W227" i="6"/>
  <c r="W452" i="6"/>
  <c r="W376" i="6"/>
  <c r="W89" i="6"/>
  <c r="W312" i="6"/>
  <c r="W20" i="6"/>
  <c r="W276" i="6"/>
  <c r="W77" i="6"/>
  <c r="W193" i="6"/>
  <c r="W234" i="6"/>
  <c r="W350" i="6"/>
  <c r="W382" i="6"/>
  <c r="W406" i="6"/>
  <c r="W326" i="6"/>
  <c r="W422" i="6"/>
  <c r="W482" i="6"/>
  <c r="W458" i="6"/>
  <c r="W471" i="6"/>
  <c r="W443" i="6"/>
  <c r="W28" i="6"/>
  <c r="W81" i="6"/>
  <c r="W117" i="6"/>
  <c r="W142" i="6"/>
  <c r="W319" i="6"/>
  <c r="W467" i="6"/>
  <c r="W253" i="6"/>
  <c r="W423" i="6"/>
  <c r="W144" i="6"/>
  <c r="W327" i="6"/>
  <c r="W71" i="6"/>
  <c r="W296" i="6"/>
  <c r="W310" i="6"/>
  <c r="W18" i="6"/>
  <c r="W232" i="6"/>
  <c r="W76" i="6"/>
  <c r="W357" i="6"/>
  <c r="W358" i="6"/>
  <c r="W210" i="6"/>
  <c r="W380" i="6"/>
  <c r="W404" i="6"/>
  <c r="W403" i="6"/>
  <c r="W402" i="6"/>
  <c r="W332" i="6"/>
  <c r="W462" i="6"/>
  <c r="W472" i="6"/>
  <c r="W438" i="6"/>
  <c r="W486" i="6"/>
  <c r="W26" i="6"/>
  <c r="W51" i="6"/>
  <c r="W80" i="6"/>
  <c r="W115" i="6"/>
  <c r="W303" i="6"/>
  <c r="W220" i="6"/>
  <c r="W128" i="6"/>
  <c r="W354" i="6"/>
  <c r="W55" i="6"/>
  <c r="W279" i="6"/>
  <c r="W294" i="6"/>
  <c r="X7" i="6"/>
  <c r="X185" i="6" s="1"/>
  <c r="W244" i="6"/>
  <c r="W307" i="6"/>
  <c r="W306" i="6"/>
  <c r="W261" i="6"/>
  <c r="W351" i="6"/>
  <c r="W378" i="6"/>
  <c r="W375" i="6"/>
  <c r="W373" i="6"/>
  <c r="W401" i="6"/>
  <c r="W424" i="6"/>
  <c r="W455" i="6"/>
  <c r="W483" i="6"/>
  <c r="W463" i="6"/>
  <c r="W24" i="6"/>
  <c r="W48" i="6"/>
  <c r="W79" i="6"/>
  <c r="W286" i="6"/>
  <c r="W440" i="6"/>
  <c r="W259" i="6"/>
  <c r="W395" i="6"/>
  <c r="W112" i="6"/>
  <c r="W229" i="6"/>
  <c r="W38" i="6"/>
  <c r="W247" i="6"/>
  <c r="W277" i="6"/>
  <c r="W430" i="6"/>
  <c r="W182" i="6"/>
  <c r="W479" i="6"/>
  <c r="W278" i="6"/>
  <c r="W275" i="6"/>
  <c r="W305" i="6"/>
  <c r="W221" i="6"/>
  <c r="W335" i="6"/>
  <c r="W328" i="6"/>
  <c r="W372" i="6"/>
  <c r="W400" i="6"/>
  <c r="W398" i="6"/>
  <c r="W425" i="6"/>
  <c r="W446" i="6"/>
  <c r="W453" i="6"/>
  <c r="W21" i="6"/>
  <c r="W47" i="6"/>
  <c r="W268" i="6"/>
  <c r="W470" i="6"/>
  <c r="W164" i="6"/>
  <c r="W377" i="6"/>
  <c r="W90" i="6"/>
  <c r="W314" i="6"/>
  <c r="W22" i="6"/>
  <c r="W184" i="6"/>
  <c r="W239" i="6"/>
  <c r="W10" i="6"/>
  <c r="W178" i="6"/>
  <c r="W219" i="6"/>
  <c r="W194" i="6"/>
  <c r="W274" i="6"/>
  <c r="W304" i="6"/>
  <c r="W205" i="6"/>
  <c r="W196" i="6"/>
  <c r="W262" i="6"/>
  <c r="W352" i="6"/>
  <c r="W353" i="6"/>
  <c r="W370" i="6"/>
  <c r="W396" i="6"/>
  <c r="W359" i="6"/>
  <c r="W469" i="6"/>
  <c r="W457" i="6"/>
  <c r="W450" i="6"/>
  <c r="W19" i="6"/>
  <c r="W179" i="6"/>
  <c r="W146" i="6"/>
  <c r="W333" i="6"/>
  <c r="W72" i="6"/>
  <c r="W298" i="6"/>
  <c r="W484" i="6"/>
  <c r="W209" i="6"/>
  <c r="W248" i="6"/>
  <c r="W459" i="6"/>
  <c r="W176" i="6"/>
  <c r="W235" i="6"/>
  <c r="W93" i="6"/>
  <c r="W241" i="6"/>
  <c r="W228" i="6"/>
  <c r="W252" i="6"/>
  <c r="W273" i="6"/>
  <c r="W302" i="6"/>
  <c r="W300" i="6"/>
  <c r="W297" i="6"/>
  <c r="W181" i="6"/>
  <c r="W322" i="6"/>
  <c r="W338" i="6"/>
  <c r="W368" i="6"/>
  <c r="W393" i="6"/>
  <c r="W344" i="6"/>
  <c r="W9" i="6"/>
  <c r="W468" i="6"/>
  <c r="W198" i="6"/>
  <c r="W347" i="6"/>
  <c r="W130" i="6"/>
  <c r="W337" i="6"/>
  <c r="W56" i="6"/>
  <c r="W281" i="6"/>
  <c r="W454" i="6"/>
  <c r="W180" i="6"/>
  <c r="W191" i="6"/>
  <c r="W246" i="6"/>
  <c r="W155" i="6"/>
  <c r="W308" i="6"/>
  <c r="W245" i="6"/>
  <c r="W140" i="6"/>
  <c r="W177" i="6"/>
  <c r="W168" i="6"/>
  <c r="W212" i="6"/>
  <c r="W240" i="6"/>
  <c r="W270" i="6"/>
  <c r="W269" i="6"/>
  <c r="W267" i="6"/>
  <c r="W295" i="6"/>
  <c r="W292" i="6"/>
  <c r="W321" i="6"/>
  <c r="W355" i="6"/>
  <c r="W367" i="6"/>
  <c r="W391" i="6"/>
  <c r="W345" i="6"/>
  <c r="W419" i="6"/>
  <c r="W427" i="6"/>
  <c r="W236" i="6"/>
  <c r="W397" i="6"/>
  <c r="W114" i="6"/>
  <c r="W237" i="6"/>
  <c r="W39" i="6"/>
  <c r="W263" i="6"/>
  <c r="W445" i="6"/>
  <c r="W174" i="6"/>
  <c r="W257" i="6"/>
  <c r="W226" i="6"/>
  <c r="W138" i="6"/>
  <c r="W280" i="6"/>
  <c r="W113" i="6"/>
  <c r="W137" i="6"/>
  <c r="W136" i="6"/>
  <c r="W186" i="6"/>
  <c r="W230" i="6"/>
  <c r="W222" i="6"/>
  <c r="W214" i="6"/>
  <c r="W265" i="6"/>
  <c r="W251" i="6"/>
  <c r="W291" i="6"/>
  <c r="W320" i="6"/>
  <c r="W339" i="6"/>
  <c r="W366" i="6"/>
  <c r="W250" i="6"/>
  <c r="W449" i="6"/>
  <c r="W199" i="6"/>
  <c r="W379" i="6"/>
  <c r="W92" i="6"/>
  <c r="W315" i="6"/>
  <c r="W23" i="6"/>
  <c r="W203" i="6"/>
  <c r="W242" i="6"/>
  <c r="W175" i="6"/>
  <c r="W405" i="6"/>
  <c r="W122" i="6"/>
  <c r="W78" i="6"/>
  <c r="W110" i="6"/>
  <c r="W108" i="6"/>
  <c r="W135" i="6"/>
  <c r="W165" i="6"/>
  <c r="W169" i="6"/>
  <c r="W258" i="6"/>
  <c r="W231" i="6"/>
  <c r="W206" i="6"/>
  <c r="W188" i="6"/>
  <c r="W243" i="6"/>
  <c r="W289" i="6"/>
  <c r="W318" i="6"/>
  <c r="W218" i="6"/>
  <c r="W363" i="6"/>
  <c r="W439" i="6"/>
  <c r="W362" i="6"/>
  <c r="W75" i="6"/>
  <c r="W299" i="6"/>
  <c r="W437" i="6"/>
  <c r="W225" i="6"/>
  <c r="W11" i="6"/>
  <c r="W141" i="6"/>
  <c r="W156" i="6"/>
  <c r="W106" i="6"/>
  <c r="W46" i="6"/>
  <c r="W45" i="6"/>
  <c r="W73" i="6"/>
  <c r="W105" i="6"/>
  <c r="W134" i="6"/>
  <c r="W163" i="6"/>
  <c r="W157" i="6"/>
  <c r="W223" i="6"/>
  <c r="W215" i="6"/>
  <c r="W254" i="6"/>
  <c r="W224" i="6"/>
  <c r="W288" i="6"/>
  <c r="W316" i="6"/>
  <c r="W356" i="6"/>
  <c r="W348" i="6"/>
  <c r="W330" i="6"/>
  <c r="W148" i="6"/>
  <c r="W336" i="6"/>
  <c r="W58" i="6"/>
  <c r="W282" i="6"/>
  <c r="W323" i="6"/>
  <c r="W195" i="6"/>
  <c r="W408" i="6"/>
  <c r="W125" i="6"/>
  <c r="W139" i="6"/>
  <c r="W371" i="6"/>
  <c r="W83" i="6"/>
  <c r="W16" i="6"/>
  <c r="W15" i="6"/>
  <c r="W44" i="6"/>
  <c r="W70" i="6"/>
  <c r="W104" i="6"/>
  <c r="W133" i="6"/>
  <c r="W131" i="6"/>
  <c r="W129" i="6"/>
  <c r="W154" i="6"/>
  <c r="W153" i="6"/>
  <c r="W207" i="6"/>
  <c r="W217" i="6"/>
  <c r="W216" i="6"/>
  <c r="W287" i="6"/>
  <c r="W313" i="6"/>
  <c r="W340" i="6"/>
  <c r="W202" i="6"/>
  <c r="W132" i="6"/>
  <c r="W342" i="6"/>
  <c r="W41" i="6"/>
  <c r="W264" i="6"/>
  <c r="W448" i="6"/>
  <c r="W173" i="6"/>
  <c r="W392" i="6"/>
  <c r="W109" i="6"/>
  <c r="W123" i="6"/>
  <c r="W334" i="6"/>
  <c r="W66" i="6"/>
  <c r="W451" i="6"/>
  <c r="W447" i="6"/>
  <c r="W14" i="6"/>
  <c r="W42" i="6"/>
  <c r="W68" i="6"/>
  <c r="W103" i="6"/>
  <c r="W102" i="6"/>
  <c r="W126" i="6"/>
  <c r="W124" i="6"/>
  <c r="W152" i="6"/>
  <c r="W189" i="6"/>
  <c r="W201" i="6"/>
  <c r="W208" i="6"/>
  <c r="W285" i="6"/>
  <c r="W311" i="6"/>
  <c r="W399" i="6"/>
  <c r="W116" i="6"/>
  <c r="W317" i="6"/>
  <c r="W25" i="6"/>
  <c r="W211" i="6"/>
  <c r="W436" i="6"/>
  <c r="W374" i="6"/>
  <c r="W87" i="6"/>
  <c r="W107" i="6"/>
  <c r="W329" i="6"/>
  <c r="W49" i="6"/>
  <c r="W418" i="6"/>
  <c r="W465" i="6"/>
  <c r="W360" i="6"/>
  <c r="W426" i="6"/>
  <c r="W466" i="6"/>
  <c r="W13" i="6"/>
  <c r="W40" i="6"/>
  <c r="W65" i="6"/>
  <c r="W64" i="6"/>
  <c r="W63" i="6"/>
  <c r="W98" i="6"/>
  <c r="W91" i="6"/>
  <c r="W121" i="6"/>
  <c r="W150" i="6"/>
  <c r="W170" i="6"/>
  <c r="W255" i="6"/>
  <c r="W200" i="6"/>
  <c r="W283" i="6"/>
  <c r="W381" i="6"/>
  <c r="W97" i="6"/>
  <c r="W301" i="6"/>
  <c r="W233" i="6"/>
  <c r="W346" i="6"/>
  <c r="W143" i="6"/>
  <c r="W324" i="6"/>
  <c r="W69" i="6"/>
  <c r="W84" i="6"/>
  <c r="W187" i="6"/>
  <c r="X238" i="6" l="1"/>
  <c r="X151" i="6"/>
  <c r="X85" i="6"/>
  <c r="X290" i="6"/>
  <c r="X32" i="6"/>
  <c r="X33" i="6"/>
  <c r="X34" i="6"/>
  <c r="X35" i="6"/>
  <c r="X410" i="6"/>
  <c r="X171" i="6"/>
  <c r="X172" i="6"/>
  <c r="X387" i="6"/>
  <c r="X388" i="6"/>
  <c r="X389" i="6"/>
  <c r="X390" i="6"/>
  <c r="X158" i="6"/>
  <c r="X159" i="6"/>
  <c r="X160" i="6"/>
  <c r="X161" i="6"/>
  <c r="X162" i="6"/>
  <c r="X365" i="6"/>
  <c r="X456" i="6"/>
  <c r="X272" i="6"/>
  <c r="X271" i="6"/>
  <c r="X74" i="6"/>
  <c r="X411" i="6"/>
  <c r="X412" i="6"/>
  <c r="X413" i="6"/>
  <c r="X414" i="6"/>
  <c r="X415" i="6"/>
  <c r="X416" i="6"/>
  <c r="X417" i="6"/>
  <c r="X473" i="6"/>
  <c r="X474" i="6"/>
  <c r="X475" i="6"/>
  <c r="X476" i="6"/>
  <c r="X477" i="6"/>
  <c r="X478" i="6"/>
  <c r="X192" i="6"/>
  <c r="X52" i="6"/>
  <c r="X53" i="6"/>
  <c r="X54" i="6"/>
  <c r="X494" i="6"/>
  <c r="X489" i="6"/>
  <c r="X495" i="6"/>
  <c r="X496" i="6"/>
  <c r="X492" i="6"/>
  <c r="X490" i="6"/>
  <c r="X493" i="6"/>
  <c r="X491" i="6"/>
  <c r="X197" i="6"/>
  <c r="X487" i="6"/>
  <c r="X488" i="6"/>
  <c r="X431" i="6"/>
  <c r="X432" i="6"/>
  <c r="X433" i="6"/>
  <c r="X434" i="6"/>
  <c r="X435" i="6"/>
  <c r="X331" i="6"/>
  <c r="X99" i="6"/>
  <c r="X100" i="6"/>
  <c r="X101" i="6"/>
  <c r="X277" i="6"/>
  <c r="X369" i="6"/>
  <c r="X393" i="6"/>
  <c r="X303" i="6"/>
  <c r="X169" i="6"/>
  <c r="X482" i="6"/>
  <c r="X328" i="6"/>
  <c r="X72" i="6"/>
  <c r="X383" i="6"/>
  <c r="X384" i="6"/>
  <c r="X385" i="6"/>
  <c r="X276" i="6"/>
  <c r="X293" i="6"/>
  <c r="X453" i="6"/>
  <c r="X424" i="6"/>
  <c r="X79" i="6"/>
  <c r="X67" i="6"/>
  <c r="X13" i="6"/>
  <c r="X28" i="6"/>
  <c r="X464" i="6"/>
  <c r="X439" i="6"/>
  <c r="X81" i="6"/>
  <c r="X168" i="6"/>
  <c r="X26" i="6"/>
  <c r="X326" i="6"/>
  <c r="X255" i="6"/>
  <c r="X223" i="6"/>
  <c r="X457" i="6"/>
  <c r="X317" i="6"/>
  <c r="X82" i="6"/>
  <c r="X441" i="6"/>
  <c r="X427" i="6"/>
  <c r="X375" i="6"/>
  <c r="X230" i="6"/>
  <c r="X454" i="6"/>
  <c r="X256" i="6"/>
  <c r="X319" i="6"/>
  <c r="X333" i="6"/>
  <c r="X183" i="6"/>
  <c r="X88" i="6"/>
  <c r="X134" i="6"/>
  <c r="X402" i="6"/>
  <c r="X366" i="6"/>
  <c r="X152" i="6"/>
  <c r="X352" i="6"/>
  <c r="X297" i="6"/>
  <c r="X280" i="6"/>
  <c r="X198" i="6"/>
  <c r="X338" i="6"/>
  <c r="X360" i="6"/>
  <c r="X29" i="6"/>
  <c r="X94" i="6"/>
  <c r="X95" i="6"/>
  <c r="X96" i="6"/>
  <c r="X364" i="6"/>
  <c r="X173" i="6"/>
  <c r="X295" i="6"/>
  <c r="X93" i="6"/>
  <c r="X65" i="6"/>
  <c r="X70" i="6"/>
  <c r="X345" i="6"/>
  <c r="X155" i="6"/>
  <c r="X27" i="6"/>
  <c r="X278" i="6"/>
  <c r="X84" i="6"/>
  <c r="X481" i="6"/>
  <c r="X294" i="6"/>
  <c r="X90" i="6"/>
  <c r="W5" i="6"/>
  <c r="X483" i="6"/>
  <c r="X436" i="6"/>
  <c r="X103" i="6"/>
  <c r="X356" i="6"/>
  <c r="X10" i="6"/>
  <c r="X444" i="6"/>
  <c r="X269" i="6"/>
  <c r="X336" i="6"/>
  <c r="X251" i="6"/>
  <c r="X181" i="6"/>
  <c r="X43" i="6"/>
  <c r="X243" i="6"/>
  <c r="X239" i="6"/>
  <c r="X232" i="6"/>
  <c r="X445" i="6"/>
  <c r="X193" i="6"/>
  <c r="X215" i="6"/>
  <c r="X405" i="6"/>
  <c r="X138" i="6"/>
  <c r="X154" i="6"/>
  <c r="X420" i="6"/>
  <c r="X150" i="6"/>
  <c r="X342" i="6"/>
  <c r="X51" i="6"/>
  <c r="X49" i="6"/>
  <c r="X48" i="6"/>
  <c r="X46" i="6"/>
  <c r="X77" i="6"/>
  <c r="X314" i="6"/>
  <c r="X428" i="6"/>
  <c r="X194" i="6"/>
  <c r="X22" i="6"/>
  <c r="X248" i="6"/>
  <c r="X137" i="6"/>
  <c r="X25" i="6"/>
  <c r="X24" i="6"/>
  <c r="X76" i="6"/>
  <c r="X470" i="6"/>
  <c r="X398" i="6"/>
  <c r="X189" i="6"/>
  <c r="X357" i="6"/>
  <c r="X386" i="6"/>
  <c r="Y7" i="6"/>
  <c r="Y185" i="6" s="1"/>
  <c r="X190" i="6"/>
  <c r="X217" i="6"/>
  <c r="X296" i="6"/>
  <c r="X201" i="6"/>
  <c r="X191" i="6"/>
  <c r="X182" i="6"/>
  <c r="X426" i="6"/>
  <c r="X157" i="6"/>
  <c r="X174" i="6"/>
  <c r="X371" i="6"/>
  <c r="X106" i="6"/>
  <c r="X121" i="6"/>
  <c r="X118" i="6"/>
  <c r="X301" i="6"/>
  <c r="X300" i="6"/>
  <c r="X299" i="6"/>
  <c r="X298" i="6"/>
  <c r="X9" i="6"/>
  <c r="X372" i="6"/>
  <c r="X466" i="6"/>
  <c r="X310" i="6"/>
  <c r="X262" i="6"/>
  <c r="X408" i="6"/>
  <c r="X455" i="6"/>
  <c r="X120" i="6"/>
  <c r="X186" i="6"/>
  <c r="X279" i="6"/>
  <c r="X480" i="6"/>
  <c r="X257" i="6"/>
  <c r="X258" i="6"/>
  <c r="X231" i="6"/>
  <c r="X407" i="6"/>
  <c r="X140" i="6"/>
  <c r="X156" i="6"/>
  <c r="X351" i="6"/>
  <c r="X80" i="6"/>
  <c r="X105" i="6"/>
  <c r="X367" i="6"/>
  <c r="X102" i="6"/>
  <c r="X284" i="6"/>
  <c r="X283" i="6"/>
  <c r="X282" i="6"/>
  <c r="X281" i="6"/>
  <c r="X36" i="6"/>
  <c r="X479" i="6"/>
  <c r="X422" i="6"/>
  <c r="X337" i="6"/>
  <c r="X421" i="6"/>
  <c r="X485" i="6"/>
  <c r="X75" i="6"/>
  <c r="X261" i="6"/>
  <c r="X381" i="6"/>
  <c r="X11" i="6"/>
  <c r="X234" i="6"/>
  <c r="X247" i="6"/>
  <c r="X218" i="6"/>
  <c r="X210" i="6"/>
  <c r="X202" i="6"/>
  <c r="X391" i="6"/>
  <c r="X124" i="6"/>
  <c r="X139" i="6"/>
  <c r="X340" i="6"/>
  <c r="X58" i="6"/>
  <c r="X57" i="6"/>
  <c r="X196" i="6"/>
  <c r="X92" i="6"/>
  <c r="X266" i="6"/>
  <c r="X265" i="6"/>
  <c r="X264" i="6"/>
  <c r="X263" i="6"/>
  <c r="X20" i="6"/>
  <c r="X406" i="6"/>
  <c r="X320" i="6"/>
  <c r="X395" i="6"/>
  <c r="X347" i="6"/>
  <c r="X430" i="6"/>
  <c r="X304" i="6"/>
  <c r="X221" i="6"/>
  <c r="X403" i="6"/>
  <c r="X437" i="6"/>
  <c r="X86" i="6"/>
  <c r="X184" i="6"/>
  <c r="X486" i="6"/>
  <c r="X178" i="6"/>
  <c r="X177" i="6"/>
  <c r="X176" i="6"/>
  <c r="X373" i="6"/>
  <c r="X108" i="6"/>
  <c r="X123" i="6"/>
  <c r="X322" i="6"/>
  <c r="X37" i="6"/>
  <c r="X358" i="6"/>
  <c r="X227" i="6"/>
  <c r="X219" i="6"/>
  <c r="X211" i="6"/>
  <c r="X203" i="6"/>
  <c r="X50" i="6"/>
  <c r="X442" i="6"/>
  <c r="X136" i="6"/>
  <c r="X312" i="6"/>
  <c r="X244" i="6"/>
  <c r="X396" i="6"/>
  <c r="X206" i="6"/>
  <c r="X368" i="6"/>
  <c r="X448" i="6"/>
  <c r="X170" i="6"/>
  <c r="X343" i="6"/>
  <c r="X378" i="6"/>
  <c r="X452" i="6"/>
  <c r="X163" i="6"/>
  <c r="X209" i="6"/>
  <c r="X346" i="6"/>
  <c r="X334" i="6"/>
  <c r="X83" i="6"/>
  <c r="X107" i="6"/>
  <c r="X306" i="6"/>
  <c r="X12" i="6"/>
  <c r="X98" i="6"/>
  <c r="X318" i="6"/>
  <c r="X30" i="6"/>
  <c r="X253" i="6"/>
  <c r="X254" i="6"/>
  <c r="X233" i="6"/>
  <c r="X225" i="6"/>
  <c r="X362" i="6"/>
  <c r="X122" i="6"/>
  <c r="X380" i="6"/>
  <c r="X104" i="6"/>
  <c r="X329" i="6"/>
  <c r="X392" i="6"/>
  <c r="X361" i="6"/>
  <c r="X461" i="6"/>
  <c r="X287" i="6"/>
  <c r="X187" i="6"/>
  <c r="X145" i="6"/>
  <c r="X180" i="6"/>
  <c r="X143" i="6"/>
  <c r="X142" i="6"/>
  <c r="X141" i="6"/>
  <c r="X229" i="6"/>
  <c r="X60" i="6"/>
  <c r="X91" i="6"/>
  <c r="X289" i="6"/>
  <c r="X305" i="6"/>
  <c r="X56" i="6"/>
  <c r="X302" i="6"/>
  <c r="X447" i="6"/>
  <c r="X220" i="6"/>
  <c r="X212" i="6"/>
  <c r="X204" i="6"/>
  <c r="X195" i="6"/>
  <c r="X18" i="6"/>
  <c r="X425" i="6"/>
  <c r="X370" i="6"/>
  <c r="X440" i="6"/>
  <c r="X315" i="6"/>
  <c r="X363" i="6"/>
  <c r="X462" i="6"/>
  <c r="X153" i="6"/>
  <c r="X325" i="6"/>
  <c r="X399" i="6"/>
  <c r="X129" i="6"/>
  <c r="X226" i="6"/>
  <c r="X394" i="6"/>
  <c r="X127" i="6"/>
  <c r="X126" i="6"/>
  <c r="X125" i="6"/>
  <c r="X324" i="6"/>
  <c r="X39" i="6"/>
  <c r="X59" i="6"/>
  <c r="X273" i="6"/>
  <c r="X288" i="6"/>
  <c r="X285" i="6"/>
  <c r="X451" i="6"/>
  <c r="X250" i="6"/>
  <c r="X246" i="6"/>
  <c r="X242" i="6"/>
  <c r="X237" i="6"/>
  <c r="X64" i="6"/>
  <c r="X401" i="6"/>
  <c r="X335" i="6"/>
  <c r="X438" i="6"/>
  <c r="X236" i="6"/>
  <c r="X205" i="6"/>
  <c r="X8" i="6"/>
  <c r="X446" i="6"/>
  <c r="X268" i="6"/>
  <c r="X374" i="6"/>
  <c r="X113" i="6"/>
  <c r="X68" i="6"/>
  <c r="X376" i="6"/>
  <c r="X111" i="6"/>
  <c r="X110" i="6"/>
  <c r="X109" i="6"/>
  <c r="X308" i="6"/>
  <c r="X16" i="6"/>
  <c r="X38" i="6"/>
  <c r="X208" i="6"/>
  <c r="X270" i="6"/>
  <c r="X73" i="6"/>
  <c r="X267" i="6"/>
  <c r="X89" i="6"/>
  <c r="X71" i="6"/>
  <c r="X47" i="6"/>
  <c r="X339" i="6"/>
  <c r="X460" i="6"/>
  <c r="X467" i="6"/>
  <c r="X313" i="6"/>
  <c r="X348" i="6"/>
  <c r="X409" i="6"/>
  <c r="X472" i="6"/>
  <c r="X135" i="6"/>
  <c r="X353" i="6"/>
  <c r="X66" i="6"/>
  <c r="X349" i="6"/>
  <c r="X87" i="6"/>
  <c r="X69" i="6"/>
  <c r="X97" i="6"/>
  <c r="X292" i="6"/>
  <c r="X307" i="6"/>
  <c r="X14" i="6"/>
  <c r="X222" i="6"/>
  <c r="X200" i="6"/>
  <c r="X55" i="6"/>
  <c r="X235" i="6"/>
  <c r="X213" i="6"/>
  <c r="X167" i="6"/>
  <c r="X166" i="6"/>
  <c r="X165" i="6"/>
  <c r="X164" i="6"/>
  <c r="X31" i="6"/>
  <c r="X252" i="6"/>
  <c r="X330" i="6"/>
  <c r="X423" i="6"/>
  <c r="X463" i="6"/>
  <c r="X259" i="6"/>
  <c r="X341" i="6"/>
  <c r="X344" i="6"/>
  <c r="X458" i="6"/>
  <c r="X321" i="6"/>
  <c r="X44" i="6"/>
  <c r="X144" i="6"/>
  <c r="X355" i="6"/>
  <c r="X63" i="6"/>
  <c r="X62" i="6"/>
  <c r="X61" i="6"/>
  <c r="X275" i="6"/>
  <c r="X291" i="6"/>
  <c r="X450" i="6"/>
  <c r="X249" i="6"/>
  <c r="X214" i="6"/>
  <c r="X188" i="6"/>
  <c r="X419" i="6"/>
  <c r="X149" i="6"/>
  <c r="X148" i="6"/>
  <c r="X147" i="6"/>
  <c r="X146" i="6"/>
  <c r="X15" i="6"/>
  <c r="X443" i="6"/>
  <c r="X323" i="6"/>
  <c r="X429" i="6"/>
  <c r="X316" i="6"/>
  <c r="X397" i="6"/>
  <c r="X449" i="6"/>
  <c r="X465" i="6"/>
  <c r="X309" i="6"/>
  <c r="X350" i="6"/>
  <c r="X404" i="6"/>
  <c r="X469" i="6"/>
  <c r="X179" i="6"/>
  <c r="X23" i="6"/>
  <c r="X128" i="6"/>
  <c r="X327" i="6"/>
  <c r="X42" i="6"/>
  <c r="X41" i="6"/>
  <c r="X40" i="6"/>
  <c r="X224" i="6"/>
  <c r="X274" i="6"/>
  <c r="X471" i="6"/>
  <c r="X207" i="6"/>
  <c r="X245" i="6"/>
  <c r="X484" i="6"/>
  <c r="X228" i="6"/>
  <c r="X400" i="6"/>
  <c r="X133" i="6"/>
  <c r="X132" i="6"/>
  <c r="X131" i="6"/>
  <c r="X130" i="6"/>
  <c r="X45" i="6"/>
  <c r="X175" i="6"/>
  <c r="X241" i="6"/>
  <c r="X286" i="6"/>
  <c r="X354" i="6"/>
  <c r="X418" i="6"/>
  <c r="X359" i="6"/>
  <c r="X379" i="6"/>
  <c r="X332" i="6"/>
  <c r="X119" i="6"/>
  <c r="X377" i="6"/>
  <c r="X112" i="6"/>
  <c r="X311" i="6"/>
  <c r="X21" i="6"/>
  <c r="X19" i="6"/>
  <c r="X17" i="6"/>
  <c r="X240" i="6"/>
  <c r="X216" i="6"/>
  <c r="X459" i="6"/>
  <c r="X78" i="6"/>
  <c r="X199" i="6"/>
  <c r="X468" i="6"/>
  <c r="X260" i="6"/>
  <c r="X382" i="6"/>
  <c r="X117" i="6"/>
  <c r="X116" i="6"/>
  <c r="X115" i="6"/>
  <c r="X114" i="6"/>
  <c r="Y238" i="6" l="1"/>
  <c r="Y151" i="6"/>
  <c r="Y85" i="6"/>
  <c r="Y290" i="6"/>
  <c r="Y32" i="6"/>
  <c r="Y33" i="6"/>
  <c r="Y34" i="6"/>
  <c r="Y35" i="6"/>
  <c r="Y410" i="6"/>
  <c r="Y171" i="6"/>
  <c r="Y172" i="6"/>
  <c r="Y387" i="6"/>
  <c r="Y388" i="6"/>
  <c r="Y389" i="6"/>
  <c r="Y390" i="6"/>
  <c r="Y158" i="6"/>
  <c r="Y159" i="6"/>
  <c r="Y160" i="6"/>
  <c r="Y161" i="6"/>
  <c r="Y162" i="6"/>
  <c r="Y365" i="6"/>
  <c r="Y456" i="6"/>
  <c r="Y272" i="6"/>
  <c r="Y271" i="6"/>
  <c r="Y74" i="6"/>
  <c r="Y411" i="6"/>
  <c r="Y412" i="6"/>
  <c r="Y413" i="6"/>
  <c r="Y414" i="6"/>
  <c r="Y415" i="6"/>
  <c r="Y416" i="6"/>
  <c r="Y417" i="6"/>
  <c r="Y473" i="6"/>
  <c r="Y474" i="6"/>
  <c r="Y475" i="6"/>
  <c r="Y476" i="6"/>
  <c r="Y477" i="6"/>
  <c r="Y478" i="6"/>
  <c r="Y192" i="6"/>
  <c r="Y52" i="6"/>
  <c r="Y53" i="6"/>
  <c r="Y54" i="6"/>
  <c r="Y491" i="6"/>
  <c r="Y494" i="6"/>
  <c r="Y489" i="6"/>
  <c r="Y495" i="6"/>
  <c r="Y496" i="6"/>
  <c r="Y492" i="6"/>
  <c r="Y490" i="6"/>
  <c r="Y493" i="6"/>
  <c r="Y487" i="6"/>
  <c r="Y488" i="6"/>
  <c r="Y103" i="6"/>
  <c r="Y373" i="6"/>
  <c r="Y137" i="6"/>
  <c r="Y197" i="6"/>
  <c r="Y480" i="6"/>
  <c r="Y408" i="6"/>
  <c r="Y405" i="6"/>
  <c r="Y146" i="6"/>
  <c r="Y42" i="6"/>
  <c r="Y75" i="6"/>
  <c r="Y123" i="6"/>
  <c r="Y203" i="6"/>
  <c r="Y431" i="6"/>
  <c r="Y432" i="6"/>
  <c r="Y433" i="6"/>
  <c r="Y434" i="6"/>
  <c r="Y435" i="6"/>
  <c r="Y274" i="6"/>
  <c r="Y220" i="6"/>
  <c r="Y179" i="6"/>
  <c r="Y129" i="6"/>
  <c r="Y78" i="6"/>
  <c r="Y57" i="6"/>
  <c r="Y371" i="6"/>
  <c r="Y209" i="6"/>
  <c r="Y14" i="6"/>
  <c r="Y287" i="6"/>
  <c r="Y440" i="6"/>
  <c r="Y281" i="6"/>
  <c r="Y429" i="6"/>
  <c r="Y27" i="6"/>
  <c r="Y296" i="6"/>
  <c r="Y145" i="6"/>
  <c r="Y65" i="6"/>
  <c r="Y105" i="6"/>
  <c r="Y18" i="6"/>
  <c r="Y225" i="6"/>
  <c r="Y110" i="6"/>
  <c r="Y246" i="6"/>
  <c r="Y181" i="6"/>
  <c r="Y149" i="6"/>
  <c r="Y87" i="6"/>
  <c r="Y223" i="6"/>
  <c r="Y72" i="6"/>
  <c r="Y61" i="6"/>
  <c r="Y124" i="6"/>
  <c r="Y354" i="6"/>
  <c r="Y277" i="6"/>
  <c r="Y403" i="6"/>
  <c r="Y310" i="6"/>
  <c r="Y221" i="6"/>
  <c r="Y115" i="6"/>
  <c r="Y331" i="6"/>
  <c r="Y99" i="6"/>
  <c r="Y100" i="6"/>
  <c r="Y101" i="6"/>
  <c r="Y345" i="6"/>
  <c r="Y175" i="6"/>
  <c r="Y236" i="6"/>
  <c r="Y84" i="6"/>
  <c r="Y62" i="6"/>
  <c r="Y418" i="6"/>
  <c r="Y82" i="6"/>
  <c r="Y320" i="6"/>
  <c r="Y190" i="6"/>
  <c r="Y466" i="6"/>
  <c r="Y148" i="6"/>
  <c r="Y104" i="6"/>
  <c r="Y361" i="6"/>
  <c r="Y352" i="6"/>
  <c r="Y258" i="6"/>
  <c r="Y12" i="6"/>
  <c r="Y119" i="6"/>
  <c r="Y234" i="6"/>
  <c r="Y369" i="6"/>
  <c r="Y455" i="6"/>
  <c r="Y132" i="6"/>
  <c r="Y334" i="6"/>
  <c r="Y206" i="6"/>
  <c r="Y134" i="6"/>
  <c r="Y441" i="6"/>
  <c r="Y425" i="6"/>
  <c r="Y400" i="6"/>
  <c r="Y49" i="6"/>
  <c r="Y127" i="6"/>
  <c r="Y198" i="6"/>
  <c r="Y196" i="6"/>
  <c r="Y217" i="6"/>
  <c r="Y318" i="6"/>
  <c r="Y16" i="6"/>
  <c r="Y38" i="6"/>
  <c r="Y60" i="6"/>
  <c r="Y9" i="6"/>
  <c r="Y113" i="6"/>
  <c r="Y191" i="6"/>
  <c r="Y207" i="6"/>
  <c r="Y184" i="6"/>
  <c r="Y46" i="6"/>
  <c r="Y263" i="6"/>
  <c r="Y333" i="6"/>
  <c r="Y242" i="6"/>
  <c r="Y17" i="6"/>
  <c r="Y112" i="6"/>
  <c r="Y376" i="6"/>
  <c r="Y401" i="6"/>
  <c r="Y26" i="6"/>
  <c r="Y102" i="6"/>
  <c r="Y167" i="6"/>
  <c r="Y89" i="6"/>
  <c r="Y194" i="6"/>
  <c r="Y367" i="6"/>
  <c r="Y282" i="6"/>
  <c r="Y13" i="6"/>
  <c r="Y36" i="6"/>
  <c r="Y404" i="6"/>
  <c r="Y73" i="6"/>
  <c r="Y174" i="6"/>
  <c r="Y157" i="6"/>
  <c r="Y168" i="6"/>
  <c r="Y30" i="6"/>
  <c r="Y395" i="6"/>
  <c r="Y279" i="6"/>
  <c r="Y8" i="6"/>
  <c r="Y58" i="6"/>
  <c r="Y251" i="6"/>
  <c r="Y372" i="6"/>
  <c r="Y463" i="6"/>
  <c r="Y396" i="6"/>
  <c r="Y48" i="6"/>
  <c r="Y125" i="6"/>
  <c r="Y69" i="6"/>
  <c r="Y122" i="6"/>
  <c r="Y451" i="6"/>
  <c r="Y346" i="6"/>
  <c r="Y348" i="6"/>
  <c r="Y370" i="6"/>
  <c r="Y362" i="6"/>
  <c r="Y40" i="6"/>
  <c r="Y70" i="6"/>
  <c r="Y108" i="6"/>
  <c r="Y81" i="6"/>
  <c r="Y77" i="6"/>
  <c r="Y261" i="6"/>
  <c r="Y97" i="6"/>
  <c r="Y264" i="6"/>
  <c r="Y381" i="6"/>
  <c r="Y484" i="6"/>
  <c r="Y24" i="6"/>
  <c r="Y37" i="6"/>
  <c r="Y86" i="6"/>
  <c r="Y47" i="6"/>
  <c r="Y76" i="6"/>
  <c r="Y230" i="6"/>
  <c r="Y386" i="6"/>
  <c r="Y424" i="6"/>
  <c r="Y22" i="6"/>
  <c r="Y392" i="6"/>
  <c r="Y55" i="6"/>
  <c r="Y308" i="6"/>
  <c r="Y43" i="6"/>
  <c r="Y448" i="6"/>
  <c r="Y447" i="6"/>
  <c r="Y444" i="6"/>
  <c r="Y382" i="6"/>
  <c r="Y51" i="6"/>
  <c r="Y479" i="6"/>
  <c r="Y351" i="6"/>
  <c r="Y316" i="6"/>
  <c r="Y44" i="6"/>
  <c r="Y357" i="6"/>
  <c r="Y256" i="6"/>
  <c r="Y313" i="6"/>
  <c r="Y470" i="6"/>
  <c r="Y240" i="6"/>
  <c r="Y343" i="6"/>
  <c r="Y378" i="6"/>
  <c r="Y319" i="6"/>
  <c r="Y15" i="6"/>
  <c r="Y302" i="6"/>
  <c r="Y445" i="6"/>
  <c r="Y109" i="6"/>
  <c r="Y315" i="6"/>
  <c r="Y446" i="6"/>
  <c r="Y133" i="6"/>
  <c r="Y204" i="6"/>
  <c r="Y249" i="6"/>
  <c r="Y360" i="6"/>
  <c r="Y486" i="6"/>
  <c r="Y485" i="6"/>
  <c r="Y374" i="6"/>
  <c r="Y20" i="6"/>
  <c r="Y341" i="6"/>
  <c r="Y305" i="6"/>
  <c r="Y297" i="6"/>
  <c r="Y402" i="6"/>
  <c r="Y270" i="6"/>
  <c r="Y427" i="6"/>
  <c r="Y409" i="6"/>
  <c r="Y453" i="6"/>
  <c r="Y439" i="6"/>
  <c r="Y368" i="6"/>
  <c r="Y465" i="6"/>
  <c r="Y227" i="6"/>
  <c r="Y420" i="6"/>
  <c r="Y468" i="6"/>
  <c r="Y111" i="6"/>
  <c r="Y300" i="6"/>
  <c r="Y458" i="6"/>
  <c r="Y379" i="6"/>
  <c r="Y311" i="6"/>
  <c r="Y295" i="6"/>
  <c r="Y288" i="6"/>
  <c r="Y314" i="6"/>
  <c r="Y347" i="6"/>
  <c r="Y364" i="6"/>
  <c r="Y294" i="6"/>
  <c r="Y437" i="6"/>
  <c r="Y397" i="6"/>
  <c r="Y428" i="6"/>
  <c r="Y356" i="6"/>
  <c r="Y267" i="6"/>
  <c r="Y450" i="6"/>
  <c r="Y68" i="6"/>
  <c r="Y469" i="6"/>
  <c r="Y449" i="6"/>
  <c r="Y307" i="6"/>
  <c r="Y398" i="6"/>
  <c r="Y201" i="6"/>
  <c r="Y460" i="6"/>
  <c r="Y216" i="6"/>
  <c r="Y156" i="6"/>
  <c r="Y229" i="6"/>
  <c r="Y79" i="6"/>
  <c r="Y131" i="6"/>
  <c r="Y224" i="6"/>
  <c r="Y322" i="6"/>
  <c r="Y483" i="6"/>
  <c r="Y193" i="6"/>
  <c r="Y237" i="6"/>
  <c r="Y317" i="6"/>
  <c r="Y309" i="6"/>
  <c r="Y301" i="6"/>
  <c r="Y276" i="6"/>
  <c r="Y328" i="6"/>
  <c r="Y471" i="6"/>
  <c r="Y283" i="6"/>
  <c r="Y118" i="6"/>
  <c r="Y25" i="6"/>
  <c r="Y180" i="6"/>
  <c r="Y10" i="6"/>
  <c r="Y67" i="6"/>
  <c r="Y472" i="6"/>
  <c r="Y31" i="6"/>
  <c r="Y11" i="6"/>
  <c r="Y436" i="6"/>
  <c r="Y426" i="6"/>
  <c r="Y284" i="6"/>
  <c r="Y335" i="6"/>
  <c r="Y178" i="6"/>
  <c r="Y245" i="6"/>
  <c r="Y269" i="6"/>
  <c r="Y355" i="6"/>
  <c r="Y380" i="6"/>
  <c r="Y280" i="6"/>
  <c r="Y205" i="6"/>
  <c r="Y421" i="6"/>
  <c r="Y253" i="6"/>
  <c r="Y41" i="6"/>
  <c r="Y268" i="6"/>
  <c r="Y107" i="6"/>
  <c r="Y154" i="6"/>
  <c r="Y200" i="6"/>
  <c r="Y344" i="6"/>
  <c r="Y323" i="6"/>
  <c r="Y349" i="6"/>
  <c r="Y457" i="6"/>
  <c r="Y93" i="6"/>
  <c r="Y214" i="6"/>
  <c r="Y239" i="6"/>
  <c r="Y232" i="6"/>
  <c r="Y212" i="6"/>
  <c r="Y303" i="6"/>
  <c r="Y459" i="6"/>
  <c r="Y454" i="6"/>
  <c r="Y329" i="6"/>
  <c r="Y92" i="6"/>
  <c r="Y144" i="6"/>
  <c r="Y255" i="6"/>
  <c r="Y452" i="6"/>
  <c r="Y244" i="6"/>
  <c r="Y173" i="6"/>
  <c r="Y265" i="6"/>
  <c r="Y211" i="6"/>
  <c r="Y467" i="6"/>
  <c r="Y28" i="6"/>
  <c r="Y121" i="6"/>
  <c r="Y170" i="6"/>
  <c r="Y422" i="6"/>
  <c r="Y23" i="6"/>
  <c r="Y332" i="6"/>
  <c r="Y443" i="6"/>
  <c r="Y482" i="6"/>
  <c r="Y399" i="6"/>
  <c r="Y130" i="6"/>
  <c r="Y241" i="6"/>
  <c r="Y275" i="6"/>
  <c r="Y188" i="6"/>
  <c r="Y213" i="6"/>
  <c r="Y210" i="6"/>
  <c r="Y195" i="6"/>
  <c r="Y359" i="6"/>
  <c r="Y442" i="6"/>
  <c r="Y394" i="6"/>
  <c r="Y266" i="6"/>
  <c r="Y375" i="6"/>
  <c r="Y215" i="6"/>
  <c r="Y231" i="6"/>
  <c r="Y106" i="6"/>
  <c r="Y150" i="6"/>
  <c r="Y222" i="6"/>
  <c r="Y306" i="6"/>
  <c r="Y298" i="6"/>
  <c r="Y262" i="6"/>
  <c r="Y141" i="6"/>
  <c r="Y187" i="6"/>
  <c r="Y164" i="6"/>
  <c r="Y182" i="6"/>
  <c r="Y169" i="6"/>
  <c r="Y324" i="6"/>
  <c r="Y325" i="6"/>
  <c r="Y143" i="6"/>
  <c r="Y250" i="6"/>
  <c r="Y29" i="6"/>
  <c r="Y208" i="6"/>
  <c r="Y423" i="6"/>
  <c r="Y377" i="6"/>
  <c r="Y50" i="6"/>
  <c r="Y128" i="6"/>
  <c r="Y199" i="6"/>
  <c r="Y326" i="6"/>
  <c r="Y304" i="6"/>
  <c r="Y353" i="6"/>
  <c r="Y91" i="6"/>
  <c r="Y117" i="6"/>
  <c r="Y139" i="6"/>
  <c r="Y138" i="6"/>
  <c r="Y163" i="6"/>
  <c r="Y260" i="6"/>
  <c r="Y248" i="6"/>
  <c r="Y292" i="6"/>
  <c r="Y135" i="6"/>
  <c r="Y339" i="6"/>
  <c r="Y342" i="6"/>
  <c r="Y165" i="6"/>
  <c r="Y233" i="6"/>
  <c r="Y278" i="6"/>
  <c r="Y363" i="6"/>
  <c r="Y419" i="6"/>
  <c r="Y88" i="6"/>
  <c r="Y176" i="6"/>
  <c r="Y358" i="6"/>
  <c r="Y312" i="6"/>
  <c r="Y350" i="6"/>
  <c r="Y337" i="6"/>
  <c r="Y293" i="6"/>
  <c r="Y56" i="6"/>
  <c r="Y155" i="6"/>
  <c r="Y226" i="6"/>
  <c r="Y340" i="6"/>
  <c r="Y462" i="6"/>
  <c r="Y291" i="6"/>
  <c r="Y45" i="6"/>
  <c r="Y90" i="6"/>
  <c r="Y177" i="6"/>
  <c r="Y299" i="6"/>
  <c r="Y39" i="6"/>
  <c r="Y116" i="6"/>
  <c r="Y186" i="6"/>
  <c r="Y252" i="6"/>
  <c r="Y338" i="6"/>
  <c r="Y461" i="6"/>
  <c r="Y140" i="6"/>
  <c r="Y254" i="6"/>
  <c r="Y464" i="6"/>
  <c r="Y383" i="6"/>
  <c r="Y384" i="6"/>
  <c r="Y385" i="6"/>
  <c r="Y114" i="6"/>
  <c r="Y247" i="6"/>
  <c r="Y285" i="6"/>
  <c r="Y327" i="6"/>
  <c r="Y391" i="6"/>
  <c r="Y153" i="6"/>
  <c r="Y218" i="6"/>
  <c r="Y83" i="6"/>
  <c r="Y257" i="6"/>
  <c r="Y407" i="6"/>
  <c r="Y142" i="6"/>
  <c r="Y336" i="6"/>
  <c r="Y366" i="6"/>
  <c r="Y136" i="6"/>
  <c r="Y202" i="6"/>
  <c r="Y71" i="6"/>
  <c r="Y147" i="6"/>
  <c r="Y259" i="6"/>
  <c r="Y66" i="6"/>
  <c r="Y166" i="6"/>
  <c r="Y243" i="6"/>
  <c r="Y406" i="6"/>
  <c r="Z7" i="6"/>
  <c r="Z185" i="6" s="1"/>
  <c r="Y59" i="6"/>
  <c r="Y228" i="6"/>
  <c r="Y481" i="6"/>
  <c r="Y126" i="6"/>
  <c r="Y286" i="6"/>
  <c r="Y393" i="6"/>
  <c r="Y120" i="6"/>
  <c r="Y183" i="6"/>
  <c r="X5" i="6"/>
  <c r="Y63" i="6"/>
  <c r="Y94" i="6"/>
  <c r="Y95" i="6"/>
  <c r="Y96" i="6"/>
  <c r="Y430" i="6"/>
  <c r="Y98" i="6"/>
  <c r="Y289" i="6"/>
  <c r="Y21" i="6"/>
  <c r="Y189" i="6"/>
  <c r="Y438" i="6"/>
  <c r="Y64" i="6"/>
  <c r="Y152" i="6"/>
  <c r="Y273" i="6"/>
  <c r="Y19" i="6"/>
  <c r="Y235" i="6"/>
  <c r="Y80" i="6"/>
  <c r="Y330" i="6"/>
  <c r="Y219" i="6"/>
  <c r="Y321" i="6"/>
  <c r="Z238" i="6" l="1"/>
  <c r="Z151" i="6"/>
  <c r="Z85" i="6"/>
  <c r="Z290" i="6"/>
  <c r="Z32" i="6"/>
  <c r="Z33" i="6"/>
  <c r="Z34" i="6"/>
  <c r="Z35" i="6"/>
  <c r="Z410" i="6"/>
  <c r="Z171" i="6"/>
  <c r="Z172" i="6"/>
  <c r="Z387" i="6"/>
  <c r="Z388" i="6"/>
  <c r="Z389" i="6"/>
  <c r="Z390" i="6"/>
  <c r="Z158" i="6"/>
  <c r="Z159" i="6"/>
  <c r="Z160" i="6"/>
  <c r="Z161" i="6"/>
  <c r="Z162" i="6"/>
  <c r="Z365" i="6"/>
  <c r="Z456" i="6"/>
  <c r="Z272" i="6"/>
  <c r="Z271" i="6"/>
  <c r="Z74" i="6"/>
  <c r="Z411" i="6"/>
  <c r="Z412" i="6"/>
  <c r="Z413" i="6"/>
  <c r="Z414" i="6"/>
  <c r="Z415" i="6"/>
  <c r="Z416" i="6"/>
  <c r="Z417" i="6"/>
  <c r="Z473" i="6"/>
  <c r="Z474" i="6"/>
  <c r="Z475" i="6"/>
  <c r="Z476" i="6"/>
  <c r="Z477" i="6"/>
  <c r="Z478" i="6"/>
  <c r="Z192" i="6"/>
  <c r="Z52" i="6"/>
  <c r="Z53" i="6"/>
  <c r="Z54" i="6"/>
  <c r="Z491" i="6"/>
  <c r="Z494" i="6"/>
  <c r="Z489" i="6"/>
  <c r="Z495" i="6"/>
  <c r="Z496" i="6"/>
  <c r="Z492" i="6"/>
  <c r="Z490" i="6"/>
  <c r="Z493" i="6"/>
  <c r="Z197" i="6"/>
  <c r="Z487" i="6"/>
  <c r="Z488" i="6"/>
  <c r="Z204" i="6"/>
  <c r="Z186" i="6"/>
  <c r="Z372" i="6"/>
  <c r="Z431" i="6"/>
  <c r="Z432" i="6"/>
  <c r="Z433" i="6"/>
  <c r="Z434" i="6"/>
  <c r="Z435" i="6"/>
  <c r="Z135" i="6"/>
  <c r="Z331" i="6"/>
  <c r="Z99" i="6"/>
  <c r="Z100" i="6"/>
  <c r="Z101" i="6"/>
  <c r="Z169" i="6"/>
  <c r="Z12" i="6"/>
  <c r="Z369" i="6"/>
  <c r="Z76" i="6"/>
  <c r="Z350" i="6"/>
  <c r="Z315" i="6"/>
  <c r="Z455" i="6"/>
  <c r="Z308" i="6"/>
  <c r="Z13" i="6"/>
  <c r="Z351" i="6"/>
  <c r="Z458" i="6"/>
  <c r="Z437" i="6"/>
  <c r="Z277" i="6"/>
  <c r="Z449" i="6"/>
  <c r="Z144" i="6"/>
  <c r="Z479" i="6"/>
  <c r="Z137" i="6"/>
  <c r="Z42" i="6"/>
  <c r="Z155" i="6"/>
  <c r="Z128" i="6"/>
  <c r="Z61" i="6"/>
  <c r="Z391" i="6"/>
  <c r="Z23" i="6"/>
  <c r="Z83" i="6"/>
  <c r="Z8" i="6"/>
  <c r="Z468" i="6"/>
  <c r="Z361" i="6"/>
  <c r="Z323" i="6"/>
  <c r="Y5" i="6"/>
  <c r="Z398" i="6"/>
  <c r="Z252" i="6"/>
  <c r="Z50" i="6"/>
  <c r="Z116" i="6"/>
  <c r="Z354" i="6"/>
  <c r="Z65" i="6"/>
  <c r="Z298" i="6"/>
  <c r="Z63" i="6"/>
  <c r="Z88" i="6"/>
  <c r="Z352" i="6"/>
  <c r="Z304" i="6"/>
  <c r="Z127" i="6"/>
  <c r="Z147" i="6"/>
  <c r="Z287" i="6"/>
  <c r="Z255" i="6"/>
  <c r="Z356" i="6"/>
  <c r="Z89" i="6"/>
  <c r="Z247" i="6"/>
  <c r="Z237" i="6"/>
  <c r="Z286" i="6"/>
  <c r="Z261" i="6"/>
  <c r="Z313" i="6"/>
  <c r="Z419" i="6"/>
  <c r="Z265" i="6"/>
  <c r="Z214" i="6"/>
  <c r="Z400" i="6"/>
  <c r="Z357" i="6"/>
  <c r="Z278" i="6"/>
  <c r="Z349" i="6"/>
  <c r="Z242" i="6"/>
  <c r="Z421" i="6"/>
  <c r="Z134" i="6"/>
  <c r="Z381" i="6"/>
  <c r="Z118" i="6"/>
  <c r="Z280" i="6"/>
  <c r="Z86" i="6"/>
  <c r="Z333" i="6"/>
  <c r="Z336" i="6"/>
  <c r="Z342" i="6"/>
  <c r="Z254" i="6"/>
  <c r="Z258" i="6"/>
  <c r="Z483" i="6"/>
  <c r="Z439" i="6"/>
  <c r="Z121" i="6"/>
  <c r="Z37" i="6"/>
  <c r="Z143" i="6"/>
  <c r="Z461" i="6"/>
  <c r="Z241" i="6"/>
  <c r="Z373" i="6"/>
  <c r="Z340" i="6"/>
  <c r="Z248" i="6"/>
  <c r="Z364" i="6"/>
  <c r="Z318" i="6"/>
  <c r="Z114" i="6"/>
  <c r="Z62" i="6"/>
  <c r="Z300" i="6"/>
  <c r="Z404" i="6"/>
  <c r="Z486" i="6"/>
  <c r="Z43" i="6"/>
  <c r="Z347" i="6"/>
  <c r="Z382" i="6"/>
  <c r="Z206" i="6"/>
  <c r="Z346" i="6"/>
  <c r="Z466" i="6"/>
  <c r="Z25" i="6"/>
  <c r="Z264" i="6"/>
  <c r="Z51" i="6"/>
  <c r="Z366" i="6"/>
  <c r="Z452" i="6"/>
  <c r="Z291" i="6"/>
  <c r="Z216" i="6"/>
  <c r="Z442" i="6"/>
  <c r="Z56" i="6"/>
  <c r="Z355" i="6"/>
  <c r="Z371" i="6"/>
  <c r="Z180" i="6"/>
  <c r="Z406" i="6"/>
  <c r="Z316" i="6"/>
  <c r="Z31" i="6"/>
  <c r="Z230" i="6"/>
  <c r="Z112" i="6"/>
  <c r="Z111" i="6"/>
  <c r="Z293" i="6"/>
  <c r="Z284" i="6"/>
  <c r="Z327" i="6"/>
  <c r="Z225" i="6"/>
  <c r="Z224" i="6"/>
  <c r="Z221" i="6"/>
  <c r="Z152" i="6"/>
  <c r="Z294" i="6"/>
  <c r="Z73" i="6"/>
  <c r="Z320" i="6"/>
  <c r="Z109" i="6"/>
  <c r="Z446" i="6"/>
  <c r="Z70" i="6"/>
  <c r="Z319" i="6"/>
  <c r="Z405" i="6"/>
  <c r="Z199" i="6"/>
  <c r="Z427" i="6"/>
  <c r="Z29" i="6"/>
  <c r="Z281" i="6"/>
  <c r="Z341" i="6"/>
  <c r="Z374" i="6"/>
  <c r="Z198" i="6"/>
  <c r="Z324" i="6"/>
  <c r="Z93" i="6"/>
  <c r="Z81" i="6"/>
  <c r="Z329" i="6"/>
  <c r="Z328" i="6"/>
  <c r="Z420" i="6"/>
  <c r="Z191" i="6"/>
  <c r="Z190" i="6"/>
  <c r="Z187" i="6"/>
  <c r="Z440" i="6"/>
  <c r="Z119" i="6"/>
  <c r="Z295" i="6"/>
  <c r="Z251" i="6"/>
  <c r="Z84" i="6"/>
  <c r="Z95" i="6"/>
  <c r="Z97" i="6"/>
  <c r="Z209" i="6"/>
  <c r="Z205" i="6"/>
  <c r="Z288" i="6"/>
  <c r="Z397" i="6"/>
  <c r="Z179" i="6"/>
  <c r="Z45" i="6"/>
  <c r="Z44" i="6"/>
  <c r="Z244" i="6"/>
  <c r="Z243" i="6"/>
  <c r="Z375" i="6"/>
  <c r="Z175" i="6"/>
  <c r="Z174" i="6"/>
  <c r="Z170" i="6"/>
  <c r="Z402" i="6"/>
  <c r="Z102" i="6"/>
  <c r="Z263" i="6"/>
  <c r="Z15" i="6"/>
  <c r="Z234" i="6"/>
  <c r="Z49" i="6"/>
  <c r="Z94" i="6"/>
  <c r="Z72" i="6"/>
  <c r="Z253" i="6"/>
  <c r="Z239" i="6"/>
  <c r="Z283" i="6"/>
  <c r="Z425" i="6"/>
  <c r="Z165" i="6"/>
  <c r="Z353" i="6"/>
  <c r="Z422" i="6"/>
  <c r="Z207" i="6"/>
  <c r="Z436" i="6"/>
  <c r="Z47" i="6"/>
  <c r="Z306" i="6"/>
  <c r="Z362" i="6"/>
  <c r="Z259" i="6"/>
  <c r="Z274" i="6"/>
  <c r="Z163" i="6"/>
  <c r="Z325" i="6"/>
  <c r="Z27" i="6"/>
  <c r="Z26" i="6"/>
  <c r="Z227" i="6"/>
  <c r="Z226" i="6"/>
  <c r="Z482" i="6"/>
  <c r="Z157" i="6"/>
  <c r="Z156" i="6"/>
  <c r="Z153" i="6"/>
  <c r="Z302" i="6"/>
  <c r="Z92" i="6"/>
  <c r="Z326" i="6"/>
  <c r="Z399" i="6"/>
  <c r="Z218" i="6"/>
  <c r="AA7" i="6"/>
  <c r="AA185" i="6" s="1"/>
  <c r="Z90" i="6"/>
  <c r="Z343" i="6"/>
  <c r="Z480" i="6"/>
  <c r="Z138" i="6"/>
  <c r="Z267" i="6"/>
  <c r="Z189" i="6"/>
  <c r="Z249" i="6"/>
  <c r="Z459" i="6"/>
  <c r="Z104" i="6"/>
  <c r="Z250" i="6"/>
  <c r="Z467" i="6"/>
  <c r="Z145" i="6"/>
  <c r="Z309" i="6"/>
  <c r="Z301" i="6"/>
  <c r="Z282" i="6"/>
  <c r="Z211" i="6"/>
  <c r="Z210" i="6"/>
  <c r="Z462" i="6"/>
  <c r="Z140" i="6"/>
  <c r="Z139" i="6"/>
  <c r="Z136" i="6"/>
  <c r="Z335" i="6"/>
  <c r="Z257" i="6"/>
  <c r="Z392" i="6"/>
  <c r="Z202" i="6"/>
  <c r="Z17" i="6"/>
  <c r="Z130" i="6"/>
  <c r="Z378" i="6"/>
  <c r="Z231" i="6"/>
  <c r="Z443" i="6"/>
  <c r="Z268" i="6"/>
  <c r="Z181" i="6"/>
  <c r="Z19" i="6"/>
  <c r="Z233" i="6"/>
  <c r="Z450" i="6"/>
  <c r="Z129" i="6"/>
  <c r="Z279" i="6"/>
  <c r="Z269" i="6"/>
  <c r="Z370" i="6"/>
  <c r="Z194" i="6"/>
  <c r="Z193" i="6"/>
  <c r="Z445" i="6"/>
  <c r="Z124" i="6"/>
  <c r="Z123" i="6"/>
  <c r="Z120" i="6"/>
  <c r="Z303" i="6"/>
  <c r="Z75" i="6"/>
  <c r="Z423" i="6"/>
  <c r="Z183" i="6"/>
  <c r="Z14" i="6"/>
  <c r="Z408" i="6"/>
  <c r="Z485" i="6"/>
  <c r="Z222" i="6"/>
  <c r="Z58" i="6"/>
  <c r="Z122" i="6"/>
  <c r="Z164" i="6"/>
  <c r="Z154" i="6"/>
  <c r="Z348" i="6"/>
  <c r="Z260" i="6"/>
  <c r="Z38" i="6"/>
  <c r="Z115" i="6"/>
  <c r="Z270" i="6"/>
  <c r="Z395" i="6"/>
  <c r="Z217" i="6"/>
  <c r="Z113" i="6"/>
  <c r="Z332" i="6"/>
  <c r="Z330" i="6"/>
  <c r="Z299" i="6"/>
  <c r="Z177" i="6"/>
  <c r="Z176" i="6"/>
  <c r="Z428" i="6"/>
  <c r="Z107" i="6"/>
  <c r="Z106" i="6"/>
  <c r="Z103" i="6"/>
  <c r="Z273" i="6"/>
  <c r="Z16" i="6"/>
  <c r="Z235" i="6"/>
  <c r="Z424" i="6"/>
  <c r="Z167" i="6"/>
  <c r="Z464" i="6"/>
  <c r="Z383" i="6"/>
  <c r="Z384" i="6"/>
  <c r="Z385" i="6"/>
  <c r="Z232" i="6"/>
  <c r="Z463" i="6"/>
  <c r="Z200" i="6"/>
  <c r="Z289" i="6"/>
  <c r="Z67" i="6"/>
  <c r="Z246" i="6"/>
  <c r="Z245" i="6"/>
  <c r="Z484" i="6"/>
  <c r="Z418" i="6"/>
  <c r="Z66" i="6"/>
  <c r="Z344" i="6"/>
  <c r="Z219" i="6"/>
  <c r="Z471" i="6"/>
  <c r="Z149" i="6"/>
  <c r="Z68" i="6"/>
  <c r="Z79" i="6"/>
  <c r="Z429" i="6"/>
  <c r="Z91" i="6"/>
  <c r="Z448" i="6"/>
  <c r="Z10" i="6"/>
  <c r="Z305" i="6"/>
  <c r="Z240" i="6"/>
  <c r="Z409" i="6"/>
  <c r="Z182" i="6"/>
  <c r="Z334" i="6"/>
  <c r="Z46" i="6"/>
  <c r="Z229" i="6"/>
  <c r="Z228" i="6"/>
  <c r="Z465" i="6"/>
  <c r="Z142" i="6"/>
  <c r="Z141" i="6"/>
  <c r="Z297" i="6"/>
  <c r="Z60" i="6"/>
  <c r="Z59" i="6"/>
  <c r="Z55" i="6"/>
  <c r="Z256" i="6"/>
  <c r="Z396" i="6"/>
  <c r="Z203" i="6"/>
  <c r="Z454" i="6"/>
  <c r="Z133" i="6"/>
  <c r="Z57" i="6"/>
  <c r="Z96" i="6"/>
  <c r="Z379" i="6"/>
  <c r="Z469" i="6"/>
  <c r="Z80" i="6"/>
  <c r="Z30" i="6"/>
  <c r="Z201" i="6"/>
  <c r="Z98" i="6"/>
  <c r="Z48" i="6"/>
  <c r="Z166" i="6"/>
  <c r="Z28" i="6"/>
  <c r="Z212" i="6"/>
  <c r="Z447" i="6"/>
  <c r="Z126" i="6"/>
  <c r="Z125" i="6"/>
  <c r="Z337" i="6"/>
  <c r="Z41" i="6"/>
  <c r="Z39" i="6"/>
  <c r="Z36" i="6"/>
  <c r="Z9" i="6"/>
  <c r="Z184" i="6"/>
  <c r="Z438" i="6"/>
  <c r="Z117" i="6"/>
  <c r="Z40" i="6"/>
  <c r="Z345" i="6"/>
  <c r="Z208" i="6"/>
  <c r="Z457" i="6"/>
  <c r="Z312" i="6"/>
  <c r="Z338" i="6"/>
  <c r="Z380" i="6"/>
  <c r="Z359" i="6"/>
  <c r="Z481" i="6"/>
  <c r="Z146" i="6"/>
  <c r="Z310" i="6"/>
  <c r="Z386" i="6"/>
  <c r="Z71" i="6"/>
  <c r="Z460" i="6"/>
  <c r="Z105" i="6"/>
  <c r="Z470" i="6"/>
  <c r="Z148" i="6"/>
  <c r="Z339" i="6"/>
  <c r="Z377" i="6"/>
  <c r="Z196" i="6"/>
  <c r="Z195" i="6"/>
  <c r="Z430" i="6"/>
  <c r="Z110" i="6"/>
  <c r="Z108" i="6"/>
  <c r="Z314" i="6"/>
  <c r="Z22" i="6"/>
  <c r="Z21" i="6"/>
  <c r="Z18" i="6"/>
  <c r="Z236" i="6"/>
  <c r="Z262" i="6"/>
  <c r="Z168" i="6"/>
  <c r="Z394" i="6"/>
  <c r="Z82" i="6"/>
  <c r="Z24" i="6"/>
  <c r="Z358" i="6"/>
  <c r="Z307" i="6"/>
  <c r="Z376" i="6"/>
  <c r="Z403" i="6"/>
  <c r="Z368" i="6"/>
  <c r="Z296" i="6"/>
  <c r="Z131" i="6"/>
  <c r="Z275" i="6"/>
  <c r="Z11" i="6"/>
  <c r="Z215" i="6"/>
  <c r="Z441" i="6"/>
  <c r="Z322" i="6"/>
  <c r="Z367" i="6"/>
  <c r="Z173" i="6"/>
  <c r="Z292" i="6"/>
  <c r="Z213" i="6"/>
  <c r="Z451" i="6"/>
  <c r="Z321" i="6"/>
  <c r="Z223" i="6"/>
  <c r="Z444" i="6"/>
  <c r="Z311" i="6"/>
  <c r="Z401" i="6"/>
  <c r="Z188" i="6"/>
  <c r="Z426" i="6"/>
  <c r="Z20" i="6"/>
  <c r="Z453" i="6"/>
  <c r="Z132" i="6"/>
  <c r="Z317" i="6"/>
  <c r="Z393" i="6"/>
  <c r="Z178" i="6"/>
  <c r="Z78" i="6"/>
  <c r="Z363" i="6"/>
  <c r="Z87" i="6"/>
  <c r="Z69" i="6"/>
  <c r="Z276" i="6"/>
  <c r="Z266" i="6"/>
  <c r="Z360" i="6"/>
  <c r="Z407" i="6"/>
  <c r="Z220" i="6"/>
  <c r="Z472" i="6"/>
  <c r="Z150" i="6"/>
  <c r="Z285" i="6"/>
  <c r="Z64" i="6"/>
  <c r="Z77" i="6"/>
  <c r="AA238" i="6" l="1"/>
  <c r="AA151" i="6"/>
  <c r="AA85" i="6"/>
  <c r="AA290" i="6"/>
  <c r="AA32" i="6"/>
  <c r="AA33" i="6"/>
  <c r="AA34" i="6"/>
  <c r="AA35" i="6"/>
  <c r="AA410" i="6"/>
  <c r="AA171" i="6"/>
  <c r="AA172" i="6"/>
  <c r="AA387" i="6"/>
  <c r="AA388" i="6"/>
  <c r="AA389" i="6"/>
  <c r="AA390" i="6"/>
  <c r="AA158" i="6"/>
  <c r="AA159" i="6"/>
  <c r="AA160" i="6"/>
  <c r="AA161" i="6"/>
  <c r="AA162" i="6"/>
  <c r="AA365" i="6"/>
  <c r="AA456" i="6"/>
  <c r="AA272" i="6"/>
  <c r="AA271" i="6"/>
  <c r="AA74" i="6"/>
  <c r="AA411" i="6"/>
  <c r="AA412" i="6"/>
  <c r="AA413" i="6"/>
  <c r="AA414" i="6"/>
  <c r="AA415" i="6"/>
  <c r="AA416" i="6"/>
  <c r="AA417" i="6"/>
  <c r="AA473" i="6"/>
  <c r="AA474" i="6"/>
  <c r="AA475" i="6"/>
  <c r="AA476" i="6"/>
  <c r="AA477" i="6"/>
  <c r="AA478" i="6"/>
  <c r="AA192" i="6"/>
  <c r="AA52" i="6"/>
  <c r="AA53" i="6"/>
  <c r="AA54" i="6"/>
  <c r="AA491" i="6"/>
  <c r="AA494" i="6"/>
  <c r="AA489" i="6"/>
  <c r="AA495" i="6"/>
  <c r="AA496" i="6"/>
  <c r="AA492" i="6"/>
  <c r="AA490" i="6"/>
  <c r="AA493" i="6"/>
  <c r="AA197" i="6"/>
  <c r="AA488" i="6"/>
  <c r="AA487" i="6"/>
  <c r="AA431" i="6"/>
  <c r="AA432" i="6"/>
  <c r="AA433" i="6"/>
  <c r="AA434" i="6"/>
  <c r="AA435" i="6"/>
  <c r="AA331" i="6"/>
  <c r="AA100" i="6"/>
  <c r="AA101" i="6"/>
  <c r="AA99" i="6"/>
  <c r="AA402" i="6"/>
  <c r="AA274" i="6"/>
  <c r="AA369" i="6"/>
  <c r="AA350" i="6"/>
  <c r="AA139" i="6"/>
  <c r="AA55" i="6"/>
  <c r="AA442" i="6"/>
  <c r="AA39" i="6"/>
  <c r="AA386" i="6"/>
  <c r="AA132" i="6"/>
  <c r="AA370" i="6"/>
  <c r="AA299" i="6"/>
  <c r="AA120" i="6"/>
  <c r="AA23" i="6"/>
  <c r="AA334" i="6"/>
  <c r="AA11" i="6"/>
  <c r="AA98" i="6"/>
  <c r="AA110" i="6"/>
  <c r="AA221" i="6"/>
  <c r="AA326" i="6"/>
  <c r="AA141" i="6"/>
  <c r="AA166" i="6"/>
  <c r="AA92" i="6"/>
  <c r="AA282" i="6"/>
  <c r="AA293" i="6"/>
  <c r="AA256" i="6"/>
  <c r="AA314" i="6"/>
  <c r="AA352" i="6"/>
  <c r="AA66" i="6"/>
  <c r="AA318" i="6"/>
  <c r="AA188" i="6"/>
  <c r="AA203" i="6"/>
  <c r="AA155" i="6"/>
  <c r="AA241" i="6"/>
  <c r="AA275" i="6"/>
  <c r="AA294" i="6"/>
  <c r="AA180" i="6"/>
  <c r="AA81" i="6"/>
  <c r="AA108" i="6"/>
  <c r="AA286" i="6"/>
  <c r="AA49" i="6"/>
  <c r="AA89" i="6"/>
  <c r="AA340" i="6"/>
  <c r="AA29" i="6"/>
  <c r="AA468" i="6"/>
  <c r="AA133" i="6"/>
  <c r="AA208" i="6"/>
  <c r="AA105" i="6"/>
  <c r="AA13" i="6"/>
  <c r="AA367" i="6"/>
  <c r="AA131" i="6"/>
  <c r="AA198" i="6"/>
  <c r="AA398" i="6"/>
  <c r="AA378" i="6"/>
  <c r="AA391" i="6"/>
  <c r="AA257" i="6"/>
  <c r="AA153" i="6"/>
  <c r="AA404" i="6"/>
  <c r="AA102" i="6"/>
  <c r="AA149" i="6"/>
  <c r="AA454" i="6"/>
  <c r="AA364" i="6"/>
  <c r="AA150" i="6"/>
  <c r="AA409" i="6"/>
  <c r="AA418" i="6"/>
  <c r="AA121" i="6"/>
  <c r="AA28" i="6"/>
  <c r="AA70" i="6"/>
  <c r="AA366" i="6"/>
  <c r="AA230" i="6"/>
  <c r="AA94" i="6"/>
  <c r="AA184" i="6"/>
  <c r="AA75" i="6"/>
  <c r="AA206" i="6"/>
  <c r="AA276" i="6"/>
  <c r="AA443" i="6"/>
  <c r="AA363" i="6"/>
  <c r="AA186" i="6"/>
  <c r="AA320" i="6"/>
  <c r="AA211" i="6"/>
  <c r="Z5" i="6"/>
  <c r="AA464" i="6"/>
  <c r="AA383" i="6"/>
  <c r="AA384" i="6"/>
  <c r="AA385" i="6"/>
  <c r="AA244" i="6"/>
  <c r="AA335" i="6"/>
  <c r="AA341" i="6"/>
  <c r="AA394" i="6"/>
  <c r="AA313" i="6"/>
  <c r="AA396" i="6"/>
  <c r="AA65" i="6"/>
  <c r="AA64" i="6"/>
  <c r="AA182" i="6"/>
  <c r="AA284" i="6"/>
  <c r="AA353" i="6"/>
  <c r="AA452" i="6"/>
  <c r="AA297" i="6"/>
  <c r="AA163" i="6"/>
  <c r="AA17" i="6"/>
  <c r="AA400" i="6"/>
  <c r="AA223" i="6"/>
  <c r="AA283" i="6"/>
  <c r="AA58" i="6"/>
  <c r="AA220" i="6"/>
  <c r="AA451" i="6"/>
  <c r="AA143" i="6"/>
  <c r="AA467" i="6"/>
  <c r="AA44" i="6"/>
  <c r="AA280" i="6"/>
  <c r="AA375" i="6"/>
  <c r="AA136" i="6"/>
  <c r="AA287" i="6"/>
  <c r="AA336" i="6"/>
  <c r="AA465" i="6"/>
  <c r="AA405" i="6"/>
  <c r="AA38" i="6"/>
  <c r="AA37" i="6"/>
  <c r="AA261" i="6"/>
  <c r="AA315" i="6"/>
  <c r="AA306" i="6"/>
  <c r="AA430" i="6"/>
  <c r="AA362" i="6"/>
  <c r="AA22" i="6"/>
  <c r="AA178" i="6"/>
  <c r="AA30" i="6"/>
  <c r="AA324" i="6"/>
  <c r="AA210" i="6"/>
  <c r="AA239" i="6"/>
  <c r="AA41" i="6"/>
  <c r="AA228" i="6"/>
  <c r="AA246" i="6"/>
  <c r="AA122" i="6"/>
  <c r="AA218" i="6"/>
  <c r="AA259" i="6"/>
  <c r="AA295" i="6"/>
  <c r="AA59" i="6"/>
  <c r="AA190" i="6"/>
  <c r="AA255" i="6"/>
  <c r="AA187" i="6"/>
  <c r="AA374" i="6"/>
  <c r="AA8" i="6"/>
  <c r="AA114" i="6"/>
  <c r="AA154" i="6"/>
  <c r="AA170" i="6"/>
  <c r="AA268" i="6"/>
  <c r="AA441" i="6"/>
  <c r="AA10" i="6"/>
  <c r="AA392" i="6"/>
  <c r="AA377" i="6"/>
  <c r="AA123" i="6"/>
  <c r="AA253" i="6"/>
  <c r="AA359" i="6"/>
  <c r="AA332" i="6"/>
  <c r="AA310" i="6"/>
  <c r="AA80" i="6"/>
  <c r="AA14" i="6"/>
  <c r="AA285" i="6"/>
  <c r="AA173" i="6"/>
  <c r="AA251" i="6"/>
  <c r="AA25" i="6"/>
  <c r="AA250" i="6"/>
  <c r="AA380" i="6"/>
  <c r="AA84" i="6"/>
  <c r="AA225" i="6"/>
  <c r="AA481" i="6"/>
  <c r="AA469" i="6"/>
  <c r="AA142" i="6"/>
  <c r="AA78" i="6"/>
  <c r="AA199" i="6"/>
  <c r="AA279" i="6"/>
  <c r="AA355" i="6"/>
  <c r="AA440" i="6"/>
  <c r="AA486" i="6"/>
  <c r="AA381" i="6"/>
  <c r="AA93" i="6"/>
  <c r="AA234" i="6"/>
  <c r="AA240" i="6"/>
  <c r="AA298" i="6"/>
  <c r="AA429" i="6"/>
  <c r="AA305" i="6"/>
  <c r="AA21" i="6"/>
  <c r="AA226" i="6"/>
  <c r="AA461" i="6"/>
  <c r="AA140" i="6"/>
  <c r="AA346" i="6"/>
  <c r="AA425" i="6"/>
  <c r="AA111" i="6"/>
  <c r="AA129" i="6"/>
  <c r="AA354" i="6"/>
  <c r="AA50" i="6"/>
  <c r="AA361" i="6"/>
  <c r="AA252" i="6"/>
  <c r="AA376" i="6"/>
  <c r="AA462" i="6"/>
  <c r="AA63" i="6"/>
  <c r="AA236" i="6"/>
  <c r="AA360" i="6"/>
  <c r="AA321" i="6"/>
  <c r="AA472" i="6"/>
  <c r="AA204" i="6"/>
  <c r="AA113" i="6"/>
  <c r="AA444" i="6"/>
  <c r="AA179" i="6"/>
  <c r="AA125" i="6"/>
  <c r="AA470" i="6"/>
  <c r="AA137" i="6"/>
  <c r="AA152" i="6"/>
  <c r="AA329" i="6"/>
  <c r="AA277" i="6"/>
  <c r="AA457" i="6"/>
  <c r="AA316" i="6"/>
  <c r="AA232" i="6"/>
  <c r="AA338" i="6"/>
  <c r="AA427" i="6"/>
  <c r="AA60" i="6"/>
  <c r="AA214" i="6"/>
  <c r="AA453" i="6"/>
  <c r="AA130" i="6"/>
  <c r="AA317" i="6"/>
  <c r="AA18" i="6"/>
  <c r="AA12" i="6"/>
  <c r="AA229" i="6"/>
  <c r="AA345" i="6"/>
  <c r="AA450" i="6"/>
  <c r="AA109" i="6"/>
  <c r="AA351" i="6"/>
  <c r="AA67" i="6"/>
  <c r="AA231" i="6"/>
  <c r="AA47" i="6"/>
  <c r="AA342" i="6"/>
  <c r="AA421" i="6"/>
  <c r="AA420" i="6"/>
  <c r="AA176" i="6"/>
  <c r="AA439" i="6"/>
  <c r="AA177" i="6"/>
  <c r="AA449" i="6"/>
  <c r="AA422" i="6"/>
  <c r="AA406" i="6"/>
  <c r="AA407" i="6"/>
  <c r="AA189" i="6"/>
  <c r="AA372" i="6"/>
  <c r="AA395" i="6"/>
  <c r="AA126" i="6"/>
  <c r="AA289" i="6"/>
  <c r="AA428" i="6"/>
  <c r="AA144" i="6"/>
  <c r="AA157" i="6"/>
  <c r="AA9" i="6"/>
  <c r="AA249" i="6"/>
  <c r="AA437" i="6"/>
  <c r="AA138" i="6"/>
  <c r="AA86" i="6"/>
  <c r="AA304" i="6"/>
  <c r="AA77" i="6"/>
  <c r="AA447" i="6"/>
  <c r="AA328" i="6"/>
  <c r="AA196" i="6"/>
  <c r="AA343" i="6"/>
  <c r="AA267" i="6"/>
  <c r="AA202" i="6"/>
  <c r="AA57" i="6"/>
  <c r="AA312" i="6"/>
  <c r="AA16" i="6"/>
  <c r="AA217" i="6"/>
  <c r="AA397" i="6"/>
  <c r="AA183" i="6"/>
  <c r="AA237" i="6"/>
  <c r="AA322" i="6"/>
  <c r="AA446" i="6"/>
  <c r="AB7" i="6"/>
  <c r="AB185" i="6" s="1"/>
  <c r="AA471" i="6"/>
  <c r="AA146" i="6"/>
  <c r="AA235" i="6"/>
  <c r="AA339" i="6"/>
  <c r="AA485" i="6"/>
  <c r="AA91" i="6"/>
  <c r="AA254" i="6"/>
  <c r="AA43" i="6"/>
  <c r="AA483" i="6"/>
  <c r="AA245" i="6"/>
  <c r="AA357" i="6"/>
  <c r="AA296" i="6"/>
  <c r="AA327" i="6"/>
  <c r="AA448" i="6"/>
  <c r="AA72" i="6"/>
  <c r="AA165" i="6"/>
  <c r="AA209" i="6"/>
  <c r="AA309" i="6"/>
  <c r="AA308" i="6"/>
  <c r="AA460" i="6"/>
  <c r="AA382" i="6"/>
  <c r="AA61" i="6"/>
  <c r="AA119" i="6"/>
  <c r="AA258" i="6"/>
  <c r="AA344" i="6"/>
  <c r="AA302" i="6"/>
  <c r="AA174" i="6"/>
  <c r="AA181" i="6"/>
  <c r="AA300" i="6"/>
  <c r="AA27" i="6"/>
  <c r="AA207" i="6"/>
  <c r="AA87" i="6"/>
  <c r="AA68" i="6"/>
  <c r="AA264" i="6"/>
  <c r="AA76" i="6"/>
  <c r="AA401" i="6"/>
  <c r="AA48" i="6"/>
  <c r="AA266" i="6"/>
  <c r="AA419" i="6"/>
  <c r="AA26" i="6"/>
  <c r="AA104" i="6"/>
  <c r="AA269" i="6"/>
  <c r="AA134" i="6"/>
  <c r="AA265" i="6"/>
  <c r="AA90" i="6"/>
  <c r="AA215" i="6"/>
  <c r="AA46" i="6"/>
  <c r="AA200" i="6"/>
  <c r="AA426" i="6"/>
  <c r="AA348" i="6"/>
  <c r="AA42" i="6"/>
  <c r="AA167" i="6"/>
  <c r="AA115" i="6"/>
  <c r="AA325" i="6"/>
  <c r="AA438" i="6"/>
  <c r="AA31" i="6"/>
  <c r="AA88" i="6"/>
  <c r="AA106" i="6"/>
  <c r="AA224" i="6"/>
  <c r="AA319" i="6"/>
  <c r="AA107" i="6"/>
  <c r="AA97" i="6"/>
  <c r="AA278" i="6"/>
  <c r="AA423" i="6"/>
  <c r="AA193" i="6"/>
  <c r="AA333" i="6"/>
  <c r="AA69" i="6"/>
  <c r="AA51" i="6"/>
  <c r="AA194" i="6"/>
  <c r="AA463" i="6"/>
  <c r="AA393" i="6"/>
  <c r="AA482" i="6"/>
  <c r="AA349" i="6"/>
  <c r="AA227" i="6"/>
  <c r="AA301" i="6"/>
  <c r="AA368" i="6"/>
  <c r="AA347" i="6"/>
  <c r="AA56" i="6"/>
  <c r="AA116" i="6"/>
  <c r="AA222" i="6"/>
  <c r="AA281" i="6"/>
  <c r="AA135" i="6"/>
  <c r="AA79" i="6"/>
  <c r="AA273" i="6"/>
  <c r="AA213" i="6"/>
  <c r="AA156" i="6"/>
  <c r="AA337" i="6"/>
  <c r="AA233" i="6"/>
  <c r="AA479" i="6"/>
  <c r="AA291" i="6"/>
  <c r="AA118" i="6"/>
  <c r="AA168" i="6"/>
  <c r="AA292" i="6"/>
  <c r="AA62" i="6"/>
  <c r="AA212" i="6"/>
  <c r="AA169" i="6"/>
  <c r="AA112" i="6"/>
  <c r="AA260" i="6"/>
  <c r="AA247" i="6"/>
  <c r="AA248" i="6"/>
  <c r="AA73" i="6"/>
  <c r="AA379" i="6"/>
  <c r="AA145" i="6"/>
  <c r="AA424" i="6"/>
  <c r="AA403" i="6"/>
  <c r="AA147" i="6"/>
  <c r="AA484" i="6"/>
  <c r="AA373" i="6"/>
  <c r="AA127" i="6"/>
  <c r="AA270" i="6"/>
  <c r="AA15" i="6"/>
  <c r="AA311" i="6"/>
  <c r="AA466" i="6"/>
  <c r="AA408" i="6"/>
  <c r="AA71" i="6"/>
  <c r="AA148" i="6"/>
  <c r="AA201" i="6"/>
  <c r="AA219" i="6"/>
  <c r="AA458" i="6"/>
  <c r="AA371" i="6"/>
  <c r="AA24" i="6"/>
  <c r="AA103" i="6"/>
  <c r="AA195" i="6"/>
  <c r="AA330" i="6"/>
  <c r="AA117" i="6"/>
  <c r="AA205" i="6"/>
  <c r="AA175" i="6"/>
  <c r="AA356" i="6"/>
  <c r="AA36" i="6"/>
  <c r="AA19" i="6"/>
  <c r="AA96" i="6"/>
  <c r="AA164" i="6"/>
  <c r="AA455" i="6"/>
  <c r="AA303" i="6"/>
  <c r="AA307" i="6"/>
  <c r="AA128" i="6"/>
  <c r="AA263" i="6"/>
  <c r="AA445" i="6"/>
  <c r="AA40" i="6"/>
  <c r="AA191" i="6"/>
  <c r="AA243" i="6"/>
  <c r="AA436" i="6"/>
  <c r="AA480" i="6"/>
  <c r="AA399" i="6"/>
  <c r="AA82" i="6"/>
  <c r="AA262" i="6"/>
  <c r="AA216" i="6"/>
  <c r="AA83" i="6"/>
  <c r="AA45" i="6"/>
  <c r="AA323" i="6"/>
  <c r="AA459" i="6"/>
  <c r="AA124" i="6"/>
  <c r="AA358" i="6"/>
  <c r="AA20" i="6"/>
  <c r="AA288" i="6"/>
  <c r="AA242" i="6"/>
  <c r="AA95" i="6"/>
  <c r="AB238" i="6" l="1"/>
  <c r="AB151" i="6"/>
  <c r="AB85" i="6"/>
  <c r="AB290" i="6"/>
  <c r="AB32" i="6"/>
  <c r="AB33" i="6"/>
  <c r="AB34" i="6"/>
  <c r="AB35" i="6"/>
  <c r="AB410" i="6"/>
  <c r="AB171" i="6"/>
  <c r="AB172" i="6"/>
  <c r="AB387" i="6"/>
  <c r="AB390" i="6"/>
  <c r="AB388" i="6"/>
  <c r="AB389" i="6"/>
  <c r="AB158" i="6"/>
  <c r="AB159" i="6"/>
  <c r="AB160" i="6"/>
  <c r="AB161" i="6"/>
  <c r="AB162" i="6"/>
  <c r="AB365" i="6"/>
  <c r="AB456" i="6"/>
  <c r="AB271" i="6"/>
  <c r="AB272" i="6"/>
  <c r="AB74" i="6"/>
  <c r="AB411" i="6"/>
  <c r="AB412" i="6"/>
  <c r="AB413" i="6"/>
  <c r="AB414" i="6"/>
  <c r="AB415" i="6"/>
  <c r="AB416" i="6"/>
  <c r="AB417" i="6"/>
  <c r="AB473" i="6"/>
  <c r="AB474" i="6"/>
  <c r="AB475" i="6"/>
  <c r="AB476" i="6"/>
  <c r="AB477" i="6"/>
  <c r="AB478" i="6"/>
  <c r="AB192" i="6"/>
  <c r="AB52" i="6"/>
  <c r="AB53" i="6"/>
  <c r="AB54" i="6"/>
  <c r="AB491" i="6"/>
  <c r="AB494" i="6"/>
  <c r="AB489" i="6"/>
  <c r="AB495" i="6"/>
  <c r="AB496" i="6"/>
  <c r="AB492" i="6"/>
  <c r="AB490" i="6"/>
  <c r="AB493" i="6"/>
  <c r="AB197" i="6"/>
  <c r="AB488" i="6"/>
  <c r="AB487" i="6"/>
  <c r="AB327" i="6"/>
  <c r="AB434" i="6"/>
  <c r="AB433" i="6"/>
  <c r="AB431" i="6"/>
  <c r="AB432" i="6"/>
  <c r="AB435" i="6"/>
  <c r="AB446" i="6"/>
  <c r="AB331" i="6"/>
  <c r="AB99" i="6"/>
  <c r="AB100" i="6"/>
  <c r="AB101" i="6"/>
  <c r="AB128" i="6"/>
  <c r="AB167" i="6"/>
  <c r="AB369" i="6"/>
  <c r="AB370" i="6"/>
  <c r="AB225" i="6"/>
  <c r="AB170" i="6"/>
  <c r="AB310" i="6"/>
  <c r="AB311" i="6"/>
  <c r="AB321" i="6"/>
  <c r="AB245" i="6"/>
  <c r="AB64" i="6"/>
  <c r="AB430" i="6"/>
  <c r="AB56" i="6"/>
  <c r="AB47" i="6"/>
  <c r="AB72" i="6"/>
  <c r="AB374" i="6"/>
  <c r="AB39" i="6"/>
  <c r="AB31" i="6"/>
  <c r="AB112" i="6"/>
  <c r="AB241" i="6"/>
  <c r="AB134" i="6"/>
  <c r="AB188" i="6"/>
  <c r="AB291" i="6"/>
  <c r="AB274" i="6"/>
  <c r="AB17" i="6"/>
  <c r="AB353" i="6"/>
  <c r="AB224" i="6"/>
  <c r="AB442" i="6"/>
  <c r="AB485" i="6"/>
  <c r="AB359" i="6"/>
  <c r="AB115" i="6"/>
  <c r="AB423" i="6"/>
  <c r="AB130" i="6"/>
  <c r="AB257" i="6"/>
  <c r="AB121" i="6"/>
  <c r="AB287" i="6"/>
  <c r="AB375" i="6"/>
  <c r="AB269" i="6"/>
  <c r="AB87" i="6"/>
  <c r="AB337" i="6"/>
  <c r="AB165" i="6"/>
  <c r="AB69" i="6"/>
  <c r="AB484" i="6"/>
  <c r="AB24" i="6"/>
  <c r="AB427" i="6"/>
  <c r="AB457" i="6"/>
  <c r="AB408" i="6"/>
  <c r="AB358" i="6"/>
  <c r="AB330" i="6"/>
  <c r="AB355" i="6"/>
  <c r="AB444" i="6"/>
  <c r="AB316" i="6"/>
  <c r="AB103" i="6"/>
  <c r="AB441" i="6"/>
  <c r="AB223" i="6"/>
  <c r="AB313" i="6"/>
  <c r="AB173" i="6"/>
  <c r="AB350" i="6"/>
  <c r="AB79" i="6"/>
  <c r="AB110" i="6"/>
  <c r="AB334" i="6"/>
  <c r="AB189" i="6"/>
  <c r="AB62" i="6"/>
  <c r="AB409" i="6"/>
  <c r="AB273" i="6"/>
  <c r="AB253" i="6"/>
  <c r="AB312" i="6"/>
  <c r="AB426" i="6"/>
  <c r="AB157" i="6"/>
  <c r="AB116" i="6"/>
  <c r="AB319" i="6"/>
  <c r="AB396" i="6"/>
  <c r="AB23" i="6"/>
  <c r="AB208" i="6"/>
  <c r="AB138" i="6"/>
  <c r="AB174" i="6"/>
  <c r="AB45" i="6"/>
  <c r="AB246" i="6"/>
  <c r="AB144" i="6"/>
  <c r="AB179" i="6"/>
  <c r="AB132" i="6"/>
  <c r="AB303" i="6"/>
  <c r="AB113" i="6"/>
  <c r="AB364" i="6"/>
  <c r="AB89" i="6"/>
  <c r="AB111" i="6"/>
  <c r="AB107" i="6"/>
  <c r="AB450" i="6"/>
  <c r="AB29" i="6"/>
  <c r="AB106" i="6"/>
  <c r="AB378" i="6"/>
  <c r="AB71" i="6"/>
  <c r="AB425" i="6"/>
  <c r="AB137" i="6"/>
  <c r="AB135" i="6"/>
  <c r="AB392" i="6"/>
  <c r="AB13" i="6"/>
  <c r="AB286" i="6"/>
  <c r="AB344" i="6"/>
  <c r="AB61" i="6"/>
  <c r="AB333" i="6"/>
  <c r="AB356" i="6"/>
  <c r="AB77" i="6"/>
  <c r="AB102" i="6"/>
  <c r="AB196" i="6"/>
  <c r="AB251" i="6"/>
  <c r="AB152" i="6"/>
  <c r="AB219" i="6"/>
  <c r="AB252" i="6"/>
  <c r="AB228" i="6"/>
  <c r="AB44" i="6"/>
  <c r="AB227" i="6"/>
  <c r="AB156" i="6"/>
  <c r="AB318" i="6"/>
  <c r="AB439" i="6"/>
  <c r="AB207" i="6"/>
  <c r="AB11" i="6"/>
  <c r="AB254" i="6"/>
  <c r="AB468" i="6"/>
  <c r="AB340" i="6"/>
  <c r="AB76" i="6"/>
  <c r="AB405" i="6"/>
  <c r="AB78" i="6"/>
  <c r="AB60" i="6"/>
  <c r="AB424" i="6"/>
  <c r="AB360" i="6"/>
  <c r="AB204" i="6"/>
  <c r="AB59" i="6"/>
  <c r="AB49" i="6"/>
  <c r="AB322" i="6"/>
  <c r="AB394" i="6"/>
  <c r="AB28" i="6"/>
  <c r="AB211" i="6"/>
  <c r="AB210" i="6"/>
  <c r="AB302" i="6"/>
  <c r="AB368" i="6"/>
  <c r="AB88" i="6"/>
  <c r="AB460" i="6"/>
  <c r="AB237" i="6"/>
  <c r="AB406" i="6"/>
  <c r="AB80" i="6"/>
  <c r="AB454" i="6"/>
  <c r="AB483" i="6"/>
  <c r="AB235" i="6"/>
  <c r="AB9" i="6"/>
  <c r="AB109" i="6"/>
  <c r="AB55" i="6"/>
  <c r="AB194" i="6"/>
  <c r="AB463" i="6"/>
  <c r="AB480" i="6"/>
  <c r="AB261" i="6"/>
  <c r="AB377" i="6"/>
  <c r="AB305" i="6"/>
  <c r="AB108" i="6"/>
  <c r="AB297" i="6"/>
  <c r="AB67" i="6"/>
  <c r="AB42" i="6"/>
  <c r="AB447" i="6"/>
  <c r="AB193" i="6"/>
  <c r="AB221" i="6"/>
  <c r="AB63" i="6"/>
  <c r="AB129" i="6"/>
  <c r="AB104" i="6"/>
  <c r="AB169" i="6"/>
  <c r="AB164" i="6"/>
  <c r="AB267" i="6"/>
  <c r="AB153" i="6"/>
  <c r="AB21" i="6"/>
  <c r="AB205" i="6"/>
  <c r="AB451" i="6"/>
  <c r="AB46" i="6"/>
  <c r="AB260" i="6"/>
  <c r="AB268" i="6"/>
  <c r="AB12" i="6"/>
  <c r="AB486" i="6"/>
  <c r="AB220" i="6"/>
  <c r="AB379" i="6"/>
  <c r="AB213" i="6"/>
  <c r="AB43" i="6"/>
  <c r="AB428" i="6"/>
  <c r="AB354" i="6"/>
  <c r="AB371" i="6"/>
  <c r="AB92" i="6"/>
  <c r="AB91" i="6"/>
  <c r="AB147" i="6"/>
  <c r="AB348" i="6"/>
  <c r="AB10" i="6"/>
  <c r="AB255" i="6"/>
  <c r="AB122" i="6"/>
  <c r="AB418" i="6"/>
  <c r="AB30" i="6"/>
  <c r="AB349" i="6"/>
  <c r="AB244" i="6"/>
  <c r="AB83" i="6"/>
  <c r="AB285" i="6"/>
  <c r="AB148" i="6"/>
  <c r="AB421" i="6"/>
  <c r="AB18" i="6"/>
  <c r="AB203" i="6"/>
  <c r="AB419" i="6"/>
  <c r="AB27" i="6"/>
  <c r="AB338" i="6"/>
  <c r="AB449" i="6"/>
  <c r="AB367" i="6"/>
  <c r="AB73" i="6"/>
  <c r="AB166" i="6"/>
  <c r="AB266" i="6"/>
  <c r="AB436" i="6"/>
  <c r="AB239" i="6"/>
  <c r="AB86" i="6"/>
  <c r="AB357" i="6"/>
  <c r="AB14" i="6"/>
  <c r="AB296" i="6"/>
  <c r="AB195" i="6"/>
  <c r="AB445" i="6"/>
  <c r="AB376" i="6"/>
  <c r="AB105" i="6"/>
  <c r="AB437" i="6"/>
  <c r="AB341" i="6"/>
  <c r="AB66" i="6"/>
  <c r="AB452" i="6"/>
  <c r="AB323" i="6"/>
  <c r="AB380" i="6"/>
  <c r="AB57" i="6"/>
  <c r="AB139" i="6"/>
  <c r="AB222" i="6"/>
  <c r="AB366" i="6"/>
  <c r="AB395" i="6"/>
  <c r="AB289" i="6"/>
  <c r="AB422" i="6"/>
  <c r="AB391" i="6"/>
  <c r="AB455" i="6"/>
  <c r="AB307" i="6"/>
  <c r="AB467" i="6"/>
  <c r="AB466" i="6"/>
  <c r="AB40" i="6"/>
  <c r="AB258" i="6"/>
  <c r="AB163" i="6"/>
  <c r="AB347" i="6"/>
  <c r="AB206" i="6"/>
  <c r="AB453" i="6"/>
  <c r="AB326" i="6"/>
  <c r="AB400" i="6"/>
  <c r="AB325" i="6"/>
  <c r="AB339" i="6"/>
  <c r="AB36" i="6"/>
  <c r="AB19" i="6"/>
  <c r="AB234" i="6"/>
  <c r="AB250" i="6"/>
  <c r="AB309" i="6"/>
  <c r="AB324" i="6"/>
  <c r="AB479" i="6"/>
  <c r="AB300" i="6"/>
  <c r="AB346" i="6"/>
  <c r="AB20" i="6"/>
  <c r="AB407" i="6"/>
  <c r="AB218" i="6"/>
  <c r="AB233" i="6"/>
  <c r="AB293" i="6"/>
  <c r="AB308" i="6"/>
  <c r="AB38" i="6"/>
  <c r="AB329" i="6"/>
  <c r="AB202" i="6"/>
  <c r="AB276" i="6"/>
  <c r="AB292" i="6"/>
  <c r="AB470" i="6"/>
  <c r="AB186" i="6"/>
  <c r="AB118" i="6"/>
  <c r="AB136" i="6"/>
  <c r="AB93" i="6"/>
  <c r="AB262" i="6"/>
  <c r="AB120" i="6"/>
  <c r="AB75" i="6"/>
  <c r="AB175" i="6"/>
  <c r="AB443" i="6"/>
  <c r="AB209" i="6"/>
  <c r="AB332" i="6"/>
  <c r="AB22" i="6"/>
  <c r="AB131" i="6"/>
  <c r="AB315" i="6"/>
  <c r="AB401" i="6"/>
  <c r="AB183" i="6"/>
  <c r="AB201" i="6"/>
  <c r="AB133" i="6"/>
  <c r="AB275" i="6"/>
  <c r="AB217" i="6"/>
  <c r="AB288" i="6"/>
  <c r="AB458" i="6"/>
  <c r="AB236" i="6"/>
  <c r="AB26" i="6"/>
  <c r="AB351" i="6"/>
  <c r="AB58" i="6"/>
  <c r="AB259" i="6"/>
  <c r="AB372" i="6"/>
  <c r="AB191" i="6"/>
  <c r="AB317" i="6"/>
  <c r="AB361" i="6"/>
  <c r="AB154" i="6"/>
  <c r="AB299" i="6"/>
  <c r="AB298" i="6"/>
  <c r="AB471" i="6"/>
  <c r="AB182" i="6"/>
  <c r="AB200" i="6"/>
  <c r="AB125" i="6"/>
  <c r="AA5" i="6"/>
  <c r="AB352" i="6"/>
  <c r="AB343" i="6"/>
  <c r="AB50" i="6"/>
  <c r="AB306" i="6"/>
  <c r="AB247" i="6"/>
  <c r="AB140" i="6"/>
  <c r="AB279" i="6"/>
  <c r="AB270" i="6"/>
  <c r="AB386" i="6"/>
  <c r="AB117" i="6"/>
  <c r="AB126" i="6"/>
  <c r="AB382" i="6"/>
  <c r="AB230" i="6"/>
  <c r="AB335" i="6"/>
  <c r="AB25" i="6"/>
  <c r="AB243" i="6"/>
  <c r="AB465" i="6"/>
  <c r="AB155" i="6"/>
  <c r="AB301" i="6"/>
  <c r="AB283" i="6"/>
  <c r="AB256" i="6"/>
  <c r="AB282" i="6"/>
  <c r="AB281" i="6"/>
  <c r="AB82" i="6"/>
  <c r="AB181" i="6"/>
  <c r="AB142" i="6"/>
  <c r="AB265" i="6"/>
  <c r="AB381" i="6"/>
  <c r="AB212" i="6"/>
  <c r="AB143" i="6"/>
  <c r="AB481" i="6"/>
  <c r="AB229" i="6"/>
  <c r="AB459" i="6"/>
  <c r="AB214" i="6"/>
  <c r="AB304" i="6"/>
  <c r="AB373" i="6"/>
  <c r="AB226" i="6"/>
  <c r="AB440" i="6"/>
  <c r="AB90" i="6"/>
  <c r="AB284" i="6"/>
  <c r="AB177" i="6"/>
  <c r="AB240" i="6"/>
  <c r="AB264" i="6"/>
  <c r="AB263" i="6"/>
  <c r="AB482" i="6"/>
  <c r="AB397" i="6"/>
  <c r="AB81" i="6"/>
  <c r="AB98" i="6"/>
  <c r="AB464" i="6"/>
  <c r="AB383" i="6"/>
  <c r="AB384" i="6"/>
  <c r="AB385" i="6"/>
  <c r="AB187" i="6"/>
  <c r="AB342" i="6"/>
  <c r="AB65" i="6"/>
  <c r="AB294" i="6"/>
  <c r="AB15" i="6"/>
  <c r="AB150" i="6"/>
  <c r="AB248" i="6"/>
  <c r="AB96" i="6"/>
  <c r="AB48" i="6"/>
  <c r="AB277" i="6"/>
  <c r="AB399" i="6"/>
  <c r="AB176" i="6"/>
  <c r="AB462" i="6"/>
  <c r="AB231" i="6"/>
  <c r="AB95" i="6"/>
  <c r="AB141" i="6"/>
  <c r="AB404" i="6"/>
  <c r="AB119" i="6"/>
  <c r="AB398" i="6"/>
  <c r="AB215" i="6"/>
  <c r="AB94" i="6"/>
  <c r="AB70" i="6"/>
  <c r="AB123" i="6"/>
  <c r="AB345" i="6"/>
  <c r="AB68" i="6"/>
  <c r="AB295" i="6"/>
  <c r="AB16" i="6"/>
  <c r="AB393" i="6"/>
  <c r="AB249" i="6"/>
  <c r="AB199" i="6"/>
  <c r="AB37" i="6"/>
  <c r="AB328" i="6"/>
  <c r="AB51" i="6"/>
  <c r="AB278" i="6"/>
  <c r="AB403" i="6"/>
  <c r="AB232" i="6"/>
  <c r="AB448" i="6"/>
  <c r="AB180" i="6"/>
  <c r="AB190" i="6"/>
  <c r="AB363" i="6"/>
  <c r="AB145" i="6"/>
  <c r="AB114" i="6"/>
  <c r="AB84" i="6"/>
  <c r="AB280" i="6"/>
  <c r="AB469" i="6"/>
  <c r="AB336" i="6"/>
  <c r="AB184" i="6"/>
  <c r="AB429" i="6"/>
  <c r="AB178" i="6"/>
  <c r="AB472" i="6"/>
  <c r="AB198" i="6"/>
  <c r="AB320" i="6"/>
  <c r="AB41" i="6"/>
  <c r="AB124" i="6"/>
  <c r="AB362" i="6"/>
  <c r="AB242" i="6"/>
  <c r="AB438" i="6"/>
  <c r="AB146" i="6"/>
  <c r="AB461" i="6"/>
  <c r="AB420" i="6"/>
  <c r="AB168" i="6"/>
  <c r="AB314" i="6"/>
  <c r="AB149" i="6"/>
  <c r="AB8" i="6"/>
  <c r="AB127" i="6"/>
  <c r="AB402" i="6"/>
  <c r="AB216" i="6"/>
  <c r="AB97" i="6"/>
  <c r="AB5" i="6" l="1"/>
</calcChain>
</file>

<file path=xl/sharedStrings.xml><?xml version="1.0" encoding="utf-8"?>
<sst xmlns="http://schemas.openxmlformats.org/spreadsheetml/2006/main" count="4758" uniqueCount="2084">
  <si>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</si>
  <si>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</si>
  <si>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</si>
  <si>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</si>
  <si>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</si>
  <si>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</si>
  <si>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</si>
  <si>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</si>
  <si>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</si>
  <si>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</si>
  <si>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</si>
  <si>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</si>
  <si>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</si>
  <si>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</si>
  <si>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</si>
  <si>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</si>
  <si>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</si>
  <si>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</si>
  <si>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</si>
  <si>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</si>
  <si>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</si>
  <si>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</si>
  <si>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</si>
  <si>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</si>
  <si>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</si>
  <si>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</si>
  <si>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</si>
  <si>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</si>
  <si>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</si>
  <si>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</si>
  <si>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</si>
  <si>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</si>
  <si>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</si>
  <si>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</si>
  <si>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</si>
  <si>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</si>
  <si>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</si>
  <si>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</si>
  <si>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</si>
  <si>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</si>
  <si>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</si>
  <si>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</si>
  <si>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</si>
  <si>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</si>
  <si>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</si>
  <si>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</si>
  <si>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</si>
  <si>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</si>
  <si>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</si>
  <si>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</si>
  <si>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</si>
  <si>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</si>
  <si>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</si>
  <si>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</si>
  <si>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</si>
  <si>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</si>
  <si>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</si>
  <si>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</si>
  <si>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</si>
  <si>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</si>
  <si>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</si>
  <si>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</si>
  <si>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</si>
  <si>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</si>
  <si>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</si>
  <si>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</si>
  <si>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</si>
  <si>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</si>
  <si>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</si>
  <si>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</si>
  <si>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</si>
  <si>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</si>
  <si>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</si>
  <si>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</si>
  <si>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</si>
  <si>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</si>
  <si>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</si>
  <si>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</si>
  <si>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</si>
  <si>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</si>
  <si>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</si>
  <si>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</si>
  <si>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</si>
  <si>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</si>
  <si>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</si>
  <si>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</si>
  <si>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</si>
  <si>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</si>
  <si>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</si>
  <si>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</si>
  <si>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</si>
  <si>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</si>
  <si>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</si>
  <si>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</si>
  <si>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</si>
  <si>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</si>
  <si>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</si>
  <si>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</si>
  <si>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</si>
  <si>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</si>
  <si>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</si>
  <si>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</si>
  <si>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</si>
  <si>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</si>
  <si>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</si>
  <si>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</si>
  <si>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</si>
  <si>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</si>
  <si>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</si>
  <si>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</si>
  <si>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</si>
  <si>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</si>
  <si>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</si>
  <si>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</si>
  <si>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</si>
  <si>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</si>
  <si>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</si>
  <si>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</si>
  <si>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</si>
  <si>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</si>
  <si>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</si>
  <si>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</si>
  <si>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</si>
  <si>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</si>
  <si>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</si>
  <si>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</si>
  <si>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</si>
  <si>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</si>
  <si>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</si>
  <si>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</si>
  <si>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</si>
  <si>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</si>
  <si>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</si>
  <si>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</si>
  <si>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</si>
  <si>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</si>
  <si>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</si>
  <si>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</si>
  <si>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</si>
  <si>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</si>
  <si>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</si>
  <si>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</si>
  <si>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</si>
  <si>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</si>
  <si>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</si>
  <si>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</si>
  <si>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</si>
  <si>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</si>
  <si>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</si>
  <si>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</si>
  <si>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</si>
  <si>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</si>
  <si>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</si>
  <si>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</si>
  <si>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</si>
  <si>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</si>
  <si>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</si>
  <si>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</si>
  <si>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</si>
  <si>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</si>
  <si>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</si>
  <si>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</si>
  <si>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</si>
  <si>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</si>
  <si>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</si>
  <si>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</si>
  <si>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</si>
  <si>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</si>
  <si>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</si>
  <si>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</si>
  <si>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</si>
  <si>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</si>
  <si>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</si>
  <si>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</si>
  <si>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</si>
  <si>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</si>
  <si>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</si>
  <si>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</si>
  <si>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</si>
  <si>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</si>
  <si>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</si>
  <si>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</si>
  <si>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</si>
  <si>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</si>
  <si>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</si>
  <si>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</si>
  <si>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</si>
  <si>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</si>
  <si>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</si>
  <si>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</si>
  <si>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</si>
  <si>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</si>
  <si>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</si>
  <si>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</si>
  <si>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</si>
  <si>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</si>
  <si>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</si>
  <si>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</si>
  <si>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</si>
  <si>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</si>
  <si>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</si>
  <si>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</si>
  <si>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</si>
  <si>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</si>
  <si>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</si>
  <si>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</si>
  <si>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</si>
  <si>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</si>
  <si>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</si>
  <si>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</si>
  <si>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</si>
  <si>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</si>
  <si>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</si>
  <si>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</si>
  <si>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</si>
  <si>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</si>
  <si>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</si>
  <si>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</si>
  <si>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</si>
  <si>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</si>
  <si>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</si>
  <si>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</si>
  <si>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</si>
  <si>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</si>
  <si>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</si>
  <si>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</si>
  <si>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</si>
  <si>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</si>
  <si>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</si>
  <si>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</si>
  <si>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</si>
  <si>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</si>
  <si>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</si>
  <si>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</si>
  <si>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</si>
  <si>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</si>
  <si>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</si>
  <si>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</si>
  <si>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</si>
  <si>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</si>
  <si>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</si>
  <si>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</si>
  <si>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</si>
  <si>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</si>
  <si>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</si>
  <si>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</si>
  <si>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</si>
  <si>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</si>
  <si>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</si>
  <si>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</si>
  <si>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</si>
  <si>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</si>
  <si>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</si>
  <si>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</si>
  <si>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</si>
  <si>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</si>
  <si>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</si>
  <si>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</si>
  <si>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</si>
  <si>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</si>
  <si>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</si>
  <si>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</si>
  <si>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</si>
  <si>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</si>
  <si>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</si>
  <si>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</si>
  <si>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</si>
  <si>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</si>
  <si>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</si>
  <si>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</si>
  <si>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</si>
  <si>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</si>
  <si>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</si>
  <si>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</si>
  <si>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</si>
  <si>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</si>
  <si>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</si>
  <si>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</si>
  <si>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</si>
  <si>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</si>
  <si>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</si>
  <si>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</si>
  <si>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</si>
  <si>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</si>
  <si>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</si>
  <si>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</si>
  <si>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</si>
  <si>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</si>
  <si>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</si>
  <si>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</si>
  <si>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</si>
  <si>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</si>
  <si>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</si>
  <si>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</si>
  <si>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</si>
  <si>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</si>
  <si>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</si>
  <si>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</si>
  <si>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</si>
  <si>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</si>
  <si>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</si>
  <si>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</si>
  <si>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</si>
  <si>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</si>
  <si>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</si>
  <si>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</si>
  <si>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</si>
  <si>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</si>
  <si>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</si>
  <si>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</si>
  <si>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</si>
  <si>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</si>
  <si>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</si>
  <si>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</si>
  <si>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</si>
  <si>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</si>
  <si>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</si>
  <si>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</si>
  <si>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</si>
  <si>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</si>
  <si>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</si>
  <si>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</si>
  <si>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</si>
  <si>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</si>
  <si>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</si>
  <si>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</si>
  <si>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</si>
  <si>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</si>
  <si>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</si>
  <si>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</si>
  <si>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</si>
  <si>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</si>
  <si>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</si>
  <si>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</si>
  <si>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</si>
  <si>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</si>
  <si>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</si>
  <si>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</si>
  <si>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</si>
  <si>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</si>
  <si>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</si>
  <si>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</si>
  <si>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</si>
  <si>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</si>
  <si>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</si>
  <si>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</si>
  <si>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</si>
  <si>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</si>
  <si>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</si>
  <si>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</si>
  <si>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</si>
  <si>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</si>
  <si>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</si>
  <si>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</si>
  <si>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</si>
  <si>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</si>
  <si>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</si>
  <si>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</si>
  <si>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</si>
  <si>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</si>
  <si>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</si>
  <si>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</si>
  <si>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</si>
  <si>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</si>
  <si>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</si>
  <si>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</si>
  <si>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</si>
  <si>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</si>
  <si>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</si>
  <si>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</si>
  <si>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</si>
  <si>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</si>
  <si>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</si>
  <si>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</si>
  <si>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</si>
  <si>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</si>
  <si>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</si>
  <si>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</si>
  <si>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</si>
  <si>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</si>
  <si>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</si>
  <si>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</si>
  <si>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</si>
  <si>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</si>
  <si>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</si>
  <si>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</si>
  <si>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</si>
  <si>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</si>
  <si>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</si>
  <si>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</si>
  <si>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</si>
  <si>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</si>
  <si>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</si>
  <si>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</si>
  <si>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</si>
  <si>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</si>
  <si>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</si>
  <si>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</si>
  <si>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</si>
  <si>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</si>
  <si>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</si>
  <si>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</si>
  <si>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</si>
  <si>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</si>
  <si>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</si>
  <si>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</si>
  <si>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</si>
  <si>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</si>
  <si>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</si>
  <si>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</si>
  <si>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</si>
  <si>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</si>
  <si>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</si>
  <si>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</si>
  <si>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</si>
  <si>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</si>
  <si>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</si>
  <si>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</si>
  <si>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</si>
  <si>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</si>
  <si>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</si>
  <si>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</si>
  <si>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</si>
  <si>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</si>
  <si>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</si>
  <si>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</si>
  <si>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</si>
  <si>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</si>
  <si>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</si>
  <si>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</si>
  <si>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</si>
  <si>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</si>
  <si>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</si>
  <si>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</si>
  <si>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</si>
  <si>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</si>
  <si>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</si>
  <si>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</si>
  <si>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</si>
  <si>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</si>
  <si>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</si>
  <si>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</si>
  <si>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</si>
  <si>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</si>
  <si>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</si>
  <si>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</si>
  <si>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</si>
  <si>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</si>
  <si>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</si>
  <si>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</si>
  <si>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</si>
  <si>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</si>
  <si>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</si>
  <si>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</si>
  <si>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</si>
  <si>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</si>
  <si>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</si>
  <si>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</si>
  <si>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</si>
  <si>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</si>
  <si>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</si>
  <si>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</si>
  <si>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</si>
  <si>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</si>
  <si>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</si>
  <si>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</si>
  <si>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</si>
  <si>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</si>
  <si>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</si>
  <si>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</si>
  <si>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</si>
  <si>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</si>
  <si>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</si>
  <si>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</si>
  <si>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</si>
  <si>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</si>
  <si>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</si>
  <si>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</si>
  <si>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</si>
  <si>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</si>
  <si>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</si>
  <si>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</si>
  <si>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</si>
  <si>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</si>
  <si>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</si>
  <si>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</si>
  <si>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</si>
  <si>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</si>
  <si>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</si>
  <si>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</si>
  <si>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</si>
  <si>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</si>
  <si>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</si>
  <si>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</si>
  <si>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</si>
  <si>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</si>
  <si>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</si>
  <si>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</si>
  <si>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06/68136310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</si>
  <si>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</si>
  <si>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</si>
  <si>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</si>
  <si>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</si>
  <si>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</si>
  <si>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</si>
  <si>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</si>
  <si>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</si>
  <si>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</si>
  <si>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</si>
  <si>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</si>
  <si>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</si>
  <si>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</si>
  <si>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</si>
  <si>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</si>
  <si>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</si>
  <si>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</si>
  <si>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</si>
  <si>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</si>
  <si>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</si>
  <si>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</si>
  <si>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</si>
  <si>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</si>
  <si>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</si>
  <si>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</si>
  <si>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</si>
  <si>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</si>
  <si>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</si>
  <si>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</si>
  <si>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</si>
  <si>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</si>
  <si>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</si>
  <si>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</si>
  <si>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</si>
  <si>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</si>
  <si>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</si>
  <si>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</si>
  <si>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</si>
  <si>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</si>
  <si>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</si>
  <si>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</si>
  <si>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</si>
  <si>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</si>
  <si>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</si>
  <si>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</si>
  <si>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</si>
  <si>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</si>
  <si>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</si>
  <si>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</si>
  <si>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</si>
  <si>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</si>
  <si>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</si>
  <si>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</si>
  <si>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</si>
  <si>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</si>
  <si>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</si>
  <si>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Via Cesare Baronio, 179</t>
  </si>
  <si>
    <t>06/69306952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</si>
  <si>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</si>
  <si>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</si>
  <si>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</si>
  <si>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</si>
  <si>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</si>
  <si>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</si>
  <si>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</si>
  <si>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</si>
  <si>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</si>
  <si>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Misticanza - Osteria della Terra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</si>
  <si>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</si>
  <si>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</si>
  <si>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</si>
  <si>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</si>
  <si>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</si>
  <si>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</si>
  <si>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</si>
  <si>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</si>
  <si>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</si>
  <si>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vegetariana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</si>
  <si>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</si>
  <si>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</si>
  <si>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</si>
  <si>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</si>
  <si>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</si>
  <si>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</si>
  <si>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</si>
  <si>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</si>
  <si>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</si>
  <si>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</si>
  <si>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</si>
  <si>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</si>
  <si>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</si>
  <si>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</si>
  <si>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</si>
  <si>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</si>
  <si>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</si>
  <si>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</si>
  <si>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</si>
  <si>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</si>
  <si>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</si>
  <si>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</si>
  <si>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</si>
  <si>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</si>
  <si>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</si>
  <si>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</si>
  <si>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</si>
  <si>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</si>
  <si>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</si>
  <si>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</si>
  <si>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</si>
  <si>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</si>
  <si>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</si>
  <si>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</si>
  <si>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</si>
  <si>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</si>
  <si>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</si>
  <si>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</si>
  <si>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</si>
  <si>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</si>
  <si>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</si>
  <si>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</si>
  <si>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</si>
  <si>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</si>
  <si>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</si>
  <si>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</si>
  <si>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</si>
  <si>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</si>
  <si>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</si>
  <si>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</si>
  <si>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</si>
  <si>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</si>
  <si>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</si>
  <si>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</si>
  <si>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</si>
  <si>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</si>
  <si>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</si>
  <si>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</si>
  <si>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</si>
  <si>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</si>
  <si>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</si>
  <si>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</si>
  <si>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</si>
  <si>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</si>
  <si>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</si>
  <si>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</si>
  <si>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</si>
  <si>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</si>
  <si>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</si>
  <si>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</si>
  <si>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</si>
  <si>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</si>
  <si>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</si>
  <si>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</si>
  <si>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</si>
  <si>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</si>
  <si>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</si>
  <si>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</si>
  <si>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</si>
  <si>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</si>
  <si>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</si>
  <si>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</si>
  <si>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</si>
  <si>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</si>
  <si>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</si>
  <si>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</si>
  <si>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</si>
  <si>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</si>
  <si>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</si>
  <si>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</si>
  <si>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</si>
  <si>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</si>
  <si>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</si>
  <si>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</si>
  <si>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</si>
  <si>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</si>
  <si>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</si>
  <si>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</si>
  <si>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</si>
  <si>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</si>
  <si>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06/89831448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</si>
  <si>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</si>
  <si>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</si>
  <si>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</si>
  <si>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</si>
  <si>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</si>
  <si>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</si>
  <si>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</si>
  <si>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</si>
  <si>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</si>
  <si>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</si>
  <si>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</si>
  <si>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</si>
  <si>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</si>
  <si>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</si>
  <si>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</si>
  <si>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</si>
  <si>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</si>
  <si>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</si>
  <si>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</si>
  <si>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</si>
  <si>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</si>
  <si>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</si>
  <si>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</si>
  <si>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</si>
  <si>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</si>
  <si>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</si>
  <si>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</si>
  <si>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</si>
  <si>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</si>
  <si>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</si>
  <si>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</si>
  <si>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</si>
  <si>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</si>
  <si>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</si>
  <si>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</si>
  <si>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</si>
  <si>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</si>
  <si>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</si>
  <si>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</si>
  <si>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</si>
  <si>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</si>
  <si>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</si>
  <si>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</si>
  <si>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</si>
  <si>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</si>
  <si>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</si>
  <si>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</si>
  <si>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</si>
  <si>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</si>
  <si>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</si>
  <si>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</si>
  <si>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</si>
  <si>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</si>
  <si>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</si>
  <si>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</si>
  <si>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</si>
  <si>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</si>
  <si>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</si>
  <si>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</si>
  <si>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</si>
  <si>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</si>
  <si>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</si>
  <si>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</si>
  <si>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</si>
  <si>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</si>
  <si>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</si>
  <si>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Santuccio ai Colli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</si>
  <si>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</si>
  <si>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</si>
  <si>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</si>
  <si>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</si>
  <si>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</si>
  <si>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</si>
  <si>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</si>
  <si>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</si>
  <si>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Via Giacomo Matteotti, 29</t>
  </si>
  <si>
    <t>Priverno</t>
  </si>
  <si>
    <t>339/4143148</t>
  </si>
  <si>
    <t>Viale Giuseppe Mazzini, 220</t>
  </si>
  <si>
    <t>331/9610793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</si>
  <si>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</si>
  <si>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</si>
  <si>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</si>
  <si>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</si>
  <si>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</si>
  <si>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</si>
  <si>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</si>
  <si>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</si>
  <si>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</si>
  <si>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</si>
  <si>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</si>
  <si>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</si>
  <si>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</si>
  <si>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</si>
  <si>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</si>
  <si>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</si>
  <si>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</si>
  <si>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</si>
  <si>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</si>
  <si>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</si>
  <si>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</si>
  <si>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</si>
  <si>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</si>
  <si>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</si>
  <si>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</si>
  <si>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</si>
  <si>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</si>
  <si>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</si>
  <si>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</si>
  <si>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</si>
  <si>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</si>
  <si>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</si>
  <si>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</si>
  <si>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</si>
  <si>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</si>
  <si>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</si>
  <si>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</si>
  <si>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</si>
  <si>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</si>
  <si>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</si>
  <si>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</si>
  <si>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</si>
  <si>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</si>
  <si>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</si>
  <si>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</si>
  <si>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</si>
  <si>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</si>
  <si>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</si>
  <si>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</si>
  <si>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</si>
  <si>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</si>
  <si>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</si>
  <si>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</si>
  <si>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</si>
  <si>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</si>
  <si>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</si>
  <si>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</si>
  <si>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</si>
  <si>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</si>
  <si>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</si>
  <si>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</si>
  <si>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</si>
  <si>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</si>
  <si>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</si>
  <si>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</si>
  <si>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</si>
  <si>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</si>
  <si>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</si>
  <si>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</si>
  <si>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</si>
  <si>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</si>
  <si>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</si>
  <si>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</si>
  <si>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</si>
  <si>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</si>
  <si>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</si>
  <si>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</si>
  <si>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</si>
  <si>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</si>
  <si>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</si>
  <si>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</si>
  <si>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</si>
  <si>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</si>
  <si>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</si>
  <si>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</si>
  <si>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</si>
  <si>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</si>
  <si>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</si>
  <si>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</si>
  <si>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</si>
  <si>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</si>
  <si>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</si>
  <si>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</si>
  <si>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</si>
  <si>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</si>
  <si>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</si>
  <si>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</si>
  <si>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</si>
  <si>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</si>
  <si>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</si>
  <si>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</si>
  <si>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</si>
  <si>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</si>
  <si>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</si>
  <si>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</si>
  <si>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</si>
  <si>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</si>
  <si>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</si>
  <si>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</si>
  <si>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</si>
  <si>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</si>
  <si>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</si>
  <si>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</si>
  <si>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</si>
  <si>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</si>
  <si>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</si>
  <si>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</si>
  <si>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</si>
  <si>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</si>
  <si>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</si>
  <si>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</si>
  <si>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</si>
  <si>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</si>
  <si>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Santo Bevitore</t>
  </si>
  <si>
    <t>Via Guglielmo Marconi, 8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</si>
  <si>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</si>
  <si>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</si>
  <si>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</si>
  <si>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</si>
  <si>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</si>
  <si>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</si>
  <si>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</si>
  <si>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</si>
  <si>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</si>
  <si>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</si>
  <si>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</si>
  <si>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</si>
  <si>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</si>
  <si>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</si>
  <si>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</si>
  <si>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</si>
  <si>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</si>
  <si>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</si>
  <si>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</si>
  <si>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</si>
  <si>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</si>
  <si>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</si>
  <si>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</si>
  <si>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</si>
  <si>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</si>
  <si>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</si>
  <si>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</si>
  <si>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</si>
  <si>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</si>
  <si>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</si>
  <si>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</si>
  <si>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</si>
  <si>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</si>
  <si>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</si>
  <si>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</si>
  <si>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</si>
  <si>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</si>
  <si>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</si>
  <si>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</si>
  <si>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</si>
  <si>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</si>
  <si>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</si>
  <si>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</si>
  <si>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</si>
  <si>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</si>
  <si>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</si>
  <si>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</si>
  <si>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</si>
  <si>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</si>
  <si>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D’Ascanio, 26/A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</si>
  <si>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</si>
  <si>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</si>
  <si>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</si>
  <si>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</si>
  <si>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</si>
  <si>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</si>
  <si>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</si>
  <si>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</si>
  <si>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</si>
  <si>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</si>
  <si>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</si>
  <si>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</si>
  <si>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</si>
  <si>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</si>
  <si>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329/2911575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</si>
  <si>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</si>
  <si>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</si>
  <si>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</si>
  <si>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</si>
  <si>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</si>
  <si>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</si>
  <si>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</si>
  <si>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</si>
  <si>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</si>
  <si>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</si>
  <si>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</si>
  <si>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</si>
  <si>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</si>
  <si>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</si>
  <si>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</si>
  <si>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</si>
  <si>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</si>
  <si>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</si>
  <si>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</si>
  <si>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</si>
  <si>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</si>
  <si>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</si>
  <si>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</si>
  <si>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</si>
  <si>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</si>
  <si>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</si>
  <si>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</si>
  <si>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</si>
  <si>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</si>
  <si>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</si>
  <si>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</si>
  <si>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</si>
  <si>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</si>
  <si>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</si>
  <si>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</si>
  <si>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</si>
  <si>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</si>
  <si>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</si>
  <si>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</si>
  <si>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</si>
  <si>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</si>
  <si>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</si>
  <si>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</si>
  <si>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</si>
  <si>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</si>
  <si>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</si>
  <si>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</si>
  <si>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</si>
  <si>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</si>
  <si>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</si>
  <si>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</si>
  <si>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</si>
  <si>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</si>
  <si>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</si>
  <si>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</si>
  <si>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</si>
  <si>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</si>
  <si>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</si>
  <si>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</si>
  <si>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</si>
  <si>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</si>
  <si>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</si>
  <si>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</si>
  <si>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</si>
  <si>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</si>
  <si>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</si>
  <si>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</si>
  <si>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</si>
  <si>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</si>
  <si>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</si>
  <si>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</si>
  <si>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</si>
  <si>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</si>
  <si>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</si>
  <si>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</si>
  <si>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</si>
  <si>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</si>
  <si>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</si>
  <si>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</si>
  <si>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</si>
  <si>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</si>
  <si>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</si>
  <si>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</si>
  <si>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</si>
  <si>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</si>
  <si>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</si>
  <si>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</si>
  <si>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</si>
  <si>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</si>
  <si>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</si>
  <si>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</si>
  <si>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</si>
  <si>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</si>
  <si>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</si>
  <si>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</si>
  <si>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</si>
  <si>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</si>
  <si>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</si>
  <si>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</si>
  <si>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</si>
  <si>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</si>
  <si>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</si>
  <si>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</si>
  <si>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</si>
  <si>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</si>
  <si>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</si>
  <si>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</si>
  <si>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</si>
  <si>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</si>
  <si>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</si>
  <si>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</si>
  <si>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</si>
  <si>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</si>
  <si>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</si>
  <si>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</si>
  <si>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</si>
  <si>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</si>
  <si>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</si>
  <si>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</si>
  <si>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</si>
  <si>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</si>
  <si>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</si>
  <si>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</si>
  <si>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</si>
  <si>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</si>
  <si>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</si>
  <si>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</si>
  <si>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</si>
  <si>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</si>
  <si>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</si>
  <si>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</si>
  <si>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</si>
  <si>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</si>
  <si>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</si>
  <si>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</si>
  <si>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</si>
  <si>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</si>
  <si>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</si>
  <si>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</si>
  <si>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</si>
  <si>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</si>
  <si>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</si>
  <si>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</si>
  <si>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</si>
  <si>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</si>
  <si>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</si>
  <si>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</si>
  <si>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</si>
  <si>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</si>
  <si>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</si>
  <si>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</si>
  <si>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</si>
  <si>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</si>
  <si>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</si>
  <si>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</si>
  <si>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</si>
  <si>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</si>
  <si>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</si>
  <si>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</si>
  <si>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</si>
  <si>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</si>
  <si>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</si>
  <si>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</si>
  <si>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</si>
  <si>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</si>
  <si>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</si>
  <si>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</si>
  <si>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</si>
  <si>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</si>
  <si>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</si>
  <si>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</si>
  <si>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</si>
  <si>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</si>
  <si>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</si>
  <si>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</si>
  <si>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</si>
  <si>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</si>
  <si>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</si>
  <si>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</si>
  <si>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</si>
  <si>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</si>
  <si>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OGGI - Officina Gelato Gusto Italiano</t>
  </si>
  <si>
    <t>Via Tacito, 66</t>
  </si>
  <si>
    <t>06/53099944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</si>
  <si>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</si>
  <si>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</si>
  <si>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</si>
  <si>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</si>
  <si>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</si>
  <si>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</si>
  <si>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</si>
  <si>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</si>
  <si>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</si>
  <si>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</si>
  <si>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</si>
  <si>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</si>
  <si>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</si>
  <si>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</si>
  <si>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</si>
  <si>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</si>
  <si>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</si>
  <si>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</si>
  <si>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</si>
  <si>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</si>
  <si>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</si>
  <si>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</si>
  <si>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</si>
  <si>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</si>
  <si>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</si>
  <si>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</si>
  <si>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</si>
  <si>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</si>
  <si>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</si>
  <si>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</si>
  <si>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</si>
  <si>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</si>
  <si>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</si>
  <si>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</si>
  <si>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</si>
  <si>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</si>
  <si>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</si>
  <si>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</si>
  <si>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</si>
  <si>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</si>
  <si>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</si>
  <si>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</si>
  <si>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</si>
  <si>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</si>
  <si>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</si>
  <si>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</si>
  <si>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</si>
  <si>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Bar Sota</t>
  </si>
  <si>
    <t>hamburgheria / caffetteria</t>
  </si>
  <si>
    <t>06/69221898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</si>
  <si>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</si>
  <si>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</si>
  <si>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</si>
  <si>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</si>
  <si>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</si>
  <si>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</si>
  <si>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</si>
  <si>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</si>
  <si>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</si>
  <si>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</si>
  <si>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</si>
  <si>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</si>
  <si>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</si>
  <si>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</si>
  <si>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</si>
  <si>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</si>
  <si>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</si>
  <si>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</si>
  <si>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</si>
  <si>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</si>
  <si>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</si>
  <si>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</si>
  <si>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</si>
  <si>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</si>
  <si>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</si>
  <si>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</si>
  <si>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</si>
  <si>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</si>
  <si>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</si>
  <si>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</si>
  <si>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</si>
  <si>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</si>
  <si>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</si>
  <si>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</si>
  <si>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</si>
  <si>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</si>
  <si>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</si>
  <si>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</si>
  <si>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</si>
  <si>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</si>
  <si>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</si>
  <si>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</si>
  <si>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</si>
  <si>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</si>
  <si>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</si>
  <si>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</si>
  <si>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</si>
  <si>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</si>
  <si>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</si>
  <si>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</si>
  <si>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</si>
  <si>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</si>
  <si>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</si>
  <si>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</si>
  <si>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</si>
  <si>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</si>
  <si>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</si>
  <si>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</si>
  <si>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</si>
  <si>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</si>
  <si>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</si>
  <si>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</si>
  <si>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</si>
  <si>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</si>
  <si>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</si>
  <si>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</si>
  <si>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</si>
  <si>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</si>
  <si>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</si>
  <si>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</si>
  <si>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</si>
  <si>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</si>
  <si>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</si>
  <si>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</si>
  <si>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</si>
  <si>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</si>
  <si>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</si>
  <si>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Miao Miao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</si>
  <si>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</si>
  <si>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</si>
  <si>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</si>
  <si>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</si>
  <si>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</si>
  <si>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</si>
  <si>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</si>
  <si>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</si>
  <si>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</si>
  <si>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</si>
  <si>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</si>
  <si>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</si>
  <si>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</si>
  <si>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</si>
  <si>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</si>
  <si>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</si>
  <si>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</si>
  <si>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</si>
  <si>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</si>
  <si>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</si>
  <si>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</si>
  <si>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</si>
  <si>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</si>
  <si>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</si>
  <si>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</si>
  <si>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</si>
  <si>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</si>
  <si>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</si>
  <si>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</si>
  <si>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</si>
  <si>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</si>
  <si>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</si>
  <si>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</si>
  <si>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</si>
  <si>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</si>
  <si>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</si>
  <si>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</si>
  <si>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</si>
  <si>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</si>
  <si>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</si>
  <si>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</si>
  <si>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</si>
  <si>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</si>
  <si>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</si>
  <si>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</si>
  <si>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</si>
  <si>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</si>
  <si>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</si>
  <si>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</si>
  <si>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</si>
  <si>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</si>
  <si>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</si>
  <si>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</si>
  <si>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</si>
  <si>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</si>
  <si>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</si>
  <si>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</si>
  <si>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</si>
  <si>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</si>
  <si>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</si>
  <si>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</si>
  <si>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</si>
  <si>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</si>
  <si>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</si>
  <si>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</si>
  <si>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</si>
  <si>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</si>
  <si>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</si>
  <si>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</si>
  <si>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</si>
  <si>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</si>
  <si>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</si>
  <si>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</si>
  <si>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</si>
  <si>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</si>
  <si>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</si>
  <si>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</si>
  <si>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</si>
  <si>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</si>
  <si>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</si>
  <si>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</si>
  <si>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</si>
  <si>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</si>
  <si>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</si>
  <si>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</si>
  <si>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della Frezza, 55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</si>
  <si>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</si>
  <si>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</si>
  <si>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</si>
  <si>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</si>
  <si>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</si>
  <si>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</si>
  <si>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della Stelletta, 4/A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</si>
  <si>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</si>
  <si>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</si>
  <si>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</si>
  <si>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</si>
  <si>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</si>
  <si>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</si>
  <si>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</si>
  <si>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</si>
  <si>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</si>
  <si>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</si>
  <si>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</si>
  <si>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</si>
  <si>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380/6914759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</si>
  <si>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</si>
  <si>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</si>
  <si>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</si>
  <si>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</si>
  <si>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</si>
  <si>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</si>
  <si>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</si>
  <si>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</si>
  <si>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</si>
  <si>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</si>
  <si>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</si>
  <si>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</si>
  <si>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</si>
  <si>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</si>
  <si>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</si>
  <si>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</si>
  <si>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</si>
  <si>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</si>
  <si>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</si>
  <si>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</si>
  <si>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</si>
  <si>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</si>
  <si>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</si>
  <si>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</si>
  <si>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</si>
  <si>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</si>
  <si>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</si>
  <si>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</si>
  <si>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</si>
  <si>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</si>
  <si>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</si>
  <si>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</si>
  <si>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</si>
  <si>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</si>
  <si>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</si>
  <si>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</si>
  <si>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</si>
  <si>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</si>
  <si>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</si>
  <si>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</si>
  <si>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</si>
  <si>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</si>
  <si>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</si>
  <si>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due bun diversi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</si>
  <si>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</si>
  <si>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</si>
  <si>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</si>
  <si>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</si>
  <si>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</si>
  <si>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</si>
  <si>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</si>
  <si>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</si>
  <si>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</si>
  <si>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</si>
  <si>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</si>
  <si>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</si>
  <si>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</si>
  <si>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</si>
  <si>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</si>
  <si>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</si>
  <si>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</si>
  <si>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</si>
  <si>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</si>
  <si>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</si>
  <si>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</si>
  <si>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</si>
  <si>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</si>
  <si>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</si>
  <si>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</si>
  <si>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due tipi di kebab diversi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</si>
  <si>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</si>
  <si>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</si>
  <si>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</si>
  <si>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</si>
  <si>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</si>
  <si>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</si>
  <si>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</si>
  <si>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</si>
  <si>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</si>
  <si>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</si>
  <si>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</si>
  <si>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</si>
  <si>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</si>
  <si>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</si>
  <si>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</si>
  <si>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</si>
  <si>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</si>
  <si>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</si>
  <si>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</si>
  <si>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</si>
  <si>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</si>
  <si>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</si>
  <si>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</si>
  <si>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</si>
  <si>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</si>
  <si>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</si>
  <si>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</si>
  <si>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</si>
  <si>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</si>
  <si>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</si>
  <si>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</si>
  <si>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</si>
  <si>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</si>
  <si>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</si>
  <si>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</si>
  <si>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</si>
  <si>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</si>
  <si>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</si>
  <si>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</si>
  <si>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</si>
  <si>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</si>
  <si>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</si>
  <si>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</si>
  <si>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</si>
  <si>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</si>
  <si>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</si>
  <si>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</si>
  <si>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</si>
  <si>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</si>
  <si>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</si>
  <si>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</si>
  <si>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</si>
  <si>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</si>
  <si>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</si>
  <si>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</si>
  <si>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</si>
  <si>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</si>
  <si>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</si>
  <si>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</si>
  <si>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</si>
  <si>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</si>
  <si>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</si>
  <si>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</si>
  <si>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</si>
  <si>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</si>
  <si>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</si>
  <si>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</si>
  <si>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</si>
  <si>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</si>
  <si>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</si>
  <si>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</si>
  <si>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Vicolo Giorgi, 15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</si>
  <si>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</si>
  <si>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</si>
  <si>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</si>
  <si>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</si>
  <si>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</si>
  <si>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</si>
  <si>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</si>
  <si>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</si>
  <si>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</si>
  <si>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</si>
  <si>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</si>
  <si>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</si>
  <si>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</si>
  <si>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kebab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</si>
  <si>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</si>
  <si>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</si>
  <si>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</si>
  <si>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</si>
  <si>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</si>
  <si>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</si>
  <si>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</si>
  <si>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</si>
  <si>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</si>
  <si>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</si>
  <si>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</si>
  <si>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</si>
  <si>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</si>
  <si>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</si>
  <si>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</si>
  <si>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</si>
  <si>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</si>
  <si>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</si>
  <si>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</si>
  <si>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</si>
  <si>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</si>
  <si>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</si>
  <si>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</si>
  <si>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</si>
  <si>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</si>
  <si>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</si>
  <si>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</si>
  <si>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</si>
  <si>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</si>
  <si>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</si>
  <si>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</si>
  <si>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</si>
  <si>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</si>
  <si>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</si>
  <si>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</si>
  <si>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</si>
  <si>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</si>
  <si>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</si>
  <si>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</si>
  <si>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</si>
  <si>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</si>
  <si>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</si>
  <si>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</si>
  <si>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</si>
  <si>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</si>
  <si>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</si>
  <si>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</si>
  <si>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</si>
  <si>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</si>
  <si>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</si>
  <si>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</si>
  <si>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</si>
  <si>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</si>
  <si>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</si>
  <si>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</si>
  <si>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</si>
  <si>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</si>
  <si>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</si>
  <si>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</si>
  <si>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</si>
  <si>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</si>
  <si>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</si>
  <si>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</si>
  <si>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</si>
  <si>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</si>
  <si>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</si>
  <si>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</si>
  <si>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</si>
  <si>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</si>
  <si>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</si>
  <si>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</si>
  <si>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</si>
  <si>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</si>
  <si>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</si>
  <si>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</si>
  <si>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</si>
  <si>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</si>
  <si>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</si>
  <si>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</si>
  <si>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</si>
  <si>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</si>
  <si>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</si>
  <si>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</si>
  <si>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</si>
  <si>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</si>
  <si>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</si>
  <si>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</si>
  <si>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</si>
  <si>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</si>
  <si>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</si>
  <si>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</si>
  <si>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</si>
  <si>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</si>
  <si>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</si>
  <si>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</si>
  <si>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</si>
  <si>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</si>
  <si>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</si>
  <si>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</si>
  <si>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</si>
  <si>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</si>
  <si>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</si>
  <si>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</si>
  <si>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</si>
  <si>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</si>
  <si>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</si>
  <si>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</si>
  <si>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</si>
  <si>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</si>
  <si>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</si>
  <si>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</si>
  <si>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</si>
  <si>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</si>
  <si>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</si>
  <si>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</si>
  <si>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</si>
  <si>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</si>
  <si>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</si>
  <si>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</si>
  <si>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</si>
  <si>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</si>
  <si>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</si>
  <si>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</si>
  <si>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</si>
  <si>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</si>
  <si>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</si>
  <si>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</si>
  <si>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</si>
  <si>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</si>
  <si>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</si>
  <si>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</si>
  <si>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</si>
  <si>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</si>
  <si>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</si>
  <si>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</si>
  <si>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</si>
  <si>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</si>
  <si>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</si>
  <si>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</si>
  <si>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</si>
  <si>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</si>
  <si>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</si>
  <si>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</si>
  <si>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</si>
  <si>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</si>
  <si>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</si>
  <si>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</si>
  <si>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</si>
  <si>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</si>
  <si>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</si>
  <si>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 xml:space="preserve"> Via Gaio Melisso, 32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</si>
  <si>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</si>
  <si>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</si>
  <si>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</si>
  <si>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</si>
  <si>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</si>
  <si>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</si>
  <si>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</si>
  <si>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</si>
  <si>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</si>
  <si>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</si>
  <si>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</si>
  <si>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</si>
  <si>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</si>
  <si>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</si>
  <si>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</si>
  <si>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</si>
  <si>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</si>
  <si>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</si>
  <si>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</si>
  <si>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</si>
  <si>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</si>
  <si>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</si>
  <si>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</si>
  <si>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</si>
  <si>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</si>
  <si>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</si>
  <si>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</si>
  <si>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</si>
  <si>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</si>
  <si>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</si>
  <si>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</si>
  <si>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</si>
  <si>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</si>
  <si>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</si>
  <si>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</si>
  <si>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</si>
  <si>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</si>
  <si>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</si>
  <si>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</si>
  <si>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</si>
  <si>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</si>
  <si>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</si>
  <si>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</si>
  <si>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</si>
  <si>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</si>
  <si>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</si>
  <si>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</si>
  <si>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</si>
  <si>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</si>
  <si>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</si>
  <si>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</si>
  <si>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</si>
  <si>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</si>
  <si>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</si>
  <si>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</si>
  <si>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</si>
  <si>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</si>
  <si>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</si>
  <si>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</si>
  <si>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</si>
  <si>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Francesca Sebastio</t>
  </si>
  <si>
    <t>bloccato per Giorgio Sorbino</t>
  </si>
  <si>
    <t>bloccato per Giulia Maria Bellucci</t>
  </si>
  <si>
    <t>bloccato per Luca Veglianti</t>
  </si>
  <si>
    <t>bloccato per Marco Silleni</t>
  </si>
  <si>
    <t>bloccato per Valentino Affinita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</si>
  <si>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</si>
  <si>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</si>
  <si>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</si>
  <si>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</si>
  <si>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</si>
  <si>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bloccato per Matteo Damiani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</si>
  <si>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</si>
  <si>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</si>
  <si>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</si>
  <si>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</si>
  <si>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</si>
  <si>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</si>
  <si>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</si>
  <si>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</si>
  <si>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</si>
  <si>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</si>
  <si>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</si>
  <si>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</si>
  <si>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</si>
  <si>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</si>
  <si>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</si>
  <si>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</si>
  <si>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</si>
  <si>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</si>
  <si>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</si>
  <si>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</si>
  <si>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</si>
  <si>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</si>
  <si>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</si>
  <si>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</si>
  <si>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</si>
  <si>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</si>
  <si>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</si>
  <si>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</si>
  <si>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</si>
  <si>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</si>
  <si>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</si>
  <si>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</si>
  <si>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</si>
  <si>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</si>
  <si>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</si>
  <si>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</si>
  <si>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</si>
  <si>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</si>
  <si>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</si>
  <si>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</si>
  <si>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</si>
  <si>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</si>
  <si>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</si>
  <si>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Ie Koji Japanese Izakaya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</si>
  <si>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</si>
  <si>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</si>
  <si>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</si>
  <si>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</si>
  <si>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</si>
  <si>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</si>
  <si>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</si>
  <si>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</si>
  <si>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</si>
  <si>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</si>
  <si>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</si>
  <si>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</si>
  <si>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</si>
  <si>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</si>
  <si>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</si>
  <si>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</si>
  <si>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</si>
  <si>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</si>
  <si>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</si>
  <si>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</si>
  <si>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</si>
  <si>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</si>
  <si>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</si>
  <si>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</si>
  <si>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</si>
  <si>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</si>
  <si>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</si>
  <si>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</si>
  <si>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</si>
  <si>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</si>
  <si>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</si>
  <si>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</si>
  <si>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</si>
  <si>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</si>
  <si>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</si>
  <si>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</si>
  <si>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</si>
  <si>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</si>
  <si>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</si>
  <si>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</si>
  <si>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</si>
  <si>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</si>
  <si>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</si>
  <si>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</si>
  <si>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</si>
  <si>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</si>
  <si>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</si>
  <si>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</si>
  <si>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</si>
  <si>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</si>
  <si>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</si>
  <si>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</si>
  <si>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</si>
  <si>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</si>
  <si>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</si>
  <si>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</si>
  <si>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</si>
  <si>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</si>
  <si>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</si>
  <si>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</si>
  <si>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</si>
  <si>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</si>
  <si>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</si>
  <si>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</si>
  <si>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</si>
  <si>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</si>
  <si>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</si>
  <si>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</si>
  <si>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</si>
  <si>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</si>
  <si>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</si>
  <si>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</si>
  <si>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</si>
  <si>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</si>
  <si>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</si>
  <si>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</si>
  <si>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</si>
  <si>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</si>
  <si>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</si>
  <si>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</si>
  <si>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</si>
  <si>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</si>
  <si>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</si>
  <si>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delle Provincie, 30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</si>
  <si>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</si>
  <si>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</si>
  <si>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</si>
  <si>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</si>
  <si>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</si>
  <si>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</si>
  <si>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</si>
  <si>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</si>
  <si>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</si>
  <si>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</si>
  <si>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</si>
  <si>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</si>
  <si>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</si>
  <si>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</si>
  <si>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</si>
  <si>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</si>
  <si>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</si>
  <si>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</si>
  <si>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</si>
  <si>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</si>
  <si>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</si>
  <si>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</si>
  <si>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</si>
  <si>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</si>
  <si>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</si>
  <si>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</si>
  <si>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</si>
  <si>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</si>
  <si>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</si>
  <si>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</si>
  <si>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</si>
  <si>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</si>
  <si>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</si>
  <si>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</si>
  <si>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</si>
  <si>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</si>
  <si>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</si>
  <si>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</si>
  <si>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</si>
  <si>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</si>
  <si>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</si>
  <si>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</si>
  <si>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</si>
  <si>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</si>
  <si>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</si>
  <si>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</si>
  <si>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</si>
  <si>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</si>
  <si>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</si>
  <si>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</si>
  <si>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</si>
  <si>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</si>
  <si>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</si>
  <si>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</si>
  <si>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</si>
  <si>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</si>
  <si>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</si>
  <si>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</si>
  <si>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</si>
  <si>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</si>
  <si>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</si>
  <si>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</si>
  <si>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</si>
  <si>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</si>
  <si>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</si>
  <si>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</si>
  <si>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</si>
  <si>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</si>
  <si>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</si>
  <si>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</si>
  <si>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Matteo Damiani</t>
  </si>
  <si>
    <t>Parco delle Querce</t>
  </si>
  <si>
    <t>Orsola</t>
  </si>
  <si>
    <t>Il Filo Rosso di Coralli</t>
  </si>
  <si>
    <t>Leon d'Oro</t>
  </si>
  <si>
    <t>La Bottega dell'Artista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</si>
  <si>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</si>
  <si>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</si>
  <si>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</si>
  <si>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</si>
  <si>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</si>
  <si>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</si>
  <si>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</si>
  <si>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</si>
  <si>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</si>
  <si>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</si>
  <si>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</si>
  <si>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</si>
  <si>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</si>
  <si>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</si>
  <si>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</si>
  <si>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</si>
  <si>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</si>
  <si>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</si>
  <si>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</si>
  <si>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</si>
  <si>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</si>
  <si>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</si>
  <si>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</si>
  <si>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</si>
  <si>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</si>
  <si>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</si>
  <si>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</si>
  <si>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340/2589224</t>
  </si>
  <si>
    <t>Castelforte</t>
  </si>
  <si>
    <t>Via Alfredo Fusco, 96</t>
  </si>
  <si>
    <t>41.2996898977659, 13.823234188670561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</si>
  <si>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</si>
  <si>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</si>
  <si>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</si>
  <si>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</si>
  <si>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</si>
  <si>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</si>
  <si>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</si>
  <si>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</si>
  <si>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</si>
  <si>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</si>
  <si>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</si>
  <si>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Via Corinto, 66</t>
  </si>
  <si>
    <t>06/83405656</t>
  </si>
  <si>
    <t>Da Zacca ar 20</t>
  </si>
  <si>
    <t>Via Domenico Millelire, 20</t>
  </si>
  <si>
    <t>345/5017051</t>
  </si>
  <si>
    <t>41.90530306820849, 12.44651286331835</t>
  </si>
  <si>
    <t>Cipro</t>
  </si>
  <si>
    <t>Gordito</t>
  </si>
  <si>
    <t>Via Francesco Coletti, 21</t>
  </si>
  <si>
    <t>Vigna Clara</t>
  </si>
  <si>
    <t>366/5038646</t>
  </si>
  <si>
    <t>41.94641094326607, 12.465099700815312</t>
  </si>
  <si>
    <t>Pizzeria Der Biondo</t>
  </si>
  <si>
    <t>Via Tuscolana, 1472</t>
  </si>
  <si>
    <t>393/1161874</t>
  </si>
  <si>
    <t>Via Tornimparte, 3A</t>
  </si>
  <si>
    <t>Castelverde</t>
  </si>
  <si>
    <t>340/2752791</t>
  </si>
  <si>
    <t>41.819274095380585, 12.647856071662343</t>
  </si>
  <si>
    <t>Scambio Cucina Condivisa</t>
  </si>
  <si>
    <t>Via Federico Cesi, 22</t>
  </si>
  <si>
    <t>06/95008310</t>
  </si>
  <si>
    <t>41.90631739386229, 12.47060841676495</t>
  </si>
  <si>
    <t>Crema Alta Gelateria</t>
  </si>
  <si>
    <t>Via Leone IV, 62a</t>
  </si>
  <si>
    <t>Via Giulia, 18</t>
  </si>
  <si>
    <t>06/68805851</t>
  </si>
  <si>
    <t>06/42917005</t>
  </si>
  <si>
    <t>41.89563754119089, 12.468609293963063</t>
  </si>
  <si>
    <t>41.90996742029194, 12.454795365832444</t>
  </si>
  <si>
    <t>Largo Trionfale</t>
  </si>
  <si>
    <t>Via degli Stradivari, 25</t>
  </si>
  <si>
    <t>06/69310694</t>
  </si>
  <si>
    <t>Via Gallia, 83</t>
  </si>
  <si>
    <t>Ruvido</t>
  </si>
  <si>
    <t>Via Apulia, 11</t>
  </si>
  <si>
    <t>06/97619059</t>
  </si>
  <si>
    <t>41.88173174194172, 12.504400880125283</t>
  </si>
  <si>
    <t>due piatti principali + calice di vino</t>
  </si>
  <si>
    <t>Labhalo</t>
  </si>
  <si>
    <t>Via Giuseppe Candiani, 69</t>
  </si>
  <si>
    <t>Tor Tre Teste</t>
  </si>
  <si>
    <t>327/4576545</t>
  </si>
  <si>
    <t>fast fusion food</t>
  </si>
  <si>
    <t>41.891703213366675, 12.584924888955737</t>
  </si>
  <si>
    <t>1 snack (no nachos, no plant), 1 bao o 1 taco, 1 ciotola piccola con proteine</t>
  </si>
  <si>
    <t>41.861343527588865, 12.18767684194969</t>
  </si>
  <si>
    <t>Osteria Pontina</t>
  </si>
  <si>
    <t>Via Anime Sante, 31</t>
  </si>
  <si>
    <t>338/2477534</t>
  </si>
  <si>
    <t>41.55425946313123, 12.962091128660296</t>
  </si>
  <si>
    <t>Vetro</t>
  </si>
  <si>
    <t>snack bar</t>
  </si>
  <si>
    <t>Viale Carso, 17</t>
  </si>
  <si>
    <t>06/69317804</t>
  </si>
  <si>
    <t>41.919368054530466, 12.45991023163961</t>
  </si>
  <si>
    <t>Piazzale Clodio</t>
  </si>
  <si>
    <t>41.90607809405537, 12.53551711972588</t>
  </si>
  <si>
    <t>41.934777415596464, 12.420204632620242</t>
  </si>
  <si>
    <t>Clove</t>
  </si>
  <si>
    <t>Via dei Gracchi, 229</t>
  </si>
  <si>
    <t>06/35291876</t>
  </si>
  <si>
    <t>1 menù pranzo oppure due spicchi salati e un fritto</t>
  </si>
  <si>
    <t>Sbracio</t>
  </si>
  <si>
    <t>Via Enrico Fermi, 142</t>
  </si>
  <si>
    <t>06/45544466</t>
  </si>
  <si>
    <t>41.864863982721744, 12.473675090627594</t>
  </si>
  <si>
    <t>Alicina</t>
  </si>
  <si>
    <t>Via Riano, 15 - Mercato Rionale Ponte Milvio, box 8-9-10</t>
  </si>
  <si>
    <t>335/7743957</t>
  </si>
  <si>
    <t>41.93843330293366, 12.469444484857682</t>
  </si>
  <si>
    <t>Piazza dei Quiriti, 19/20</t>
  </si>
  <si>
    <t>06/31076456</t>
  </si>
  <si>
    <t>Aqualunae</t>
  </si>
  <si>
    <t>Caffè Colombo</t>
  </si>
  <si>
    <t>Via Bartolomeo Cavaceppi, 103/111</t>
  </si>
  <si>
    <t>1 caffè, 1 cappuccino, 2 lieviti (1 tradizionale, 1 vegano)</t>
  </si>
  <si>
    <t>06/59879544</t>
  </si>
  <si>
    <t>41.79699881917897, 12.430385400824383</t>
  </si>
  <si>
    <t>Parseh</t>
  </si>
  <si>
    <t>persiana</t>
  </si>
  <si>
    <t>Via Isidoro di Carace, 6</t>
  </si>
  <si>
    <t>351/7745120</t>
  </si>
  <si>
    <t>3 piatti salati, 1 dolce</t>
  </si>
  <si>
    <t>caffèa specialty / brunch</t>
  </si>
  <si>
    <t>Origini Cibo e Vino</t>
  </si>
  <si>
    <t>Via della Pila, 14</t>
  </si>
  <si>
    <t>328/2466250</t>
  </si>
  <si>
    <t>41.922880689590514, 13.09081426816814</t>
  </si>
  <si>
    <t>Rimessa F.A.B.</t>
  </si>
  <si>
    <t>Via delle Zoccolette, 28</t>
  </si>
  <si>
    <t>06/95550234</t>
  </si>
  <si>
    <t>41.89282296914112, 12.472263712577922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</si>
</sst>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70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10" fillId="6" borderId="0" xfId="9" applyFont="1" applyFill="1" applyAlignment="1">
      <alignment horizontal="center" wrapText="1"/>
    </xf>
    <xf numFmtId="0" fontId="10" fillId="6" borderId="0" xfId="9" applyFont="1" applyFill="1" applyAlignment="1">
      <alignment wrapText="1"/>
    </xf>
    <xf numFmtId="0" fontId="3" fillId="6" borderId="0" xfId="8" applyFont="1" applyFill="1" applyAlignment="1">
      <alignment horizontal="center" vertical="center" wrapText="1"/>
    </xf>
    <xf numFmtId="0" fontId="8" fillId="6" borderId="0" xfId="9" applyFont="1" applyFill="1" applyAlignment="1">
      <alignment horizontal="left" wrapText="1"/>
    </xf>
    <xf numFmtId="0" fontId="3" fillId="6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8" fillId="6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6" borderId="0" xfId="9" applyFont="1" applyFill="1" applyAlignment="1">
      <alignment horizontal="center" wrapText="1"/>
    </xf>
    <xf numFmtId="0" fontId="8" fillId="5" borderId="0" xfId="9" applyFont="1" applyFill="1" applyAlignment="1">
      <alignment horizontal="center" wrapText="1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796"/>
  <sheetViews>
    <sheetView tabSelected="1" zoomScaleNormal="100" workbookViewId="0">
      <pane ySplit="7" topLeftCell="A261" activePane="bottomLeft" state="frozen"/>
      <selection pane="bottomLeft" activeCell="D262" sqref="D262"/>
    </sheetView>
  </sheetViews>
  <sheetFormatPr defaultColWidth="9.109375" defaultRowHeight="14.25" customHeight="1" x14ac:dyDescent="0.25"/>
  <cols>
    <col min="1" max="1" width="5.33203125" style="1" customWidth="1"/>
    <col min="2" max="2" width="3.6640625" style="1" customWidth="1"/>
    <col min="3" max="3" width="3.88671875" style="1" customWidth="1"/>
    <col min="4" max="4" width="29.6640625" style="2" customWidth="1"/>
    <col min="5" max="5" width="19" style="11" customWidth="1"/>
    <col min="6" max="6" width="25.6640625" style="2" customWidth="1"/>
    <col min="7" max="7" width="27" style="11" customWidth="1"/>
    <col min="8" max="8" width="17.33203125" style="11" customWidth="1"/>
    <col min="9" max="9" width="19" style="1" customWidth="1"/>
    <col min="10" max="10" width="10.5546875" style="1" customWidth="1"/>
    <col min="11" max="11" width="9.33203125" style="1" customWidth="1"/>
    <col min="12" max="12" width="12.44140625" style="10" customWidth="1"/>
    <col min="13" max="13" width="35.6640625" style="14" customWidth="1"/>
    <col min="14" max="14" width="21.109375" style="14" customWidth="1"/>
    <col min="15" max="15" width="6.44140625" style="1" customWidth="1"/>
    <col min="16" max="16" width="7" style="1" customWidth="1"/>
    <col min="17" max="17" width="17.33203125" style="11" customWidth="1"/>
    <col min="18" max="18" width="7.44140625" style="1" customWidth="1"/>
    <col min="19" max="19" width="9.33203125" style="1" customWidth="1"/>
    <col min="20" max="20" width="8.33203125" style="1" customWidth="1"/>
    <col min="21" max="21" width="5.6640625" style="1" customWidth="1"/>
    <col min="22" max="27" width="9.44140625" style="1" bestFit="1" customWidth="1"/>
    <col min="28" max="28" width="10.88671875" style="1" bestFit="1" customWidth="1"/>
    <col min="29" max="29" width="7" style="1" customWidth="1"/>
    <col min="30" max="30" width="21.88671875" style="1" customWidth="1"/>
    <col min="31" max="31" width="27.33203125" style="1" customWidth="1"/>
    <col min="32" max="32" width="18" style="1" customWidth="1"/>
    <col min="33" max="33" width="19.88671875" style="1" customWidth="1"/>
    <col min="34" max="34" width="15.109375" style="1" customWidth="1"/>
    <col min="35" max="35" width="18.109375" style="1" customWidth="1"/>
    <col min="36" max="16384" width="9.109375" style="1"/>
  </cols>
  <sheetData>
    <row r="1" spans="1:35" ht="14.25" customHeight="1" x14ac:dyDescent="0.25">
      <c r="D1" s="1"/>
      <c r="F1" s="1"/>
    </row>
    <row r="2" spans="1:35" ht="14.25" customHeight="1" x14ac:dyDescent="0.25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5" ht="27" customHeight="1" x14ac:dyDescent="0.25">
      <c r="D3" s="1" t="s">
        <v>2</v>
      </c>
      <c r="E3" s="5">
        <f>+AH6</f>
        <v>121</v>
      </c>
      <c r="F3" s="5">
        <f>+AD6</f>
        <v>110</v>
      </c>
      <c r="G3" s="5">
        <f>+AF6</f>
        <v>105</v>
      </c>
      <c r="H3" s="5">
        <f>+E3-G3</f>
        <v>16</v>
      </c>
      <c r="I3" s="13" t="s">
        <v>9</v>
      </c>
      <c r="J3" s="4"/>
      <c r="K3" s="4"/>
    </row>
    <row r="4" spans="1:35" ht="27" customHeight="1" x14ac:dyDescent="0.3">
      <c r="D4" s="6" t="s">
        <v>3</v>
      </c>
      <c r="E4" s="7">
        <f>+AI6</f>
        <v>328</v>
      </c>
      <c r="F4" s="7">
        <f>+AE6</f>
        <v>187</v>
      </c>
      <c r="G4" s="7">
        <f>+AG6</f>
        <v>169</v>
      </c>
      <c r="H4" s="5">
        <f>+E4-G4</f>
        <v>159</v>
      </c>
      <c r="I4" s="22" t="s">
        <v>10</v>
      </c>
      <c r="J4" s="23" t="s">
        <v>563</v>
      </c>
      <c r="K4" s="24" t="s">
        <v>19</v>
      </c>
      <c r="M4" s="17"/>
      <c r="N4" s="17"/>
    </row>
    <row r="5" spans="1:35" ht="14.25" customHeight="1" x14ac:dyDescent="0.3">
      <c r="D5" s="8" t="s">
        <v>12</v>
      </c>
      <c r="E5" s="8">
        <f>+E3+E4</f>
        <v>449</v>
      </c>
      <c r="F5" s="8">
        <f>+F3+F4</f>
        <v>297</v>
      </c>
      <c r="G5" s="8">
        <f>+G3+G4</f>
        <v>274</v>
      </c>
      <c r="H5" s="8">
        <f>+H3+H4</f>
        <v>175</v>
      </c>
      <c r="I5" s="30" t="s">
        <v>16</v>
      </c>
      <c r="J5" s="25" t="s">
        <v>562</v>
      </c>
      <c r="K5" s="26" t="s">
        <v>41</v>
      </c>
      <c r="M5" s="17"/>
      <c r="N5" s="17"/>
      <c r="Q5" s="9"/>
      <c r="S5" s="9">
        <f>SUM(S8:S2438)</f>
        <v>60</v>
      </c>
      <c r="T5" s="9">
        <f>SUM(T8:T2438)</f>
        <v>10</v>
      </c>
      <c r="U5" s="9">
        <f>SUM(U8:U2438)</f>
        <v>6</v>
      </c>
      <c r="V5" s="9">
        <f>SUM(V8:V2438)</f>
        <v>6</v>
      </c>
      <c r="W5" s="9">
        <f>SUM(W8:W2438)</f>
        <v>3</v>
      </c>
      <c r="X5" s="9">
        <f>SUM(X8:X2438)</f>
        <v>5</v>
      </c>
      <c r="Y5" s="9">
        <f>SUM(Y8:Y2438)</f>
        <v>17</v>
      </c>
      <c r="Z5" s="9">
        <f>SUM(Z8:Z2438)</f>
        <v>30</v>
      </c>
      <c r="AA5" s="9">
        <f>SUM(AA8:AA2438)</f>
        <v>17</v>
      </c>
      <c r="AB5" s="9">
        <f>SUM(AB8:AB2438)</f>
        <v>22</v>
      </c>
      <c r="AC5" s="9"/>
      <c r="AD5" s="9"/>
      <c r="AE5" s="9"/>
      <c r="AF5" s="9"/>
      <c r="AG5" s="9"/>
    </row>
    <row r="6" spans="1:35" ht="14.25" customHeight="1" x14ac:dyDescent="0.3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>SUM(AD8:AD1707)</f>
        <v>110</v>
      </c>
      <c r="AE6" s="1">
        <f>SUM(AE8:AE1707)</f>
        <v>187</v>
      </c>
      <c r="AF6" s="1">
        <f>SUM(AF8:AF1707)</f>
        <v>105</v>
      </c>
      <c r="AG6" s="1">
        <f>SUM(AG8:AG1707)</f>
        <v>169</v>
      </c>
      <c r="AH6" s="1">
        <f>SUM(AH8:AH1707)</f>
        <v>121</v>
      </c>
      <c r="AI6" s="1">
        <f>SUM(AI8:AI1707)</f>
        <v>328</v>
      </c>
    </row>
    <row r="7" spans="1:35" s="69" customFormat="1" ht="14.25" customHeight="1" x14ac:dyDescent="0.3">
      <c r="A7" s="27" t="s">
        <v>1368</v>
      </c>
      <c r="B7" s="27" t="s">
        <v>1369</v>
      </c>
      <c r="C7" s="27" t="s">
        <v>1370</v>
      </c>
      <c r="D7" s="29" t="s">
        <v>13</v>
      </c>
      <c r="E7" s="29" t="s">
        <v>23</v>
      </c>
      <c r="F7" s="29" t="s">
        <v>14</v>
      </c>
      <c r="G7" s="29" t="s">
        <v>18</v>
      </c>
      <c r="H7" s="29" t="s">
        <v>42</v>
      </c>
      <c r="I7" s="27" t="s">
        <v>11</v>
      </c>
      <c r="J7" s="27" t="s">
        <v>1371</v>
      </c>
      <c r="K7" s="27" t="s">
        <v>1630</v>
      </c>
      <c r="L7" s="27" t="s">
        <v>17</v>
      </c>
      <c r="M7" s="29" t="s">
        <v>1372</v>
      </c>
      <c r="N7" s="28" t="s">
        <v>0</v>
      </c>
      <c r="O7" s="18" t="s">
        <v>1</v>
      </c>
      <c r="P7" s="18" t="s">
        <v>2</v>
      </c>
      <c r="Q7" s="29" t="s">
        <v>1878</v>
      </c>
      <c r="S7" s="69">
        <v>1</v>
      </c>
      <c r="T7" s="69">
        <f>+S7+1</f>
        <v>2</v>
      </c>
      <c r="U7" s="69">
        <f t="shared" ref="U7:AB7" si="0">+T7+1</f>
        <v>3</v>
      </c>
      <c r="V7" s="69">
        <f t="shared" si="0"/>
        <v>4</v>
      </c>
      <c r="W7" s="69">
        <f t="shared" si="0"/>
        <v>5</v>
      </c>
      <c r="X7" s="69">
        <f t="shared" si="0"/>
        <v>6</v>
      </c>
      <c r="Y7" s="69">
        <f t="shared" si="0"/>
        <v>7</v>
      </c>
      <c r="Z7" s="69">
        <f t="shared" si="0"/>
        <v>8</v>
      </c>
      <c r="AA7" s="69">
        <f t="shared" si="0"/>
        <v>9</v>
      </c>
      <c r="AB7" s="69">
        <f t="shared" si="0"/>
        <v>10</v>
      </c>
      <c r="AD7" s="69" t="s">
        <v>21</v>
      </c>
      <c r="AE7" s="69" t="s">
        <v>22</v>
      </c>
      <c r="AF7" s="69" t="s">
        <v>4</v>
      </c>
      <c r="AG7" s="69" t="s">
        <v>5</v>
      </c>
      <c r="AH7" s="69" t="s">
        <v>6</v>
      </c>
      <c r="AI7" s="69" t="s">
        <v>7</v>
      </c>
    </row>
    <row r="8" spans="1:35" ht="14.25" customHeight="1" x14ac:dyDescent="0.3">
      <c r="A8" s="31">
        <v>0</v>
      </c>
      <c r="B8" s="31">
        <v>1</v>
      </c>
      <c r="C8" s="31">
        <v>1</v>
      </c>
      <c r="D8" s="32" t="s">
        <v>124</v>
      </c>
      <c r="E8" s="32" t="s">
        <v>904</v>
      </c>
      <c r="F8" s="32" t="s">
        <v>323</v>
      </c>
      <c r="G8" s="32" t="s">
        <v>177</v>
      </c>
      <c r="H8" s="32" t="s">
        <v>352</v>
      </c>
      <c r="I8" s="31" t="s">
        <v>469</v>
      </c>
      <c r="J8" s="31">
        <v>1</v>
      </c>
      <c r="K8" s="33" t="s">
        <v>730</v>
      </c>
      <c r="L8" s="33">
        <v>200</v>
      </c>
      <c r="M8" s="34" t="s">
        <v>39</v>
      </c>
      <c r="N8" s="34" t="s">
        <v>1740</v>
      </c>
      <c r="O8" s="35">
        <v>1</v>
      </c>
      <c r="P8" s="35"/>
      <c r="Q8" s="32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1</v>
      </c>
      <c r="AF8" s="1">
        <f t="shared" ref="AF8:AF71" si="1">+O8*P8*(1-A8)</f>
        <v>0</v>
      </c>
      <c r="AG8" s="1">
        <f t="shared" ref="AG8:AG71" si="2">O8*(1-P8)*(1-A8)</f>
        <v>1</v>
      </c>
      <c r="AH8" s="1">
        <f t="shared" ref="AH8:AH71" si="3">+P8*(1-A8)</f>
        <v>0</v>
      </c>
      <c r="AI8" s="1">
        <f t="shared" ref="AI8:AI71" si="4">+(1-A8)*(1-P8)</f>
        <v>1</v>
      </c>
    </row>
    <row r="9" spans="1:35" ht="14.25" customHeight="1" x14ac:dyDescent="0.3">
      <c r="A9" s="31">
        <v>0</v>
      </c>
      <c r="B9" s="31">
        <v>1</v>
      </c>
      <c r="C9" s="31">
        <v>1</v>
      </c>
      <c r="D9" s="32" t="s">
        <v>1588</v>
      </c>
      <c r="E9" s="32" t="s">
        <v>170</v>
      </c>
      <c r="F9" s="32" t="s">
        <v>1538</v>
      </c>
      <c r="G9" s="32" t="s">
        <v>39</v>
      </c>
      <c r="H9" s="32" t="s">
        <v>361</v>
      </c>
      <c r="I9" s="31" t="s">
        <v>1539</v>
      </c>
      <c r="J9" s="31">
        <v>99</v>
      </c>
      <c r="K9" s="33" t="s">
        <v>961</v>
      </c>
      <c r="L9" s="33" t="s">
        <v>1698</v>
      </c>
      <c r="M9" s="34" t="s">
        <v>1376</v>
      </c>
      <c r="N9" s="34" t="s">
        <v>1724</v>
      </c>
      <c r="O9" s="35">
        <v>1</v>
      </c>
      <c r="P9" s="35">
        <v>1</v>
      </c>
      <c r="Q9" s="32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1</v>
      </c>
      <c r="AE9" s="1">
        <f>O9*(1-P9)</f>
        <v>0</v>
      </c>
      <c r="AF9" s="1">
        <f t="shared" si="1"/>
        <v>1</v>
      </c>
      <c r="AG9" s="1">
        <f t="shared" si="2"/>
        <v>0</v>
      </c>
      <c r="AH9" s="1">
        <f t="shared" si="3"/>
        <v>1</v>
      </c>
      <c r="AI9" s="1">
        <f t="shared" si="4"/>
        <v>0</v>
      </c>
    </row>
    <row r="10" spans="1:35" ht="14.25" customHeight="1" x14ac:dyDescent="0.3">
      <c r="A10" s="44">
        <v>0</v>
      </c>
      <c r="B10" s="44">
        <v>1</v>
      </c>
      <c r="C10" s="44">
        <v>1</v>
      </c>
      <c r="D10" s="45" t="s">
        <v>149</v>
      </c>
      <c r="E10" s="45" t="s">
        <v>170</v>
      </c>
      <c r="F10" s="45" t="s">
        <v>349</v>
      </c>
      <c r="G10" s="45" t="s">
        <v>177</v>
      </c>
      <c r="H10" s="45" t="s">
        <v>352</v>
      </c>
      <c r="I10" s="44" t="s">
        <v>494</v>
      </c>
      <c r="J10" s="44">
        <v>1</v>
      </c>
      <c r="K10" s="46" t="s">
        <v>961</v>
      </c>
      <c r="L10" s="46" t="s">
        <v>1699</v>
      </c>
      <c r="M10" s="47" t="s">
        <v>1373</v>
      </c>
      <c r="N10" s="47" t="s">
        <v>1744</v>
      </c>
      <c r="O10" s="48"/>
      <c r="P10" s="48"/>
      <c r="Q10" s="45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0</v>
      </c>
      <c r="AF10" s="1">
        <f t="shared" si="1"/>
        <v>0</v>
      </c>
      <c r="AG10" s="1">
        <f t="shared" si="2"/>
        <v>0</v>
      </c>
      <c r="AH10" s="1">
        <f t="shared" si="3"/>
        <v>0</v>
      </c>
      <c r="AI10" s="1">
        <f t="shared" si="4"/>
        <v>1</v>
      </c>
    </row>
    <row r="11" spans="1:35" ht="14.25" customHeight="1" x14ac:dyDescent="0.3">
      <c r="A11" s="31">
        <v>0</v>
      </c>
      <c r="B11" s="31">
        <v>1</v>
      </c>
      <c r="C11" s="31">
        <v>1</v>
      </c>
      <c r="D11" s="32" t="s">
        <v>1029</v>
      </c>
      <c r="E11" s="32" t="s">
        <v>173</v>
      </c>
      <c r="F11" s="32" t="s">
        <v>1087</v>
      </c>
      <c r="G11" s="32" t="s">
        <v>39</v>
      </c>
      <c r="H11" s="32" t="s">
        <v>1030</v>
      </c>
      <c r="I11" s="31" t="s">
        <v>1109</v>
      </c>
      <c r="J11" s="31">
        <v>16</v>
      </c>
      <c r="K11" s="33" t="s">
        <v>959</v>
      </c>
      <c r="L11" s="33">
        <v>45</v>
      </c>
      <c r="M11" s="34" t="s">
        <v>1374</v>
      </c>
      <c r="N11" s="34" t="s">
        <v>1822</v>
      </c>
      <c r="O11" s="35">
        <v>1</v>
      </c>
      <c r="P11" s="35"/>
      <c r="Q11" s="32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1</v>
      </c>
      <c r="AF11" s="1">
        <f t="shared" si="1"/>
        <v>0</v>
      </c>
      <c r="AG11" s="1">
        <f t="shared" si="2"/>
        <v>1</v>
      </c>
      <c r="AH11" s="1">
        <f t="shared" si="3"/>
        <v>0</v>
      </c>
      <c r="AI11" s="1">
        <f t="shared" si="4"/>
        <v>1</v>
      </c>
    </row>
    <row r="12" spans="1:35" ht="14.25" customHeight="1" x14ac:dyDescent="0.3">
      <c r="A12" s="44">
        <v>0</v>
      </c>
      <c r="B12" s="44">
        <v>1</v>
      </c>
      <c r="C12" s="44">
        <v>1</v>
      </c>
      <c r="D12" s="45" t="s">
        <v>116</v>
      </c>
      <c r="E12" s="45" t="s">
        <v>170</v>
      </c>
      <c r="F12" s="45" t="s">
        <v>314</v>
      </c>
      <c r="G12" s="45" t="s">
        <v>315</v>
      </c>
      <c r="H12" s="45" t="s">
        <v>352</v>
      </c>
      <c r="I12" s="44" t="s">
        <v>461</v>
      </c>
      <c r="J12" s="44">
        <v>8</v>
      </c>
      <c r="K12" s="46" t="s">
        <v>963</v>
      </c>
      <c r="L12" s="46" t="s">
        <v>1702</v>
      </c>
      <c r="M12" s="47" t="s">
        <v>1116</v>
      </c>
      <c r="N12" s="47" t="s">
        <v>1733</v>
      </c>
      <c r="O12" s="48"/>
      <c r="P12" s="48"/>
      <c r="Q12" s="45"/>
      <c r="S12" s="1">
        <f t="shared" ref="S12:S75" si="5">IF(J12=$S$7,1,0)</f>
        <v>0</v>
      </c>
      <c r="T12" s="1">
        <f t="shared" ref="T12:T75" si="6">IF(J12=$T$7,1,0)</f>
        <v>0</v>
      </c>
      <c r="U12" s="1">
        <f t="shared" ref="U12:U75" si="7">IF(J12=$U$7,1,0)</f>
        <v>0</v>
      </c>
      <c r="V12" s="1">
        <f t="shared" ref="V12:V75" si="8">IF(J12=$V$7,1,0)</f>
        <v>0</v>
      </c>
      <c r="W12" s="1">
        <f t="shared" ref="W12:W75" si="9">IF(J12=$W$7,1,0)</f>
        <v>0</v>
      </c>
      <c r="X12" s="1">
        <f t="shared" ref="X12:X75" si="10">IF(J12=$X$7,1,0)</f>
        <v>0</v>
      </c>
      <c r="Y12" s="1">
        <f t="shared" ref="Y12:Y75" si="11">IF(J12=$Y$7,1,0)</f>
        <v>0</v>
      </c>
      <c r="Z12" s="1">
        <f t="shared" ref="Z12:Z75" si="12">IF(J12=$Z$7,1,0)</f>
        <v>1</v>
      </c>
      <c r="AA12" s="1">
        <f t="shared" ref="AA12:AA75" si="13">IF(J12=$AA$7,1,0)</f>
        <v>0</v>
      </c>
      <c r="AB12" s="1">
        <f t="shared" ref="AB12:AB75" si="14">IF(J12=$AB$7,1,0)</f>
        <v>0</v>
      </c>
      <c r="AD12" s="1">
        <f t="shared" ref="AD12:AD71" si="15">+O12*P12</f>
        <v>0</v>
      </c>
      <c r="AE12" s="1">
        <f t="shared" ref="AE12:AE71" si="16">O12*(1-P12)</f>
        <v>0</v>
      </c>
      <c r="AF12" s="1">
        <f t="shared" si="1"/>
        <v>0</v>
      </c>
      <c r="AG12" s="1">
        <f t="shared" si="2"/>
        <v>0</v>
      </c>
      <c r="AH12" s="1">
        <f t="shared" si="3"/>
        <v>0</v>
      </c>
      <c r="AI12" s="1">
        <f t="shared" si="4"/>
        <v>1</v>
      </c>
    </row>
    <row r="13" spans="1:35" ht="14.25" customHeight="1" x14ac:dyDescent="0.3">
      <c r="A13" s="44">
        <v>0</v>
      </c>
      <c r="B13" s="44">
        <v>1</v>
      </c>
      <c r="C13" s="44">
        <v>1</v>
      </c>
      <c r="D13" s="45" t="s">
        <v>139</v>
      </c>
      <c r="E13" s="45" t="s">
        <v>170</v>
      </c>
      <c r="F13" s="45" t="s">
        <v>338</v>
      </c>
      <c r="G13" s="45" t="s">
        <v>339</v>
      </c>
      <c r="H13" s="45" t="s">
        <v>352</v>
      </c>
      <c r="I13" s="44" t="s">
        <v>485</v>
      </c>
      <c r="J13" s="44">
        <v>10</v>
      </c>
      <c r="K13" s="46" t="s">
        <v>961</v>
      </c>
      <c r="L13" s="46" t="s">
        <v>1703</v>
      </c>
      <c r="M13" s="47" t="s">
        <v>1116</v>
      </c>
      <c r="N13" s="47" t="s">
        <v>1733</v>
      </c>
      <c r="O13" s="48"/>
      <c r="P13" s="48"/>
      <c r="Q13" s="45"/>
      <c r="S13" s="1">
        <f t="shared" si="5"/>
        <v>0</v>
      </c>
      <c r="T13" s="1">
        <f t="shared" si="6"/>
        <v>0</v>
      </c>
      <c r="U13" s="1">
        <f t="shared" si="7"/>
        <v>0</v>
      </c>
      <c r="V13" s="1">
        <f t="shared" si="8"/>
        <v>0</v>
      </c>
      <c r="W13" s="1">
        <f t="shared" si="9"/>
        <v>0</v>
      </c>
      <c r="X13" s="1">
        <f t="shared" si="10"/>
        <v>0</v>
      </c>
      <c r="Y13" s="1">
        <f t="shared" si="11"/>
        <v>0</v>
      </c>
      <c r="Z13" s="1">
        <f t="shared" si="12"/>
        <v>0</v>
      </c>
      <c r="AA13" s="1">
        <f t="shared" si="13"/>
        <v>0</v>
      </c>
      <c r="AB13" s="1">
        <f t="shared" si="14"/>
        <v>1</v>
      </c>
      <c r="AD13" s="1">
        <f t="shared" si="15"/>
        <v>0</v>
      </c>
      <c r="AE13" s="1">
        <f t="shared" si="16"/>
        <v>0</v>
      </c>
      <c r="AF13" s="1">
        <f t="shared" si="1"/>
        <v>0</v>
      </c>
      <c r="AG13" s="1">
        <f t="shared" si="2"/>
        <v>0</v>
      </c>
      <c r="AH13" s="1">
        <f t="shared" si="3"/>
        <v>0</v>
      </c>
      <c r="AI13" s="1">
        <f t="shared" si="4"/>
        <v>1</v>
      </c>
    </row>
    <row r="14" spans="1:35" ht="14.25" customHeight="1" x14ac:dyDescent="0.3">
      <c r="A14" s="31">
        <v>0</v>
      </c>
      <c r="B14" s="31">
        <v>1</v>
      </c>
      <c r="C14" s="31">
        <v>1</v>
      </c>
      <c r="D14" s="32" t="s">
        <v>531</v>
      </c>
      <c r="E14" s="32" t="s">
        <v>170</v>
      </c>
      <c r="F14" s="32" t="s">
        <v>1290</v>
      </c>
      <c r="G14" s="32" t="s">
        <v>239</v>
      </c>
      <c r="H14" s="32" t="s">
        <v>352</v>
      </c>
      <c r="I14" s="31" t="s">
        <v>1357</v>
      </c>
      <c r="J14" s="31">
        <v>1</v>
      </c>
      <c r="K14" s="33" t="s">
        <v>957</v>
      </c>
      <c r="L14" s="33" t="s">
        <v>1705</v>
      </c>
      <c r="M14" s="34" t="s">
        <v>1375</v>
      </c>
      <c r="N14" s="34" t="s">
        <v>1745</v>
      </c>
      <c r="O14" s="35">
        <v>1</v>
      </c>
      <c r="P14" s="35"/>
      <c r="Q14" s="32"/>
      <c r="S14" s="1">
        <f t="shared" si="5"/>
        <v>1</v>
      </c>
      <c r="T14" s="1">
        <f t="shared" si="6"/>
        <v>0</v>
      </c>
      <c r="U14" s="1">
        <f t="shared" si="7"/>
        <v>0</v>
      </c>
      <c r="V14" s="1">
        <f t="shared" si="8"/>
        <v>0</v>
      </c>
      <c r="W14" s="1">
        <f t="shared" si="9"/>
        <v>0</v>
      </c>
      <c r="X14" s="1">
        <f t="shared" si="10"/>
        <v>0</v>
      </c>
      <c r="Y14" s="1">
        <f t="shared" si="11"/>
        <v>0</v>
      </c>
      <c r="Z14" s="1">
        <f t="shared" si="12"/>
        <v>0</v>
      </c>
      <c r="AA14" s="1">
        <f t="shared" si="13"/>
        <v>0</v>
      </c>
      <c r="AB14" s="1">
        <f t="shared" si="14"/>
        <v>0</v>
      </c>
      <c r="AD14" s="1">
        <f t="shared" si="15"/>
        <v>0</v>
      </c>
      <c r="AE14" s="1">
        <f t="shared" si="16"/>
        <v>1</v>
      </c>
      <c r="AF14" s="1">
        <f t="shared" si="1"/>
        <v>0</v>
      </c>
      <c r="AG14" s="1">
        <f t="shared" si="2"/>
        <v>1</v>
      </c>
      <c r="AH14" s="1">
        <f t="shared" si="3"/>
        <v>0</v>
      </c>
      <c r="AI14" s="1">
        <f t="shared" si="4"/>
        <v>1</v>
      </c>
    </row>
    <row r="15" spans="1:35" ht="14.25" customHeight="1" x14ac:dyDescent="0.3">
      <c r="A15" s="44">
        <v>0</v>
      </c>
      <c r="B15" s="44">
        <v>1</v>
      </c>
      <c r="C15" s="44">
        <v>1</v>
      </c>
      <c r="D15" s="45" t="s">
        <v>115</v>
      </c>
      <c r="E15" s="45" t="s">
        <v>170</v>
      </c>
      <c r="F15" s="45" t="s">
        <v>313</v>
      </c>
      <c r="G15" s="45" t="s">
        <v>185</v>
      </c>
      <c r="H15" s="45" t="s">
        <v>352</v>
      </c>
      <c r="I15" s="44" t="s">
        <v>460</v>
      </c>
      <c r="J15" s="44">
        <v>1</v>
      </c>
      <c r="K15" s="46" t="s">
        <v>961</v>
      </c>
      <c r="L15" s="46" t="s">
        <v>1703</v>
      </c>
      <c r="M15" s="47" t="s">
        <v>1116</v>
      </c>
      <c r="N15" s="47" t="s">
        <v>1744</v>
      </c>
      <c r="O15" s="48"/>
      <c r="P15" s="48"/>
      <c r="Q15" s="45"/>
      <c r="S15" s="1">
        <f t="shared" si="5"/>
        <v>1</v>
      </c>
      <c r="T15" s="1">
        <f t="shared" si="6"/>
        <v>0</v>
      </c>
      <c r="U15" s="1">
        <f t="shared" si="7"/>
        <v>0</v>
      </c>
      <c r="V15" s="1">
        <f t="shared" si="8"/>
        <v>0</v>
      </c>
      <c r="W15" s="1">
        <f t="shared" si="9"/>
        <v>0</v>
      </c>
      <c r="X15" s="1">
        <f t="shared" si="10"/>
        <v>0</v>
      </c>
      <c r="Y15" s="1">
        <f t="shared" si="11"/>
        <v>0</v>
      </c>
      <c r="Z15" s="1">
        <f t="shared" si="12"/>
        <v>0</v>
      </c>
      <c r="AA15" s="1">
        <f t="shared" si="13"/>
        <v>0</v>
      </c>
      <c r="AB15" s="1">
        <f t="shared" si="14"/>
        <v>0</v>
      </c>
      <c r="AD15" s="1">
        <f t="shared" si="15"/>
        <v>0</v>
      </c>
      <c r="AE15" s="1">
        <f t="shared" si="16"/>
        <v>0</v>
      </c>
      <c r="AF15" s="1">
        <f t="shared" si="1"/>
        <v>0</v>
      </c>
      <c r="AG15" s="1">
        <f t="shared" si="2"/>
        <v>0</v>
      </c>
      <c r="AH15" s="1">
        <f t="shared" si="3"/>
        <v>0</v>
      </c>
      <c r="AI15" s="1">
        <f t="shared" si="4"/>
        <v>1</v>
      </c>
    </row>
    <row r="16" spans="1:35" ht="14.25" customHeight="1" x14ac:dyDescent="0.3">
      <c r="A16" s="38">
        <v>0</v>
      </c>
      <c r="B16" s="38">
        <v>1</v>
      </c>
      <c r="C16" s="38">
        <v>1</v>
      </c>
      <c r="D16" s="39" t="s">
        <v>109</v>
      </c>
      <c r="E16" s="39" t="s">
        <v>170</v>
      </c>
      <c r="F16" s="39" t="s">
        <v>307</v>
      </c>
      <c r="G16" s="39" t="s">
        <v>212</v>
      </c>
      <c r="H16" s="39" t="s">
        <v>352</v>
      </c>
      <c r="I16" s="38" t="s">
        <v>455</v>
      </c>
      <c r="J16" s="38">
        <v>1</v>
      </c>
      <c r="K16" s="40" t="s">
        <v>1695</v>
      </c>
      <c r="L16" s="40" t="s">
        <v>39</v>
      </c>
      <c r="M16" s="41" t="s">
        <v>39</v>
      </c>
      <c r="N16" s="42"/>
      <c r="O16" s="43"/>
      <c r="P16" s="43">
        <v>1</v>
      </c>
      <c r="Q16" s="39"/>
      <c r="S16" s="1">
        <f t="shared" si="5"/>
        <v>1</v>
      </c>
      <c r="T16" s="1">
        <f t="shared" si="6"/>
        <v>0</v>
      </c>
      <c r="U16" s="1">
        <f t="shared" si="7"/>
        <v>0</v>
      </c>
      <c r="V16" s="1">
        <f t="shared" si="8"/>
        <v>0</v>
      </c>
      <c r="W16" s="1">
        <f t="shared" si="9"/>
        <v>0</v>
      </c>
      <c r="X16" s="1">
        <f t="shared" si="10"/>
        <v>0</v>
      </c>
      <c r="Y16" s="1">
        <f t="shared" si="11"/>
        <v>0</v>
      </c>
      <c r="Z16" s="1">
        <f t="shared" si="12"/>
        <v>0</v>
      </c>
      <c r="AA16" s="1">
        <f t="shared" si="13"/>
        <v>0</v>
      </c>
      <c r="AB16" s="1">
        <f t="shared" si="14"/>
        <v>0</v>
      </c>
      <c r="AD16" s="1">
        <f t="shared" si="15"/>
        <v>0</v>
      </c>
      <c r="AE16" s="1">
        <f t="shared" si="16"/>
        <v>0</v>
      </c>
      <c r="AF16" s="1">
        <f t="shared" si="1"/>
        <v>0</v>
      </c>
      <c r="AG16" s="1">
        <f t="shared" si="2"/>
        <v>0</v>
      </c>
      <c r="AH16" s="1">
        <f t="shared" si="3"/>
        <v>1</v>
      </c>
      <c r="AI16" s="1">
        <f t="shared" si="4"/>
        <v>0</v>
      </c>
    </row>
    <row r="17" spans="1:35" ht="14.25" customHeight="1" x14ac:dyDescent="0.3">
      <c r="A17" s="44">
        <v>0</v>
      </c>
      <c r="B17" s="44">
        <v>1</v>
      </c>
      <c r="C17" s="44">
        <v>1</v>
      </c>
      <c r="D17" s="45" t="s">
        <v>119</v>
      </c>
      <c r="E17" s="45" t="s">
        <v>678</v>
      </c>
      <c r="F17" s="45" t="s">
        <v>1088</v>
      </c>
      <c r="G17" s="45" t="s">
        <v>39</v>
      </c>
      <c r="H17" s="45" t="s">
        <v>353</v>
      </c>
      <c r="I17" s="44" t="s">
        <v>1110</v>
      </c>
      <c r="J17" s="44">
        <v>11</v>
      </c>
      <c r="K17" s="46" t="s">
        <v>963</v>
      </c>
      <c r="L17" s="46" t="s">
        <v>1711</v>
      </c>
      <c r="M17" s="47" t="s">
        <v>1376</v>
      </c>
      <c r="N17" s="47" t="s">
        <v>1738</v>
      </c>
      <c r="O17" s="48"/>
      <c r="P17" s="48"/>
      <c r="Q17" s="45"/>
      <c r="S17" s="1">
        <f t="shared" si="5"/>
        <v>0</v>
      </c>
      <c r="T17" s="1">
        <f t="shared" si="6"/>
        <v>0</v>
      </c>
      <c r="U17" s="1">
        <f t="shared" si="7"/>
        <v>0</v>
      </c>
      <c r="V17" s="1">
        <f t="shared" si="8"/>
        <v>0</v>
      </c>
      <c r="W17" s="1">
        <f t="shared" si="9"/>
        <v>0</v>
      </c>
      <c r="X17" s="1">
        <f t="shared" si="10"/>
        <v>0</v>
      </c>
      <c r="Y17" s="1">
        <f t="shared" si="11"/>
        <v>0</v>
      </c>
      <c r="Z17" s="1">
        <f t="shared" si="12"/>
        <v>0</v>
      </c>
      <c r="AA17" s="1">
        <f t="shared" si="13"/>
        <v>0</v>
      </c>
      <c r="AB17" s="1">
        <f t="shared" si="14"/>
        <v>0</v>
      </c>
      <c r="AD17" s="1">
        <f t="shared" si="15"/>
        <v>0</v>
      </c>
      <c r="AE17" s="1">
        <f t="shared" si="16"/>
        <v>0</v>
      </c>
      <c r="AF17" s="1">
        <f t="shared" si="1"/>
        <v>0</v>
      </c>
      <c r="AG17" s="1">
        <f t="shared" si="2"/>
        <v>0</v>
      </c>
      <c r="AH17" s="1">
        <f t="shared" si="3"/>
        <v>0</v>
      </c>
      <c r="AI17" s="1">
        <f t="shared" si="4"/>
        <v>1</v>
      </c>
    </row>
    <row r="18" spans="1:35" ht="14.25" customHeight="1" x14ac:dyDescent="0.3">
      <c r="A18" s="44">
        <v>0</v>
      </c>
      <c r="B18" s="44">
        <v>1</v>
      </c>
      <c r="C18" s="44">
        <v>1</v>
      </c>
      <c r="D18" s="45" t="s">
        <v>147</v>
      </c>
      <c r="E18" s="45" t="s">
        <v>170</v>
      </c>
      <c r="F18" s="45" t="s">
        <v>347</v>
      </c>
      <c r="G18" s="45" t="s">
        <v>39</v>
      </c>
      <c r="H18" s="45" t="s">
        <v>377</v>
      </c>
      <c r="I18" s="44" t="s">
        <v>492</v>
      </c>
      <c r="J18" s="44">
        <v>16</v>
      </c>
      <c r="K18" s="46" t="s">
        <v>957</v>
      </c>
      <c r="L18" s="46">
        <v>75</v>
      </c>
      <c r="M18" s="47" t="s">
        <v>1376</v>
      </c>
      <c r="N18" s="47" t="s">
        <v>1799</v>
      </c>
      <c r="O18" s="48"/>
      <c r="P18" s="48"/>
      <c r="Q18" s="45"/>
      <c r="S18" s="1">
        <f t="shared" si="5"/>
        <v>0</v>
      </c>
      <c r="T18" s="1">
        <f t="shared" si="6"/>
        <v>0</v>
      </c>
      <c r="U18" s="1">
        <f t="shared" si="7"/>
        <v>0</v>
      </c>
      <c r="V18" s="1">
        <f t="shared" si="8"/>
        <v>0</v>
      </c>
      <c r="W18" s="1">
        <f t="shared" si="9"/>
        <v>0</v>
      </c>
      <c r="X18" s="1">
        <f t="shared" si="10"/>
        <v>0</v>
      </c>
      <c r="Y18" s="1">
        <f t="shared" si="11"/>
        <v>0</v>
      </c>
      <c r="Z18" s="1">
        <f t="shared" si="12"/>
        <v>0</v>
      </c>
      <c r="AA18" s="1">
        <f t="shared" si="13"/>
        <v>0</v>
      </c>
      <c r="AB18" s="1">
        <f t="shared" si="14"/>
        <v>0</v>
      </c>
      <c r="AD18" s="1">
        <f t="shared" si="15"/>
        <v>0</v>
      </c>
      <c r="AE18" s="1">
        <f t="shared" si="16"/>
        <v>0</v>
      </c>
      <c r="AF18" s="1">
        <f t="shared" si="1"/>
        <v>0</v>
      </c>
      <c r="AG18" s="1">
        <f t="shared" si="2"/>
        <v>0</v>
      </c>
      <c r="AH18" s="1">
        <f t="shared" si="3"/>
        <v>0</v>
      </c>
      <c r="AI18" s="1">
        <f t="shared" si="4"/>
        <v>1</v>
      </c>
    </row>
    <row r="19" spans="1:35" ht="14.25" customHeight="1" x14ac:dyDescent="0.3">
      <c r="A19" s="31">
        <v>0</v>
      </c>
      <c r="B19" s="31">
        <v>1</v>
      </c>
      <c r="C19" s="31">
        <v>1</v>
      </c>
      <c r="D19" s="32" t="s">
        <v>120</v>
      </c>
      <c r="E19" s="32" t="s">
        <v>170</v>
      </c>
      <c r="F19" s="32" t="s">
        <v>320</v>
      </c>
      <c r="G19" s="32" t="s">
        <v>321</v>
      </c>
      <c r="H19" s="32" t="s">
        <v>352</v>
      </c>
      <c r="I19" s="31" t="s">
        <v>465</v>
      </c>
      <c r="J19" s="31">
        <v>99</v>
      </c>
      <c r="K19" s="33" t="s">
        <v>962</v>
      </c>
      <c r="L19" s="33">
        <v>200</v>
      </c>
      <c r="M19" s="34" t="s">
        <v>39</v>
      </c>
      <c r="N19" s="34" t="s">
        <v>1846</v>
      </c>
      <c r="O19" s="35">
        <v>1</v>
      </c>
      <c r="P19" s="35"/>
      <c r="Q19" s="32"/>
      <c r="S19" s="1">
        <f t="shared" si="5"/>
        <v>0</v>
      </c>
      <c r="T19" s="1">
        <f t="shared" si="6"/>
        <v>0</v>
      </c>
      <c r="U19" s="1">
        <f t="shared" si="7"/>
        <v>0</v>
      </c>
      <c r="V19" s="1">
        <f t="shared" si="8"/>
        <v>0</v>
      </c>
      <c r="W19" s="1">
        <f t="shared" si="9"/>
        <v>0</v>
      </c>
      <c r="X19" s="1">
        <f t="shared" si="10"/>
        <v>0</v>
      </c>
      <c r="Y19" s="1">
        <f t="shared" si="11"/>
        <v>0</v>
      </c>
      <c r="Z19" s="1">
        <f t="shared" si="12"/>
        <v>0</v>
      </c>
      <c r="AA19" s="1">
        <f t="shared" si="13"/>
        <v>0</v>
      </c>
      <c r="AB19" s="1">
        <f t="shared" si="14"/>
        <v>0</v>
      </c>
      <c r="AD19" s="1">
        <f t="shared" si="15"/>
        <v>0</v>
      </c>
      <c r="AE19" s="1">
        <f t="shared" si="16"/>
        <v>1</v>
      </c>
      <c r="AF19" s="1">
        <f t="shared" si="1"/>
        <v>0</v>
      </c>
      <c r="AG19" s="1">
        <f t="shared" si="2"/>
        <v>1</v>
      </c>
      <c r="AH19" s="1">
        <f t="shared" si="3"/>
        <v>0</v>
      </c>
      <c r="AI19" s="1">
        <f t="shared" si="4"/>
        <v>1</v>
      </c>
    </row>
    <row r="20" spans="1:35" ht="14.25" customHeight="1" x14ac:dyDescent="0.3">
      <c r="A20" s="38">
        <v>0</v>
      </c>
      <c r="B20" s="38">
        <v>1</v>
      </c>
      <c r="C20" s="38">
        <v>1</v>
      </c>
      <c r="D20" s="39" t="s">
        <v>100</v>
      </c>
      <c r="E20" s="39" t="s">
        <v>170</v>
      </c>
      <c r="F20" s="39" t="s">
        <v>296</v>
      </c>
      <c r="G20" s="39" t="s">
        <v>39</v>
      </c>
      <c r="H20" s="39" t="s">
        <v>354</v>
      </c>
      <c r="I20" s="38" t="s">
        <v>445</v>
      </c>
      <c r="J20" s="38">
        <v>15</v>
      </c>
      <c r="K20" s="40" t="s">
        <v>964</v>
      </c>
      <c r="L20" s="40" t="s">
        <v>39</v>
      </c>
      <c r="M20" s="41" t="s">
        <v>39</v>
      </c>
      <c r="N20" s="42"/>
      <c r="O20" s="43"/>
      <c r="P20" s="43">
        <v>1</v>
      </c>
      <c r="Q20" s="54" t="s">
        <v>1890</v>
      </c>
      <c r="S20" s="1">
        <f t="shared" si="5"/>
        <v>0</v>
      </c>
      <c r="T20" s="1">
        <f t="shared" si="6"/>
        <v>0</v>
      </c>
      <c r="U20" s="1">
        <f t="shared" si="7"/>
        <v>0</v>
      </c>
      <c r="V20" s="1">
        <f t="shared" si="8"/>
        <v>0</v>
      </c>
      <c r="W20" s="1">
        <f t="shared" si="9"/>
        <v>0</v>
      </c>
      <c r="X20" s="1">
        <f t="shared" si="10"/>
        <v>0</v>
      </c>
      <c r="Y20" s="1">
        <f t="shared" si="11"/>
        <v>0</v>
      </c>
      <c r="Z20" s="1">
        <f t="shared" si="12"/>
        <v>0</v>
      </c>
      <c r="AA20" s="1">
        <f t="shared" si="13"/>
        <v>0</v>
      </c>
      <c r="AB20" s="1">
        <f t="shared" si="14"/>
        <v>0</v>
      </c>
      <c r="AD20" s="1">
        <f t="shared" si="15"/>
        <v>0</v>
      </c>
      <c r="AE20" s="1">
        <f t="shared" si="16"/>
        <v>0</v>
      </c>
      <c r="AF20" s="1">
        <f t="shared" si="1"/>
        <v>0</v>
      </c>
      <c r="AG20" s="1">
        <f t="shared" si="2"/>
        <v>0</v>
      </c>
      <c r="AH20" s="1">
        <f t="shared" si="3"/>
        <v>1</v>
      </c>
      <c r="AI20" s="1">
        <f t="shared" si="4"/>
        <v>0</v>
      </c>
    </row>
    <row r="21" spans="1:35" ht="14.25" customHeight="1" x14ac:dyDescent="0.3">
      <c r="A21" s="31">
        <v>0</v>
      </c>
      <c r="B21" s="31">
        <v>1</v>
      </c>
      <c r="C21" s="31">
        <v>1</v>
      </c>
      <c r="D21" s="32" t="s">
        <v>893</v>
      </c>
      <c r="E21" s="32" t="s">
        <v>169</v>
      </c>
      <c r="F21" s="32" t="s">
        <v>292</v>
      </c>
      <c r="G21" s="32" t="s">
        <v>39</v>
      </c>
      <c r="H21" s="32" t="s">
        <v>353</v>
      </c>
      <c r="I21" s="31" t="s">
        <v>441</v>
      </c>
      <c r="J21" s="31">
        <v>11</v>
      </c>
      <c r="K21" s="33" t="s">
        <v>957</v>
      </c>
      <c r="L21" s="33" t="s">
        <v>39</v>
      </c>
      <c r="M21" s="34" t="s">
        <v>39</v>
      </c>
      <c r="N21" s="34" t="s">
        <v>1724</v>
      </c>
      <c r="O21" s="35">
        <v>1</v>
      </c>
      <c r="P21" s="35">
        <v>1</v>
      </c>
      <c r="Q21" s="32"/>
      <c r="S21" s="1">
        <f t="shared" si="5"/>
        <v>0</v>
      </c>
      <c r="T21" s="1">
        <f t="shared" si="6"/>
        <v>0</v>
      </c>
      <c r="U21" s="1">
        <f t="shared" si="7"/>
        <v>0</v>
      </c>
      <c r="V21" s="1">
        <f t="shared" si="8"/>
        <v>0</v>
      </c>
      <c r="W21" s="1">
        <f t="shared" si="9"/>
        <v>0</v>
      </c>
      <c r="X21" s="1">
        <f t="shared" si="10"/>
        <v>0</v>
      </c>
      <c r="Y21" s="1">
        <f t="shared" si="11"/>
        <v>0</v>
      </c>
      <c r="Z21" s="1">
        <f t="shared" si="12"/>
        <v>0</v>
      </c>
      <c r="AA21" s="1">
        <f t="shared" si="13"/>
        <v>0</v>
      </c>
      <c r="AB21" s="1">
        <f t="shared" si="14"/>
        <v>0</v>
      </c>
      <c r="AD21" s="1">
        <f t="shared" si="15"/>
        <v>1</v>
      </c>
      <c r="AE21" s="1">
        <f t="shared" si="16"/>
        <v>0</v>
      </c>
      <c r="AF21" s="1">
        <f t="shared" si="1"/>
        <v>1</v>
      </c>
      <c r="AG21" s="1">
        <f t="shared" si="2"/>
        <v>0</v>
      </c>
      <c r="AH21" s="1">
        <f t="shared" si="3"/>
        <v>1</v>
      </c>
      <c r="AI21" s="1">
        <f t="shared" si="4"/>
        <v>0</v>
      </c>
    </row>
    <row r="22" spans="1:35" ht="14.25" customHeight="1" x14ac:dyDescent="0.3">
      <c r="A22" s="31">
        <v>0</v>
      </c>
      <c r="B22" s="31">
        <v>1</v>
      </c>
      <c r="C22" s="31">
        <v>1</v>
      </c>
      <c r="D22" s="32" t="s">
        <v>117</v>
      </c>
      <c r="E22" s="32" t="s">
        <v>170</v>
      </c>
      <c r="F22" s="32" t="s">
        <v>316</v>
      </c>
      <c r="G22" s="32" t="s">
        <v>39</v>
      </c>
      <c r="H22" s="32" t="s">
        <v>366</v>
      </c>
      <c r="I22" s="31" t="s">
        <v>462</v>
      </c>
      <c r="J22" s="31">
        <v>18</v>
      </c>
      <c r="K22" s="33" t="s">
        <v>964</v>
      </c>
      <c r="L22" s="33" t="s">
        <v>39</v>
      </c>
      <c r="M22" s="34" t="s">
        <v>39</v>
      </c>
      <c r="N22" s="34" t="s">
        <v>1730</v>
      </c>
      <c r="O22" s="35">
        <v>1</v>
      </c>
      <c r="P22" s="35">
        <v>1</v>
      </c>
      <c r="Q22" s="32"/>
      <c r="S22" s="1">
        <f t="shared" si="5"/>
        <v>0</v>
      </c>
      <c r="T22" s="1">
        <f t="shared" si="6"/>
        <v>0</v>
      </c>
      <c r="U22" s="1">
        <f t="shared" si="7"/>
        <v>0</v>
      </c>
      <c r="V22" s="1">
        <f t="shared" si="8"/>
        <v>0</v>
      </c>
      <c r="W22" s="1">
        <f t="shared" si="9"/>
        <v>0</v>
      </c>
      <c r="X22" s="1">
        <f t="shared" si="10"/>
        <v>0</v>
      </c>
      <c r="Y22" s="1">
        <f t="shared" si="11"/>
        <v>0</v>
      </c>
      <c r="Z22" s="1">
        <f t="shared" si="12"/>
        <v>0</v>
      </c>
      <c r="AA22" s="1">
        <f t="shared" si="13"/>
        <v>0</v>
      </c>
      <c r="AB22" s="1">
        <f t="shared" si="14"/>
        <v>0</v>
      </c>
      <c r="AD22" s="1">
        <f t="shared" si="15"/>
        <v>1</v>
      </c>
      <c r="AE22" s="1">
        <f t="shared" si="16"/>
        <v>0</v>
      </c>
      <c r="AF22" s="1">
        <f t="shared" si="1"/>
        <v>1</v>
      </c>
      <c r="AG22" s="1">
        <f t="shared" si="2"/>
        <v>0</v>
      </c>
      <c r="AH22" s="1">
        <f t="shared" si="3"/>
        <v>1</v>
      </c>
      <c r="AI22" s="1">
        <f t="shared" si="4"/>
        <v>0</v>
      </c>
    </row>
    <row r="23" spans="1:35" ht="14.25" customHeight="1" x14ac:dyDescent="0.3">
      <c r="A23" s="31">
        <v>0</v>
      </c>
      <c r="B23" s="31">
        <v>1</v>
      </c>
      <c r="C23" s="31">
        <v>1</v>
      </c>
      <c r="D23" s="32" t="s">
        <v>137</v>
      </c>
      <c r="E23" s="32" t="s">
        <v>679</v>
      </c>
      <c r="F23" s="32" t="s">
        <v>337</v>
      </c>
      <c r="G23" s="32" t="s">
        <v>1163</v>
      </c>
      <c r="H23" s="32" t="s">
        <v>352</v>
      </c>
      <c r="I23" s="31" t="s">
        <v>483</v>
      </c>
      <c r="J23" s="31">
        <v>1</v>
      </c>
      <c r="K23" s="33" t="s">
        <v>957</v>
      </c>
      <c r="L23" s="33" t="s">
        <v>1703</v>
      </c>
      <c r="M23" s="34" t="s">
        <v>1116</v>
      </c>
      <c r="N23" s="34" t="s">
        <v>1740</v>
      </c>
      <c r="O23" s="35">
        <v>1</v>
      </c>
      <c r="P23" s="35"/>
      <c r="Q23" s="32"/>
      <c r="S23" s="1">
        <f t="shared" si="5"/>
        <v>1</v>
      </c>
      <c r="T23" s="1">
        <f t="shared" si="6"/>
        <v>0</v>
      </c>
      <c r="U23" s="1">
        <f t="shared" si="7"/>
        <v>0</v>
      </c>
      <c r="V23" s="1">
        <f t="shared" si="8"/>
        <v>0</v>
      </c>
      <c r="W23" s="1">
        <f t="shared" si="9"/>
        <v>0</v>
      </c>
      <c r="X23" s="1">
        <f t="shared" si="10"/>
        <v>0</v>
      </c>
      <c r="Y23" s="1">
        <f t="shared" si="11"/>
        <v>0</v>
      </c>
      <c r="Z23" s="1">
        <f t="shared" si="12"/>
        <v>0</v>
      </c>
      <c r="AA23" s="1">
        <f t="shared" si="13"/>
        <v>0</v>
      </c>
      <c r="AB23" s="1">
        <f t="shared" si="14"/>
        <v>0</v>
      </c>
      <c r="AD23" s="1">
        <f t="shared" si="15"/>
        <v>0</v>
      </c>
      <c r="AE23" s="1">
        <f t="shared" si="16"/>
        <v>1</v>
      </c>
      <c r="AF23" s="1">
        <f t="shared" si="1"/>
        <v>0</v>
      </c>
      <c r="AG23" s="1">
        <f t="shared" si="2"/>
        <v>1</v>
      </c>
      <c r="AH23" s="1">
        <f t="shared" si="3"/>
        <v>0</v>
      </c>
      <c r="AI23" s="1">
        <f t="shared" si="4"/>
        <v>1</v>
      </c>
    </row>
    <row r="24" spans="1:35" ht="14.25" customHeight="1" x14ac:dyDescent="0.3">
      <c r="A24" s="31">
        <v>0</v>
      </c>
      <c r="B24" s="31">
        <v>1</v>
      </c>
      <c r="C24" s="31">
        <v>1</v>
      </c>
      <c r="D24" s="32" t="s">
        <v>1585</v>
      </c>
      <c r="E24" s="32" t="s">
        <v>170</v>
      </c>
      <c r="F24" s="32" t="s">
        <v>1586</v>
      </c>
      <c r="G24" s="32" t="s">
        <v>212</v>
      </c>
      <c r="H24" s="32" t="s">
        <v>352</v>
      </c>
      <c r="I24" s="31" t="s">
        <v>1587</v>
      </c>
      <c r="J24" s="31">
        <v>1</v>
      </c>
      <c r="K24" s="33" t="s">
        <v>963</v>
      </c>
      <c r="L24" s="33" t="s">
        <v>39</v>
      </c>
      <c r="M24" s="34" t="s">
        <v>39</v>
      </c>
      <c r="N24" s="34" t="s">
        <v>1724</v>
      </c>
      <c r="O24" s="35">
        <v>1</v>
      </c>
      <c r="P24" s="35">
        <v>1</v>
      </c>
      <c r="Q24" s="32"/>
      <c r="S24" s="1">
        <f t="shared" si="5"/>
        <v>1</v>
      </c>
      <c r="T24" s="1">
        <f t="shared" si="6"/>
        <v>0</v>
      </c>
      <c r="U24" s="1">
        <f t="shared" si="7"/>
        <v>0</v>
      </c>
      <c r="V24" s="1">
        <f t="shared" si="8"/>
        <v>0</v>
      </c>
      <c r="W24" s="1">
        <f t="shared" si="9"/>
        <v>0</v>
      </c>
      <c r="X24" s="1">
        <f t="shared" si="10"/>
        <v>0</v>
      </c>
      <c r="Y24" s="1">
        <f t="shared" si="11"/>
        <v>0</v>
      </c>
      <c r="Z24" s="1">
        <f t="shared" si="12"/>
        <v>0</v>
      </c>
      <c r="AA24" s="1">
        <f t="shared" si="13"/>
        <v>0</v>
      </c>
      <c r="AB24" s="1">
        <f t="shared" si="14"/>
        <v>0</v>
      </c>
      <c r="AD24" s="1">
        <f t="shared" si="15"/>
        <v>1</v>
      </c>
      <c r="AE24" s="1">
        <f t="shared" si="16"/>
        <v>0</v>
      </c>
      <c r="AF24" s="1">
        <f t="shared" si="1"/>
        <v>1</v>
      </c>
      <c r="AG24" s="1">
        <f t="shared" si="2"/>
        <v>0</v>
      </c>
      <c r="AH24" s="1">
        <f t="shared" si="3"/>
        <v>1</v>
      </c>
      <c r="AI24" s="1">
        <f t="shared" si="4"/>
        <v>0</v>
      </c>
    </row>
    <row r="25" spans="1:35" ht="14.25" customHeight="1" x14ac:dyDescent="0.3">
      <c r="A25" s="31">
        <v>0</v>
      </c>
      <c r="B25" s="31">
        <v>1</v>
      </c>
      <c r="C25" s="31">
        <v>1</v>
      </c>
      <c r="D25" s="32" t="s">
        <v>1048</v>
      </c>
      <c r="E25" s="32" t="s">
        <v>170</v>
      </c>
      <c r="F25" s="32" t="s">
        <v>1092</v>
      </c>
      <c r="G25" s="32" t="s">
        <v>1035</v>
      </c>
      <c r="H25" s="32" t="s">
        <v>352</v>
      </c>
      <c r="I25" s="31" t="s">
        <v>1049</v>
      </c>
      <c r="J25" s="31">
        <v>99</v>
      </c>
      <c r="K25" s="33" t="s">
        <v>730</v>
      </c>
      <c r="L25" s="33">
        <v>150</v>
      </c>
      <c r="M25" s="34" t="s">
        <v>39</v>
      </c>
      <c r="N25" s="34" t="s">
        <v>1746</v>
      </c>
      <c r="O25" s="35">
        <v>1</v>
      </c>
      <c r="P25" s="35"/>
      <c r="Q25" s="32"/>
      <c r="S25" s="1">
        <f t="shared" si="5"/>
        <v>0</v>
      </c>
      <c r="T25" s="1">
        <f t="shared" si="6"/>
        <v>0</v>
      </c>
      <c r="U25" s="1">
        <f t="shared" si="7"/>
        <v>0</v>
      </c>
      <c r="V25" s="1">
        <f t="shared" si="8"/>
        <v>0</v>
      </c>
      <c r="W25" s="1">
        <f t="shared" si="9"/>
        <v>0</v>
      </c>
      <c r="X25" s="1">
        <f t="shared" si="10"/>
        <v>0</v>
      </c>
      <c r="Y25" s="1">
        <f t="shared" si="11"/>
        <v>0</v>
      </c>
      <c r="Z25" s="1">
        <f t="shared" si="12"/>
        <v>0</v>
      </c>
      <c r="AA25" s="1">
        <f t="shared" si="13"/>
        <v>0</v>
      </c>
      <c r="AB25" s="1">
        <f t="shared" si="14"/>
        <v>0</v>
      </c>
      <c r="AD25" s="1">
        <f t="shared" si="15"/>
        <v>0</v>
      </c>
      <c r="AE25" s="1">
        <f t="shared" si="16"/>
        <v>1</v>
      </c>
      <c r="AF25" s="1">
        <f t="shared" si="1"/>
        <v>0</v>
      </c>
      <c r="AG25" s="1">
        <f t="shared" si="2"/>
        <v>1</v>
      </c>
      <c r="AH25" s="1">
        <f t="shared" si="3"/>
        <v>0</v>
      </c>
      <c r="AI25" s="1">
        <f t="shared" si="4"/>
        <v>1</v>
      </c>
    </row>
    <row r="26" spans="1:35" ht="14.25" customHeight="1" x14ac:dyDescent="0.3">
      <c r="A26" s="38">
        <v>0</v>
      </c>
      <c r="B26" s="38">
        <v>1</v>
      </c>
      <c r="C26" s="38">
        <v>1</v>
      </c>
      <c r="D26" s="39" t="s">
        <v>111</v>
      </c>
      <c r="E26" s="39" t="s">
        <v>169</v>
      </c>
      <c r="F26" s="39" t="s">
        <v>309</v>
      </c>
      <c r="G26" s="39" t="s">
        <v>39</v>
      </c>
      <c r="H26" s="39" t="s">
        <v>353</v>
      </c>
      <c r="I26" s="38" t="s">
        <v>457</v>
      </c>
      <c r="J26" s="38">
        <v>11</v>
      </c>
      <c r="K26" s="40" t="s">
        <v>730</v>
      </c>
      <c r="L26" s="40" t="s">
        <v>39</v>
      </c>
      <c r="M26" s="41" t="s">
        <v>39</v>
      </c>
      <c r="N26" s="42"/>
      <c r="O26" s="43"/>
      <c r="P26" s="43">
        <v>1</v>
      </c>
      <c r="Q26" s="39"/>
      <c r="S26" s="1">
        <f t="shared" si="5"/>
        <v>0</v>
      </c>
      <c r="T26" s="1">
        <f t="shared" si="6"/>
        <v>0</v>
      </c>
      <c r="U26" s="1">
        <f t="shared" si="7"/>
        <v>0</v>
      </c>
      <c r="V26" s="1">
        <f t="shared" si="8"/>
        <v>0</v>
      </c>
      <c r="W26" s="1">
        <f t="shared" si="9"/>
        <v>0</v>
      </c>
      <c r="X26" s="1">
        <f t="shared" si="10"/>
        <v>0</v>
      </c>
      <c r="Y26" s="1">
        <f t="shared" si="11"/>
        <v>0</v>
      </c>
      <c r="Z26" s="1">
        <f t="shared" si="12"/>
        <v>0</v>
      </c>
      <c r="AA26" s="1">
        <f t="shared" si="13"/>
        <v>0</v>
      </c>
      <c r="AB26" s="1">
        <f t="shared" si="14"/>
        <v>0</v>
      </c>
      <c r="AD26" s="1">
        <f t="shared" si="15"/>
        <v>0</v>
      </c>
      <c r="AE26" s="1">
        <f t="shared" si="16"/>
        <v>0</v>
      </c>
      <c r="AF26" s="1">
        <f t="shared" si="1"/>
        <v>0</v>
      </c>
      <c r="AG26" s="1">
        <f t="shared" si="2"/>
        <v>0</v>
      </c>
      <c r="AH26" s="1">
        <f t="shared" si="3"/>
        <v>1</v>
      </c>
      <c r="AI26" s="1">
        <f t="shared" si="4"/>
        <v>0</v>
      </c>
    </row>
    <row r="27" spans="1:35" ht="14.25" customHeight="1" x14ac:dyDescent="0.3">
      <c r="A27" s="44">
        <v>0</v>
      </c>
      <c r="B27" s="44">
        <v>1</v>
      </c>
      <c r="C27" s="44">
        <v>1</v>
      </c>
      <c r="D27" s="45" t="s">
        <v>102</v>
      </c>
      <c r="E27" s="45" t="s">
        <v>170</v>
      </c>
      <c r="F27" s="45" t="s">
        <v>299</v>
      </c>
      <c r="G27" s="45" t="s">
        <v>300</v>
      </c>
      <c r="H27" s="45" t="s">
        <v>352</v>
      </c>
      <c r="I27" s="44" t="s">
        <v>447</v>
      </c>
      <c r="J27" s="44">
        <v>1</v>
      </c>
      <c r="K27" s="46" t="s">
        <v>961</v>
      </c>
      <c r="L27" s="46" t="s">
        <v>1712</v>
      </c>
      <c r="M27" s="47" t="s">
        <v>1377</v>
      </c>
      <c r="N27" s="47" t="s">
        <v>1733</v>
      </c>
      <c r="O27" s="48"/>
      <c r="P27" s="48"/>
      <c r="Q27" s="45"/>
      <c r="S27" s="1">
        <f t="shared" si="5"/>
        <v>1</v>
      </c>
      <c r="T27" s="1">
        <f t="shared" si="6"/>
        <v>0</v>
      </c>
      <c r="U27" s="1">
        <f t="shared" si="7"/>
        <v>0</v>
      </c>
      <c r="V27" s="1">
        <f t="shared" si="8"/>
        <v>0</v>
      </c>
      <c r="W27" s="1">
        <f t="shared" si="9"/>
        <v>0</v>
      </c>
      <c r="X27" s="1">
        <f t="shared" si="10"/>
        <v>0</v>
      </c>
      <c r="Y27" s="1">
        <f t="shared" si="11"/>
        <v>0</v>
      </c>
      <c r="Z27" s="1">
        <f t="shared" si="12"/>
        <v>0</v>
      </c>
      <c r="AA27" s="1">
        <f t="shared" si="13"/>
        <v>0</v>
      </c>
      <c r="AB27" s="1">
        <f t="shared" si="14"/>
        <v>0</v>
      </c>
      <c r="AD27" s="1">
        <f t="shared" si="15"/>
        <v>0</v>
      </c>
      <c r="AE27" s="1">
        <f t="shared" si="16"/>
        <v>0</v>
      </c>
      <c r="AF27" s="1">
        <f t="shared" si="1"/>
        <v>0</v>
      </c>
      <c r="AG27" s="1">
        <f t="shared" si="2"/>
        <v>0</v>
      </c>
      <c r="AH27" s="1">
        <f t="shared" si="3"/>
        <v>0</v>
      </c>
      <c r="AI27" s="1">
        <f t="shared" si="4"/>
        <v>1</v>
      </c>
    </row>
    <row r="28" spans="1:35" ht="14.25" customHeight="1" x14ac:dyDescent="0.3">
      <c r="A28" s="31">
        <v>0</v>
      </c>
      <c r="B28" s="31">
        <v>1</v>
      </c>
      <c r="C28" s="31">
        <v>1</v>
      </c>
      <c r="D28" s="32" t="s">
        <v>113</v>
      </c>
      <c r="E28" s="32" t="s">
        <v>170</v>
      </c>
      <c r="F28" s="32" t="s">
        <v>311</v>
      </c>
      <c r="G28" s="32" t="s">
        <v>312</v>
      </c>
      <c r="H28" s="32" t="s">
        <v>352</v>
      </c>
      <c r="I28" s="31" t="s">
        <v>459</v>
      </c>
      <c r="J28" s="31">
        <v>1</v>
      </c>
      <c r="K28" s="33" t="s">
        <v>964</v>
      </c>
      <c r="L28" s="33" t="s">
        <v>39</v>
      </c>
      <c r="M28" s="34" t="s">
        <v>39</v>
      </c>
      <c r="N28" s="34" t="s">
        <v>1730</v>
      </c>
      <c r="O28" s="35">
        <v>1</v>
      </c>
      <c r="P28" s="35">
        <v>1</v>
      </c>
      <c r="Q28" s="32" t="s">
        <v>1909</v>
      </c>
      <c r="S28" s="1">
        <f t="shared" si="5"/>
        <v>1</v>
      </c>
      <c r="T28" s="1">
        <f t="shared" si="6"/>
        <v>0</v>
      </c>
      <c r="U28" s="1">
        <f t="shared" si="7"/>
        <v>0</v>
      </c>
      <c r="V28" s="1">
        <f t="shared" si="8"/>
        <v>0</v>
      </c>
      <c r="W28" s="1">
        <f t="shared" si="9"/>
        <v>0</v>
      </c>
      <c r="X28" s="1">
        <f t="shared" si="10"/>
        <v>0</v>
      </c>
      <c r="Y28" s="1">
        <f t="shared" si="11"/>
        <v>0</v>
      </c>
      <c r="Z28" s="1">
        <f t="shared" si="12"/>
        <v>0</v>
      </c>
      <c r="AA28" s="1">
        <f t="shared" si="13"/>
        <v>0</v>
      </c>
      <c r="AB28" s="1">
        <f t="shared" si="14"/>
        <v>0</v>
      </c>
      <c r="AD28" s="1">
        <f t="shared" si="15"/>
        <v>1</v>
      </c>
      <c r="AE28" s="1">
        <f t="shared" si="16"/>
        <v>0</v>
      </c>
      <c r="AF28" s="1">
        <f t="shared" si="1"/>
        <v>1</v>
      </c>
      <c r="AG28" s="1">
        <f t="shared" si="2"/>
        <v>0</v>
      </c>
      <c r="AH28" s="1">
        <f t="shared" si="3"/>
        <v>1</v>
      </c>
      <c r="AI28" s="1">
        <f t="shared" si="4"/>
        <v>0</v>
      </c>
    </row>
    <row r="29" spans="1:35" ht="14.25" customHeight="1" x14ac:dyDescent="0.3">
      <c r="A29" s="31">
        <v>0</v>
      </c>
      <c r="B29" s="31">
        <v>1</v>
      </c>
      <c r="C29" s="31">
        <v>1</v>
      </c>
      <c r="D29" s="32" t="s">
        <v>853</v>
      </c>
      <c r="E29" s="32" t="s">
        <v>170</v>
      </c>
      <c r="F29" s="32" t="s">
        <v>854</v>
      </c>
      <c r="G29" s="32" t="s">
        <v>219</v>
      </c>
      <c r="H29" s="32" t="s">
        <v>352</v>
      </c>
      <c r="I29" s="31" t="s">
        <v>855</v>
      </c>
      <c r="J29" s="31">
        <v>8</v>
      </c>
      <c r="K29" s="33" t="s">
        <v>961</v>
      </c>
      <c r="L29" s="33" t="s">
        <v>1707</v>
      </c>
      <c r="M29" s="34" t="s">
        <v>1557</v>
      </c>
      <c r="N29" s="34" t="s">
        <v>1753</v>
      </c>
      <c r="O29" s="35">
        <v>1</v>
      </c>
      <c r="P29" s="35"/>
      <c r="Q29" s="32"/>
      <c r="S29" s="1">
        <f t="shared" si="5"/>
        <v>0</v>
      </c>
      <c r="T29" s="1">
        <f t="shared" si="6"/>
        <v>0</v>
      </c>
      <c r="U29" s="1">
        <f t="shared" si="7"/>
        <v>0</v>
      </c>
      <c r="V29" s="1">
        <f t="shared" si="8"/>
        <v>0</v>
      </c>
      <c r="W29" s="1">
        <f t="shared" si="9"/>
        <v>0</v>
      </c>
      <c r="X29" s="1">
        <f t="shared" si="10"/>
        <v>0</v>
      </c>
      <c r="Y29" s="1">
        <f t="shared" si="11"/>
        <v>0</v>
      </c>
      <c r="Z29" s="1">
        <f t="shared" si="12"/>
        <v>1</v>
      </c>
      <c r="AA29" s="1">
        <f t="shared" si="13"/>
        <v>0</v>
      </c>
      <c r="AB29" s="1">
        <f t="shared" si="14"/>
        <v>0</v>
      </c>
      <c r="AD29" s="1">
        <f t="shared" si="15"/>
        <v>0</v>
      </c>
      <c r="AE29" s="1">
        <f t="shared" si="16"/>
        <v>1</v>
      </c>
      <c r="AF29" s="1">
        <f t="shared" si="1"/>
        <v>0</v>
      </c>
      <c r="AG29" s="1">
        <f t="shared" si="2"/>
        <v>1</v>
      </c>
      <c r="AH29" s="1">
        <f t="shared" si="3"/>
        <v>0</v>
      </c>
      <c r="AI29" s="1">
        <f t="shared" si="4"/>
        <v>1</v>
      </c>
    </row>
    <row r="30" spans="1:35" ht="14.25" customHeight="1" x14ac:dyDescent="0.3">
      <c r="A30" s="38">
        <v>0</v>
      </c>
      <c r="B30" s="38">
        <v>1</v>
      </c>
      <c r="C30" s="38">
        <v>1</v>
      </c>
      <c r="D30" s="39" t="s">
        <v>132</v>
      </c>
      <c r="E30" s="39" t="s">
        <v>170</v>
      </c>
      <c r="F30" s="39" t="s">
        <v>333</v>
      </c>
      <c r="G30" s="39" t="s">
        <v>39</v>
      </c>
      <c r="H30" s="39" t="s">
        <v>355</v>
      </c>
      <c r="I30" s="38" t="s">
        <v>479</v>
      </c>
      <c r="J30" s="38">
        <v>18</v>
      </c>
      <c r="K30" s="40" t="s">
        <v>957</v>
      </c>
      <c r="L30" s="40" t="s">
        <v>39</v>
      </c>
      <c r="M30" s="41" t="s">
        <v>39</v>
      </c>
      <c r="N30" s="42"/>
      <c r="O30" s="43"/>
      <c r="P30" s="43">
        <v>1</v>
      </c>
      <c r="Q30" s="39"/>
      <c r="S30" s="1">
        <f t="shared" si="5"/>
        <v>0</v>
      </c>
      <c r="T30" s="1">
        <f t="shared" si="6"/>
        <v>0</v>
      </c>
      <c r="U30" s="1">
        <f t="shared" si="7"/>
        <v>0</v>
      </c>
      <c r="V30" s="1">
        <f t="shared" si="8"/>
        <v>0</v>
      </c>
      <c r="W30" s="1">
        <f t="shared" si="9"/>
        <v>0</v>
      </c>
      <c r="X30" s="1">
        <f t="shared" si="10"/>
        <v>0</v>
      </c>
      <c r="Y30" s="1">
        <f t="shared" si="11"/>
        <v>0</v>
      </c>
      <c r="Z30" s="1">
        <f t="shared" si="12"/>
        <v>0</v>
      </c>
      <c r="AA30" s="1">
        <f t="shared" si="13"/>
        <v>0</v>
      </c>
      <c r="AB30" s="1">
        <f t="shared" si="14"/>
        <v>0</v>
      </c>
      <c r="AD30" s="1">
        <f t="shared" si="15"/>
        <v>0</v>
      </c>
      <c r="AE30" s="1">
        <f t="shared" si="16"/>
        <v>0</v>
      </c>
      <c r="AF30" s="1">
        <f t="shared" si="1"/>
        <v>0</v>
      </c>
      <c r="AG30" s="1">
        <f t="shared" si="2"/>
        <v>0</v>
      </c>
      <c r="AH30" s="1">
        <f t="shared" si="3"/>
        <v>1</v>
      </c>
      <c r="AI30" s="1">
        <f t="shared" si="4"/>
        <v>0</v>
      </c>
    </row>
    <row r="31" spans="1:35" ht="14.25" customHeight="1" x14ac:dyDescent="0.3">
      <c r="A31" s="44">
        <v>0</v>
      </c>
      <c r="B31" s="44">
        <v>1</v>
      </c>
      <c r="C31" s="44">
        <v>1</v>
      </c>
      <c r="D31" s="45" t="s">
        <v>143</v>
      </c>
      <c r="E31" s="45" t="s">
        <v>173</v>
      </c>
      <c r="F31" s="45" t="s">
        <v>344</v>
      </c>
      <c r="G31" s="45" t="s">
        <v>39</v>
      </c>
      <c r="H31" s="45" t="s">
        <v>365</v>
      </c>
      <c r="I31" s="44" t="s">
        <v>489</v>
      </c>
      <c r="J31" s="44">
        <v>18</v>
      </c>
      <c r="K31" s="46" t="s">
        <v>961</v>
      </c>
      <c r="L31" s="46">
        <v>70</v>
      </c>
      <c r="M31" s="47" t="s">
        <v>1378</v>
      </c>
      <c r="N31" s="47" t="s">
        <v>1731</v>
      </c>
      <c r="O31" s="48"/>
      <c r="P31" s="48"/>
      <c r="Q31" s="65" t="s">
        <v>1903</v>
      </c>
      <c r="S31" s="1">
        <f t="shared" si="5"/>
        <v>0</v>
      </c>
      <c r="T31" s="1">
        <f t="shared" si="6"/>
        <v>0</v>
      </c>
      <c r="U31" s="1">
        <f t="shared" si="7"/>
        <v>0</v>
      </c>
      <c r="V31" s="1">
        <f t="shared" si="8"/>
        <v>0</v>
      </c>
      <c r="W31" s="1">
        <f t="shared" si="9"/>
        <v>0</v>
      </c>
      <c r="X31" s="1">
        <f t="shared" si="10"/>
        <v>0</v>
      </c>
      <c r="Y31" s="1">
        <f t="shared" si="11"/>
        <v>0</v>
      </c>
      <c r="Z31" s="1">
        <f t="shared" si="12"/>
        <v>0</v>
      </c>
      <c r="AA31" s="1">
        <f t="shared" si="13"/>
        <v>0</v>
      </c>
      <c r="AB31" s="1">
        <f t="shared" si="14"/>
        <v>0</v>
      </c>
      <c r="AD31" s="1">
        <f t="shared" si="15"/>
        <v>0</v>
      </c>
      <c r="AE31" s="1">
        <f t="shared" si="16"/>
        <v>0</v>
      </c>
      <c r="AF31" s="1">
        <f t="shared" si="1"/>
        <v>0</v>
      </c>
      <c r="AG31" s="1">
        <f t="shared" si="2"/>
        <v>0</v>
      </c>
      <c r="AH31" s="1">
        <f t="shared" si="3"/>
        <v>0</v>
      </c>
      <c r="AI31" s="1">
        <f t="shared" si="4"/>
        <v>1</v>
      </c>
    </row>
    <row r="32" spans="1:35" ht="14.25" customHeight="1" x14ac:dyDescent="0.3">
      <c r="A32" s="31">
        <v>0</v>
      </c>
      <c r="B32" s="31">
        <v>1</v>
      </c>
      <c r="C32" s="31">
        <v>1</v>
      </c>
      <c r="D32" s="36" t="s">
        <v>151</v>
      </c>
      <c r="E32" s="36" t="s">
        <v>170</v>
      </c>
      <c r="F32" s="36" t="s">
        <v>350</v>
      </c>
      <c r="G32" s="36" t="s">
        <v>193</v>
      </c>
      <c r="H32" s="36" t="s">
        <v>352</v>
      </c>
      <c r="I32" s="37" t="s">
        <v>496</v>
      </c>
      <c r="J32" s="31">
        <v>9</v>
      </c>
      <c r="K32" s="33" t="s">
        <v>957</v>
      </c>
      <c r="L32" s="33" t="s">
        <v>1703</v>
      </c>
      <c r="M32" s="34" t="s">
        <v>1379</v>
      </c>
      <c r="N32" s="34" t="s">
        <v>1753</v>
      </c>
      <c r="O32" s="35">
        <v>1</v>
      </c>
      <c r="P32" s="35"/>
      <c r="Q32" s="36"/>
      <c r="S32" s="1">
        <f t="shared" ref="S32:S35" si="17">IF(J32=$S$7,1,0)</f>
        <v>0</v>
      </c>
      <c r="T32" s="1">
        <f t="shared" ref="T32:T35" si="18">IF(J32=$T$7,1,0)</f>
        <v>0</v>
      </c>
      <c r="U32" s="1">
        <f t="shared" ref="U32:U35" si="19">IF(J32=$U$7,1,0)</f>
        <v>0</v>
      </c>
      <c r="V32" s="1">
        <f t="shared" ref="V32:V35" si="20">IF(J32=$V$7,1,0)</f>
        <v>0</v>
      </c>
      <c r="W32" s="1">
        <f t="shared" ref="W32:W35" si="21">IF(J32=$W$7,1,0)</f>
        <v>0</v>
      </c>
      <c r="X32" s="1">
        <f t="shared" ref="X32:X35" si="22">IF(J32=$X$7,1,0)</f>
        <v>0</v>
      </c>
      <c r="Y32" s="1">
        <f t="shared" ref="Y32:Y35" si="23">IF(J32=$Y$7,1,0)</f>
        <v>0</v>
      </c>
      <c r="Z32" s="1">
        <f t="shared" ref="Z32:Z35" si="24">IF(J32=$Z$7,1,0)</f>
        <v>0</v>
      </c>
      <c r="AA32" s="1">
        <f t="shared" ref="AA32:AA35" si="25">IF(J32=$AA$7,1,0)</f>
        <v>1</v>
      </c>
      <c r="AB32" s="1">
        <f t="shared" ref="AB32:AB35" si="26">IF(J32=$AB$7,1,0)</f>
        <v>0</v>
      </c>
      <c r="AD32" s="1">
        <f t="shared" ref="AD32:AD35" si="27">+O32*P32</f>
        <v>0</v>
      </c>
      <c r="AE32" s="1">
        <f t="shared" ref="AE32:AE35" si="28">O32*(1-P32)</f>
        <v>1</v>
      </c>
      <c r="AF32" s="1">
        <f t="shared" ref="AF32:AF35" si="29">+O32*P32*(1-A32)</f>
        <v>0</v>
      </c>
      <c r="AG32" s="1">
        <f t="shared" ref="AG32:AG35" si="30">O32*(1-P32)*(1-A32)</f>
        <v>1</v>
      </c>
      <c r="AH32" s="1">
        <f t="shared" ref="AH32:AH35" si="31">+P32*(1-A32)</f>
        <v>0</v>
      </c>
      <c r="AI32" s="1">
        <f t="shared" ref="AI32:AI35" si="32">+(1-A32)*(1-P32)</f>
        <v>1</v>
      </c>
    </row>
    <row r="33" spans="1:35" ht="14.25" customHeight="1" x14ac:dyDescent="0.3">
      <c r="A33" s="31">
        <v>0</v>
      </c>
      <c r="B33" s="31">
        <v>1</v>
      </c>
      <c r="C33" s="31">
        <v>2</v>
      </c>
      <c r="D33" s="36" t="s">
        <v>1546</v>
      </c>
      <c r="E33" s="36" t="s">
        <v>1243</v>
      </c>
      <c r="F33" s="36" t="s">
        <v>1547</v>
      </c>
      <c r="G33" s="36" t="s">
        <v>257</v>
      </c>
      <c r="H33" s="36" t="s">
        <v>352</v>
      </c>
      <c r="I33" s="37" t="s">
        <v>470</v>
      </c>
      <c r="J33" s="31">
        <v>8</v>
      </c>
      <c r="K33" s="33" t="s">
        <v>699</v>
      </c>
      <c r="L33" s="33" t="s">
        <v>686</v>
      </c>
      <c r="M33" s="34" t="s">
        <v>687</v>
      </c>
      <c r="N33" s="34" t="s">
        <v>1786</v>
      </c>
      <c r="O33" s="35">
        <v>1</v>
      </c>
      <c r="P33" s="35"/>
      <c r="Q33" s="36"/>
      <c r="S33" s="1">
        <f t="shared" si="17"/>
        <v>0</v>
      </c>
      <c r="T33" s="1">
        <f t="shared" si="18"/>
        <v>0</v>
      </c>
      <c r="U33" s="1">
        <f t="shared" si="19"/>
        <v>0</v>
      </c>
      <c r="V33" s="1">
        <f t="shared" si="20"/>
        <v>0</v>
      </c>
      <c r="W33" s="1">
        <f t="shared" si="21"/>
        <v>0</v>
      </c>
      <c r="X33" s="1">
        <f t="shared" si="22"/>
        <v>0</v>
      </c>
      <c r="Y33" s="1">
        <f t="shared" si="23"/>
        <v>0</v>
      </c>
      <c r="Z33" s="1">
        <f t="shared" si="24"/>
        <v>1</v>
      </c>
      <c r="AA33" s="1">
        <f t="shared" si="25"/>
        <v>0</v>
      </c>
      <c r="AB33" s="1">
        <f t="shared" si="26"/>
        <v>0</v>
      </c>
      <c r="AD33" s="1">
        <f t="shared" si="27"/>
        <v>0</v>
      </c>
      <c r="AE33" s="1">
        <f t="shared" si="28"/>
        <v>1</v>
      </c>
      <c r="AF33" s="1">
        <f t="shared" si="29"/>
        <v>0</v>
      </c>
      <c r="AG33" s="1">
        <f t="shared" si="30"/>
        <v>1</v>
      </c>
      <c r="AH33" s="1">
        <f t="shared" si="31"/>
        <v>0</v>
      </c>
      <c r="AI33" s="1">
        <f t="shared" si="32"/>
        <v>1</v>
      </c>
    </row>
    <row r="34" spans="1:35" ht="14.25" customHeight="1" x14ac:dyDescent="0.3">
      <c r="A34" s="31">
        <v>0</v>
      </c>
      <c r="B34" s="31">
        <v>1</v>
      </c>
      <c r="C34" s="31">
        <v>2</v>
      </c>
      <c r="D34" s="36" t="s">
        <v>1459</v>
      </c>
      <c r="E34" s="36" t="s">
        <v>1461</v>
      </c>
      <c r="F34" s="36" t="s">
        <v>1460</v>
      </c>
      <c r="G34" s="36"/>
      <c r="H34" s="36" t="s">
        <v>1135</v>
      </c>
      <c r="I34" s="37" t="s">
        <v>1462</v>
      </c>
      <c r="J34" s="31">
        <v>99</v>
      </c>
      <c r="K34" s="33" t="s">
        <v>700</v>
      </c>
      <c r="L34" s="33"/>
      <c r="M34" s="34"/>
      <c r="N34" s="34" t="s">
        <v>1724</v>
      </c>
      <c r="O34" s="35">
        <v>1</v>
      </c>
      <c r="P34" s="35">
        <v>1</v>
      </c>
      <c r="Q34" s="36" t="s">
        <v>1917</v>
      </c>
      <c r="S34" s="1">
        <f t="shared" si="17"/>
        <v>0</v>
      </c>
      <c r="T34" s="1">
        <f t="shared" si="18"/>
        <v>0</v>
      </c>
      <c r="U34" s="1">
        <f t="shared" si="19"/>
        <v>0</v>
      </c>
      <c r="V34" s="1">
        <f t="shared" si="20"/>
        <v>0</v>
      </c>
      <c r="W34" s="1">
        <f t="shared" si="21"/>
        <v>0</v>
      </c>
      <c r="X34" s="1">
        <f t="shared" si="22"/>
        <v>0</v>
      </c>
      <c r="Y34" s="1">
        <f t="shared" si="23"/>
        <v>0</v>
      </c>
      <c r="Z34" s="1">
        <f t="shared" si="24"/>
        <v>0</v>
      </c>
      <c r="AA34" s="1">
        <f t="shared" si="25"/>
        <v>0</v>
      </c>
      <c r="AB34" s="1">
        <f t="shared" si="26"/>
        <v>0</v>
      </c>
      <c r="AD34" s="1">
        <f t="shared" si="27"/>
        <v>1</v>
      </c>
      <c r="AE34" s="1">
        <f t="shared" si="28"/>
        <v>0</v>
      </c>
      <c r="AF34" s="1">
        <f t="shared" si="29"/>
        <v>1</v>
      </c>
      <c r="AG34" s="1">
        <f t="shared" si="30"/>
        <v>0</v>
      </c>
      <c r="AH34" s="1">
        <f t="shared" si="31"/>
        <v>1</v>
      </c>
      <c r="AI34" s="1">
        <f t="shared" si="32"/>
        <v>0</v>
      </c>
    </row>
    <row r="35" spans="1:35" ht="14.25" customHeight="1" x14ac:dyDescent="0.3">
      <c r="A35" s="44">
        <v>0</v>
      </c>
      <c r="B35" s="44">
        <v>1</v>
      </c>
      <c r="C35" s="44">
        <v>2</v>
      </c>
      <c r="D35" s="45" t="s">
        <v>593</v>
      </c>
      <c r="E35" s="45" t="s">
        <v>174</v>
      </c>
      <c r="F35" s="45" t="s">
        <v>594</v>
      </c>
      <c r="G35" s="45" t="s">
        <v>250</v>
      </c>
      <c r="H35" s="45" t="s">
        <v>352</v>
      </c>
      <c r="I35" s="44" t="s">
        <v>595</v>
      </c>
      <c r="J35" s="44">
        <v>99</v>
      </c>
      <c r="K35" s="46" t="s">
        <v>953</v>
      </c>
      <c r="L35" s="46" t="s">
        <v>686</v>
      </c>
      <c r="M35" s="47" t="s">
        <v>1380</v>
      </c>
      <c r="N35" s="47" t="s">
        <v>1744</v>
      </c>
      <c r="O35" s="48"/>
      <c r="P35" s="48"/>
      <c r="Q35" s="45"/>
      <c r="S35" s="1">
        <f t="shared" si="17"/>
        <v>0</v>
      </c>
      <c r="T35" s="1">
        <f t="shared" si="18"/>
        <v>0</v>
      </c>
      <c r="U35" s="1">
        <f t="shared" si="19"/>
        <v>0</v>
      </c>
      <c r="V35" s="1">
        <f t="shared" si="20"/>
        <v>0</v>
      </c>
      <c r="W35" s="1">
        <f t="shared" si="21"/>
        <v>0</v>
      </c>
      <c r="X35" s="1">
        <f t="shared" si="22"/>
        <v>0</v>
      </c>
      <c r="Y35" s="1">
        <f t="shared" si="23"/>
        <v>0</v>
      </c>
      <c r="Z35" s="1">
        <f t="shared" si="24"/>
        <v>0</v>
      </c>
      <c r="AA35" s="1">
        <f t="shared" si="25"/>
        <v>0</v>
      </c>
      <c r="AB35" s="1">
        <f t="shared" si="26"/>
        <v>0</v>
      </c>
      <c r="AD35" s="1">
        <f t="shared" si="27"/>
        <v>0</v>
      </c>
      <c r="AE35" s="1">
        <f t="shared" si="28"/>
        <v>0</v>
      </c>
      <c r="AF35" s="1">
        <f t="shared" si="29"/>
        <v>0</v>
      </c>
      <c r="AG35" s="1">
        <f t="shared" si="30"/>
        <v>0</v>
      </c>
      <c r="AH35" s="1">
        <f t="shared" si="31"/>
        <v>0</v>
      </c>
      <c r="AI35" s="1">
        <f t="shared" si="32"/>
        <v>1</v>
      </c>
    </row>
    <row r="36" spans="1:35" ht="14.25" customHeight="1" x14ac:dyDescent="0.3">
      <c r="A36" s="44">
        <v>0</v>
      </c>
      <c r="B36" s="44">
        <v>1</v>
      </c>
      <c r="C36" s="44">
        <v>2</v>
      </c>
      <c r="D36" s="45" t="s">
        <v>112</v>
      </c>
      <c r="E36" s="45" t="s">
        <v>174</v>
      </c>
      <c r="F36" s="65" t="s">
        <v>1865</v>
      </c>
      <c r="G36" s="45" t="s">
        <v>310</v>
      </c>
      <c r="H36" s="45" t="s">
        <v>352</v>
      </c>
      <c r="I36" s="44" t="s">
        <v>458</v>
      </c>
      <c r="J36" s="44">
        <v>99</v>
      </c>
      <c r="K36" s="46" t="s">
        <v>699</v>
      </c>
      <c r="L36" s="46" t="s">
        <v>686</v>
      </c>
      <c r="M36" s="47" t="s">
        <v>688</v>
      </c>
      <c r="N36" s="47" t="s">
        <v>1799</v>
      </c>
      <c r="O36" s="48"/>
      <c r="P36" s="48"/>
      <c r="Q36" s="45"/>
      <c r="S36" s="1">
        <f t="shared" si="5"/>
        <v>0</v>
      </c>
      <c r="T36" s="1">
        <f t="shared" si="6"/>
        <v>0</v>
      </c>
      <c r="U36" s="1">
        <f t="shared" si="7"/>
        <v>0</v>
      </c>
      <c r="V36" s="1">
        <f t="shared" si="8"/>
        <v>0</v>
      </c>
      <c r="W36" s="1">
        <f t="shared" si="9"/>
        <v>0</v>
      </c>
      <c r="X36" s="1">
        <f t="shared" si="10"/>
        <v>0</v>
      </c>
      <c r="Y36" s="1">
        <f t="shared" si="11"/>
        <v>0</v>
      </c>
      <c r="Z36" s="1">
        <f t="shared" si="12"/>
        <v>0</v>
      </c>
      <c r="AA36" s="1">
        <f t="shared" si="13"/>
        <v>0</v>
      </c>
      <c r="AB36" s="1">
        <f t="shared" si="14"/>
        <v>0</v>
      </c>
      <c r="AD36" s="1">
        <f t="shared" si="15"/>
        <v>0</v>
      </c>
      <c r="AE36" s="1">
        <f t="shared" si="16"/>
        <v>0</v>
      </c>
      <c r="AF36" s="1">
        <f t="shared" si="1"/>
        <v>0</v>
      </c>
      <c r="AG36" s="1">
        <f t="shared" si="2"/>
        <v>0</v>
      </c>
      <c r="AH36" s="1">
        <f t="shared" si="3"/>
        <v>0</v>
      </c>
      <c r="AI36" s="1">
        <f t="shared" si="4"/>
        <v>1</v>
      </c>
    </row>
    <row r="37" spans="1:35" ht="14.25" customHeight="1" x14ac:dyDescent="0.3">
      <c r="A37" s="31">
        <v>0</v>
      </c>
      <c r="B37" s="31">
        <v>1</v>
      </c>
      <c r="C37" s="31">
        <v>2</v>
      </c>
      <c r="D37" s="36" t="s">
        <v>1759</v>
      </c>
      <c r="E37" s="36" t="s">
        <v>154</v>
      </c>
      <c r="F37" s="36" t="s">
        <v>1760</v>
      </c>
      <c r="G37" s="36"/>
      <c r="H37" s="36" t="s">
        <v>1761</v>
      </c>
      <c r="I37" s="37" t="s">
        <v>1762</v>
      </c>
      <c r="J37" s="31">
        <v>18</v>
      </c>
      <c r="K37" s="33" t="s">
        <v>700</v>
      </c>
      <c r="L37" s="33">
        <v>55</v>
      </c>
      <c r="M37" s="34" t="s">
        <v>1474</v>
      </c>
      <c r="N37" s="34" t="s">
        <v>1730</v>
      </c>
      <c r="O37" s="35">
        <v>1</v>
      </c>
      <c r="P37" s="35">
        <v>1</v>
      </c>
      <c r="Q37" s="36"/>
      <c r="S37" s="1">
        <f t="shared" si="5"/>
        <v>0</v>
      </c>
      <c r="T37" s="1">
        <f t="shared" si="6"/>
        <v>0</v>
      </c>
      <c r="U37" s="1">
        <f t="shared" si="7"/>
        <v>0</v>
      </c>
      <c r="V37" s="1">
        <f t="shared" si="8"/>
        <v>0</v>
      </c>
      <c r="W37" s="1">
        <f t="shared" si="9"/>
        <v>0</v>
      </c>
      <c r="X37" s="1">
        <f t="shared" si="10"/>
        <v>0</v>
      </c>
      <c r="Y37" s="1">
        <f t="shared" si="11"/>
        <v>0</v>
      </c>
      <c r="Z37" s="1">
        <f t="shared" si="12"/>
        <v>0</v>
      </c>
      <c r="AA37" s="1">
        <f t="shared" si="13"/>
        <v>0</v>
      </c>
      <c r="AB37" s="1">
        <f t="shared" si="14"/>
        <v>0</v>
      </c>
      <c r="AD37" s="1">
        <f t="shared" si="15"/>
        <v>1</v>
      </c>
      <c r="AE37" s="1">
        <f t="shared" si="16"/>
        <v>0</v>
      </c>
      <c r="AF37" s="1">
        <f t="shared" si="1"/>
        <v>1</v>
      </c>
      <c r="AG37" s="1">
        <f t="shared" si="2"/>
        <v>0</v>
      </c>
      <c r="AH37" s="1">
        <f t="shared" si="3"/>
        <v>1</v>
      </c>
      <c r="AI37" s="1">
        <f t="shared" si="4"/>
        <v>0</v>
      </c>
    </row>
    <row r="38" spans="1:35" ht="14.25" customHeight="1" x14ac:dyDescent="0.3">
      <c r="A38" s="31">
        <v>0</v>
      </c>
      <c r="B38" s="31">
        <v>1</v>
      </c>
      <c r="C38" s="31">
        <v>2</v>
      </c>
      <c r="D38" s="36" t="s">
        <v>596</v>
      </c>
      <c r="E38" s="36" t="s">
        <v>174</v>
      </c>
      <c r="F38" s="36" t="s">
        <v>597</v>
      </c>
      <c r="G38" s="36" t="s">
        <v>570</v>
      </c>
      <c r="H38" s="36" t="s">
        <v>352</v>
      </c>
      <c r="I38" s="37" t="s">
        <v>598</v>
      </c>
      <c r="J38" s="31">
        <v>1</v>
      </c>
      <c r="K38" s="33" t="s">
        <v>953</v>
      </c>
      <c r="L38" s="33" t="s">
        <v>1700</v>
      </c>
      <c r="M38" s="34" t="s">
        <v>1379</v>
      </c>
      <c r="N38" s="34" t="s">
        <v>1745</v>
      </c>
      <c r="O38" s="35">
        <v>1</v>
      </c>
      <c r="P38" s="35"/>
      <c r="Q38" s="36"/>
      <c r="S38" s="1">
        <f t="shared" si="5"/>
        <v>1</v>
      </c>
      <c r="T38" s="1">
        <f t="shared" si="6"/>
        <v>0</v>
      </c>
      <c r="U38" s="1">
        <f t="shared" si="7"/>
        <v>0</v>
      </c>
      <c r="V38" s="1">
        <f t="shared" si="8"/>
        <v>0</v>
      </c>
      <c r="W38" s="1">
        <f t="shared" si="9"/>
        <v>0</v>
      </c>
      <c r="X38" s="1">
        <f t="shared" si="10"/>
        <v>0</v>
      </c>
      <c r="Y38" s="1">
        <f t="shared" si="11"/>
        <v>0</v>
      </c>
      <c r="Z38" s="1">
        <f t="shared" si="12"/>
        <v>0</v>
      </c>
      <c r="AA38" s="1">
        <f t="shared" si="13"/>
        <v>0</v>
      </c>
      <c r="AB38" s="1">
        <f t="shared" si="14"/>
        <v>0</v>
      </c>
      <c r="AD38" s="1">
        <f t="shared" si="15"/>
        <v>0</v>
      </c>
      <c r="AE38" s="1">
        <f t="shared" si="16"/>
        <v>1</v>
      </c>
      <c r="AF38" s="1">
        <f t="shared" si="1"/>
        <v>0</v>
      </c>
      <c r="AG38" s="1">
        <f t="shared" si="2"/>
        <v>1</v>
      </c>
      <c r="AH38" s="1">
        <f t="shared" si="3"/>
        <v>0</v>
      </c>
      <c r="AI38" s="1">
        <f t="shared" si="4"/>
        <v>1</v>
      </c>
    </row>
    <row r="39" spans="1:35" ht="14.25" customHeight="1" x14ac:dyDescent="0.3">
      <c r="A39" s="31">
        <v>0</v>
      </c>
      <c r="B39" s="31">
        <v>1</v>
      </c>
      <c r="C39" s="31">
        <v>2</v>
      </c>
      <c r="D39" s="36" t="s">
        <v>1748</v>
      </c>
      <c r="E39" s="36" t="s">
        <v>1749</v>
      </c>
      <c r="F39" s="36" t="s">
        <v>1750</v>
      </c>
      <c r="G39" s="36" t="s">
        <v>319</v>
      </c>
      <c r="H39" s="36" t="s">
        <v>352</v>
      </c>
      <c r="I39" s="37" t="s">
        <v>1751</v>
      </c>
      <c r="J39" s="31">
        <v>99</v>
      </c>
      <c r="K39" s="33" t="s">
        <v>700</v>
      </c>
      <c r="L39" s="33"/>
      <c r="M39" s="34"/>
      <c r="N39" s="34" t="s">
        <v>1730</v>
      </c>
      <c r="O39" s="35">
        <v>1</v>
      </c>
      <c r="P39" s="35">
        <v>1</v>
      </c>
      <c r="Q39" s="36"/>
      <c r="S39" s="1">
        <f t="shared" si="5"/>
        <v>0</v>
      </c>
      <c r="T39" s="1">
        <f t="shared" si="6"/>
        <v>0</v>
      </c>
      <c r="U39" s="1">
        <f t="shared" si="7"/>
        <v>0</v>
      </c>
      <c r="V39" s="1">
        <f t="shared" si="8"/>
        <v>0</v>
      </c>
      <c r="W39" s="1">
        <f t="shared" si="9"/>
        <v>0</v>
      </c>
      <c r="X39" s="1">
        <f t="shared" si="10"/>
        <v>0</v>
      </c>
      <c r="Y39" s="1">
        <f t="shared" si="11"/>
        <v>0</v>
      </c>
      <c r="Z39" s="1">
        <f t="shared" si="12"/>
        <v>0</v>
      </c>
      <c r="AA39" s="1">
        <f t="shared" si="13"/>
        <v>0</v>
      </c>
      <c r="AB39" s="1">
        <f t="shared" si="14"/>
        <v>0</v>
      </c>
      <c r="AD39" s="1">
        <f t="shared" si="15"/>
        <v>1</v>
      </c>
      <c r="AE39" s="1">
        <f t="shared" si="16"/>
        <v>0</v>
      </c>
      <c r="AF39" s="1">
        <f t="shared" si="1"/>
        <v>1</v>
      </c>
      <c r="AG39" s="1">
        <f t="shared" si="2"/>
        <v>0</v>
      </c>
      <c r="AH39" s="1">
        <f t="shared" si="3"/>
        <v>1</v>
      </c>
      <c r="AI39" s="1">
        <f t="shared" si="4"/>
        <v>0</v>
      </c>
    </row>
    <row r="40" spans="1:35" ht="14.25" customHeight="1" x14ac:dyDescent="0.3">
      <c r="A40" s="44">
        <v>0</v>
      </c>
      <c r="B40" s="44">
        <v>1</v>
      </c>
      <c r="C40" s="44">
        <v>2</v>
      </c>
      <c r="D40" s="45" t="s">
        <v>639</v>
      </c>
      <c r="E40" s="45" t="s">
        <v>174</v>
      </c>
      <c r="F40" s="45" t="s">
        <v>640</v>
      </c>
      <c r="G40" s="45" t="s">
        <v>219</v>
      </c>
      <c r="H40" s="45" t="s">
        <v>352</v>
      </c>
      <c r="I40" s="44" t="s">
        <v>1108</v>
      </c>
      <c r="J40" s="44">
        <v>8</v>
      </c>
      <c r="K40" s="46" t="s">
        <v>953</v>
      </c>
      <c r="L40" s="46" t="s">
        <v>1697</v>
      </c>
      <c r="M40" s="47" t="s">
        <v>1374</v>
      </c>
      <c r="N40" s="47" t="s">
        <v>1734</v>
      </c>
      <c r="O40" s="48"/>
      <c r="P40" s="48"/>
      <c r="Q40" s="45"/>
      <c r="S40" s="1">
        <f t="shared" si="5"/>
        <v>0</v>
      </c>
      <c r="T40" s="1">
        <f t="shared" si="6"/>
        <v>0</v>
      </c>
      <c r="U40" s="1">
        <f t="shared" si="7"/>
        <v>0</v>
      </c>
      <c r="V40" s="1">
        <f t="shared" si="8"/>
        <v>0</v>
      </c>
      <c r="W40" s="1">
        <f t="shared" si="9"/>
        <v>0</v>
      </c>
      <c r="X40" s="1">
        <f t="shared" si="10"/>
        <v>0</v>
      </c>
      <c r="Y40" s="1">
        <f t="shared" si="11"/>
        <v>0</v>
      </c>
      <c r="Z40" s="1">
        <f t="shared" si="12"/>
        <v>1</v>
      </c>
      <c r="AA40" s="1">
        <f t="shared" si="13"/>
        <v>0</v>
      </c>
      <c r="AB40" s="1">
        <f t="shared" si="14"/>
        <v>0</v>
      </c>
      <c r="AD40" s="1">
        <f t="shared" si="15"/>
        <v>0</v>
      </c>
      <c r="AE40" s="1">
        <f t="shared" si="16"/>
        <v>0</v>
      </c>
      <c r="AF40" s="1">
        <f t="shared" si="1"/>
        <v>0</v>
      </c>
      <c r="AG40" s="1">
        <f t="shared" si="2"/>
        <v>0</v>
      </c>
      <c r="AH40" s="1">
        <f t="shared" si="3"/>
        <v>0</v>
      </c>
      <c r="AI40" s="1">
        <f t="shared" si="4"/>
        <v>1</v>
      </c>
    </row>
    <row r="41" spans="1:35" ht="14.25" customHeight="1" x14ac:dyDescent="0.3">
      <c r="A41" s="31">
        <v>0</v>
      </c>
      <c r="B41" s="31">
        <v>1</v>
      </c>
      <c r="C41" s="31">
        <v>2</v>
      </c>
      <c r="D41" s="36" t="s">
        <v>1509</v>
      </c>
      <c r="E41" s="36" t="s">
        <v>174</v>
      </c>
      <c r="F41" s="36" t="s">
        <v>1657</v>
      </c>
      <c r="G41" s="36" t="s">
        <v>1511</v>
      </c>
      <c r="H41" s="36" t="s">
        <v>352</v>
      </c>
      <c r="I41" s="37" t="s">
        <v>1510</v>
      </c>
      <c r="J41" s="31">
        <v>99</v>
      </c>
      <c r="K41" s="33" t="s">
        <v>954</v>
      </c>
      <c r="L41" s="33" t="s">
        <v>39</v>
      </c>
      <c r="M41" s="34" t="s">
        <v>39</v>
      </c>
      <c r="N41" s="34" t="s">
        <v>1724</v>
      </c>
      <c r="O41" s="35">
        <v>1</v>
      </c>
      <c r="P41" s="35">
        <v>1</v>
      </c>
      <c r="Q41" s="36"/>
      <c r="S41" s="1">
        <f t="shared" si="5"/>
        <v>0</v>
      </c>
      <c r="T41" s="1">
        <f t="shared" si="6"/>
        <v>0</v>
      </c>
      <c r="U41" s="1">
        <f t="shared" si="7"/>
        <v>0</v>
      </c>
      <c r="V41" s="1">
        <f t="shared" si="8"/>
        <v>0</v>
      </c>
      <c r="W41" s="1">
        <f t="shared" si="9"/>
        <v>0</v>
      </c>
      <c r="X41" s="1">
        <f t="shared" si="10"/>
        <v>0</v>
      </c>
      <c r="Y41" s="1">
        <f t="shared" si="11"/>
        <v>0</v>
      </c>
      <c r="Z41" s="1">
        <f t="shared" si="12"/>
        <v>0</v>
      </c>
      <c r="AA41" s="1">
        <f t="shared" si="13"/>
        <v>0</v>
      </c>
      <c r="AB41" s="1">
        <f t="shared" si="14"/>
        <v>0</v>
      </c>
      <c r="AD41" s="1">
        <f t="shared" si="15"/>
        <v>1</v>
      </c>
      <c r="AE41" s="1">
        <f t="shared" si="16"/>
        <v>0</v>
      </c>
      <c r="AF41" s="1">
        <f t="shared" si="1"/>
        <v>1</v>
      </c>
      <c r="AG41" s="1">
        <f t="shared" si="2"/>
        <v>0</v>
      </c>
      <c r="AH41" s="1">
        <f t="shared" si="3"/>
        <v>1</v>
      </c>
      <c r="AI41" s="1">
        <f t="shared" si="4"/>
        <v>0</v>
      </c>
    </row>
    <row r="42" spans="1:35" ht="14.25" customHeight="1" x14ac:dyDescent="0.3">
      <c r="A42" s="31">
        <v>0</v>
      </c>
      <c r="B42" s="31">
        <v>1</v>
      </c>
      <c r="C42" s="31">
        <v>2</v>
      </c>
      <c r="D42" s="32" t="s">
        <v>877</v>
      </c>
      <c r="E42" s="32" t="s">
        <v>173</v>
      </c>
      <c r="F42" s="32" t="s">
        <v>878</v>
      </c>
      <c r="G42" s="32" t="s">
        <v>39</v>
      </c>
      <c r="H42" s="32" t="s">
        <v>373</v>
      </c>
      <c r="I42" s="31" t="s">
        <v>879</v>
      </c>
      <c r="J42" s="31">
        <v>12</v>
      </c>
      <c r="K42" s="33" t="s">
        <v>699</v>
      </c>
      <c r="L42" s="33" t="s">
        <v>1701</v>
      </c>
      <c r="M42" s="34" t="s">
        <v>1381</v>
      </c>
      <c r="N42" s="34" t="s">
        <v>1822</v>
      </c>
      <c r="O42" s="35">
        <v>1</v>
      </c>
      <c r="P42" s="35"/>
      <c r="Q42" s="32"/>
      <c r="S42" s="1">
        <f t="shared" si="5"/>
        <v>0</v>
      </c>
      <c r="T42" s="1">
        <f t="shared" si="6"/>
        <v>0</v>
      </c>
      <c r="U42" s="1">
        <f t="shared" si="7"/>
        <v>0</v>
      </c>
      <c r="V42" s="1">
        <f t="shared" si="8"/>
        <v>0</v>
      </c>
      <c r="W42" s="1">
        <f t="shared" si="9"/>
        <v>0</v>
      </c>
      <c r="X42" s="1">
        <f t="shared" si="10"/>
        <v>0</v>
      </c>
      <c r="Y42" s="1">
        <f t="shared" si="11"/>
        <v>0</v>
      </c>
      <c r="Z42" s="1">
        <f t="shared" si="12"/>
        <v>0</v>
      </c>
      <c r="AA42" s="1">
        <f t="shared" si="13"/>
        <v>0</v>
      </c>
      <c r="AB42" s="1">
        <f t="shared" si="14"/>
        <v>0</v>
      </c>
      <c r="AD42" s="1">
        <f t="shared" si="15"/>
        <v>0</v>
      </c>
      <c r="AE42" s="1">
        <f t="shared" si="16"/>
        <v>1</v>
      </c>
      <c r="AF42" s="1">
        <f t="shared" si="1"/>
        <v>0</v>
      </c>
      <c r="AG42" s="1">
        <f t="shared" si="2"/>
        <v>1</v>
      </c>
      <c r="AH42" s="1">
        <f t="shared" si="3"/>
        <v>0</v>
      </c>
      <c r="AI42" s="1">
        <f t="shared" si="4"/>
        <v>1</v>
      </c>
    </row>
    <row r="43" spans="1:35" ht="14.25" customHeight="1" x14ac:dyDescent="0.3">
      <c r="A43" s="44">
        <v>0</v>
      </c>
      <c r="B43" s="44">
        <v>1</v>
      </c>
      <c r="C43" s="44">
        <v>2</v>
      </c>
      <c r="D43" s="45" t="s">
        <v>1812</v>
      </c>
      <c r="E43" s="45" t="s">
        <v>174</v>
      </c>
      <c r="F43" s="45" t="s">
        <v>1813</v>
      </c>
      <c r="G43" s="45" t="s">
        <v>193</v>
      </c>
      <c r="H43" s="45" t="s">
        <v>352</v>
      </c>
      <c r="I43" s="44" t="s">
        <v>1814</v>
      </c>
      <c r="J43" s="44">
        <v>9</v>
      </c>
      <c r="K43" s="46" t="s">
        <v>700</v>
      </c>
      <c r="L43" s="46">
        <v>60</v>
      </c>
      <c r="M43" s="47" t="s">
        <v>1815</v>
      </c>
      <c r="N43" s="47" t="s">
        <v>1806</v>
      </c>
      <c r="O43" s="48"/>
      <c r="P43" s="48"/>
      <c r="Q43" s="45"/>
      <c r="S43" s="1">
        <f t="shared" si="5"/>
        <v>0</v>
      </c>
      <c r="T43" s="1">
        <f t="shared" si="6"/>
        <v>0</v>
      </c>
      <c r="U43" s="1">
        <f t="shared" si="7"/>
        <v>0</v>
      </c>
      <c r="V43" s="1">
        <f t="shared" si="8"/>
        <v>0</v>
      </c>
      <c r="W43" s="1">
        <f t="shared" si="9"/>
        <v>0</v>
      </c>
      <c r="X43" s="1">
        <f t="shared" si="10"/>
        <v>0</v>
      </c>
      <c r="Y43" s="1">
        <f t="shared" si="11"/>
        <v>0</v>
      </c>
      <c r="Z43" s="1">
        <f t="shared" si="12"/>
        <v>0</v>
      </c>
      <c r="AA43" s="1">
        <f t="shared" si="13"/>
        <v>1</v>
      </c>
      <c r="AB43" s="1">
        <f t="shared" si="14"/>
        <v>0</v>
      </c>
      <c r="AD43" s="1">
        <f t="shared" si="15"/>
        <v>0</v>
      </c>
      <c r="AE43" s="1">
        <f t="shared" si="16"/>
        <v>0</v>
      </c>
      <c r="AF43" s="1">
        <f t="shared" si="1"/>
        <v>0</v>
      </c>
      <c r="AG43" s="1">
        <f t="shared" si="2"/>
        <v>0</v>
      </c>
      <c r="AH43" s="1">
        <f t="shared" si="3"/>
        <v>0</v>
      </c>
      <c r="AI43" s="1">
        <f t="shared" si="4"/>
        <v>1</v>
      </c>
    </row>
    <row r="44" spans="1:35" ht="14.25" customHeight="1" x14ac:dyDescent="0.3">
      <c r="A44" s="44">
        <v>0</v>
      </c>
      <c r="B44" s="44">
        <v>1</v>
      </c>
      <c r="C44" s="44">
        <v>2</v>
      </c>
      <c r="D44" s="45" t="s">
        <v>138</v>
      </c>
      <c r="E44" s="45" t="s">
        <v>174</v>
      </c>
      <c r="F44" s="65" t="s">
        <v>1876</v>
      </c>
      <c r="G44" s="45" t="s">
        <v>199</v>
      </c>
      <c r="H44" s="45" t="s">
        <v>352</v>
      </c>
      <c r="I44" s="44" t="s">
        <v>484</v>
      </c>
      <c r="J44" s="44">
        <v>2</v>
      </c>
      <c r="K44" s="46" t="s">
        <v>953</v>
      </c>
      <c r="L44" s="46" t="s">
        <v>690</v>
      </c>
      <c r="M44" s="47" t="s">
        <v>688</v>
      </c>
      <c r="N44" s="47" t="s">
        <v>1735</v>
      </c>
      <c r="O44" s="48"/>
      <c r="P44" s="48"/>
      <c r="Q44" s="65" t="s">
        <v>1904</v>
      </c>
      <c r="S44" s="1">
        <f t="shared" si="5"/>
        <v>0</v>
      </c>
      <c r="T44" s="1">
        <f t="shared" si="6"/>
        <v>1</v>
      </c>
      <c r="U44" s="1">
        <f t="shared" si="7"/>
        <v>0</v>
      </c>
      <c r="V44" s="1">
        <f t="shared" si="8"/>
        <v>0</v>
      </c>
      <c r="W44" s="1">
        <f t="shared" si="9"/>
        <v>0</v>
      </c>
      <c r="X44" s="1">
        <f t="shared" si="10"/>
        <v>0</v>
      </c>
      <c r="Y44" s="1">
        <f t="shared" si="11"/>
        <v>0</v>
      </c>
      <c r="Z44" s="1">
        <f t="shared" si="12"/>
        <v>0</v>
      </c>
      <c r="AA44" s="1">
        <f t="shared" si="13"/>
        <v>0</v>
      </c>
      <c r="AB44" s="1">
        <f t="shared" si="14"/>
        <v>0</v>
      </c>
      <c r="AD44" s="1">
        <f t="shared" si="15"/>
        <v>0</v>
      </c>
      <c r="AE44" s="1">
        <f t="shared" si="16"/>
        <v>0</v>
      </c>
      <c r="AF44" s="1">
        <f t="shared" si="1"/>
        <v>0</v>
      </c>
      <c r="AG44" s="1">
        <f t="shared" si="2"/>
        <v>0</v>
      </c>
      <c r="AH44" s="1">
        <f t="shared" si="3"/>
        <v>0</v>
      </c>
      <c r="AI44" s="1">
        <f t="shared" si="4"/>
        <v>1</v>
      </c>
    </row>
    <row r="45" spans="1:35" ht="14.25" customHeight="1" x14ac:dyDescent="0.3">
      <c r="A45" s="31">
        <v>0</v>
      </c>
      <c r="B45" s="31">
        <v>1</v>
      </c>
      <c r="C45" s="31">
        <v>2</v>
      </c>
      <c r="D45" s="32" t="s">
        <v>835</v>
      </c>
      <c r="E45" s="32" t="s">
        <v>174</v>
      </c>
      <c r="F45" s="32" t="s">
        <v>837</v>
      </c>
      <c r="G45" s="32" t="s">
        <v>39</v>
      </c>
      <c r="H45" s="32" t="s">
        <v>352</v>
      </c>
      <c r="I45" s="31" t="s">
        <v>836</v>
      </c>
      <c r="J45" s="31">
        <v>99</v>
      </c>
      <c r="K45" s="33" t="s">
        <v>959</v>
      </c>
      <c r="L45" s="33" t="s">
        <v>39</v>
      </c>
      <c r="M45" s="34" t="s">
        <v>39</v>
      </c>
      <c r="N45" s="34" t="s">
        <v>1730</v>
      </c>
      <c r="O45" s="35">
        <v>1</v>
      </c>
      <c r="P45" s="35">
        <v>1</v>
      </c>
      <c r="Q45" s="32"/>
      <c r="S45" s="1">
        <f t="shared" si="5"/>
        <v>0</v>
      </c>
      <c r="T45" s="1">
        <f t="shared" si="6"/>
        <v>0</v>
      </c>
      <c r="U45" s="1">
        <f t="shared" si="7"/>
        <v>0</v>
      </c>
      <c r="V45" s="1">
        <f t="shared" si="8"/>
        <v>0</v>
      </c>
      <c r="W45" s="1">
        <f t="shared" si="9"/>
        <v>0</v>
      </c>
      <c r="X45" s="1">
        <f t="shared" si="10"/>
        <v>0</v>
      </c>
      <c r="Y45" s="1">
        <f t="shared" si="11"/>
        <v>0</v>
      </c>
      <c r="Z45" s="1">
        <f t="shared" si="12"/>
        <v>0</v>
      </c>
      <c r="AA45" s="1">
        <f t="shared" si="13"/>
        <v>0</v>
      </c>
      <c r="AB45" s="1">
        <f t="shared" si="14"/>
        <v>0</v>
      </c>
      <c r="AD45" s="1">
        <f t="shared" si="15"/>
        <v>1</v>
      </c>
      <c r="AE45" s="1">
        <f t="shared" si="16"/>
        <v>0</v>
      </c>
      <c r="AF45" s="1">
        <f t="shared" si="1"/>
        <v>1</v>
      </c>
      <c r="AG45" s="1">
        <f t="shared" si="2"/>
        <v>0</v>
      </c>
      <c r="AH45" s="1">
        <f t="shared" si="3"/>
        <v>1</v>
      </c>
      <c r="AI45" s="1">
        <f t="shared" si="4"/>
        <v>0</v>
      </c>
    </row>
    <row r="46" spans="1:35" ht="14.25" customHeight="1" x14ac:dyDescent="0.3">
      <c r="A46" s="44">
        <v>0</v>
      </c>
      <c r="B46" s="44">
        <v>1</v>
      </c>
      <c r="C46" s="44">
        <v>2</v>
      </c>
      <c r="D46" s="45" t="s">
        <v>912</v>
      </c>
      <c r="E46" s="45" t="s">
        <v>174</v>
      </c>
      <c r="F46" s="45" t="s">
        <v>780</v>
      </c>
      <c r="G46" s="45" t="s">
        <v>39</v>
      </c>
      <c r="H46" s="45" t="s">
        <v>373</v>
      </c>
      <c r="I46" s="44" t="s">
        <v>781</v>
      </c>
      <c r="J46" s="44">
        <v>12</v>
      </c>
      <c r="K46" s="46" t="s">
        <v>719</v>
      </c>
      <c r="L46" s="46" t="s">
        <v>1696</v>
      </c>
      <c r="M46" s="47" t="s">
        <v>1116</v>
      </c>
      <c r="N46" s="47" t="s">
        <v>1799</v>
      </c>
      <c r="O46" s="48"/>
      <c r="P46" s="48"/>
      <c r="Q46" s="45"/>
      <c r="S46" s="1">
        <f t="shared" si="5"/>
        <v>0</v>
      </c>
      <c r="T46" s="1">
        <f t="shared" si="6"/>
        <v>0</v>
      </c>
      <c r="U46" s="1">
        <f t="shared" si="7"/>
        <v>0</v>
      </c>
      <c r="V46" s="1">
        <f t="shared" si="8"/>
        <v>0</v>
      </c>
      <c r="W46" s="1">
        <f t="shared" si="9"/>
        <v>0</v>
      </c>
      <c r="X46" s="1">
        <f t="shared" si="10"/>
        <v>0</v>
      </c>
      <c r="Y46" s="1">
        <f t="shared" si="11"/>
        <v>0</v>
      </c>
      <c r="Z46" s="1">
        <f t="shared" si="12"/>
        <v>0</v>
      </c>
      <c r="AA46" s="1">
        <f t="shared" si="13"/>
        <v>0</v>
      </c>
      <c r="AB46" s="1">
        <f t="shared" si="14"/>
        <v>0</v>
      </c>
      <c r="AD46" s="1">
        <f t="shared" si="15"/>
        <v>0</v>
      </c>
      <c r="AE46" s="1">
        <f t="shared" si="16"/>
        <v>0</v>
      </c>
      <c r="AF46" s="1">
        <f t="shared" si="1"/>
        <v>0</v>
      </c>
      <c r="AG46" s="1">
        <f t="shared" si="2"/>
        <v>0</v>
      </c>
      <c r="AH46" s="1">
        <f t="shared" si="3"/>
        <v>0</v>
      </c>
      <c r="AI46" s="1">
        <f t="shared" si="4"/>
        <v>1</v>
      </c>
    </row>
    <row r="47" spans="1:35" ht="14.25" customHeight="1" x14ac:dyDescent="0.3">
      <c r="A47" s="38">
        <v>0</v>
      </c>
      <c r="B47" s="38">
        <v>1</v>
      </c>
      <c r="C47" s="38">
        <v>2</v>
      </c>
      <c r="D47" s="39" t="s">
        <v>1632</v>
      </c>
      <c r="E47" s="39" t="s">
        <v>173</v>
      </c>
      <c r="F47" s="39" t="s">
        <v>1658</v>
      </c>
      <c r="G47" s="39" t="s">
        <v>250</v>
      </c>
      <c r="H47" s="39" t="s">
        <v>352</v>
      </c>
      <c r="I47" s="38" t="s">
        <v>1560</v>
      </c>
      <c r="J47" s="38">
        <v>99</v>
      </c>
      <c r="K47" s="40" t="s">
        <v>954</v>
      </c>
      <c r="L47" s="40" t="s">
        <v>39</v>
      </c>
      <c r="M47" s="41" t="s">
        <v>39</v>
      </c>
      <c r="N47" s="42"/>
      <c r="O47" s="43"/>
      <c r="P47" s="43">
        <v>1</v>
      </c>
      <c r="Q47" s="39"/>
      <c r="S47" s="1">
        <f t="shared" si="5"/>
        <v>0</v>
      </c>
      <c r="T47" s="1">
        <f t="shared" si="6"/>
        <v>0</v>
      </c>
      <c r="U47" s="1">
        <f t="shared" si="7"/>
        <v>0</v>
      </c>
      <c r="V47" s="1">
        <f t="shared" si="8"/>
        <v>0</v>
      </c>
      <c r="W47" s="1">
        <f t="shared" si="9"/>
        <v>0</v>
      </c>
      <c r="X47" s="1">
        <f t="shared" si="10"/>
        <v>0</v>
      </c>
      <c r="Y47" s="1">
        <f t="shared" si="11"/>
        <v>0</v>
      </c>
      <c r="Z47" s="1">
        <f t="shared" si="12"/>
        <v>0</v>
      </c>
      <c r="AA47" s="1">
        <f t="shared" si="13"/>
        <v>0</v>
      </c>
      <c r="AB47" s="1">
        <f t="shared" si="14"/>
        <v>0</v>
      </c>
      <c r="AD47" s="1">
        <f t="shared" si="15"/>
        <v>0</v>
      </c>
      <c r="AE47" s="1">
        <f t="shared" si="16"/>
        <v>0</v>
      </c>
      <c r="AF47" s="1">
        <f t="shared" si="1"/>
        <v>0</v>
      </c>
      <c r="AG47" s="1">
        <f t="shared" si="2"/>
        <v>0</v>
      </c>
      <c r="AH47" s="1">
        <f t="shared" si="3"/>
        <v>1</v>
      </c>
      <c r="AI47" s="1">
        <f t="shared" si="4"/>
        <v>0</v>
      </c>
    </row>
    <row r="48" spans="1:35" ht="14.25" customHeight="1" x14ac:dyDescent="0.3">
      <c r="A48" s="31">
        <v>0</v>
      </c>
      <c r="B48" s="31">
        <v>1</v>
      </c>
      <c r="C48" s="31">
        <v>2</v>
      </c>
      <c r="D48" s="32" t="s">
        <v>1528</v>
      </c>
      <c r="E48" s="32" t="s">
        <v>1646</v>
      </c>
      <c r="F48" s="32" t="s">
        <v>1529</v>
      </c>
      <c r="G48" s="32" t="s">
        <v>199</v>
      </c>
      <c r="H48" s="32" t="s">
        <v>352</v>
      </c>
      <c r="I48" s="31" t="s">
        <v>1530</v>
      </c>
      <c r="J48" s="31">
        <v>2</v>
      </c>
      <c r="K48" s="33" t="s">
        <v>953</v>
      </c>
      <c r="L48" s="33">
        <v>70</v>
      </c>
      <c r="M48" s="34" t="s">
        <v>39</v>
      </c>
      <c r="N48" s="34" t="s">
        <v>1786</v>
      </c>
      <c r="O48" s="35">
        <v>1</v>
      </c>
      <c r="P48" s="35"/>
      <c r="Q48" s="32"/>
      <c r="S48" s="1">
        <f t="shared" si="5"/>
        <v>0</v>
      </c>
      <c r="T48" s="1">
        <f t="shared" si="6"/>
        <v>1</v>
      </c>
      <c r="U48" s="1">
        <f t="shared" si="7"/>
        <v>0</v>
      </c>
      <c r="V48" s="1">
        <f t="shared" si="8"/>
        <v>0</v>
      </c>
      <c r="W48" s="1">
        <f t="shared" si="9"/>
        <v>0</v>
      </c>
      <c r="X48" s="1">
        <f t="shared" si="10"/>
        <v>0</v>
      </c>
      <c r="Y48" s="1">
        <f t="shared" si="11"/>
        <v>0</v>
      </c>
      <c r="Z48" s="1">
        <f t="shared" si="12"/>
        <v>0</v>
      </c>
      <c r="AA48" s="1">
        <f t="shared" si="13"/>
        <v>0</v>
      </c>
      <c r="AB48" s="1">
        <f t="shared" si="14"/>
        <v>0</v>
      </c>
      <c r="AD48" s="1">
        <f t="shared" si="15"/>
        <v>0</v>
      </c>
      <c r="AE48" s="1">
        <f t="shared" si="16"/>
        <v>1</v>
      </c>
      <c r="AF48" s="1">
        <f t="shared" si="1"/>
        <v>0</v>
      </c>
      <c r="AG48" s="1">
        <f t="shared" si="2"/>
        <v>1</v>
      </c>
      <c r="AH48" s="1">
        <f t="shared" si="3"/>
        <v>0</v>
      </c>
      <c r="AI48" s="1">
        <f t="shared" si="4"/>
        <v>1</v>
      </c>
    </row>
    <row r="49" spans="1:35" ht="14.25" customHeight="1" x14ac:dyDescent="0.3">
      <c r="A49" s="44">
        <v>0</v>
      </c>
      <c r="B49" s="44">
        <v>1</v>
      </c>
      <c r="C49" s="44">
        <v>2</v>
      </c>
      <c r="D49" s="45" t="s">
        <v>1464</v>
      </c>
      <c r="E49" s="45" t="s">
        <v>1647</v>
      </c>
      <c r="F49" s="45" t="s">
        <v>1463</v>
      </c>
      <c r="G49" s="45" t="s">
        <v>219</v>
      </c>
      <c r="H49" s="45" t="s">
        <v>352</v>
      </c>
      <c r="I49" s="44" t="s">
        <v>1684</v>
      </c>
      <c r="J49" s="44">
        <v>8</v>
      </c>
      <c r="K49" s="46" t="s">
        <v>699</v>
      </c>
      <c r="L49" s="46">
        <v>70</v>
      </c>
      <c r="M49" s="47" t="s">
        <v>39</v>
      </c>
      <c r="N49" s="47" t="s">
        <v>1734</v>
      </c>
      <c r="O49" s="48"/>
      <c r="P49" s="48"/>
      <c r="Q49" s="45"/>
      <c r="S49" s="1">
        <f t="shared" si="5"/>
        <v>0</v>
      </c>
      <c r="T49" s="1">
        <f t="shared" si="6"/>
        <v>0</v>
      </c>
      <c r="U49" s="1">
        <f t="shared" si="7"/>
        <v>0</v>
      </c>
      <c r="V49" s="1">
        <f t="shared" si="8"/>
        <v>0</v>
      </c>
      <c r="W49" s="1">
        <f t="shared" si="9"/>
        <v>0</v>
      </c>
      <c r="X49" s="1">
        <f t="shared" si="10"/>
        <v>0</v>
      </c>
      <c r="Y49" s="1">
        <f t="shared" si="11"/>
        <v>0</v>
      </c>
      <c r="Z49" s="1">
        <f t="shared" si="12"/>
        <v>1</v>
      </c>
      <c r="AA49" s="1">
        <f t="shared" si="13"/>
        <v>0</v>
      </c>
      <c r="AB49" s="1">
        <f t="shared" si="14"/>
        <v>0</v>
      </c>
      <c r="AD49" s="1">
        <f t="shared" si="15"/>
        <v>0</v>
      </c>
      <c r="AE49" s="1">
        <f t="shared" si="16"/>
        <v>0</v>
      </c>
      <c r="AF49" s="1">
        <f t="shared" si="1"/>
        <v>0</v>
      </c>
      <c r="AG49" s="1">
        <f t="shared" si="2"/>
        <v>0</v>
      </c>
      <c r="AH49" s="1">
        <f t="shared" si="3"/>
        <v>0</v>
      </c>
      <c r="AI49" s="1">
        <f t="shared" si="4"/>
        <v>1</v>
      </c>
    </row>
    <row r="50" spans="1:35" ht="14.25" customHeight="1" x14ac:dyDescent="0.3">
      <c r="A50" s="31">
        <v>0</v>
      </c>
      <c r="B50" s="31">
        <v>1</v>
      </c>
      <c r="C50" s="31">
        <v>2</v>
      </c>
      <c r="D50" s="32" t="s">
        <v>808</v>
      </c>
      <c r="E50" s="32" t="s">
        <v>174</v>
      </c>
      <c r="F50" s="32" t="s">
        <v>809</v>
      </c>
      <c r="G50" s="32" t="s">
        <v>39</v>
      </c>
      <c r="H50" s="32" t="s">
        <v>810</v>
      </c>
      <c r="I50" s="31" t="s">
        <v>811</v>
      </c>
      <c r="J50" s="31">
        <v>11</v>
      </c>
      <c r="K50" s="33" t="s">
        <v>700</v>
      </c>
      <c r="L50" s="33">
        <v>50</v>
      </c>
      <c r="M50" s="34" t="s">
        <v>1116</v>
      </c>
      <c r="N50" s="34" t="s">
        <v>1943</v>
      </c>
      <c r="O50" s="35">
        <v>1</v>
      </c>
      <c r="P50" s="35"/>
      <c r="Q50" s="32"/>
      <c r="S50" s="1">
        <f t="shared" si="5"/>
        <v>0</v>
      </c>
      <c r="T50" s="1">
        <f t="shared" si="6"/>
        <v>0</v>
      </c>
      <c r="U50" s="1">
        <f t="shared" si="7"/>
        <v>0</v>
      </c>
      <c r="V50" s="1">
        <f t="shared" si="8"/>
        <v>0</v>
      </c>
      <c r="W50" s="1">
        <f t="shared" si="9"/>
        <v>0</v>
      </c>
      <c r="X50" s="1">
        <f t="shared" si="10"/>
        <v>0</v>
      </c>
      <c r="Y50" s="1">
        <f t="shared" si="11"/>
        <v>0</v>
      </c>
      <c r="Z50" s="1">
        <f t="shared" si="12"/>
        <v>0</v>
      </c>
      <c r="AA50" s="1">
        <f t="shared" si="13"/>
        <v>0</v>
      </c>
      <c r="AB50" s="1">
        <f t="shared" si="14"/>
        <v>0</v>
      </c>
      <c r="AD50" s="1">
        <f t="shared" si="15"/>
        <v>0</v>
      </c>
      <c r="AE50" s="1">
        <f t="shared" si="16"/>
        <v>1</v>
      </c>
      <c r="AF50" s="1">
        <f t="shared" si="1"/>
        <v>0</v>
      </c>
      <c r="AG50" s="1">
        <f t="shared" si="2"/>
        <v>1</v>
      </c>
      <c r="AH50" s="1">
        <f t="shared" si="3"/>
        <v>0</v>
      </c>
      <c r="AI50" s="1">
        <f t="shared" si="4"/>
        <v>1</v>
      </c>
    </row>
    <row r="51" spans="1:35" ht="14.25" customHeight="1" x14ac:dyDescent="0.3">
      <c r="A51" s="31">
        <v>0</v>
      </c>
      <c r="B51" s="31">
        <v>1</v>
      </c>
      <c r="C51" s="31">
        <v>2</v>
      </c>
      <c r="D51" s="32" t="s">
        <v>1468</v>
      </c>
      <c r="E51" s="32"/>
      <c r="F51" s="32" t="s">
        <v>1469</v>
      </c>
      <c r="G51" s="32" t="s">
        <v>1470</v>
      </c>
      <c r="H51" s="32" t="s">
        <v>352</v>
      </c>
      <c r="I51" s="31" t="s">
        <v>1471</v>
      </c>
      <c r="J51" s="31">
        <v>99</v>
      </c>
      <c r="K51" s="33" t="s">
        <v>700</v>
      </c>
      <c r="L51" s="33">
        <v>35</v>
      </c>
      <c r="M51" s="34" t="s">
        <v>1476</v>
      </c>
      <c r="N51" s="34" t="s">
        <v>1745</v>
      </c>
      <c r="O51" s="35">
        <v>1</v>
      </c>
      <c r="P51" s="35"/>
      <c r="Q51" s="32"/>
      <c r="S51" s="1">
        <f t="shared" si="5"/>
        <v>0</v>
      </c>
      <c r="T51" s="1">
        <f t="shared" si="6"/>
        <v>0</v>
      </c>
      <c r="U51" s="1">
        <f t="shared" si="7"/>
        <v>0</v>
      </c>
      <c r="V51" s="1">
        <f t="shared" si="8"/>
        <v>0</v>
      </c>
      <c r="W51" s="1">
        <f t="shared" si="9"/>
        <v>0</v>
      </c>
      <c r="X51" s="1">
        <f t="shared" si="10"/>
        <v>0</v>
      </c>
      <c r="Y51" s="1">
        <f t="shared" si="11"/>
        <v>0</v>
      </c>
      <c r="Z51" s="1">
        <f t="shared" si="12"/>
        <v>0</v>
      </c>
      <c r="AA51" s="1">
        <f t="shared" si="13"/>
        <v>0</v>
      </c>
      <c r="AB51" s="1">
        <f t="shared" si="14"/>
        <v>0</v>
      </c>
      <c r="AD51" s="1">
        <f t="shared" si="15"/>
        <v>0</v>
      </c>
      <c r="AE51" s="1">
        <f t="shared" si="16"/>
        <v>1</v>
      </c>
      <c r="AF51" s="1">
        <f t="shared" si="1"/>
        <v>0</v>
      </c>
      <c r="AG51" s="1">
        <f t="shared" si="2"/>
        <v>1</v>
      </c>
      <c r="AH51" s="1">
        <f t="shared" si="3"/>
        <v>0</v>
      </c>
      <c r="AI51" s="1">
        <f t="shared" si="4"/>
        <v>1</v>
      </c>
    </row>
    <row r="52" spans="1:35" ht="14.25" customHeight="1" x14ac:dyDescent="0.3">
      <c r="A52" s="31">
        <v>0</v>
      </c>
      <c r="B52" s="31">
        <v>1</v>
      </c>
      <c r="C52" s="31">
        <v>2</v>
      </c>
      <c r="D52" s="32" t="s">
        <v>1998</v>
      </c>
      <c r="E52" s="32" t="s">
        <v>174</v>
      </c>
      <c r="F52" s="32" t="s">
        <v>1999</v>
      </c>
      <c r="G52" s="32" t="s">
        <v>2000</v>
      </c>
      <c r="H52" s="32" t="s">
        <v>352</v>
      </c>
      <c r="I52" s="31" t="s">
        <v>2001</v>
      </c>
      <c r="J52" s="31">
        <v>99</v>
      </c>
      <c r="K52" s="33" t="s">
        <v>700</v>
      </c>
      <c r="L52" s="33"/>
      <c r="M52" s="34"/>
      <c r="N52" s="34" t="s">
        <v>1730</v>
      </c>
      <c r="O52" s="35">
        <v>1</v>
      </c>
      <c r="P52" s="35">
        <v>1</v>
      </c>
      <c r="Q52" s="32" t="s">
        <v>2002</v>
      </c>
      <c r="S52" s="1">
        <f t="shared" ref="S52:S54" si="33">IF(J52=$S$7,1,0)</f>
        <v>0</v>
      </c>
      <c r="T52" s="1">
        <f t="shared" ref="T52:T54" si="34">IF(J52=$T$7,1,0)</f>
        <v>0</v>
      </c>
      <c r="U52" s="1">
        <f t="shared" ref="U52:U54" si="35">IF(J52=$U$7,1,0)</f>
        <v>0</v>
      </c>
      <c r="V52" s="1">
        <f t="shared" ref="V52:V54" si="36">IF(J52=$V$7,1,0)</f>
        <v>0</v>
      </c>
      <c r="W52" s="1">
        <f t="shared" ref="W52:W54" si="37">IF(J52=$W$7,1,0)</f>
        <v>0</v>
      </c>
      <c r="X52" s="1">
        <f t="shared" ref="X52:X54" si="38">IF(J52=$X$7,1,0)</f>
        <v>0</v>
      </c>
      <c r="Y52" s="1">
        <f t="shared" ref="Y52:Y54" si="39">IF(J52=$Y$7,1,0)</f>
        <v>0</v>
      </c>
      <c r="Z52" s="1">
        <f t="shared" ref="Z52:Z54" si="40">IF(J52=$Z$7,1,0)</f>
        <v>0</v>
      </c>
      <c r="AA52" s="1">
        <f t="shared" ref="AA52:AA54" si="41">IF(J52=$AA$7,1,0)</f>
        <v>0</v>
      </c>
      <c r="AB52" s="1">
        <f t="shared" ref="AB52:AB54" si="42">IF(J52=$AB$7,1,0)</f>
        <v>0</v>
      </c>
      <c r="AD52" s="1">
        <f t="shared" ref="AD52:AD54" si="43">+O52*P52</f>
        <v>1</v>
      </c>
      <c r="AE52" s="1">
        <f t="shared" ref="AE52:AE54" si="44">O52*(1-P52)</f>
        <v>0</v>
      </c>
      <c r="AF52" s="1">
        <f t="shared" ref="AF52:AF54" si="45">+O52*P52*(1-A52)</f>
        <v>1</v>
      </c>
      <c r="AG52" s="1">
        <f t="shared" ref="AG52:AG54" si="46">O52*(1-P52)*(1-A52)</f>
        <v>0</v>
      </c>
      <c r="AH52" s="1">
        <f t="shared" ref="AH52:AH54" si="47">+P52*(1-A52)</f>
        <v>1</v>
      </c>
      <c r="AI52" s="1">
        <f t="shared" ref="AI52:AI54" si="48">+(1-A52)*(1-P52)</f>
        <v>0</v>
      </c>
    </row>
    <row r="53" spans="1:35" ht="14.25" customHeight="1" x14ac:dyDescent="0.3">
      <c r="A53" s="44">
        <v>0</v>
      </c>
      <c r="B53" s="44">
        <v>1</v>
      </c>
      <c r="C53" s="44">
        <v>2</v>
      </c>
      <c r="D53" s="45" t="s">
        <v>121</v>
      </c>
      <c r="E53" s="45" t="s">
        <v>174</v>
      </c>
      <c r="F53" s="45" t="s">
        <v>652</v>
      </c>
      <c r="G53" s="45" t="s">
        <v>39</v>
      </c>
      <c r="H53" s="45" t="s">
        <v>369</v>
      </c>
      <c r="I53" s="44" t="s">
        <v>466</v>
      </c>
      <c r="J53" s="44">
        <v>11</v>
      </c>
      <c r="K53" s="46" t="s">
        <v>700</v>
      </c>
      <c r="L53" s="46">
        <v>40</v>
      </c>
      <c r="M53" s="47" t="s">
        <v>688</v>
      </c>
      <c r="N53" s="47" t="s">
        <v>1799</v>
      </c>
      <c r="O53" s="48"/>
      <c r="P53" s="48"/>
      <c r="Q53" s="45"/>
      <c r="S53" s="1">
        <f t="shared" si="33"/>
        <v>0</v>
      </c>
      <c r="T53" s="1">
        <f t="shared" si="34"/>
        <v>0</v>
      </c>
      <c r="U53" s="1">
        <f t="shared" si="35"/>
        <v>0</v>
      </c>
      <c r="V53" s="1">
        <f t="shared" si="36"/>
        <v>0</v>
      </c>
      <c r="W53" s="1">
        <f t="shared" si="37"/>
        <v>0</v>
      </c>
      <c r="X53" s="1">
        <f t="shared" si="38"/>
        <v>0</v>
      </c>
      <c r="Y53" s="1">
        <f t="shared" si="39"/>
        <v>0</v>
      </c>
      <c r="Z53" s="1">
        <f t="shared" si="40"/>
        <v>0</v>
      </c>
      <c r="AA53" s="1">
        <f t="shared" si="41"/>
        <v>0</v>
      </c>
      <c r="AB53" s="1">
        <f t="shared" si="42"/>
        <v>0</v>
      </c>
      <c r="AD53" s="1">
        <f t="shared" si="43"/>
        <v>0</v>
      </c>
      <c r="AE53" s="1">
        <f t="shared" si="44"/>
        <v>0</v>
      </c>
      <c r="AF53" s="1">
        <f t="shared" si="45"/>
        <v>0</v>
      </c>
      <c r="AG53" s="1">
        <f t="shared" si="46"/>
        <v>0</v>
      </c>
      <c r="AH53" s="1">
        <f t="shared" si="47"/>
        <v>0</v>
      </c>
      <c r="AI53" s="1">
        <f t="shared" si="48"/>
        <v>1</v>
      </c>
    </row>
    <row r="54" spans="1:35" ht="14.25" customHeight="1" x14ac:dyDescent="0.3">
      <c r="A54" s="31">
        <v>0</v>
      </c>
      <c r="B54" s="31">
        <v>1</v>
      </c>
      <c r="C54" s="31">
        <v>2</v>
      </c>
      <c r="D54" s="32" t="s">
        <v>1051</v>
      </c>
      <c r="E54" s="32" t="s">
        <v>174</v>
      </c>
      <c r="F54" s="32" t="s">
        <v>1052</v>
      </c>
      <c r="G54" s="32" t="s">
        <v>1053</v>
      </c>
      <c r="H54" s="32" t="s">
        <v>352</v>
      </c>
      <c r="I54" s="31" t="s">
        <v>1054</v>
      </c>
      <c r="J54" s="31">
        <v>1</v>
      </c>
      <c r="K54" s="33" t="s">
        <v>719</v>
      </c>
      <c r="L54" s="33" t="s">
        <v>684</v>
      </c>
      <c r="M54" s="34" t="s">
        <v>1116</v>
      </c>
      <c r="N54" s="34" t="s">
        <v>1786</v>
      </c>
      <c r="O54" s="35">
        <v>1</v>
      </c>
      <c r="P54" s="35"/>
      <c r="Q54" s="32" t="s">
        <v>1907</v>
      </c>
      <c r="S54" s="1">
        <f t="shared" si="33"/>
        <v>1</v>
      </c>
      <c r="T54" s="1">
        <f t="shared" si="34"/>
        <v>0</v>
      </c>
      <c r="U54" s="1">
        <f t="shared" si="35"/>
        <v>0</v>
      </c>
      <c r="V54" s="1">
        <f t="shared" si="36"/>
        <v>0</v>
      </c>
      <c r="W54" s="1">
        <f t="shared" si="37"/>
        <v>0</v>
      </c>
      <c r="X54" s="1">
        <f t="shared" si="38"/>
        <v>0</v>
      </c>
      <c r="Y54" s="1">
        <f t="shared" si="39"/>
        <v>0</v>
      </c>
      <c r="Z54" s="1">
        <f t="shared" si="40"/>
        <v>0</v>
      </c>
      <c r="AA54" s="1">
        <f t="shared" si="41"/>
        <v>0</v>
      </c>
      <c r="AB54" s="1">
        <f t="shared" si="42"/>
        <v>0</v>
      </c>
      <c r="AD54" s="1">
        <f t="shared" si="43"/>
        <v>0</v>
      </c>
      <c r="AE54" s="1">
        <f t="shared" si="44"/>
        <v>1</v>
      </c>
      <c r="AF54" s="1">
        <f t="shared" si="45"/>
        <v>0</v>
      </c>
      <c r="AG54" s="1">
        <f t="shared" si="46"/>
        <v>1</v>
      </c>
      <c r="AH54" s="1">
        <f t="shared" si="47"/>
        <v>0</v>
      </c>
      <c r="AI54" s="1">
        <f t="shared" si="48"/>
        <v>1</v>
      </c>
    </row>
    <row r="55" spans="1:35" ht="14.25" customHeight="1" x14ac:dyDescent="0.3">
      <c r="A55" s="31">
        <v>0</v>
      </c>
      <c r="B55" s="31">
        <v>1</v>
      </c>
      <c r="C55" s="31">
        <v>2</v>
      </c>
      <c r="D55" s="32" t="s">
        <v>1636</v>
      </c>
      <c r="E55" s="32" t="s">
        <v>174</v>
      </c>
      <c r="F55" s="32" t="s">
        <v>1662</v>
      </c>
      <c r="G55" s="32" t="s">
        <v>1663</v>
      </c>
      <c r="H55" s="32" t="s">
        <v>352</v>
      </c>
      <c r="I55" s="31" t="s">
        <v>1475</v>
      </c>
      <c r="J55" s="31">
        <v>99</v>
      </c>
      <c r="K55" s="33" t="s">
        <v>699</v>
      </c>
      <c r="L55" s="33">
        <v>45</v>
      </c>
      <c r="M55" s="34" t="s">
        <v>39</v>
      </c>
      <c r="N55" s="34" t="s">
        <v>1752</v>
      </c>
      <c r="O55" s="35">
        <v>1</v>
      </c>
      <c r="P55" s="35"/>
      <c r="Q55" s="32" t="s">
        <v>2049</v>
      </c>
      <c r="S55" s="1">
        <f t="shared" si="5"/>
        <v>0</v>
      </c>
      <c r="T55" s="1">
        <f t="shared" si="6"/>
        <v>0</v>
      </c>
      <c r="U55" s="1">
        <f t="shared" si="7"/>
        <v>0</v>
      </c>
      <c r="V55" s="1">
        <f t="shared" si="8"/>
        <v>0</v>
      </c>
      <c r="W55" s="1">
        <f t="shared" si="9"/>
        <v>0</v>
      </c>
      <c r="X55" s="1">
        <f t="shared" si="10"/>
        <v>0</v>
      </c>
      <c r="Y55" s="1">
        <f t="shared" si="11"/>
        <v>0</v>
      </c>
      <c r="Z55" s="1">
        <f t="shared" si="12"/>
        <v>0</v>
      </c>
      <c r="AA55" s="1">
        <f t="shared" si="13"/>
        <v>0</v>
      </c>
      <c r="AB55" s="1">
        <f t="shared" si="14"/>
        <v>0</v>
      </c>
      <c r="AD55" s="1">
        <f t="shared" si="15"/>
        <v>0</v>
      </c>
      <c r="AE55" s="1">
        <f t="shared" si="16"/>
        <v>1</v>
      </c>
      <c r="AF55" s="1">
        <f t="shared" si="1"/>
        <v>0</v>
      </c>
      <c r="AG55" s="1">
        <f t="shared" si="2"/>
        <v>1</v>
      </c>
      <c r="AH55" s="1">
        <f t="shared" si="3"/>
        <v>0</v>
      </c>
      <c r="AI55" s="1">
        <f t="shared" si="4"/>
        <v>1</v>
      </c>
    </row>
    <row r="56" spans="1:35" ht="14.25" customHeight="1" x14ac:dyDescent="0.3">
      <c r="A56" s="44">
        <v>0</v>
      </c>
      <c r="B56" s="44">
        <v>1</v>
      </c>
      <c r="C56" s="44">
        <v>2</v>
      </c>
      <c r="D56" s="45" t="s">
        <v>644</v>
      </c>
      <c r="E56" s="45" t="s">
        <v>174</v>
      </c>
      <c r="F56" s="45" t="s">
        <v>599</v>
      </c>
      <c r="G56" s="45" t="s">
        <v>592</v>
      </c>
      <c r="H56" s="45" t="s">
        <v>352</v>
      </c>
      <c r="I56" s="44" t="s">
        <v>674</v>
      </c>
      <c r="J56" s="44">
        <v>1</v>
      </c>
      <c r="K56" s="46" t="s">
        <v>699</v>
      </c>
      <c r="L56" s="46" t="s">
        <v>1697</v>
      </c>
      <c r="M56" s="47" t="s">
        <v>1382</v>
      </c>
      <c r="N56" s="47" t="s">
        <v>1732</v>
      </c>
      <c r="O56" s="48"/>
      <c r="P56" s="48"/>
      <c r="Q56" s="45"/>
      <c r="S56" s="1">
        <f t="shared" si="5"/>
        <v>1</v>
      </c>
      <c r="T56" s="1">
        <f t="shared" si="6"/>
        <v>0</v>
      </c>
      <c r="U56" s="1">
        <f t="shared" si="7"/>
        <v>0</v>
      </c>
      <c r="V56" s="1">
        <f t="shared" si="8"/>
        <v>0</v>
      </c>
      <c r="W56" s="1">
        <f t="shared" si="9"/>
        <v>0</v>
      </c>
      <c r="X56" s="1">
        <f t="shared" si="10"/>
        <v>0</v>
      </c>
      <c r="Y56" s="1">
        <f t="shared" si="11"/>
        <v>0</v>
      </c>
      <c r="Z56" s="1">
        <f t="shared" si="12"/>
        <v>0</v>
      </c>
      <c r="AA56" s="1">
        <f t="shared" si="13"/>
        <v>0</v>
      </c>
      <c r="AB56" s="1">
        <f t="shared" si="14"/>
        <v>0</v>
      </c>
      <c r="AD56" s="1">
        <f t="shared" si="15"/>
        <v>0</v>
      </c>
      <c r="AE56" s="1">
        <f t="shared" si="16"/>
        <v>0</v>
      </c>
      <c r="AF56" s="1">
        <f t="shared" si="1"/>
        <v>0</v>
      </c>
      <c r="AG56" s="1">
        <f t="shared" si="2"/>
        <v>0</v>
      </c>
      <c r="AH56" s="1">
        <f t="shared" si="3"/>
        <v>0</v>
      </c>
      <c r="AI56" s="1">
        <f t="shared" si="4"/>
        <v>1</v>
      </c>
    </row>
    <row r="57" spans="1:35" ht="14.25" customHeight="1" x14ac:dyDescent="0.3">
      <c r="A57" s="15">
        <v>0</v>
      </c>
      <c r="B57" s="15">
        <v>1</v>
      </c>
      <c r="C57" s="15">
        <v>2</v>
      </c>
      <c r="D57" s="16" t="s">
        <v>1187</v>
      </c>
      <c r="E57" s="16" t="s">
        <v>173</v>
      </c>
      <c r="F57" s="16" t="s">
        <v>1188</v>
      </c>
      <c r="G57" s="16" t="s">
        <v>39</v>
      </c>
      <c r="H57" s="16" t="s">
        <v>1190</v>
      </c>
      <c r="I57" s="15" t="s">
        <v>1189</v>
      </c>
      <c r="J57" s="15">
        <v>17</v>
      </c>
      <c r="K57" s="10" t="s">
        <v>700</v>
      </c>
      <c r="L57" s="10" t="s">
        <v>1383</v>
      </c>
      <c r="M57" s="19" t="s">
        <v>1384</v>
      </c>
      <c r="N57" s="17"/>
      <c r="Q57" s="16" t="s">
        <v>1883</v>
      </c>
      <c r="S57" s="1">
        <f t="shared" si="5"/>
        <v>0</v>
      </c>
      <c r="T57" s="1">
        <f t="shared" si="6"/>
        <v>0</v>
      </c>
      <c r="U57" s="1">
        <f t="shared" si="7"/>
        <v>0</v>
      </c>
      <c r="V57" s="1">
        <f t="shared" si="8"/>
        <v>0</v>
      </c>
      <c r="W57" s="1">
        <f t="shared" si="9"/>
        <v>0</v>
      </c>
      <c r="X57" s="1">
        <f t="shared" si="10"/>
        <v>0</v>
      </c>
      <c r="Y57" s="1">
        <f t="shared" si="11"/>
        <v>0</v>
      </c>
      <c r="Z57" s="1">
        <f t="shared" si="12"/>
        <v>0</v>
      </c>
      <c r="AA57" s="1">
        <f t="shared" si="13"/>
        <v>0</v>
      </c>
      <c r="AB57" s="1">
        <f t="shared" si="14"/>
        <v>0</v>
      </c>
      <c r="AD57" s="1">
        <f t="shared" si="15"/>
        <v>0</v>
      </c>
      <c r="AE57" s="1">
        <f t="shared" si="16"/>
        <v>0</v>
      </c>
      <c r="AF57" s="1">
        <f t="shared" si="1"/>
        <v>0</v>
      </c>
      <c r="AG57" s="1">
        <f t="shared" si="2"/>
        <v>0</v>
      </c>
      <c r="AH57" s="1">
        <f t="shared" si="3"/>
        <v>0</v>
      </c>
      <c r="AI57" s="1">
        <f t="shared" si="4"/>
        <v>1</v>
      </c>
    </row>
    <row r="58" spans="1:35" ht="14.25" customHeight="1" x14ac:dyDescent="0.3">
      <c r="A58" s="15">
        <v>0</v>
      </c>
      <c r="B58" s="15">
        <v>1</v>
      </c>
      <c r="C58" s="15">
        <v>2</v>
      </c>
      <c r="D58" s="16" t="s">
        <v>1198</v>
      </c>
      <c r="E58" s="16" t="s">
        <v>173</v>
      </c>
      <c r="F58" s="16" t="s">
        <v>1199</v>
      </c>
      <c r="G58" s="16" t="s">
        <v>39</v>
      </c>
      <c r="H58" s="16" t="s">
        <v>1200</v>
      </c>
      <c r="I58" s="15" t="s">
        <v>1201</v>
      </c>
      <c r="J58" s="15">
        <v>18</v>
      </c>
      <c r="K58" s="10" t="s">
        <v>954</v>
      </c>
      <c r="L58" s="10" t="s">
        <v>692</v>
      </c>
      <c r="M58" s="19" t="s">
        <v>967</v>
      </c>
      <c r="N58" s="17"/>
      <c r="Q58" s="16" t="s">
        <v>1882</v>
      </c>
      <c r="S58" s="1">
        <f t="shared" si="5"/>
        <v>0</v>
      </c>
      <c r="T58" s="1">
        <f t="shared" si="6"/>
        <v>0</v>
      </c>
      <c r="U58" s="1">
        <f t="shared" si="7"/>
        <v>0</v>
      </c>
      <c r="V58" s="1">
        <f t="shared" si="8"/>
        <v>0</v>
      </c>
      <c r="W58" s="1">
        <f t="shared" si="9"/>
        <v>0</v>
      </c>
      <c r="X58" s="1">
        <f t="shared" si="10"/>
        <v>0</v>
      </c>
      <c r="Y58" s="1">
        <f t="shared" si="11"/>
        <v>0</v>
      </c>
      <c r="Z58" s="1">
        <f t="shared" si="12"/>
        <v>0</v>
      </c>
      <c r="AA58" s="1">
        <f t="shared" si="13"/>
        <v>0</v>
      </c>
      <c r="AB58" s="1">
        <f t="shared" si="14"/>
        <v>0</v>
      </c>
      <c r="AD58" s="1">
        <f t="shared" si="15"/>
        <v>0</v>
      </c>
      <c r="AE58" s="1">
        <f t="shared" si="16"/>
        <v>0</v>
      </c>
      <c r="AF58" s="1">
        <f t="shared" si="1"/>
        <v>0</v>
      </c>
      <c r="AG58" s="1">
        <f t="shared" si="2"/>
        <v>0</v>
      </c>
      <c r="AH58" s="1">
        <f t="shared" si="3"/>
        <v>0</v>
      </c>
      <c r="AI58" s="1">
        <f t="shared" si="4"/>
        <v>1</v>
      </c>
    </row>
    <row r="59" spans="1:35" ht="14.25" customHeight="1" x14ac:dyDescent="0.3">
      <c r="A59" s="15">
        <v>0</v>
      </c>
      <c r="B59" s="15">
        <v>1</v>
      </c>
      <c r="C59" s="15">
        <v>2</v>
      </c>
      <c r="D59" s="16" t="s">
        <v>1026</v>
      </c>
      <c r="E59" s="16" t="s">
        <v>174</v>
      </c>
      <c r="F59" s="16" t="s">
        <v>1028</v>
      </c>
      <c r="G59" s="16" t="s">
        <v>39</v>
      </c>
      <c r="H59" s="16" t="s">
        <v>363</v>
      </c>
      <c r="I59" s="15" t="s">
        <v>1027</v>
      </c>
      <c r="J59" s="15">
        <v>18</v>
      </c>
      <c r="K59" s="10" t="s">
        <v>699</v>
      </c>
      <c r="L59" s="10" t="s">
        <v>1138</v>
      </c>
      <c r="M59" s="19" t="s">
        <v>688</v>
      </c>
      <c r="N59" s="17"/>
      <c r="Q59" s="16"/>
      <c r="S59" s="1">
        <f t="shared" si="5"/>
        <v>0</v>
      </c>
      <c r="T59" s="1">
        <f t="shared" si="6"/>
        <v>0</v>
      </c>
      <c r="U59" s="1">
        <f t="shared" si="7"/>
        <v>0</v>
      </c>
      <c r="V59" s="1">
        <f t="shared" si="8"/>
        <v>0</v>
      </c>
      <c r="W59" s="1">
        <f t="shared" si="9"/>
        <v>0</v>
      </c>
      <c r="X59" s="1">
        <f t="shared" si="10"/>
        <v>0</v>
      </c>
      <c r="Y59" s="1">
        <f t="shared" si="11"/>
        <v>0</v>
      </c>
      <c r="Z59" s="1">
        <f t="shared" si="12"/>
        <v>0</v>
      </c>
      <c r="AA59" s="1">
        <f t="shared" si="13"/>
        <v>0</v>
      </c>
      <c r="AB59" s="1">
        <f t="shared" si="14"/>
        <v>0</v>
      </c>
      <c r="AD59" s="1">
        <f t="shared" si="15"/>
        <v>0</v>
      </c>
      <c r="AE59" s="1">
        <f t="shared" si="16"/>
        <v>0</v>
      </c>
      <c r="AF59" s="1">
        <f t="shared" si="1"/>
        <v>0</v>
      </c>
      <c r="AG59" s="1">
        <f t="shared" si="2"/>
        <v>0</v>
      </c>
      <c r="AH59" s="1">
        <f t="shared" si="3"/>
        <v>0</v>
      </c>
      <c r="AI59" s="1">
        <f t="shared" si="4"/>
        <v>1</v>
      </c>
    </row>
    <row r="60" spans="1:35" ht="14.25" customHeight="1" x14ac:dyDescent="0.3">
      <c r="A60" s="31">
        <v>0</v>
      </c>
      <c r="B60" s="31">
        <v>1</v>
      </c>
      <c r="C60" s="31">
        <v>2</v>
      </c>
      <c r="D60" s="32" t="s">
        <v>1589</v>
      </c>
      <c r="E60" s="32" t="s">
        <v>174</v>
      </c>
      <c r="F60" s="32" t="s">
        <v>1590</v>
      </c>
      <c r="G60" s="32" t="s">
        <v>1591</v>
      </c>
      <c r="H60" s="32" t="s">
        <v>352</v>
      </c>
      <c r="I60" s="31" t="s">
        <v>1484</v>
      </c>
      <c r="J60" s="31">
        <v>99</v>
      </c>
      <c r="K60" s="33" t="s">
        <v>699</v>
      </c>
      <c r="L60" s="33" t="s">
        <v>39</v>
      </c>
      <c r="M60" s="34" t="s">
        <v>39</v>
      </c>
      <c r="N60" s="34" t="s">
        <v>1724</v>
      </c>
      <c r="O60" s="35">
        <v>1</v>
      </c>
      <c r="P60" s="35">
        <v>1</v>
      </c>
      <c r="Q60" s="32"/>
      <c r="S60" s="1">
        <f t="shared" si="5"/>
        <v>0</v>
      </c>
      <c r="T60" s="1">
        <f t="shared" si="6"/>
        <v>0</v>
      </c>
      <c r="U60" s="1">
        <f t="shared" si="7"/>
        <v>0</v>
      </c>
      <c r="V60" s="1">
        <f t="shared" si="8"/>
        <v>0</v>
      </c>
      <c r="W60" s="1">
        <f t="shared" si="9"/>
        <v>0</v>
      </c>
      <c r="X60" s="1">
        <f t="shared" si="10"/>
        <v>0</v>
      </c>
      <c r="Y60" s="1">
        <f t="shared" si="11"/>
        <v>0</v>
      </c>
      <c r="Z60" s="1">
        <f t="shared" si="12"/>
        <v>0</v>
      </c>
      <c r="AA60" s="1">
        <f t="shared" si="13"/>
        <v>0</v>
      </c>
      <c r="AB60" s="1">
        <f t="shared" si="14"/>
        <v>0</v>
      </c>
      <c r="AD60" s="1">
        <f t="shared" si="15"/>
        <v>1</v>
      </c>
      <c r="AE60" s="1">
        <f t="shared" si="16"/>
        <v>0</v>
      </c>
      <c r="AF60" s="1">
        <f t="shared" si="1"/>
        <v>1</v>
      </c>
      <c r="AG60" s="1">
        <f t="shared" si="2"/>
        <v>0</v>
      </c>
      <c r="AH60" s="1">
        <f t="shared" si="3"/>
        <v>1</v>
      </c>
      <c r="AI60" s="1">
        <f t="shared" si="4"/>
        <v>0</v>
      </c>
    </row>
    <row r="61" spans="1:35" ht="14.25" customHeight="1" x14ac:dyDescent="0.3">
      <c r="A61" s="31">
        <v>0</v>
      </c>
      <c r="B61" s="31">
        <v>1</v>
      </c>
      <c r="C61" s="31">
        <v>2</v>
      </c>
      <c r="D61" s="32" t="s">
        <v>1617</v>
      </c>
      <c r="E61" s="32" t="s">
        <v>169</v>
      </c>
      <c r="F61" s="32" t="s">
        <v>1618</v>
      </c>
      <c r="G61" s="32" t="s">
        <v>39</v>
      </c>
      <c r="H61" s="32" t="s">
        <v>353</v>
      </c>
      <c r="I61" s="31" t="s">
        <v>1619</v>
      </c>
      <c r="J61" s="31">
        <v>11</v>
      </c>
      <c r="K61" s="33" t="s">
        <v>954</v>
      </c>
      <c r="L61" s="33" t="s">
        <v>39</v>
      </c>
      <c r="M61" s="34" t="s">
        <v>39</v>
      </c>
      <c r="N61" s="34" t="s">
        <v>1724</v>
      </c>
      <c r="O61" s="35">
        <v>1</v>
      </c>
      <c r="P61" s="35">
        <v>1</v>
      </c>
      <c r="Q61" s="36" t="s">
        <v>1902</v>
      </c>
      <c r="S61" s="1">
        <f t="shared" si="5"/>
        <v>0</v>
      </c>
      <c r="T61" s="1">
        <f t="shared" si="6"/>
        <v>0</v>
      </c>
      <c r="U61" s="1">
        <f t="shared" si="7"/>
        <v>0</v>
      </c>
      <c r="V61" s="1">
        <f t="shared" si="8"/>
        <v>0</v>
      </c>
      <c r="W61" s="1">
        <f t="shared" si="9"/>
        <v>0</v>
      </c>
      <c r="X61" s="1">
        <f t="shared" si="10"/>
        <v>0</v>
      </c>
      <c r="Y61" s="1">
        <f t="shared" si="11"/>
        <v>0</v>
      </c>
      <c r="Z61" s="1">
        <f t="shared" si="12"/>
        <v>0</v>
      </c>
      <c r="AA61" s="1">
        <f t="shared" si="13"/>
        <v>0</v>
      </c>
      <c r="AB61" s="1">
        <f t="shared" si="14"/>
        <v>0</v>
      </c>
      <c r="AD61" s="1">
        <f t="shared" si="15"/>
        <v>1</v>
      </c>
      <c r="AE61" s="1">
        <f t="shared" si="16"/>
        <v>0</v>
      </c>
      <c r="AF61" s="1">
        <f t="shared" si="1"/>
        <v>1</v>
      </c>
      <c r="AG61" s="1">
        <f t="shared" si="2"/>
        <v>0</v>
      </c>
      <c r="AH61" s="1">
        <f t="shared" si="3"/>
        <v>1</v>
      </c>
      <c r="AI61" s="1">
        <f t="shared" si="4"/>
        <v>0</v>
      </c>
    </row>
    <row r="62" spans="1:35" ht="14.25" customHeight="1" x14ac:dyDescent="0.3">
      <c r="A62" s="31">
        <v>0</v>
      </c>
      <c r="B62" s="31">
        <v>1</v>
      </c>
      <c r="C62" s="31">
        <v>2</v>
      </c>
      <c r="D62" s="32" t="s">
        <v>1614</v>
      </c>
      <c r="E62" s="32" t="s">
        <v>173</v>
      </c>
      <c r="F62" s="32" t="s">
        <v>1615</v>
      </c>
      <c r="G62" s="32" t="s">
        <v>1480</v>
      </c>
      <c r="H62" s="32" t="s">
        <v>352</v>
      </c>
      <c r="I62" s="31" t="s">
        <v>1616</v>
      </c>
      <c r="J62" s="31">
        <v>99</v>
      </c>
      <c r="K62" s="33" t="s">
        <v>959</v>
      </c>
      <c r="L62" s="33" t="s">
        <v>39</v>
      </c>
      <c r="M62" s="34" t="s">
        <v>39</v>
      </c>
      <c r="N62" s="34" t="s">
        <v>1724</v>
      </c>
      <c r="O62" s="35">
        <v>1</v>
      </c>
      <c r="P62" s="35">
        <v>1</v>
      </c>
      <c r="Q62" s="32"/>
      <c r="S62" s="1">
        <f t="shared" si="5"/>
        <v>0</v>
      </c>
      <c r="T62" s="1">
        <f t="shared" si="6"/>
        <v>0</v>
      </c>
      <c r="U62" s="1">
        <f t="shared" si="7"/>
        <v>0</v>
      </c>
      <c r="V62" s="1">
        <f t="shared" si="8"/>
        <v>0</v>
      </c>
      <c r="W62" s="1">
        <f t="shared" si="9"/>
        <v>0</v>
      </c>
      <c r="X62" s="1">
        <f t="shared" si="10"/>
        <v>0</v>
      </c>
      <c r="Y62" s="1">
        <f t="shared" si="11"/>
        <v>0</v>
      </c>
      <c r="Z62" s="1">
        <f t="shared" si="12"/>
        <v>0</v>
      </c>
      <c r="AA62" s="1">
        <f t="shared" si="13"/>
        <v>0</v>
      </c>
      <c r="AB62" s="1">
        <f t="shared" si="14"/>
        <v>0</v>
      </c>
      <c r="AD62" s="1">
        <f t="shared" si="15"/>
        <v>1</v>
      </c>
      <c r="AE62" s="1">
        <f t="shared" si="16"/>
        <v>0</v>
      </c>
      <c r="AF62" s="1">
        <f t="shared" si="1"/>
        <v>1</v>
      </c>
      <c r="AG62" s="1">
        <f t="shared" si="2"/>
        <v>0</v>
      </c>
      <c r="AH62" s="1">
        <f t="shared" si="3"/>
        <v>1</v>
      </c>
      <c r="AI62" s="1">
        <f t="shared" si="4"/>
        <v>0</v>
      </c>
    </row>
    <row r="63" spans="1:35" ht="14.25" customHeight="1" x14ac:dyDescent="0.3">
      <c r="A63" s="31">
        <v>0</v>
      </c>
      <c r="B63" s="31">
        <v>1</v>
      </c>
      <c r="C63" s="31">
        <v>2</v>
      </c>
      <c r="D63" s="32" t="s">
        <v>566</v>
      </c>
      <c r="E63" s="32" t="s">
        <v>576</v>
      </c>
      <c r="F63" s="32" t="s">
        <v>555</v>
      </c>
      <c r="G63" s="32" t="s">
        <v>261</v>
      </c>
      <c r="H63" s="32" t="s">
        <v>352</v>
      </c>
      <c r="I63" s="31" t="s">
        <v>556</v>
      </c>
      <c r="J63" s="31">
        <v>99</v>
      </c>
      <c r="K63" s="33" t="s">
        <v>953</v>
      </c>
      <c r="L63" s="33" t="s">
        <v>39</v>
      </c>
      <c r="M63" s="34" t="s">
        <v>39</v>
      </c>
      <c r="N63" s="34" t="s">
        <v>1724</v>
      </c>
      <c r="O63" s="35">
        <v>1</v>
      </c>
      <c r="P63" s="35">
        <v>1</v>
      </c>
      <c r="Q63" s="32"/>
      <c r="S63" s="1">
        <f t="shared" si="5"/>
        <v>0</v>
      </c>
      <c r="T63" s="1">
        <f t="shared" si="6"/>
        <v>0</v>
      </c>
      <c r="U63" s="1">
        <f t="shared" si="7"/>
        <v>0</v>
      </c>
      <c r="V63" s="1">
        <f t="shared" si="8"/>
        <v>0</v>
      </c>
      <c r="W63" s="1">
        <f t="shared" si="9"/>
        <v>0</v>
      </c>
      <c r="X63" s="1">
        <f t="shared" si="10"/>
        <v>0</v>
      </c>
      <c r="Y63" s="1">
        <f t="shared" si="11"/>
        <v>0</v>
      </c>
      <c r="Z63" s="1">
        <f t="shared" si="12"/>
        <v>0</v>
      </c>
      <c r="AA63" s="1">
        <f t="shared" si="13"/>
        <v>0</v>
      </c>
      <c r="AB63" s="1">
        <f t="shared" si="14"/>
        <v>0</v>
      </c>
      <c r="AD63" s="1">
        <f t="shared" si="15"/>
        <v>1</v>
      </c>
      <c r="AE63" s="1">
        <f t="shared" si="16"/>
        <v>0</v>
      </c>
      <c r="AF63" s="1">
        <f t="shared" si="1"/>
        <v>1</v>
      </c>
      <c r="AG63" s="1">
        <f t="shared" si="2"/>
        <v>0</v>
      </c>
      <c r="AH63" s="1">
        <f t="shared" si="3"/>
        <v>1</v>
      </c>
      <c r="AI63" s="1">
        <f t="shared" si="4"/>
        <v>0</v>
      </c>
    </row>
    <row r="64" spans="1:35" ht="14.25" customHeight="1" x14ac:dyDescent="0.3">
      <c r="A64" s="31">
        <v>0</v>
      </c>
      <c r="B64" s="31">
        <v>1</v>
      </c>
      <c r="C64" s="31">
        <v>2</v>
      </c>
      <c r="D64" s="32" t="s">
        <v>796</v>
      </c>
      <c r="E64" s="32" t="s">
        <v>173</v>
      </c>
      <c r="F64" s="32" t="s">
        <v>798</v>
      </c>
      <c r="G64" s="32" t="s">
        <v>39</v>
      </c>
      <c r="H64" s="32" t="s">
        <v>797</v>
      </c>
      <c r="I64" s="31" t="s">
        <v>799</v>
      </c>
      <c r="J64" s="31">
        <v>14</v>
      </c>
      <c r="K64" s="33" t="s">
        <v>961</v>
      </c>
      <c r="L64" s="33" t="s">
        <v>1703</v>
      </c>
      <c r="M64" s="34" t="s">
        <v>1376</v>
      </c>
      <c r="N64" s="34" t="s">
        <v>1746</v>
      </c>
      <c r="O64" s="35">
        <v>1</v>
      </c>
      <c r="P64" s="35"/>
      <c r="Q64" s="32"/>
      <c r="S64" s="1">
        <f t="shared" si="5"/>
        <v>0</v>
      </c>
      <c r="T64" s="1">
        <f t="shared" si="6"/>
        <v>0</v>
      </c>
      <c r="U64" s="1">
        <f t="shared" si="7"/>
        <v>0</v>
      </c>
      <c r="V64" s="1">
        <f t="shared" si="8"/>
        <v>0</v>
      </c>
      <c r="W64" s="1">
        <f t="shared" si="9"/>
        <v>0</v>
      </c>
      <c r="X64" s="1">
        <f t="shared" si="10"/>
        <v>0</v>
      </c>
      <c r="Y64" s="1">
        <f t="shared" si="11"/>
        <v>0</v>
      </c>
      <c r="Z64" s="1">
        <f t="shared" si="12"/>
        <v>0</v>
      </c>
      <c r="AA64" s="1">
        <f t="shared" si="13"/>
        <v>0</v>
      </c>
      <c r="AB64" s="1">
        <f t="shared" si="14"/>
        <v>0</v>
      </c>
      <c r="AD64" s="1">
        <f t="shared" si="15"/>
        <v>0</v>
      </c>
      <c r="AE64" s="1">
        <f t="shared" si="16"/>
        <v>1</v>
      </c>
      <c r="AF64" s="1">
        <f t="shared" si="1"/>
        <v>0</v>
      </c>
      <c r="AG64" s="1">
        <f t="shared" si="2"/>
        <v>1</v>
      </c>
      <c r="AH64" s="1">
        <f t="shared" si="3"/>
        <v>0</v>
      </c>
      <c r="AI64" s="1">
        <f t="shared" si="4"/>
        <v>1</v>
      </c>
    </row>
    <row r="65" spans="1:35" ht="14.25" customHeight="1" x14ac:dyDescent="0.3">
      <c r="A65" s="15">
        <v>0</v>
      </c>
      <c r="B65" s="15">
        <v>1</v>
      </c>
      <c r="C65" s="15">
        <v>2</v>
      </c>
      <c r="D65" s="16" t="s">
        <v>1319</v>
      </c>
      <c r="E65" s="16" t="s">
        <v>174</v>
      </c>
      <c r="F65" s="16" t="s">
        <v>1343</v>
      </c>
      <c r="G65" s="16" t="s">
        <v>39</v>
      </c>
      <c r="H65" s="16" t="s">
        <v>361</v>
      </c>
      <c r="I65" s="15" t="s">
        <v>1139</v>
      </c>
      <c r="J65" s="15">
        <v>14</v>
      </c>
      <c r="K65" s="10" t="s">
        <v>719</v>
      </c>
      <c r="L65" s="10" t="s">
        <v>1696</v>
      </c>
      <c r="M65" s="19" t="s">
        <v>969</v>
      </c>
      <c r="N65" s="17"/>
      <c r="Q65" s="16"/>
      <c r="S65" s="1">
        <f t="shared" si="5"/>
        <v>0</v>
      </c>
      <c r="T65" s="1">
        <f t="shared" si="6"/>
        <v>0</v>
      </c>
      <c r="U65" s="1">
        <f t="shared" si="7"/>
        <v>0</v>
      </c>
      <c r="V65" s="1">
        <f t="shared" si="8"/>
        <v>0</v>
      </c>
      <c r="W65" s="1">
        <f t="shared" si="9"/>
        <v>0</v>
      </c>
      <c r="X65" s="1">
        <f t="shared" si="10"/>
        <v>0</v>
      </c>
      <c r="Y65" s="1">
        <f t="shared" si="11"/>
        <v>0</v>
      </c>
      <c r="Z65" s="1">
        <f t="shared" si="12"/>
        <v>0</v>
      </c>
      <c r="AA65" s="1">
        <f t="shared" si="13"/>
        <v>0</v>
      </c>
      <c r="AB65" s="1">
        <f t="shared" si="14"/>
        <v>0</v>
      </c>
      <c r="AD65" s="1">
        <f t="shared" si="15"/>
        <v>0</v>
      </c>
      <c r="AE65" s="1">
        <f t="shared" si="16"/>
        <v>0</v>
      </c>
      <c r="AF65" s="1">
        <f t="shared" si="1"/>
        <v>0</v>
      </c>
      <c r="AG65" s="1">
        <f t="shared" si="2"/>
        <v>0</v>
      </c>
      <c r="AH65" s="1">
        <f t="shared" si="3"/>
        <v>0</v>
      </c>
      <c r="AI65" s="1">
        <f t="shared" si="4"/>
        <v>1</v>
      </c>
    </row>
    <row r="66" spans="1:35" ht="14.25" customHeight="1" x14ac:dyDescent="0.3">
      <c r="A66" s="44">
        <v>0</v>
      </c>
      <c r="B66" s="44">
        <v>1</v>
      </c>
      <c r="C66" s="44">
        <v>2</v>
      </c>
      <c r="D66" s="45" t="s">
        <v>1512</v>
      </c>
      <c r="E66" s="45" t="s">
        <v>169</v>
      </c>
      <c r="F66" s="45" t="s">
        <v>1514</v>
      </c>
      <c r="G66" s="45" t="s">
        <v>1162</v>
      </c>
      <c r="H66" s="45" t="s">
        <v>352</v>
      </c>
      <c r="I66" s="44" t="s">
        <v>1513</v>
      </c>
      <c r="J66" s="44">
        <v>11</v>
      </c>
      <c r="K66" s="46" t="s">
        <v>719</v>
      </c>
      <c r="L66" s="46">
        <v>50</v>
      </c>
      <c r="M66" s="47" t="s">
        <v>39</v>
      </c>
      <c r="N66" s="47" t="s">
        <v>1806</v>
      </c>
      <c r="O66" s="48"/>
      <c r="P66" s="48"/>
      <c r="Q66" s="45"/>
      <c r="S66" s="1">
        <f t="shared" si="5"/>
        <v>0</v>
      </c>
      <c r="T66" s="1">
        <f t="shared" si="6"/>
        <v>0</v>
      </c>
      <c r="U66" s="1">
        <f t="shared" si="7"/>
        <v>0</v>
      </c>
      <c r="V66" s="1">
        <f t="shared" si="8"/>
        <v>0</v>
      </c>
      <c r="W66" s="1">
        <f t="shared" si="9"/>
        <v>0</v>
      </c>
      <c r="X66" s="1">
        <f t="shared" si="10"/>
        <v>0</v>
      </c>
      <c r="Y66" s="1">
        <f t="shared" si="11"/>
        <v>0</v>
      </c>
      <c r="Z66" s="1">
        <f t="shared" si="12"/>
        <v>0</v>
      </c>
      <c r="AA66" s="1">
        <f t="shared" si="13"/>
        <v>0</v>
      </c>
      <c r="AB66" s="1">
        <f t="shared" si="14"/>
        <v>0</v>
      </c>
      <c r="AD66" s="1">
        <f t="shared" si="15"/>
        <v>0</v>
      </c>
      <c r="AE66" s="1">
        <f t="shared" si="16"/>
        <v>0</v>
      </c>
      <c r="AF66" s="1">
        <f t="shared" si="1"/>
        <v>0</v>
      </c>
      <c r="AG66" s="1">
        <f t="shared" si="2"/>
        <v>0</v>
      </c>
      <c r="AH66" s="1">
        <f t="shared" si="3"/>
        <v>0</v>
      </c>
      <c r="AI66" s="1">
        <f t="shared" si="4"/>
        <v>1</v>
      </c>
    </row>
    <row r="67" spans="1:35" ht="14.25" customHeight="1" x14ac:dyDescent="0.3">
      <c r="A67" s="31">
        <v>0</v>
      </c>
      <c r="B67" s="31">
        <v>1</v>
      </c>
      <c r="C67" s="31">
        <v>2</v>
      </c>
      <c r="D67" s="32" t="s">
        <v>1134</v>
      </c>
      <c r="E67" s="32" t="s">
        <v>174</v>
      </c>
      <c r="F67" s="32" t="s">
        <v>1137</v>
      </c>
      <c r="G67" s="32" t="s">
        <v>39</v>
      </c>
      <c r="H67" s="32" t="s">
        <v>1135</v>
      </c>
      <c r="I67" s="31" t="s">
        <v>1136</v>
      </c>
      <c r="J67" s="31">
        <v>12</v>
      </c>
      <c r="K67" s="33" t="s">
        <v>700</v>
      </c>
      <c r="L67" s="33">
        <v>50</v>
      </c>
      <c r="M67" s="34" t="s">
        <v>39</v>
      </c>
      <c r="N67" s="34" t="s">
        <v>1746</v>
      </c>
      <c r="O67" s="35">
        <v>1</v>
      </c>
      <c r="P67" s="35"/>
      <c r="Q67" s="32"/>
      <c r="S67" s="1">
        <f t="shared" si="5"/>
        <v>0</v>
      </c>
      <c r="T67" s="1">
        <f t="shared" si="6"/>
        <v>0</v>
      </c>
      <c r="U67" s="1">
        <f t="shared" si="7"/>
        <v>0</v>
      </c>
      <c r="V67" s="1">
        <f t="shared" si="8"/>
        <v>0</v>
      </c>
      <c r="W67" s="1">
        <f t="shared" si="9"/>
        <v>0</v>
      </c>
      <c r="X67" s="1">
        <f t="shared" si="10"/>
        <v>0</v>
      </c>
      <c r="Y67" s="1">
        <f t="shared" si="11"/>
        <v>0</v>
      </c>
      <c r="Z67" s="1">
        <f t="shared" si="12"/>
        <v>0</v>
      </c>
      <c r="AA67" s="1">
        <f t="shared" si="13"/>
        <v>0</v>
      </c>
      <c r="AB67" s="1">
        <f t="shared" si="14"/>
        <v>0</v>
      </c>
      <c r="AD67" s="1">
        <f t="shared" si="15"/>
        <v>0</v>
      </c>
      <c r="AE67" s="1">
        <f t="shared" si="16"/>
        <v>1</v>
      </c>
      <c r="AF67" s="1">
        <f t="shared" si="1"/>
        <v>0</v>
      </c>
      <c r="AG67" s="1">
        <f t="shared" si="2"/>
        <v>1</v>
      </c>
      <c r="AH67" s="1">
        <f t="shared" si="3"/>
        <v>0</v>
      </c>
      <c r="AI67" s="1">
        <f t="shared" si="4"/>
        <v>1</v>
      </c>
    </row>
    <row r="68" spans="1:35" ht="14.25" customHeight="1" x14ac:dyDescent="0.3">
      <c r="A68" s="57">
        <v>0</v>
      </c>
      <c r="B68" s="57">
        <v>1</v>
      </c>
      <c r="C68" s="57">
        <v>2</v>
      </c>
      <c r="D68" s="58" t="s">
        <v>153</v>
      </c>
      <c r="E68" s="58" t="s">
        <v>170</v>
      </c>
      <c r="F68" s="58" t="s">
        <v>932</v>
      </c>
      <c r="G68" s="58" t="s">
        <v>185</v>
      </c>
      <c r="H68" s="58" t="s">
        <v>352</v>
      </c>
      <c r="I68" s="57" t="s">
        <v>498</v>
      </c>
      <c r="J68" s="57">
        <v>1</v>
      </c>
      <c r="K68" s="59" t="s">
        <v>957</v>
      </c>
      <c r="L68" s="59" t="s">
        <v>39</v>
      </c>
      <c r="M68" s="60" t="s">
        <v>39</v>
      </c>
      <c r="N68" s="61"/>
      <c r="O68" s="62"/>
      <c r="P68" s="62">
        <v>1</v>
      </c>
      <c r="Q68" s="58"/>
      <c r="S68" s="1">
        <f t="shared" si="5"/>
        <v>1</v>
      </c>
      <c r="T68" s="1">
        <f t="shared" si="6"/>
        <v>0</v>
      </c>
      <c r="U68" s="1">
        <f t="shared" si="7"/>
        <v>0</v>
      </c>
      <c r="V68" s="1">
        <f t="shared" si="8"/>
        <v>0</v>
      </c>
      <c r="W68" s="1">
        <f t="shared" si="9"/>
        <v>0</v>
      </c>
      <c r="X68" s="1">
        <f t="shared" si="10"/>
        <v>0</v>
      </c>
      <c r="Y68" s="1">
        <f t="shared" si="11"/>
        <v>0</v>
      </c>
      <c r="Z68" s="1">
        <f t="shared" si="12"/>
        <v>0</v>
      </c>
      <c r="AA68" s="1">
        <f t="shared" si="13"/>
        <v>0</v>
      </c>
      <c r="AB68" s="1">
        <f t="shared" si="14"/>
        <v>0</v>
      </c>
      <c r="AD68" s="1">
        <f t="shared" si="15"/>
        <v>0</v>
      </c>
      <c r="AE68" s="1">
        <f t="shared" si="16"/>
        <v>0</v>
      </c>
      <c r="AF68" s="1">
        <f t="shared" si="1"/>
        <v>0</v>
      </c>
      <c r="AG68" s="1">
        <f t="shared" si="2"/>
        <v>0</v>
      </c>
      <c r="AH68" s="1">
        <f t="shared" si="3"/>
        <v>1</v>
      </c>
      <c r="AI68" s="1">
        <f t="shared" si="4"/>
        <v>0</v>
      </c>
    </row>
    <row r="69" spans="1:35" ht="14.25" customHeight="1" x14ac:dyDescent="0.3">
      <c r="A69" s="31">
        <v>0</v>
      </c>
      <c r="B69" s="31">
        <v>1</v>
      </c>
      <c r="C69" s="31">
        <v>2</v>
      </c>
      <c r="D69" s="32" t="s">
        <v>1444</v>
      </c>
      <c r="E69" s="32" t="s">
        <v>174</v>
      </c>
      <c r="F69" s="32" t="s">
        <v>1441</v>
      </c>
      <c r="G69" s="32" t="s">
        <v>39</v>
      </c>
      <c r="H69" s="32" t="s">
        <v>352</v>
      </c>
      <c r="I69" s="31" t="s">
        <v>1442</v>
      </c>
      <c r="J69" s="31">
        <v>99</v>
      </c>
      <c r="K69" s="33" t="s">
        <v>699</v>
      </c>
      <c r="L69" s="33" t="s">
        <v>686</v>
      </c>
      <c r="M69" s="34" t="s">
        <v>1443</v>
      </c>
      <c r="N69" s="34" t="s">
        <v>1724</v>
      </c>
      <c r="O69" s="35">
        <v>1</v>
      </c>
      <c r="P69" s="35">
        <v>1</v>
      </c>
      <c r="Q69" s="32"/>
      <c r="S69" s="1">
        <f t="shared" si="5"/>
        <v>0</v>
      </c>
      <c r="T69" s="1">
        <f t="shared" si="6"/>
        <v>0</v>
      </c>
      <c r="U69" s="1">
        <f t="shared" si="7"/>
        <v>0</v>
      </c>
      <c r="V69" s="1">
        <f t="shared" si="8"/>
        <v>0</v>
      </c>
      <c r="W69" s="1">
        <f t="shared" si="9"/>
        <v>0</v>
      </c>
      <c r="X69" s="1">
        <f t="shared" si="10"/>
        <v>0</v>
      </c>
      <c r="Y69" s="1">
        <f t="shared" si="11"/>
        <v>0</v>
      </c>
      <c r="Z69" s="1">
        <f t="shared" si="12"/>
        <v>0</v>
      </c>
      <c r="AA69" s="1">
        <f t="shared" si="13"/>
        <v>0</v>
      </c>
      <c r="AB69" s="1">
        <f t="shared" si="14"/>
        <v>0</v>
      </c>
      <c r="AD69" s="1">
        <f t="shared" si="15"/>
        <v>1</v>
      </c>
      <c r="AE69" s="1">
        <f t="shared" si="16"/>
        <v>0</v>
      </c>
      <c r="AF69" s="1">
        <f t="shared" si="1"/>
        <v>1</v>
      </c>
      <c r="AG69" s="1">
        <f t="shared" si="2"/>
        <v>0</v>
      </c>
      <c r="AH69" s="1">
        <f t="shared" si="3"/>
        <v>1</v>
      </c>
      <c r="AI69" s="1">
        <f t="shared" si="4"/>
        <v>0</v>
      </c>
    </row>
    <row r="70" spans="1:35" ht="14.25" customHeight="1" x14ac:dyDescent="0.3">
      <c r="A70" s="38">
        <v>0</v>
      </c>
      <c r="B70" s="38">
        <v>1</v>
      </c>
      <c r="C70" s="38">
        <v>2</v>
      </c>
      <c r="D70" s="54" t="s">
        <v>812</v>
      </c>
      <c r="E70" s="39" t="s">
        <v>174</v>
      </c>
      <c r="F70" s="39" t="s">
        <v>933</v>
      </c>
      <c r="G70" s="39" t="s">
        <v>212</v>
      </c>
      <c r="H70" s="39" t="s">
        <v>352</v>
      </c>
      <c r="I70" s="38" t="s">
        <v>813</v>
      </c>
      <c r="J70" s="38">
        <v>1</v>
      </c>
      <c r="K70" s="40" t="s">
        <v>953</v>
      </c>
      <c r="L70" s="40" t="s">
        <v>39</v>
      </c>
      <c r="M70" s="41" t="s">
        <v>39</v>
      </c>
      <c r="N70" s="42"/>
      <c r="O70" s="43"/>
      <c r="P70" s="43">
        <v>1</v>
      </c>
      <c r="Q70" s="39"/>
      <c r="S70" s="1">
        <f t="shared" si="5"/>
        <v>1</v>
      </c>
      <c r="T70" s="1">
        <f t="shared" si="6"/>
        <v>0</v>
      </c>
      <c r="U70" s="1">
        <f t="shared" si="7"/>
        <v>0</v>
      </c>
      <c r="V70" s="1">
        <f t="shared" si="8"/>
        <v>0</v>
      </c>
      <c r="W70" s="1">
        <f t="shared" si="9"/>
        <v>0</v>
      </c>
      <c r="X70" s="1">
        <f t="shared" si="10"/>
        <v>0</v>
      </c>
      <c r="Y70" s="1">
        <f t="shared" si="11"/>
        <v>0</v>
      </c>
      <c r="Z70" s="1">
        <f t="shared" si="12"/>
        <v>0</v>
      </c>
      <c r="AA70" s="1">
        <f t="shared" si="13"/>
        <v>0</v>
      </c>
      <c r="AB70" s="1">
        <f t="shared" si="14"/>
        <v>0</v>
      </c>
      <c r="AD70" s="1">
        <f t="shared" si="15"/>
        <v>0</v>
      </c>
      <c r="AE70" s="1">
        <f t="shared" si="16"/>
        <v>0</v>
      </c>
      <c r="AF70" s="1">
        <f t="shared" si="1"/>
        <v>0</v>
      </c>
      <c r="AG70" s="1">
        <f t="shared" si="2"/>
        <v>0</v>
      </c>
      <c r="AH70" s="1">
        <f t="shared" si="3"/>
        <v>1</v>
      </c>
      <c r="AI70" s="1">
        <f t="shared" si="4"/>
        <v>0</v>
      </c>
    </row>
    <row r="71" spans="1:35" ht="14.25" customHeight="1" x14ac:dyDescent="0.3">
      <c r="A71" s="31">
        <v>0</v>
      </c>
      <c r="B71" s="31">
        <v>1</v>
      </c>
      <c r="C71" s="31">
        <v>2</v>
      </c>
      <c r="D71" s="32" t="s">
        <v>1320</v>
      </c>
      <c r="E71" s="32" t="s">
        <v>174</v>
      </c>
      <c r="F71" s="32" t="s">
        <v>1123</v>
      </c>
      <c r="G71" s="32" t="s">
        <v>39</v>
      </c>
      <c r="H71" s="32" t="s">
        <v>1122</v>
      </c>
      <c r="I71" s="31" t="s">
        <v>1121</v>
      </c>
      <c r="J71" s="31">
        <v>15</v>
      </c>
      <c r="K71" s="33" t="s">
        <v>954</v>
      </c>
      <c r="L71" s="33">
        <v>75</v>
      </c>
      <c r="M71" s="34" t="s">
        <v>1385</v>
      </c>
      <c r="N71" s="34" t="s">
        <v>1730</v>
      </c>
      <c r="O71" s="35">
        <v>1</v>
      </c>
      <c r="P71" s="35">
        <v>1</v>
      </c>
      <c r="Q71" s="32" t="s">
        <v>1984</v>
      </c>
      <c r="S71" s="1">
        <f t="shared" si="5"/>
        <v>0</v>
      </c>
      <c r="T71" s="1">
        <f t="shared" si="6"/>
        <v>0</v>
      </c>
      <c r="U71" s="1">
        <f t="shared" si="7"/>
        <v>0</v>
      </c>
      <c r="V71" s="1">
        <f t="shared" si="8"/>
        <v>0</v>
      </c>
      <c r="W71" s="1">
        <f t="shared" si="9"/>
        <v>0</v>
      </c>
      <c r="X71" s="1">
        <f t="shared" si="10"/>
        <v>0</v>
      </c>
      <c r="Y71" s="1">
        <f t="shared" si="11"/>
        <v>0</v>
      </c>
      <c r="Z71" s="1">
        <f t="shared" si="12"/>
        <v>0</v>
      </c>
      <c r="AA71" s="1">
        <f t="shared" si="13"/>
        <v>0</v>
      </c>
      <c r="AB71" s="1">
        <f t="shared" si="14"/>
        <v>0</v>
      </c>
      <c r="AD71" s="1">
        <f t="shared" si="15"/>
        <v>1</v>
      </c>
      <c r="AE71" s="1">
        <f t="shared" si="16"/>
        <v>0</v>
      </c>
      <c r="AF71" s="1">
        <f t="shared" si="1"/>
        <v>1</v>
      </c>
      <c r="AG71" s="1">
        <f t="shared" si="2"/>
        <v>0</v>
      </c>
      <c r="AH71" s="1">
        <f t="shared" si="3"/>
        <v>1</v>
      </c>
      <c r="AI71" s="1">
        <f t="shared" si="4"/>
        <v>0</v>
      </c>
    </row>
    <row r="72" spans="1:35" ht="14.25" customHeight="1" x14ac:dyDescent="0.3">
      <c r="A72" s="31">
        <v>0</v>
      </c>
      <c r="B72" s="31">
        <v>1</v>
      </c>
      <c r="C72" s="31">
        <v>2</v>
      </c>
      <c r="D72" s="32" t="s">
        <v>1044</v>
      </c>
      <c r="E72" s="32" t="s">
        <v>173</v>
      </c>
      <c r="F72" s="32" t="s">
        <v>1045</v>
      </c>
      <c r="G72" s="32" t="s">
        <v>625</v>
      </c>
      <c r="H72" s="32" t="s">
        <v>352</v>
      </c>
      <c r="I72" s="31" t="s">
        <v>1046</v>
      </c>
      <c r="J72" s="31">
        <v>99</v>
      </c>
      <c r="K72" s="33" t="s">
        <v>699</v>
      </c>
      <c r="L72" s="33" t="s">
        <v>39</v>
      </c>
      <c r="M72" s="34" t="s">
        <v>39</v>
      </c>
      <c r="N72" s="34" t="s">
        <v>1730</v>
      </c>
      <c r="O72" s="35">
        <v>1</v>
      </c>
      <c r="P72" s="35">
        <v>1</v>
      </c>
      <c r="Q72" s="32"/>
      <c r="S72" s="1">
        <f t="shared" si="5"/>
        <v>0</v>
      </c>
      <c r="T72" s="1">
        <f t="shared" si="6"/>
        <v>0</v>
      </c>
      <c r="U72" s="1">
        <f t="shared" si="7"/>
        <v>0</v>
      </c>
      <c r="V72" s="1">
        <f t="shared" si="8"/>
        <v>0</v>
      </c>
      <c r="W72" s="1">
        <f t="shared" si="9"/>
        <v>0</v>
      </c>
      <c r="X72" s="1">
        <f t="shared" si="10"/>
        <v>0</v>
      </c>
      <c r="Y72" s="1">
        <f t="shared" si="11"/>
        <v>0</v>
      </c>
      <c r="Z72" s="1">
        <f t="shared" si="12"/>
        <v>0</v>
      </c>
      <c r="AA72" s="1">
        <f t="shared" si="13"/>
        <v>0</v>
      </c>
      <c r="AB72" s="1">
        <f t="shared" si="14"/>
        <v>0</v>
      </c>
      <c r="AD72" s="1">
        <f t="shared" ref="AD72:AD75" si="49">+O72*P72</f>
        <v>1</v>
      </c>
      <c r="AE72" s="1">
        <f t="shared" ref="AE72:AE75" si="50">O72*(1-P72)</f>
        <v>0</v>
      </c>
      <c r="AF72" s="1">
        <f t="shared" ref="AF72:AF75" si="51">+O72*P72*(1-A72)</f>
        <v>1</v>
      </c>
      <c r="AG72" s="1">
        <f t="shared" ref="AG72:AG75" si="52">O72*(1-P72)*(1-A72)</f>
        <v>0</v>
      </c>
      <c r="AH72" s="1">
        <f t="shared" ref="AH72:AH75" si="53">+P72*(1-A72)</f>
        <v>1</v>
      </c>
      <c r="AI72" s="1">
        <f t="shared" ref="AI72:AI75" si="54">+(1-A72)*(1-P72)</f>
        <v>0</v>
      </c>
    </row>
    <row r="73" spans="1:35" ht="14.25" customHeight="1" x14ac:dyDescent="0.3">
      <c r="A73" s="31">
        <v>0</v>
      </c>
      <c r="B73" s="31">
        <v>1</v>
      </c>
      <c r="C73" s="31">
        <v>2</v>
      </c>
      <c r="D73" s="32" t="s">
        <v>2054</v>
      </c>
      <c r="E73" s="32" t="s">
        <v>1980</v>
      </c>
      <c r="F73" s="32" t="s">
        <v>2055</v>
      </c>
      <c r="G73" s="32" t="s">
        <v>283</v>
      </c>
      <c r="H73" s="32" t="s">
        <v>352</v>
      </c>
      <c r="I73" s="31" t="s">
        <v>2056</v>
      </c>
      <c r="J73" s="31">
        <v>10</v>
      </c>
      <c r="K73" s="33" t="s">
        <v>700</v>
      </c>
      <c r="L73" s="33"/>
      <c r="M73" s="34"/>
      <c r="N73" s="34" t="s">
        <v>1730</v>
      </c>
      <c r="O73" s="35">
        <v>1</v>
      </c>
      <c r="P73" s="35">
        <v>1</v>
      </c>
      <c r="Q73" s="36" t="s">
        <v>2057</v>
      </c>
      <c r="S73" s="1">
        <f t="shared" si="5"/>
        <v>0</v>
      </c>
      <c r="T73" s="1">
        <f t="shared" si="6"/>
        <v>0</v>
      </c>
      <c r="U73" s="1">
        <f t="shared" si="7"/>
        <v>0</v>
      </c>
      <c r="V73" s="1">
        <f t="shared" si="8"/>
        <v>0</v>
      </c>
      <c r="W73" s="1">
        <f t="shared" si="9"/>
        <v>0</v>
      </c>
      <c r="X73" s="1">
        <f t="shared" si="10"/>
        <v>0</v>
      </c>
      <c r="Y73" s="1">
        <f t="shared" si="11"/>
        <v>0</v>
      </c>
      <c r="Z73" s="1">
        <f t="shared" si="12"/>
        <v>0</v>
      </c>
      <c r="AA73" s="1">
        <f t="shared" si="13"/>
        <v>0</v>
      </c>
      <c r="AB73" s="1">
        <f t="shared" si="14"/>
        <v>1</v>
      </c>
      <c r="AD73" s="1">
        <f t="shared" si="49"/>
        <v>1</v>
      </c>
      <c r="AE73" s="1">
        <f t="shared" si="50"/>
        <v>0</v>
      </c>
      <c r="AF73" s="1">
        <f t="shared" si="51"/>
        <v>1</v>
      </c>
      <c r="AG73" s="1">
        <f t="shared" si="52"/>
        <v>0</v>
      </c>
      <c r="AH73" s="1">
        <f t="shared" si="53"/>
        <v>1</v>
      </c>
      <c r="AI73" s="1">
        <f t="shared" si="54"/>
        <v>0</v>
      </c>
    </row>
    <row r="74" spans="1:35" ht="14.25" customHeight="1" x14ac:dyDescent="0.3">
      <c r="A74" s="31">
        <v>0</v>
      </c>
      <c r="B74" s="31">
        <v>1</v>
      </c>
      <c r="C74" s="31">
        <v>2</v>
      </c>
      <c r="D74" s="36" t="s">
        <v>2010</v>
      </c>
      <c r="E74" s="32" t="s">
        <v>174</v>
      </c>
      <c r="F74" s="36" t="s">
        <v>2011</v>
      </c>
      <c r="G74" s="36" t="s">
        <v>219</v>
      </c>
      <c r="H74" s="36" t="s">
        <v>352</v>
      </c>
      <c r="I74" s="37" t="s">
        <v>2012</v>
      </c>
      <c r="J74" s="31">
        <v>8</v>
      </c>
      <c r="K74" s="33" t="s">
        <v>700</v>
      </c>
      <c r="L74" s="33"/>
      <c r="M74" s="34"/>
      <c r="N74" s="34" t="s">
        <v>1730</v>
      </c>
      <c r="O74" s="35">
        <v>1</v>
      </c>
      <c r="P74" s="35">
        <v>1</v>
      </c>
      <c r="Q74" s="32"/>
      <c r="S74" s="1">
        <f t="shared" si="5"/>
        <v>0</v>
      </c>
      <c r="T74" s="1">
        <f t="shared" si="6"/>
        <v>0</v>
      </c>
      <c r="U74" s="1">
        <f t="shared" si="7"/>
        <v>0</v>
      </c>
      <c r="V74" s="1">
        <f t="shared" si="8"/>
        <v>0</v>
      </c>
      <c r="W74" s="1">
        <f t="shared" si="9"/>
        <v>0</v>
      </c>
      <c r="X74" s="1">
        <f t="shared" si="10"/>
        <v>0</v>
      </c>
      <c r="Y74" s="1">
        <f t="shared" si="11"/>
        <v>0</v>
      </c>
      <c r="Z74" s="1">
        <f t="shared" si="12"/>
        <v>1</v>
      </c>
      <c r="AA74" s="1">
        <f t="shared" si="13"/>
        <v>0</v>
      </c>
      <c r="AB74" s="1">
        <f t="shared" si="14"/>
        <v>0</v>
      </c>
      <c r="AD74" s="1">
        <f t="shared" si="49"/>
        <v>1</v>
      </c>
      <c r="AE74" s="1">
        <f t="shared" si="50"/>
        <v>0</v>
      </c>
      <c r="AF74" s="1">
        <f t="shared" si="51"/>
        <v>1</v>
      </c>
      <c r="AG74" s="1">
        <f t="shared" si="52"/>
        <v>0</v>
      </c>
      <c r="AH74" s="1">
        <f t="shared" si="53"/>
        <v>1</v>
      </c>
      <c r="AI74" s="1">
        <f t="shared" si="54"/>
        <v>0</v>
      </c>
    </row>
    <row r="75" spans="1:35" ht="14.25" customHeight="1" x14ac:dyDescent="0.3">
      <c r="A75" s="44">
        <v>0</v>
      </c>
      <c r="B75" s="44">
        <v>1</v>
      </c>
      <c r="C75" s="44">
        <v>2</v>
      </c>
      <c r="D75" s="45" t="s">
        <v>581</v>
      </c>
      <c r="E75" s="45" t="s">
        <v>173</v>
      </c>
      <c r="F75" s="45" t="s">
        <v>583</v>
      </c>
      <c r="G75" s="45" t="s">
        <v>39</v>
      </c>
      <c r="H75" s="45" t="s">
        <v>584</v>
      </c>
      <c r="I75" s="44" t="s">
        <v>585</v>
      </c>
      <c r="J75" s="44">
        <v>12</v>
      </c>
      <c r="K75" s="46" t="s">
        <v>957</v>
      </c>
      <c r="L75" s="46" t="s">
        <v>1709</v>
      </c>
      <c r="M75" s="47" t="s">
        <v>1376</v>
      </c>
      <c r="N75" s="47" t="s">
        <v>1735</v>
      </c>
      <c r="O75" s="48"/>
      <c r="P75" s="48"/>
      <c r="Q75" s="45"/>
      <c r="S75" s="1">
        <f t="shared" si="5"/>
        <v>0</v>
      </c>
      <c r="T75" s="1">
        <f t="shared" si="6"/>
        <v>0</v>
      </c>
      <c r="U75" s="1">
        <f t="shared" si="7"/>
        <v>0</v>
      </c>
      <c r="V75" s="1">
        <f t="shared" si="8"/>
        <v>0</v>
      </c>
      <c r="W75" s="1">
        <f t="shared" si="9"/>
        <v>0</v>
      </c>
      <c r="X75" s="1">
        <f t="shared" si="10"/>
        <v>0</v>
      </c>
      <c r="Y75" s="1">
        <f t="shared" si="11"/>
        <v>0</v>
      </c>
      <c r="Z75" s="1">
        <f t="shared" si="12"/>
        <v>0</v>
      </c>
      <c r="AA75" s="1">
        <f t="shared" si="13"/>
        <v>0</v>
      </c>
      <c r="AB75" s="1">
        <f t="shared" si="14"/>
        <v>0</v>
      </c>
      <c r="AD75" s="1">
        <f t="shared" si="49"/>
        <v>0</v>
      </c>
      <c r="AE75" s="1">
        <f t="shared" si="50"/>
        <v>0</v>
      </c>
      <c r="AF75" s="1">
        <f t="shared" si="51"/>
        <v>0</v>
      </c>
      <c r="AG75" s="1">
        <f t="shared" si="52"/>
        <v>0</v>
      </c>
      <c r="AH75" s="1">
        <f t="shared" si="53"/>
        <v>0</v>
      </c>
      <c r="AI75" s="1">
        <f t="shared" si="54"/>
        <v>1</v>
      </c>
    </row>
    <row r="76" spans="1:35" ht="14.25" customHeight="1" x14ac:dyDescent="0.3">
      <c r="A76" s="31">
        <v>0</v>
      </c>
      <c r="B76" s="31">
        <v>1</v>
      </c>
      <c r="C76" s="31">
        <v>2</v>
      </c>
      <c r="D76" s="32" t="s">
        <v>1839</v>
      </c>
      <c r="E76" s="32" t="s">
        <v>173</v>
      </c>
      <c r="F76" s="32" t="s">
        <v>1840</v>
      </c>
      <c r="G76" s="32"/>
      <c r="H76" s="32" t="s">
        <v>1841</v>
      </c>
      <c r="I76" s="31" t="s">
        <v>1842</v>
      </c>
      <c r="J76" s="31">
        <v>14</v>
      </c>
      <c r="K76" s="33" t="s">
        <v>700</v>
      </c>
      <c r="L76" s="33">
        <v>75</v>
      </c>
      <c r="M76" s="34" t="s">
        <v>968</v>
      </c>
      <c r="N76" s="34" t="s">
        <v>1740</v>
      </c>
      <c r="O76" s="35">
        <v>1</v>
      </c>
      <c r="P76" s="35"/>
      <c r="Q76" s="32"/>
      <c r="S76" s="1">
        <f t="shared" ref="S76:S77" si="55">IF(J76=$S$7,1,0)</f>
        <v>0</v>
      </c>
      <c r="T76" s="1">
        <f t="shared" ref="T76:T77" si="56">IF(J76=$T$7,1,0)</f>
        <v>0</v>
      </c>
      <c r="U76" s="1">
        <f t="shared" ref="U76:U77" si="57">IF(J76=$U$7,1,0)</f>
        <v>0</v>
      </c>
      <c r="V76" s="1">
        <f t="shared" ref="V76:V77" si="58">IF(J76=$V$7,1,0)</f>
        <v>0</v>
      </c>
      <c r="W76" s="1">
        <f t="shared" ref="W76:W77" si="59">IF(J76=$W$7,1,0)</f>
        <v>0</v>
      </c>
      <c r="X76" s="1">
        <f t="shared" ref="X76:X77" si="60">IF(J76=$X$7,1,0)</f>
        <v>0</v>
      </c>
      <c r="Y76" s="1">
        <f t="shared" ref="Y76:Y77" si="61">IF(J76=$Y$7,1,0)</f>
        <v>0</v>
      </c>
      <c r="Z76" s="1">
        <f t="shared" ref="Z76:Z77" si="62">IF(J76=$Z$7,1,0)</f>
        <v>0</v>
      </c>
      <c r="AA76" s="1">
        <f t="shared" ref="AA76:AA77" si="63">IF(J76=$AA$7,1,0)</f>
        <v>0</v>
      </c>
      <c r="AB76" s="1">
        <f t="shared" ref="AB76:AB77" si="64">IF(J76=$AB$7,1,0)</f>
        <v>0</v>
      </c>
      <c r="AD76" s="1">
        <f t="shared" ref="AD76:AD77" si="65">+O76*P76</f>
        <v>0</v>
      </c>
      <c r="AE76" s="1">
        <f t="shared" ref="AE76:AE77" si="66">O76*(1-P76)</f>
        <v>1</v>
      </c>
      <c r="AF76" s="1">
        <f t="shared" ref="AF76:AF139" si="67">+O76*P76*(1-A76)</f>
        <v>0</v>
      </c>
      <c r="AG76" s="1">
        <f t="shared" ref="AG76:AG139" si="68">O76*(1-P76)*(1-A76)</f>
        <v>1</v>
      </c>
      <c r="AH76" s="1">
        <f t="shared" ref="AH76:AH139" si="69">+P76*(1-A76)</f>
        <v>0</v>
      </c>
      <c r="AI76" s="1">
        <f t="shared" ref="AI76:AI139" si="70">+(1-A76)*(1-P76)</f>
        <v>1</v>
      </c>
    </row>
    <row r="77" spans="1:35" ht="14.25" customHeight="1" x14ac:dyDescent="0.3">
      <c r="A77" s="31">
        <v>0</v>
      </c>
      <c r="B77" s="31">
        <v>1</v>
      </c>
      <c r="C77" s="31">
        <v>2</v>
      </c>
      <c r="D77" s="36" t="s">
        <v>1721</v>
      </c>
      <c r="E77" s="32" t="s">
        <v>174</v>
      </c>
      <c r="F77" s="36" t="s">
        <v>1722</v>
      </c>
      <c r="G77" s="36" t="s">
        <v>206</v>
      </c>
      <c r="H77" s="36" t="s">
        <v>352</v>
      </c>
      <c r="I77" s="37" t="s">
        <v>1723</v>
      </c>
      <c r="J77" s="31">
        <v>99</v>
      </c>
      <c r="K77" s="33" t="s">
        <v>700</v>
      </c>
      <c r="L77" s="33"/>
      <c r="M77" s="34"/>
      <c r="N77" s="34" t="s">
        <v>1724</v>
      </c>
      <c r="O77" s="35">
        <v>1</v>
      </c>
      <c r="P77" s="35">
        <v>1</v>
      </c>
      <c r="Q77" s="36"/>
      <c r="S77" s="1">
        <f t="shared" si="55"/>
        <v>0</v>
      </c>
      <c r="T77" s="1">
        <f t="shared" si="56"/>
        <v>0</v>
      </c>
      <c r="U77" s="1">
        <f t="shared" si="57"/>
        <v>0</v>
      </c>
      <c r="V77" s="1">
        <f t="shared" si="58"/>
        <v>0</v>
      </c>
      <c r="W77" s="1">
        <f t="shared" si="59"/>
        <v>0</v>
      </c>
      <c r="X77" s="1">
        <f t="shared" si="60"/>
        <v>0</v>
      </c>
      <c r="Y77" s="1">
        <f t="shared" si="61"/>
        <v>0</v>
      </c>
      <c r="Z77" s="1">
        <f t="shared" si="62"/>
        <v>0</v>
      </c>
      <c r="AA77" s="1">
        <f t="shared" si="63"/>
        <v>0</v>
      </c>
      <c r="AB77" s="1">
        <f t="shared" si="64"/>
        <v>0</v>
      </c>
      <c r="AD77" s="1">
        <f t="shared" si="65"/>
        <v>1</v>
      </c>
      <c r="AE77" s="1">
        <f t="shared" si="66"/>
        <v>0</v>
      </c>
      <c r="AF77" s="1">
        <f t="shared" si="67"/>
        <v>1</v>
      </c>
      <c r="AG77" s="1">
        <f t="shared" si="68"/>
        <v>0</v>
      </c>
      <c r="AH77" s="1">
        <f t="shared" si="69"/>
        <v>1</v>
      </c>
      <c r="AI77" s="1">
        <f t="shared" si="70"/>
        <v>0</v>
      </c>
    </row>
    <row r="78" spans="1:35" ht="14.25" customHeight="1" x14ac:dyDescent="0.3">
      <c r="A78" s="31">
        <v>0</v>
      </c>
      <c r="B78" s="31">
        <v>1</v>
      </c>
      <c r="C78" s="31">
        <v>2</v>
      </c>
      <c r="D78" s="36" t="s">
        <v>1055</v>
      </c>
      <c r="E78" s="32" t="s">
        <v>174</v>
      </c>
      <c r="F78" s="36" t="s">
        <v>1094</v>
      </c>
      <c r="G78" s="36" t="s">
        <v>39</v>
      </c>
      <c r="H78" s="36" t="s">
        <v>1056</v>
      </c>
      <c r="I78" s="37" t="s">
        <v>1158</v>
      </c>
      <c r="J78" s="31">
        <v>13</v>
      </c>
      <c r="K78" s="33" t="s">
        <v>699</v>
      </c>
      <c r="L78" s="33" t="s">
        <v>686</v>
      </c>
      <c r="M78" s="34" t="s">
        <v>1438</v>
      </c>
      <c r="N78" s="34" t="s">
        <v>1746</v>
      </c>
      <c r="O78" s="35">
        <v>1</v>
      </c>
      <c r="P78" s="35"/>
      <c r="Q78" s="36"/>
      <c r="S78" s="1">
        <f t="shared" ref="S78:S144" si="71">IF(J78=$S$7,1,0)</f>
        <v>0</v>
      </c>
      <c r="T78" s="1">
        <f t="shared" ref="T78:T144" si="72">IF(J78=$T$7,1,0)</f>
        <v>0</v>
      </c>
      <c r="U78" s="1">
        <f t="shared" ref="U78:U144" si="73">IF(J78=$U$7,1,0)</f>
        <v>0</v>
      </c>
      <c r="V78" s="1">
        <f t="shared" ref="V78:V144" si="74">IF(J78=$V$7,1,0)</f>
        <v>0</v>
      </c>
      <c r="W78" s="1">
        <f t="shared" ref="W78:W144" si="75">IF(J78=$W$7,1,0)</f>
        <v>0</v>
      </c>
      <c r="X78" s="1">
        <f t="shared" ref="X78:X144" si="76">IF(J78=$X$7,1,0)</f>
        <v>0</v>
      </c>
      <c r="Y78" s="1">
        <f t="shared" ref="Y78:Y144" si="77">IF(J78=$Y$7,1,0)</f>
        <v>0</v>
      </c>
      <c r="Z78" s="1">
        <f t="shared" ref="Z78:Z144" si="78">IF(J78=$Z$7,1,0)</f>
        <v>0</v>
      </c>
      <c r="AA78" s="1">
        <f t="shared" ref="AA78:AA144" si="79">IF(J78=$AA$7,1,0)</f>
        <v>0</v>
      </c>
      <c r="AB78" s="1">
        <f t="shared" ref="AB78:AB144" si="80">IF(J78=$AB$7,1,0)</f>
        <v>0</v>
      </c>
      <c r="AD78" s="1">
        <f t="shared" ref="AD78:AD144" si="81">+O78*P78</f>
        <v>0</v>
      </c>
      <c r="AE78" s="1">
        <f t="shared" ref="AE78:AE144" si="82">O78*(1-P78)</f>
        <v>1</v>
      </c>
      <c r="AF78" s="1">
        <f t="shared" si="67"/>
        <v>0</v>
      </c>
      <c r="AG78" s="1">
        <f t="shared" si="68"/>
        <v>1</v>
      </c>
      <c r="AH78" s="1">
        <f t="shared" si="69"/>
        <v>0</v>
      </c>
      <c r="AI78" s="1">
        <f t="shared" si="70"/>
        <v>1</v>
      </c>
    </row>
    <row r="79" spans="1:35" ht="14.25" customHeight="1" x14ac:dyDescent="0.3">
      <c r="A79" s="31">
        <v>0</v>
      </c>
      <c r="B79" s="31">
        <v>1</v>
      </c>
      <c r="C79" s="31">
        <v>2</v>
      </c>
      <c r="D79" s="36" t="s">
        <v>1592</v>
      </c>
      <c r="E79" s="32" t="s">
        <v>174</v>
      </c>
      <c r="F79" s="36" t="s">
        <v>1593</v>
      </c>
      <c r="G79" s="36" t="s">
        <v>234</v>
      </c>
      <c r="H79" s="36" t="s">
        <v>352</v>
      </c>
      <c r="I79" s="37" t="s">
        <v>1594</v>
      </c>
      <c r="J79" s="31">
        <v>99</v>
      </c>
      <c r="K79" s="33" t="s">
        <v>953</v>
      </c>
      <c r="L79" s="33">
        <v>45</v>
      </c>
      <c r="M79" s="34" t="s">
        <v>39</v>
      </c>
      <c r="N79" s="34" t="s">
        <v>1786</v>
      </c>
      <c r="O79" s="35">
        <v>1</v>
      </c>
      <c r="P79" s="35"/>
      <c r="Q79" s="36"/>
      <c r="S79" s="1">
        <f t="shared" si="71"/>
        <v>0</v>
      </c>
      <c r="T79" s="1">
        <f t="shared" si="72"/>
        <v>0</v>
      </c>
      <c r="U79" s="1">
        <f t="shared" si="73"/>
        <v>0</v>
      </c>
      <c r="V79" s="1">
        <f t="shared" si="74"/>
        <v>0</v>
      </c>
      <c r="W79" s="1">
        <f t="shared" si="75"/>
        <v>0</v>
      </c>
      <c r="X79" s="1">
        <f t="shared" si="76"/>
        <v>0</v>
      </c>
      <c r="Y79" s="1">
        <f t="shared" si="77"/>
        <v>0</v>
      </c>
      <c r="Z79" s="1">
        <f t="shared" si="78"/>
        <v>0</v>
      </c>
      <c r="AA79" s="1">
        <f t="shared" si="79"/>
        <v>0</v>
      </c>
      <c r="AB79" s="1">
        <f t="shared" si="80"/>
        <v>0</v>
      </c>
      <c r="AD79" s="1">
        <f t="shared" si="81"/>
        <v>0</v>
      </c>
      <c r="AE79" s="1">
        <f t="shared" si="82"/>
        <v>1</v>
      </c>
      <c r="AF79" s="1">
        <f t="shared" si="67"/>
        <v>0</v>
      </c>
      <c r="AG79" s="1">
        <f t="shared" si="68"/>
        <v>1</v>
      </c>
      <c r="AH79" s="1">
        <f t="shared" si="69"/>
        <v>0</v>
      </c>
      <c r="AI79" s="1">
        <f t="shared" si="70"/>
        <v>1</v>
      </c>
    </row>
    <row r="80" spans="1:35" ht="14.25" customHeight="1" x14ac:dyDescent="0.3">
      <c r="A80" s="38">
        <v>0</v>
      </c>
      <c r="B80" s="38">
        <v>1</v>
      </c>
      <c r="C80" s="38">
        <v>2</v>
      </c>
      <c r="D80" s="54" t="s">
        <v>1322</v>
      </c>
      <c r="E80" s="39" t="s">
        <v>173</v>
      </c>
      <c r="F80" s="39" t="s">
        <v>1265</v>
      </c>
      <c r="G80" s="39" t="s">
        <v>206</v>
      </c>
      <c r="H80" s="39" t="s">
        <v>352</v>
      </c>
      <c r="I80" s="38" t="s">
        <v>1266</v>
      </c>
      <c r="J80" s="38">
        <v>99</v>
      </c>
      <c r="K80" s="40" t="s">
        <v>959</v>
      </c>
      <c r="L80" s="40" t="s">
        <v>39</v>
      </c>
      <c r="M80" s="41" t="s">
        <v>39</v>
      </c>
      <c r="N80" s="42"/>
      <c r="O80" s="43"/>
      <c r="P80" s="43">
        <v>1</v>
      </c>
      <c r="Q80" s="39"/>
      <c r="S80" s="1">
        <f t="shared" si="71"/>
        <v>0</v>
      </c>
      <c r="T80" s="1">
        <f t="shared" si="72"/>
        <v>0</v>
      </c>
      <c r="U80" s="1">
        <f t="shared" si="73"/>
        <v>0</v>
      </c>
      <c r="V80" s="1">
        <f t="shared" si="74"/>
        <v>0</v>
      </c>
      <c r="W80" s="1">
        <f t="shared" si="75"/>
        <v>0</v>
      </c>
      <c r="X80" s="1">
        <f t="shared" si="76"/>
        <v>0</v>
      </c>
      <c r="Y80" s="1">
        <f t="shared" si="77"/>
        <v>0</v>
      </c>
      <c r="Z80" s="1">
        <f t="shared" si="78"/>
        <v>0</v>
      </c>
      <c r="AA80" s="1">
        <f t="shared" si="79"/>
        <v>0</v>
      </c>
      <c r="AB80" s="1">
        <f t="shared" si="80"/>
        <v>0</v>
      </c>
      <c r="AD80" s="1">
        <f t="shared" si="81"/>
        <v>0</v>
      </c>
      <c r="AE80" s="1">
        <f t="shared" si="82"/>
        <v>0</v>
      </c>
      <c r="AF80" s="1">
        <f t="shared" si="67"/>
        <v>0</v>
      </c>
      <c r="AG80" s="1">
        <f t="shared" si="68"/>
        <v>0</v>
      </c>
      <c r="AH80" s="1">
        <f t="shared" si="69"/>
        <v>1</v>
      </c>
      <c r="AI80" s="1">
        <f t="shared" si="70"/>
        <v>0</v>
      </c>
    </row>
    <row r="81" spans="1:35" ht="14.25" customHeight="1" x14ac:dyDescent="0.3">
      <c r="A81" s="31">
        <v>0</v>
      </c>
      <c r="B81" s="31">
        <v>1</v>
      </c>
      <c r="C81" s="31">
        <v>3</v>
      </c>
      <c r="D81" s="36" t="s">
        <v>1796</v>
      </c>
      <c r="E81" s="32" t="s">
        <v>169</v>
      </c>
      <c r="F81" s="36" t="s">
        <v>1794</v>
      </c>
      <c r="G81" s="36" t="s">
        <v>231</v>
      </c>
      <c r="H81" s="36" t="s">
        <v>352</v>
      </c>
      <c r="I81" s="37" t="s">
        <v>1795</v>
      </c>
      <c r="J81" s="31">
        <v>99</v>
      </c>
      <c r="K81" s="33" t="s">
        <v>700</v>
      </c>
      <c r="L81" s="33"/>
      <c r="M81" s="34"/>
      <c r="N81" s="34" t="s">
        <v>1724</v>
      </c>
      <c r="O81" s="35">
        <v>1</v>
      </c>
      <c r="P81" s="35">
        <v>1</v>
      </c>
      <c r="Q81" s="36"/>
      <c r="S81" s="1">
        <f t="shared" si="71"/>
        <v>0</v>
      </c>
      <c r="T81" s="1">
        <f t="shared" si="72"/>
        <v>0</v>
      </c>
      <c r="U81" s="1">
        <f t="shared" si="73"/>
        <v>0</v>
      </c>
      <c r="V81" s="1">
        <f t="shared" si="74"/>
        <v>0</v>
      </c>
      <c r="W81" s="1">
        <f t="shared" si="75"/>
        <v>0</v>
      </c>
      <c r="X81" s="1">
        <f t="shared" si="76"/>
        <v>0</v>
      </c>
      <c r="Y81" s="1">
        <f t="shared" si="77"/>
        <v>0</v>
      </c>
      <c r="Z81" s="1">
        <f t="shared" si="78"/>
        <v>0</v>
      </c>
      <c r="AA81" s="1">
        <f t="shared" si="79"/>
        <v>0</v>
      </c>
      <c r="AB81" s="1">
        <f t="shared" si="80"/>
        <v>0</v>
      </c>
      <c r="AD81" s="1">
        <f t="shared" si="81"/>
        <v>1</v>
      </c>
      <c r="AE81" s="1">
        <f t="shared" si="82"/>
        <v>0</v>
      </c>
      <c r="AF81" s="1">
        <f t="shared" si="67"/>
        <v>1</v>
      </c>
      <c r="AG81" s="1">
        <f t="shared" si="68"/>
        <v>0</v>
      </c>
      <c r="AH81" s="1">
        <f t="shared" si="69"/>
        <v>1</v>
      </c>
      <c r="AI81" s="1">
        <f t="shared" si="70"/>
        <v>0</v>
      </c>
    </row>
    <row r="82" spans="1:35" ht="14.25" customHeight="1" x14ac:dyDescent="0.3">
      <c r="A82" s="31">
        <v>0</v>
      </c>
      <c r="B82" s="31">
        <v>1</v>
      </c>
      <c r="C82" s="31">
        <v>3</v>
      </c>
      <c r="D82" s="36" t="s">
        <v>1155</v>
      </c>
      <c r="E82" s="32" t="s">
        <v>169</v>
      </c>
      <c r="F82" s="36" t="s">
        <v>1156</v>
      </c>
      <c r="G82" s="36" t="s">
        <v>39</v>
      </c>
      <c r="H82" s="36" t="s">
        <v>1356</v>
      </c>
      <c r="I82" s="37" t="s">
        <v>1157</v>
      </c>
      <c r="J82" s="31">
        <v>11</v>
      </c>
      <c r="K82" s="33" t="s">
        <v>699</v>
      </c>
      <c r="L82" s="33" t="s">
        <v>1696</v>
      </c>
      <c r="M82" s="34" t="s">
        <v>1386</v>
      </c>
      <c r="N82" s="34" t="s">
        <v>1746</v>
      </c>
      <c r="O82" s="35">
        <v>1</v>
      </c>
      <c r="P82" s="35"/>
      <c r="Q82" s="36"/>
      <c r="S82" s="1">
        <f t="shared" si="71"/>
        <v>0</v>
      </c>
      <c r="T82" s="1">
        <f t="shared" si="72"/>
        <v>0</v>
      </c>
      <c r="U82" s="1">
        <f t="shared" si="73"/>
        <v>0</v>
      </c>
      <c r="V82" s="1">
        <f t="shared" si="74"/>
        <v>0</v>
      </c>
      <c r="W82" s="1">
        <f t="shared" si="75"/>
        <v>0</v>
      </c>
      <c r="X82" s="1">
        <f t="shared" si="76"/>
        <v>0</v>
      </c>
      <c r="Y82" s="1">
        <f t="shared" si="77"/>
        <v>0</v>
      </c>
      <c r="Z82" s="1">
        <f t="shared" si="78"/>
        <v>0</v>
      </c>
      <c r="AA82" s="1">
        <f t="shared" si="79"/>
        <v>0</v>
      </c>
      <c r="AB82" s="1">
        <f t="shared" si="80"/>
        <v>0</v>
      </c>
      <c r="AD82" s="1">
        <f t="shared" si="81"/>
        <v>0</v>
      </c>
      <c r="AE82" s="1">
        <f t="shared" si="82"/>
        <v>1</v>
      </c>
      <c r="AF82" s="1">
        <f t="shared" si="67"/>
        <v>0</v>
      </c>
      <c r="AG82" s="1">
        <f t="shared" si="68"/>
        <v>1</v>
      </c>
      <c r="AH82" s="1">
        <f t="shared" si="69"/>
        <v>0</v>
      </c>
      <c r="AI82" s="1">
        <f t="shared" si="70"/>
        <v>1</v>
      </c>
    </row>
    <row r="83" spans="1:35" ht="14.25" customHeight="1" x14ac:dyDescent="0.3">
      <c r="A83" s="31">
        <v>0</v>
      </c>
      <c r="B83" s="31">
        <v>1</v>
      </c>
      <c r="C83" s="31">
        <v>3</v>
      </c>
      <c r="D83" s="36" t="s">
        <v>123</v>
      </c>
      <c r="E83" s="32" t="s">
        <v>169</v>
      </c>
      <c r="F83" s="36" t="s">
        <v>573</v>
      </c>
      <c r="G83" s="36" t="s">
        <v>39</v>
      </c>
      <c r="H83" s="36" t="s">
        <v>371</v>
      </c>
      <c r="I83" s="37" t="s">
        <v>468</v>
      </c>
      <c r="J83" s="31">
        <v>18</v>
      </c>
      <c r="K83" s="33" t="s">
        <v>700</v>
      </c>
      <c r="L83" s="33" t="s">
        <v>692</v>
      </c>
      <c r="M83" s="34" t="s">
        <v>688</v>
      </c>
      <c r="N83" s="34" t="s">
        <v>1822</v>
      </c>
      <c r="O83" s="35">
        <v>1</v>
      </c>
      <c r="P83" s="35"/>
      <c r="Q83" s="36" t="s">
        <v>1879</v>
      </c>
      <c r="S83" s="1">
        <f t="shared" si="71"/>
        <v>0</v>
      </c>
      <c r="T83" s="1">
        <f t="shared" si="72"/>
        <v>0</v>
      </c>
      <c r="U83" s="1">
        <f t="shared" si="73"/>
        <v>0</v>
      </c>
      <c r="V83" s="1">
        <f t="shared" si="74"/>
        <v>0</v>
      </c>
      <c r="W83" s="1">
        <f t="shared" si="75"/>
        <v>0</v>
      </c>
      <c r="X83" s="1">
        <f t="shared" si="76"/>
        <v>0</v>
      </c>
      <c r="Y83" s="1">
        <f t="shared" si="77"/>
        <v>0</v>
      </c>
      <c r="Z83" s="1">
        <f t="shared" si="78"/>
        <v>0</v>
      </c>
      <c r="AA83" s="1">
        <f t="shared" si="79"/>
        <v>0</v>
      </c>
      <c r="AB83" s="1">
        <f t="shared" si="80"/>
        <v>0</v>
      </c>
      <c r="AD83" s="1">
        <f t="shared" si="81"/>
        <v>0</v>
      </c>
      <c r="AE83" s="1">
        <f t="shared" si="82"/>
        <v>1</v>
      </c>
      <c r="AF83" s="1">
        <f t="shared" si="67"/>
        <v>0</v>
      </c>
      <c r="AG83" s="1">
        <f t="shared" si="68"/>
        <v>1</v>
      </c>
      <c r="AH83" s="1">
        <f t="shared" si="69"/>
        <v>0</v>
      </c>
      <c r="AI83" s="1">
        <f t="shared" si="70"/>
        <v>1</v>
      </c>
    </row>
    <row r="84" spans="1:35" ht="14.25" customHeight="1" x14ac:dyDescent="0.3">
      <c r="A84" s="31">
        <v>0</v>
      </c>
      <c r="B84" s="31">
        <v>1</v>
      </c>
      <c r="C84" s="31">
        <v>3</v>
      </c>
      <c r="D84" s="36" t="s">
        <v>1007</v>
      </c>
      <c r="E84" s="32" t="s">
        <v>171</v>
      </c>
      <c r="F84" s="36" t="s">
        <v>1008</v>
      </c>
      <c r="G84" s="36" t="s">
        <v>1009</v>
      </c>
      <c r="H84" s="36" t="s">
        <v>352</v>
      </c>
      <c r="I84" s="37" t="s">
        <v>1010</v>
      </c>
      <c r="J84" s="31">
        <v>99</v>
      </c>
      <c r="K84" s="33" t="s">
        <v>953</v>
      </c>
      <c r="L84" s="33" t="s">
        <v>39</v>
      </c>
      <c r="M84" s="34" t="s">
        <v>39</v>
      </c>
      <c r="N84" s="34" t="s">
        <v>1730</v>
      </c>
      <c r="O84" s="35">
        <v>1</v>
      </c>
      <c r="P84" s="35">
        <v>1</v>
      </c>
      <c r="Q84" s="36"/>
      <c r="S84" s="1">
        <f t="shared" si="71"/>
        <v>0</v>
      </c>
      <c r="T84" s="1">
        <f t="shared" si="72"/>
        <v>0</v>
      </c>
      <c r="U84" s="1">
        <f t="shared" si="73"/>
        <v>0</v>
      </c>
      <c r="V84" s="1">
        <f t="shared" si="74"/>
        <v>0</v>
      </c>
      <c r="W84" s="1">
        <f t="shared" si="75"/>
        <v>0</v>
      </c>
      <c r="X84" s="1">
        <f t="shared" si="76"/>
        <v>0</v>
      </c>
      <c r="Y84" s="1">
        <f t="shared" si="77"/>
        <v>0</v>
      </c>
      <c r="Z84" s="1">
        <f t="shared" si="78"/>
        <v>0</v>
      </c>
      <c r="AA84" s="1">
        <f t="shared" si="79"/>
        <v>0</v>
      </c>
      <c r="AB84" s="1">
        <f t="shared" si="80"/>
        <v>0</v>
      </c>
      <c r="AD84" s="1">
        <f t="shared" si="81"/>
        <v>1</v>
      </c>
      <c r="AE84" s="1">
        <f t="shared" si="82"/>
        <v>0</v>
      </c>
      <c r="AF84" s="1">
        <f t="shared" si="67"/>
        <v>1</v>
      </c>
      <c r="AG84" s="1">
        <f t="shared" si="68"/>
        <v>0</v>
      </c>
      <c r="AH84" s="1">
        <f t="shared" si="69"/>
        <v>1</v>
      </c>
      <c r="AI84" s="1">
        <f t="shared" si="70"/>
        <v>0</v>
      </c>
    </row>
    <row r="85" spans="1:35" ht="14.25" customHeight="1" x14ac:dyDescent="0.3">
      <c r="A85" s="31">
        <v>0</v>
      </c>
      <c r="B85" s="31">
        <v>1</v>
      </c>
      <c r="C85" s="31">
        <v>3</v>
      </c>
      <c r="D85" s="36" t="s">
        <v>142</v>
      </c>
      <c r="E85" s="32" t="s">
        <v>174</v>
      </c>
      <c r="F85" s="36" t="s">
        <v>342</v>
      </c>
      <c r="G85" s="36" t="s">
        <v>343</v>
      </c>
      <c r="H85" s="36" t="s">
        <v>352</v>
      </c>
      <c r="I85" s="37" t="s">
        <v>488</v>
      </c>
      <c r="J85" s="31">
        <v>6</v>
      </c>
      <c r="K85" s="33" t="s">
        <v>954</v>
      </c>
      <c r="L85" s="33" t="s">
        <v>684</v>
      </c>
      <c r="M85" s="34" t="s">
        <v>688</v>
      </c>
      <c r="N85" s="34" t="s">
        <v>1740</v>
      </c>
      <c r="O85" s="35">
        <v>1</v>
      </c>
      <c r="P85" s="35"/>
      <c r="Q85" s="36"/>
      <c r="S85" s="1">
        <f t="shared" si="71"/>
        <v>0</v>
      </c>
      <c r="T85" s="1">
        <f t="shared" si="72"/>
        <v>0</v>
      </c>
      <c r="U85" s="1">
        <f t="shared" si="73"/>
        <v>0</v>
      </c>
      <c r="V85" s="1">
        <f t="shared" si="74"/>
        <v>0</v>
      </c>
      <c r="W85" s="1">
        <f t="shared" si="75"/>
        <v>0</v>
      </c>
      <c r="X85" s="1">
        <f t="shared" si="76"/>
        <v>1</v>
      </c>
      <c r="Y85" s="1">
        <f t="shared" si="77"/>
        <v>0</v>
      </c>
      <c r="Z85" s="1">
        <f t="shared" si="78"/>
        <v>0</v>
      </c>
      <c r="AA85" s="1">
        <f t="shared" si="79"/>
        <v>0</v>
      </c>
      <c r="AB85" s="1">
        <f t="shared" si="80"/>
        <v>0</v>
      </c>
      <c r="AD85" s="1">
        <f t="shared" si="81"/>
        <v>0</v>
      </c>
      <c r="AE85" s="1">
        <f t="shared" si="82"/>
        <v>1</v>
      </c>
      <c r="AF85" s="1">
        <f t="shared" si="67"/>
        <v>0</v>
      </c>
      <c r="AG85" s="1">
        <f t="shared" si="68"/>
        <v>1</v>
      </c>
      <c r="AH85" s="1">
        <f t="shared" si="69"/>
        <v>0</v>
      </c>
      <c r="AI85" s="1">
        <f t="shared" si="70"/>
        <v>1</v>
      </c>
    </row>
    <row r="86" spans="1:35" ht="14.25" customHeight="1" x14ac:dyDescent="0.3">
      <c r="A86" s="15">
        <v>0</v>
      </c>
      <c r="B86" s="15">
        <v>1</v>
      </c>
      <c r="C86" s="15">
        <v>3</v>
      </c>
      <c r="D86" s="16" t="s">
        <v>1783</v>
      </c>
      <c r="E86" s="16" t="s">
        <v>171</v>
      </c>
      <c r="F86" s="16" t="s">
        <v>1785</v>
      </c>
      <c r="G86" s="16"/>
      <c r="H86" s="16" t="s">
        <v>362</v>
      </c>
      <c r="I86" s="15" t="s">
        <v>1784</v>
      </c>
      <c r="J86" s="15">
        <v>17</v>
      </c>
      <c r="K86" s="10" t="s">
        <v>700</v>
      </c>
      <c r="L86" s="10" t="s">
        <v>1739</v>
      </c>
      <c r="M86" s="19" t="s">
        <v>688</v>
      </c>
      <c r="N86" s="17"/>
      <c r="Q86" s="20" t="s">
        <v>1911</v>
      </c>
      <c r="S86" s="1">
        <f t="shared" si="71"/>
        <v>0</v>
      </c>
      <c r="T86" s="1">
        <f t="shared" si="72"/>
        <v>0</v>
      </c>
      <c r="U86" s="1">
        <f t="shared" si="73"/>
        <v>0</v>
      </c>
      <c r="V86" s="1">
        <f t="shared" si="74"/>
        <v>0</v>
      </c>
      <c r="W86" s="1">
        <f t="shared" si="75"/>
        <v>0</v>
      </c>
      <c r="X86" s="1">
        <f t="shared" si="76"/>
        <v>0</v>
      </c>
      <c r="Y86" s="1">
        <f t="shared" si="77"/>
        <v>0</v>
      </c>
      <c r="Z86" s="1">
        <f t="shared" si="78"/>
        <v>0</v>
      </c>
      <c r="AA86" s="1">
        <f t="shared" si="79"/>
        <v>0</v>
      </c>
      <c r="AB86" s="1">
        <f t="shared" si="80"/>
        <v>0</v>
      </c>
      <c r="AD86" s="1">
        <f t="shared" si="81"/>
        <v>0</v>
      </c>
      <c r="AE86" s="1">
        <f t="shared" si="82"/>
        <v>0</v>
      </c>
      <c r="AF86" s="1">
        <f t="shared" si="67"/>
        <v>0</v>
      </c>
      <c r="AG86" s="1">
        <f t="shared" si="68"/>
        <v>0</v>
      </c>
      <c r="AH86" s="1">
        <f t="shared" si="69"/>
        <v>0</v>
      </c>
      <c r="AI86" s="1">
        <f t="shared" si="70"/>
        <v>1</v>
      </c>
    </row>
    <row r="87" spans="1:35" ht="14.25" customHeight="1" x14ac:dyDescent="0.3">
      <c r="A87" s="31">
        <v>0</v>
      </c>
      <c r="B87" s="31">
        <v>1</v>
      </c>
      <c r="C87" s="31">
        <v>3</v>
      </c>
      <c r="D87" s="32" t="s">
        <v>1807</v>
      </c>
      <c r="E87" s="32" t="s">
        <v>171</v>
      </c>
      <c r="F87" s="32" t="s">
        <v>1808</v>
      </c>
      <c r="G87" s="32" t="s">
        <v>1809</v>
      </c>
      <c r="H87" s="32" t="s">
        <v>352</v>
      </c>
      <c r="I87" s="31" t="s">
        <v>1810</v>
      </c>
      <c r="J87" s="31">
        <v>1</v>
      </c>
      <c r="K87" s="33" t="s">
        <v>700</v>
      </c>
      <c r="L87" s="33">
        <v>60</v>
      </c>
      <c r="M87" s="34" t="s">
        <v>1811</v>
      </c>
      <c r="N87" s="34" t="s">
        <v>1846</v>
      </c>
      <c r="O87" s="35">
        <v>1</v>
      </c>
      <c r="P87" s="35"/>
      <c r="Q87" s="32"/>
      <c r="S87" s="1">
        <f t="shared" si="71"/>
        <v>1</v>
      </c>
      <c r="T87" s="1">
        <f t="shared" si="72"/>
        <v>0</v>
      </c>
      <c r="U87" s="1">
        <f t="shared" si="73"/>
        <v>0</v>
      </c>
      <c r="V87" s="1">
        <f t="shared" si="74"/>
        <v>0</v>
      </c>
      <c r="W87" s="1">
        <f t="shared" si="75"/>
        <v>0</v>
      </c>
      <c r="X87" s="1">
        <f t="shared" si="76"/>
        <v>0</v>
      </c>
      <c r="Y87" s="1">
        <f t="shared" si="77"/>
        <v>0</v>
      </c>
      <c r="Z87" s="1">
        <f t="shared" si="78"/>
        <v>0</v>
      </c>
      <c r="AA87" s="1">
        <f t="shared" si="79"/>
        <v>0</v>
      </c>
      <c r="AB87" s="1">
        <f t="shared" si="80"/>
        <v>0</v>
      </c>
      <c r="AD87" s="1">
        <f t="shared" si="81"/>
        <v>0</v>
      </c>
      <c r="AE87" s="1">
        <f t="shared" si="82"/>
        <v>1</v>
      </c>
      <c r="AF87" s="1">
        <f t="shared" si="67"/>
        <v>0</v>
      </c>
      <c r="AG87" s="1">
        <f t="shared" si="68"/>
        <v>1</v>
      </c>
      <c r="AH87" s="1">
        <f t="shared" si="69"/>
        <v>0</v>
      </c>
      <c r="AI87" s="1">
        <f t="shared" si="70"/>
        <v>1</v>
      </c>
    </row>
    <row r="88" spans="1:35" ht="14.25" customHeight="1" x14ac:dyDescent="0.3">
      <c r="A88" s="31">
        <v>0</v>
      </c>
      <c r="B88" s="31">
        <v>1</v>
      </c>
      <c r="C88" s="31">
        <v>3</v>
      </c>
      <c r="D88" s="36" t="s">
        <v>2064</v>
      </c>
      <c r="E88" s="36" t="s">
        <v>175</v>
      </c>
      <c r="F88" s="36" t="s">
        <v>2062</v>
      </c>
      <c r="G88" s="36" t="s">
        <v>219</v>
      </c>
      <c r="H88" s="36" t="s">
        <v>352</v>
      </c>
      <c r="I88" s="37" t="s">
        <v>2063</v>
      </c>
      <c r="J88" s="31">
        <v>8</v>
      </c>
      <c r="K88" s="33" t="s">
        <v>700</v>
      </c>
      <c r="L88" s="33"/>
      <c r="M88" s="34"/>
      <c r="N88" s="34" t="s">
        <v>1730</v>
      </c>
      <c r="O88" s="35">
        <v>1</v>
      </c>
      <c r="P88" s="35">
        <v>1</v>
      </c>
      <c r="Q88" s="36"/>
      <c r="S88" s="1">
        <f t="shared" si="71"/>
        <v>0</v>
      </c>
      <c r="T88" s="1">
        <f t="shared" si="72"/>
        <v>0</v>
      </c>
      <c r="U88" s="1">
        <f t="shared" si="73"/>
        <v>0</v>
      </c>
      <c r="V88" s="1">
        <f t="shared" si="74"/>
        <v>0</v>
      </c>
      <c r="W88" s="1">
        <f t="shared" si="75"/>
        <v>0</v>
      </c>
      <c r="X88" s="1">
        <f t="shared" si="76"/>
        <v>0</v>
      </c>
      <c r="Y88" s="1">
        <f t="shared" si="77"/>
        <v>0</v>
      </c>
      <c r="Z88" s="1">
        <f t="shared" si="78"/>
        <v>1</v>
      </c>
      <c r="AA88" s="1">
        <f t="shared" si="79"/>
        <v>0</v>
      </c>
      <c r="AB88" s="1">
        <f t="shared" si="80"/>
        <v>0</v>
      </c>
      <c r="AD88" s="1">
        <f t="shared" si="81"/>
        <v>1</v>
      </c>
      <c r="AE88" s="1">
        <f t="shared" si="82"/>
        <v>0</v>
      </c>
      <c r="AF88" s="1">
        <f t="shared" si="67"/>
        <v>1</v>
      </c>
      <c r="AG88" s="1">
        <f t="shared" si="68"/>
        <v>0</v>
      </c>
      <c r="AH88" s="1">
        <f t="shared" si="69"/>
        <v>1</v>
      </c>
      <c r="AI88" s="1">
        <f t="shared" si="70"/>
        <v>0</v>
      </c>
    </row>
    <row r="89" spans="1:35" ht="14.25" customHeight="1" x14ac:dyDescent="0.3">
      <c r="A89" s="31">
        <v>0</v>
      </c>
      <c r="B89" s="31">
        <v>1</v>
      </c>
      <c r="C89" s="31">
        <v>3</v>
      </c>
      <c r="D89" s="36" t="s">
        <v>1595</v>
      </c>
      <c r="E89" s="32" t="s">
        <v>174</v>
      </c>
      <c r="F89" s="36" t="s">
        <v>317</v>
      </c>
      <c r="G89" s="36" t="s">
        <v>268</v>
      </c>
      <c r="H89" s="36" t="s">
        <v>352</v>
      </c>
      <c r="I89" s="37" t="s">
        <v>463</v>
      </c>
      <c r="J89" s="31">
        <v>8</v>
      </c>
      <c r="K89" s="33" t="s">
        <v>699</v>
      </c>
      <c r="L89" s="33" t="s">
        <v>686</v>
      </c>
      <c r="M89" s="34" t="s">
        <v>688</v>
      </c>
      <c r="N89" s="34" t="s">
        <v>1752</v>
      </c>
      <c r="O89" s="35">
        <v>1</v>
      </c>
      <c r="P89" s="35"/>
      <c r="Q89" s="36"/>
      <c r="S89" s="1">
        <f t="shared" si="71"/>
        <v>0</v>
      </c>
      <c r="T89" s="1">
        <f t="shared" si="72"/>
        <v>0</v>
      </c>
      <c r="U89" s="1">
        <f t="shared" si="73"/>
        <v>0</v>
      </c>
      <c r="V89" s="1">
        <f t="shared" si="74"/>
        <v>0</v>
      </c>
      <c r="W89" s="1">
        <f t="shared" si="75"/>
        <v>0</v>
      </c>
      <c r="X89" s="1">
        <f t="shared" si="76"/>
        <v>0</v>
      </c>
      <c r="Y89" s="1">
        <f t="shared" si="77"/>
        <v>0</v>
      </c>
      <c r="Z89" s="1">
        <f t="shared" si="78"/>
        <v>1</v>
      </c>
      <c r="AA89" s="1">
        <f t="shared" si="79"/>
        <v>0</v>
      </c>
      <c r="AB89" s="1">
        <f t="shared" si="80"/>
        <v>0</v>
      </c>
      <c r="AD89" s="1">
        <f t="shared" si="81"/>
        <v>0</v>
      </c>
      <c r="AE89" s="1">
        <f t="shared" si="82"/>
        <v>1</v>
      </c>
      <c r="AF89" s="1">
        <f t="shared" si="67"/>
        <v>0</v>
      </c>
      <c r="AG89" s="1">
        <f t="shared" si="68"/>
        <v>1</v>
      </c>
      <c r="AH89" s="1">
        <f t="shared" si="69"/>
        <v>0</v>
      </c>
      <c r="AI89" s="1">
        <f t="shared" si="70"/>
        <v>1</v>
      </c>
    </row>
    <row r="90" spans="1:35" ht="14.25" customHeight="1" x14ac:dyDescent="0.3">
      <c r="A90" s="38">
        <v>0</v>
      </c>
      <c r="B90" s="38">
        <v>1</v>
      </c>
      <c r="C90" s="38">
        <v>3</v>
      </c>
      <c r="D90" s="39" t="s">
        <v>135</v>
      </c>
      <c r="E90" s="39" t="s">
        <v>171</v>
      </c>
      <c r="F90" s="54" t="s">
        <v>1877</v>
      </c>
      <c r="G90" s="39" t="s">
        <v>239</v>
      </c>
      <c r="H90" s="39" t="s">
        <v>352</v>
      </c>
      <c r="I90" s="38" t="s">
        <v>481</v>
      </c>
      <c r="J90" s="38">
        <v>1</v>
      </c>
      <c r="K90" s="40" t="s">
        <v>953</v>
      </c>
      <c r="L90" s="40" t="s">
        <v>686</v>
      </c>
      <c r="M90" s="41" t="s">
        <v>688</v>
      </c>
      <c r="N90" s="42"/>
      <c r="O90" s="43"/>
      <c r="P90" s="43">
        <v>1</v>
      </c>
      <c r="Q90" s="39"/>
      <c r="S90" s="1">
        <f t="shared" si="71"/>
        <v>1</v>
      </c>
      <c r="T90" s="1">
        <f t="shared" si="72"/>
        <v>0</v>
      </c>
      <c r="U90" s="1">
        <f t="shared" si="73"/>
        <v>0</v>
      </c>
      <c r="V90" s="1">
        <f t="shared" si="74"/>
        <v>0</v>
      </c>
      <c r="W90" s="1">
        <f t="shared" si="75"/>
        <v>0</v>
      </c>
      <c r="X90" s="1">
        <f t="shared" si="76"/>
        <v>0</v>
      </c>
      <c r="Y90" s="1">
        <f t="shared" si="77"/>
        <v>0</v>
      </c>
      <c r="Z90" s="1">
        <f t="shared" si="78"/>
        <v>0</v>
      </c>
      <c r="AA90" s="1">
        <f t="shared" si="79"/>
        <v>0</v>
      </c>
      <c r="AB90" s="1">
        <f t="shared" si="80"/>
        <v>0</v>
      </c>
      <c r="AD90" s="1">
        <f t="shared" si="81"/>
        <v>0</v>
      </c>
      <c r="AE90" s="1">
        <f t="shared" si="82"/>
        <v>0</v>
      </c>
      <c r="AF90" s="1">
        <f t="shared" si="67"/>
        <v>0</v>
      </c>
      <c r="AG90" s="1">
        <f t="shared" si="68"/>
        <v>0</v>
      </c>
      <c r="AH90" s="1">
        <f t="shared" si="69"/>
        <v>1</v>
      </c>
      <c r="AI90" s="1">
        <f t="shared" si="70"/>
        <v>0</v>
      </c>
    </row>
    <row r="91" spans="1:35" ht="14.25" customHeight="1" x14ac:dyDescent="0.3">
      <c r="A91" s="44">
        <v>0</v>
      </c>
      <c r="B91" s="44">
        <v>1</v>
      </c>
      <c r="C91" s="44">
        <v>3</v>
      </c>
      <c r="D91" s="45" t="s">
        <v>787</v>
      </c>
      <c r="E91" s="45" t="s">
        <v>607</v>
      </c>
      <c r="F91" s="45" t="s">
        <v>789</v>
      </c>
      <c r="G91" s="45" t="s">
        <v>213</v>
      </c>
      <c r="H91" s="45" t="s">
        <v>352</v>
      </c>
      <c r="I91" s="44" t="s">
        <v>788</v>
      </c>
      <c r="J91" s="44">
        <v>99</v>
      </c>
      <c r="K91" s="46" t="s">
        <v>719</v>
      </c>
      <c r="L91" s="46" t="s">
        <v>1696</v>
      </c>
      <c r="M91" s="47" t="s">
        <v>1387</v>
      </c>
      <c r="N91" s="47" t="s">
        <v>1744</v>
      </c>
      <c r="O91" s="48"/>
      <c r="P91" s="48"/>
      <c r="Q91" s="45"/>
      <c r="S91" s="1">
        <f t="shared" si="71"/>
        <v>0</v>
      </c>
      <c r="T91" s="1">
        <f t="shared" si="72"/>
        <v>0</v>
      </c>
      <c r="U91" s="1">
        <f t="shared" si="73"/>
        <v>0</v>
      </c>
      <c r="V91" s="1">
        <f t="shared" si="74"/>
        <v>0</v>
      </c>
      <c r="W91" s="1">
        <f t="shared" si="75"/>
        <v>0</v>
      </c>
      <c r="X91" s="1">
        <f t="shared" si="76"/>
        <v>0</v>
      </c>
      <c r="Y91" s="1">
        <f t="shared" si="77"/>
        <v>0</v>
      </c>
      <c r="Z91" s="1">
        <f t="shared" si="78"/>
        <v>0</v>
      </c>
      <c r="AA91" s="1">
        <f t="shared" si="79"/>
        <v>0</v>
      </c>
      <c r="AB91" s="1">
        <f t="shared" si="80"/>
        <v>0</v>
      </c>
      <c r="AD91" s="1">
        <f t="shared" si="81"/>
        <v>0</v>
      </c>
      <c r="AE91" s="1">
        <f t="shared" si="82"/>
        <v>0</v>
      </c>
      <c r="AF91" s="1">
        <f t="shared" si="67"/>
        <v>0</v>
      </c>
      <c r="AG91" s="1">
        <f t="shared" si="68"/>
        <v>0</v>
      </c>
      <c r="AH91" s="1">
        <f t="shared" si="69"/>
        <v>0</v>
      </c>
      <c r="AI91" s="1">
        <f t="shared" si="70"/>
        <v>1</v>
      </c>
    </row>
    <row r="92" spans="1:35" ht="14.25" customHeight="1" x14ac:dyDescent="0.3">
      <c r="A92" s="31">
        <v>0</v>
      </c>
      <c r="B92" s="31">
        <v>1</v>
      </c>
      <c r="C92" s="31">
        <v>3</v>
      </c>
      <c r="D92" s="32" t="s">
        <v>77</v>
      </c>
      <c r="E92" s="32" t="s">
        <v>171</v>
      </c>
      <c r="F92" s="32" t="s">
        <v>266</v>
      </c>
      <c r="G92" s="32" t="s">
        <v>262</v>
      </c>
      <c r="H92" s="32" t="s">
        <v>352</v>
      </c>
      <c r="I92" s="31" t="s">
        <v>422</v>
      </c>
      <c r="J92" s="31">
        <v>1</v>
      </c>
      <c r="K92" s="33" t="s">
        <v>953</v>
      </c>
      <c r="L92" s="33" t="s">
        <v>1696</v>
      </c>
      <c r="M92" s="34" t="s">
        <v>967</v>
      </c>
      <c r="N92" s="34" t="s">
        <v>1740</v>
      </c>
      <c r="O92" s="35">
        <v>1</v>
      </c>
      <c r="P92" s="35"/>
      <c r="Q92" s="32"/>
      <c r="S92" s="1">
        <f t="shared" si="71"/>
        <v>1</v>
      </c>
      <c r="T92" s="1">
        <f t="shared" si="72"/>
        <v>0</v>
      </c>
      <c r="U92" s="1">
        <f t="shared" si="73"/>
        <v>0</v>
      </c>
      <c r="V92" s="1">
        <f t="shared" si="74"/>
        <v>0</v>
      </c>
      <c r="W92" s="1">
        <f t="shared" si="75"/>
        <v>0</v>
      </c>
      <c r="X92" s="1">
        <f t="shared" si="76"/>
        <v>0</v>
      </c>
      <c r="Y92" s="1">
        <f t="shared" si="77"/>
        <v>0</v>
      </c>
      <c r="Z92" s="1">
        <f t="shared" si="78"/>
        <v>0</v>
      </c>
      <c r="AA92" s="1">
        <f t="shared" si="79"/>
        <v>0</v>
      </c>
      <c r="AB92" s="1">
        <f t="shared" si="80"/>
        <v>0</v>
      </c>
      <c r="AD92" s="1">
        <f t="shared" si="81"/>
        <v>0</v>
      </c>
      <c r="AE92" s="1">
        <f t="shared" si="82"/>
        <v>1</v>
      </c>
      <c r="AF92" s="1">
        <f t="shared" si="67"/>
        <v>0</v>
      </c>
      <c r="AG92" s="1">
        <f t="shared" si="68"/>
        <v>1</v>
      </c>
      <c r="AH92" s="1">
        <f t="shared" si="69"/>
        <v>0</v>
      </c>
      <c r="AI92" s="1">
        <f t="shared" si="70"/>
        <v>1</v>
      </c>
    </row>
    <row r="93" spans="1:35" ht="14.25" customHeight="1" x14ac:dyDescent="0.3">
      <c r="A93" s="15">
        <v>0</v>
      </c>
      <c r="B93" s="15">
        <v>1</v>
      </c>
      <c r="C93" s="15">
        <v>3</v>
      </c>
      <c r="D93" s="20" t="s">
        <v>1949</v>
      </c>
      <c r="E93" s="20" t="s">
        <v>1980</v>
      </c>
      <c r="F93" s="20" t="s">
        <v>1981</v>
      </c>
      <c r="G93" s="20"/>
      <c r="H93" s="20" t="s">
        <v>1977</v>
      </c>
      <c r="I93" s="21" t="s">
        <v>1982</v>
      </c>
      <c r="J93" s="15">
        <v>18</v>
      </c>
      <c r="K93" s="10" t="s">
        <v>700</v>
      </c>
      <c r="L93" s="10" t="s">
        <v>1739</v>
      </c>
      <c r="M93" s="19" t="s">
        <v>968</v>
      </c>
      <c r="N93" s="17"/>
      <c r="Q93" s="20" t="s">
        <v>1983</v>
      </c>
      <c r="S93" s="1">
        <f t="shared" si="71"/>
        <v>0</v>
      </c>
      <c r="T93" s="1">
        <f t="shared" si="72"/>
        <v>0</v>
      </c>
      <c r="U93" s="1">
        <f t="shared" si="73"/>
        <v>0</v>
      </c>
      <c r="V93" s="1">
        <f t="shared" si="74"/>
        <v>0</v>
      </c>
      <c r="W93" s="1">
        <f t="shared" si="75"/>
        <v>0</v>
      </c>
      <c r="X93" s="1">
        <f t="shared" si="76"/>
        <v>0</v>
      </c>
      <c r="Y93" s="1">
        <f t="shared" si="77"/>
        <v>0</v>
      </c>
      <c r="Z93" s="1">
        <f t="shared" si="78"/>
        <v>0</v>
      </c>
      <c r="AA93" s="1">
        <f t="shared" si="79"/>
        <v>0</v>
      </c>
      <c r="AB93" s="1">
        <f t="shared" si="80"/>
        <v>0</v>
      </c>
      <c r="AD93" s="1">
        <f t="shared" si="81"/>
        <v>0</v>
      </c>
      <c r="AE93" s="1">
        <f t="shared" si="82"/>
        <v>0</v>
      </c>
      <c r="AF93" s="1">
        <f t="shared" si="67"/>
        <v>0</v>
      </c>
      <c r="AG93" s="1">
        <f t="shared" si="68"/>
        <v>0</v>
      </c>
      <c r="AH93" s="1">
        <f t="shared" si="69"/>
        <v>0</v>
      </c>
      <c r="AI93" s="1">
        <f t="shared" si="70"/>
        <v>1</v>
      </c>
    </row>
    <row r="94" spans="1:35" ht="14.25" customHeight="1" x14ac:dyDescent="0.3">
      <c r="A94" s="31">
        <v>0</v>
      </c>
      <c r="B94" s="31">
        <v>1</v>
      </c>
      <c r="C94" s="31">
        <v>3</v>
      </c>
      <c r="D94" s="36" t="s">
        <v>1522</v>
      </c>
      <c r="E94" s="32" t="s">
        <v>175</v>
      </c>
      <c r="F94" s="36" t="s">
        <v>1523</v>
      </c>
      <c r="G94" s="36" t="s">
        <v>39</v>
      </c>
      <c r="H94" s="36" t="s">
        <v>903</v>
      </c>
      <c r="I94" s="37" t="s">
        <v>1524</v>
      </c>
      <c r="J94" s="31">
        <v>11</v>
      </c>
      <c r="K94" s="33" t="s">
        <v>961</v>
      </c>
      <c r="L94" s="33" t="s">
        <v>39</v>
      </c>
      <c r="M94" s="34" t="s">
        <v>39</v>
      </c>
      <c r="N94" s="34" t="s">
        <v>1730</v>
      </c>
      <c r="O94" s="35">
        <v>1</v>
      </c>
      <c r="P94" s="35">
        <v>1</v>
      </c>
      <c r="Q94" s="36"/>
      <c r="S94" s="1">
        <f t="shared" ref="S94:S96" si="83">IF(J94=$S$7,1,0)</f>
        <v>0</v>
      </c>
      <c r="T94" s="1">
        <f t="shared" ref="T94:T96" si="84">IF(J94=$T$7,1,0)</f>
        <v>0</v>
      </c>
      <c r="U94" s="1">
        <f t="shared" ref="U94:U96" si="85">IF(J94=$U$7,1,0)</f>
        <v>0</v>
      </c>
      <c r="V94" s="1">
        <f t="shared" ref="V94:V96" si="86">IF(J94=$V$7,1,0)</f>
        <v>0</v>
      </c>
      <c r="W94" s="1">
        <f t="shared" ref="W94:W96" si="87">IF(J94=$W$7,1,0)</f>
        <v>0</v>
      </c>
      <c r="X94" s="1">
        <f t="shared" ref="X94:X96" si="88">IF(J94=$X$7,1,0)</f>
        <v>0</v>
      </c>
      <c r="Y94" s="1">
        <f t="shared" ref="Y94:Y96" si="89">IF(J94=$Y$7,1,0)</f>
        <v>0</v>
      </c>
      <c r="Z94" s="1">
        <f t="shared" ref="Z94:Z96" si="90">IF(J94=$Z$7,1,0)</f>
        <v>0</v>
      </c>
      <c r="AA94" s="1">
        <f t="shared" ref="AA94:AA96" si="91">IF(J94=$AA$7,1,0)</f>
        <v>0</v>
      </c>
      <c r="AB94" s="1">
        <f t="shared" ref="AB94:AB96" si="92">IF(J94=$AB$7,1,0)</f>
        <v>0</v>
      </c>
      <c r="AD94" s="1">
        <f t="shared" ref="AD94:AD96" si="93">+O94*P94</f>
        <v>1</v>
      </c>
      <c r="AE94" s="1">
        <f t="shared" ref="AE94:AE96" si="94">O94*(1-P94)</f>
        <v>0</v>
      </c>
      <c r="AF94" s="1">
        <f t="shared" si="67"/>
        <v>1</v>
      </c>
      <c r="AG94" s="1">
        <f t="shared" si="68"/>
        <v>0</v>
      </c>
      <c r="AH94" s="1">
        <f t="shared" si="69"/>
        <v>1</v>
      </c>
      <c r="AI94" s="1">
        <f t="shared" si="70"/>
        <v>0</v>
      </c>
    </row>
    <row r="95" spans="1:35" ht="14.25" customHeight="1" x14ac:dyDescent="0.3">
      <c r="A95" s="31">
        <v>0</v>
      </c>
      <c r="B95" s="31">
        <v>1</v>
      </c>
      <c r="C95" s="31">
        <v>3</v>
      </c>
      <c r="D95" s="36" t="s">
        <v>1851</v>
      </c>
      <c r="E95" s="36" t="s">
        <v>171</v>
      </c>
      <c r="F95" s="36" t="s">
        <v>1852</v>
      </c>
      <c r="G95" s="36"/>
      <c r="H95" s="36" t="s">
        <v>1853</v>
      </c>
      <c r="I95" s="37" t="s">
        <v>1854</v>
      </c>
      <c r="J95" s="31">
        <v>15</v>
      </c>
      <c r="K95" s="33" t="s">
        <v>700</v>
      </c>
      <c r="L95" s="33"/>
      <c r="M95" s="34"/>
      <c r="N95" s="34" t="s">
        <v>1730</v>
      </c>
      <c r="O95" s="35">
        <v>1</v>
      </c>
      <c r="P95" s="35">
        <v>1</v>
      </c>
      <c r="Q95" s="36" t="s">
        <v>1889</v>
      </c>
      <c r="S95" s="1">
        <f t="shared" si="83"/>
        <v>0</v>
      </c>
      <c r="T95" s="1">
        <f t="shared" si="84"/>
        <v>0</v>
      </c>
      <c r="U95" s="1">
        <f t="shared" si="85"/>
        <v>0</v>
      </c>
      <c r="V95" s="1">
        <f t="shared" si="86"/>
        <v>0</v>
      </c>
      <c r="W95" s="1">
        <f t="shared" si="87"/>
        <v>0</v>
      </c>
      <c r="X95" s="1">
        <f t="shared" si="88"/>
        <v>0</v>
      </c>
      <c r="Y95" s="1">
        <f t="shared" si="89"/>
        <v>0</v>
      </c>
      <c r="Z95" s="1">
        <f t="shared" si="90"/>
        <v>0</v>
      </c>
      <c r="AA95" s="1">
        <f t="shared" si="91"/>
        <v>0</v>
      </c>
      <c r="AB95" s="1">
        <f t="shared" si="92"/>
        <v>0</v>
      </c>
      <c r="AD95" s="1">
        <f t="shared" si="93"/>
        <v>1</v>
      </c>
      <c r="AE95" s="1">
        <f t="shared" si="94"/>
        <v>0</v>
      </c>
      <c r="AF95" s="1">
        <f t="shared" si="67"/>
        <v>1</v>
      </c>
      <c r="AG95" s="1">
        <f t="shared" si="68"/>
        <v>0</v>
      </c>
      <c r="AH95" s="1">
        <f t="shared" si="69"/>
        <v>1</v>
      </c>
      <c r="AI95" s="1">
        <f t="shared" si="70"/>
        <v>0</v>
      </c>
    </row>
    <row r="96" spans="1:35" ht="14.25" customHeight="1" x14ac:dyDescent="0.3">
      <c r="A96" s="31">
        <v>0</v>
      </c>
      <c r="B96" s="31">
        <v>1</v>
      </c>
      <c r="C96" s="31">
        <v>3</v>
      </c>
      <c r="D96" s="32" t="s">
        <v>733</v>
      </c>
      <c r="E96" s="32" t="s">
        <v>1328</v>
      </c>
      <c r="F96" s="32" t="s">
        <v>1655</v>
      </c>
      <c r="G96" s="32" t="s">
        <v>39</v>
      </c>
      <c r="H96" s="32" t="s">
        <v>734</v>
      </c>
      <c r="I96" s="31" t="s">
        <v>735</v>
      </c>
      <c r="J96" s="31">
        <v>18</v>
      </c>
      <c r="K96" s="33" t="s">
        <v>699</v>
      </c>
      <c r="L96" s="33" t="s">
        <v>685</v>
      </c>
      <c r="M96" s="34" t="s">
        <v>967</v>
      </c>
      <c r="N96" s="34" t="s">
        <v>1846</v>
      </c>
      <c r="O96" s="35">
        <v>1</v>
      </c>
      <c r="P96" s="35"/>
      <c r="Q96" s="32"/>
      <c r="S96" s="1">
        <f t="shared" si="83"/>
        <v>0</v>
      </c>
      <c r="T96" s="1">
        <f t="shared" si="84"/>
        <v>0</v>
      </c>
      <c r="U96" s="1">
        <f t="shared" si="85"/>
        <v>0</v>
      </c>
      <c r="V96" s="1">
        <f t="shared" si="86"/>
        <v>0</v>
      </c>
      <c r="W96" s="1">
        <f t="shared" si="87"/>
        <v>0</v>
      </c>
      <c r="X96" s="1">
        <f t="shared" si="88"/>
        <v>0</v>
      </c>
      <c r="Y96" s="1">
        <f t="shared" si="89"/>
        <v>0</v>
      </c>
      <c r="Z96" s="1">
        <f t="shared" si="90"/>
        <v>0</v>
      </c>
      <c r="AA96" s="1">
        <f t="shared" si="91"/>
        <v>0</v>
      </c>
      <c r="AB96" s="1">
        <f t="shared" si="92"/>
        <v>0</v>
      </c>
      <c r="AD96" s="1">
        <f t="shared" si="93"/>
        <v>0</v>
      </c>
      <c r="AE96" s="1">
        <f t="shared" si="94"/>
        <v>1</v>
      </c>
      <c r="AF96" s="1">
        <f t="shared" si="67"/>
        <v>0</v>
      </c>
      <c r="AG96" s="1">
        <f t="shared" si="68"/>
        <v>1</v>
      </c>
      <c r="AH96" s="1">
        <f t="shared" si="69"/>
        <v>0</v>
      </c>
      <c r="AI96" s="1">
        <f t="shared" si="70"/>
        <v>1</v>
      </c>
    </row>
    <row r="97" spans="1:35" ht="14.25" customHeight="1" x14ac:dyDescent="0.3">
      <c r="A97" s="31">
        <v>0</v>
      </c>
      <c r="B97" s="31">
        <v>1</v>
      </c>
      <c r="C97" s="31">
        <v>3</v>
      </c>
      <c r="D97" s="32" t="s">
        <v>1543</v>
      </c>
      <c r="E97" s="32" t="s">
        <v>171</v>
      </c>
      <c r="F97" s="32" t="s">
        <v>1544</v>
      </c>
      <c r="G97" s="32" t="s">
        <v>39</v>
      </c>
      <c r="H97" s="32" t="s">
        <v>362</v>
      </c>
      <c r="I97" s="31" t="s">
        <v>1545</v>
      </c>
      <c r="J97" s="31">
        <v>17</v>
      </c>
      <c r="K97" s="33" t="s">
        <v>719</v>
      </c>
      <c r="L97" s="33" t="s">
        <v>685</v>
      </c>
      <c r="M97" s="34" t="s">
        <v>39</v>
      </c>
      <c r="N97" s="34" t="s">
        <v>1724</v>
      </c>
      <c r="O97" s="35">
        <v>1</v>
      </c>
      <c r="P97" s="35">
        <v>1</v>
      </c>
      <c r="Q97" s="36" t="s">
        <v>1913</v>
      </c>
      <c r="S97" s="1">
        <f t="shared" si="71"/>
        <v>0</v>
      </c>
      <c r="T97" s="1">
        <f t="shared" si="72"/>
        <v>0</v>
      </c>
      <c r="U97" s="1">
        <f t="shared" si="73"/>
        <v>0</v>
      </c>
      <c r="V97" s="1">
        <f t="shared" si="74"/>
        <v>0</v>
      </c>
      <c r="W97" s="1">
        <f t="shared" si="75"/>
        <v>0</v>
      </c>
      <c r="X97" s="1">
        <f t="shared" si="76"/>
        <v>0</v>
      </c>
      <c r="Y97" s="1">
        <f t="shared" si="77"/>
        <v>0</v>
      </c>
      <c r="Z97" s="1">
        <f t="shared" si="78"/>
        <v>0</v>
      </c>
      <c r="AA97" s="1">
        <f t="shared" si="79"/>
        <v>0</v>
      </c>
      <c r="AB97" s="1">
        <f t="shared" si="80"/>
        <v>0</v>
      </c>
      <c r="AD97" s="1">
        <f t="shared" si="81"/>
        <v>1</v>
      </c>
      <c r="AE97" s="1">
        <f t="shared" si="82"/>
        <v>0</v>
      </c>
      <c r="AF97" s="1">
        <f t="shared" si="67"/>
        <v>1</v>
      </c>
      <c r="AG97" s="1">
        <f t="shared" si="68"/>
        <v>0</v>
      </c>
      <c r="AH97" s="1">
        <f t="shared" si="69"/>
        <v>1</v>
      </c>
      <c r="AI97" s="1">
        <f t="shared" si="70"/>
        <v>0</v>
      </c>
    </row>
    <row r="98" spans="1:35" ht="14.25" customHeight="1" x14ac:dyDescent="0.3">
      <c r="A98" s="31">
        <v>0</v>
      </c>
      <c r="B98" s="31">
        <v>1</v>
      </c>
      <c r="C98" s="31">
        <v>3</v>
      </c>
      <c r="D98" s="36" t="s">
        <v>118</v>
      </c>
      <c r="E98" s="32" t="s">
        <v>171</v>
      </c>
      <c r="F98" s="36" t="s">
        <v>318</v>
      </c>
      <c r="G98" s="36" t="s">
        <v>39</v>
      </c>
      <c r="H98" s="36" t="s">
        <v>368</v>
      </c>
      <c r="I98" s="37" t="s">
        <v>464</v>
      </c>
      <c r="J98" s="31">
        <v>14</v>
      </c>
      <c r="K98" s="33" t="s">
        <v>953</v>
      </c>
      <c r="L98" s="33" t="s">
        <v>691</v>
      </c>
      <c r="M98" s="34" t="s">
        <v>688</v>
      </c>
      <c r="N98" s="34" t="s">
        <v>1745</v>
      </c>
      <c r="O98" s="35">
        <v>1</v>
      </c>
      <c r="P98" s="35"/>
      <c r="Q98" s="36" t="s">
        <v>1886</v>
      </c>
      <c r="S98" s="1">
        <f t="shared" si="71"/>
        <v>0</v>
      </c>
      <c r="T98" s="1">
        <f t="shared" si="72"/>
        <v>0</v>
      </c>
      <c r="U98" s="1">
        <f t="shared" si="73"/>
        <v>0</v>
      </c>
      <c r="V98" s="1">
        <f t="shared" si="74"/>
        <v>0</v>
      </c>
      <c r="W98" s="1">
        <f t="shared" si="75"/>
        <v>0</v>
      </c>
      <c r="X98" s="1">
        <f t="shared" si="76"/>
        <v>0</v>
      </c>
      <c r="Y98" s="1">
        <f t="shared" si="77"/>
        <v>0</v>
      </c>
      <c r="Z98" s="1">
        <f t="shared" si="78"/>
        <v>0</v>
      </c>
      <c r="AA98" s="1">
        <f t="shared" si="79"/>
        <v>0</v>
      </c>
      <c r="AB98" s="1">
        <f t="shared" si="80"/>
        <v>0</v>
      </c>
      <c r="AD98" s="1">
        <f t="shared" si="81"/>
        <v>0</v>
      </c>
      <c r="AE98" s="1">
        <f t="shared" si="82"/>
        <v>1</v>
      </c>
      <c r="AF98" s="1">
        <f t="shared" si="67"/>
        <v>0</v>
      </c>
      <c r="AG98" s="1">
        <f t="shared" si="68"/>
        <v>1</v>
      </c>
      <c r="AH98" s="1">
        <f t="shared" si="69"/>
        <v>0</v>
      </c>
      <c r="AI98" s="1">
        <f t="shared" si="70"/>
        <v>1</v>
      </c>
    </row>
    <row r="99" spans="1:35" ht="14.25" customHeight="1" x14ac:dyDescent="0.3">
      <c r="A99" s="31">
        <v>0</v>
      </c>
      <c r="B99" s="31">
        <v>1</v>
      </c>
      <c r="C99" s="31">
        <v>3</v>
      </c>
      <c r="D99" s="36" t="s">
        <v>114</v>
      </c>
      <c r="E99" s="32" t="s">
        <v>169</v>
      </c>
      <c r="F99" s="36" t="s">
        <v>324</v>
      </c>
      <c r="G99" s="36" t="s">
        <v>229</v>
      </c>
      <c r="H99" s="36" t="s">
        <v>352</v>
      </c>
      <c r="I99" s="37" t="s">
        <v>471</v>
      </c>
      <c r="J99" s="31">
        <v>7</v>
      </c>
      <c r="K99" s="33" t="s">
        <v>699</v>
      </c>
      <c r="L99" s="33" t="s">
        <v>39</v>
      </c>
      <c r="M99" s="34" t="s">
        <v>39</v>
      </c>
      <c r="N99" s="34" t="s">
        <v>1730</v>
      </c>
      <c r="O99" s="35">
        <v>1</v>
      </c>
      <c r="P99" s="35">
        <v>1</v>
      </c>
      <c r="Q99" s="36"/>
      <c r="S99" s="1">
        <f t="shared" ref="S99:S101" si="95">IF(J99=$S$7,1,0)</f>
        <v>0</v>
      </c>
      <c r="T99" s="1">
        <f t="shared" ref="T99:T101" si="96">IF(J99=$T$7,1,0)</f>
        <v>0</v>
      </c>
      <c r="U99" s="1">
        <f t="shared" ref="U99:U101" si="97">IF(J99=$U$7,1,0)</f>
        <v>0</v>
      </c>
      <c r="V99" s="1">
        <f t="shared" ref="V99:V101" si="98">IF(J99=$V$7,1,0)</f>
        <v>0</v>
      </c>
      <c r="W99" s="1">
        <f t="shared" ref="W99:W101" si="99">IF(J99=$W$7,1,0)</f>
        <v>0</v>
      </c>
      <c r="X99" s="1">
        <f t="shared" ref="X99:X101" si="100">IF(J99=$X$7,1,0)</f>
        <v>0</v>
      </c>
      <c r="Y99" s="1">
        <f t="shared" ref="Y99:Y101" si="101">IF(J99=$Y$7,1,0)</f>
        <v>1</v>
      </c>
      <c r="Z99" s="1">
        <f t="shared" ref="Z99:Z101" si="102">IF(J99=$Z$7,1,0)</f>
        <v>0</v>
      </c>
      <c r="AA99" s="1">
        <f t="shared" ref="AA99:AA101" si="103">IF(J99=$AA$7,1,0)</f>
        <v>0</v>
      </c>
      <c r="AB99" s="1">
        <f t="shared" ref="AB99:AB101" si="104">IF(J99=$AB$7,1,0)</f>
        <v>0</v>
      </c>
      <c r="AD99" s="1">
        <f t="shared" ref="AD99:AD101" si="105">+O99*P99</f>
        <v>1</v>
      </c>
      <c r="AE99" s="1">
        <f t="shared" ref="AE99:AE101" si="106">O99*(1-P99)</f>
        <v>0</v>
      </c>
      <c r="AF99" s="1">
        <f t="shared" ref="AF99:AF101" si="107">+O99*P99*(1-A99)</f>
        <v>1</v>
      </c>
      <c r="AG99" s="1">
        <f t="shared" ref="AG99:AG101" si="108">O99*(1-P99)*(1-A99)</f>
        <v>0</v>
      </c>
      <c r="AH99" s="1">
        <f t="shared" ref="AH99:AH101" si="109">+P99*(1-A99)</f>
        <v>1</v>
      </c>
      <c r="AI99" s="1">
        <f t="shared" ref="AI99:AI101" si="110">+(1-A99)*(1-P99)</f>
        <v>0</v>
      </c>
    </row>
    <row r="100" spans="1:35" ht="14.25" customHeight="1" x14ac:dyDescent="0.3">
      <c r="A100" s="31">
        <v>0</v>
      </c>
      <c r="B100" s="31">
        <v>1</v>
      </c>
      <c r="C100" s="31">
        <v>3</v>
      </c>
      <c r="D100" s="36" t="s">
        <v>1929</v>
      </c>
      <c r="E100" s="32" t="s">
        <v>1930</v>
      </c>
      <c r="F100" s="36" t="s">
        <v>1931</v>
      </c>
      <c r="G100" s="36"/>
      <c r="H100" s="36" t="s">
        <v>364</v>
      </c>
      <c r="I100" s="37" t="s">
        <v>1933</v>
      </c>
      <c r="J100" s="31">
        <v>18</v>
      </c>
      <c r="K100" s="33" t="s">
        <v>700</v>
      </c>
      <c r="L100" s="33"/>
      <c r="M100" s="34"/>
      <c r="N100" s="34" t="s">
        <v>1730</v>
      </c>
      <c r="O100" s="35">
        <v>1</v>
      </c>
      <c r="P100" s="35">
        <v>1</v>
      </c>
      <c r="Q100" s="36" t="s">
        <v>1932</v>
      </c>
      <c r="S100" s="1">
        <f t="shared" si="95"/>
        <v>0</v>
      </c>
      <c r="T100" s="1">
        <f t="shared" si="96"/>
        <v>0</v>
      </c>
      <c r="U100" s="1">
        <f t="shared" si="97"/>
        <v>0</v>
      </c>
      <c r="V100" s="1">
        <f t="shared" si="98"/>
        <v>0</v>
      </c>
      <c r="W100" s="1">
        <f t="shared" si="99"/>
        <v>0</v>
      </c>
      <c r="X100" s="1">
        <f t="shared" si="100"/>
        <v>0</v>
      </c>
      <c r="Y100" s="1">
        <f t="shared" si="101"/>
        <v>0</v>
      </c>
      <c r="Z100" s="1">
        <f t="shared" si="102"/>
        <v>0</v>
      </c>
      <c r="AA100" s="1">
        <f t="shared" si="103"/>
        <v>0</v>
      </c>
      <c r="AB100" s="1">
        <f t="shared" si="104"/>
        <v>0</v>
      </c>
      <c r="AD100" s="1">
        <f t="shared" si="105"/>
        <v>1</v>
      </c>
      <c r="AE100" s="1">
        <f t="shared" si="106"/>
        <v>0</v>
      </c>
      <c r="AF100" s="1">
        <f t="shared" si="107"/>
        <v>1</v>
      </c>
      <c r="AG100" s="1">
        <f t="shared" si="108"/>
        <v>0</v>
      </c>
      <c r="AH100" s="1">
        <f t="shared" si="109"/>
        <v>1</v>
      </c>
      <c r="AI100" s="1">
        <f t="shared" si="110"/>
        <v>0</v>
      </c>
    </row>
    <row r="101" spans="1:35" ht="14.25" customHeight="1" x14ac:dyDescent="0.3">
      <c r="A101" s="44">
        <v>0</v>
      </c>
      <c r="B101" s="44">
        <v>1</v>
      </c>
      <c r="C101" s="44">
        <v>3</v>
      </c>
      <c r="D101" s="45" t="s">
        <v>1204</v>
      </c>
      <c r="E101" s="45" t="s">
        <v>174</v>
      </c>
      <c r="F101" s="45" t="s">
        <v>1336</v>
      </c>
      <c r="G101" s="45" t="s">
        <v>39</v>
      </c>
      <c r="H101" s="45" t="s">
        <v>608</v>
      </c>
      <c r="I101" s="44" t="s">
        <v>1205</v>
      </c>
      <c r="J101" s="44">
        <v>14</v>
      </c>
      <c r="K101" s="46" t="s">
        <v>953</v>
      </c>
      <c r="L101" s="46" t="s">
        <v>1696</v>
      </c>
      <c r="M101" s="47" t="s">
        <v>1388</v>
      </c>
      <c r="N101" s="47" t="s">
        <v>1799</v>
      </c>
      <c r="O101" s="48"/>
      <c r="P101" s="48"/>
      <c r="Q101" s="45"/>
      <c r="S101" s="1">
        <f t="shared" si="95"/>
        <v>0</v>
      </c>
      <c r="T101" s="1">
        <f t="shared" si="96"/>
        <v>0</v>
      </c>
      <c r="U101" s="1">
        <f t="shared" si="97"/>
        <v>0</v>
      </c>
      <c r="V101" s="1">
        <f t="shared" si="98"/>
        <v>0</v>
      </c>
      <c r="W101" s="1">
        <f t="shared" si="99"/>
        <v>0</v>
      </c>
      <c r="X101" s="1">
        <f t="shared" si="100"/>
        <v>0</v>
      </c>
      <c r="Y101" s="1">
        <f t="shared" si="101"/>
        <v>0</v>
      </c>
      <c r="Z101" s="1">
        <f t="shared" si="102"/>
        <v>0</v>
      </c>
      <c r="AA101" s="1">
        <f t="shared" si="103"/>
        <v>0</v>
      </c>
      <c r="AB101" s="1">
        <f t="shared" si="104"/>
        <v>0</v>
      </c>
      <c r="AD101" s="1">
        <f t="shared" si="105"/>
        <v>0</v>
      </c>
      <c r="AE101" s="1">
        <f t="shared" si="106"/>
        <v>0</v>
      </c>
      <c r="AF101" s="1">
        <f t="shared" si="107"/>
        <v>0</v>
      </c>
      <c r="AG101" s="1">
        <f t="shared" si="108"/>
        <v>0</v>
      </c>
      <c r="AH101" s="1">
        <f t="shared" si="109"/>
        <v>0</v>
      </c>
      <c r="AI101" s="1">
        <f t="shared" si="110"/>
        <v>1</v>
      </c>
    </row>
    <row r="102" spans="1:35" ht="14.25" customHeight="1" x14ac:dyDescent="0.3">
      <c r="A102" s="31">
        <v>0</v>
      </c>
      <c r="B102" s="31">
        <v>1</v>
      </c>
      <c r="C102" s="31">
        <v>3</v>
      </c>
      <c r="D102" s="36" t="s">
        <v>818</v>
      </c>
      <c r="E102" s="32" t="s">
        <v>175</v>
      </c>
      <c r="F102" s="36" t="s">
        <v>924</v>
      </c>
      <c r="G102" s="36" t="s">
        <v>39</v>
      </c>
      <c r="H102" s="36" t="s">
        <v>370</v>
      </c>
      <c r="I102" s="37" t="s">
        <v>819</v>
      </c>
      <c r="J102" s="31">
        <v>16</v>
      </c>
      <c r="K102" s="33" t="s">
        <v>954</v>
      </c>
      <c r="L102" s="33" t="s">
        <v>685</v>
      </c>
      <c r="M102" s="34" t="s">
        <v>967</v>
      </c>
      <c r="N102" s="34" t="s">
        <v>1724</v>
      </c>
      <c r="O102" s="35">
        <v>1</v>
      </c>
      <c r="P102" s="35">
        <v>1</v>
      </c>
      <c r="Q102" s="36"/>
      <c r="S102" s="1">
        <f t="shared" si="71"/>
        <v>0</v>
      </c>
      <c r="T102" s="1">
        <f t="shared" si="72"/>
        <v>0</v>
      </c>
      <c r="U102" s="1">
        <f t="shared" si="73"/>
        <v>0</v>
      </c>
      <c r="V102" s="1">
        <f t="shared" si="74"/>
        <v>0</v>
      </c>
      <c r="W102" s="1">
        <f t="shared" si="75"/>
        <v>0</v>
      </c>
      <c r="X102" s="1">
        <f t="shared" si="76"/>
        <v>0</v>
      </c>
      <c r="Y102" s="1">
        <f t="shared" si="77"/>
        <v>0</v>
      </c>
      <c r="Z102" s="1">
        <f t="shared" si="78"/>
        <v>0</v>
      </c>
      <c r="AA102" s="1">
        <f t="shared" si="79"/>
        <v>0</v>
      </c>
      <c r="AB102" s="1">
        <f t="shared" si="80"/>
        <v>0</v>
      </c>
      <c r="AD102" s="1">
        <f t="shared" si="81"/>
        <v>1</v>
      </c>
      <c r="AE102" s="1">
        <f t="shared" si="82"/>
        <v>0</v>
      </c>
      <c r="AF102" s="1">
        <f t="shared" si="67"/>
        <v>1</v>
      </c>
      <c r="AG102" s="1">
        <f t="shared" si="68"/>
        <v>0</v>
      </c>
      <c r="AH102" s="1">
        <f t="shared" si="69"/>
        <v>1</v>
      </c>
      <c r="AI102" s="1">
        <f t="shared" si="70"/>
        <v>0</v>
      </c>
    </row>
    <row r="103" spans="1:35" ht="14.25" customHeight="1" x14ac:dyDescent="0.3">
      <c r="A103" s="15">
        <v>0</v>
      </c>
      <c r="B103" s="15">
        <v>1</v>
      </c>
      <c r="C103" s="15">
        <v>3</v>
      </c>
      <c r="D103" s="16" t="s">
        <v>103</v>
      </c>
      <c r="E103" s="16" t="s">
        <v>169</v>
      </c>
      <c r="F103" s="16" t="s">
        <v>301</v>
      </c>
      <c r="G103" s="16" t="s">
        <v>39</v>
      </c>
      <c r="H103" s="16" t="s">
        <v>355</v>
      </c>
      <c r="I103" s="15" t="s">
        <v>448</v>
      </c>
      <c r="J103" s="15">
        <v>18</v>
      </c>
      <c r="K103" s="10" t="s">
        <v>699</v>
      </c>
      <c r="L103" s="10" t="s">
        <v>685</v>
      </c>
      <c r="M103" s="19" t="s">
        <v>688</v>
      </c>
      <c r="N103" s="17"/>
      <c r="Q103" s="16"/>
      <c r="S103" s="1">
        <f t="shared" si="71"/>
        <v>0</v>
      </c>
      <c r="T103" s="1">
        <f t="shared" si="72"/>
        <v>0</v>
      </c>
      <c r="U103" s="1">
        <f t="shared" si="73"/>
        <v>0</v>
      </c>
      <c r="V103" s="1">
        <f t="shared" si="74"/>
        <v>0</v>
      </c>
      <c r="W103" s="1">
        <f t="shared" si="75"/>
        <v>0</v>
      </c>
      <c r="X103" s="1">
        <f t="shared" si="76"/>
        <v>0</v>
      </c>
      <c r="Y103" s="1">
        <f t="shared" si="77"/>
        <v>0</v>
      </c>
      <c r="Z103" s="1">
        <f t="shared" si="78"/>
        <v>0</v>
      </c>
      <c r="AA103" s="1">
        <f t="shared" si="79"/>
        <v>0</v>
      </c>
      <c r="AB103" s="1">
        <f t="shared" si="80"/>
        <v>0</v>
      </c>
      <c r="AD103" s="1">
        <f t="shared" si="81"/>
        <v>0</v>
      </c>
      <c r="AE103" s="1">
        <f t="shared" si="82"/>
        <v>0</v>
      </c>
      <c r="AF103" s="1">
        <f t="shared" si="67"/>
        <v>0</v>
      </c>
      <c r="AG103" s="1">
        <f t="shared" si="68"/>
        <v>0</v>
      </c>
      <c r="AH103" s="1">
        <f t="shared" si="69"/>
        <v>0</v>
      </c>
      <c r="AI103" s="1">
        <f t="shared" si="70"/>
        <v>1</v>
      </c>
    </row>
    <row r="104" spans="1:35" ht="14.25" customHeight="1" x14ac:dyDescent="0.3">
      <c r="A104" s="44">
        <v>0</v>
      </c>
      <c r="B104" s="44">
        <v>1</v>
      </c>
      <c r="C104" s="44">
        <v>3</v>
      </c>
      <c r="D104" s="45" t="s">
        <v>513</v>
      </c>
      <c r="E104" s="45" t="s">
        <v>169</v>
      </c>
      <c r="F104" s="45" t="s">
        <v>514</v>
      </c>
      <c r="G104" s="45" t="s">
        <v>501</v>
      </c>
      <c r="H104" s="45" t="s">
        <v>352</v>
      </c>
      <c r="I104" s="44" t="s">
        <v>515</v>
      </c>
      <c r="J104" s="44">
        <v>99</v>
      </c>
      <c r="K104" s="46" t="s">
        <v>953</v>
      </c>
      <c r="L104" s="46" t="s">
        <v>691</v>
      </c>
      <c r="M104" s="47" t="s">
        <v>688</v>
      </c>
      <c r="N104" s="47" t="s">
        <v>1744</v>
      </c>
      <c r="O104" s="48"/>
      <c r="P104" s="48"/>
      <c r="Q104" s="45"/>
      <c r="S104" s="1">
        <f t="shared" si="71"/>
        <v>0</v>
      </c>
      <c r="T104" s="1">
        <f t="shared" si="72"/>
        <v>0</v>
      </c>
      <c r="U104" s="1">
        <f t="shared" si="73"/>
        <v>0</v>
      </c>
      <c r="V104" s="1">
        <f t="shared" si="74"/>
        <v>0</v>
      </c>
      <c r="W104" s="1">
        <f t="shared" si="75"/>
        <v>0</v>
      </c>
      <c r="X104" s="1">
        <f t="shared" si="76"/>
        <v>0</v>
      </c>
      <c r="Y104" s="1">
        <f t="shared" si="77"/>
        <v>0</v>
      </c>
      <c r="Z104" s="1">
        <f t="shared" si="78"/>
        <v>0</v>
      </c>
      <c r="AA104" s="1">
        <f t="shared" si="79"/>
        <v>0</v>
      </c>
      <c r="AB104" s="1">
        <f t="shared" si="80"/>
        <v>0</v>
      </c>
      <c r="AD104" s="1">
        <f t="shared" si="81"/>
        <v>0</v>
      </c>
      <c r="AE104" s="1">
        <f t="shared" si="82"/>
        <v>0</v>
      </c>
      <c r="AF104" s="1">
        <f t="shared" si="67"/>
        <v>0</v>
      </c>
      <c r="AG104" s="1">
        <f t="shared" si="68"/>
        <v>0</v>
      </c>
      <c r="AH104" s="1">
        <f t="shared" si="69"/>
        <v>0</v>
      </c>
      <c r="AI104" s="1">
        <f t="shared" si="70"/>
        <v>1</v>
      </c>
    </row>
    <row r="105" spans="1:35" ht="14.25" customHeight="1" x14ac:dyDescent="0.3">
      <c r="A105" s="15">
        <v>0</v>
      </c>
      <c r="B105" s="15">
        <v>1</v>
      </c>
      <c r="C105" s="15">
        <v>3</v>
      </c>
      <c r="D105" s="16" t="s">
        <v>1642</v>
      </c>
      <c r="E105" s="16" t="s">
        <v>1084</v>
      </c>
      <c r="F105" s="16" t="s">
        <v>1216</v>
      </c>
      <c r="G105" s="16" t="s">
        <v>39</v>
      </c>
      <c r="H105" s="16" t="s">
        <v>1217</v>
      </c>
      <c r="I105" s="15" t="s">
        <v>1218</v>
      </c>
      <c r="J105" s="15">
        <v>18</v>
      </c>
      <c r="K105" s="10" t="s">
        <v>955</v>
      </c>
      <c r="L105" s="10" t="s">
        <v>685</v>
      </c>
      <c r="M105" s="19" t="s">
        <v>967</v>
      </c>
      <c r="N105" s="17"/>
      <c r="Q105" s="16" t="s">
        <v>1881</v>
      </c>
      <c r="S105" s="1">
        <f t="shared" si="71"/>
        <v>0</v>
      </c>
      <c r="T105" s="1">
        <f t="shared" si="72"/>
        <v>0</v>
      </c>
      <c r="U105" s="1">
        <f t="shared" si="73"/>
        <v>0</v>
      </c>
      <c r="V105" s="1">
        <f t="shared" si="74"/>
        <v>0</v>
      </c>
      <c r="W105" s="1">
        <f t="shared" si="75"/>
        <v>0</v>
      </c>
      <c r="X105" s="1">
        <f t="shared" si="76"/>
        <v>0</v>
      </c>
      <c r="Y105" s="1">
        <f t="shared" si="77"/>
        <v>0</v>
      </c>
      <c r="Z105" s="1">
        <f t="shared" si="78"/>
        <v>0</v>
      </c>
      <c r="AA105" s="1">
        <f t="shared" si="79"/>
        <v>0</v>
      </c>
      <c r="AB105" s="1">
        <f t="shared" si="80"/>
        <v>0</v>
      </c>
      <c r="AD105" s="1">
        <f t="shared" si="81"/>
        <v>0</v>
      </c>
      <c r="AE105" s="1">
        <f t="shared" si="82"/>
        <v>0</v>
      </c>
      <c r="AF105" s="1">
        <f t="shared" si="67"/>
        <v>0</v>
      </c>
      <c r="AG105" s="1">
        <f t="shared" si="68"/>
        <v>0</v>
      </c>
      <c r="AH105" s="1">
        <f t="shared" si="69"/>
        <v>0</v>
      </c>
      <c r="AI105" s="1">
        <f t="shared" si="70"/>
        <v>1</v>
      </c>
    </row>
    <row r="106" spans="1:35" ht="14.25" customHeight="1" x14ac:dyDescent="0.3">
      <c r="A106" s="15">
        <v>0</v>
      </c>
      <c r="B106" s="15">
        <v>1</v>
      </c>
      <c r="C106" s="15">
        <v>3</v>
      </c>
      <c r="D106" s="16" t="s">
        <v>1555</v>
      </c>
      <c r="E106" s="16" t="s">
        <v>169</v>
      </c>
      <c r="F106" s="16" t="s">
        <v>1674</v>
      </c>
      <c r="G106" s="16" t="s">
        <v>39</v>
      </c>
      <c r="H106" s="16" t="s">
        <v>355</v>
      </c>
      <c r="I106" s="15" t="s">
        <v>1556</v>
      </c>
      <c r="J106" s="15">
        <v>18</v>
      </c>
      <c r="K106" s="10" t="s">
        <v>719</v>
      </c>
      <c r="L106" s="10" t="s">
        <v>685</v>
      </c>
      <c r="M106" s="19" t="s">
        <v>688</v>
      </c>
      <c r="N106" s="17"/>
      <c r="Q106" s="16"/>
      <c r="S106" s="1">
        <f t="shared" si="71"/>
        <v>0</v>
      </c>
      <c r="T106" s="1">
        <f t="shared" si="72"/>
        <v>0</v>
      </c>
      <c r="U106" s="1">
        <f t="shared" si="73"/>
        <v>0</v>
      </c>
      <c r="V106" s="1">
        <f t="shared" si="74"/>
        <v>0</v>
      </c>
      <c r="W106" s="1">
        <f t="shared" si="75"/>
        <v>0</v>
      </c>
      <c r="X106" s="1">
        <f t="shared" si="76"/>
        <v>0</v>
      </c>
      <c r="Y106" s="1">
        <f t="shared" si="77"/>
        <v>0</v>
      </c>
      <c r="Z106" s="1">
        <f t="shared" si="78"/>
        <v>0</v>
      </c>
      <c r="AA106" s="1">
        <f t="shared" si="79"/>
        <v>0</v>
      </c>
      <c r="AB106" s="1">
        <f t="shared" si="80"/>
        <v>0</v>
      </c>
      <c r="AD106" s="1">
        <f t="shared" si="81"/>
        <v>0</v>
      </c>
      <c r="AE106" s="1">
        <f t="shared" si="82"/>
        <v>0</v>
      </c>
      <c r="AF106" s="1">
        <f t="shared" si="67"/>
        <v>0</v>
      </c>
      <c r="AG106" s="1">
        <f t="shared" si="68"/>
        <v>0</v>
      </c>
      <c r="AH106" s="1">
        <f t="shared" si="69"/>
        <v>0</v>
      </c>
      <c r="AI106" s="1">
        <f t="shared" si="70"/>
        <v>1</v>
      </c>
    </row>
    <row r="107" spans="1:35" ht="14.25" customHeight="1" x14ac:dyDescent="0.3">
      <c r="A107" s="31">
        <v>0</v>
      </c>
      <c r="B107" s="31">
        <v>1</v>
      </c>
      <c r="C107" s="31">
        <v>3</v>
      </c>
      <c r="D107" s="32" t="s">
        <v>1316</v>
      </c>
      <c r="E107" s="32" t="s">
        <v>174</v>
      </c>
      <c r="F107" s="32" t="s">
        <v>1337</v>
      </c>
      <c r="G107" s="32" t="s">
        <v>39</v>
      </c>
      <c r="H107" s="32" t="s">
        <v>352</v>
      </c>
      <c r="I107" s="31" t="s">
        <v>1133</v>
      </c>
      <c r="J107" s="31">
        <v>99</v>
      </c>
      <c r="K107" s="33" t="s">
        <v>699</v>
      </c>
      <c r="L107" s="33" t="s">
        <v>1696</v>
      </c>
      <c r="M107" s="34" t="s">
        <v>1389</v>
      </c>
      <c r="N107" s="34" t="s">
        <v>1746</v>
      </c>
      <c r="O107" s="35">
        <v>1</v>
      </c>
      <c r="P107" s="35"/>
      <c r="Q107" s="32"/>
      <c r="S107" s="1">
        <f t="shared" si="71"/>
        <v>0</v>
      </c>
      <c r="T107" s="1">
        <f t="shared" si="72"/>
        <v>0</v>
      </c>
      <c r="U107" s="1">
        <f t="shared" si="73"/>
        <v>0</v>
      </c>
      <c r="V107" s="1">
        <f t="shared" si="74"/>
        <v>0</v>
      </c>
      <c r="W107" s="1">
        <f t="shared" si="75"/>
        <v>0</v>
      </c>
      <c r="X107" s="1">
        <f t="shared" si="76"/>
        <v>0</v>
      </c>
      <c r="Y107" s="1">
        <f t="shared" si="77"/>
        <v>0</v>
      </c>
      <c r="Z107" s="1">
        <f t="shared" si="78"/>
        <v>0</v>
      </c>
      <c r="AA107" s="1">
        <f t="shared" si="79"/>
        <v>0</v>
      </c>
      <c r="AB107" s="1">
        <f t="shared" si="80"/>
        <v>0</v>
      </c>
      <c r="AD107" s="1">
        <f t="shared" si="81"/>
        <v>0</v>
      </c>
      <c r="AE107" s="1">
        <f t="shared" si="82"/>
        <v>1</v>
      </c>
      <c r="AF107" s="1">
        <f t="shared" si="67"/>
        <v>0</v>
      </c>
      <c r="AG107" s="1">
        <f t="shared" si="68"/>
        <v>1</v>
      </c>
      <c r="AH107" s="1">
        <f t="shared" si="69"/>
        <v>0</v>
      </c>
      <c r="AI107" s="1">
        <f t="shared" si="70"/>
        <v>1</v>
      </c>
    </row>
    <row r="108" spans="1:35" ht="14.25" customHeight="1" x14ac:dyDescent="0.3">
      <c r="A108" s="31">
        <v>0</v>
      </c>
      <c r="B108" s="31">
        <v>1</v>
      </c>
      <c r="C108" s="31">
        <v>3</v>
      </c>
      <c r="D108" s="32" t="s">
        <v>1260</v>
      </c>
      <c r="E108" s="32" t="s">
        <v>169</v>
      </c>
      <c r="F108" s="32" t="s">
        <v>1338</v>
      </c>
      <c r="G108" s="32" t="s">
        <v>1191</v>
      </c>
      <c r="H108" s="32" t="s">
        <v>352</v>
      </c>
      <c r="I108" s="31" t="s">
        <v>1192</v>
      </c>
      <c r="J108" s="31">
        <v>99</v>
      </c>
      <c r="K108" s="33" t="s">
        <v>719</v>
      </c>
      <c r="L108" s="33">
        <v>50</v>
      </c>
      <c r="M108" s="34" t="s">
        <v>39</v>
      </c>
      <c r="N108" s="34" t="s">
        <v>1798</v>
      </c>
      <c r="O108" s="35">
        <v>1</v>
      </c>
      <c r="P108" s="35"/>
      <c r="Q108" s="32"/>
      <c r="S108" s="1">
        <f t="shared" si="71"/>
        <v>0</v>
      </c>
      <c r="T108" s="1">
        <f t="shared" si="72"/>
        <v>0</v>
      </c>
      <c r="U108" s="1">
        <f t="shared" si="73"/>
        <v>0</v>
      </c>
      <c r="V108" s="1">
        <f t="shared" si="74"/>
        <v>0</v>
      </c>
      <c r="W108" s="1">
        <f t="shared" si="75"/>
        <v>0</v>
      </c>
      <c r="X108" s="1">
        <f t="shared" si="76"/>
        <v>0</v>
      </c>
      <c r="Y108" s="1">
        <f t="shared" si="77"/>
        <v>0</v>
      </c>
      <c r="Z108" s="1">
        <f t="shared" si="78"/>
        <v>0</v>
      </c>
      <c r="AA108" s="1">
        <f t="shared" si="79"/>
        <v>0</v>
      </c>
      <c r="AB108" s="1">
        <f t="shared" si="80"/>
        <v>0</v>
      </c>
      <c r="AD108" s="1">
        <f t="shared" si="81"/>
        <v>0</v>
      </c>
      <c r="AE108" s="1">
        <f t="shared" si="82"/>
        <v>1</v>
      </c>
      <c r="AF108" s="1">
        <f t="shared" si="67"/>
        <v>0</v>
      </c>
      <c r="AG108" s="1">
        <f t="shared" si="68"/>
        <v>1</v>
      </c>
      <c r="AH108" s="1">
        <f t="shared" si="69"/>
        <v>0</v>
      </c>
      <c r="AI108" s="1">
        <f t="shared" si="70"/>
        <v>1</v>
      </c>
    </row>
    <row r="109" spans="1:35" ht="14.25" customHeight="1" x14ac:dyDescent="0.3">
      <c r="A109" s="31">
        <v>0</v>
      </c>
      <c r="B109" s="31">
        <v>1</v>
      </c>
      <c r="C109" s="31">
        <v>3</v>
      </c>
      <c r="D109" s="32" t="s">
        <v>1016</v>
      </c>
      <c r="E109" s="32" t="s">
        <v>607</v>
      </c>
      <c r="F109" s="32" t="s">
        <v>1017</v>
      </c>
      <c r="G109" s="32" t="s">
        <v>1018</v>
      </c>
      <c r="H109" s="32" t="s">
        <v>352</v>
      </c>
      <c r="I109" s="31" t="s">
        <v>1019</v>
      </c>
      <c r="J109" s="31">
        <v>99</v>
      </c>
      <c r="K109" s="33" t="s">
        <v>953</v>
      </c>
      <c r="L109" s="33" t="s">
        <v>39</v>
      </c>
      <c r="M109" s="34" t="s">
        <v>39</v>
      </c>
      <c r="N109" s="34" t="s">
        <v>1730</v>
      </c>
      <c r="O109" s="35">
        <v>1</v>
      </c>
      <c r="P109" s="35">
        <v>1</v>
      </c>
      <c r="Q109" s="32"/>
      <c r="S109" s="1">
        <f t="shared" si="71"/>
        <v>0</v>
      </c>
      <c r="T109" s="1">
        <f t="shared" si="72"/>
        <v>0</v>
      </c>
      <c r="U109" s="1">
        <f t="shared" si="73"/>
        <v>0</v>
      </c>
      <c r="V109" s="1">
        <f t="shared" si="74"/>
        <v>0</v>
      </c>
      <c r="W109" s="1">
        <f t="shared" si="75"/>
        <v>0</v>
      </c>
      <c r="X109" s="1">
        <f t="shared" si="76"/>
        <v>0</v>
      </c>
      <c r="Y109" s="1">
        <f t="shared" si="77"/>
        <v>0</v>
      </c>
      <c r="Z109" s="1">
        <f t="shared" si="78"/>
        <v>0</v>
      </c>
      <c r="AA109" s="1">
        <f t="shared" si="79"/>
        <v>0</v>
      </c>
      <c r="AB109" s="1">
        <f t="shared" si="80"/>
        <v>0</v>
      </c>
      <c r="AD109" s="1">
        <f t="shared" si="81"/>
        <v>1</v>
      </c>
      <c r="AE109" s="1">
        <f t="shared" si="82"/>
        <v>0</v>
      </c>
      <c r="AF109" s="1">
        <f t="shared" si="67"/>
        <v>1</v>
      </c>
      <c r="AG109" s="1">
        <f t="shared" si="68"/>
        <v>0</v>
      </c>
      <c r="AH109" s="1">
        <f t="shared" si="69"/>
        <v>1</v>
      </c>
      <c r="AI109" s="1">
        <f t="shared" si="70"/>
        <v>0</v>
      </c>
    </row>
    <row r="110" spans="1:35" ht="14.25" customHeight="1" x14ac:dyDescent="0.3">
      <c r="A110" s="31">
        <v>0</v>
      </c>
      <c r="B110" s="31">
        <v>1</v>
      </c>
      <c r="C110" s="31">
        <v>3</v>
      </c>
      <c r="D110" s="32" t="s">
        <v>140</v>
      </c>
      <c r="E110" s="32" t="s">
        <v>174</v>
      </c>
      <c r="F110" s="32" t="s">
        <v>340</v>
      </c>
      <c r="G110" s="32" t="s">
        <v>39</v>
      </c>
      <c r="H110" s="32" t="s">
        <v>374</v>
      </c>
      <c r="I110" s="31" t="s">
        <v>486</v>
      </c>
      <c r="J110" s="31">
        <v>16</v>
      </c>
      <c r="K110" s="33" t="s">
        <v>699</v>
      </c>
      <c r="L110" s="33" t="s">
        <v>685</v>
      </c>
      <c r="M110" s="34" t="s">
        <v>1390</v>
      </c>
      <c r="N110" s="34" t="s">
        <v>1745</v>
      </c>
      <c r="O110" s="35">
        <v>1</v>
      </c>
      <c r="P110" s="35"/>
      <c r="Q110" s="32"/>
      <c r="S110" s="1">
        <f t="shared" si="71"/>
        <v>0</v>
      </c>
      <c r="T110" s="1">
        <f t="shared" si="72"/>
        <v>0</v>
      </c>
      <c r="U110" s="1">
        <f t="shared" si="73"/>
        <v>0</v>
      </c>
      <c r="V110" s="1">
        <f t="shared" si="74"/>
        <v>0</v>
      </c>
      <c r="W110" s="1">
        <f t="shared" si="75"/>
        <v>0</v>
      </c>
      <c r="X110" s="1">
        <f t="shared" si="76"/>
        <v>0</v>
      </c>
      <c r="Y110" s="1">
        <f t="shared" si="77"/>
        <v>0</v>
      </c>
      <c r="Z110" s="1">
        <f t="shared" si="78"/>
        <v>0</v>
      </c>
      <c r="AA110" s="1">
        <f t="shared" si="79"/>
        <v>0</v>
      </c>
      <c r="AB110" s="1">
        <f t="shared" si="80"/>
        <v>0</v>
      </c>
      <c r="AD110" s="1">
        <f t="shared" si="81"/>
        <v>0</v>
      </c>
      <c r="AE110" s="1">
        <f t="shared" si="82"/>
        <v>1</v>
      </c>
      <c r="AF110" s="1">
        <f t="shared" si="67"/>
        <v>0</v>
      </c>
      <c r="AG110" s="1">
        <f t="shared" si="68"/>
        <v>1</v>
      </c>
      <c r="AH110" s="1">
        <f t="shared" si="69"/>
        <v>0</v>
      </c>
      <c r="AI110" s="1">
        <f t="shared" si="70"/>
        <v>1</v>
      </c>
    </row>
    <row r="111" spans="1:35" ht="14.25" customHeight="1" x14ac:dyDescent="0.3">
      <c r="A111" s="31">
        <v>0</v>
      </c>
      <c r="B111" s="31">
        <v>1</v>
      </c>
      <c r="C111" s="31">
        <v>3</v>
      </c>
      <c r="D111" s="32" t="s">
        <v>814</v>
      </c>
      <c r="E111" s="32" t="s">
        <v>171</v>
      </c>
      <c r="F111" s="32" t="s">
        <v>815</v>
      </c>
      <c r="G111" s="32" t="s">
        <v>39</v>
      </c>
      <c r="H111" s="32" t="s">
        <v>816</v>
      </c>
      <c r="I111" s="31" t="s">
        <v>817</v>
      </c>
      <c r="J111" s="31">
        <v>16</v>
      </c>
      <c r="K111" s="33" t="s">
        <v>699</v>
      </c>
      <c r="L111" s="33" t="s">
        <v>685</v>
      </c>
      <c r="M111" s="34" t="s">
        <v>1390</v>
      </c>
      <c r="N111" s="34" t="s">
        <v>1724</v>
      </c>
      <c r="O111" s="35">
        <v>1</v>
      </c>
      <c r="P111" s="35">
        <v>1</v>
      </c>
      <c r="Q111" s="32"/>
      <c r="S111" s="1">
        <f t="shared" si="71"/>
        <v>0</v>
      </c>
      <c r="T111" s="1">
        <f t="shared" si="72"/>
        <v>0</v>
      </c>
      <c r="U111" s="1">
        <f t="shared" si="73"/>
        <v>0</v>
      </c>
      <c r="V111" s="1">
        <f t="shared" si="74"/>
        <v>0</v>
      </c>
      <c r="W111" s="1">
        <f t="shared" si="75"/>
        <v>0</v>
      </c>
      <c r="X111" s="1">
        <f t="shared" si="76"/>
        <v>0</v>
      </c>
      <c r="Y111" s="1">
        <f t="shared" si="77"/>
        <v>0</v>
      </c>
      <c r="Z111" s="1">
        <f t="shared" si="78"/>
        <v>0</v>
      </c>
      <c r="AA111" s="1">
        <f t="shared" si="79"/>
        <v>0</v>
      </c>
      <c r="AB111" s="1">
        <f t="shared" si="80"/>
        <v>0</v>
      </c>
      <c r="AD111" s="1">
        <f t="shared" si="81"/>
        <v>1</v>
      </c>
      <c r="AE111" s="1">
        <f t="shared" si="82"/>
        <v>0</v>
      </c>
      <c r="AF111" s="1">
        <f t="shared" si="67"/>
        <v>1</v>
      </c>
      <c r="AG111" s="1">
        <f t="shared" si="68"/>
        <v>0</v>
      </c>
      <c r="AH111" s="1">
        <f t="shared" si="69"/>
        <v>1</v>
      </c>
      <c r="AI111" s="1">
        <f t="shared" si="70"/>
        <v>0</v>
      </c>
    </row>
    <row r="112" spans="1:35" ht="14.25" customHeight="1" x14ac:dyDescent="0.3">
      <c r="A112" s="15">
        <v>0</v>
      </c>
      <c r="B112" s="15">
        <v>1</v>
      </c>
      <c r="C112" s="15">
        <v>3</v>
      </c>
      <c r="D112" s="16" t="s">
        <v>107</v>
      </c>
      <c r="E112" s="16" t="s">
        <v>169</v>
      </c>
      <c r="F112" s="16" t="s">
        <v>304</v>
      </c>
      <c r="G112" s="16" t="s">
        <v>39</v>
      </c>
      <c r="H112" s="16" t="s">
        <v>359</v>
      </c>
      <c r="I112" s="15" t="s">
        <v>452</v>
      </c>
      <c r="J112" s="15">
        <v>18</v>
      </c>
      <c r="K112" s="10" t="s">
        <v>700</v>
      </c>
      <c r="L112" s="10" t="s">
        <v>685</v>
      </c>
      <c r="M112" s="19" t="s">
        <v>688</v>
      </c>
      <c r="N112" s="17"/>
      <c r="Q112" s="20" t="s">
        <v>1880</v>
      </c>
      <c r="S112" s="1">
        <f t="shared" si="71"/>
        <v>0</v>
      </c>
      <c r="T112" s="1">
        <f t="shared" si="72"/>
        <v>0</v>
      </c>
      <c r="U112" s="1">
        <f t="shared" si="73"/>
        <v>0</v>
      </c>
      <c r="V112" s="1">
        <f t="shared" si="74"/>
        <v>0</v>
      </c>
      <c r="W112" s="1">
        <f t="shared" si="75"/>
        <v>0</v>
      </c>
      <c r="X112" s="1">
        <f t="shared" si="76"/>
        <v>0</v>
      </c>
      <c r="Y112" s="1">
        <f t="shared" si="77"/>
        <v>0</v>
      </c>
      <c r="Z112" s="1">
        <f t="shared" si="78"/>
        <v>0</v>
      </c>
      <c r="AA112" s="1">
        <f t="shared" si="79"/>
        <v>0</v>
      </c>
      <c r="AB112" s="1">
        <f t="shared" si="80"/>
        <v>0</v>
      </c>
      <c r="AD112" s="1">
        <f t="shared" si="81"/>
        <v>0</v>
      </c>
      <c r="AE112" s="1">
        <f t="shared" si="82"/>
        <v>0</v>
      </c>
      <c r="AF112" s="1">
        <f t="shared" si="67"/>
        <v>0</v>
      </c>
      <c r="AG112" s="1">
        <f t="shared" si="68"/>
        <v>0</v>
      </c>
      <c r="AH112" s="1">
        <f t="shared" si="69"/>
        <v>0</v>
      </c>
      <c r="AI112" s="1">
        <f t="shared" si="70"/>
        <v>1</v>
      </c>
    </row>
    <row r="113" spans="1:35" ht="14.25" customHeight="1" x14ac:dyDescent="0.3">
      <c r="A113" s="31">
        <v>0</v>
      </c>
      <c r="B113" s="31">
        <v>1</v>
      </c>
      <c r="C113" s="31">
        <v>3</v>
      </c>
      <c r="D113" s="32" t="s">
        <v>1502</v>
      </c>
      <c r="E113" s="32" t="s">
        <v>169</v>
      </c>
      <c r="F113" s="32" t="s">
        <v>1503</v>
      </c>
      <c r="G113" s="32" t="s">
        <v>39</v>
      </c>
      <c r="H113" s="32" t="s">
        <v>372</v>
      </c>
      <c r="I113" s="31" t="s">
        <v>1504</v>
      </c>
      <c r="J113" s="31">
        <v>11</v>
      </c>
      <c r="K113" s="33" t="s">
        <v>719</v>
      </c>
      <c r="L113" s="33">
        <v>50</v>
      </c>
      <c r="M113" s="34" t="s">
        <v>39</v>
      </c>
      <c r="N113" s="34" t="s">
        <v>1746</v>
      </c>
      <c r="O113" s="35">
        <v>1</v>
      </c>
      <c r="P113" s="35"/>
      <c r="Q113" s="32"/>
      <c r="S113" s="1">
        <f t="shared" si="71"/>
        <v>0</v>
      </c>
      <c r="T113" s="1">
        <f t="shared" si="72"/>
        <v>0</v>
      </c>
      <c r="U113" s="1">
        <f t="shared" si="73"/>
        <v>0</v>
      </c>
      <c r="V113" s="1">
        <f t="shared" si="74"/>
        <v>0</v>
      </c>
      <c r="W113" s="1">
        <f t="shared" si="75"/>
        <v>0</v>
      </c>
      <c r="X113" s="1">
        <f t="shared" si="76"/>
        <v>0</v>
      </c>
      <c r="Y113" s="1">
        <f t="shared" si="77"/>
        <v>0</v>
      </c>
      <c r="Z113" s="1">
        <f t="shared" si="78"/>
        <v>0</v>
      </c>
      <c r="AA113" s="1">
        <f t="shared" si="79"/>
        <v>0</v>
      </c>
      <c r="AB113" s="1">
        <f t="shared" si="80"/>
        <v>0</v>
      </c>
      <c r="AD113" s="1">
        <f t="shared" si="81"/>
        <v>0</v>
      </c>
      <c r="AE113" s="1">
        <f t="shared" si="82"/>
        <v>1</v>
      </c>
      <c r="AF113" s="1">
        <f t="shared" si="67"/>
        <v>0</v>
      </c>
      <c r="AG113" s="1">
        <f t="shared" si="68"/>
        <v>1</v>
      </c>
      <c r="AH113" s="1">
        <f t="shared" si="69"/>
        <v>0</v>
      </c>
      <c r="AI113" s="1">
        <f t="shared" si="70"/>
        <v>1</v>
      </c>
    </row>
    <row r="114" spans="1:35" ht="14.25" customHeight="1" x14ac:dyDescent="0.3">
      <c r="A114" s="44">
        <v>0</v>
      </c>
      <c r="B114" s="44">
        <v>1</v>
      </c>
      <c r="C114" s="44">
        <v>3</v>
      </c>
      <c r="D114" s="45" t="s">
        <v>106</v>
      </c>
      <c r="E114" s="45" t="s">
        <v>169</v>
      </c>
      <c r="F114" s="45" t="s">
        <v>303</v>
      </c>
      <c r="G114" s="45" t="s">
        <v>39</v>
      </c>
      <c r="H114" s="45" t="s">
        <v>358</v>
      </c>
      <c r="I114" s="44" t="s">
        <v>451</v>
      </c>
      <c r="J114" s="44">
        <v>18</v>
      </c>
      <c r="K114" s="46" t="s">
        <v>699</v>
      </c>
      <c r="L114" s="46">
        <v>55</v>
      </c>
      <c r="M114" s="47" t="s">
        <v>688</v>
      </c>
      <c r="N114" s="47" t="s">
        <v>1731</v>
      </c>
      <c r="O114" s="48"/>
      <c r="P114" s="48"/>
      <c r="Q114" s="45"/>
      <c r="S114" s="1">
        <f t="shared" si="71"/>
        <v>0</v>
      </c>
      <c r="T114" s="1">
        <f t="shared" si="72"/>
        <v>0</v>
      </c>
      <c r="U114" s="1">
        <f t="shared" si="73"/>
        <v>0</v>
      </c>
      <c r="V114" s="1">
        <f t="shared" si="74"/>
        <v>0</v>
      </c>
      <c r="W114" s="1">
        <f t="shared" si="75"/>
        <v>0</v>
      </c>
      <c r="X114" s="1">
        <f t="shared" si="76"/>
        <v>0</v>
      </c>
      <c r="Y114" s="1">
        <f t="shared" si="77"/>
        <v>0</v>
      </c>
      <c r="Z114" s="1">
        <f t="shared" si="78"/>
        <v>0</v>
      </c>
      <c r="AA114" s="1">
        <f t="shared" si="79"/>
        <v>0</v>
      </c>
      <c r="AB114" s="1">
        <f t="shared" si="80"/>
        <v>0</v>
      </c>
      <c r="AD114" s="1">
        <f t="shared" si="81"/>
        <v>0</v>
      </c>
      <c r="AE114" s="1">
        <f t="shared" si="82"/>
        <v>0</v>
      </c>
      <c r="AF114" s="1">
        <f t="shared" si="67"/>
        <v>0</v>
      </c>
      <c r="AG114" s="1">
        <f t="shared" si="68"/>
        <v>0</v>
      </c>
      <c r="AH114" s="1">
        <f t="shared" si="69"/>
        <v>0</v>
      </c>
      <c r="AI114" s="1">
        <f t="shared" si="70"/>
        <v>1</v>
      </c>
    </row>
    <row r="115" spans="1:35" ht="14.25" customHeight="1" x14ac:dyDescent="0.3">
      <c r="A115" s="31">
        <v>0</v>
      </c>
      <c r="B115" s="31">
        <v>1</v>
      </c>
      <c r="C115" s="31">
        <v>3</v>
      </c>
      <c r="D115" s="32" t="s">
        <v>127</v>
      </c>
      <c r="E115" s="32" t="s">
        <v>174</v>
      </c>
      <c r="F115" s="32" t="s">
        <v>327</v>
      </c>
      <c r="G115" s="32" t="s">
        <v>39</v>
      </c>
      <c r="H115" s="32" t="s">
        <v>373</v>
      </c>
      <c r="I115" s="31" t="s">
        <v>474</v>
      </c>
      <c r="J115" s="31">
        <v>12</v>
      </c>
      <c r="K115" s="33" t="s">
        <v>699</v>
      </c>
      <c r="L115" s="33">
        <v>35</v>
      </c>
      <c r="M115" s="34" t="s">
        <v>688</v>
      </c>
      <c r="N115" s="34" t="s">
        <v>1746</v>
      </c>
      <c r="O115" s="35">
        <v>1</v>
      </c>
      <c r="P115" s="35"/>
      <c r="Q115" s="32"/>
      <c r="S115" s="1">
        <f t="shared" si="71"/>
        <v>0</v>
      </c>
      <c r="T115" s="1">
        <f t="shared" si="72"/>
        <v>0</v>
      </c>
      <c r="U115" s="1">
        <f t="shared" si="73"/>
        <v>0</v>
      </c>
      <c r="V115" s="1">
        <f t="shared" si="74"/>
        <v>0</v>
      </c>
      <c r="W115" s="1">
        <f t="shared" si="75"/>
        <v>0</v>
      </c>
      <c r="X115" s="1">
        <f t="shared" si="76"/>
        <v>0</v>
      </c>
      <c r="Y115" s="1">
        <f t="shared" si="77"/>
        <v>0</v>
      </c>
      <c r="Z115" s="1">
        <f t="shared" si="78"/>
        <v>0</v>
      </c>
      <c r="AA115" s="1">
        <f t="shared" si="79"/>
        <v>0</v>
      </c>
      <c r="AB115" s="1">
        <f t="shared" si="80"/>
        <v>0</v>
      </c>
      <c r="AD115" s="1">
        <f t="shared" si="81"/>
        <v>0</v>
      </c>
      <c r="AE115" s="1">
        <f t="shared" si="82"/>
        <v>1</v>
      </c>
      <c r="AF115" s="1">
        <f t="shared" si="67"/>
        <v>0</v>
      </c>
      <c r="AG115" s="1">
        <f t="shared" si="68"/>
        <v>1</v>
      </c>
      <c r="AH115" s="1">
        <f t="shared" si="69"/>
        <v>0</v>
      </c>
      <c r="AI115" s="1">
        <f t="shared" si="70"/>
        <v>1</v>
      </c>
    </row>
    <row r="116" spans="1:35" ht="14.25" customHeight="1" x14ac:dyDescent="0.3">
      <c r="A116" s="31">
        <v>0</v>
      </c>
      <c r="B116" s="31">
        <v>1</v>
      </c>
      <c r="C116" s="31">
        <v>3</v>
      </c>
      <c r="D116" s="32" t="s">
        <v>991</v>
      </c>
      <c r="E116" s="32" t="s">
        <v>169</v>
      </c>
      <c r="F116" s="32" t="s">
        <v>1090</v>
      </c>
      <c r="G116" s="32" t="s">
        <v>231</v>
      </c>
      <c r="H116" s="32" t="s">
        <v>352</v>
      </c>
      <c r="I116" s="31" t="s">
        <v>992</v>
      </c>
      <c r="J116" s="31">
        <v>99</v>
      </c>
      <c r="K116" s="33" t="s">
        <v>953</v>
      </c>
      <c r="L116" s="33">
        <v>40</v>
      </c>
      <c r="M116" s="34" t="s">
        <v>39</v>
      </c>
      <c r="N116" s="34" t="s">
        <v>1943</v>
      </c>
      <c r="O116" s="35">
        <v>1</v>
      </c>
      <c r="P116" s="35"/>
      <c r="Q116" s="32"/>
      <c r="S116" s="1">
        <f t="shared" si="71"/>
        <v>0</v>
      </c>
      <c r="T116" s="1">
        <f t="shared" si="72"/>
        <v>0</v>
      </c>
      <c r="U116" s="1">
        <f t="shared" si="73"/>
        <v>0</v>
      </c>
      <c r="V116" s="1">
        <f t="shared" si="74"/>
        <v>0</v>
      </c>
      <c r="W116" s="1">
        <f t="shared" si="75"/>
        <v>0</v>
      </c>
      <c r="X116" s="1">
        <f t="shared" si="76"/>
        <v>0</v>
      </c>
      <c r="Y116" s="1">
        <f t="shared" si="77"/>
        <v>0</v>
      </c>
      <c r="Z116" s="1">
        <f t="shared" si="78"/>
        <v>0</v>
      </c>
      <c r="AA116" s="1">
        <f t="shared" si="79"/>
        <v>0</v>
      </c>
      <c r="AB116" s="1">
        <f t="shared" si="80"/>
        <v>0</v>
      </c>
      <c r="AD116" s="1">
        <f t="shared" si="81"/>
        <v>0</v>
      </c>
      <c r="AE116" s="1">
        <f t="shared" si="82"/>
        <v>1</v>
      </c>
      <c r="AF116" s="1">
        <f t="shared" si="67"/>
        <v>0</v>
      </c>
      <c r="AG116" s="1">
        <f t="shared" si="68"/>
        <v>1</v>
      </c>
      <c r="AH116" s="1">
        <f t="shared" si="69"/>
        <v>0</v>
      </c>
      <c r="AI116" s="1">
        <f t="shared" si="70"/>
        <v>1</v>
      </c>
    </row>
    <row r="117" spans="1:35" ht="14.25" customHeight="1" x14ac:dyDescent="0.3">
      <c r="A117" s="31">
        <v>0</v>
      </c>
      <c r="B117" s="31">
        <v>1</v>
      </c>
      <c r="C117" s="31">
        <v>3</v>
      </c>
      <c r="D117" s="32" t="s">
        <v>128</v>
      </c>
      <c r="E117" s="32" t="s">
        <v>169</v>
      </c>
      <c r="F117" s="32" t="s">
        <v>328</v>
      </c>
      <c r="G117" s="32" t="s">
        <v>39</v>
      </c>
      <c r="H117" s="32" t="s">
        <v>369</v>
      </c>
      <c r="I117" s="31" t="s">
        <v>475</v>
      </c>
      <c r="J117" s="31">
        <v>11</v>
      </c>
      <c r="K117" s="33" t="s">
        <v>699</v>
      </c>
      <c r="L117" s="33" t="s">
        <v>39</v>
      </c>
      <c r="M117" s="34" t="s">
        <v>39</v>
      </c>
      <c r="N117" s="34" t="s">
        <v>1724</v>
      </c>
      <c r="O117" s="35">
        <v>1</v>
      </c>
      <c r="P117" s="35">
        <v>1</v>
      </c>
      <c r="Q117" s="32" t="s">
        <v>2037</v>
      </c>
      <c r="S117" s="1">
        <f t="shared" si="71"/>
        <v>0</v>
      </c>
      <c r="T117" s="1">
        <f t="shared" si="72"/>
        <v>0</v>
      </c>
      <c r="U117" s="1">
        <f t="shared" si="73"/>
        <v>0</v>
      </c>
      <c r="V117" s="1">
        <f t="shared" si="74"/>
        <v>0</v>
      </c>
      <c r="W117" s="1">
        <f t="shared" si="75"/>
        <v>0</v>
      </c>
      <c r="X117" s="1">
        <f t="shared" si="76"/>
        <v>0</v>
      </c>
      <c r="Y117" s="1">
        <f t="shared" si="77"/>
        <v>0</v>
      </c>
      <c r="Z117" s="1">
        <f t="shared" si="78"/>
        <v>0</v>
      </c>
      <c r="AA117" s="1">
        <f t="shared" si="79"/>
        <v>0</v>
      </c>
      <c r="AB117" s="1">
        <f t="shared" si="80"/>
        <v>0</v>
      </c>
      <c r="AD117" s="1">
        <f t="shared" si="81"/>
        <v>1</v>
      </c>
      <c r="AE117" s="1">
        <f t="shared" si="82"/>
        <v>0</v>
      </c>
      <c r="AF117" s="1">
        <f t="shared" si="67"/>
        <v>1</v>
      </c>
      <c r="AG117" s="1">
        <f t="shared" si="68"/>
        <v>0</v>
      </c>
      <c r="AH117" s="1">
        <f t="shared" si="69"/>
        <v>1</v>
      </c>
      <c r="AI117" s="1">
        <f t="shared" si="70"/>
        <v>0</v>
      </c>
    </row>
    <row r="118" spans="1:35" ht="14.25" customHeight="1" x14ac:dyDescent="0.3">
      <c r="A118" s="15">
        <v>0</v>
      </c>
      <c r="B118" s="15">
        <v>1</v>
      </c>
      <c r="C118" s="15">
        <v>3</v>
      </c>
      <c r="D118" s="16" t="s">
        <v>1317</v>
      </c>
      <c r="E118" s="16" t="s">
        <v>171</v>
      </c>
      <c r="F118" s="16" t="s">
        <v>1340</v>
      </c>
      <c r="G118" s="16" t="s">
        <v>39</v>
      </c>
      <c r="H118" s="16" t="s">
        <v>985</v>
      </c>
      <c r="I118" s="15" t="s">
        <v>986</v>
      </c>
      <c r="J118" s="15">
        <v>14</v>
      </c>
      <c r="K118" s="10" t="s">
        <v>700</v>
      </c>
      <c r="L118" s="10">
        <v>30</v>
      </c>
      <c r="M118" s="19" t="s">
        <v>968</v>
      </c>
      <c r="N118" s="17"/>
      <c r="Q118" s="16"/>
      <c r="S118" s="1">
        <f t="shared" si="71"/>
        <v>0</v>
      </c>
      <c r="T118" s="1">
        <f t="shared" si="72"/>
        <v>0</v>
      </c>
      <c r="U118" s="1">
        <f t="shared" si="73"/>
        <v>0</v>
      </c>
      <c r="V118" s="1">
        <f t="shared" si="74"/>
        <v>0</v>
      </c>
      <c r="W118" s="1">
        <f t="shared" si="75"/>
        <v>0</v>
      </c>
      <c r="X118" s="1">
        <f t="shared" si="76"/>
        <v>0</v>
      </c>
      <c r="Y118" s="1">
        <f t="shared" si="77"/>
        <v>0</v>
      </c>
      <c r="Z118" s="1">
        <f t="shared" si="78"/>
        <v>0</v>
      </c>
      <c r="AA118" s="1">
        <f t="shared" si="79"/>
        <v>0</v>
      </c>
      <c r="AB118" s="1">
        <f t="shared" si="80"/>
        <v>0</v>
      </c>
      <c r="AD118" s="1">
        <f t="shared" si="81"/>
        <v>0</v>
      </c>
      <c r="AE118" s="1">
        <f t="shared" si="82"/>
        <v>0</v>
      </c>
      <c r="AF118" s="1">
        <f t="shared" si="67"/>
        <v>0</v>
      </c>
      <c r="AG118" s="1">
        <f t="shared" si="68"/>
        <v>0</v>
      </c>
      <c r="AH118" s="1">
        <f t="shared" si="69"/>
        <v>0</v>
      </c>
      <c r="AI118" s="1">
        <f t="shared" si="70"/>
        <v>1</v>
      </c>
    </row>
    <row r="119" spans="1:35" ht="14.25" customHeight="1" x14ac:dyDescent="0.3">
      <c r="A119" s="44">
        <v>0</v>
      </c>
      <c r="B119" s="44">
        <v>1</v>
      </c>
      <c r="C119" s="44">
        <v>3</v>
      </c>
      <c r="D119" s="45" t="s">
        <v>696</v>
      </c>
      <c r="E119" s="45" t="s">
        <v>174</v>
      </c>
      <c r="F119" s="45" t="s">
        <v>697</v>
      </c>
      <c r="G119" s="45" t="s">
        <v>39</v>
      </c>
      <c r="H119" s="45" t="s">
        <v>698</v>
      </c>
      <c r="I119" s="44" t="s">
        <v>1112</v>
      </c>
      <c r="J119" s="44">
        <v>13</v>
      </c>
      <c r="K119" s="46" t="s">
        <v>699</v>
      </c>
      <c r="L119" s="46" t="s">
        <v>1696</v>
      </c>
      <c r="M119" s="47" t="s">
        <v>967</v>
      </c>
      <c r="N119" s="47" t="s">
        <v>1799</v>
      </c>
      <c r="O119" s="48"/>
      <c r="P119" s="48"/>
      <c r="Q119" s="45"/>
      <c r="S119" s="1">
        <f t="shared" si="71"/>
        <v>0</v>
      </c>
      <c r="T119" s="1">
        <f t="shared" si="72"/>
        <v>0</v>
      </c>
      <c r="U119" s="1">
        <f t="shared" si="73"/>
        <v>0</v>
      </c>
      <c r="V119" s="1">
        <f t="shared" si="74"/>
        <v>0</v>
      </c>
      <c r="W119" s="1">
        <f t="shared" si="75"/>
        <v>0</v>
      </c>
      <c r="X119" s="1">
        <f t="shared" si="76"/>
        <v>0</v>
      </c>
      <c r="Y119" s="1">
        <f t="shared" si="77"/>
        <v>0</v>
      </c>
      <c r="Z119" s="1">
        <f t="shared" si="78"/>
        <v>0</v>
      </c>
      <c r="AA119" s="1">
        <f t="shared" si="79"/>
        <v>0</v>
      </c>
      <c r="AB119" s="1">
        <f t="shared" si="80"/>
        <v>0</v>
      </c>
      <c r="AD119" s="1">
        <f t="shared" si="81"/>
        <v>0</v>
      </c>
      <c r="AE119" s="1">
        <f t="shared" si="82"/>
        <v>0</v>
      </c>
      <c r="AF119" s="1">
        <f t="shared" si="67"/>
        <v>0</v>
      </c>
      <c r="AG119" s="1">
        <f t="shared" si="68"/>
        <v>0</v>
      </c>
      <c r="AH119" s="1">
        <f t="shared" si="69"/>
        <v>0</v>
      </c>
      <c r="AI119" s="1">
        <f t="shared" si="70"/>
        <v>1</v>
      </c>
    </row>
    <row r="120" spans="1:35" ht="14.25" customHeight="1" x14ac:dyDescent="0.3">
      <c r="A120" s="31">
        <v>0</v>
      </c>
      <c r="B120" s="31">
        <v>1</v>
      </c>
      <c r="C120" s="31">
        <v>3</v>
      </c>
      <c r="D120" s="32" t="s">
        <v>1517</v>
      </c>
      <c r="E120" s="32" t="s">
        <v>169</v>
      </c>
      <c r="F120" s="32" t="s">
        <v>1664</v>
      </c>
      <c r="G120" s="32" t="s">
        <v>39</v>
      </c>
      <c r="H120" s="32" t="s">
        <v>1518</v>
      </c>
      <c r="I120" s="31" t="s">
        <v>1519</v>
      </c>
      <c r="J120" s="31">
        <v>11</v>
      </c>
      <c r="K120" s="33" t="s">
        <v>719</v>
      </c>
      <c r="L120" s="33">
        <v>40</v>
      </c>
      <c r="M120" s="34" t="s">
        <v>39</v>
      </c>
      <c r="N120" s="34" t="s">
        <v>1724</v>
      </c>
      <c r="O120" s="35">
        <v>1</v>
      </c>
      <c r="P120" s="35">
        <v>1</v>
      </c>
      <c r="Q120" s="32"/>
      <c r="S120" s="1">
        <f t="shared" si="71"/>
        <v>0</v>
      </c>
      <c r="T120" s="1">
        <f t="shared" si="72"/>
        <v>0</v>
      </c>
      <c r="U120" s="1">
        <f t="shared" si="73"/>
        <v>0</v>
      </c>
      <c r="V120" s="1">
        <f t="shared" si="74"/>
        <v>0</v>
      </c>
      <c r="W120" s="1">
        <f t="shared" si="75"/>
        <v>0</v>
      </c>
      <c r="X120" s="1">
        <f t="shared" si="76"/>
        <v>0</v>
      </c>
      <c r="Y120" s="1">
        <f t="shared" si="77"/>
        <v>0</v>
      </c>
      <c r="Z120" s="1">
        <f t="shared" si="78"/>
        <v>0</v>
      </c>
      <c r="AA120" s="1">
        <f t="shared" si="79"/>
        <v>0</v>
      </c>
      <c r="AB120" s="1">
        <f t="shared" si="80"/>
        <v>0</v>
      </c>
      <c r="AD120" s="1">
        <f t="shared" si="81"/>
        <v>1</v>
      </c>
      <c r="AE120" s="1">
        <f t="shared" si="82"/>
        <v>0</v>
      </c>
      <c r="AF120" s="1">
        <f t="shared" si="67"/>
        <v>1</v>
      </c>
      <c r="AG120" s="1">
        <f t="shared" si="68"/>
        <v>0</v>
      </c>
      <c r="AH120" s="1">
        <f t="shared" si="69"/>
        <v>1</v>
      </c>
      <c r="AI120" s="1">
        <f t="shared" si="70"/>
        <v>0</v>
      </c>
    </row>
    <row r="121" spans="1:35" ht="14.25" customHeight="1" x14ac:dyDescent="0.3">
      <c r="A121" s="15">
        <v>0</v>
      </c>
      <c r="B121" s="15">
        <v>1</v>
      </c>
      <c r="C121" s="15">
        <v>3</v>
      </c>
      <c r="D121" s="16" t="s">
        <v>145</v>
      </c>
      <c r="E121" s="16" t="s">
        <v>171</v>
      </c>
      <c r="F121" s="16" t="s">
        <v>346</v>
      </c>
      <c r="G121" s="16" t="s">
        <v>39</v>
      </c>
      <c r="H121" s="16" t="s">
        <v>365</v>
      </c>
      <c r="I121" s="15" t="s">
        <v>490</v>
      </c>
      <c r="J121" s="15">
        <v>18</v>
      </c>
      <c r="K121" s="10" t="s">
        <v>953</v>
      </c>
      <c r="L121" s="10" t="s">
        <v>694</v>
      </c>
      <c r="M121" s="19" t="s">
        <v>967</v>
      </c>
      <c r="N121" s="17"/>
      <c r="Q121" s="16"/>
      <c r="S121" s="1">
        <f t="shared" si="71"/>
        <v>0</v>
      </c>
      <c r="T121" s="1">
        <f t="shared" si="72"/>
        <v>0</v>
      </c>
      <c r="U121" s="1">
        <f t="shared" si="73"/>
        <v>0</v>
      </c>
      <c r="V121" s="1">
        <f t="shared" si="74"/>
        <v>0</v>
      </c>
      <c r="W121" s="1">
        <f t="shared" si="75"/>
        <v>0</v>
      </c>
      <c r="X121" s="1">
        <f t="shared" si="76"/>
        <v>0</v>
      </c>
      <c r="Y121" s="1">
        <f t="shared" si="77"/>
        <v>0</v>
      </c>
      <c r="Z121" s="1">
        <f t="shared" si="78"/>
        <v>0</v>
      </c>
      <c r="AA121" s="1">
        <f t="shared" si="79"/>
        <v>0</v>
      </c>
      <c r="AB121" s="1">
        <f t="shared" si="80"/>
        <v>0</v>
      </c>
      <c r="AD121" s="1">
        <f t="shared" si="81"/>
        <v>0</v>
      </c>
      <c r="AE121" s="1">
        <f t="shared" si="82"/>
        <v>0</v>
      </c>
      <c r="AF121" s="1">
        <f t="shared" si="67"/>
        <v>0</v>
      </c>
      <c r="AG121" s="1">
        <f t="shared" si="68"/>
        <v>0</v>
      </c>
      <c r="AH121" s="1">
        <f t="shared" si="69"/>
        <v>0</v>
      </c>
      <c r="AI121" s="1">
        <f t="shared" si="70"/>
        <v>1</v>
      </c>
    </row>
    <row r="122" spans="1:35" ht="14.25" customHeight="1" x14ac:dyDescent="0.3">
      <c r="A122" s="15">
        <v>0</v>
      </c>
      <c r="B122" s="15">
        <v>1</v>
      </c>
      <c r="C122" s="15">
        <v>3</v>
      </c>
      <c r="D122" s="20" t="s">
        <v>1975</v>
      </c>
      <c r="E122" s="20" t="s">
        <v>171</v>
      </c>
      <c r="F122" s="20" t="s">
        <v>1972</v>
      </c>
      <c r="G122" s="20"/>
      <c r="H122" s="20" t="s">
        <v>1973</v>
      </c>
      <c r="I122" s="21" t="s">
        <v>1971</v>
      </c>
      <c r="J122" s="15">
        <v>17</v>
      </c>
      <c r="K122" s="10" t="s">
        <v>700</v>
      </c>
      <c r="L122" s="10" t="s">
        <v>1739</v>
      </c>
      <c r="M122" s="19" t="s">
        <v>968</v>
      </c>
      <c r="N122" s="17"/>
      <c r="Q122" s="20" t="s">
        <v>1974</v>
      </c>
      <c r="S122" s="1">
        <f t="shared" si="71"/>
        <v>0</v>
      </c>
      <c r="T122" s="1">
        <f t="shared" si="72"/>
        <v>0</v>
      </c>
      <c r="U122" s="1">
        <f t="shared" si="73"/>
        <v>0</v>
      </c>
      <c r="V122" s="1">
        <f t="shared" si="74"/>
        <v>0</v>
      </c>
      <c r="W122" s="1">
        <f t="shared" si="75"/>
        <v>0</v>
      </c>
      <c r="X122" s="1">
        <f t="shared" si="76"/>
        <v>0</v>
      </c>
      <c r="Y122" s="1">
        <f t="shared" si="77"/>
        <v>0</v>
      </c>
      <c r="Z122" s="1">
        <f t="shared" si="78"/>
        <v>0</v>
      </c>
      <c r="AA122" s="1">
        <f t="shared" si="79"/>
        <v>0</v>
      </c>
      <c r="AB122" s="1">
        <f t="shared" si="80"/>
        <v>0</v>
      </c>
      <c r="AD122" s="1">
        <f t="shared" si="81"/>
        <v>0</v>
      </c>
      <c r="AE122" s="1">
        <f t="shared" si="82"/>
        <v>0</v>
      </c>
      <c r="AF122" s="1">
        <f t="shared" si="67"/>
        <v>0</v>
      </c>
      <c r="AG122" s="1">
        <f t="shared" si="68"/>
        <v>0</v>
      </c>
      <c r="AH122" s="1">
        <f t="shared" si="69"/>
        <v>0</v>
      </c>
      <c r="AI122" s="1">
        <f t="shared" si="70"/>
        <v>1</v>
      </c>
    </row>
    <row r="123" spans="1:35" ht="14.25" customHeight="1" x14ac:dyDescent="0.3">
      <c r="A123" s="44">
        <v>0</v>
      </c>
      <c r="B123" s="44">
        <v>1</v>
      </c>
      <c r="C123" s="44">
        <v>3</v>
      </c>
      <c r="D123" s="45" t="s">
        <v>997</v>
      </c>
      <c r="E123" s="45" t="s">
        <v>171</v>
      </c>
      <c r="F123" s="65" t="s">
        <v>1864</v>
      </c>
      <c r="G123" s="45" t="s">
        <v>39</v>
      </c>
      <c r="H123" s="45" t="s">
        <v>998</v>
      </c>
      <c r="I123" s="44" t="s">
        <v>1113</v>
      </c>
      <c r="J123" s="44">
        <v>16</v>
      </c>
      <c r="K123" s="46" t="s">
        <v>719</v>
      </c>
      <c r="L123" s="46" t="s">
        <v>1739</v>
      </c>
      <c r="M123" s="47" t="s">
        <v>1391</v>
      </c>
      <c r="N123" s="47" t="s">
        <v>1799</v>
      </c>
      <c r="O123" s="48"/>
      <c r="P123" s="48"/>
      <c r="Q123" s="65" t="s">
        <v>1887</v>
      </c>
      <c r="S123" s="1">
        <f t="shared" si="71"/>
        <v>0</v>
      </c>
      <c r="T123" s="1">
        <f t="shared" si="72"/>
        <v>0</v>
      </c>
      <c r="U123" s="1">
        <f t="shared" si="73"/>
        <v>0</v>
      </c>
      <c r="V123" s="1">
        <f t="shared" si="74"/>
        <v>0</v>
      </c>
      <c r="W123" s="1">
        <f t="shared" si="75"/>
        <v>0</v>
      </c>
      <c r="X123" s="1">
        <f t="shared" si="76"/>
        <v>0</v>
      </c>
      <c r="Y123" s="1">
        <f t="shared" si="77"/>
        <v>0</v>
      </c>
      <c r="Z123" s="1">
        <f t="shared" si="78"/>
        <v>0</v>
      </c>
      <c r="AA123" s="1">
        <f t="shared" si="79"/>
        <v>0</v>
      </c>
      <c r="AB123" s="1">
        <f t="shared" si="80"/>
        <v>0</v>
      </c>
      <c r="AD123" s="1">
        <f t="shared" si="81"/>
        <v>0</v>
      </c>
      <c r="AE123" s="1">
        <f t="shared" si="82"/>
        <v>0</v>
      </c>
      <c r="AF123" s="1">
        <f t="shared" si="67"/>
        <v>0</v>
      </c>
      <c r="AG123" s="1">
        <f t="shared" si="68"/>
        <v>0</v>
      </c>
      <c r="AH123" s="1">
        <f t="shared" si="69"/>
        <v>0</v>
      </c>
      <c r="AI123" s="1">
        <f t="shared" si="70"/>
        <v>1</v>
      </c>
    </row>
    <row r="124" spans="1:35" ht="14.25" customHeight="1" x14ac:dyDescent="0.3">
      <c r="A124" s="15">
        <v>0</v>
      </c>
      <c r="B124" s="15">
        <v>1</v>
      </c>
      <c r="C124" s="15">
        <v>3</v>
      </c>
      <c r="D124" s="16" t="s">
        <v>1124</v>
      </c>
      <c r="E124" s="16" t="s">
        <v>171</v>
      </c>
      <c r="F124" s="16" t="s">
        <v>1341</v>
      </c>
      <c r="G124" s="16" t="s">
        <v>39</v>
      </c>
      <c r="H124" s="16" t="s">
        <v>1126</v>
      </c>
      <c r="I124" s="15" t="s">
        <v>1125</v>
      </c>
      <c r="J124" s="15">
        <v>14</v>
      </c>
      <c r="K124" s="10" t="s">
        <v>955</v>
      </c>
      <c r="L124" s="10" t="s">
        <v>1696</v>
      </c>
      <c r="M124" s="19" t="s">
        <v>1392</v>
      </c>
      <c r="N124" s="17"/>
      <c r="Q124" s="16"/>
      <c r="S124" s="1">
        <f t="shared" si="71"/>
        <v>0</v>
      </c>
      <c r="T124" s="1">
        <f t="shared" si="72"/>
        <v>0</v>
      </c>
      <c r="U124" s="1">
        <f t="shared" si="73"/>
        <v>0</v>
      </c>
      <c r="V124" s="1">
        <f t="shared" si="74"/>
        <v>0</v>
      </c>
      <c r="W124" s="1">
        <f t="shared" si="75"/>
        <v>0</v>
      </c>
      <c r="X124" s="1">
        <f t="shared" si="76"/>
        <v>0</v>
      </c>
      <c r="Y124" s="1">
        <f t="shared" si="77"/>
        <v>0</v>
      </c>
      <c r="Z124" s="1">
        <f t="shared" si="78"/>
        <v>0</v>
      </c>
      <c r="AA124" s="1">
        <f t="shared" si="79"/>
        <v>0</v>
      </c>
      <c r="AB124" s="1">
        <f t="shared" si="80"/>
        <v>0</v>
      </c>
      <c r="AD124" s="1">
        <f t="shared" si="81"/>
        <v>0</v>
      </c>
      <c r="AE124" s="1">
        <f t="shared" si="82"/>
        <v>0</v>
      </c>
      <c r="AF124" s="1">
        <f t="shared" si="67"/>
        <v>0</v>
      </c>
      <c r="AG124" s="1">
        <f t="shared" si="68"/>
        <v>0</v>
      </c>
      <c r="AH124" s="1">
        <f t="shared" si="69"/>
        <v>0</v>
      </c>
      <c r="AI124" s="1">
        <f t="shared" si="70"/>
        <v>1</v>
      </c>
    </row>
    <row r="125" spans="1:35" ht="14.25" customHeight="1" x14ac:dyDescent="0.3">
      <c r="A125" s="31">
        <v>0</v>
      </c>
      <c r="B125" s="31">
        <v>1</v>
      </c>
      <c r="C125" s="31">
        <v>3</v>
      </c>
      <c r="D125" s="32" t="s">
        <v>1075</v>
      </c>
      <c r="E125" s="32" t="s">
        <v>171</v>
      </c>
      <c r="F125" s="32" t="s">
        <v>1037</v>
      </c>
      <c r="G125" s="32" t="s">
        <v>1101</v>
      </c>
      <c r="H125" s="32" t="s">
        <v>352</v>
      </c>
      <c r="I125" s="31" t="s">
        <v>1038</v>
      </c>
      <c r="J125" s="31">
        <v>1</v>
      </c>
      <c r="K125" s="33" t="s">
        <v>955</v>
      </c>
      <c r="L125" s="33" t="s">
        <v>684</v>
      </c>
      <c r="M125" s="34" t="s">
        <v>968</v>
      </c>
      <c r="N125" s="34" t="s">
        <v>1752</v>
      </c>
      <c r="O125" s="35">
        <v>1</v>
      </c>
      <c r="P125" s="35"/>
      <c r="Q125" s="32"/>
      <c r="S125" s="1">
        <f t="shared" si="71"/>
        <v>1</v>
      </c>
      <c r="T125" s="1">
        <f t="shared" si="72"/>
        <v>0</v>
      </c>
      <c r="U125" s="1">
        <f t="shared" si="73"/>
        <v>0</v>
      </c>
      <c r="V125" s="1">
        <f t="shared" si="74"/>
        <v>0</v>
      </c>
      <c r="W125" s="1">
        <f t="shared" si="75"/>
        <v>0</v>
      </c>
      <c r="X125" s="1">
        <f t="shared" si="76"/>
        <v>0</v>
      </c>
      <c r="Y125" s="1">
        <f t="shared" si="77"/>
        <v>0</v>
      </c>
      <c r="Z125" s="1">
        <f t="shared" si="78"/>
        <v>0</v>
      </c>
      <c r="AA125" s="1">
        <f t="shared" si="79"/>
        <v>0</v>
      </c>
      <c r="AB125" s="1">
        <f t="shared" si="80"/>
        <v>0</v>
      </c>
      <c r="AD125" s="1">
        <f t="shared" si="81"/>
        <v>0</v>
      </c>
      <c r="AE125" s="1">
        <f t="shared" si="82"/>
        <v>1</v>
      </c>
      <c r="AF125" s="1">
        <f t="shared" si="67"/>
        <v>0</v>
      </c>
      <c r="AG125" s="1">
        <f t="shared" si="68"/>
        <v>1</v>
      </c>
      <c r="AH125" s="1">
        <f t="shared" si="69"/>
        <v>0</v>
      </c>
      <c r="AI125" s="1">
        <f t="shared" si="70"/>
        <v>1</v>
      </c>
    </row>
    <row r="126" spans="1:35" ht="14.25" customHeight="1" x14ac:dyDescent="0.3">
      <c r="A126" s="31">
        <v>0</v>
      </c>
      <c r="B126" s="31">
        <v>1</v>
      </c>
      <c r="C126" s="31">
        <v>3</v>
      </c>
      <c r="D126" s="32" t="s">
        <v>1626</v>
      </c>
      <c r="E126" s="32" t="s">
        <v>1084</v>
      </c>
      <c r="F126" s="32" t="s">
        <v>1627</v>
      </c>
      <c r="G126" s="32" t="s">
        <v>39</v>
      </c>
      <c r="H126" s="32" t="s">
        <v>1628</v>
      </c>
      <c r="I126" s="31" t="s">
        <v>1629</v>
      </c>
      <c r="J126" s="31">
        <v>15</v>
      </c>
      <c r="K126" s="33" t="s">
        <v>955</v>
      </c>
      <c r="L126" s="33" t="s">
        <v>39</v>
      </c>
      <c r="M126" s="34" t="s">
        <v>39</v>
      </c>
      <c r="N126" s="34" t="s">
        <v>1745</v>
      </c>
      <c r="O126" s="35">
        <v>1</v>
      </c>
      <c r="P126" s="35"/>
      <c r="Q126" s="36" t="s">
        <v>1892</v>
      </c>
      <c r="S126" s="1">
        <f t="shared" si="71"/>
        <v>0</v>
      </c>
      <c r="T126" s="1">
        <f t="shared" si="72"/>
        <v>0</v>
      </c>
      <c r="U126" s="1">
        <f t="shared" si="73"/>
        <v>0</v>
      </c>
      <c r="V126" s="1">
        <f t="shared" si="74"/>
        <v>0</v>
      </c>
      <c r="W126" s="1">
        <f t="shared" si="75"/>
        <v>0</v>
      </c>
      <c r="X126" s="1">
        <f t="shared" si="76"/>
        <v>0</v>
      </c>
      <c r="Y126" s="1">
        <f t="shared" si="77"/>
        <v>0</v>
      </c>
      <c r="Z126" s="1">
        <f t="shared" si="78"/>
        <v>0</v>
      </c>
      <c r="AA126" s="1">
        <f t="shared" si="79"/>
        <v>0</v>
      </c>
      <c r="AB126" s="1">
        <f t="shared" si="80"/>
        <v>0</v>
      </c>
      <c r="AD126" s="1">
        <f t="shared" si="81"/>
        <v>0</v>
      </c>
      <c r="AE126" s="1">
        <f t="shared" si="82"/>
        <v>1</v>
      </c>
      <c r="AF126" s="1">
        <f t="shared" si="67"/>
        <v>0</v>
      </c>
      <c r="AG126" s="1">
        <f t="shared" si="68"/>
        <v>1</v>
      </c>
      <c r="AH126" s="1">
        <f t="shared" si="69"/>
        <v>0</v>
      </c>
      <c r="AI126" s="1">
        <f t="shared" si="70"/>
        <v>1</v>
      </c>
    </row>
    <row r="127" spans="1:35" ht="14.25" customHeight="1" x14ac:dyDescent="0.3">
      <c r="A127" s="15">
        <v>0</v>
      </c>
      <c r="B127" s="15">
        <v>1</v>
      </c>
      <c r="C127" s="15">
        <v>3</v>
      </c>
      <c r="D127" s="16" t="s">
        <v>610</v>
      </c>
      <c r="E127" s="16" t="s">
        <v>169</v>
      </c>
      <c r="F127" s="16" t="s">
        <v>611</v>
      </c>
      <c r="G127" s="16" t="s">
        <v>39</v>
      </c>
      <c r="H127" s="16" t="s">
        <v>364</v>
      </c>
      <c r="I127" s="15" t="s">
        <v>612</v>
      </c>
      <c r="J127" s="15">
        <v>18</v>
      </c>
      <c r="K127" s="10" t="s">
        <v>719</v>
      </c>
      <c r="L127" s="10" t="s">
        <v>1739</v>
      </c>
      <c r="M127" s="19" t="s">
        <v>39</v>
      </c>
      <c r="N127" s="17"/>
      <c r="Q127" s="16"/>
      <c r="S127" s="1">
        <f t="shared" si="71"/>
        <v>0</v>
      </c>
      <c r="T127" s="1">
        <f t="shared" si="72"/>
        <v>0</v>
      </c>
      <c r="U127" s="1">
        <f t="shared" si="73"/>
        <v>0</v>
      </c>
      <c r="V127" s="1">
        <f t="shared" si="74"/>
        <v>0</v>
      </c>
      <c r="W127" s="1">
        <f t="shared" si="75"/>
        <v>0</v>
      </c>
      <c r="X127" s="1">
        <f t="shared" si="76"/>
        <v>0</v>
      </c>
      <c r="Y127" s="1">
        <f t="shared" si="77"/>
        <v>0</v>
      </c>
      <c r="Z127" s="1">
        <f t="shared" si="78"/>
        <v>0</v>
      </c>
      <c r="AA127" s="1">
        <f t="shared" si="79"/>
        <v>0</v>
      </c>
      <c r="AB127" s="1">
        <f t="shared" si="80"/>
        <v>0</v>
      </c>
      <c r="AD127" s="1">
        <f t="shared" si="81"/>
        <v>0</v>
      </c>
      <c r="AE127" s="1">
        <f t="shared" si="82"/>
        <v>0</v>
      </c>
      <c r="AF127" s="1">
        <f t="shared" si="67"/>
        <v>0</v>
      </c>
      <c r="AG127" s="1">
        <f t="shared" si="68"/>
        <v>0</v>
      </c>
      <c r="AH127" s="1">
        <f t="shared" si="69"/>
        <v>0</v>
      </c>
      <c r="AI127" s="1">
        <f t="shared" si="70"/>
        <v>1</v>
      </c>
    </row>
    <row r="128" spans="1:35" ht="14.25" customHeight="1" x14ac:dyDescent="0.3">
      <c r="A128" s="15">
        <v>0</v>
      </c>
      <c r="B128" s="15">
        <v>1</v>
      </c>
      <c r="C128" s="15">
        <v>3</v>
      </c>
      <c r="D128" s="20" t="s">
        <v>1947</v>
      </c>
      <c r="E128" s="20" t="s">
        <v>171</v>
      </c>
      <c r="F128" s="20" t="s">
        <v>1968</v>
      </c>
      <c r="G128" s="20"/>
      <c r="H128" s="20" t="s">
        <v>1967</v>
      </c>
      <c r="I128" s="21" t="s">
        <v>1969</v>
      </c>
      <c r="J128" s="15">
        <v>15</v>
      </c>
      <c r="K128" s="10" t="s">
        <v>700</v>
      </c>
      <c r="L128" s="10" t="s">
        <v>1739</v>
      </c>
      <c r="M128" s="19" t="s">
        <v>968</v>
      </c>
      <c r="N128" s="17"/>
      <c r="Q128" s="20" t="s">
        <v>1970</v>
      </c>
      <c r="S128" s="1">
        <f t="shared" si="71"/>
        <v>0</v>
      </c>
      <c r="T128" s="1">
        <f t="shared" si="72"/>
        <v>0</v>
      </c>
      <c r="U128" s="1">
        <f t="shared" si="73"/>
        <v>0</v>
      </c>
      <c r="V128" s="1">
        <f t="shared" si="74"/>
        <v>0</v>
      </c>
      <c r="W128" s="1">
        <f t="shared" si="75"/>
        <v>0</v>
      </c>
      <c r="X128" s="1">
        <f t="shared" si="76"/>
        <v>0</v>
      </c>
      <c r="Y128" s="1">
        <f t="shared" si="77"/>
        <v>0</v>
      </c>
      <c r="Z128" s="1">
        <f t="shared" si="78"/>
        <v>0</v>
      </c>
      <c r="AA128" s="1">
        <f t="shared" si="79"/>
        <v>0</v>
      </c>
      <c r="AB128" s="1">
        <f t="shared" si="80"/>
        <v>0</v>
      </c>
      <c r="AD128" s="1">
        <f t="shared" si="81"/>
        <v>0</v>
      </c>
      <c r="AE128" s="1">
        <f t="shared" si="82"/>
        <v>0</v>
      </c>
      <c r="AF128" s="1">
        <f t="shared" si="67"/>
        <v>0</v>
      </c>
      <c r="AG128" s="1">
        <f t="shared" si="68"/>
        <v>0</v>
      </c>
      <c r="AH128" s="1">
        <f t="shared" si="69"/>
        <v>0</v>
      </c>
      <c r="AI128" s="1">
        <f t="shared" si="70"/>
        <v>1</v>
      </c>
    </row>
    <row r="129" spans="1:35" ht="14.25" customHeight="1" x14ac:dyDescent="0.3">
      <c r="A129" s="31">
        <v>0</v>
      </c>
      <c r="B129" s="31">
        <v>1</v>
      </c>
      <c r="C129" s="31">
        <v>3</v>
      </c>
      <c r="D129" s="32" t="s">
        <v>917</v>
      </c>
      <c r="E129" s="32" t="s">
        <v>171</v>
      </c>
      <c r="F129" s="32" t="s">
        <v>1154</v>
      </c>
      <c r="G129" s="32" t="s">
        <v>39</v>
      </c>
      <c r="H129" s="32" t="s">
        <v>361</v>
      </c>
      <c r="I129" s="31" t="s">
        <v>888</v>
      </c>
      <c r="J129" s="31">
        <v>14</v>
      </c>
      <c r="K129" s="33" t="s">
        <v>954</v>
      </c>
      <c r="L129" s="33" t="s">
        <v>39</v>
      </c>
      <c r="M129" s="34" t="s">
        <v>39</v>
      </c>
      <c r="N129" s="34" t="s">
        <v>1730</v>
      </c>
      <c r="O129" s="35">
        <v>1</v>
      </c>
      <c r="P129" s="35">
        <v>1</v>
      </c>
      <c r="Q129" s="36"/>
      <c r="S129" s="1">
        <f t="shared" si="71"/>
        <v>0</v>
      </c>
      <c r="T129" s="1">
        <f t="shared" si="72"/>
        <v>0</v>
      </c>
      <c r="U129" s="1">
        <f t="shared" si="73"/>
        <v>0</v>
      </c>
      <c r="V129" s="1">
        <f t="shared" si="74"/>
        <v>0</v>
      </c>
      <c r="W129" s="1">
        <f t="shared" si="75"/>
        <v>0</v>
      </c>
      <c r="X129" s="1">
        <f t="shared" si="76"/>
        <v>0</v>
      </c>
      <c r="Y129" s="1">
        <f t="shared" si="77"/>
        <v>0</v>
      </c>
      <c r="Z129" s="1">
        <f t="shared" si="78"/>
        <v>0</v>
      </c>
      <c r="AA129" s="1">
        <f t="shared" si="79"/>
        <v>0</v>
      </c>
      <c r="AB129" s="1">
        <f t="shared" si="80"/>
        <v>0</v>
      </c>
      <c r="AD129" s="1">
        <f t="shared" si="81"/>
        <v>1</v>
      </c>
      <c r="AE129" s="1">
        <f t="shared" si="82"/>
        <v>0</v>
      </c>
      <c r="AF129" s="1">
        <f t="shared" si="67"/>
        <v>1</v>
      </c>
      <c r="AG129" s="1">
        <f t="shared" si="68"/>
        <v>0</v>
      </c>
      <c r="AH129" s="1">
        <f t="shared" si="69"/>
        <v>1</v>
      </c>
      <c r="AI129" s="1">
        <f t="shared" si="70"/>
        <v>0</v>
      </c>
    </row>
    <row r="130" spans="1:35" ht="14.25" customHeight="1" x14ac:dyDescent="0.3">
      <c r="A130" s="15">
        <v>0</v>
      </c>
      <c r="B130" s="15">
        <v>1</v>
      </c>
      <c r="C130" s="15">
        <v>3</v>
      </c>
      <c r="D130" s="16" t="s">
        <v>104</v>
      </c>
      <c r="E130" s="16" t="s">
        <v>171</v>
      </c>
      <c r="F130" s="16" t="s">
        <v>928</v>
      </c>
      <c r="G130" s="16" t="s">
        <v>39</v>
      </c>
      <c r="H130" s="16" t="s">
        <v>356</v>
      </c>
      <c r="I130" s="15" t="s">
        <v>449</v>
      </c>
      <c r="J130" s="15">
        <v>18</v>
      </c>
      <c r="K130" s="10" t="s">
        <v>953</v>
      </c>
      <c r="L130" s="10" t="s">
        <v>694</v>
      </c>
      <c r="M130" s="19" t="s">
        <v>688</v>
      </c>
      <c r="N130" s="17"/>
      <c r="Q130" s="16" t="s">
        <v>1885</v>
      </c>
      <c r="S130" s="1">
        <f t="shared" si="71"/>
        <v>0</v>
      </c>
      <c r="T130" s="1">
        <f t="shared" si="72"/>
        <v>0</v>
      </c>
      <c r="U130" s="1">
        <f t="shared" si="73"/>
        <v>0</v>
      </c>
      <c r="V130" s="1">
        <f t="shared" si="74"/>
        <v>0</v>
      </c>
      <c r="W130" s="1">
        <f t="shared" si="75"/>
        <v>0</v>
      </c>
      <c r="X130" s="1">
        <f t="shared" si="76"/>
        <v>0</v>
      </c>
      <c r="Y130" s="1">
        <f t="shared" si="77"/>
        <v>0</v>
      </c>
      <c r="Z130" s="1">
        <f t="shared" si="78"/>
        <v>0</v>
      </c>
      <c r="AA130" s="1">
        <f t="shared" si="79"/>
        <v>0</v>
      </c>
      <c r="AB130" s="1">
        <f t="shared" si="80"/>
        <v>0</v>
      </c>
      <c r="AD130" s="1">
        <f t="shared" si="81"/>
        <v>0</v>
      </c>
      <c r="AE130" s="1">
        <f t="shared" si="82"/>
        <v>0</v>
      </c>
      <c r="AF130" s="1">
        <f t="shared" si="67"/>
        <v>0</v>
      </c>
      <c r="AG130" s="1">
        <f t="shared" si="68"/>
        <v>0</v>
      </c>
      <c r="AH130" s="1">
        <f t="shared" si="69"/>
        <v>0</v>
      </c>
      <c r="AI130" s="1">
        <f t="shared" si="70"/>
        <v>1</v>
      </c>
    </row>
    <row r="131" spans="1:35" ht="14.25" customHeight="1" x14ac:dyDescent="0.3">
      <c r="A131" s="31">
        <v>0</v>
      </c>
      <c r="B131" s="31">
        <v>1</v>
      </c>
      <c r="C131" s="31">
        <v>3</v>
      </c>
      <c r="D131" s="32" t="s">
        <v>1505</v>
      </c>
      <c r="E131" s="32" t="s">
        <v>1649</v>
      </c>
      <c r="F131" s="32" t="s">
        <v>1507</v>
      </c>
      <c r="G131" s="32" t="s">
        <v>39</v>
      </c>
      <c r="H131" s="32" t="s">
        <v>1508</v>
      </c>
      <c r="I131" s="31" t="s">
        <v>1506</v>
      </c>
      <c r="J131" s="31">
        <v>14</v>
      </c>
      <c r="K131" s="33" t="s">
        <v>959</v>
      </c>
      <c r="L131" s="33" t="s">
        <v>684</v>
      </c>
      <c r="M131" s="34" t="s">
        <v>1393</v>
      </c>
      <c r="N131" s="34" t="s">
        <v>1724</v>
      </c>
      <c r="O131" s="35">
        <v>1</v>
      </c>
      <c r="P131" s="35">
        <v>1</v>
      </c>
      <c r="Q131" s="36"/>
      <c r="S131" s="1">
        <f t="shared" si="71"/>
        <v>0</v>
      </c>
      <c r="T131" s="1">
        <f t="shared" si="72"/>
        <v>0</v>
      </c>
      <c r="U131" s="1">
        <f t="shared" si="73"/>
        <v>0</v>
      </c>
      <c r="V131" s="1">
        <f t="shared" si="74"/>
        <v>0</v>
      </c>
      <c r="W131" s="1">
        <f t="shared" si="75"/>
        <v>0</v>
      </c>
      <c r="X131" s="1">
        <f t="shared" si="76"/>
        <v>0</v>
      </c>
      <c r="Y131" s="1">
        <f t="shared" si="77"/>
        <v>0</v>
      </c>
      <c r="Z131" s="1">
        <f t="shared" si="78"/>
        <v>0</v>
      </c>
      <c r="AA131" s="1">
        <f t="shared" si="79"/>
        <v>0</v>
      </c>
      <c r="AB131" s="1">
        <f t="shared" si="80"/>
        <v>0</v>
      </c>
      <c r="AD131" s="1">
        <f t="shared" si="81"/>
        <v>1</v>
      </c>
      <c r="AE131" s="1">
        <f t="shared" si="82"/>
        <v>0</v>
      </c>
      <c r="AF131" s="1">
        <f t="shared" si="67"/>
        <v>1</v>
      </c>
      <c r="AG131" s="1">
        <f t="shared" si="68"/>
        <v>0</v>
      </c>
      <c r="AH131" s="1">
        <f t="shared" si="69"/>
        <v>1</v>
      </c>
      <c r="AI131" s="1">
        <f t="shared" si="70"/>
        <v>0</v>
      </c>
    </row>
    <row r="132" spans="1:35" ht="14.25" customHeight="1" x14ac:dyDescent="0.3">
      <c r="A132" s="44">
        <v>0</v>
      </c>
      <c r="B132" s="44">
        <v>1</v>
      </c>
      <c r="C132" s="44">
        <v>3</v>
      </c>
      <c r="D132" s="45" t="s">
        <v>1253</v>
      </c>
      <c r="E132" s="45" t="s">
        <v>171</v>
      </c>
      <c r="F132" s="45" t="s">
        <v>1254</v>
      </c>
      <c r="G132" s="45" t="s">
        <v>1256</v>
      </c>
      <c r="H132" s="45" t="s">
        <v>352</v>
      </c>
      <c r="I132" s="44" t="s">
        <v>1255</v>
      </c>
      <c r="J132" s="44">
        <v>99</v>
      </c>
      <c r="K132" s="46" t="s">
        <v>955</v>
      </c>
      <c r="L132" s="46" t="s">
        <v>690</v>
      </c>
      <c r="M132" s="47" t="s">
        <v>968</v>
      </c>
      <c r="N132" s="47" t="s">
        <v>1799</v>
      </c>
      <c r="O132" s="48"/>
      <c r="P132" s="48"/>
      <c r="Q132" s="45"/>
      <c r="S132" s="1">
        <f t="shared" si="71"/>
        <v>0</v>
      </c>
      <c r="T132" s="1">
        <f t="shared" si="72"/>
        <v>0</v>
      </c>
      <c r="U132" s="1">
        <f t="shared" si="73"/>
        <v>0</v>
      </c>
      <c r="V132" s="1">
        <f t="shared" si="74"/>
        <v>0</v>
      </c>
      <c r="W132" s="1">
        <f t="shared" si="75"/>
        <v>0</v>
      </c>
      <c r="X132" s="1">
        <f t="shared" si="76"/>
        <v>0</v>
      </c>
      <c r="Y132" s="1">
        <f t="shared" si="77"/>
        <v>0</v>
      </c>
      <c r="Z132" s="1">
        <f t="shared" si="78"/>
        <v>0</v>
      </c>
      <c r="AA132" s="1">
        <f t="shared" si="79"/>
        <v>0</v>
      </c>
      <c r="AB132" s="1">
        <f t="shared" si="80"/>
        <v>0</v>
      </c>
      <c r="AD132" s="1">
        <f t="shared" si="81"/>
        <v>0</v>
      </c>
      <c r="AE132" s="1">
        <f t="shared" si="82"/>
        <v>0</v>
      </c>
      <c r="AF132" s="1">
        <f t="shared" si="67"/>
        <v>0</v>
      </c>
      <c r="AG132" s="1">
        <f t="shared" si="68"/>
        <v>0</v>
      </c>
      <c r="AH132" s="1">
        <f t="shared" si="69"/>
        <v>0</v>
      </c>
      <c r="AI132" s="1">
        <f t="shared" si="70"/>
        <v>1</v>
      </c>
    </row>
    <row r="133" spans="1:35" ht="14.25" customHeight="1" x14ac:dyDescent="0.3">
      <c r="A133" s="15">
        <v>0</v>
      </c>
      <c r="B133" s="15">
        <v>1</v>
      </c>
      <c r="C133" s="15">
        <v>3</v>
      </c>
      <c r="D133" s="16" t="s">
        <v>1499</v>
      </c>
      <c r="E133" s="16" t="s">
        <v>171</v>
      </c>
      <c r="F133" s="16" t="s">
        <v>1500</v>
      </c>
      <c r="G133" s="16" t="s">
        <v>39</v>
      </c>
      <c r="H133" s="16" t="s">
        <v>363</v>
      </c>
      <c r="I133" s="15" t="s">
        <v>1501</v>
      </c>
      <c r="J133" s="15">
        <v>18</v>
      </c>
      <c r="K133" s="10" t="s">
        <v>953</v>
      </c>
      <c r="L133" s="10" t="s">
        <v>1739</v>
      </c>
      <c r="M133" s="19" t="s">
        <v>39</v>
      </c>
      <c r="N133" s="17"/>
      <c r="Q133" s="16"/>
      <c r="S133" s="1">
        <f t="shared" si="71"/>
        <v>0</v>
      </c>
      <c r="T133" s="1">
        <f t="shared" si="72"/>
        <v>0</v>
      </c>
      <c r="U133" s="1">
        <f t="shared" si="73"/>
        <v>0</v>
      </c>
      <c r="V133" s="1">
        <f t="shared" si="74"/>
        <v>0</v>
      </c>
      <c r="W133" s="1">
        <f t="shared" si="75"/>
        <v>0</v>
      </c>
      <c r="X133" s="1">
        <f t="shared" si="76"/>
        <v>0</v>
      </c>
      <c r="Y133" s="1">
        <f t="shared" si="77"/>
        <v>0</v>
      </c>
      <c r="Z133" s="1">
        <f t="shared" si="78"/>
        <v>0</v>
      </c>
      <c r="AA133" s="1">
        <f t="shared" si="79"/>
        <v>0</v>
      </c>
      <c r="AB133" s="1">
        <f t="shared" si="80"/>
        <v>0</v>
      </c>
      <c r="AD133" s="1">
        <f t="shared" si="81"/>
        <v>0</v>
      </c>
      <c r="AE133" s="1">
        <f t="shared" si="82"/>
        <v>0</v>
      </c>
      <c r="AF133" s="1">
        <f t="shared" si="67"/>
        <v>0</v>
      </c>
      <c r="AG133" s="1">
        <f t="shared" si="68"/>
        <v>0</v>
      </c>
      <c r="AH133" s="1">
        <f t="shared" si="69"/>
        <v>0</v>
      </c>
      <c r="AI133" s="1">
        <f t="shared" si="70"/>
        <v>1</v>
      </c>
    </row>
    <row r="134" spans="1:35" ht="14.25" customHeight="1" x14ac:dyDescent="0.3">
      <c r="A134" s="15">
        <v>0</v>
      </c>
      <c r="B134" s="15">
        <v>1</v>
      </c>
      <c r="C134" s="15">
        <v>3</v>
      </c>
      <c r="D134" s="16" t="s">
        <v>1620</v>
      </c>
      <c r="E134" s="16" t="s">
        <v>171</v>
      </c>
      <c r="F134" s="16" t="s">
        <v>1623</v>
      </c>
      <c r="G134" s="16" t="s">
        <v>39</v>
      </c>
      <c r="H134" s="16" t="s">
        <v>1621</v>
      </c>
      <c r="I134" s="15" t="s">
        <v>1622</v>
      </c>
      <c r="J134" s="15">
        <v>15</v>
      </c>
      <c r="K134" s="10" t="s">
        <v>719</v>
      </c>
      <c r="L134" s="10" t="s">
        <v>39</v>
      </c>
      <c r="M134" s="19" t="s">
        <v>39</v>
      </c>
      <c r="N134" s="17"/>
      <c r="Q134" s="16"/>
      <c r="S134" s="1">
        <f t="shared" si="71"/>
        <v>0</v>
      </c>
      <c r="T134" s="1">
        <f t="shared" si="72"/>
        <v>0</v>
      </c>
      <c r="U134" s="1">
        <f t="shared" si="73"/>
        <v>0</v>
      </c>
      <c r="V134" s="1">
        <f t="shared" si="74"/>
        <v>0</v>
      </c>
      <c r="W134" s="1">
        <f t="shared" si="75"/>
        <v>0</v>
      </c>
      <c r="X134" s="1">
        <f t="shared" si="76"/>
        <v>0</v>
      </c>
      <c r="Y134" s="1">
        <f t="shared" si="77"/>
        <v>0</v>
      </c>
      <c r="Z134" s="1">
        <f t="shared" si="78"/>
        <v>0</v>
      </c>
      <c r="AA134" s="1">
        <f t="shared" si="79"/>
        <v>0</v>
      </c>
      <c r="AB134" s="1">
        <f t="shared" si="80"/>
        <v>0</v>
      </c>
      <c r="AD134" s="1">
        <f t="shared" si="81"/>
        <v>0</v>
      </c>
      <c r="AE134" s="1">
        <f t="shared" si="82"/>
        <v>0</v>
      </c>
      <c r="AF134" s="1">
        <f t="shared" si="67"/>
        <v>0</v>
      </c>
      <c r="AG134" s="1">
        <f t="shared" si="68"/>
        <v>0</v>
      </c>
      <c r="AH134" s="1">
        <f t="shared" si="69"/>
        <v>0</v>
      </c>
      <c r="AI134" s="1">
        <f t="shared" si="70"/>
        <v>1</v>
      </c>
    </row>
    <row r="135" spans="1:35" ht="14.25" customHeight="1" x14ac:dyDescent="0.3">
      <c r="A135" s="31">
        <v>0</v>
      </c>
      <c r="B135" s="31">
        <v>1</v>
      </c>
      <c r="C135" s="31">
        <v>3</v>
      </c>
      <c r="D135" s="32" t="s">
        <v>1241</v>
      </c>
      <c r="E135" s="32" t="s">
        <v>1243</v>
      </c>
      <c r="F135" s="32" t="s">
        <v>1244</v>
      </c>
      <c r="G135" s="32" t="s">
        <v>39</v>
      </c>
      <c r="H135" s="32" t="s">
        <v>367</v>
      </c>
      <c r="I135" s="31" t="s">
        <v>1242</v>
      </c>
      <c r="J135" s="31">
        <v>14</v>
      </c>
      <c r="K135" s="33" t="s">
        <v>955</v>
      </c>
      <c r="L135" s="33" t="s">
        <v>684</v>
      </c>
      <c r="M135" s="34" t="s">
        <v>1393</v>
      </c>
      <c r="N135" s="34" t="s">
        <v>1730</v>
      </c>
      <c r="O135" s="35">
        <v>1</v>
      </c>
      <c r="P135" s="35">
        <v>1</v>
      </c>
      <c r="Q135" s="32"/>
      <c r="S135" s="1">
        <f t="shared" si="71"/>
        <v>0</v>
      </c>
      <c r="T135" s="1">
        <f t="shared" si="72"/>
        <v>0</v>
      </c>
      <c r="U135" s="1">
        <f t="shared" si="73"/>
        <v>0</v>
      </c>
      <c r="V135" s="1">
        <f t="shared" si="74"/>
        <v>0</v>
      </c>
      <c r="W135" s="1">
        <f t="shared" si="75"/>
        <v>0</v>
      </c>
      <c r="X135" s="1">
        <f t="shared" si="76"/>
        <v>0</v>
      </c>
      <c r="Y135" s="1">
        <f t="shared" si="77"/>
        <v>0</v>
      </c>
      <c r="Z135" s="1">
        <f t="shared" si="78"/>
        <v>0</v>
      </c>
      <c r="AA135" s="1">
        <f t="shared" si="79"/>
        <v>0</v>
      </c>
      <c r="AB135" s="1">
        <f t="shared" si="80"/>
        <v>0</v>
      </c>
      <c r="AD135" s="1">
        <f t="shared" si="81"/>
        <v>1</v>
      </c>
      <c r="AE135" s="1">
        <f t="shared" si="82"/>
        <v>0</v>
      </c>
      <c r="AF135" s="1">
        <f t="shared" si="67"/>
        <v>1</v>
      </c>
      <c r="AG135" s="1">
        <f t="shared" si="68"/>
        <v>0</v>
      </c>
      <c r="AH135" s="1">
        <f t="shared" si="69"/>
        <v>1</v>
      </c>
      <c r="AI135" s="1">
        <f t="shared" si="70"/>
        <v>0</v>
      </c>
    </row>
    <row r="136" spans="1:35" ht="14.25" customHeight="1" x14ac:dyDescent="0.3">
      <c r="A136" s="31">
        <v>0</v>
      </c>
      <c r="B136" s="31">
        <v>1</v>
      </c>
      <c r="C136" s="31">
        <v>3</v>
      </c>
      <c r="D136" s="32" t="s">
        <v>129</v>
      </c>
      <c r="E136" s="32" t="s">
        <v>175</v>
      </c>
      <c r="F136" s="32" t="s">
        <v>329</v>
      </c>
      <c r="G136" s="32" t="s">
        <v>181</v>
      </c>
      <c r="H136" s="32" t="s">
        <v>352</v>
      </c>
      <c r="I136" s="31" t="s">
        <v>476</v>
      </c>
      <c r="J136" s="31">
        <v>99</v>
      </c>
      <c r="K136" s="33" t="s">
        <v>954</v>
      </c>
      <c r="L136" s="33" t="s">
        <v>39</v>
      </c>
      <c r="M136" s="34" t="s">
        <v>39</v>
      </c>
      <c r="N136" s="34" t="s">
        <v>1730</v>
      </c>
      <c r="O136" s="35">
        <v>1</v>
      </c>
      <c r="P136" s="35">
        <v>1</v>
      </c>
      <c r="Q136" s="32"/>
      <c r="S136" s="1">
        <f t="shared" si="71"/>
        <v>0</v>
      </c>
      <c r="T136" s="1">
        <f t="shared" si="72"/>
        <v>0</v>
      </c>
      <c r="U136" s="1">
        <f t="shared" si="73"/>
        <v>0</v>
      </c>
      <c r="V136" s="1">
        <f t="shared" si="74"/>
        <v>0</v>
      </c>
      <c r="W136" s="1">
        <f t="shared" si="75"/>
        <v>0</v>
      </c>
      <c r="X136" s="1">
        <f t="shared" si="76"/>
        <v>0</v>
      </c>
      <c r="Y136" s="1">
        <f t="shared" si="77"/>
        <v>0</v>
      </c>
      <c r="Z136" s="1">
        <f t="shared" si="78"/>
        <v>0</v>
      </c>
      <c r="AA136" s="1">
        <f t="shared" si="79"/>
        <v>0</v>
      </c>
      <c r="AB136" s="1">
        <f t="shared" si="80"/>
        <v>0</v>
      </c>
      <c r="AD136" s="1">
        <f t="shared" si="81"/>
        <v>1</v>
      </c>
      <c r="AE136" s="1">
        <f t="shared" si="82"/>
        <v>0</v>
      </c>
      <c r="AF136" s="1">
        <f t="shared" si="67"/>
        <v>1</v>
      </c>
      <c r="AG136" s="1">
        <f t="shared" si="68"/>
        <v>0</v>
      </c>
      <c r="AH136" s="1">
        <f t="shared" si="69"/>
        <v>1</v>
      </c>
      <c r="AI136" s="1">
        <f t="shared" si="70"/>
        <v>0</v>
      </c>
    </row>
    <row r="137" spans="1:35" ht="14.25" customHeight="1" x14ac:dyDescent="0.3">
      <c r="A137" s="31">
        <v>0</v>
      </c>
      <c r="B137" s="31">
        <v>1</v>
      </c>
      <c r="C137" s="31">
        <v>3</v>
      </c>
      <c r="D137" s="32" t="s">
        <v>918</v>
      </c>
      <c r="E137" s="32" t="s">
        <v>171</v>
      </c>
      <c r="F137" s="32" t="s">
        <v>930</v>
      </c>
      <c r="G137" s="32" t="s">
        <v>234</v>
      </c>
      <c r="H137" s="32" t="s">
        <v>352</v>
      </c>
      <c r="I137" s="31" t="s">
        <v>944</v>
      </c>
      <c r="J137" s="31">
        <v>99</v>
      </c>
      <c r="K137" s="33" t="s">
        <v>719</v>
      </c>
      <c r="L137" s="33">
        <v>45</v>
      </c>
      <c r="M137" s="34" t="s">
        <v>39</v>
      </c>
      <c r="N137" s="34" t="s">
        <v>1798</v>
      </c>
      <c r="O137" s="35">
        <v>1</v>
      </c>
      <c r="P137" s="35"/>
      <c r="Q137" s="32"/>
      <c r="S137" s="1">
        <f t="shared" si="71"/>
        <v>0</v>
      </c>
      <c r="T137" s="1">
        <f t="shared" si="72"/>
        <v>0</v>
      </c>
      <c r="U137" s="1">
        <f t="shared" si="73"/>
        <v>0</v>
      </c>
      <c r="V137" s="1">
        <f t="shared" si="74"/>
        <v>0</v>
      </c>
      <c r="W137" s="1">
        <f t="shared" si="75"/>
        <v>0</v>
      </c>
      <c r="X137" s="1">
        <f t="shared" si="76"/>
        <v>0</v>
      </c>
      <c r="Y137" s="1">
        <f t="shared" si="77"/>
        <v>0</v>
      </c>
      <c r="Z137" s="1">
        <f t="shared" si="78"/>
        <v>0</v>
      </c>
      <c r="AA137" s="1">
        <f t="shared" si="79"/>
        <v>0</v>
      </c>
      <c r="AB137" s="1">
        <f t="shared" si="80"/>
        <v>0</v>
      </c>
      <c r="AD137" s="1">
        <f t="shared" si="81"/>
        <v>0</v>
      </c>
      <c r="AE137" s="1">
        <f t="shared" si="82"/>
        <v>1</v>
      </c>
      <c r="AF137" s="1">
        <f t="shared" si="67"/>
        <v>0</v>
      </c>
      <c r="AG137" s="1">
        <f t="shared" si="68"/>
        <v>1</v>
      </c>
      <c r="AH137" s="1">
        <f t="shared" si="69"/>
        <v>0</v>
      </c>
      <c r="AI137" s="1">
        <f t="shared" si="70"/>
        <v>1</v>
      </c>
    </row>
    <row r="138" spans="1:35" ht="14.25" customHeight="1" x14ac:dyDescent="0.3">
      <c r="A138" s="44">
        <v>0</v>
      </c>
      <c r="B138" s="44">
        <v>1</v>
      </c>
      <c r="C138" s="44">
        <v>3</v>
      </c>
      <c r="D138" s="45" t="s">
        <v>78</v>
      </c>
      <c r="E138" s="45" t="s">
        <v>607</v>
      </c>
      <c r="F138" s="45" t="s">
        <v>306</v>
      </c>
      <c r="G138" s="45" t="s">
        <v>39</v>
      </c>
      <c r="H138" s="45" t="s">
        <v>360</v>
      </c>
      <c r="I138" s="44" t="s">
        <v>454</v>
      </c>
      <c r="J138" s="44">
        <v>12</v>
      </c>
      <c r="K138" s="46" t="s">
        <v>700</v>
      </c>
      <c r="L138" s="46">
        <v>40</v>
      </c>
      <c r="M138" s="47" t="s">
        <v>968</v>
      </c>
      <c r="N138" s="47" t="s">
        <v>1799</v>
      </c>
      <c r="O138" s="48"/>
      <c r="P138" s="48"/>
      <c r="Q138" s="45"/>
      <c r="S138" s="1">
        <f t="shared" si="71"/>
        <v>0</v>
      </c>
      <c r="T138" s="1">
        <f t="shared" si="72"/>
        <v>0</v>
      </c>
      <c r="U138" s="1">
        <f t="shared" si="73"/>
        <v>0</v>
      </c>
      <c r="V138" s="1">
        <f t="shared" si="74"/>
        <v>0</v>
      </c>
      <c r="W138" s="1">
        <f t="shared" si="75"/>
        <v>0</v>
      </c>
      <c r="X138" s="1">
        <f t="shared" si="76"/>
        <v>0</v>
      </c>
      <c r="Y138" s="1">
        <f t="shared" si="77"/>
        <v>0</v>
      </c>
      <c r="Z138" s="1">
        <f t="shared" si="78"/>
        <v>0</v>
      </c>
      <c r="AA138" s="1">
        <f t="shared" si="79"/>
        <v>0</v>
      </c>
      <c r="AB138" s="1">
        <f t="shared" si="80"/>
        <v>0</v>
      </c>
      <c r="AD138" s="1">
        <f t="shared" si="81"/>
        <v>0</v>
      </c>
      <c r="AE138" s="1">
        <f t="shared" si="82"/>
        <v>0</v>
      </c>
      <c r="AF138" s="1">
        <f t="shared" si="67"/>
        <v>0</v>
      </c>
      <c r="AG138" s="1">
        <f t="shared" si="68"/>
        <v>0</v>
      </c>
      <c r="AH138" s="1">
        <f t="shared" si="69"/>
        <v>0</v>
      </c>
      <c r="AI138" s="1">
        <f t="shared" si="70"/>
        <v>1</v>
      </c>
    </row>
    <row r="139" spans="1:35" ht="14.25" customHeight="1" x14ac:dyDescent="0.3">
      <c r="A139" s="15">
        <v>0</v>
      </c>
      <c r="B139" s="15">
        <v>1</v>
      </c>
      <c r="C139" s="15">
        <v>3</v>
      </c>
      <c r="D139" s="16" t="s">
        <v>1579</v>
      </c>
      <c r="E139" s="16" t="s">
        <v>169</v>
      </c>
      <c r="F139" s="16" t="s">
        <v>1581</v>
      </c>
      <c r="G139" s="16"/>
      <c r="H139" s="16" t="s">
        <v>363</v>
      </c>
      <c r="I139" s="15" t="s">
        <v>1580</v>
      </c>
      <c r="J139" s="15">
        <v>18</v>
      </c>
      <c r="K139" s="10" t="s">
        <v>700</v>
      </c>
      <c r="L139" s="10" t="s">
        <v>685</v>
      </c>
      <c r="M139" s="19" t="s">
        <v>968</v>
      </c>
      <c r="N139" s="17"/>
      <c r="Q139" s="16"/>
      <c r="S139" s="1">
        <f t="shared" si="71"/>
        <v>0</v>
      </c>
      <c r="T139" s="1">
        <f t="shared" si="72"/>
        <v>0</v>
      </c>
      <c r="U139" s="1">
        <f t="shared" si="73"/>
        <v>0</v>
      </c>
      <c r="V139" s="1">
        <f t="shared" si="74"/>
        <v>0</v>
      </c>
      <c r="W139" s="1">
        <f t="shared" si="75"/>
        <v>0</v>
      </c>
      <c r="X139" s="1">
        <f t="shared" si="76"/>
        <v>0</v>
      </c>
      <c r="Y139" s="1">
        <f t="shared" si="77"/>
        <v>0</v>
      </c>
      <c r="Z139" s="1">
        <f t="shared" si="78"/>
        <v>0</v>
      </c>
      <c r="AA139" s="1">
        <f t="shared" si="79"/>
        <v>0</v>
      </c>
      <c r="AB139" s="1">
        <f t="shared" si="80"/>
        <v>0</v>
      </c>
      <c r="AD139" s="1">
        <f t="shared" si="81"/>
        <v>0</v>
      </c>
      <c r="AE139" s="1">
        <f t="shared" si="82"/>
        <v>0</v>
      </c>
      <c r="AF139" s="1">
        <f t="shared" si="67"/>
        <v>0</v>
      </c>
      <c r="AG139" s="1">
        <f t="shared" si="68"/>
        <v>0</v>
      </c>
      <c r="AH139" s="1">
        <f t="shared" si="69"/>
        <v>0</v>
      </c>
      <c r="AI139" s="1">
        <f t="shared" si="70"/>
        <v>1</v>
      </c>
    </row>
    <row r="140" spans="1:35" ht="14.25" customHeight="1" x14ac:dyDescent="0.3">
      <c r="A140" s="31">
        <v>0</v>
      </c>
      <c r="B140" s="31">
        <v>1</v>
      </c>
      <c r="C140" s="31">
        <v>3</v>
      </c>
      <c r="D140" s="32" t="s">
        <v>1284</v>
      </c>
      <c r="E140" s="32" t="s">
        <v>171</v>
      </c>
      <c r="F140" s="32" t="s">
        <v>1285</v>
      </c>
      <c r="G140" s="32" t="s">
        <v>237</v>
      </c>
      <c r="H140" s="32" t="s">
        <v>352</v>
      </c>
      <c r="I140" s="31" t="s">
        <v>1286</v>
      </c>
      <c r="J140" s="31">
        <v>4</v>
      </c>
      <c r="K140" s="33" t="s">
        <v>954</v>
      </c>
      <c r="L140" s="33" t="s">
        <v>39</v>
      </c>
      <c r="M140" s="34" t="s">
        <v>39</v>
      </c>
      <c r="N140" s="34" t="s">
        <v>1724</v>
      </c>
      <c r="O140" s="35">
        <v>1</v>
      </c>
      <c r="P140" s="35">
        <v>1</v>
      </c>
      <c r="Q140" s="32"/>
      <c r="S140" s="1">
        <f t="shared" si="71"/>
        <v>0</v>
      </c>
      <c r="T140" s="1">
        <f t="shared" si="72"/>
        <v>0</v>
      </c>
      <c r="U140" s="1">
        <f t="shared" si="73"/>
        <v>0</v>
      </c>
      <c r="V140" s="1">
        <f t="shared" si="74"/>
        <v>1</v>
      </c>
      <c r="W140" s="1">
        <f t="shared" si="75"/>
        <v>0</v>
      </c>
      <c r="X140" s="1">
        <f t="shared" si="76"/>
        <v>0</v>
      </c>
      <c r="Y140" s="1">
        <f t="shared" si="77"/>
        <v>0</v>
      </c>
      <c r="Z140" s="1">
        <f t="shared" si="78"/>
        <v>0</v>
      </c>
      <c r="AA140" s="1">
        <f t="shared" si="79"/>
        <v>0</v>
      </c>
      <c r="AB140" s="1">
        <f t="shared" si="80"/>
        <v>0</v>
      </c>
      <c r="AD140" s="1">
        <f t="shared" si="81"/>
        <v>1</v>
      </c>
      <c r="AE140" s="1">
        <f t="shared" si="82"/>
        <v>0</v>
      </c>
      <c r="AF140" s="1">
        <f t="shared" ref="AF140:AF209" si="111">+O140*P140*(1-A140)</f>
        <v>1</v>
      </c>
      <c r="AG140" s="1">
        <f t="shared" ref="AG140:AG209" si="112">O140*(1-P140)*(1-A140)</f>
        <v>0</v>
      </c>
      <c r="AH140" s="1">
        <f t="shared" ref="AH140:AH209" si="113">+P140*(1-A140)</f>
        <v>1</v>
      </c>
      <c r="AI140" s="1">
        <f t="shared" ref="AI140:AI209" si="114">+(1-A140)*(1-P140)</f>
        <v>0</v>
      </c>
    </row>
    <row r="141" spans="1:35" ht="14.25" customHeight="1" x14ac:dyDescent="0.3">
      <c r="A141" s="31">
        <v>0</v>
      </c>
      <c r="B141" s="31">
        <v>1</v>
      </c>
      <c r="C141" s="31">
        <v>3</v>
      </c>
      <c r="D141" s="32" t="s">
        <v>645</v>
      </c>
      <c r="E141" s="32" t="s">
        <v>171</v>
      </c>
      <c r="F141" s="32" t="s">
        <v>654</v>
      </c>
      <c r="G141" s="32" t="s">
        <v>231</v>
      </c>
      <c r="H141" s="32" t="s">
        <v>352</v>
      </c>
      <c r="I141" s="31" t="s">
        <v>609</v>
      </c>
      <c r="J141" s="31">
        <v>99</v>
      </c>
      <c r="K141" s="33" t="s">
        <v>699</v>
      </c>
      <c r="L141" s="33" t="s">
        <v>39</v>
      </c>
      <c r="M141" s="34" t="s">
        <v>39</v>
      </c>
      <c r="N141" s="34" t="s">
        <v>1730</v>
      </c>
      <c r="O141" s="35">
        <v>1</v>
      </c>
      <c r="P141" s="35">
        <v>1</v>
      </c>
      <c r="Q141" s="32"/>
      <c r="S141" s="1">
        <f t="shared" si="71"/>
        <v>0</v>
      </c>
      <c r="T141" s="1">
        <f t="shared" si="72"/>
        <v>0</v>
      </c>
      <c r="U141" s="1">
        <f t="shared" si="73"/>
        <v>0</v>
      </c>
      <c r="V141" s="1">
        <f t="shared" si="74"/>
        <v>0</v>
      </c>
      <c r="W141" s="1">
        <f t="shared" si="75"/>
        <v>0</v>
      </c>
      <c r="X141" s="1">
        <f t="shared" si="76"/>
        <v>0</v>
      </c>
      <c r="Y141" s="1">
        <f t="shared" si="77"/>
        <v>0</v>
      </c>
      <c r="Z141" s="1">
        <f t="shared" si="78"/>
        <v>0</v>
      </c>
      <c r="AA141" s="1">
        <f t="shared" si="79"/>
        <v>0</v>
      </c>
      <c r="AB141" s="1">
        <f t="shared" si="80"/>
        <v>0</v>
      </c>
      <c r="AD141" s="1">
        <f t="shared" si="81"/>
        <v>1</v>
      </c>
      <c r="AE141" s="1">
        <f t="shared" si="82"/>
        <v>0</v>
      </c>
      <c r="AF141" s="1">
        <f t="shared" si="111"/>
        <v>1</v>
      </c>
      <c r="AG141" s="1">
        <f t="shared" si="112"/>
        <v>0</v>
      </c>
      <c r="AH141" s="1">
        <f t="shared" si="113"/>
        <v>1</v>
      </c>
      <c r="AI141" s="1">
        <f t="shared" si="114"/>
        <v>0</v>
      </c>
    </row>
    <row r="142" spans="1:35" ht="14.25" customHeight="1" x14ac:dyDescent="0.3">
      <c r="A142" s="38">
        <v>0</v>
      </c>
      <c r="B142" s="38">
        <v>1</v>
      </c>
      <c r="C142" s="38">
        <v>3</v>
      </c>
      <c r="D142" s="39" t="s">
        <v>870</v>
      </c>
      <c r="E142" s="39" t="s">
        <v>871</v>
      </c>
      <c r="F142" s="39" t="s">
        <v>872</v>
      </c>
      <c r="G142" s="39" t="s">
        <v>39</v>
      </c>
      <c r="H142" s="39" t="s">
        <v>364</v>
      </c>
      <c r="I142" s="38" t="s">
        <v>873</v>
      </c>
      <c r="J142" s="38">
        <v>18</v>
      </c>
      <c r="K142" s="40" t="s">
        <v>953</v>
      </c>
      <c r="L142" s="40" t="s">
        <v>39</v>
      </c>
      <c r="M142" s="41" t="s">
        <v>39</v>
      </c>
      <c r="N142" s="42"/>
      <c r="O142" s="43"/>
      <c r="P142" s="43">
        <v>1</v>
      </c>
      <c r="Q142" s="39"/>
      <c r="S142" s="1">
        <f t="shared" si="71"/>
        <v>0</v>
      </c>
      <c r="T142" s="1">
        <f t="shared" si="72"/>
        <v>0</v>
      </c>
      <c r="U142" s="1">
        <f t="shared" si="73"/>
        <v>0</v>
      </c>
      <c r="V142" s="1">
        <f t="shared" si="74"/>
        <v>0</v>
      </c>
      <c r="W142" s="1">
        <f t="shared" si="75"/>
        <v>0</v>
      </c>
      <c r="X142" s="1">
        <f t="shared" si="76"/>
        <v>0</v>
      </c>
      <c r="Y142" s="1">
        <f t="shared" si="77"/>
        <v>0</v>
      </c>
      <c r="Z142" s="1">
        <f t="shared" si="78"/>
        <v>0</v>
      </c>
      <c r="AA142" s="1">
        <f t="shared" si="79"/>
        <v>0</v>
      </c>
      <c r="AB142" s="1">
        <f t="shared" si="80"/>
        <v>0</v>
      </c>
      <c r="AD142" s="1">
        <f t="shared" si="81"/>
        <v>0</v>
      </c>
      <c r="AE142" s="1">
        <f t="shared" si="82"/>
        <v>0</v>
      </c>
      <c r="AF142" s="1">
        <f t="shared" si="111"/>
        <v>0</v>
      </c>
      <c r="AG142" s="1">
        <f t="shared" si="112"/>
        <v>0</v>
      </c>
      <c r="AH142" s="1">
        <f t="shared" si="113"/>
        <v>1</v>
      </c>
      <c r="AI142" s="1">
        <f t="shared" si="114"/>
        <v>0</v>
      </c>
    </row>
    <row r="143" spans="1:35" ht="14.25" customHeight="1" x14ac:dyDescent="0.3">
      <c r="A143" s="31">
        <v>0</v>
      </c>
      <c r="B143" s="31">
        <v>1</v>
      </c>
      <c r="C143" s="31">
        <v>3</v>
      </c>
      <c r="D143" s="32" t="s">
        <v>1304</v>
      </c>
      <c r="E143" s="32" t="s">
        <v>171</v>
      </c>
      <c r="F143" s="32" t="s">
        <v>1305</v>
      </c>
      <c r="G143" s="32" t="s">
        <v>207</v>
      </c>
      <c r="H143" s="32" t="s">
        <v>352</v>
      </c>
      <c r="I143" s="31" t="s">
        <v>1306</v>
      </c>
      <c r="J143" s="31">
        <v>3</v>
      </c>
      <c r="K143" s="33" t="s">
        <v>953</v>
      </c>
      <c r="L143" s="33" t="s">
        <v>39</v>
      </c>
      <c r="M143" s="34" t="s">
        <v>39</v>
      </c>
      <c r="N143" s="34" t="s">
        <v>1730</v>
      </c>
      <c r="O143" s="35">
        <v>1</v>
      </c>
      <c r="P143" s="35">
        <v>1</v>
      </c>
      <c r="Q143" s="32"/>
      <c r="S143" s="1">
        <f t="shared" si="71"/>
        <v>0</v>
      </c>
      <c r="T143" s="1">
        <f t="shared" si="72"/>
        <v>0</v>
      </c>
      <c r="U143" s="1">
        <f t="shared" si="73"/>
        <v>1</v>
      </c>
      <c r="V143" s="1">
        <f t="shared" si="74"/>
        <v>0</v>
      </c>
      <c r="W143" s="1">
        <f t="shared" si="75"/>
        <v>0</v>
      </c>
      <c r="X143" s="1">
        <f t="shared" si="76"/>
        <v>0</v>
      </c>
      <c r="Y143" s="1">
        <f t="shared" si="77"/>
        <v>0</v>
      </c>
      <c r="Z143" s="1">
        <f t="shared" si="78"/>
        <v>0</v>
      </c>
      <c r="AA143" s="1">
        <f t="shared" si="79"/>
        <v>0</v>
      </c>
      <c r="AB143" s="1">
        <f t="shared" si="80"/>
        <v>0</v>
      </c>
      <c r="AD143" s="1">
        <f t="shared" si="81"/>
        <v>1</v>
      </c>
      <c r="AE143" s="1">
        <f t="shared" si="82"/>
        <v>0</v>
      </c>
      <c r="AF143" s="1">
        <f t="shared" si="111"/>
        <v>1</v>
      </c>
      <c r="AG143" s="1">
        <f t="shared" si="112"/>
        <v>0</v>
      </c>
      <c r="AH143" s="1">
        <f t="shared" si="113"/>
        <v>1</v>
      </c>
      <c r="AI143" s="1">
        <f t="shared" si="114"/>
        <v>0</v>
      </c>
    </row>
    <row r="144" spans="1:35" ht="14.25" customHeight="1" x14ac:dyDescent="0.3">
      <c r="A144" s="31">
        <v>0</v>
      </c>
      <c r="B144" s="31">
        <v>1</v>
      </c>
      <c r="C144" s="31">
        <v>3</v>
      </c>
      <c r="D144" s="32" t="s">
        <v>864</v>
      </c>
      <c r="E144" s="32" t="s">
        <v>169</v>
      </c>
      <c r="F144" s="32" t="s">
        <v>865</v>
      </c>
      <c r="G144" s="32" t="s">
        <v>39</v>
      </c>
      <c r="H144" s="32" t="s">
        <v>866</v>
      </c>
      <c r="I144" s="31" t="s">
        <v>945</v>
      </c>
      <c r="J144" s="31">
        <v>11</v>
      </c>
      <c r="K144" s="33" t="s">
        <v>699</v>
      </c>
      <c r="L144" s="33" t="s">
        <v>686</v>
      </c>
      <c r="M144" s="34" t="s">
        <v>968</v>
      </c>
      <c r="N144" s="34" t="s">
        <v>1752</v>
      </c>
      <c r="O144" s="35">
        <v>1</v>
      </c>
      <c r="P144" s="35"/>
      <c r="Q144" s="32"/>
      <c r="S144" s="1">
        <f t="shared" si="71"/>
        <v>0</v>
      </c>
      <c r="T144" s="1">
        <f t="shared" si="72"/>
        <v>0</v>
      </c>
      <c r="U144" s="1">
        <f t="shared" si="73"/>
        <v>0</v>
      </c>
      <c r="V144" s="1">
        <f t="shared" si="74"/>
        <v>0</v>
      </c>
      <c r="W144" s="1">
        <f t="shared" si="75"/>
        <v>0</v>
      </c>
      <c r="X144" s="1">
        <f t="shared" si="76"/>
        <v>0</v>
      </c>
      <c r="Y144" s="1">
        <f t="shared" si="77"/>
        <v>0</v>
      </c>
      <c r="Z144" s="1">
        <f t="shared" si="78"/>
        <v>0</v>
      </c>
      <c r="AA144" s="1">
        <f t="shared" si="79"/>
        <v>0</v>
      </c>
      <c r="AB144" s="1">
        <f t="shared" si="80"/>
        <v>0</v>
      </c>
      <c r="AD144" s="1">
        <f t="shared" si="81"/>
        <v>0</v>
      </c>
      <c r="AE144" s="1">
        <f t="shared" si="82"/>
        <v>1</v>
      </c>
      <c r="AF144" s="1">
        <f t="shared" si="111"/>
        <v>0</v>
      </c>
      <c r="AG144" s="1">
        <f t="shared" si="112"/>
        <v>1</v>
      </c>
      <c r="AH144" s="1">
        <f t="shared" si="113"/>
        <v>0</v>
      </c>
      <c r="AI144" s="1">
        <f t="shared" si="114"/>
        <v>1</v>
      </c>
    </row>
    <row r="145" spans="1:35" ht="14.25" customHeight="1" x14ac:dyDescent="0.3">
      <c r="A145" s="31">
        <v>0</v>
      </c>
      <c r="B145" s="31">
        <v>1</v>
      </c>
      <c r="C145" s="31">
        <v>3</v>
      </c>
      <c r="D145" s="36" t="s">
        <v>503</v>
      </c>
      <c r="E145" s="36" t="s">
        <v>169</v>
      </c>
      <c r="F145" s="36" t="s">
        <v>504</v>
      </c>
      <c r="G145" s="36" t="s">
        <v>501</v>
      </c>
      <c r="H145" s="36" t="s">
        <v>352</v>
      </c>
      <c r="I145" s="37" t="s">
        <v>505</v>
      </c>
      <c r="J145" s="31">
        <v>99</v>
      </c>
      <c r="K145" s="33" t="s">
        <v>700</v>
      </c>
      <c r="L145" s="33">
        <v>40</v>
      </c>
      <c r="M145" s="34" t="s">
        <v>968</v>
      </c>
      <c r="N145" s="34" t="s">
        <v>1943</v>
      </c>
      <c r="O145" s="35">
        <v>1</v>
      </c>
      <c r="P145" s="35"/>
      <c r="Q145" s="36"/>
      <c r="S145" s="1">
        <f t="shared" ref="S145:S214" si="115">IF(J145=$S$7,1,0)</f>
        <v>0</v>
      </c>
      <c r="T145" s="1">
        <f t="shared" ref="T145:T214" si="116">IF(J145=$T$7,1,0)</f>
        <v>0</v>
      </c>
      <c r="U145" s="1">
        <f t="shared" ref="U145:U214" si="117">IF(J145=$U$7,1,0)</f>
        <v>0</v>
      </c>
      <c r="V145" s="1">
        <f t="shared" ref="V145:V214" si="118">IF(J145=$V$7,1,0)</f>
        <v>0</v>
      </c>
      <c r="W145" s="1">
        <f t="shared" ref="W145:W214" si="119">IF(J145=$W$7,1,0)</f>
        <v>0</v>
      </c>
      <c r="X145" s="1">
        <f t="shared" ref="X145:X214" si="120">IF(J145=$X$7,1,0)</f>
        <v>0</v>
      </c>
      <c r="Y145" s="1">
        <f t="shared" ref="Y145:Y214" si="121">IF(J145=$Y$7,1,0)</f>
        <v>0</v>
      </c>
      <c r="Z145" s="1">
        <f t="shared" ref="Z145:Z214" si="122">IF(J145=$Z$7,1,0)</f>
        <v>0</v>
      </c>
      <c r="AA145" s="1">
        <f t="shared" ref="AA145:AA214" si="123">IF(J145=$AA$7,1,0)</f>
        <v>0</v>
      </c>
      <c r="AB145" s="1">
        <f t="shared" ref="AB145:AB214" si="124">IF(J145=$AB$7,1,0)</f>
        <v>0</v>
      </c>
      <c r="AD145" s="1">
        <f t="shared" ref="AD145:AD214" si="125">+O145*P145</f>
        <v>0</v>
      </c>
      <c r="AE145" s="1">
        <f t="shared" ref="AE145:AE214" si="126">O145*(1-P145)</f>
        <v>1</v>
      </c>
      <c r="AF145" s="1">
        <f t="shared" si="111"/>
        <v>0</v>
      </c>
      <c r="AG145" s="1">
        <f t="shared" si="112"/>
        <v>1</v>
      </c>
      <c r="AH145" s="1">
        <f t="shared" si="113"/>
        <v>0</v>
      </c>
      <c r="AI145" s="1">
        <f t="shared" si="114"/>
        <v>1</v>
      </c>
    </row>
    <row r="146" spans="1:35" ht="14.25" customHeight="1" x14ac:dyDescent="0.3">
      <c r="A146" s="31">
        <v>0</v>
      </c>
      <c r="B146" s="31">
        <v>1</v>
      </c>
      <c r="C146" s="31">
        <v>3</v>
      </c>
      <c r="D146" s="36" t="s">
        <v>1789</v>
      </c>
      <c r="E146" s="36" t="s">
        <v>1790</v>
      </c>
      <c r="F146" s="36" t="s">
        <v>1791</v>
      </c>
      <c r="G146" s="36" t="s">
        <v>1792</v>
      </c>
      <c r="H146" s="36" t="s">
        <v>352</v>
      </c>
      <c r="I146" s="37" t="s">
        <v>1793</v>
      </c>
      <c r="J146" s="31">
        <v>99</v>
      </c>
      <c r="K146" s="33" t="s">
        <v>700</v>
      </c>
      <c r="L146" s="33"/>
      <c r="M146" s="34"/>
      <c r="N146" s="34" t="s">
        <v>1730</v>
      </c>
      <c r="O146" s="35">
        <v>1</v>
      </c>
      <c r="P146" s="35">
        <v>1</v>
      </c>
      <c r="Q146" s="36"/>
      <c r="S146" s="1">
        <f t="shared" si="115"/>
        <v>0</v>
      </c>
      <c r="T146" s="1">
        <f t="shared" si="116"/>
        <v>0</v>
      </c>
      <c r="U146" s="1">
        <f t="shared" si="117"/>
        <v>0</v>
      </c>
      <c r="V146" s="1">
        <f t="shared" si="118"/>
        <v>0</v>
      </c>
      <c r="W146" s="1">
        <f t="shared" si="119"/>
        <v>0</v>
      </c>
      <c r="X146" s="1">
        <f t="shared" si="120"/>
        <v>0</v>
      </c>
      <c r="Y146" s="1">
        <f t="shared" si="121"/>
        <v>0</v>
      </c>
      <c r="Z146" s="1">
        <f t="shared" si="122"/>
        <v>0</v>
      </c>
      <c r="AA146" s="1">
        <f t="shared" si="123"/>
        <v>0</v>
      </c>
      <c r="AB146" s="1">
        <f t="shared" si="124"/>
        <v>0</v>
      </c>
      <c r="AD146" s="1">
        <f t="shared" si="125"/>
        <v>1</v>
      </c>
      <c r="AE146" s="1">
        <f t="shared" si="126"/>
        <v>0</v>
      </c>
      <c r="AF146" s="1">
        <f t="shared" si="111"/>
        <v>1</v>
      </c>
      <c r="AG146" s="1">
        <f t="shared" si="112"/>
        <v>0</v>
      </c>
      <c r="AH146" s="1">
        <f t="shared" si="113"/>
        <v>1</v>
      </c>
      <c r="AI146" s="1">
        <f t="shared" si="114"/>
        <v>0</v>
      </c>
    </row>
    <row r="147" spans="1:35" ht="14.25" customHeight="1" x14ac:dyDescent="0.3">
      <c r="A147" s="31">
        <v>0</v>
      </c>
      <c r="B147" s="31">
        <v>1</v>
      </c>
      <c r="C147" s="31">
        <v>3</v>
      </c>
      <c r="D147" s="32" t="s">
        <v>526</v>
      </c>
      <c r="E147" s="32" t="s">
        <v>169</v>
      </c>
      <c r="F147" s="32" t="s">
        <v>655</v>
      </c>
      <c r="G147" s="32" t="s">
        <v>39</v>
      </c>
      <c r="H147" s="32" t="s">
        <v>527</v>
      </c>
      <c r="I147" s="31" t="s">
        <v>528</v>
      </c>
      <c r="J147" s="31">
        <v>18</v>
      </c>
      <c r="K147" s="33" t="s">
        <v>953</v>
      </c>
      <c r="L147" s="33" t="s">
        <v>1739</v>
      </c>
      <c r="M147" s="34" t="s">
        <v>967</v>
      </c>
      <c r="N147" s="34" t="s">
        <v>1730</v>
      </c>
      <c r="O147" s="35">
        <v>1</v>
      </c>
      <c r="P147" s="35">
        <v>1</v>
      </c>
      <c r="Q147" s="32"/>
      <c r="S147" s="1">
        <f t="shared" si="115"/>
        <v>0</v>
      </c>
      <c r="T147" s="1">
        <f t="shared" si="116"/>
        <v>0</v>
      </c>
      <c r="U147" s="1">
        <f t="shared" si="117"/>
        <v>0</v>
      </c>
      <c r="V147" s="1">
        <f t="shared" si="118"/>
        <v>0</v>
      </c>
      <c r="W147" s="1">
        <f t="shared" si="119"/>
        <v>0</v>
      </c>
      <c r="X147" s="1">
        <f t="shared" si="120"/>
        <v>0</v>
      </c>
      <c r="Y147" s="1">
        <f t="shared" si="121"/>
        <v>0</v>
      </c>
      <c r="Z147" s="1">
        <f t="shared" si="122"/>
        <v>0</v>
      </c>
      <c r="AA147" s="1">
        <f t="shared" si="123"/>
        <v>0</v>
      </c>
      <c r="AB147" s="1">
        <f t="shared" si="124"/>
        <v>0</v>
      </c>
      <c r="AD147" s="1">
        <f t="shared" si="125"/>
        <v>1</v>
      </c>
      <c r="AE147" s="1">
        <f t="shared" si="126"/>
        <v>0</v>
      </c>
      <c r="AF147" s="1">
        <f t="shared" si="111"/>
        <v>1</v>
      </c>
      <c r="AG147" s="1">
        <f t="shared" si="112"/>
        <v>0</v>
      </c>
      <c r="AH147" s="1">
        <f t="shared" si="113"/>
        <v>1</v>
      </c>
      <c r="AI147" s="1">
        <f t="shared" si="114"/>
        <v>0</v>
      </c>
    </row>
    <row r="148" spans="1:35" ht="14.25" customHeight="1" x14ac:dyDescent="0.3">
      <c r="A148" s="31">
        <v>0</v>
      </c>
      <c r="B148" s="31">
        <v>1</v>
      </c>
      <c r="C148" s="31">
        <v>3</v>
      </c>
      <c r="D148" s="32" t="s">
        <v>972</v>
      </c>
      <c r="E148" s="32" t="s">
        <v>174</v>
      </c>
      <c r="F148" s="32" t="s">
        <v>802</v>
      </c>
      <c r="G148" s="32" t="s">
        <v>39</v>
      </c>
      <c r="H148" s="32" t="s">
        <v>803</v>
      </c>
      <c r="I148" s="31" t="s">
        <v>804</v>
      </c>
      <c r="J148" s="31">
        <v>16</v>
      </c>
      <c r="K148" s="33" t="s">
        <v>954</v>
      </c>
      <c r="L148" s="33" t="s">
        <v>1138</v>
      </c>
      <c r="M148" s="34" t="s">
        <v>967</v>
      </c>
      <c r="N148" s="34" t="s">
        <v>1745</v>
      </c>
      <c r="O148" s="35">
        <v>1</v>
      </c>
      <c r="P148" s="35"/>
      <c r="Q148" s="32"/>
      <c r="S148" s="1">
        <f t="shared" si="115"/>
        <v>0</v>
      </c>
      <c r="T148" s="1">
        <f t="shared" si="116"/>
        <v>0</v>
      </c>
      <c r="U148" s="1">
        <f t="shared" si="117"/>
        <v>0</v>
      </c>
      <c r="V148" s="1">
        <f t="shared" si="118"/>
        <v>0</v>
      </c>
      <c r="W148" s="1">
        <f t="shared" si="119"/>
        <v>0</v>
      </c>
      <c r="X148" s="1">
        <f t="shared" si="120"/>
        <v>0</v>
      </c>
      <c r="Y148" s="1">
        <f t="shared" si="121"/>
        <v>0</v>
      </c>
      <c r="Z148" s="1">
        <f t="shared" si="122"/>
        <v>0</v>
      </c>
      <c r="AA148" s="1">
        <f t="shared" si="123"/>
        <v>0</v>
      </c>
      <c r="AB148" s="1">
        <f t="shared" si="124"/>
        <v>0</v>
      </c>
      <c r="AD148" s="1">
        <f t="shared" si="125"/>
        <v>0</v>
      </c>
      <c r="AE148" s="1">
        <f t="shared" si="126"/>
        <v>1</v>
      </c>
      <c r="AF148" s="1">
        <f t="shared" si="111"/>
        <v>0</v>
      </c>
      <c r="AG148" s="1">
        <f t="shared" si="112"/>
        <v>1</v>
      </c>
      <c r="AH148" s="1">
        <f t="shared" si="113"/>
        <v>0</v>
      </c>
      <c r="AI148" s="1">
        <f t="shared" si="114"/>
        <v>1</v>
      </c>
    </row>
    <row r="149" spans="1:35" ht="14.25" customHeight="1" x14ac:dyDescent="0.3">
      <c r="A149" s="31">
        <v>0</v>
      </c>
      <c r="B149" s="31">
        <v>1</v>
      </c>
      <c r="C149" s="31">
        <v>3</v>
      </c>
      <c r="D149" s="32" t="s">
        <v>1195</v>
      </c>
      <c r="E149" s="32" t="s">
        <v>171</v>
      </c>
      <c r="F149" s="32" t="s">
        <v>1196</v>
      </c>
      <c r="G149" s="32" t="s">
        <v>237</v>
      </c>
      <c r="H149" s="32" t="s">
        <v>352</v>
      </c>
      <c r="I149" s="31" t="s">
        <v>1197</v>
      </c>
      <c r="J149" s="31">
        <v>4</v>
      </c>
      <c r="K149" s="33" t="s">
        <v>960</v>
      </c>
      <c r="L149" s="33" t="s">
        <v>1696</v>
      </c>
      <c r="M149" s="34" t="s">
        <v>1601</v>
      </c>
      <c r="N149" s="34" t="s">
        <v>1724</v>
      </c>
      <c r="O149" s="35">
        <v>1</v>
      </c>
      <c r="P149" s="35">
        <v>1</v>
      </c>
      <c r="Q149" s="32"/>
      <c r="S149" s="1">
        <f t="shared" si="115"/>
        <v>0</v>
      </c>
      <c r="T149" s="1">
        <f t="shared" si="116"/>
        <v>0</v>
      </c>
      <c r="U149" s="1">
        <f t="shared" si="117"/>
        <v>0</v>
      </c>
      <c r="V149" s="1">
        <f t="shared" si="118"/>
        <v>1</v>
      </c>
      <c r="W149" s="1">
        <f t="shared" si="119"/>
        <v>0</v>
      </c>
      <c r="X149" s="1">
        <f t="shared" si="120"/>
        <v>0</v>
      </c>
      <c r="Y149" s="1">
        <f t="shared" si="121"/>
        <v>0</v>
      </c>
      <c r="Z149" s="1">
        <f t="shared" si="122"/>
        <v>0</v>
      </c>
      <c r="AA149" s="1">
        <f t="shared" si="123"/>
        <v>0</v>
      </c>
      <c r="AB149" s="1">
        <f t="shared" si="124"/>
        <v>0</v>
      </c>
      <c r="AD149" s="1">
        <f t="shared" si="125"/>
        <v>1</v>
      </c>
      <c r="AE149" s="1">
        <f t="shared" si="126"/>
        <v>0</v>
      </c>
      <c r="AF149" s="1">
        <f t="shared" si="111"/>
        <v>1</v>
      </c>
      <c r="AG149" s="1">
        <f t="shared" si="112"/>
        <v>0</v>
      </c>
      <c r="AH149" s="1">
        <f t="shared" si="113"/>
        <v>1</v>
      </c>
      <c r="AI149" s="1">
        <f t="shared" si="114"/>
        <v>0</v>
      </c>
    </row>
    <row r="150" spans="1:35" ht="14.25" customHeight="1" x14ac:dyDescent="0.3">
      <c r="A150" s="31">
        <v>0</v>
      </c>
      <c r="B150" s="31">
        <v>1</v>
      </c>
      <c r="C150" s="31">
        <v>3</v>
      </c>
      <c r="D150" s="32" t="s">
        <v>1638</v>
      </c>
      <c r="E150" s="32" t="s">
        <v>169</v>
      </c>
      <c r="F150" s="32" t="s">
        <v>1473</v>
      </c>
      <c r="G150" s="32" t="s">
        <v>1666</v>
      </c>
      <c r="H150" s="32" t="s">
        <v>352</v>
      </c>
      <c r="I150" s="31" t="s">
        <v>1472</v>
      </c>
      <c r="J150" s="31">
        <v>99</v>
      </c>
      <c r="K150" s="33" t="s">
        <v>699</v>
      </c>
      <c r="L150" s="33" t="s">
        <v>1701</v>
      </c>
      <c r="M150" s="34" t="s">
        <v>1474</v>
      </c>
      <c r="N150" s="34" t="s">
        <v>1746</v>
      </c>
      <c r="O150" s="35">
        <v>1</v>
      </c>
      <c r="P150" s="35"/>
      <c r="Q150" s="32"/>
      <c r="S150" s="1">
        <f t="shared" si="115"/>
        <v>0</v>
      </c>
      <c r="T150" s="1">
        <f t="shared" si="116"/>
        <v>0</v>
      </c>
      <c r="U150" s="1">
        <f t="shared" si="117"/>
        <v>0</v>
      </c>
      <c r="V150" s="1">
        <f t="shared" si="118"/>
        <v>0</v>
      </c>
      <c r="W150" s="1">
        <f t="shared" si="119"/>
        <v>0</v>
      </c>
      <c r="X150" s="1">
        <f t="shared" si="120"/>
        <v>0</v>
      </c>
      <c r="Y150" s="1">
        <f t="shared" si="121"/>
        <v>0</v>
      </c>
      <c r="Z150" s="1">
        <f t="shared" si="122"/>
        <v>0</v>
      </c>
      <c r="AA150" s="1">
        <f t="shared" si="123"/>
        <v>0</v>
      </c>
      <c r="AB150" s="1">
        <f t="shared" si="124"/>
        <v>0</v>
      </c>
      <c r="AD150" s="1">
        <f t="shared" si="125"/>
        <v>0</v>
      </c>
      <c r="AE150" s="1">
        <f t="shared" si="126"/>
        <v>1</v>
      </c>
      <c r="AF150" s="1">
        <f t="shared" si="111"/>
        <v>0</v>
      </c>
      <c r="AG150" s="1">
        <f t="shared" si="112"/>
        <v>1</v>
      </c>
      <c r="AH150" s="1">
        <f t="shared" si="113"/>
        <v>0</v>
      </c>
      <c r="AI150" s="1">
        <f t="shared" si="114"/>
        <v>1</v>
      </c>
    </row>
    <row r="151" spans="1:35" ht="14.25" customHeight="1" x14ac:dyDescent="0.3">
      <c r="A151" s="31">
        <v>0</v>
      </c>
      <c r="B151" s="31">
        <v>1</v>
      </c>
      <c r="C151" s="31">
        <v>3</v>
      </c>
      <c r="D151" s="36" t="s">
        <v>2076</v>
      </c>
      <c r="E151" s="36" t="s">
        <v>171</v>
      </c>
      <c r="F151" s="36" t="s">
        <v>2077</v>
      </c>
      <c r="G151" s="32"/>
      <c r="H151" s="36" t="s">
        <v>608</v>
      </c>
      <c r="I151" s="37" t="s">
        <v>2078</v>
      </c>
      <c r="J151" s="31">
        <v>14</v>
      </c>
      <c r="K151" s="33" t="s">
        <v>700</v>
      </c>
      <c r="L151" s="33"/>
      <c r="M151" s="34"/>
      <c r="N151" s="34" t="s">
        <v>1730</v>
      </c>
      <c r="O151" s="35">
        <v>1</v>
      </c>
      <c r="P151" s="35">
        <v>1</v>
      </c>
      <c r="Q151" s="32" t="s">
        <v>2079</v>
      </c>
      <c r="S151" s="1">
        <f t="shared" si="115"/>
        <v>0</v>
      </c>
      <c r="T151" s="1">
        <f t="shared" si="116"/>
        <v>0</v>
      </c>
      <c r="U151" s="1">
        <f t="shared" si="117"/>
        <v>0</v>
      </c>
      <c r="V151" s="1">
        <f t="shared" si="118"/>
        <v>0</v>
      </c>
      <c r="W151" s="1">
        <f t="shared" si="119"/>
        <v>0</v>
      </c>
      <c r="X151" s="1">
        <f t="shared" si="120"/>
        <v>0</v>
      </c>
      <c r="Y151" s="1">
        <f t="shared" si="121"/>
        <v>0</v>
      </c>
      <c r="Z151" s="1">
        <f t="shared" si="122"/>
        <v>0</v>
      </c>
      <c r="AA151" s="1">
        <f t="shared" si="123"/>
        <v>0</v>
      </c>
      <c r="AB151" s="1">
        <f t="shared" si="124"/>
        <v>0</v>
      </c>
      <c r="AD151" s="1">
        <f t="shared" si="125"/>
        <v>1</v>
      </c>
      <c r="AE151" s="1">
        <f t="shared" si="126"/>
        <v>0</v>
      </c>
      <c r="AF151" s="1">
        <f t="shared" si="111"/>
        <v>1</v>
      </c>
      <c r="AG151" s="1">
        <f t="shared" si="112"/>
        <v>0</v>
      </c>
      <c r="AH151" s="1">
        <f t="shared" si="113"/>
        <v>1</v>
      </c>
      <c r="AI151" s="1">
        <f t="shared" si="114"/>
        <v>0</v>
      </c>
    </row>
    <row r="152" spans="1:35" ht="14.25" customHeight="1" x14ac:dyDescent="0.3">
      <c r="A152" s="15">
        <v>0</v>
      </c>
      <c r="B152" s="15">
        <v>1</v>
      </c>
      <c r="C152" s="15">
        <v>3</v>
      </c>
      <c r="D152" s="20" t="s">
        <v>1945</v>
      </c>
      <c r="E152" s="20" t="s">
        <v>171</v>
      </c>
      <c r="F152" s="20" t="s">
        <v>1961</v>
      </c>
      <c r="G152" s="20"/>
      <c r="H152" s="20" t="s">
        <v>1960</v>
      </c>
      <c r="I152" s="21" t="s">
        <v>1959</v>
      </c>
      <c r="J152" s="15">
        <v>14</v>
      </c>
      <c r="K152" s="10" t="s">
        <v>700</v>
      </c>
      <c r="L152" s="10" t="s">
        <v>694</v>
      </c>
      <c r="M152" s="19" t="s">
        <v>968</v>
      </c>
      <c r="N152" s="17"/>
      <c r="Q152" s="20" t="s">
        <v>1962</v>
      </c>
      <c r="S152" s="1">
        <f t="shared" si="115"/>
        <v>0</v>
      </c>
      <c r="T152" s="1">
        <f t="shared" si="116"/>
        <v>0</v>
      </c>
      <c r="U152" s="1">
        <f t="shared" si="117"/>
        <v>0</v>
      </c>
      <c r="V152" s="1">
        <f t="shared" si="118"/>
        <v>0</v>
      </c>
      <c r="W152" s="1">
        <f t="shared" si="119"/>
        <v>0</v>
      </c>
      <c r="X152" s="1">
        <f t="shared" si="120"/>
        <v>0</v>
      </c>
      <c r="Y152" s="1">
        <f t="shared" si="121"/>
        <v>0</v>
      </c>
      <c r="Z152" s="1">
        <f t="shared" si="122"/>
        <v>0</v>
      </c>
      <c r="AA152" s="1">
        <f t="shared" si="123"/>
        <v>0</v>
      </c>
      <c r="AB152" s="1">
        <f t="shared" si="124"/>
        <v>0</v>
      </c>
      <c r="AD152" s="1">
        <f t="shared" si="125"/>
        <v>0</v>
      </c>
      <c r="AE152" s="1">
        <f t="shared" si="126"/>
        <v>0</v>
      </c>
      <c r="AF152" s="1">
        <f t="shared" si="111"/>
        <v>0</v>
      </c>
      <c r="AG152" s="1">
        <f t="shared" si="112"/>
        <v>0</v>
      </c>
      <c r="AH152" s="1">
        <f t="shared" si="113"/>
        <v>0</v>
      </c>
      <c r="AI152" s="1">
        <f t="shared" si="114"/>
        <v>1</v>
      </c>
    </row>
    <row r="153" spans="1:35" ht="14.25" customHeight="1" x14ac:dyDescent="0.3">
      <c r="A153" s="31">
        <v>0</v>
      </c>
      <c r="B153" s="31">
        <v>1</v>
      </c>
      <c r="C153" s="31">
        <v>3</v>
      </c>
      <c r="D153" s="32" t="s">
        <v>144</v>
      </c>
      <c r="E153" s="32" t="s">
        <v>171</v>
      </c>
      <c r="F153" s="32" t="s">
        <v>345</v>
      </c>
      <c r="G153" s="32" t="s">
        <v>39</v>
      </c>
      <c r="H153" s="32" t="s">
        <v>376</v>
      </c>
      <c r="I153" s="31" t="s">
        <v>1359</v>
      </c>
      <c r="J153" s="31">
        <v>14</v>
      </c>
      <c r="K153" s="33" t="s">
        <v>953</v>
      </c>
      <c r="L153" s="33" t="s">
        <v>686</v>
      </c>
      <c r="M153" s="34" t="s">
        <v>688</v>
      </c>
      <c r="N153" s="34" t="s">
        <v>1745</v>
      </c>
      <c r="O153" s="35">
        <v>1</v>
      </c>
      <c r="P153" s="35"/>
      <c r="Q153" s="32"/>
      <c r="S153" s="1">
        <f t="shared" si="115"/>
        <v>0</v>
      </c>
      <c r="T153" s="1">
        <f t="shared" si="116"/>
        <v>0</v>
      </c>
      <c r="U153" s="1">
        <f t="shared" si="117"/>
        <v>0</v>
      </c>
      <c r="V153" s="1">
        <f t="shared" si="118"/>
        <v>0</v>
      </c>
      <c r="W153" s="1">
        <f t="shared" si="119"/>
        <v>0</v>
      </c>
      <c r="X153" s="1">
        <f t="shared" si="120"/>
        <v>0</v>
      </c>
      <c r="Y153" s="1">
        <f t="shared" si="121"/>
        <v>0</v>
      </c>
      <c r="Z153" s="1">
        <f t="shared" si="122"/>
        <v>0</v>
      </c>
      <c r="AA153" s="1">
        <f t="shared" si="123"/>
        <v>0</v>
      </c>
      <c r="AB153" s="1">
        <f t="shared" si="124"/>
        <v>0</v>
      </c>
      <c r="AD153" s="1">
        <f t="shared" si="125"/>
        <v>0</v>
      </c>
      <c r="AE153" s="1">
        <f t="shared" si="126"/>
        <v>1</v>
      </c>
      <c r="AF153" s="1">
        <f t="shared" si="111"/>
        <v>0</v>
      </c>
      <c r="AG153" s="1">
        <f t="shared" si="112"/>
        <v>1</v>
      </c>
      <c r="AH153" s="1">
        <f t="shared" si="113"/>
        <v>0</v>
      </c>
      <c r="AI153" s="1">
        <f t="shared" si="114"/>
        <v>1</v>
      </c>
    </row>
    <row r="154" spans="1:35" ht="14.25" customHeight="1" x14ac:dyDescent="0.3">
      <c r="A154" s="31">
        <v>0</v>
      </c>
      <c r="B154" s="31">
        <v>1</v>
      </c>
      <c r="C154" s="31">
        <v>3</v>
      </c>
      <c r="D154" s="32" t="s">
        <v>1564</v>
      </c>
      <c r="E154" s="32" t="s">
        <v>171</v>
      </c>
      <c r="F154" s="32" t="s">
        <v>1565</v>
      </c>
      <c r="G154" s="32" t="s">
        <v>39</v>
      </c>
      <c r="H154" s="32" t="s">
        <v>1566</v>
      </c>
      <c r="I154" s="31" t="s">
        <v>1567</v>
      </c>
      <c r="J154" s="31">
        <v>17</v>
      </c>
      <c r="K154" s="33" t="s">
        <v>719</v>
      </c>
      <c r="L154" s="33" t="s">
        <v>39</v>
      </c>
      <c r="M154" s="34" t="s">
        <v>39</v>
      </c>
      <c r="N154" s="34" t="s">
        <v>1730</v>
      </c>
      <c r="O154" s="35">
        <v>1</v>
      </c>
      <c r="P154" s="35">
        <v>1</v>
      </c>
      <c r="Q154" s="32" t="s">
        <v>1910</v>
      </c>
      <c r="S154" s="1">
        <f t="shared" si="115"/>
        <v>0</v>
      </c>
      <c r="T154" s="1">
        <f t="shared" si="116"/>
        <v>0</v>
      </c>
      <c r="U154" s="1">
        <f t="shared" si="117"/>
        <v>0</v>
      </c>
      <c r="V154" s="1">
        <f t="shared" si="118"/>
        <v>0</v>
      </c>
      <c r="W154" s="1">
        <f t="shared" si="119"/>
        <v>0</v>
      </c>
      <c r="X154" s="1">
        <f t="shared" si="120"/>
        <v>0</v>
      </c>
      <c r="Y154" s="1">
        <f t="shared" si="121"/>
        <v>0</v>
      </c>
      <c r="Z154" s="1">
        <f t="shared" si="122"/>
        <v>0</v>
      </c>
      <c r="AA154" s="1">
        <f t="shared" si="123"/>
        <v>0</v>
      </c>
      <c r="AB154" s="1">
        <f t="shared" si="124"/>
        <v>0</v>
      </c>
      <c r="AD154" s="1">
        <f t="shared" si="125"/>
        <v>1</v>
      </c>
      <c r="AE154" s="1">
        <f t="shared" si="126"/>
        <v>0</v>
      </c>
      <c r="AF154" s="1">
        <f t="shared" si="111"/>
        <v>1</v>
      </c>
      <c r="AG154" s="1">
        <f t="shared" si="112"/>
        <v>0</v>
      </c>
      <c r="AH154" s="1">
        <f t="shared" si="113"/>
        <v>1</v>
      </c>
      <c r="AI154" s="1">
        <f t="shared" si="114"/>
        <v>0</v>
      </c>
    </row>
    <row r="155" spans="1:35" ht="14.25" customHeight="1" x14ac:dyDescent="0.3">
      <c r="A155" s="31">
        <v>0</v>
      </c>
      <c r="B155" s="31">
        <v>1</v>
      </c>
      <c r="C155" s="31">
        <v>3</v>
      </c>
      <c r="D155" s="32" t="s">
        <v>152</v>
      </c>
      <c r="E155" s="32" t="s">
        <v>171</v>
      </c>
      <c r="F155" s="32" t="s">
        <v>351</v>
      </c>
      <c r="G155" s="32" t="s">
        <v>39</v>
      </c>
      <c r="H155" s="32" t="s">
        <v>1866</v>
      </c>
      <c r="I155" s="31" t="s">
        <v>497</v>
      </c>
      <c r="J155" s="31">
        <v>14</v>
      </c>
      <c r="K155" s="33" t="s">
        <v>699</v>
      </c>
      <c r="L155" s="33" t="s">
        <v>686</v>
      </c>
      <c r="M155" s="34" t="s">
        <v>967</v>
      </c>
      <c r="N155" s="34" t="s">
        <v>1745</v>
      </c>
      <c r="O155" s="35">
        <v>1</v>
      </c>
      <c r="P155" s="35"/>
      <c r="Q155" s="32" t="s">
        <v>1893</v>
      </c>
      <c r="S155" s="1">
        <f t="shared" si="115"/>
        <v>0</v>
      </c>
      <c r="T155" s="1">
        <f t="shared" si="116"/>
        <v>0</v>
      </c>
      <c r="U155" s="1">
        <f t="shared" si="117"/>
        <v>0</v>
      </c>
      <c r="V155" s="1">
        <f t="shared" si="118"/>
        <v>0</v>
      </c>
      <c r="W155" s="1">
        <f t="shared" si="119"/>
        <v>0</v>
      </c>
      <c r="X155" s="1">
        <f t="shared" si="120"/>
        <v>0</v>
      </c>
      <c r="Y155" s="1">
        <f t="shared" si="121"/>
        <v>0</v>
      </c>
      <c r="Z155" s="1">
        <f t="shared" si="122"/>
        <v>0</v>
      </c>
      <c r="AA155" s="1">
        <f t="shared" si="123"/>
        <v>0</v>
      </c>
      <c r="AB155" s="1">
        <f t="shared" si="124"/>
        <v>0</v>
      </c>
      <c r="AD155" s="1">
        <f t="shared" si="125"/>
        <v>0</v>
      </c>
      <c r="AE155" s="1">
        <f t="shared" si="126"/>
        <v>1</v>
      </c>
      <c r="AF155" s="1">
        <f t="shared" si="111"/>
        <v>0</v>
      </c>
      <c r="AG155" s="1">
        <f t="shared" si="112"/>
        <v>1</v>
      </c>
      <c r="AH155" s="1">
        <f t="shared" si="113"/>
        <v>0</v>
      </c>
      <c r="AI155" s="1">
        <f t="shared" si="114"/>
        <v>1</v>
      </c>
    </row>
    <row r="156" spans="1:35" ht="14.25" customHeight="1" x14ac:dyDescent="0.3">
      <c r="A156" s="15">
        <v>0</v>
      </c>
      <c r="B156" s="15">
        <v>1</v>
      </c>
      <c r="C156" s="15">
        <v>3</v>
      </c>
      <c r="D156" s="16" t="s">
        <v>736</v>
      </c>
      <c r="E156" s="16" t="s">
        <v>171</v>
      </c>
      <c r="F156" s="16" t="s">
        <v>737</v>
      </c>
      <c r="G156" s="16" t="s">
        <v>39</v>
      </c>
      <c r="H156" s="16" t="s">
        <v>738</v>
      </c>
      <c r="I156" s="15" t="s">
        <v>739</v>
      </c>
      <c r="J156" s="15">
        <v>17</v>
      </c>
      <c r="K156" s="10" t="s">
        <v>719</v>
      </c>
      <c r="L156" s="10" t="s">
        <v>694</v>
      </c>
      <c r="M156" s="19" t="s">
        <v>688</v>
      </c>
      <c r="N156" s="17"/>
      <c r="Q156" s="16" t="s">
        <v>1884</v>
      </c>
      <c r="S156" s="1">
        <f t="shared" si="115"/>
        <v>0</v>
      </c>
      <c r="T156" s="1">
        <f t="shared" si="116"/>
        <v>0</v>
      </c>
      <c r="U156" s="1">
        <f t="shared" si="117"/>
        <v>0</v>
      </c>
      <c r="V156" s="1">
        <f t="shared" si="118"/>
        <v>0</v>
      </c>
      <c r="W156" s="1">
        <f t="shared" si="119"/>
        <v>0</v>
      </c>
      <c r="X156" s="1">
        <f t="shared" si="120"/>
        <v>0</v>
      </c>
      <c r="Y156" s="1">
        <f t="shared" si="121"/>
        <v>0</v>
      </c>
      <c r="Z156" s="1">
        <f t="shared" si="122"/>
        <v>0</v>
      </c>
      <c r="AA156" s="1">
        <f t="shared" si="123"/>
        <v>0</v>
      </c>
      <c r="AB156" s="1">
        <f t="shared" si="124"/>
        <v>0</v>
      </c>
      <c r="AD156" s="1">
        <f t="shared" si="125"/>
        <v>0</v>
      </c>
      <c r="AE156" s="1">
        <f t="shared" si="126"/>
        <v>0</v>
      </c>
      <c r="AF156" s="1">
        <f t="shared" si="111"/>
        <v>0</v>
      </c>
      <c r="AG156" s="1">
        <f t="shared" si="112"/>
        <v>0</v>
      </c>
      <c r="AH156" s="1">
        <f t="shared" si="113"/>
        <v>0</v>
      </c>
      <c r="AI156" s="1">
        <f t="shared" si="114"/>
        <v>1</v>
      </c>
    </row>
    <row r="157" spans="1:35" ht="14.25" customHeight="1" x14ac:dyDescent="0.3">
      <c r="A157" s="44">
        <v>0</v>
      </c>
      <c r="B157" s="44">
        <v>1</v>
      </c>
      <c r="C157" s="44">
        <v>3</v>
      </c>
      <c r="D157" s="45" t="s">
        <v>901</v>
      </c>
      <c r="E157" s="45" t="s">
        <v>171</v>
      </c>
      <c r="F157" s="45" t="s">
        <v>1093</v>
      </c>
      <c r="G157" s="45" t="s">
        <v>39</v>
      </c>
      <c r="H157" s="45" t="s">
        <v>903</v>
      </c>
      <c r="I157" s="44" t="s">
        <v>902</v>
      </c>
      <c r="J157" s="44">
        <v>11</v>
      </c>
      <c r="K157" s="46" t="s">
        <v>954</v>
      </c>
      <c r="L157" s="46">
        <v>60</v>
      </c>
      <c r="M157" s="47" t="s">
        <v>39</v>
      </c>
      <c r="N157" s="47" t="s">
        <v>1736</v>
      </c>
      <c r="O157" s="48"/>
      <c r="P157" s="48"/>
      <c r="Q157" s="45"/>
      <c r="S157" s="1">
        <f t="shared" si="115"/>
        <v>0</v>
      </c>
      <c r="T157" s="1">
        <f t="shared" si="116"/>
        <v>0</v>
      </c>
      <c r="U157" s="1">
        <f t="shared" si="117"/>
        <v>0</v>
      </c>
      <c r="V157" s="1">
        <f t="shared" si="118"/>
        <v>0</v>
      </c>
      <c r="W157" s="1">
        <f t="shared" si="119"/>
        <v>0</v>
      </c>
      <c r="X157" s="1">
        <f t="shared" si="120"/>
        <v>0</v>
      </c>
      <c r="Y157" s="1">
        <f t="shared" si="121"/>
        <v>0</v>
      </c>
      <c r="Z157" s="1">
        <f t="shared" si="122"/>
        <v>0</v>
      </c>
      <c r="AA157" s="1">
        <f t="shared" si="123"/>
        <v>0</v>
      </c>
      <c r="AB157" s="1">
        <f t="shared" si="124"/>
        <v>0</v>
      </c>
      <c r="AD157" s="1">
        <f t="shared" si="125"/>
        <v>0</v>
      </c>
      <c r="AE157" s="1">
        <f t="shared" si="126"/>
        <v>0</v>
      </c>
      <c r="AF157" s="1">
        <f t="shared" si="111"/>
        <v>0</v>
      </c>
      <c r="AG157" s="1">
        <f t="shared" si="112"/>
        <v>0</v>
      </c>
      <c r="AH157" s="1">
        <f t="shared" si="113"/>
        <v>0</v>
      </c>
      <c r="AI157" s="1">
        <f t="shared" si="114"/>
        <v>1</v>
      </c>
    </row>
    <row r="158" spans="1:35" ht="14.25" customHeight="1" x14ac:dyDescent="0.3">
      <c r="A158" s="31">
        <v>0</v>
      </c>
      <c r="B158" s="31">
        <v>1</v>
      </c>
      <c r="C158" s="31">
        <v>3</v>
      </c>
      <c r="D158" s="32" t="s">
        <v>122</v>
      </c>
      <c r="E158" s="32" t="s">
        <v>174</v>
      </c>
      <c r="F158" s="32" t="s">
        <v>322</v>
      </c>
      <c r="G158" s="32" t="s">
        <v>39</v>
      </c>
      <c r="H158" s="32" t="s">
        <v>361</v>
      </c>
      <c r="I158" s="31" t="s">
        <v>467</v>
      </c>
      <c r="J158" s="31">
        <v>14</v>
      </c>
      <c r="K158" s="33" t="s">
        <v>719</v>
      </c>
      <c r="L158" s="33" t="s">
        <v>690</v>
      </c>
      <c r="M158" s="34" t="s">
        <v>1376</v>
      </c>
      <c r="N158" s="34" t="s">
        <v>1846</v>
      </c>
      <c r="O158" s="35">
        <v>1</v>
      </c>
      <c r="P158" s="35"/>
      <c r="Q158" s="36"/>
      <c r="S158" s="1">
        <f t="shared" ref="S158:S162" si="127">IF(J158=$S$7,1,0)</f>
        <v>0</v>
      </c>
      <c r="T158" s="1">
        <f t="shared" ref="T158:T162" si="128">IF(J158=$T$7,1,0)</f>
        <v>0</v>
      </c>
      <c r="U158" s="1">
        <f t="shared" ref="U158:U162" si="129">IF(J158=$U$7,1,0)</f>
        <v>0</v>
      </c>
      <c r="V158" s="1">
        <f t="shared" ref="V158:V162" si="130">IF(J158=$V$7,1,0)</f>
        <v>0</v>
      </c>
      <c r="W158" s="1">
        <f t="shared" ref="W158:W162" si="131">IF(J158=$W$7,1,0)</f>
        <v>0</v>
      </c>
      <c r="X158" s="1">
        <f t="shared" ref="X158:X162" si="132">IF(J158=$X$7,1,0)</f>
        <v>0</v>
      </c>
      <c r="Y158" s="1">
        <f t="shared" ref="Y158:Y162" si="133">IF(J158=$Y$7,1,0)</f>
        <v>0</v>
      </c>
      <c r="Z158" s="1">
        <f t="shared" ref="Z158:Z162" si="134">IF(J158=$Z$7,1,0)</f>
        <v>0</v>
      </c>
      <c r="AA158" s="1">
        <f t="shared" ref="AA158:AA162" si="135">IF(J158=$AA$7,1,0)</f>
        <v>0</v>
      </c>
      <c r="AB158" s="1">
        <f t="shared" ref="AB158:AB162" si="136">IF(J158=$AB$7,1,0)</f>
        <v>0</v>
      </c>
      <c r="AD158" s="1">
        <f t="shared" ref="AD158:AD162" si="137">+O158*P158</f>
        <v>0</v>
      </c>
      <c r="AE158" s="1">
        <f t="shared" ref="AE158:AE162" si="138">O158*(1-P158)</f>
        <v>1</v>
      </c>
      <c r="AF158" s="1">
        <f t="shared" ref="AF158:AF162" si="139">+O158*P158*(1-A158)</f>
        <v>0</v>
      </c>
      <c r="AG158" s="1">
        <f t="shared" ref="AG158:AG162" si="140">O158*(1-P158)*(1-A158)</f>
        <v>1</v>
      </c>
      <c r="AH158" s="1">
        <f t="shared" ref="AH158:AH162" si="141">+P158*(1-A158)</f>
        <v>0</v>
      </c>
      <c r="AI158" s="1">
        <f t="shared" ref="AI158:AI162" si="142">+(1-A158)*(1-P158)</f>
        <v>1</v>
      </c>
    </row>
    <row r="159" spans="1:35" ht="14.25" customHeight="1" x14ac:dyDescent="0.3">
      <c r="A159" s="31">
        <v>0</v>
      </c>
      <c r="B159" s="31">
        <v>1</v>
      </c>
      <c r="C159" s="31">
        <v>3</v>
      </c>
      <c r="D159" s="32" t="s">
        <v>1166</v>
      </c>
      <c r="E159" s="32" t="s">
        <v>171</v>
      </c>
      <c r="F159" s="32" t="s">
        <v>1168</v>
      </c>
      <c r="G159" s="32" t="s">
        <v>764</v>
      </c>
      <c r="H159" s="32" t="s">
        <v>352</v>
      </c>
      <c r="I159" s="31" t="s">
        <v>1167</v>
      </c>
      <c r="J159" s="31">
        <v>99</v>
      </c>
      <c r="K159" s="33" t="s">
        <v>700</v>
      </c>
      <c r="L159" s="33">
        <v>30</v>
      </c>
      <c r="M159" s="34" t="s">
        <v>967</v>
      </c>
      <c r="N159" s="34" t="s">
        <v>1822</v>
      </c>
      <c r="O159" s="35">
        <v>1</v>
      </c>
      <c r="P159" s="35"/>
      <c r="Q159" s="36"/>
      <c r="S159" s="1">
        <f t="shared" si="127"/>
        <v>0</v>
      </c>
      <c r="T159" s="1">
        <f t="shared" si="128"/>
        <v>0</v>
      </c>
      <c r="U159" s="1">
        <f t="shared" si="129"/>
        <v>0</v>
      </c>
      <c r="V159" s="1">
        <f t="shared" si="130"/>
        <v>0</v>
      </c>
      <c r="W159" s="1">
        <f t="shared" si="131"/>
        <v>0</v>
      </c>
      <c r="X159" s="1">
        <f t="shared" si="132"/>
        <v>0</v>
      </c>
      <c r="Y159" s="1">
        <f t="shared" si="133"/>
        <v>0</v>
      </c>
      <c r="Z159" s="1">
        <f t="shared" si="134"/>
        <v>0</v>
      </c>
      <c r="AA159" s="1">
        <f t="shared" si="135"/>
        <v>0</v>
      </c>
      <c r="AB159" s="1">
        <f t="shared" si="136"/>
        <v>0</v>
      </c>
      <c r="AD159" s="1">
        <f t="shared" si="137"/>
        <v>0</v>
      </c>
      <c r="AE159" s="1">
        <f t="shared" si="138"/>
        <v>1</v>
      </c>
      <c r="AF159" s="1">
        <f t="shared" si="139"/>
        <v>0</v>
      </c>
      <c r="AG159" s="1">
        <f t="shared" si="140"/>
        <v>1</v>
      </c>
      <c r="AH159" s="1">
        <f t="shared" si="141"/>
        <v>0</v>
      </c>
      <c r="AI159" s="1">
        <f t="shared" si="142"/>
        <v>1</v>
      </c>
    </row>
    <row r="160" spans="1:35" ht="14.25" customHeight="1" x14ac:dyDescent="0.3">
      <c r="A160" s="31">
        <v>0</v>
      </c>
      <c r="B160" s="31">
        <v>1</v>
      </c>
      <c r="C160" s="31">
        <v>3</v>
      </c>
      <c r="D160" s="32" t="s">
        <v>2038</v>
      </c>
      <c r="E160" s="32" t="s">
        <v>171</v>
      </c>
      <c r="F160" s="32" t="s">
        <v>2039</v>
      </c>
      <c r="G160" s="32"/>
      <c r="H160" s="32" t="s">
        <v>352</v>
      </c>
      <c r="I160" s="31" t="s">
        <v>2040</v>
      </c>
      <c r="J160" s="31">
        <v>18</v>
      </c>
      <c r="K160" s="33" t="s">
        <v>700</v>
      </c>
      <c r="L160" s="33"/>
      <c r="M160" s="34"/>
      <c r="N160" s="34" t="s">
        <v>1730</v>
      </c>
      <c r="O160" s="35">
        <v>1</v>
      </c>
      <c r="P160" s="35">
        <v>1</v>
      </c>
      <c r="Q160" s="36" t="s">
        <v>2041</v>
      </c>
      <c r="S160" s="1">
        <f t="shared" si="127"/>
        <v>0</v>
      </c>
      <c r="T160" s="1">
        <f t="shared" si="128"/>
        <v>0</v>
      </c>
      <c r="U160" s="1">
        <f t="shared" si="129"/>
        <v>0</v>
      </c>
      <c r="V160" s="1">
        <f t="shared" si="130"/>
        <v>0</v>
      </c>
      <c r="W160" s="1">
        <f t="shared" si="131"/>
        <v>0</v>
      </c>
      <c r="X160" s="1">
        <f t="shared" si="132"/>
        <v>0</v>
      </c>
      <c r="Y160" s="1">
        <f t="shared" si="133"/>
        <v>0</v>
      </c>
      <c r="Z160" s="1">
        <f t="shared" si="134"/>
        <v>0</v>
      </c>
      <c r="AA160" s="1">
        <f t="shared" si="135"/>
        <v>0</v>
      </c>
      <c r="AB160" s="1">
        <f t="shared" si="136"/>
        <v>0</v>
      </c>
      <c r="AD160" s="1">
        <f t="shared" si="137"/>
        <v>1</v>
      </c>
      <c r="AE160" s="1">
        <f t="shared" si="138"/>
        <v>0</v>
      </c>
      <c r="AF160" s="1">
        <f t="shared" si="139"/>
        <v>1</v>
      </c>
      <c r="AG160" s="1">
        <f t="shared" si="140"/>
        <v>0</v>
      </c>
      <c r="AH160" s="1">
        <f t="shared" si="141"/>
        <v>1</v>
      </c>
      <c r="AI160" s="1">
        <f t="shared" si="142"/>
        <v>0</v>
      </c>
    </row>
    <row r="161" spans="1:35" ht="14.25" customHeight="1" x14ac:dyDescent="0.3">
      <c r="A161" s="15">
        <v>0</v>
      </c>
      <c r="B161" s="15">
        <v>1</v>
      </c>
      <c r="C161" s="15">
        <v>3</v>
      </c>
      <c r="D161" s="16" t="s">
        <v>740</v>
      </c>
      <c r="E161" s="16" t="s">
        <v>169</v>
      </c>
      <c r="F161" s="16" t="s">
        <v>741</v>
      </c>
      <c r="G161" s="16" t="s">
        <v>39</v>
      </c>
      <c r="H161" s="16" t="s">
        <v>742</v>
      </c>
      <c r="I161" s="15" t="s">
        <v>743</v>
      </c>
      <c r="J161" s="15">
        <v>17</v>
      </c>
      <c r="K161" s="10" t="s">
        <v>700</v>
      </c>
      <c r="L161" s="10" t="s">
        <v>694</v>
      </c>
      <c r="M161" s="19" t="s">
        <v>968</v>
      </c>
      <c r="N161" s="17"/>
      <c r="Q161" s="16"/>
      <c r="S161" s="1">
        <f t="shared" si="127"/>
        <v>0</v>
      </c>
      <c r="T161" s="1">
        <f t="shared" si="128"/>
        <v>0</v>
      </c>
      <c r="U161" s="1">
        <f t="shared" si="129"/>
        <v>0</v>
      </c>
      <c r="V161" s="1">
        <f t="shared" si="130"/>
        <v>0</v>
      </c>
      <c r="W161" s="1">
        <f t="shared" si="131"/>
        <v>0</v>
      </c>
      <c r="X161" s="1">
        <f t="shared" si="132"/>
        <v>0</v>
      </c>
      <c r="Y161" s="1">
        <f t="shared" si="133"/>
        <v>0</v>
      </c>
      <c r="Z161" s="1">
        <f t="shared" si="134"/>
        <v>0</v>
      </c>
      <c r="AA161" s="1">
        <f t="shared" si="135"/>
        <v>0</v>
      </c>
      <c r="AB161" s="1">
        <f t="shared" si="136"/>
        <v>0</v>
      </c>
      <c r="AD161" s="1">
        <f t="shared" si="137"/>
        <v>0</v>
      </c>
      <c r="AE161" s="1">
        <f t="shared" si="138"/>
        <v>0</v>
      </c>
      <c r="AF161" s="1">
        <f t="shared" si="139"/>
        <v>0</v>
      </c>
      <c r="AG161" s="1">
        <f t="shared" si="140"/>
        <v>0</v>
      </c>
      <c r="AH161" s="1">
        <f t="shared" si="141"/>
        <v>0</v>
      </c>
      <c r="AI161" s="1">
        <f t="shared" si="142"/>
        <v>1</v>
      </c>
    </row>
    <row r="162" spans="1:35" ht="14.25" customHeight="1" x14ac:dyDescent="0.3">
      <c r="A162" s="15">
        <v>0</v>
      </c>
      <c r="B162" s="15">
        <v>1</v>
      </c>
      <c r="C162" s="15">
        <v>3</v>
      </c>
      <c r="D162" s="20" t="s">
        <v>1944</v>
      </c>
      <c r="E162" s="20" t="s">
        <v>171</v>
      </c>
      <c r="F162" s="20" t="s">
        <v>1955</v>
      </c>
      <c r="G162" s="20"/>
      <c r="H162" s="20" t="s">
        <v>1956</v>
      </c>
      <c r="I162" s="21" t="s">
        <v>1957</v>
      </c>
      <c r="J162" s="15">
        <v>16</v>
      </c>
      <c r="K162" s="10" t="s">
        <v>700</v>
      </c>
      <c r="L162" s="10" t="s">
        <v>694</v>
      </c>
      <c r="M162" s="19" t="s">
        <v>968</v>
      </c>
      <c r="N162" s="17"/>
      <c r="Q162" s="20" t="s">
        <v>1954</v>
      </c>
      <c r="S162" s="1">
        <f t="shared" si="127"/>
        <v>0</v>
      </c>
      <c r="T162" s="1">
        <f t="shared" si="128"/>
        <v>0</v>
      </c>
      <c r="U162" s="1">
        <f t="shared" si="129"/>
        <v>0</v>
      </c>
      <c r="V162" s="1">
        <f t="shared" si="130"/>
        <v>0</v>
      </c>
      <c r="W162" s="1">
        <f t="shared" si="131"/>
        <v>0</v>
      </c>
      <c r="X162" s="1">
        <f t="shared" si="132"/>
        <v>0</v>
      </c>
      <c r="Y162" s="1">
        <f t="shared" si="133"/>
        <v>0</v>
      </c>
      <c r="Z162" s="1">
        <f t="shared" si="134"/>
        <v>0</v>
      </c>
      <c r="AA162" s="1">
        <f t="shared" si="135"/>
        <v>0</v>
      </c>
      <c r="AB162" s="1">
        <f t="shared" si="136"/>
        <v>0</v>
      </c>
      <c r="AD162" s="1">
        <f t="shared" si="137"/>
        <v>0</v>
      </c>
      <c r="AE162" s="1">
        <f t="shared" si="138"/>
        <v>0</v>
      </c>
      <c r="AF162" s="1">
        <f t="shared" si="139"/>
        <v>0</v>
      </c>
      <c r="AG162" s="1">
        <f t="shared" si="140"/>
        <v>0</v>
      </c>
      <c r="AH162" s="1">
        <f t="shared" si="141"/>
        <v>0</v>
      </c>
      <c r="AI162" s="1">
        <f t="shared" si="142"/>
        <v>1</v>
      </c>
    </row>
    <row r="163" spans="1:35" ht="14.25" customHeight="1" x14ac:dyDescent="0.3">
      <c r="A163" s="44">
        <v>0</v>
      </c>
      <c r="B163" s="44">
        <v>1</v>
      </c>
      <c r="C163" s="44">
        <v>3</v>
      </c>
      <c r="D163" s="45" t="s">
        <v>831</v>
      </c>
      <c r="E163" s="45" t="s">
        <v>911</v>
      </c>
      <c r="F163" s="45" t="s">
        <v>832</v>
      </c>
      <c r="G163" s="45" t="s">
        <v>207</v>
      </c>
      <c r="H163" s="45" t="s">
        <v>352</v>
      </c>
      <c r="I163" s="44" t="s">
        <v>833</v>
      </c>
      <c r="J163" s="44">
        <v>3</v>
      </c>
      <c r="K163" s="46" t="s">
        <v>719</v>
      </c>
      <c r="L163" s="46" t="s">
        <v>690</v>
      </c>
      <c r="M163" s="47" t="s">
        <v>695</v>
      </c>
      <c r="N163" s="47" t="s">
        <v>1737</v>
      </c>
      <c r="O163" s="48"/>
      <c r="P163" s="48"/>
      <c r="Q163" s="45"/>
      <c r="S163" s="1">
        <f t="shared" si="115"/>
        <v>0</v>
      </c>
      <c r="T163" s="1">
        <f t="shared" si="116"/>
        <v>0</v>
      </c>
      <c r="U163" s="1">
        <f t="shared" si="117"/>
        <v>1</v>
      </c>
      <c r="V163" s="1">
        <f t="shared" si="118"/>
        <v>0</v>
      </c>
      <c r="W163" s="1">
        <f t="shared" si="119"/>
        <v>0</v>
      </c>
      <c r="X163" s="1">
        <f t="shared" si="120"/>
        <v>0</v>
      </c>
      <c r="Y163" s="1">
        <f t="shared" si="121"/>
        <v>0</v>
      </c>
      <c r="Z163" s="1">
        <f t="shared" si="122"/>
        <v>0</v>
      </c>
      <c r="AA163" s="1">
        <f t="shared" si="123"/>
        <v>0</v>
      </c>
      <c r="AB163" s="1">
        <f t="shared" si="124"/>
        <v>0</v>
      </c>
      <c r="AD163" s="1">
        <f t="shared" si="125"/>
        <v>0</v>
      </c>
      <c r="AE163" s="1">
        <f t="shared" si="126"/>
        <v>0</v>
      </c>
      <c r="AF163" s="1">
        <f t="shared" si="111"/>
        <v>0</v>
      </c>
      <c r="AG163" s="1">
        <f t="shared" si="112"/>
        <v>0</v>
      </c>
      <c r="AH163" s="1">
        <f t="shared" si="113"/>
        <v>0</v>
      </c>
      <c r="AI163" s="1">
        <f t="shared" si="114"/>
        <v>1</v>
      </c>
    </row>
    <row r="164" spans="1:35" ht="14.25" customHeight="1" x14ac:dyDescent="0.3">
      <c r="A164" s="15">
        <v>0</v>
      </c>
      <c r="B164" s="15">
        <v>1</v>
      </c>
      <c r="C164" s="15">
        <v>3</v>
      </c>
      <c r="D164" s="20" t="s">
        <v>1950</v>
      </c>
      <c r="E164" s="20" t="s">
        <v>171</v>
      </c>
      <c r="F164" s="20" t="s">
        <v>1952</v>
      </c>
      <c r="G164" s="20"/>
      <c r="H164" s="20" t="s">
        <v>1953</v>
      </c>
      <c r="I164" s="21" t="s">
        <v>1951</v>
      </c>
      <c r="J164" s="15">
        <v>16</v>
      </c>
      <c r="K164" s="10" t="s">
        <v>700</v>
      </c>
      <c r="L164" s="10" t="s">
        <v>694</v>
      </c>
      <c r="M164" s="19" t="s">
        <v>968</v>
      </c>
      <c r="N164" s="17"/>
      <c r="Q164" s="20" t="s">
        <v>1958</v>
      </c>
      <c r="S164" s="1">
        <f t="shared" si="115"/>
        <v>0</v>
      </c>
      <c r="T164" s="1">
        <f t="shared" si="116"/>
        <v>0</v>
      </c>
      <c r="U164" s="1">
        <f t="shared" si="117"/>
        <v>0</v>
      </c>
      <c r="V164" s="1">
        <f t="shared" si="118"/>
        <v>0</v>
      </c>
      <c r="W164" s="1">
        <f t="shared" si="119"/>
        <v>0</v>
      </c>
      <c r="X164" s="1">
        <f t="shared" si="120"/>
        <v>0</v>
      </c>
      <c r="Y164" s="1">
        <f t="shared" si="121"/>
        <v>0</v>
      </c>
      <c r="Z164" s="1">
        <f t="shared" si="122"/>
        <v>0</v>
      </c>
      <c r="AA164" s="1">
        <f t="shared" si="123"/>
        <v>0</v>
      </c>
      <c r="AB164" s="1">
        <f t="shared" si="124"/>
        <v>0</v>
      </c>
      <c r="AD164" s="1">
        <f t="shared" si="125"/>
        <v>0</v>
      </c>
      <c r="AE164" s="1">
        <f t="shared" si="126"/>
        <v>0</v>
      </c>
      <c r="AF164" s="1">
        <f t="shared" si="111"/>
        <v>0</v>
      </c>
      <c r="AG164" s="1">
        <f t="shared" si="112"/>
        <v>0</v>
      </c>
      <c r="AH164" s="1">
        <f t="shared" si="113"/>
        <v>0</v>
      </c>
      <c r="AI164" s="1">
        <f t="shared" si="114"/>
        <v>1</v>
      </c>
    </row>
    <row r="165" spans="1:35" ht="14.25" customHeight="1" x14ac:dyDescent="0.3">
      <c r="A165" s="31">
        <v>0</v>
      </c>
      <c r="B165" s="31">
        <v>1</v>
      </c>
      <c r="C165" s="31">
        <v>3</v>
      </c>
      <c r="D165" s="32" t="s">
        <v>1206</v>
      </c>
      <c r="E165" s="32" t="s">
        <v>171</v>
      </c>
      <c r="F165" s="32" t="s">
        <v>1208</v>
      </c>
      <c r="G165" s="32" t="s">
        <v>184</v>
      </c>
      <c r="H165" s="32" t="s">
        <v>352</v>
      </c>
      <c r="I165" s="31" t="s">
        <v>1207</v>
      </c>
      <c r="J165" s="31">
        <v>99</v>
      </c>
      <c r="K165" s="33" t="s">
        <v>955</v>
      </c>
      <c r="L165" s="33" t="s">
        <v>686</v>
      </c>
      <c r="M165" s="34" t="s">
        <v>968</v>
      </c>
      <c r="N165" s="34" t="s">
        <v>1746</v>
      </c>
      <c r="O165" s="35">
        <v>1</v>
      </c>
      <c r="P165" s="35"/>
      <c r="Q165" s="32"/>
      <c r="S165" s="1">
        <f t="shared" si="115"/>
        <v>0</v>
      </c>
      <c r="T165" s="1">
        <f t="shared" si="116"/>
        <v>0</v>
      </c>
      <c r="U165" s="1">
        <f t="shared" si="117"/>
        <v>0</v>
      </c>
      <c r="V165" s="1">
        <f t="shared" si="118"/>
        <v>0</v>
      </c>
      <c r="W165" s="1">
        <f t="shared" si="119"/>
        <v>0</v>
      </c>
      <c r="X165" s="1">
        <f t="shared" si="120"/>
        <v>0</v>
      </c>
      <c r="Y165" s="1">
        <f t="shared" si="121"/>
        <v>0</v>
      </c>
      <c r="Z165" s="1">
        <f t="shared" si="122"/>
        <v>0</v>
      </c>
      <c r="AA165" s="1">
        <f t="shared" si="123"/>
        <v>0</v>
      </c>
      <c r="AB165" s="1">
        <f t="shared" si="124"/>
        <v>0</v>
      </c>
      <c r="AD165" s="1">
        <f t="shared" si="125"/>
        <v>0</v>
      </c>
      <c r="AE165" s="1">
        <f t="shared" si="126"/>
        <v>1</v>
      </c>
      <c r="AF165" s="1">
        <f t="shared" si="111"/>
        <v>0</v>
      </c>
      <c r="AG165" s="1">
        <f t="shared" si="112"/>
        <v>1</v>
      </c>
      <c r="AH165" s="1">
        <f t="shared" si="113"/>
        <v>0</v>
      </c>
      <c r="AI165" s="1">
        <f t="shared" si="114"/>
        <v>1</v>
      </c>
    </row>
    <row r="166" spans="1:35" ht="14.25" customHeight="1" x14ac:dyDescent="0.3">
      <c r="A166" s="31">
        <v>0</v>
      </c>
      <c r="B166" s="31">
        <v>1</v>
      </c>
      <c r="C166" s="31">
        <v>3</v>
      </c>
      <c r="D166" s="32" t="s">
        <v>629</v>
      </c>
      <c r="E166" s="32" t="s">
        <v>169</v>
      </c>
      <c r="F166" s="32" t="s">
        <v>630</v>
      </c>
      <c r="G166" s="32" t="s">
        <v>193</v>
      </c>
      <c r="H166" s="32" t="s">
        <v>352</v>
      </c>
      <c r="I166" s="31" t="s">
        <v>631</v>
      </c>
      <c r="J166" s="31">
        <v>9</v>
      </c>
      <c r="K166" s="33" t="s">
        <v>954</v>
      </c>
      <c r="L166" s="33" t="s">
        <v>1696</v>
      </c>
      <c r="M166" s="34" t="s">
        <v>967</v>
      </c>
      <c r="N166" s="34" t="s">
        <v>1724</v>
      </c>
      <c r="O166" s="35">
        <v>1</v>
      </c>
      <c r="P166" s="35">
        <v>1</v>
      </c>
      <c r="Q166" s="32"/>
      <c r="S166" s="1">
        <f t="shared" si="115"/>
        <v>0</v>
      </c>
      <c r="T166" s="1">
        <f t="shared" si="116"/>
        <v>0</v>
      </c>
      <c r="U166" s="1">
        <f t="shared" si="117"/>
        <v>0</v>
      </c>
      <c r="V166" s="1">
        <f t="shared" si="118"/>
        <v>0</v>
      </c>
      <c r="W166" s="1">
        <f t="shared" si="119"/>
        <v>0</v>
      </c>
      <c r="X166" s="1">
        <f t="shared" si="120"/>
        <v>0</v>
      </c>
      <c r="Y166" s="1">
        <f t="shared" si="121"/>
        <v>0</v>
      </c>
      <c r="Z166" s="1">
        <f t="shared" si="122"/>
        <v>0</v>
      </c>
      <c r="AA166" s="1">
        <f t="shared" si="123"/>
        <v>1</v>
      </c>
      <c r="AB166" s="1">
        <f t="shared" si="124"/>
        <v>0</v>
      </c>
      <c r="AD166" s="1">
        <f t="shared" si="125"/>
        <v>1</v>
      </c>
      <c r="AE166" s="1">
        <f t="shared" si="126"/>
        <v>0</v>
      </c>
      <c r="AF166" s="1">
        <f t="shared" si="111"/>
        <v>1</v>
      </c>
      <c r="AG166" s="1">
        <f t="shared" si="112"/>
        <v>0</v>
      </c>
      <c r="AH166" s="1">
        <f t="shared" si="113"/>
        <v>1</v>
      </c>
      <c r="AI166" s="1">
        <f t="shared" si="114"/>
        <v>0</v>
      </c>
    </row>
    <row r="167" spans="1:35" ht="14.25" customHeight="1" x14ac:dyDescent="0.3">
      <c r="A167" s="44">
        <v>0</v>
      </c>
      <c r="B167" s="44">
        <v>1</v>
      </c>
      <c r="C167" s="44">
        <v>3</v>
      </c>
      <c r="D167" s="45" t="s">
        <v>131</v>
      </c>
      <c r="E167" s="45" t="s">
        <v>680</v>
      </c>
      <c r="F167" s="45" t="s">
        <v>332</v>
      </c>
      <c r="G167" s="45" t="s">
        <v>39</v>
      </c>
      <c r="H167" s="45" t="s">
        <v>360</v>
      </c>
      <c r="I167" s="44" t="s">
        <v>478</v>
      </c>
      <c r="J167" s="44">
        <v>12</v>
      </c>
      <c r="K167" s="46" t="s">
        <v>719</v>
      </c>
      <c r="L167" s="46">
        <v>35</v>
      </c>
      <c r="M167" s="47" t="s">
        <v>39</v>
      </c>
      <c r="N167" s="47" t="s">
        <v>1799</v>
      </c>
      <c r="O167" s="48"/>
      <c r="P167" s="48"/>
      <c r="Q167" s="45"/>
      <c r="S167" s="1">
        <f t="shared" si="115"/>
        <v>0</v>
      </c>
      <c r="T167" s="1">
        <f t="shared" si="116"/>
        <v>0</v>
      </c>
      <c r="U167" s="1">
        <f t="shared" si="117"/>
        <v>0</v>
      </c>
      <c r="V167" s="1">
        <f t="shared" si="118"/>
        <v>0</v>
      </c>
      <c r="W167" s="1">
        <f t="shared" si="119"/>
        <v>0</v>
      </c>
      <c r="X167" s="1">
        <f t="shared" si="120"/>
        <v>0</v>
      </c>
      <c r="Y167" s="1">
        <f t="shared" si="121"/>
        <v>0</v>
      </c>
      <c r="Z167" s="1">
        <f t="shared" si="122"/>
        <v>0</v>
      </c>
      <c r="AA167" s="1">
        <f t="shared" si="123"/>
        <v>0</v>
      </c>
      <c r="AB167" s="1">
        <f t="shared" si="124"/>
        <v>0</v>
      </c>
      <c r="AD167" s="1">
        <f t="shared" si="125"/>
        <v>0</v>
      </c>
      <c r="AE167" s="1">
        <f t="shared" si="126"/>
        <v>0</v>
      </c>
      <c r="AF167" s="1">
        <f t="shared" si="111"/>
        <v>0</v>
      </c>
      <c r="AG167" s="1">
        <f t="shared" si="112"/>
        <v>0</v>
      </c>
      <c r="AH167" s="1">
        <f t="shared" si="113"/>
        <v>0</v>
      </c>
      <c r="AI167" s="1">
        <f t="shared" si="114"/>
        <v>1</v>
      </c>
    </row>
    <row r="168" spans="1:35" ht="14.25" customHeight="1" x14ac:dyDescent="0.3">
      <c r="A168" s="15">
        <v>0</v>
      </c>
      <c r="B168" s="15">
        <v>1</v>
      </c>
      <c r="C168" s="15">
        <v>3</v>
      </c>
      <c r="D168" s="16" t="s">
        <v>823</v>
      </c>
      <c r="E168" s="16" t="s">
        <v>171</v>
      </c>
      <c r="F168" s="16" t="s">
        <v>824</v>
      </c>
      <c r="G168" s="16" t="s">
        <v>39</v>
      </c>
      <c r="H168" s="16" t="s">
        <v>373</v>
      </c>
      <c r="I168" s="15" t="s">
        <v>822</v>
      </c>
      <c r="J168" s="15">
        <v>12</v>
      </c>
      <c r="K168" s="10" t="s">
        <v>700</v>
      </c>
      <c r="L168" s="10">
        <v>40</v>
      </c>
      <c r="M168" s="19" t="s">
        <v>967</v>
      </c>
      <c r="N168" s="19"/>
      <c r="Q168" s="16"/>
      <c r="S168" s="1">
        <f t="shared" si="115"/>
        <v>0</v>
      </c>
      <c r="T168" s="1">
        <f t="shared" si="116"/>
        <v>0</v>
      </c>
      <c r="U168" s="1">
        <f t="shared" si="117"/>
        <v>0</v>
      </c>
      <c r="V168" s="1">
        <f t="shared" si="118"/>
        <v>0</v>
      </c>
      <c r="W168" s="1">
        <f t="shared" si="119"/>
        <v>0</v>
      </c>
      <c r="X168" s="1">
        <f t="shared" si="120"/>
        <v>0</v>
      </c>
      <c r="Y168" s="1">
        <f t="shared" si="121"/>
        <v>0</v>
      </c>
      <c r="Z168" s="1">
        <f t="shared" si="122"/>
        <v>0</v>
      </c>
      <c r="AA168" s="1">
        <f t="shared" si="123"/>
        <v>0</v>
      </c>
      <c r="AB168" s="1">
        <f t="shared" si="124"/>
        <v>0</v>
      </c>
      <c r="AD168" s="1">
        <f t="shared" si="125"/>
        <v>0</v>
      </c>
      <c r="AE168" s="1">
        <f t="shared" si="126"/>
        <v>0</v>
      </c>
      <c r="AF168" s="1">
        <f t="shared" si="111"/>
        <v>0</v>
      </c>
      <c r="AG168" s="1">
        <f t="shared" si="112"/>
        <v>0</v>
      </c>
      <c r="AH168" s="1">
        <f t="shared" si="113"/>
        <v>0</v>
      </c>
      <c r="AI168" s="1">
        <f t="shared" si="114"/>
        <v>1</v>
      </c>
    </row>
    <row r="169" spans="1:35" ht="14.25" customHeight="1" x14ac:dyDescent="0.3">
      <c r="A169" s="31">
        <v>0</v>
      </c>
      <c r="B169" s="31">
        <v>1</v>
      </c>
      <c r="C169" s="31">
        <v>3</v>
      </c>
      <c r="D169" s="32" t="s">
        <v>141</v>
      </c>
      <c r="E169" s="32" t="s">
        <v>171</v>
      </c>
      <c r="F169" s="32" t="s">
        <v>341</v>
      </c>
      <c r="G169" s="32" t="s">
        <v>39</v>
      </c>
      <c r="H169" s="32" t="s">
        <v>375</v>
      </c>
      <c r="I169" s="31" t="s">
        <v>487</v>
      </c>
      <c r="J169" s="31">
        <v>15</v>
      </c>
      <c r="K169" s="33" t="s">
        <v>699</v>
      </c>
      <c r="L169" s="33" t="s">
        <v>689</v>
      </c>
      <c r="M169" s="34" t="s">
        <v>688</v>
      </c>
      <c r="N169" s="34" t="s">
        <v>1730</v>
      </c>
      <c r="O169" s="35">
        <v>1</v>
      </c>
      <c r="P169" s="35">
        <v>1</v>
      </c>
      <c r="Q169" s="36" t="s">
        <v>1888</v>
      </c>
      <c r="S169" s="1">
        <f t="shared" si="115"/>
        <v>0</v>
      </c>
      <c r="T169" s="1">
        <f t="shared" si="116"/>
        <v>0</v>
      </c>
      <c r="U169" s="1">
        <f t="shared" si="117"/>
        <v>0</v>
      </c>
      <c r="V169" s="1">
        <f t="shared" si="118"/>
        <v>0</v>
      </c>
      <c r="W169" s="1">
        <f t="shared" si="119"/>
        <v>0</v>
      </c>
      <c r="X169" s="1">
        <f t="shared" si="120"/>
        <v>0</v>
      </c>
      <c r="Y169" s="1">
        <f t="shared" si="121"/>
        <v>0</v>
      </c>
      <c r="Z169" s="1">
        <f t="shared" si="122"/>
        <v>0</v>
      </c>
      <c r="AA169" s="1">
        <f t="shared" si="123"/>
        <v>0</v>
      </c>
      <c r="AB169" s="1">
        <f t="shared" si="124"/>
        <v>0</v>
      </c>
      <c r="AD169" s="1">
        <f t="shared" si="125"/>
        <v>1</v>
      </c>
      <c r="AE169" s="1">
        <f t="shared" si="126"/>
        <v>0</v>
      </c>
      <c r="AF169" s="1">
        <f t="shared" si="111"/>
        <v>1</v>
      </c>
      <c r="AG169" s="1">
        <f t="shared" si="112"/>
        <v>0</v>
      </c>
      <c r="AH169" s="1">
        <f t="shared" si="113"/>
        <v>1</v>
      </c>
      <c r="AI169" s="1">
        <f t="shared" si="114"/>
        <v>0</v>
      </c>
    </row>
    <row r="170" spans="1:35" ht="14.25" customHeight="1" x14ac:dyDescent="0.3">
      <c r="A170" s="31">
        <v>0</v>
      </c>
      <c r="B170" s="31">
        <v>1</v>
      </c>
      <c r="C170" s="31">
        <v>3</v>
      </c>
      <c r="D170" s="32" t="s">
        <v>744</v>
      </c>
      <c r="E170" s="32" t="s">
        <v>607</v>
      </c>
      <c r="F170" s="32" t="s">
        <v>745</v>
      </c>
      <c r="G170" s="32" t="s">
        <v>39</v>
      </c>
      <c r="H170" s="32" t="s">
        <v>746</v>
      </c>
      <c r="I170" s="31" t="s">
        <v>747</v>
      </c>
      <c r="J170" s="31">
        <v>18</v>
      </c>
      <c r="K170" s="33" t="s">
        <v>700</v>
      </c>
      <c r="L170" s="33" t="s">
        <v>694</v>
      </c>
      <c r="M170" s="34" t="s">
        <v>688</v>
      </c>
      <c r="N170" s="34" t="s">
        <v>1846</v>
      </c>
      <c r="O170" s="35">
        <v>1</v>
      </c>
      <c r="P170" s="35"/>
      <c r="Q170" s="36"/>
      <c r="S170" s="1">
        <f t="shared" si="115"/>
        <v>0</v>
      </c>
      <c r="T170" s="1">
        <f t="shared" si="116"/>
        <v>0</v>
      </c>
      <c r="U170" s="1">
        <f t="shared" si="117"/>
        <v>0</v>
      </c>
      <c r="V170" s="1">
        <f t="shared" si="118"/>
        <v>0</v>
      </c>
      <c r="W170" s="1">
        <f t="shared" si="119"/>
        <v>0</v>
      </c>
      <c r="X170" s="1">
        <f t="shared" si="120"/>
        <v>0</v>
      </c>
      <c r="Y170" s="1">
        <f t="shared" si="121"/>
        <v>0</v>
      </c>
      <c r="Z170" s="1">
        <f t="shared" si="122"/>
        <v>0</v>
      </c>
      <c r="AA170" s="1">
        <f t="shared" si="123"/>
        <v>0</v>
      </c>
      <c r="AB170" s="1">
        <f t="shared" si="124"/>
        <v>0</v>
      </c>
      <c r="AD170" s="1">
        <f t="shared" si="125"/>
        <v>0</v>
      </c>
      <c r="AE170" s="1">
        <f t="shared" si="126"/>
        <v>1</v>
      </c>
      <c r="AF170" s="1">
        <f t="shared" si="111"/>
        <v>0</v>
      </c>
      <c r="AG170" s="1">
        <f t="shared" si="112"/>
        <v>1</v>
      </c>
      <c r="AH170" s="1">
        <f t="shared" si="113"/>
        <v>0</v>
      </c>
      <c r="AI170" s="1">
        <f t="shared" si="114"/>
        <v>1</v>
      </c>
    </row>
    <row r="171" spans="1:35" ht="14.25" customHeight="1" x14ac:dyDescent="0.3">
      <c r="A171" s="31">
        <v>0</v>
      </c>
      <c r="B171" s="31">
        <v>1</v>
      </c>
      <c r="C171" s="31">
        <v>3</v>
      </c>
      <c r="D171" s="36" t="s">
        <v>1838</v>
      </c>
      <c r="E171" s="32" t="s">
        <v>1084</v>
      </c>
      <c r="F171" s="32" t="s">
        <v>1823</v>
      </c>
      <c r="G171" s="32"/>
      <c r="H171" s="32" t="s">
        <v>370</v>
      </c>
      <c r="I171" s="31" t="s">
        <v>1824</v>
      </c>
      <c r="J171" s="31">
        <v>16</v>
      </c>
      <c r="K171" s="33" t="s">
        <v>700</v>
      </c>
      <c r="L171" s="33"/>
      <c r="M171" s="34"/>
      <c r="N171" s="34" t="s">
        <v>1724</v>
      </c>
      <c r="O171" s="35">
        <v>1</v>
      </c>
      <c r="P171" s="35">
        <v>1</v>
      </c>
      <c r="Q171" s="32"/>
      <c r="S171" s="1">
        <f t="shared" ref="S171:S172" si="143">IF(J171=$S$7,1,0)</f>
        <v>0</v>
      </c>
      <c r="T171" s="1">
        <f t="shared" ref="T171:T172" si="144">IF(J171=$T$7,1,0)</f>
        <v>0</v>
      </c>
      <c r="U171" s="1">
        <f t="shared" ref="U171:U172" si="145">IF(J171=$U$7,1,0)</f>
        <v>0</v>
      </c>
      <c r="V171" s="1">
        <f t="shared" ref="V171:V172" si="146">IF(J171=$V$7,1,0)</f>
        <v>0</v>
      </c>
      <c r="W171" s="1">
        <f t="shared" ref="W171:W172" si="147">IF(J171=$W$7,1,0)</f>
        <v>0</v>
      </c>
      <c r="X171" s="1">
        <f t="shared" ref="X171:X172" si="148">IF(J171=$X$7,1,0)</f>
        <v>0</v>
      </c>
      <c r="Y171" s="1">
        <f t="shared" ref="Y171:Y172" si="149">IF(J171=$Y$7,1,0)</f>
        <v>0</v>
      </c>
      <c r="Z171" s="1">
        <f t="shared" ref="Z171:Z172" si="150">IF(J171=$Z$7,1,0)</f>
        <v>0</v>
      </c>
      <c r="AA171" s="1">
        <f t="shared" ref="AA171:AA172" si="151">IF(J171=$AA$7,1,0)</f>
        <v>0</v>
      </c>
      <c r="AB171" s="1">
        <f t="shared" ref="AB171:AB172" si="152">IF(J171=$AB$7,1,0)</f>
        <v>0</v>
      </c>
      <c r="AD171" s="1">
        <f t="shared" ref="AD171:AD172" si="153">+O171*P171</f>
        <v>1</v>
      </c>
      <c r="AE171" s="1">
        <f t="shared" ref="AE171:AE172" si="154">O171*(1-P171)</f>
        <v>0</v>
      </c>
      <c r="AF171" s="1">
        <f t="shared" ref="AF171:AF172" si="155">+O171*P171*(1-A171)</f>
        <v>1</v>
      </c>
      <c r="AG171" s="1">
        <f t="shared" ref="AG171:AG172" si="156">O171*(1-P171)*(1-A171)</f>
        <v>0</v>
      </c>
      <c r="AH171" s="1">
        <f t="shared" ref="AH171:AH172" si="157">+P171*(1-A171)</f>
        <v>1</v>
      </c>
      <c r="AI171" s="1">
        <f t="shared" ref="AI171:AI172" si="158">+(1-A171)*(1-P171)</f>
        <v>0</v>
      </c>
    </row>
    <row r="172" spans="1:35" ht="14.25" customHeight="1" x14ac:dyDescent="0.3">
      <c r="A172" s="31">
        <v>0</v>
      </c>
      <c r="B172" s="31">
        <v>1</v>
      </c>
      <c r="C172" s="31">
        <v>3</v>
      </c>
      <c r="D172" s="32" t="s">
        <v>976</v>
      </c>
      <c r="E172" s="32" t="s">
        <v>607</v>
      </c>
      <c r="F172" s="32" t="s">
        <v>977</v>
      </c>
      <c r="G172" s="32" t="s">
        <v>202</v>
      </c>
      <c r="H172" s="32" t="s">
        <v>352</v>
      </c>
      <c r="I172" s="31" t="s">
        <v>978</v>
      </c>
      <c r="J172" s="31">
        <v>99</v>
      </c>
      <c r="K172" s="33" t="s">
        <v>953</v>
      </c>
      <c r="L172" s="33" t="s">
        <v>39</v>
      </c>
      <c r="M172" s="34" t="s">
        <v>39</v>
      </c>
      <c r="N172" s="34" t="s">
        <v>1724</v>
      </c>
      <c r="O172" s="35">
        <v>1</v>
      </c>
      <c r="P172" s="35">
        <v>1</v>
      </c>
      <c r="Q172" s="32"/>
      <c r="S172" s="1">
        <f t="shared" si="143"/>
        <v>0</v>
      </c>
      <c r="T172" s="1">
        <f t="shared" si="144"/>
        <v>0</v>
      </c>
      <c r="U172" s="1">
        <f t="shared" si="145"/>
        <v>0</v>
      </c>
      <c r="V172" s="1">
        <f t="shared" si="146"/>
        <v>0</v>
      </c>
      <c r="W172" s="1">
        <f t="shared" si="147"/>
        <v>0</v>
      </c>
      <c r="X172" s="1">
        <f t="shared" si="148"/>
        <v>0</v>
      </c>
      <c r="Y172" s="1">
        <f t="shared" si="149"/>
        <v>0</v>
      </c>
      <c r="Z172" s="1">
        <f t="shared" si="150"/>
        <v>0</v>
      </c>
      <c r="AA172" s="1">
        <f t="shared" si="151"/>
        <v>0</v>
      </c>
      <c r="AB172" s="1">
        <f t="shared" si="152"/>
        <v>0</v>
      </c>
      <c r="AD172" s="1">
        <f t="shared" si="153"/>
        <v>1</v>
      </c>
      <c r="AE172" s="1">
        <f t="shared" si="154"/>
        <v>0</v>
      </c>
      <c r="AF172" s="1">
        <f t="shared" si="155"/>
        <v>1</v>
      </c>
      <c r="AG172" s="1">
        <f t="shared" si="156"/>
        <v>0</v>
      </c>
      <c r="AH172" s="1">
        <f t="shared" si="157"/>
        <v>1</v>
      </c>
      <c r="AI172" s="1">
        <f t="shared" si="158"/>
        <v>0</v>
      </c>
    </row>
    <row r="173" spans="1:35" ht="14.25" customHeight="1" x14ac:dyDescent="0.3">
      <c r="A173" s="31">
        <v>0</v>
      </c>
      <c r="B173" s="31">
        <v>1</v>
      </c>
      <c r="C173" s="31">
        <v>3</v>
      </c>
      <c r="D173" s="32" t="s">
        <v>148</v>
      </c>
      <c r="E173" s="32" t="s">
        <v>171</v>
      </c>
      <c r="F173" s="32" t="s">
        <v>348</v>
      </c>
      <c r="G173" s="32" t="s">
        <v>39</v>
      </c>
      <c r="H173" s="32" t="s">
        <v>378</v>
      </c>
      <c r="I173" s="31" t="s">
        <v>493</v>
      </c>
      <c r="J173" s="31">
        <v>14</v>
      </c>
      <c r="K173" s="33" t="s">
        <v>961</v>
      </c>
      <c r="L173" s="33" t="s">
        <v>39</v>
      </c>
      <c r="M173" s="34" t="s">
        <v>39</v>
      </c>
      <c r="N173" s="34" t="s">
        <v>1730</v>
      </c>
      <c r="O173" s="35">
        <v>1</v>
      </c>
      <c r="P173" s="35">
        <v>1</v>
      </c>
      <c r="Q173" s="32"/>
      <c r="S173" s="1">
        <f t="shared" si="115"/>
        <v>0</v>
      </c>
      <c r="T173" s="1">
        <f t="shared" si="116"/>
        <v>0</v>
      </c>
      <c r="U173" s="1">
        <f t="shared" si="117"/>
        <v>0</v>
      </c>
      <c r="V173" s="1">
        <f t="shared" si="118"/>
        <v>0</v>
      </c>
      <c r="W173" s="1">
        <f t="shared" si="119"/>
        <v>0</v>
      </c>
      <c r="X173" s="1">
        <f t="shared" si="120"/>
        <v>0</v>
      </c>
      <c r="Y173" s="1">
        <f t="shared" si="121"/>
        <v>0</v>
      </c>
      <c r="Z173" s="1">
        <f t="shared" si="122"/>
        <v>0</v>
      </c>
      <c r="AA173" s="1">
        <f t="shared" si="123"/>
        <v>0</v>
      </c>
      <c r="AB173" s="1">
        <f t="shared" si="124"/>
        <v>0</v>
      </c>
      <c r="AD173" s="1">
        <f t="shared" si="125"/>
        <v>1</v>
      </c>
      <c r="AE173" s="1">
        <f t="shared" si="126"/>
        <v>0</v>
      </c>
      <c r="AF173" s="1">
        <f t="shared" si="111"/>
        <v>1</v>
      </c>
      <c r="AG173" s="1">
        <f t="shared" si="112"/>
        <v>0</v>
      </c>
      <c r="AH173" s="1">
        <f t="shared" si="113"/>
        <v>1</v>
      </c>
      <c r="AI173" s="1">
        <f t="shared" si="114"/>
        <v>0</v>
      </c>
    </row>
    <row r="174" spans="1:35" ht="14.25" customHeight="1" x14ac:dyDescent="0.3">
      <c r="A174" s="31">
        <v>0</v>
      </c>
      <c r="B174" s="31">
        <v>1</v>
      </c>
      <c r="C174" s="31">
        <v>3</v>
      </c>
      <c r="D174" s="32" t="s">
        <v>1986</v>
      </c>
      <c r="E174" s="32" t="s">
        <v>1987</v>
      </c>
      <c r="F174" s="32" t="s">
        <v>1988</v>
      </c>
      <c r="G174" s="32" t="s">
        <v>532</v>
      </c>
      <c r="H174" s="32" t="s">
        <v>352</v>
      </c>
      <c r="I174" s="31" t="s">
        <v>1989</v>
      </c>
      <c r="J174" s="31"/>
      <c r="K174" s="33" t="s">
        <v>700</v>
      </c>
      <c r="L174" s="33"/>
      <c r="M174" s="34"/>
      <c r="N174" s="34" t="s">
        <v>1730</v>
      </c>
      <c r="O174" s="35">
        <v>1</v>
      </c>
      <c r="P174" s="35">
        <v>1</v>
      </c>
      <c r="Q174" s="32"/>
      <c r="S174" s="1">
        <f t="shared" si="115"/>
        <v>0</v>
      </c>
      <c r="T174" s="1">
        <f t="shared" si="116"/>
        <v>0</v>
      </c>
      <c r="U174" s="1">
        <f t="shared" si="117"/>
        <v>0</v>
      </c>
      <c r="V174" s="1">
        <f t="shared" si="118"/>
        <v>0</v>
      </c>
      <c r="W174" s="1">
        <f t="shared" si="119"/>
        <v>0</v>
      </c>
      <c r="X174" s="1">
        <f t="shared" si="120"/>
        <v>0</v>
      </c>
      <c r="Y174" s="1">
        <f t="shared" si="121"/>
        <v>0</v>
      </c>
      <c r="Z174" s="1">
        <f t="shared" si="122"/>
        <v>0</v>
      </c>
      <c r="AA174" s="1">
        <f t="shared" si="123"/>
        <v>0</v>
      </c>
      <c r="AB174" s="1">
        <f t="shared" si="124"/>
        <v>0</v>
      </c>
      <c r="AD174" s="1">
        <f t="shared" si="125"/>
        <v>1</v>
      </c>
      <c r="AE174" s="1">
        <f t="shared" si="126"/>
        <v>0</v>
      </c>
      <c r="AF174" s="1">
        <f t="shared" si="111"/>
        <v>1</v>
      </c>
      <c r="AG174" s="1">
        <f t="shared" si="112"/>
        <v>0</v>
      </c>
      <c r="AH174" s="1">
        <f t="shared" si="113"/>
        <v>1</v>
      </c>
      <c r="AI174" s="1">
        <f t="shared" si="114"/>
        <v>0</v>
      </c>
    </row>
    <row r="175" spans="1:35" ht="14.25" customHeight="1" x14ac:dyDescent="0.3">
      <c r="A175" s="31">
        <v>0</v>
      </c>
      <c r="B175" s="31">
        <v>1</v>
      </c>
      <c r="C175" s="31">
        <v>3</v>
      </c>
      <c r="D175" s="32" t="s">
        <v>632</v>
      </c>
      <c r="E175" s="32" t="s">
        <v>171</v>
      </c>
      <c r="F175" s="32" t="s">
        <v>634</v>
      </c>
      <c r="G175" s="32" t="s">
        <v>237</v>
      </c>
      <c r="H175" s="32" t="s">
        <v>352</v>
      </c>
      <c r="I175" s="31" t="s">
        <v>633</v>
      </c>
      <c r="J175" s="31">
        <v>4</v>
      </c>
      <c r="K175" s="33" t="s">
        <v>953</v>
      </c>
      <c r="L175" s="33" t="s">
        <v>39</v>
      </c>
      <c r="M175" s="34" t="s">
        <v>39</v>
      </c>
      <c r="N175" s="34" t="s">
        <v>1730</v>
      </c>
      <c r="O175" s="35">
        <v>1</v>
      </c>
      <c r="P175" s="35">
        <v>1</v>
      </c>
      <c r="Q175" s="32"/>
      <c r="S175" s="1">
        <f t="shared" si="115"/>
        <v>0</v>
      </c>
      <c r="T175" s="1">
        <f t="shared" si="116"/>
        <v>0</v>
      </c>
      <c r="U175" s="1">
        <f t="shared" si="117"/>
        <v>0</v>
      </c>
      <c r="V175" s="1">
        <f t="shared" si="118"/>
        <v>1</v>
      </c>
      <c r="W175" s="1">
        <f t="shared" si="119"/>
        <v>0</v>
      </c>
      <c r="X175" s="1">
        <f t="shared" si="120"/>
        <v>0</v>
      </c>
      <c r="Y175" s="1">
        <f t="shared" si="121"/>
        <v>0</v>
      </c>
      <c r="Z175" s="1">
        <f t="shared" si="122"/>
        <v>0</v>
      </c>
      <c r="AA175" s="1">
        <f t="shared" si="123"/>
        <v>0</v>
      </c>
      <c r="AB175" s="1">
        <f t="shared" si="124"/>
        <v>0</v>
      </c>
      <c r="AD175" s="1">
        <f t="shared" si="125"/>
        <v>1</v>
      </c>
      <c r="AE175" s="1">
        <f t="shared" si="126"/>
        <v>0</v>
      </c>
      <c r="AF175" s="1">
        <f t="shared" si="111"/>
        <v>1</v>
      </c>
      <c r="AG175" s="1">
        <f t="shared" si="112"/>
        <v>0</v>
      </c>
      <c r="AH175" s="1">
        <f t="shared" si="113"/>
        <v>1</v>
      </c>
      <c r="AI175" s="1">
        <f t="shared" si="114"/>
        <v>0</v>
      </c>
    </row>
    <row r="176" spans="1:35" ht="14.25" customHeight="1" x14ac:dyDescent="0.3">
      <c r="A176" s="15">
        <v>0</v>
      </c>
      <c r="B176" s="15">
        <v>1</v>
      </c>
      <c r="C176" s="15">
        <v>3</v>
      </c>
      <c r="D176" s="16" t="s">
        <v>1525</v>
      </c>
      <c r="E176" s="16" t="s">
        <v>1084</v>
      </c>
      <c r="F176" s="16" t="s">
        <v>1526</v>
      </c>
      <c r="G176" s="16" t="s">
        <v>217</v>
      </c>
      <c r="H176" s="16" t="s">
        <v>352</v>
      </c>
      <c r="I176" s="15" t="s">
        <v>1527</v>
      </c>
      <c r="J176" s="15">
        <v>99</v>
      </c>
      <c r="K176" s="10" t="s">
        <v>700</v>
      </c>
      <c r="L176" s="10">
        <v>40</v>
      </c>
      <c r="M176" s="19" t="s">
        <v>967</v>
      </c>
      <c r="N176" s="19"/>
      <c r="Q176" s="16"/>
      <c r="S176" s="1">
        <f t="shared" si="115"/>
        <v>0</v>
      </c>
      <c r="T176" s="1">
        <f t="shared" si="116"/>
        <v>0</v>
      </c>
      <c r="U176" s="1">
        <f t="shared" si="117"/>
        <v>0</v>
      </c>
      <c r="V176" s="1">
        <f t="shared" si="118"/>
        <v>0</v>
      </c>
      <c r="W176" s="1">
        <f t="shared" si="119"/>
        <v>0</v>
      </c>
      <c r="X176" s="1">
        <f t="shared" si="120"/>
        <v>0</v>
      </c>
      <c r="Y176" s="1">
        <f t="shared" si="121"/>
        <v>0</v>
      </c>
      <c r="Z176" s="1">
        <f t="shared" si="122"/>
        <v>0</v>
      </c>
      <c r="AA176" s="1">
        <f t="shared" si="123"/>
        <v>0</v>
      </c>
      <c r="AB176" s="1">
        <f t="shared" si="124"/>
        <v>0</v>
      </c>
      <c r="AD176" s="1">
        <f t="shared" si="125"/>
        <v>0</v>
      </c>
      <c r="AE176" s="1">
        <f t="shared" si="126"/>
        <v>0</v>
      </c>
      <c r="AF176" s="1">
        <f t="shared" si="111"/>
        <v>0</v>
      </c>
      <c r="AG176" s="1">
        <f t="shared" si="112"/>
        <v>0</v>
      </c>
      <c r="AH176" s="1">
        <f t="shared" si="113"/>
        <v>0</v>
      </c>
      <c r="AI176" s="1">
        <f t="shared" si="114"/>
        <v>1</v>
      </c>
    </row>
    <row r="177" spans="1:35" ht="14.25" customHeight="1" x14ac:dyDescent="0.3">
      <c r="A177" s="31">
        <v>0</v>
      </c>
      <c r="B177" s="31">
        <v>1</v>
      </c>
      <c r="C177" s="31">
        <v>3</v>
      </c>
      <c r="D177" s="32" t="s">
        <v>101</v>
      </c>
      <c r="E177" s="32" t="s">
        <v>171</v>
      </c>
      <c r="F177" s="32" t="s">
        <v>297</v>
      </c>
      <c r="G177" s="32" t="s">
        <v>298</v>
      </c>
      <c r="H177" s="32" t="s">
        <v>352</v>
      </c>
      <c r="I177" s="31" t="s">
        <v>446</v>
      </c>
      <c r="J177" s="31">
        <v>99</v>
      </c>
      <c r="K177" s="33" t="s">
        <v>955</v>
      </c>
      <c r="L177" s="33" t="s">
        <v>690</v>
      </c>
      <c r="M177" s="34" t="s">
        <v>688</v>
      </c>
      <c r="N177" s="34" t="s">
        <v>1740</v>
      </c>
      <c r="O177" s="35">
        <v>1</v>
      </c>
      <c r="P177" s="35"/>
      <c r="Q177" s="32"/>
      <c r="S177" s="1">
        <f t="shared" si="115"/>
        <v>0</v>
      </c>
      <c r="T177" s="1">
        <f t="shared" si="116"/>
        <v>0</v>
      </c>
      <c r="U177" s="1">
        <f t="shared" si="117"/>
        <v>0</v>
      </c>
      <c r="V177" s="1">
        <f t="shared" si="118"/>
        <v>0</v>
      </c>
      <c r="W177" s="1">
        <f t="shared" si="119"/>
        <v>0</v>
      </c>
      <c r="X177" s="1">
        <f t="shared" si="120"/>
        <v>0</v>
      </c>
      <c r="Y177" s="1">
        <f t="shared" si="121"/>
        <v>0</v>
      </c>
      <c r="Z177" s="1">
        <f t="shared" si="122"/>
        <v>0</v>
      </c>
      <c r="AA177" s="1">
        <f t="shared" si="123"/>
        <v>0</v>
      </c>
      <c r="AB177" s="1">
        <f t="shared" si="124"/>
        <v>0</v>
      </c>
      <c r="AD177" s="1">
        <f t="shared" si="125"/>
        <v>0</v>
      </c>
      <c r="AE177" s="1">
        <f t="shared" si="126"/>
        <v>1</v>
      </c>
      <c r="AF177" s="1">
        <f t="shared" si="111"/>
        <v>0</v>
      </c>
      <c r="AG177" s="1">
        <f t="shared" si="112"/>
        <v>1</v>
      </c>
      <c r="AH177" s="1">
        <f t="shared" si="113"/>
        <v>0</v>
      </c>
      <c r="AI177" s="1">
        <f t="shared" si="114"/>
        <v>1</v>
      </c>
    </row>
    <row r="178" spans="1:35" ht="14.25" customHeight="1" x14ac:dyDescent="0.3">
      <c r="A178" s="44">
        <v>0</v>
      </c>
      <c r="B178" s="44">
        <v>1</v>
      </c>
      <c r="C178" s="44">
        <v>3</v>
      </c>
      <c r="D178" s="45" t="s">
        <v>987</v>
      </c>
      <c r="E178" s="45" t="s">
        <v>171</v>
      </c>
      <c r="F178" s="45" t="s">
        <v>990</v>
      </c>
      <c r="G178" s="45" t="s">
        <v>39</v>
      </c>
      <c r="H178" s="45" t="s">
        <v>989</v>
      </c>
      <c r="I178" s="44" t="s">
        <v>988</v>
      </c>
      <c r="J178" s="44">
        <v>14</v>
      </c>
      <c r="K178" s="46" t="s">
        <v>719</v>
      </c>
      <c r="L178" s="46" t="s">
        <v>691</v>
      </c>
      <c r="M178" s="47" t="s">
        <v>968</v>
      </c>
      <c r="N178" s="47" t="s">
        <v>1732</v>
      </c>
      <c r="O178" s="48"/>
      <c r="P178" s="48"/>
      <c r="Q178" s="45"/>
      <c r="S178" s="1">
        <f t="shared" si="115"/>
        <v>0</v>
      </c>
      <c r="T178" s="1">
        <f t="shared" si="116"/>
        <v>0</v>
      </c>
      <c r="U178" s="1">
        <f t="shared" si="117"/>
        <v>0</v>
      </c>
      <c r="V178" s="1">
        <f t="shared" si="118"/>
        <v>0</v>
      </c>
      <c r="W178" s="1">
        <f t="shared" si="119"/>
        <v>0</v>
      </c>
      <c r="X178" s="1">
        <f t="shared" si="120"/>
        <v>0</v>
      </c>
      <c r="Y178" s="1">
        <f t="shared" si="121"/>
        <v>0</v>
      </c>
      <c r="Z178" s="1">
        <f t="shared" si="122"/>
        <v>0</v>
      </c>
      <c r="AA178" s="1">
        <f t="shared" si="123"/>
        <v>0</v>
      </c>
      <c r="AB178" s="1">
        <f t="shared" si="124"/>
        <v>0</v>
      </c>
      <c r="AD178" s="1">
        <f t="shared" si="125"/>
        <v>0</v>
      </c>
      <c r="AE178" s="1">
        <f t="shared" si="126"/>
        <v>0</v>
      </c>
      <c r="AF178" s="1">
        <f t="shared" si="111"/>
        <v>0</v>
      </c>
      <c r="AG178" s="1">
        <f t="shared" si="112"/>
        <v>0</v>
      </c>
      <c r="AH178" s="1">
        <f t="shared" si="113"/>
        <v>0</v>
      </c>
      <c r="AI178" s="1">
        <f t="shared" si="114"/>
        <v>1</v>
      </c>
    </row>
    <row r="179" spans="1:35" ht="14.25" customHeight="1" x14ac:dyDescent="0.3">
      <c r="A179" s="57">
        <v>0</v>
      </c>
      <c r="B179" s="57">
        <v>1</v>
      </c>
      <c r="C179" s="57">
        <v>3</v>
      </c>
      <c r="D179" s="58" t="s">
        <v>1641</v>
      </c>
      <c r="E179" s="58" t="s">
        <v>171</v>
      </c>
      <c r="F179" s="58" t="s">
        <v>770</v>
      </c>
      <c r="G179" s="58" t="s">
        <v>39</v>
      </c>
      <c r="H179" s="58" t="s">
        <v>365</v>
      </c>
      <c r="I179" s="57" t="s">
        <v>778</v>
      </c>
      <c r="J179" s="57">
        <v>18</v>
      </c>
      <c r="K179" s="59" t="s">
        <v>1694</v>
      </c>
      <c r="L179" s="59" t="s">
        <v>39</v>
      </c>
      <c r="M179" s="60" t="s">
        <v>771</v>
      </c>
      <c r="N179" s="61"/>
      <c r="O179" s="62"/>
      <c r="P179" s="62"/>
      <c r="Q179" s="58"/>
      <c r="S179" s="1">
        <f t="shared" si="115"/>
        <v>0</v>
      </c>
      <c r="T179" s="1">
        <f t="shared" si="116"/>
        <v>0</v>
      </c>
      <c r="U179" s="1">
        <f t="shared" si="117"/>
        <v>0</v>
      </c>
      <c r="V179" s="1">
        <f t="shared" si="118"/>
        <v>0</v>
      </c>
      <c r="W179" s="1">
        <f t="shared" si="119"/>
        <v>0</v>
      </c>
      <c r="X179" s="1">
        <f t="shared" si="120"/>
        <v>0</v>
      </c>
      <c r="Y179" s="1">
        <f t="shared" si="121"/>
        <v>0</v>
      </c>
      <c r="Z179" s="1">
        <f t="shared" si="122"/>
        <v>0</v>
      </c>
      <c r="AA179" s="1">
        <f t="shared" si="123"/>
        <v>0</v>
      </c>
      <c r="AB179" s="1">
        <f t="shared" si="124"/>
        <v>0</v>
      </c>
      <c r="AD179" s="1">
        <f t="shared" si="125"/>
        <v>0</v>
      </c>
      <c r="AE179" s="1">
        <f t="shared" si="126"/>
        <v>0</v>
      </c>
      <c r="AF179" s="1">
        <f t="shared" si="111"/>
        <v>0</v>
      </c>
      <c r="AG179" s="1">
        <f t="shared" si="112"/>
        <v>0</v>
      </c>
      <c r="AH179" s="1">
        <f t="shared" si="113"/>
        <v>0</v>
      </c>
      <c r="AI179" s="1">
        <f t="shared" si="114"/>
        <v>1</v>
      </c>
    </row>
    <row r="180" spans="1:35" ht="14.25" customHeight="1" x14ac:dyDescent="0.3">
      <c r="A180" s="49">
        <v>0</v>
      </c>
      <c r="B180" s="49">
        <v>1</v>
      </c>
      <c r="C180" s="49">
        <v>3</v>
      </c>
      <c r="D180" s="50" t="s">
        <v>134</v>
      </c>
      <c r="E180" s="50" t="s">
        <v>171</v>
      </c>
      <c r="F180" s="50" t="s">
        <v>656</v>
      </c>
      <c r="G180" s="50" t="s">
        <v>256</v>
      </c>
      <c r="H180" s="50" t="s">
        <v>352</v>
      </c>
      <c r="I180" s="49" t="s">
        <v>1690</v>
      </c>
      <c r="J180" s="49">
        <v>99</v>
      </c>
      <c r="K180" s="51" t="s">
        <v>719</v>
      </c>
      <c r="L180" s="51" t="s">
        <v>684</v>
      </c>
      <c r="M180" s="52" t="s">
        <v>1394</v>
      </c>
      <c r="N180" s="52" t="s">
        <v>1740</v>
      </c>
      <c r="O180" s="53">
        <v>1</v>
      </c>
      <c r="P180" s="53"/>
      <c r="Q180" s="50" t="s">
        <v>1927</v>
      </c>
      <c r="S180" s="1">
        <f t="shared" si="115"/>
        <v>0</v>
      </c>
      <c r="T180" s="1">
        <f t="shared" si="116"/>
        <v>0</v>
      </c>
      <c r="U180" s="1">
        <f t="shared" si="117"/>
        <v>0</v>
      </c>
      <c r="V180" s="1">
        <f t="shared" si="118"/>
        <v>0</v>
      </c>
      <c r="W180" s="1">
        <f t="shared" si="119"/>
        <v>0</v>
      </c>
      <c r="X180" s="1">
        <f t="shared" si="120"/>
        <v>0</v>
      </c>
      <c r="Y180" s="1">
        <f t="shared" si="121"/>
        <v>0</v>
      </c>
      <c r="Z180" s="1">
        <f t="shared" si="122"/>
        <v>0</v>
      </c>
      <c r="AA180" s="1">
        <f t="shared" si="123"/>
        <v>0</v>
      </c>
      <c r="AB180" s="1">
        <f t="shared" si="124"/>
        <v>0</v>
      </c>
      <c r="AD180" s="1">
        <f t="shared" si="125"/>
        <v>0</v>
      </c>
      <c r="AE180" s="1">
        <f t="shared" si="126"/>
        <v>1</v>
      </c>
      <c r="AF180" s="1">
        <f t="shared" si="111"/>
        <v>0</v>
      </c>
      <c r="AG180" s="1">
        <f t="shared" si="112"/>
        <v>1</v>
      </c>
      <c r="AH180" s="1">
        <f t="shared" si="113"/>
        <v>0</v>
      </c>
      <c r="AI180" s="1">
        <f t="shared" si="114"/>
        <v>1</v>
      </c>
    </row>
    <row r="181" spans="1:35" ht="14.25" customHeight="1" x14ac:dyDescent="0.3">
      <c r="A181" s="15">
        <v>0</v>
      </c>
      <c r="B181" s="15">
        <v>1</v>
      </c>
      <c r="C181" s="15">
        <v>3</v>
      </c>
      <c r="D181" s="16" t="s">
        <v>920</v>
      </c>
      <c r="E181" s="16" t="s">
        <v>169</v>
      </c>
      <c r="F181" s="16" t="s">
        <v>937</v>
      </c>
      <c r="G181" s="16" t="s">
        <v>39</v>
      </c>
      <c r="H181" s="16" t="s">
        <v>363</v>
      </c>
      <c r="I181" s="15" t="s">
        <v>880</v>
      </c>
      <c r="J181" s="15">
        <v>18</v>
      </c>
      <c r="K181" s="10" t="s">
        <v>699</v>
      </c>
      <c r="L181" s="10" t="s">
        <v>694</v>
      </c>
      <c r="M181" s="19" t="s">
        <v>968</v>
      </c>
      <c r="N181" s="17"/>
      <c r="Q181" s="16"/>
      <c r="S181" s="1">
        <f t="shared" si="115"/>
        <v>0</v>
      </c>
      <c r="T181" s="1">
        <f t="shared" si="116"/>
        <v>0</v>
      </c>
      <c r="U181" s="1">
        <f t="shared" si="117"/>
        <v>0</v>
      </c>
      <c r="V181" s="1">
        <f t="shared" si="118"/>
        <v>0</v>
      </c>
      <c r="W181" s="1">
        <f t="shared" si="119"/>
        <v>0</v>
      </c>
      <c r="X181" s="1">
        <f t="shared" si="120"/>
        <v>0</v>
      </c>
      <c r="Y181" s="1">
        <f t="shared" si="121"/>
        <v>0</v>
      </c>
      <c r="Z181" s="1">
        <f t="shared" si="122"/>
        <v>0</v>
      </c>
      <c r="AA181" s="1">
        <f t="shared" si="123"/>
        <v>0</v>
      </c>
      <c r="AB181" s="1">
        <f t="shared" si="124"/>
        <v>0</v>
      </c>
      <c r="AD181" s="1">
        <f t="shared" si="125"/>
        <v>0</v>
      </c>
      <c r="AE181" s="1">
        <f t="shared" si="126"/>
        <v>0</v>
      </c>
      <c r="AF181" s="1">
        <f t="shared" si="111"/>
        <v>0</v>
      </c>
      <c r="AG181" s="1">
        <f t="shared" si="112"/>
        <v>0</v>
      </c>
      <c r="AH181" s="1">
        <f t="shared" si="113"/>
        <v>0</v>
      </c>
      <c r="AI181" s="1">
        <f t="shared" si="114"/>
        <v>1</v>
      </c>
    </row>
    <row r="182" spans="1:35" ht="14.25" customHeight="1" x14ac:dyDescent="0.3">
      <c r="A182" s="31">
        <v>0</v>
      </c>
      <c r="B182" s="31">
        <v>1</v>
      </c>
      <c r="C182" s="31">
        <v>3</v>
      </c>
      <c r="D182" s="32" t="s">
        <v>1257</v>
      </c>
      <c r="E182" s="32" t="s">
        <v>169</v>
      </c>
      <c r="F182" s="32" t="s">
        <v>1673</v>
      </c>
      <c r="G182" s="32" t="s">
        <v>39</v>
      </c>
      <c r="H182" s="32" t="s">
        <v>768</v>
      </c>
      <c r="I182" s="31" t="s">
        <v>1258</v>
      </c>
      <c r="J182" s="31">
        <v>11</v>
      </c>
      <c r="K182" s="33" t="s">
        <v>719</v>
      </c>
      <c r="L182" s="33" t="s">
        <v>686</v>
      </c>
      <c r="M182" s="34" t="s">
        <v>1395</v>
      </c>
      <c r="N182" s="34" t="s">
        <v>1746</v>
      </c>
      <c r="O182" s="35">
        <v>1</v>
      </c>
      <c r="P182" s="35"/>
      <c r="Q182" s="32"/>
      <c r="S182" s="1">
        <f t="shared" si="115"/>
        <v>0</v>
      </c>
      <c r="T182" s="1">
        <f t="shared" si="116"/>
        <v>0</v>
      </c>
      <c r="U182" s="1">
        <f t="shared" si="117"/>
        <v>0</v>
      </c>
      <c r="V182" s="1">
        <f t="shared" si="118"/>
        <v>0</v>
      </c>
      <c r="W182" s="1">
        <f t="shared" si="119"/>
        <v>0</v>
      </c>
      <c r="X182" s="1">
        <f t="shared" si="120"/>
        <v>0</v>
      </c>
      <c r="Y182" s="1">
        <f t="shared" si="121"/>
        <v>0</v>
      </c>
      <c r="Z182" s="1">
        <f t="shared" si="122"/>
        <v>0</v>
      </c>
      <c r="AA182" s="1">
        <f t="shared" si="123"/>
        <v>0</v>
      </c>
      <c r="AB182" s="1">
        <f t="shared" si="124"/>
        <v>0</v>
      </c>
      <c r="AD182" s="1">
        <f t="shared" si="125"/>
        <v>0</v>
      </c>
      <c r="AE182" s="1">
        <f t="shared" si="126"/>
        <v>1</v>
      </c>
      <c r="AF182" s="1">
        <f t="shared" si="111"/>
        <v>0</v>
      </c>
      <c r="AG182" s="1">
        <f t="shared" si="112"/>
        <v>1</v>
      </c>
      <c r="AH182" s="1">
        <f t="shared" si="113"/>
        <v>0</v>
      </c>
      <c r="AI182" s="1">
        <f t="shared" si="114"/>
        <v>1</v>
      </c>
    </row>
    <row r="183" spans="1:35" ht="14.25" customHeight="1" x14ac:dyDescent="0.3">
      <c r="A183" s="31">
        <v>0</v>
      </c>
      <c r="B183" s="31">
        <v>1</v>
      </c>
      <c r="C183" s="31">
        <v>4</v>
      </c>
      <c r="D183" s="32" t="s">
        <v>993</v>
      </c>
      <c r="E183" s="32" t="s">
        <v>769</v>
      </c>
      <c r="F183" s="32" t="s">
        <v>1091</v>
      </c>
      <c r="G183" s="32" t="s">
        <v>199</v>
      </c>
      <c r="H183" s="32" t="s">
        <v>352</v>
      </c>
      <c r="I183" s="31" t="s">
        <v>994</v>
      </c>
      <c r="J183" s="31">
        <v>2</v>
      </c>
      <c r="K183" s="33" t="s">
        <v>953</v>
      </c>
      <c r="L183" s="33" t="s">
        <v>690</v>
      </c>
      <c r="M183" s="34" t="s">
        <v>1396</v>
      </c>
      <c r="N183" s="34" t="s">
        <v>1724</v>
      </c>
      <c r="O183" s="35">
        <v>1</v>
      </c>
      <c r="P183" s="35">
        <v>1</v>
      </c>
      <c r="Q183" s="32"/>
      <c r="S183" s="1">
        <f t="shared" si="115"/>
        <v>0</v>
      </c>
      <c r="T183" s="1">
        <f t="shared" si="116"/>
        <v>1</v>
      </c>
      <c r="U183" s="1">
        <f t="shared" si="117"/>
        <v>0</v>
      </c>
      <c r="V183" s="1">
        <f t="shared" si="118"/>
        <v>0</v>
      </c>
      <c r="W183" s="1">
        <f t="shared" si="119"/>
        <v>0</v>
      </c>
      <c r="X183" s="1">
        <f t="shared" si="120"/>
        <v>0</v>
      </c>
      <c r="Y183" s="1">
        <f t="shared" si="121"/>
        <v>0</v>
      </c>
      <c r="Z183" s="1">
        <f t="shared" si="122"/>
        <v>0</v>
      </c>
      <c r="AA183" s="1">
        <f t="shared" si="123"/>
        <v>0</v>
      </c>
      <c r="AB183" s="1">
        <f t="shared" si="124"/>
        <v>0</v>
      </c>
      <c r="AD183" s="1">
        <f t="shared" si="125"/>
        <v>1</v>
      </c>
      <c r="AE183" s="1">
        <f t="shared" si="126"/>
        <v>0</v>
      </c>
      <c r="AF183" s="1">
        <f t="shared" si="111"/>
        <v>1</v>
      </c>
      <c r="AG183" s="1">
        <f t="shared" si="112"/>
        <v>0</v>
      </c>
      <c r="AH183" s="1">
        <f t="shared" si="113"/>
        <v>1</v>
      </c>
      <c r="AI183" s="1">
        <f t="shared" si="114"/>
        <v>0</v>
      </c>
    </row>
    <row r="184" spans="1:35" ht="14.25" customHeight="1" x14ac:dyDescent="0.3">
      <c r="A184" s="31">
        <v>0</v>
      </c>
      <c r="B184" s="31">
        <v>1</v>
      </c>
      <c r="C184" s="31">
        <v>4</v>
      </c>
      <c r="D184" s="32" t="s">
        <v>50</v>
      </c>
      <c r="E184" s="32" t="s">
        <v>769</v>
      </c>
      <c r="F184" s="32" t="s">
        <v>192</v>
      </c>
      <c r="G184" s="32" t="s">
        <v>193</v>
      </c>
      <c r="H184" s="32" t="s">
        <v>352</v>
      </c>
      <c r="I184" s="31" t="s">
        <v>385</v>
      </c>
      <c r="J184" s="31">
        <v>9</v>
      </c>
      <c r="K184" s="33" t="s">
        <v>953</v>
      </c>
      <c r="L184" s="33" t="s">
        <v>691</v>
      </c>
      <c r="M184" s="34" t="s">
        <v>966</v>
      </c>
      <c r="N184" s="34" t="s">
        <v>1798</v>
      </c>
      <c r="O184" s="35">
        <v>1</v>
      </c>
      <c r="P184" s="35"/>
      <c r="Q184" s="32"/>
      <c r="S184" s="1">
        <f t="shared" si="115"/>
        <v>0</v>
      </c>
      <c r="T184" s="1">
        <f t="shared" si="116"/>
        <v>0</v>
      </c>
      <c r="U184" s="1">
        <f t="shared" si="117"/>
        <v>0</v>
      </c>
      <c r="V184" s="1">
        <f t="shared" si="118"/>
        <v>0</v>
      </c>
      <c r="W184" s="1">
        <f t="shared" si="119"/>
        <v>0</v>
      </c>
      <c r="X184" s="1">
        <f t="shared" si="120"/>
        <v>0</v>
      </c>
      <c r="Y184" s="1">
        <f t="shared" si="121"/>
        <v>0</v>
      </c>
      <c r="Z184" s="1">
        <f t="shared" si="122"/>
        <v>0</v>
      </c>
      <c r="AA184" s="1">
        <f t="shared" si="123"/>
        <v>1</v>
      </c>
      <c r="AB184" s="1">
        <f t="shared" si="124"/>
        <v>0</v>
      </c>
      <c r="AD184" s="1">
        <f t="shared" si="125"/>
        <v>0</v>
      </c>
      <c r="AE184" s="1">
        <f t="shared" si="126"/>
        <v>1</v>
      </c>
      <c r="AF184" s="1">
        <f t="shared" si="111"/>
        <v>0</v>
      </c>
      <c r="AG184" s="1">
        <f t="shared" si="112"/>
        <v>1</v>
      </c>
      <c r="AH184" s="1">
        <f t="shared" si="113"/>
        <v>0</v>
      </c>
      <c r="AI184" s="1">
        <f t="shared" si="114"/>
        <v>1</v>
      </c>
    </row>
    <row r="185" spans="1:35" ht="14.25" customHeight="1" x14ac:dyDescent="0.3">
      <c r="A185" s="31">
        <v>0</v>
      </c>
      <c r="B185" s="31">
        <v>1</v>
      </c>
      <c r="C185" s="31">
        <v>4</v>
      </c>
      <c r="D185" s="36" t="s">
        <v>2080</v>
      </c>
      <c r="E185" s="32" t="s">
        <v>769</v>
      </c>
      <c r="F185" s="36" t="s">
        <v>2081</v>
      </c>
      <c r="G185" s="36" t="s">
        <v>212</v>
      </c>
      <c r="H185" s="36" t="s">
        <v>352</v>
      </c>
      <c r="I185" s="37" t="s">
        <v>2082</v>
      </c>
      <c r="J185" s="31">
        <v>1</v>
      </c>
      <c r="K185" s="33" t="s">
        <v>700</v>
      </c>
      <c r="L185" s="33"/>
      <c r="M185" s="34"/>
      <c r="N185" s="34" t="s">
        <v>1730</v>
      </c>
      <c r="O185" s="35">
        <v>1</v>
      </c>
      <c r="P185" s="35">
        <v>1</v>
      </c>
      <c r="Q185" s="32" t="s">
        <v>2083</v>
      </c>
      <c r="S185" s="1">
        <f t="shared" si="115"/>
        <v>1</v>
      </c>
      <c r="T185" s="1">
        <f t="shared" si="116"/>
        <v>0</v>
      </c>
      <c r="U185" s="1">
        <f t="shared" si="117"/>
        <v>0</v>
      </c>
      <c r="V185" s="1">
        <f t="shared" si="118"/>
        <v>0</v>
      </c>
      <c r="W185" s="1">
        <f t="shared" si="119"/>
        <v>0</v>
      </c>
      <c r="X185" s="1">
        <f t="shared" si="120"/>
        <v>0</v>
      </c>
      <c r="Y185" s="1">
        <f t="shared" si="121"/>
        <v>0</v>
      </c>
      <c r="Z185" s="1">
        <f t="shared" si="122"/>
        <v>0</v>
      </c>
      <c r="AA185" s="1">
        <f t="shared" si="123"/>
        <v>0</v>
      </c>
      <c r="AB185" s="1">
        <f t="shared" si="124"/>
        <v>0</v>
      </c>
      <c r="AD185" s="1">
        <f t="shared" si="125"/>
        <v>1</v>
      </c>
      <c r="AE185" s="1">
        <f t="shared" si="126"/>
        <v>0</v>
      </c>
      <c r="AF185" s="1">
        <f t="shared" si="111"/>
        <v>1</v>
      </c>
      <c r="AG185" s="1">
        <f t="shared" si="112"/>
        <v>0</v>
      </c>
      <c r="AH185" s="1">
        <f t="shared" si="113"/>
        <v>1</v>
      </c>
      <c r="AI185" s="1">
        <f t="shared" si="114"/>
        <v>0</v>
      </c>
    </row>
    <row r="186" spans="1:35" ht="14.25" customHeight="1" x14ac:dyDescent="0.3">
      <c r="A186" s="31">
        <v>0</v>
      </c>
      <c r="B186" s="31">
        <v>1</v>
      </c>
      <c r="C186" s="31">
        <v>4</v>
      </c>
      <c r="D186" s="32" t="s">
        <v>133</v>
      </c>
      <c r="E186" s="32" t="s">
        <v>176</v>
      </c>
      <c r="F186" s="32" t="s">
        <v>334</v>
      </c>
      <c r="G186" s="32" t="s">
        <v>212</v>
      </c>
      <c r="H186" s="32" t="s">
        <v>352</v>
      </c>
      <c r="I186" s="31" t="s">
        <v>480</v>
      </c>
      <c r="J186" s="31">
        <v>1</v>
      </c>
      <c r="K186" s="33" t="s">
        <v>953</v>
      </c>
      <c r="L186" s="33" t="s">
        <v>686</v>
      </c>
      <c r="M186" s="34" t="s">
        <v>688</v>
      </c>
      <c r="N186" s="34" t="s">
        <v>1740</v>
      </c>
      <c r="O186" s="35">
        <v>1</v>
      </c>
      <c r="P186" s="35"/>
      <c r="Q186" s="32"/>
      <c r="S186" s="1">
        <f t="shared" si="115"/>
        <v>1</v>
      </c>
      <c r="T186" s="1">
        <f t="shared" si="116"/>
        <v>0</v>
      </c>
      <c r="U186" s="1">
        <f t="shared" si="117"/>
        <v>0</v>
      </c>
      <c r="V186" s="1">
        <f t="shared" si="118"/>
        <v>0</v>
      </c>
      <c r="W186" s="1">
        <f t="shared" si="119"/>
        <v>0</v>
      </c>
      <c r="X186" s="1">
        <f t="shared" si="120"/>
        <v>0</v>
      </c>
      <c r="Y186" s="1">
        <f t="shared" si="121"/>
        <v>0</v>
      </c>
      <c r="Z186" s="1">
        <f t="shared" si="122"/>
        <v>0</v>
      </c>
      <c r="AA186" s="1">
        <f t="shared" si="123"/>
        <v>0</v>
      </c>
      <c r="AB186" s="1">
        <f t="shared" si="124"/>
        <v>0</v>
      </c>
      <c r="AD186" s="1">
        <f t="shared" si="125"/>
        <v>0</v>
      </c>
      <c r="AE186" s="1">
        <f t="shared" si="126"/>
        <v>1</v>
      </c>
      <c r="AF186" s="1">
        <f t="shared" si="111"/>
        <v>0</v>
      </c>
      <c r="AG186" s="1">
        <f t="shared" si="112"/>
        <v>1</v>
      </c>
      <c r="AH186" s="1">
        <f t="shared" si="113"/>
        <v>0</v>
      </c>
      <c r="AI186" s="1">
        <f t="shared" si="114"/>
        <v>1</v>
      </c>
    </row>
    <row r="187" spans="1:35" ht="14.25" customHeight="1" x14ac:dyDescent="0.3">
      <c r="A187" s="15">
        <v>0</v>
      </c>
      <c r="B187" s="15">
        <v>1</v>
      </c>
      <c r="C187" s="15">
        <v>4</v>
      </c>
      <c r="D187" s="16" t="s">
        <v>881</v>
      </c>
      <c r="E187" s="16" t="s">
        <v>769</v>
      </c>
      <c r="F187" s="16" t="s">
        <v>882</v>
      </c>
      <c r="G187" s="16" t="s">
        <v>39</v>
      </c>
      <c r="H187" s="16" t="s">
        <v>883</v>
      </c>
      <c r="I187" s="15" t="s">
        <v>947</v>
      </c>
      <c r="J187" s="15">
        <v>17</v>
      </c>
      <c r="K187" s="10" t="s">
        <v>700</v>
      </c>
      <c r="L187" s="10" t="s">
        <v>1138</v>
      </c>
      <c r="M187" s="19" t="s">
        <v>969</v>
      </c>
      <c r="N187" s="17"/>
      <c r="Q187" s="16"/>
      <c r="S187" s="1">
        <f t="shared" si="115"/>
        <v>0</v>
      </c>
      <c r="T187" s="1">
        <f t="shared" si="116"/>
        <v>0</v>
      </c>
      <c r="U187" s="1">
        <f t="shared" si="117"/>
        <v>0</v>
      </c>
      <c r="V187" s="1">
        <f t="shared" si="118"/>
        <v>0</v>
      </c>
      <c r="W187" s="1">
        <f t="shared" si="119"/>
        <v>0</v>
      </c>
      <c r="X187" s="1">
        <f t="shared" si="120"/>
        <v>0</v>
      </c>
      <c r="Y187" s="1">
        <f t="shared" si="121"/>
        <v>0</v>
      </c>
      <c r="Z187" s="1">
        <f t="shared" si="122"/>
        <v>0</v>
      </c>
      <c r="AA187" s="1">
        <f t="shared" si="123"/>
        <v>0</v>
      </c>
      <c r="AB187" s="1">
        <f t="shared" si="124"/>
        <v>0</v>
      </c>
      <c r="AD187" s="1">
        <f t="shared" si="125"/>
        <v>0</v>
      </c>
      <c r="AE187" s="1">
        <f t="shared" si="126"/>
        <v>0</v>
      </c>
      <c r="AF187" s="1">
        <f t="shared" si="111"/>
        <v>0</v>
      </c>
      <c r="AG187" s="1">
        <f t="shared" si="112"/>
        <v>0</v>
      </c>
      <c r="AH187" s="1">
        <f t="shared" si="113"/>
        <v>0</v>
      </c>
      <c r="AI187" s="1">
        <f t="shared" si="114"/>
        <v>1</v>
      </c>
    </row>
    <row r="188" spans="1:35" ht="14.25" customHeight="1" x14ac:dyDescent="0.3">
      <c r="A188" s="31">
        <v>0</v>
      </c>
      <c r="B188" s="31">
        <v>1</v>
      </c>
      <c r="C188" s="31">
        <v>5</v>
      </c>
      <c r="D188" s="32" t="s">
        <v>125</v>
      </c>
      <c r="E188" s="32" t="s">
        <v>523</v>
      </c>
      <c r="F188" s="32" t="s">
        <v>325</v>
      </c>
      <c r="G188" s="32" t="s">
        <v>298</v>
      </c>
      <c r="H188" s="32" t="s">
        <v>352</v>
      </c>
      <c r="I188" s="31" t="s">
        <v>472</v>
      </c>
      <c r="J188" s="31">
        <v>99</v>
      </c>
      <c r="K188" s="33" t="s">
        <v>699</v>
      </c>
      <c r="L188" s="33" t="s">
        <v>686</v>
      </c>
      <c r="M188" s="34" t="s">
        <v>967</v>
      </c>
      <c r="N188" s="34" t="s">
        <v>1740</v>
      </c>
      <c r="O188" s="35">
        <v>1</v>
      </c>
      <c r="P188" s="35"/>
      <c r="Q188" s="32"/>
      <c r="S188" s="1">
        <f t="shared" si="115"/>
        <v>0</v>
      </c>
      <c r="T188" s="1">
        <f t="shared" si="116"/>
        <v>0</v>
      </c>
      <c r="U188" s="1">
        <f t="shared" si="117"/>
        <v>0</v>
      </c>
      <c r="V188" s="1">
        <f t="shared" si="118"/>
        <v>0</v>
      </c>
      <c r="W188" s="1">
        <f t="shared" si="119"/>
        <v>0</v>
      </c>
      <c r="X188" s="1">
        <f t="shared" si="120"/>
        <v>0</v>
      </c>
      <c r="Y188" s="1">
        <f t="shared" si="121"/>
        <v>0</v>
      </c>
      <c r="Z188" s="1">
        <f t="shared" si="122"/>
        <v>0</v>
      </c>
      <c r="AA188" s="1">
        <f t="shared" si="123"/>
        <v>0</v>
      </c>
      <c r="AB188" s="1">
        <f t="shared" si="124"/>
        <v>0</v>
      </c>
      <c r="AD188" s="1">
        <f t="shared" si="125"/>
        <v>0</v>
      </c>
      <c r="AE188" s="1">
        <f t="shared" si="126"/>
        <v>1</v>
      </c>
      <c r="AF188" s="1">
        <f t="shared" si="111"/>
        <v>0</v>
      </c>
      <c r="AG188" s="1">
        <f t="shared" si="112"/>
        <v>1</v>
      </c>
      <c r="AH188" s="1">
        <f t="shared" si="113"/>
        <v>0</v>
      </c>
      <c r="AI188" s="1">
        <f t="shared" si="114"/>
        <v>1</v>
      </c>
    </row>
    <row r="189" spans="1:35" ht="14.25" customHeight="1" x14ac:dyDescent="0.3">
      <c r="A189" s="31">
        <v>0</v>
      </c>
      <c r="B189" s="31">
        <v>1</v>
      </c>
      <c r="C189" s="31">
        <v>5</v>
      </c>
      <c r="D189" s="32" t="s">
        <v>1726</v>
      </c>
      <c r="E189" s="32" t="s">
        <v>165</v>
      </c>
      <c r="F189" s="32" t="s">
        <v>1727</v>
      </c>
      <c r="G189" s="32" t="s">
        <v>1728</v>
      </c>
      <c r="H189" s="32" t="s">
        <v>352</v>
      </c>
      <c r="I189" s="31" t="s">
        <v>1729</v>
      </c>
      <c r="J189" s="31">
        <v>2</v>
      </c>
      <c r="K189" s="33" t="s">
        <v>700</v>
      </c>
      <c r="L189" s="33"/>
      <c r="M189" s="34"/>
      <c r="N189" s="34" t="s">
        <v>1730</v>
      </c>
      <c r="O189" s="35">
        <v>1</v>
      </c>
      <c r="P189" s="35">
        <v>1</v>
      </c>
      <c r="Q189" s="32"/>
      <c r="S189" s="1">
        <f t="shared" si="115"/>
        <v>0</v>
      </c>
      <c r="T189" s="1">
        <f t="shared" si="116"/>
        <v>1</v>
      </c>
      <c r="U189" s="1">
        <f t="shared" si="117"/>
        <v>0</v>
      </c>
      <c r="V189" s="1">
        <f t="shared" si="118"/>
        <v>0</v>
      </c>
      <c r="W189" s="1">
        <f t="shared" si="119"/>
        <v>0</v>
      </c>
      <c r="X189" s="1">
        <f t="shared" si="120"/>
        <v>0</v>
      </c>
      <c r="Y189" s="1">
        <f t="shared" si="121"/>
        <v>0</v>
      </c>
      <c r="Z189" s="1">
        <f t="shared" si="122"/>
        <v>0</v>
      </c>
      <c r="AA189" s="1">
        <f t="shared" si="123"/>
        <v>0</v>
      </c>
      <c r="AB189" s="1">
        <f t="shared" si="124"/>
        <v>0</v>
      </c>
      <c r="AD189" s="1">
        <f t="shared" si="125"/>
        <v>1</v>
      </c>
      <c r="AE189" s="1">
        <f t="shared" si="126"/>
        <v>0</v>
      </c>
      <c r="AF189" s="1">
        <f t="shared" si="111"/>
        <v>1</v>
      </c>
      <c r="AG189" s="1">
        <f t="shared" si="112"/>
        <v>0</v>
      </c>
      <c r="AH189" s="1">
        <f t="shared" si="113"/>
        <v>1</v>
      </c>
      <c r="AI189" s="1">
        <f t="shared" si="114"/>
        <v>0</v>
      </c>
    </row>
    <row r="190" spans="1:35" ht="14.25" customHeight="1" x14ac:dyDescent="0.3">
      <c r="A190" s="44">
        <v>0</v>
      </c>
      <c r="B190" s="44">
        <v>1</v>
      </c>
      <c r="C190" s="44">
        <v>5</v>
      </c>
      <c r="D190" s="45" t="s">
        <v>87</v>
      </c>
      <c r="E190" s="45" t="s">
        <v>165</v>
      </c>
      <c r="F190" s="45" t="s">
        <v>574</v>
      </c>
      <c r="G190" s="45" t="s">
        <v>193</v>
      </c>
      <c r="H190" s="45" t="s">
        <v>352</v>
      </c>
      <c r="I190" s="44" t="s">
        <v>434</v>
      </c>
      <c r="J190" s="44">
        <v>9</v>
      </c>
      <c r="K190" s="46" t="s">
        <v>953</v>
      </c>
      <c r="L190" s="46" t="s">
        <v>693</v>
      </c>
      <c r="M190" s="47" t="s">
        <v>688</v>
      </c>
      <c r="N190" s="47" t="s">
        <v>1732</v>
      </c>
      <c r="O190" s="48"/>
      <c r="P190" s="48"/>
      <c r="Q190" s="45"/>
      <c r="S190" s="1">
        <f t="shared" si="115"/>
        <v>0</v>
      </c>
      <c r="T190" s="1">
        <f t="shared" si="116"/>
        <v>0</v>
      </c>
      <c r="U190" s="1">
        <f t="shared" si="117"/>
        <v>0</v>
      </c>
      <c r="V190" s="1">
        <f t="shared" si="118"/>
        <v>0</v>
      </c>
      <c r="W190" s="1">
        <f t="shared" si="119"/>
        <v>0</v>
      </c>
      <c r="X190" s="1">
        <f t="shared" si="120"/>
        <v>0</v>
      </c>
      <c r="Y190" s="1">
        <f t="shared" si="121"/>
        <v>0</v>
      </c>
      <c r="Z190" s="1">
        <f t="shared" si="122"/>
        <v>0</v>
      </c>
      <c r="AA190" s="1">
        <f t="shared" si="123"/>
        <v>1</v>
      </c>
      <c r="AB190" s="1">
        <f t="shared" si="124"/>
        <v>0</v>
      </c>
      <c r="AD190" s="1">
        <f t="shared" ref="AD190:AD194" si="159">+O190*P190</f>
        <v>0</v>
      </c>
      <c r="AE190" s="1">
        <f t="shared" ref="AE190:AE194" si="160">O190*(1-P190)</f>
        <v>0</v>
      </c>
      <c r="AF190" s="1">
        <f t="shared" ref="AF190:AF194" si="161">+O190*P190*(1-A190)</f>
        <v>0</v>
      </c>
      <c r="AG190" s="1">
        <f t="shared" si="112"/>
        <v>0</v>
      </c>
      <c r="AH190" s="1">
        <f t="shared" si="113"/>
        <v>0</v>
      </c>
      <c r="AI190" s="1">
        <f t="shared" si="114"/>
        <v>1</v>
      </c>
    </row>
    <row r="191" spans="1:35" ht="14.25" customHeight="1" x14ac:dyDescent="0.3">
      <c r="A191" s="31">
        <v>0</v>
      </c>
      <c r="B191" s="31">
        <v>1</v>
      </c>
      <c r="C191" s="31">
        <v>5</v>
      </c>
      <c r="D191" s="32" t="s">
        <v>1993</v>
      </c>
      <c r="E191" s="32" t="s">
        <v>165</v>
      </c>
      <c r="F191" s="32" t="s">
        <v>1994</v>
      </c>
      <c r="G191" s="32" t="s">
        <v>1997</v>
      </c>
      <c r="H191" s="32" t="s">
        <v>352</v>
      </c>
      <c r="I191" s="31" t="s">
        <v>1995</v>
      </c>
      <c r="J191" s="31">
        <v>99</v>
      </c>
      <c r="K191" s="33" t="s">
        <v>700</v>
      </c>
      <c r="L191" s="33">
        <v>25</v>
      </c>
      <c r="M191" s="34" t="s">
        <v>688</v>
      </c>
      <c r="N191" s="34" t="s">
        <v>1740</v>
      </c>
      <c r="O191" s="35">
        <v>1</v>
      </c>
      <c r="P191" s="35"/>
      <c r="Q191" s="32" t="s">
        <v>1996</v>
      </c>
      <c r="S191" s="1">
        <f t="shared" si="115"/>
        <v>0</v>
      </c>
      <c r="T191" s="1">
        <f t="shared" si="116"/>
        <v>0</v>
      </c>
      <c r="U191" s="1">
        <f t="shared" si="117"/>
        <v>0</v>
      </c>
      <c r="V191" s="1">
        <f t="shared" si="118"/>
        <v>0</v>
      </c>
      <c r="W191" s="1">
        <f t="shared" si="119"/>
        <v>0</v>
      </c>
      <c r="X191" s="1">
        <f t="shared" si="120"/>
        <v>0</v>
      </c>
      <c r="Y191" s="1">
        <f t="shared" si="121"/>
        <v>0</v>
      </c>
      <c r="Z191" s="1">
        <f t="shared" si="122"/>
        <v>0</v>
      </c>
      <c r="AA191" s="1">
        <f t="shared" si="123"/>
        <v>0</v>
      </c>
      <c r="AB191" s="1">
        <f t="shared" si="124"/>
        <v>0</v>
      </c>
      <c r="AD191" s="1">
        <f t="shared" si="159"/>
        <v>0</v>
      </c>
      <c r="AE191" s="1">
        <f t="shared" si="160"/>
        <v>1</v>
      </c>
      <c r="AF191" s="1">
        <f t="shared" si="161"/>
        <v>0</v>
      </c>
      <c r="AG191" s="1">
        <f t="shared" si="112"/>
        <v>1</v>
      </c>
      <c r="AH191" s="1">
        <f t="shared" si="113"/>
        <v>0</v>
      </c>
      <c r="AI191" s="1">
        <f t="shared" si="114"/>
        <v>1</v>
      </c>
    </row>
    <row r="192" spans="1:35" ht="14.25" customHeight="1" x14ac:dyDescent="0.3">
      <c r="A192" s="44">
        <v>0</v>
      </c>
      <c r="B192" s="44">
        <v>1</v>
      </c>
      <c r="C192" s="44">
        <v>5</v>
      </c>
      <c r="D192" s="45" t="s">
        <v>126</v>
      </c>
      <c r="E192" s="45" t="s">
        <v>165</v>
      </c>
      <c r="F192" s="45" t="s">
        <v>326</v>
      </c>
      <c r="G192" s="45" t="s">
        <v>179</v>
      </c>
      <c r="H192" s="45" t="s">
        <v>352</v>
      </c>
      <c r="I192" s="44" t="s">
        <v>473</v>
      </c>
      <c r="J192" s="44">
        <v>10</v>
      </c>
      <c r="K192" s="46" t="s">
        <v>955</v>
      </c>
      <c r="L192" s="46" t="s">
        <v>691</v>
      </c>
      <c r="M192" s="47" t="s">
        <v>688</v>
      </c>
      <c r="N192" s="47" t="s">
        <v>1737</v>
      </c>
      <c r="O192" s="48"/>
      <c r="P192" s="48"/>
      <c r="Q192" s="45"/>
      <c r="S192" s="1">
        <f t="shared" si="115"/>
        <v>0</v>
      </c>
      <c r="T192" s="1">
        <f t="shared" si="116"/>
        <v>0</v>
      </c>
      <c r="U192" s="1">
        <f t="shared" si="117"/>
        <v>0</v>
      </c>
      <c r="V192" s="1">
        <f t="shared" si="118"/>
        <v>0</v>
      </c>
      <c r="W192" s="1">
        <f t="shared" si="119"/>
        <v>0</v>
      </c>
      <c r="X192" s="1">
        <f t="shared" si="120"/>
        <v>0</v>
      </c>
      <c r="Y192" s="1">
        <f t="shared" si="121"/>
        <v>0</v>
      </c>
      <c r="Z192" s="1">
        <f t="shared" si="122"/>
        <v>0</v>
      </c>
      <c r="AA192" s="1">
        <f t="shared" si="123"/>
        <v>0</v>
      </c>
      <c r="AB192" s="1">
        <f t="shared" si="124"/>
        <v>1</v>
      </c>
      <c r="AD192" s="1">
        <f t="shared" si="159"/>
        <v>0</v>
      </c>
      <c r="AE192" s="1">
        <f t="shared" si="160"/>
        <v>0</v>
      </c>
      <c r="AF192" s="1">
        <f t="shared" si="161"/>
        <v>0</v>
      </c>
      <c r="AG192" s="1">
        <f t="shared" si="112"/>
        <v>0</v>
      </c>
      <c r="AH192" s="1">
        <f t="shared" si="113"/>
        <v>0</v>
      </c>
      <c r="AI192" s="1">
        <f t="shared" si="114"/>
        <v>1</v>
      </c>
    </row>
    <row r="193" spans="1:35" ht="14.25" customHeight="1" x14ac:dyDescent="0.3">
      <c r="A193" s="31">
        <v>0</v>
      </c>
      <c r="B193" s="31">
        <v>1</v>
      </c>
      <c r="C193" s="31">
        <v>5</v>
      </c>
      <c r="D193" s="32" t="s">
        <v>136</v>
      </c>
      <c r="E193" s="32" t="s">
        <v>165</v>
      </c>
      <c r="F193" s="32" t="s">
        <v>545</v>
      </c>
      <c r="G193" s="32" t="s">
        <v>219</v>
      </c>
      <c r="H193" s="32" t="s">
        <v>352</v>
      </c>
      <c r="I193" s="31" t="s">
        <v>537</v>
      </c>
      <c r="J193" s="31">
        <v>8</v>
      </c>
      <c r="K193" s="33" t="s">
        <v>953</v>
      </c>
      <c r="L193" s="33" t="s">
        <v>691</v>
      </c>
      <c r="M193" s="34" t="s">
        <v>688</v>
      </c>
      <c r="N193" s="34" t="s">
        <v>1740</v>
      </c>
      <c r="O193" s="35">
        <v>1</v>
      </c>
      <c r="P193" s="35"/>
      <c r="Q193" s="32"/>
      <c r="S193" s="1">
        <f t="shared" si="115"/>
        <v>0</v>
      </c>
      <c r="T193" s="1">
        <f t="shared" si="116"/>
        <v>0</v>
      </c>
      <c r="U193" s="1">
        <f t="shared" si="117"/>
        <v>0</v>
      </c>
      <c r="V193" s="1">
        <f t="shared" si="118"/>
        <v>0</v>
      </c>
      <c r="W193" s="1">
        <f t="shared" si="119"/>
        <v>0</v>
      </c>
      <c r="X193" s="1">
        <f t="shared" si="120"/>
        <v>0</v>
      </c>
      <c r="Y193" s="1">
        <f t="shared" si="121"/>
        <v>0</v>
      </c>
      <c r="Z193" s="1">
        <f t="shared" si="122"/>
        <v>1</v>
      </c>
      <c r="AA193" s="1">
        <f t="shared" si="123"/>
        <v>0</v>
      </c>
      <c r="AB193" s="1">
        <f t="shared" si="124"/>
        <v>0</v>
      </c>
      <c r="AD193" s="1">
        <f t="shared" si="159"/>
        <v>0</v>
      </c>
      <c r="AE193" s="1">
        <f t="shared" si="160"/>
        <v>1</v>
      </c>
      <c r="AF193" s="1">
        <f t="shared" si="161"/>
        <v>0</v>
      </c>
      <c r="AG193" s="1">
        <f t="shared" si="112"/>
        <v>1</v>
      </c>
      <c r="AH193" s="1">
        <f t="shared" si="113"/>
        <v>0</v>
      </c>
      <c r="AI193" s="1">
        <f t="shared" si="114"/>
        <v>1</v>
      </c>
    </row>
    <row r="194" spans="1:35" ht="14.25" customHeight="1" x14ac:dyDescent="0.3">
      <c r="A194" s="31">
        <v>1</v>
      </c>
      <c r="B194" s="31">
        <v>1</v>
      </c>
      <c r="C194" s="31">
        <v>5</v>
      </c>
      <c r="D194" s="32" t="s">
        <v>136</v>
      </c>
      <c r="E194" s="32" t="s">
        <v>165</v>
      </c>
      <c r="F194" s="32" t="s">
        <v>335</v>
      </c>
      <c r="G194" s="32" t="s">
        <v>336</v>
      </c>
      <c r="H194" s="32" t="s">
        <v>352</v>
      </c>
      <c r="I194" s="31" t="s">
        <v>482</v>
      </c>
      <c r="J194" s="31">
        <v>10</v>
      </c>
      <c r="K194" s="33" t="s">
        <v>953</v>
      </c>
      <c r="L194" s="33" t="s">
        <v>691</v>
      </c>
      <c r="M194" s="34" t="s">
        <v>688</v>
      </c>
      <c r="N194" s="34" t="s">
        <v>1740</v>
      </c>
      <c r="O194" s="35">
        <v>1</v>
      </c>
      <c r="P194" s="35"/>
      <c r="Q194" s="32"/>
      <c r="S194" s="1">
        <f t="shared" si="115"/>
        <v>0</v>
      </c>
      <c r="T194" s="1">
        <f t="shared" si="116"/>
        <v>0</v>
      </c>
      <c r="U194" s="1">
        <f t="shared" si="117"/>
        <v>0</v>
      </c>
      <c r="V194" s="1">
        <f t="shared" si="118"/>
        <v>0</v>
      </c>
      <c r="W194" s="1">
        <f t="shared" si="119"/>
        <v>0</v>
      </c>
      <c r="X194" s="1">
        <f t="shared" si="120"/>
        <v>0</v>
      </c>
      <c r="Y194" s="1">
        <f t="shared" si="121"/>
        <v>0</v>
      </c>
      <c r="Z194" s="1">
        <f t="shared" si="122"/>
        <v>0</v>
      </c>
      <c r="AA194" s="1">
        <f t="shared" si="123"/>
        <v>0</v>
      </c>
      <c r="AB194" s="1">
        <f t="shared" si="124"/>
        <v>1</v>
      </c>
      <c r="AD194" s="1">
        <f t="shared" si="159"/>
        <v>0</v>
      </c>
      <c r="AE194" s="1">
        <f t="shared" si="160"/>
        <v>1</v>
      </c>
      <c r="AF194" s="1">
        <f t="shared" si="161"/>
        <v>0</v>
      </c>
      <c r="AG194" s="1">
        <f t="shared" si="112"/>
        <v>0</v>
      </c>
      <c r="AH194" s="1">
        <f t="shared" si="113"/>
        <v>0</v>
      </c>
      <c r="AI194" s="1">
        <f t="shared" si="114"/>
        <v>0</v>
      </c>
    </row>
    <row r="195" spans="1:35" ht="14.25" customHeight="1" x14ac:dyDescent="0.3">
      <c r="A195" s="44">
        <v>0</v>
      </c>
      <c r="B195" s="44">
        <v>1</v>
      </c>
      <c r="C195" s="44">
        <v>5</v>
      </c>
      <c r="D195" s="45" t="s">
        <v>1634</v>
      </c>
      <c r="E195" s="45" t="s">
        <v>165</v>
      </c>
      <c r="F195" s="45" t="s">
        <v>862</v>
      </c>
      <c r="G195" s="45" t="s">
        <v>1661</v>
      </c>
      <c r="H195" s="45" t="s">
        <v>352</v>
      </c>
      <c r="I195" s="44" t="s">
        <v>863</v>
      </c>
      <c r="J195" s="44">
        <v>1</v>
      </c>
      <c r="K195" s="46" t="s">
        <v>719</v>
      </c>
      <c r="L195" s="46" t="s">
        <v>1704</v>
      </c>
      <c r="M195" s="47" t="s">
        <v>1397</v>
      </c>
      <c r="N195" s="47" t="s">
        <v>1732</v>
      </c>
      <c r="O195" s="48"/>
      <c r="P195" s="48"/>
      <c r="Q195" s="45"/>
      <c r="S195" s="1">
        <f t="shared" si="115"/>
        <v>1</v>
      </c>
      <c r="T195" s="1">
        <f t="shared" si="116"/>
        <v>0</v>
      </c>
      <c r="U195" s="1">
        <f t="shared" si="117"/>
        <v>0</v>
      </c>
      <c r="V195" s="1">
        <f t="shared" si="118"/>
        <v>0</v>
      </c>
      <c r="W195" s="1">
        <f t="shared" si="119"/>
        <v>0</v>
      </c>
      <c r="X195" s="1">
        <f t="shared" si="120"/>
        <v>0</v>
      </c>
      <c r="Y195" s="1">
        <f t="shared" si="121"/>
        <v>0</v>
      </c>
      <c r="Z195" s="1">
        <f t="shared" si="122"/>
        <v>0</v>
      </c>
      <c r="AA195" s="1">
        <f t="shared" si="123"/>
        <v>0</v>
      </c>
      <c r="AB195" s="1">
        <f t="shared" si="124"/>
        <v>0</v>
      </c>
      <c r="AD195" s="1">
        <f t="shared" si="125"/>
        <v>0</v>
      </c>
      <c r="AE195" s="1">
        <f t="shared" si="126"/>
        <v>0</v>
      </c>
      <c r="AF195" s="1">
        <f t="shared" si="111"/>
        <v>0</v>
      </c>
      <c r="AG195" s="1">
        <f t="shared" si="112"/>
        <v>0</v>
      </c>
      <c r="AH195" s="1">
        <f t="shared" si="113"/>
        <v>0</v>
      </c>
      <c r="AI195" s="1">
        <f t="shared" si="114"/>
        <v>1</v>
      </c>
    </row>
    <row r="196" spans="1:35" ht="14.25" customHeight="1" x14ac:dyDescent="0.3">
      <c r="A196" s="15">
        <v>0</v>
      </c>
      <c r="B196" s="15">
        <v>1</v>
      </c>
      <c r="C196" s="15">
        <v>5</v>
      </c>
      <c r="D196" s="20" t="s">
        <v>1946</v>
      </c>
      <c r="E196" s="20" t="s">
        <v>890</v>
      </c>
      <c r="F196" s="20" t="s">
        <v>1964</v>
      </c>
      <c r="G196" s="20"/>
      <c r="H196" s="20" t="s">
        <v>1965</v>
      </c>
      <c r="I196" s="21" t="s">
        <v>1963</v>
      </c>
      <c r="J196" s="15">
        <v>15</v>
      </c>
      <c r="K196" s="10" t="s">
        <v>700</v>
      </c>
      <c r="L196" s="10" t="s">
        <v>694</v>
      </c>
      <c r="M196" s="19" t="s">
        <v>968</v>
      </c>
      <c r="N196" s="17"/>
      <c r="Q196" s="20" t="s">
        <v>1966</v>
      </c>
      <c r="S196" s="1">
        <f t="shared" si="115"/>
        <v>0</v>
      </c>
      <c r="T196" s="1">
        <f t="shared" si="116"/>
        <v>0</v>
      </c>
      <c r="U196" s="1">
        <f t="shared" si="117"/>
        <v>0</v>
      </c>
      <c r="V196" s="1">
        <f t="shared" si="118"/>
        <v>0</v>
      </c>
      <c r="W196" s="1">
        <f t="shared" si="119"/>
        <v>0</v>
      </c>
      <c r="X196" s="1">
        <f t="shared" si="120"/>
        <v>0</v>
      </c>
      <c r="Y196" s="1">
        <f t="shared" si="121"/>
        <v>0</v>
      </c>
      <c r="Z196" s="1">
        <f t="shared" si="122"/>
        <v>0</v>
      </c>
      <c r="AA196" s="1">
        <f t="shared" si="123"/>
        <v>0</v>
      </c>
      <c r="AB196" s="1">
        <f t="shared" si="124"/>
        <v>0</v>
      </c>
      <c r="AD196" s="1">
        <f t="shared" ref="AD196:AD197" si="162">+O196*P196</f>
        <v>0</v>
      </c>
      <c r="AE196" s="1">
        <f t="shared" ref="AE196:AE197" si="163">O196*(1-P196)</f>
        <v>0</v>
      </c>
      <c r="AF196" s="1">
        <f t="shared" ref="AF196:AF197" si="164">+O196*P196*(1-A196)</f>
        <v>0</v>
      </c>
      <c r="AG196" s="1">
        <f t="shared" si="112"/>
        <v>0</v>
      </c>
      <c r="AH196" s="1">
        <f t="shared" si="113"/>
        <v>0</v>
      </c>
      <c r="AI196" s="1">
        <f t="shared" si="114"/>
        <v>1</v>
      </c>
    </row>
    <row r="197" spans="1:35" ht="14.25" customHeight="1" x14ac:dyDescent="0.3">
      <c r="A197" s="31">
        <v>0</v>
      </c>
      <c r="B197" s="31">
        <v>1</v>
      </c>
      <c r="C197" s="31">
        <v>5</v>
      </c>
      <c r="D197" s="32" t="s">
        <v>884</v>
      </c>
      <c r="E197" s="32" t="s">
        <v>885</v>
      </c>
      <c r="F197" s="32" t="s">
        <v>1089</v>
      </c>
      <c r="G197" s="32" t="s">
        <v>39</v>
      </c>
      <c r="H197" s="32" t="s">
        <v>886</v>
      </c>
      <c r="I197" s="31" t="s">
        <v>887</v>
      </c>
      <c r="J197" s="31">
        <v>16</v>
      </c>
      <c r="K197" s="33" t="s">
        <v>700</v>
      </c>
      <c r="L197" s="33" t="s">
        <v>689</v>
      </c>
      <c r="M197" s="34" t="s">
        <v>967</v>
      </c>
      <c r="N197" s="34" t="s">
        <v>1730</v>
      </c>
      <c r="O197" s="35">
        <v>1</v>
      </c>
      <c r="P197" s="35">
        <v>1</v>
      </c>
      <c r="Q197" s="36" t="s">
        <v>1891</v>
      </c>
      <c r="S197" s="1">
        <f t="shared" si="115"/>
        <v>0</v>
      </c>
      <c r="T197" s="1">
        <f t="shared" si="116"/>
        <v>0</v>
      </c>
      <c r="U197" s="1">
        <f t="shared" si="117"/>
        <v>0</v>
      </c>
      <c r="V197" s="1">
        <f t="shared" si="118"/>
        <v>0</v>
      </c>
      <c r="W197" s="1">
        <f t="shared" si="119"/>
        <v>0</v>
      </c>
      <c r="X197" s="1">
        <f t="shared" si="120"/>
        <v>0</v>
      </c>
      <c r="Y197" s="1">
        <f t="shared" si="121"/>
        <v>0</v>
      </c>
      <c r="Z197" s="1">
        <f t="shared" si="122"/>
        <v>0</v>
      </c>
      <c r="AA197" s="1">
        <f t="shared" si="123"/>
        <v>0</v>
      </c>
      <c r="AB197" s="1">
        <f t="shared" si="124"/>
        <v>0</v>
      </c>
      <c r="AD197" s="1">
        <f t="shared" si="162"/>
        <v>1</v>
      </c>
      <c r="AE197" s="1">
        <f t="shared" si="163"/>
        <v>0</v>
      </c>
      <c r="AF197" s="1">
        <f t="shared" si="164"/>
        <v>1</v>
      </c>
      <c r="AG197" s="1">
        <f t="shared" si="112"/>
        <v>0</v>
      </c>
      <c r="AH197" s="1">
        <f t="shared" si="113"/>
        <v>1</v>
      </c>
      <c r="AI197" s="1">
        <f t="shared" si="114"/>
        <v>0</v>
      </c>
    </row>
    <row r="198" spans="1:35" ht="14.25" customHeight="1" x14ac:dyDescent="0.3">
      <c r="A198" s="31">
        <v>0</v>
      </c>
      <c r="B198" s="31">
        <v>1</v>
      </c>
      <c r="C198" s="31">
        <v>5</v>
      </c>
      <c r="D198" s="32" t="s">
        <v>105</v>
      </c>
      <c r="E198" s="32" t="s">
        <v>172</v>
      </c>
      <c r="F198" s="32" t="s">
        <v>302</v>
      </c>
      <c r="G198" s="32" t="s">
        <v>39</v>
      </c>
      <c r="H198" s="32" t="s">
        <v>357</v>
      </c>
      <c r="I198" s="31" t="s">
        <v>450</v>
      </c>
      <c r="J198" s="31">
        <v>14</v>
      </c>
      <c r="K198" s="33" t="s">
        <v>953</v>
      </c>
      <c r="L198" s="33" t="s">
        <v>690</v>
      </c>
      <c r="M198" s="34" t="s">
        <v>967</v>
      </c>
      <c r="N198" s="34" t="s">
        <v>1740</v>
      </c>
      <c r="O198" s="35">
        <v>1</v>
      </c>
      <c r="P198" s="35"/>
      <c r="Q198" s="32"/>
      <c r="S198" s="1">
        <f t="shared" si="115"/>
        <v>0</v>
      </c>
      <c r="T198" s="1">
        <f t="shared" si="116"/>
        <v>0</v>
      </c>
      <c r="U198" s="1">
        <f t="shared" si="117"/>
        <v>0</v>
      </c>
      <c r="V198" s="1">
        <f t="shared" si="118"/>
        <v>0</v>
      </c>
      <c r="W198" s="1">
        <f t="shared" si="119"/>
        <v>0</v>
      </c>
      <c r="X198" s="1">
        <f t="shared" si="120"/>
        <v>0</v>
      </c>
      <c r="Y198" s="1">
        <f t="shared" si="121"/>
        <v>0</v>
      </c>
      <c r="Z198" s="1">
        <f t="shared" si="122"/>
        <v>0</v>
      </c>
      <c r="AA198" s="1">
        <f t="shared" si="123"/>
        <v>0</v>
      </c>
      <c r="AB198" s="1">
        <f t="shared" si="124"/>
        <v>0</v>
      </c>
      <c r="AD198" s="1">
        <f t="shared" si="125"/>
        <v>0</v>
      </c>
      <c r="AE198" s="1">
        <f t="shared" si="126"/>
        <v>1</v>
      </c>
      <c r="AF198" s="1">
        <f t="shared" si="111"/>
        <v>0</v>
      </c>
      <c r="AG198" s="1">
        <f t="shared" si="112"/>
        <v>1</v>
      </c>
      <c r="AH198" s="1">
        <f t="shared" si="113"/>
        <v>0</v>
      </c>
      <c r="AI198" s="1">
        <f t="shared" si="114"/>
        <v>1</v>
      </c>
    </row>
    <row r="199" spans="1:35" ht="14.25" customHeight="1" x14ac:dyDescent="0.3">
      <c r="A199" s="15">
        <v>0</v>
      </c>
      <c r="B199" s="15">
        <v>1</v>
      </c>
      <c r="C199" s="15">
        <v>5</v>
      </c>
      <c r="D199" s="20" t="s">
        <v>1948</v>
      </c>
      <c r="E199" s="20" t="s">
        <v>890</v>
      </c>
      <c r="F199" s="20" t="s">
        <v>1978</v>
      </c>
      <c r="G199" s="20"/>
      <c r="H199" s="20" t="s">
        <v>1977</v>
      </c>
      <c r="I199" s="21" t="s">
        <v>1976</v>
      </c>
      <c r="J199" s="15">
        <v>18</v>
      </c>
      <c r="K199" s="10" t="s">
        <v>700</v>
      </c>
      <c r="L199" s="10" t="s">
        <v>694</v>
      </c>
      <c r="M199" s="19" t="s">
        <v>968</v>
      </c>
      <c r="N199" s="17"/>
      <c r="Q199" s="20" t="s">
        <v>1979</v>
      </c>
      <c r="S199" s="1">
        <f t="shared" si="115"/>
        <v>0</v>
      </c>
      <c r="T199" s="1">
        <f t="shared" si="116"/>
        <v>0</v>
      </c>
      <c r="U199" s="1">
        <f t="shared" si="117"/>
        <v>0</v>
      </c>
      <c r="V199" s="1">
        <f t="shared" si="118"/>
        <v>0</v>
      </c>
      <c r="W199" s="1">
        <f t="shared" si="119"/>
        <v>0</v>
      </c>
      <c r="X199" s="1">
        <f t="shared" si="120"/>
        <v>0</v>
      </c>
      <c r="Y199" s="1">
        <f t="shared" si="121"/>
        <v>0</v>
      </c>
      <c r="Z199" s="1">
        <f t="shared" si="122"/>
        <v>0</v>
      </c>
      <c r="AA199" s="1">
        <f t="shared" si="123"/>
        <v>0</v>
      </c>
      <c r="AB199" s="1">
        <f t="shared" si="124"/>
        <v>0</v>
      </c>
      <c r="AD199" s="1">
        <f t="shared" si="125"/>
        <v>0</v>
      </c>
      <c r="AE199" s="1">
        <f t="shared" si="126"/>
        <v>0</v>
      </c>
      <c r="AF199" s="1">
        <f t="shared" si="111"/>
        <v>0</v>
      </c>
      <c r="AG199" s="1">
        <f t="shared" si="112"/>
        <v>0</v>
      </c>
      <c r="AH199" s="1">
        <f t="shared" si="113"/>
        <v>0</v>
      </c>
      <c r="AI199" s="1">
        <f t="shared" si="114"/>
        <v>1</v>
      </c>
    </row>
    <row r="200" spans="1:35" ht="14.25" customHeight="1" x14ac:dyDescent="0.3">
      <c r="A200" s="44">
        <v>0</v>
      </c>
      <c r="B200" s="44">
        <v>1</v>
      </c>
      <c r="C200" s="44">
        <v>5</v>
      </c>
      <c r="D200" s="45" t="s">
        <v>510</v>
      </c>
      <c r="E200" s="45" t="s">
        <v>171</v>
      </c>
      <c r="F200" s="45" t="s">
        <v>546</v>
      </c>
      <c r="G200" s="45" t="s">
        <v>39</v>
      </c>
      <c r="H200" s="45" t="s">
        <v>360</v>
      </c>
      <c r="I200" s="44" t="s">
        <v>1111</v>
      </c>
      <c r="J200" s="44">
        <v>12</v>
      </c>
      <c r="K200" s="46" t="s">
        <v>700</v>
      </c>
      <c r="L200" s="46">
        <v>35</v>
      </c>
      <c r="M200" s="47" t="s">
        <v>967</v>
      </c>
      <c r="N200" s="47" t="s">
        <v>1799</v>
      </c>
      <c r="O200" s="48"/>
      <c r="P200" s="48"/>
      <c r="Q200" s="45"/>
      <c r="S200" s="1">
        <f t="shared" si="115"/>
        <v>0</v>
      </c>
      <c r="T200" s="1">
        <f t="shared" si="116"/>
        <v>0</v>
      </c>
      <c r="U200" s="1">
        <f t="shared" si="117"/>
        <v>0</v>
      </c>
      <c r="V200" s="1">
        <f t="shared" si="118"/>
        <v>0</v>
      </c>
      <c r="W200" s="1">
        <f t="shared" si="119"/>
        <v>0</v>
      </c>
      <c r="X200" s="1">
        <f t="shared" si="120"/>
        <v>0</v>
      </c>
      <c r="Y200" s="1">
        <f t="shared" si="121"/>
        <v>0</v>
      </c>
      <c r="Z200" s="1">
        <f t="shared" si="122"/>
        <v>0</v>
      </c>
      <c r="AA200" s="1">
        <f t="shared" si="123"/>
        <v>0</v>
      </c>
      <c r="AB200" s="1">
        <f t="shared" si="124"/>
        <v>0</v>
      </c>
      <c r="AD200" s="1">
        <f t="shared" si="125"/>
        <v>0</v>
      </c>
      <c r="AE200" s="1">
        <f t="shared" si="126"/>
        <v>0</v>
      </c>
      <c r="AF200" s="1">
        <f t="shared" si="111"/>
        <v>0</v>
      </c>
      <c r="AG200" s="1">
        <f t="shared" si="112"/>
        <v>0</v>
      </c>
      <c r="AH200" s="1">
        <f t="shared" si="113"/>
        <v>0</v>
      </c>
      <c r="AI200" s="1">
        <f t="shared" si="114"/>
        <v>1</v>
      </c>
    </row>
    <row r="201" spans="1:35" ht="14.25" customHeight="1" x14ac:dyDescent="0.3">
      <c r="A201" s="31">
        <v>0</v>
      </c>
      <c r="B201" s="31">
        <v>1</v>
      </c>
      <c r="C201" s="31">
        <v>5</v>
      </c>
      <c r="D201" s="32" t="s">
        <v>150</v>
      </c>
      <c r="E201" s="32" t="s">
        <v>165</v>
      </c>
      <c r="F201" s="36" t="s">
        <v>1867</v>
      </c>
      <c r="G201" s="32" t="s">
        <v>196</v>
      </c>
      <c r="H201" s="32" t="s">
        <v>352</v>
      </c>
      <c r="I201" s="31" t="s">
        <v>495</v>
      </c>
      <c r="J201" s="31">
        <v>99</v>
      </c>
      <c r="K201" s="33" t="s">
        <v>953</v>
      </c>
      <c r="L201" s="33" t="s">
        <v>690</v>
      </c>
      <c r="M201" s="34" t="s">
        <v>967</v>
      </c>
      <c r="N201" s="34" t="s">
        <v>1745</v>
      </c>
      <c r="O201" s="35">
        <v>1</v>
      </c>
      <c r="P201" s="35"/>
      <c r="Q201" s="32"/>
      <c r="S201" s="1">
        <f t="shared" si="115"/>
        <v>0</v>
      </c>
      <c r="T201" s="1">
        <f t="shared" si="116"/>
        <v>0</v>
      </c>
      <c r="U201" s="1">
        <f t="shared" si="117"/>
        <v>0</v>
      </c>
      <c r="V201" s="1">
        <f t="shared" si="118"/>
        <v>0</v>
      </c>
      <c r="W201" s="1">
        <f t="shared" si="119"/>
        <v>0</v>
      </c>
      <c r="X201" s="1">
        <f t="shared" si="120"/>
        <v>0</v>
      </c>
      <c r="Y201" s="1">
        <f t="shared" si="121"/>
        <v>0</v>
      </c>
      <c r="Z201" s="1">
        <f t="shared" si="122"/>
        <v>0</v>
      </c>
      <c r="AA201" s="1">
        <f t="shared" si="123"/>
        <v>0</v>
      </c>
      <c r="AB201" s="1">
        <f t="shared" si="124"/>
        <v>0</v>
      </c>
      <c r="AD201" s="1">
        <f t="shared" si="125"/>
        <v>0</v>
      </c>
      <c r="AE201" s="1">
        <f t="shared" si="126"/>
        <v>1</v>
      </c>
      <c r="AF201" s="1">
        <f t="shared" si="111"/>
        <v>0</v>
      </c>
      <c r="AG201" s="1">
        <f t="shared" si="112"/>
        <v>1</v>
      </c>
      <c r="AH201" s="1">
        <f t="shared" si="113"/>
        <v>0</v>
      </c>
      <c r="AI201" s="1">
        <f t="shared" si="114"/>
        <v>1</v>
      </c>
    </row>
    <row r="202" spans="1:35" ht="14.25" customHeight="1" x14ac:dyDescent="0.3">
      <c r="A202" s="44">
        <v>0</v>
      </c>
      <c r="B202" s="44">
        <v>1</v>
      </c>
      <c r="C202" s="44">
        <v>5</v>
      </c>
      <c r="D202" s="45" t="s">
        <v>646</v>
      </c>
      <c r="E202" s="45" t="s">
        <v>681</v>
      </c>
      <c r="F202" s="45" t="s">
        <v>642</v>
      </c>
      <c r="G202" s="45" t="s">
        <v>184</v>
      </c>
      <c r="H202" s="45" t="s">
        <v>352</v>
      </c>
      <c r="I202" s="44" t="s">
        <v>643</v>
      </c>
      <c r="J202" s="44">
        <v>99</v>
      </c>
      <c r="K202" s="46" t="s">
        <v>719</v>
      </c>
      <c r="L202" s="46" t="s">
        <v>690</v>
      </c>
      <c r="M202" s="47" t="s">
        <v>967</v>
      </c>
      <c r="N202" s="47" t="s">
        <v>1731</v>
      </c>
      <c r="O202" s="48"/>
      <c r="P202" s="48"/>
      <c r="Q202" s="45"/>
      <c r="S202" s="1">
        <f t="shared" si="115"/>
        <v>0</v>
      </c>
      <c r="T202" s="1">
        <f t="shared" si="116"/>
        <v>0</v>
      </c>
      <c r="U202" s="1">
        <f t="shared" si="117"/>
        <v>0</v>
      </c>
      <c r="V202" s="1">
        <f t="shared" si="118"/>
        <v>0</v>
      </c>
      <c r="W202" s="1">
        <f t="shared" si="119"/>
        <v>0</v>
      </c>
      <c r="X202" s="1">
        <f t="shared" si="120"/>
        <v>0</v>
      </c>
      <c r="Y202" s="1">
        <f t="shared" si="121"/>
        <v>0</v>
      </c>
      <c r="Z202" s="1">
        <f t="shared" si="122"/>
        <v>0</v>
      </c>
      <c r="AA202" s="1">
        <f t="shared" si="123"/>
        <v>0</v>
      </c>
      <c r="AB202" s="1">
        <f t="shared" si="124"/>
        <v>0</v>
      </c>
      <c r="AD202" s="1">
        <f t="shared" si="125"/>
        <v>0</v>
      </c>
      <c r="AE202" s="1">
        <f t="shared" si="126"/>
        <v>0</v>
      </c>
      <c r="AF202" s="1">
        <f t="shared" si="111"/>
        <v>0</v>
      </c>
      <c r="AG202" s="1">
        <f t="shared" si="112"/>
        <v>0</v>
      </c>
      <c r="AH202" s="1">
        <f t="shared" si="113"/>
        <v>0</v>
      </c>
      <c r="AI202" s="1">
        <f t="shared" si="114"/>
        <v>1</v>
      </c>
    </row>
    <row r="203" spans="1:35" ht="14.25" customHeight="1" x14ac:dyDescent="0.3">
      <c r="A203" s="31">
        <v>0</v>
      </c>
      <c r="B203" s="31">
        <v>1</v>
      </c>
      <c r="C203" s="31">
        <v>5</v>
      </c>
      <c r="D203" s="32" t="s">
        <v>1307</v>
      </c>
      <c r="E203" s="32" t="s">
        <v>165</v>
      </c>
      <c r="F203" s="32" t="s">
        <v>1308</v>
      </c>
      <c r="G203" s="32" t="s">
        <v>281</v>
      </c>
      <c r="H203" s="32" t="s">
        <v>352</v>
      </c>
      <c r="I203" s="31" t="s">
        <v>1309</v>
      </c>
      <c r="J203" s="31">
        <v>99</v>
      </c>
      <c r="K203" s="33" t="s">
        <v>699</v>
      </c>
      <c r="L203" s="33" t="s">
        <v>39</v>
      </c>
      <c r="M203" s="34" t="s">
        <v>39</v>
      </c>
      <c r="N203" s="34" t="s">
        <v>1730</v>
      </c>
      <c r="O203" s="35">
        <v>1</v>
      </c>
      <c r="P203" s="35">
        <v>1</v>
      </c>
      <c r="Q203" s="32"/>
      <c r="S203" s="1">
        <f t="shared" si="115"/>
        <v>0</v>
      </c>
      <c r="T203" s="1">
        <f t="shared" si="116"/>
        <v>0</v>
      </c>
      <c r="U203" s="1">
        <f t="shared" si="117"/>
        <v>0</v>
      </c>
      <c r="V203" s="1">
        <f t="shared" si="118"/>
        <v>0</v>
      </c>
      <c r="W203" s="1">
        <f t="shared" si="119"/>
        <v>0</v>
      </c>
      <c r="X203" s="1">
        <f t="shared" si="120"/>
        <v>0</v>
      </c>
      <c r="Y203" s="1">
        <f t="shared" si="121"/>
        <v>0</v>
      </c>
      <c r="Z203" s="1">
        <f t="shared" si="122"/>
        <v>0</v>
      </c>
      <c r="AA203" s="1">
        <f t="shared" si="123"/>
        <v>0</v>
      </c>
      <c r="AB203" s="1">
        <f t="shared" si="124"/>
        <v>0</v>
      </c>
      <c r="AD203" s="1">
        <f t="shared" si="125"/>
        <v>1</v>
      </c>
      <c r="AE203" s="1">
        <f t="shared" si="126"/>
        <v>0</v>
      </c>
      <c r="AF203" s="1">
        <f t="shared" si="111"/>
        <v>1</v>
      </c>
      <c r="AG203" s="1">
        <f t="shared" si="112"/>
        <v>0</v>
      </c>
      <c r="AH203" s="1">
        <f t="shared" si="113"/>
        <v>1</v>
      </c>
      <c r="AI203" s="1">
        <f t="shared" si="114"/>
        <v>0</v>
      </c>
    </row>
    <row r="204" spans="1:35" ht="14.25" customHeight="1" x14ac:dyDescent="0.3">
      <c r="A204" s="44">
        <v>0</v>
      </c>
      <c r="B204" s="44">
        <v>1</v>
      </c>
      <c r="C204" s="44">
        <v>5</v>
      </c>
      <c r="D204" s="45" t="s">
        <v>889</v>
      </c>
      <c r="E204" s="45" t="s">
        <v>890</v>
      </c>
      <c r="F204" s="45" t="s">
        <v>931</v>
      </c>
      <c r="G204" s="45" t="s">
        <v>39</v>
      </c>
      <c r="H204" s="45" t="s">
        <v>891</v>
      </c>
      <c r="I204" s="44" t="s">
        <v>892</v>
      </c>
      <c r="J204" s="44">
        <v>17</v>
      </c>
      <c r="K204" s="46" t="s">
        <v>700</v>
      </c>
      <c r="L204" s="46" t="s">
        <v>694</v>
      </c>
      <c r="M204" s="47" t="s">
        <v>967</v>
      </c>
      <c r="N204" s="47" t="s">
        <v>1738</v>
      </c>
      <c r="O204" s="48"/>
      <c r="P204" s="48"/>
      <c r="Q204" s="45"/>
      <c r="S204" s="1">
        <f t="shared" si="115"/>
        <v>0</v>
      </c>
      <c r="T204" s="1">
        <f t="shared" si="116"/>
        <v>0</v>
      </c>
      <c r="U204" s="1">
        <f t="shared" si="117"/>
        <v>0</v>
      </c>
      <c r="V204" s="1">
        <f t="shared" si="118"/>
        <v>0</v>
      </c>
      <c r="W204" s="1">
        <f t="shared" si="119"/>
        <v>0</v>
      </c>
      <c r="X204" s="1">
        <f t="shared" si="120"/>
        <v>0</v>
      </c>
      <c r="Y204" s="1">
        <f t="shared" si="121"/>
        <v>0</v>
      </c>
      <c r="Z204" s="1">
        <f t="shared" si="122"/>
        <v>0</v>
      </c>
      <c r="AA204" s="1">
        <f t="shared" si="123"/>
        <v>0</v>
      </c>
      <c r="AB204" s="1">
        <f t="shared" si="124"/>
        <v>0</v>
      </c>
      <c r="AD204" s="1">
        <f t="shared" si="125"/>
        <v>0</v>
      </c>
      <c r="AE204" s="1">
        <f t="shared" si="126"/>
        <v>0</v>
      </c>
      <c r="AF204" s="1">
        <f t="shared" si="111"/>
        <v>0</v>
      </c>
      <c r="AG204" s="1">
        <f t="shared" si="112"/>
        <v>0</v>
      </c>
      <c r="AH204" s="1">
        <f t="shared" si="113"/>
        <v>0</v>
      </c>
      <c r="AI204" s="1">
        <f t="shared" si="114"/>
        <v>1</v>
      </c>
    </row>
    <row r="205" spans="1:35" ht="14.25" customHeight="1" x14ac:dyDescent="0.3">
      <c r="A205" s="15">
        <v>0</v>
      </c>
      <c r="B205" s="15">
        <v>1</v>
      </c>
      <c r="C205" s="15">
        <v>5</v>
      </c>
      <c r="D205" s="16" t="s">
        <v>1938</v>
      </c>
      <c r="E205" s="16" t="s">
        <v>890</v>
      </c>
      <c r="F205" s="16" t="s">
        <v>1940</v>
      </c>
      <c r="G205" s="16"/>
      <c r="H205" s="16" t="s">
        <v>1939</v>
      </c>
      <c r="I205" s="15" t="s">
        <v>1941</v>
      </c>
      <c r="J205" s="15">
        <v>16</v>
      </c>
      <c r="K205" s="10" t="s">
        <v>700</v>
      </c>
      <c r="L205" s="10" t="s">
        <v>694</v>
      </c>
      <c r="M205" s="19" t="s">
        <v>967</v>
      </c>
      <c r="N205" s="17"/>
      <c r="Q205" s="20" t="s">
        <v>1942</v>
      </c>
      <c r="S205" s="1">
        <f t="shared" si="115"/>
        <v>0</v>
      </c>
      <c r="T205" s="1">
        <f t="shared" si="116"/>
        <v>0</v>
      </c>
      <c r="U205" s="1">
        <f t="shared" si="117"/>
        <v>0</v>
      </c>
      <c r="V205" s="1">
        <f t="shared" si="118"/>
        <v>0</v>
      </c>
      <c r="W205" s="1">
        <f t="shared" si="119"/>
        <v>0</v>
      </c>
      <c r="X205" s="1">
        <f t="shared" si="120"/>
        <v>0</v>
      </c>
      <c r="Y205" s="1">
        <f t="shared" si="121"/>
        <v>0</v>
      </c>
      <c r="Z205" s="1">
        <f t="shared" si="122"/>
        <v>0</v>
      </c>
      <c r="AA205" s="1">
        <f t="shared" si="123"/>
        <v>0</v>
      </c>
      <c r="AB205" s="1">
        <f t="shared" si="124"/>
        <v>0</v>
      </c>
      <c r="AD205" s="1">
        <f t="shared" si="125"/>
        <v>0</v>
      </c>
      <c r="AE205" s="1">
        <f t="shared" si="126"/>
        <v>0</v>
      </c>
      <c r="AF205" s="1">
        <f t="shared" si="111"/>
        <v>0</v>
      </c>
      <c r="AG205" s="1">
        <f t="shared" si="112"/>
        <v>0</v>
      </c>
      <c r="AH205" s="1">
        <f t="shared" si="113"/>
        <v>0</v>
      </c>
      <c r="AI205" s="1">
        <f t="shared" si="114"/>
        <v>1</v>
      </c>
    </row>
    <row r="206" spans="1:35" ht="14.25" customHeight="1" x14ac:dyDescent="0.3">
      <c r="A206" s="44">
        <v>0</v>
      </c>
      <c r="B206" s="44">
        <v>1</v>
      </c>
      <c r="C206" s="44">
        <v>5</v>
      </c>
      <c r="D206" s="45" t="s">
        <v>130</v>
      </c>
      <c r="E206" s="45" t="s">
        <v>165</v>
      </c>
      <c r="F206" s="45" t="s">
        <v>330</v>
      </c>
      <c r="G206" s="45" t="s">
        <v>331</v>
      </c>
      <c r="H206" s="45" t="s">
        <v>352</v>
      </c>
      <c r="I206" s="44" t="s">
        <v>477</v>
      </c>
      <c r="J206" s="44">
        <v>99</v>
      </c>
      <c r="K206" s="46" t="s">
        <v>719</v>
      </c>
      <c r="L206" s="46" t="s">
        <v>691</v>
      </c>
      <c r="M206" s="47" t="s">
        <v>967</v>
      </c>
      <c r="N206" s="47" t="s">
        <v>1744</v>
      </c>
      <c r="O206" s="48"/>
      <c r="P206" s="48"/>
      <c r="Q206" s="45"/>
      <c r="S206" s="1">
        <f t="shared" si="115"/>
        <v>0</v>
      </c>
      <c r="T206" s="1">
        <f t="shared" si="116"/>
        <v>0</v>
      </c>
      <c r="U206" s="1">
        <f t="shared" si="117"/>
        <v>0</v>
      </c>
      <c r="V206" s="1">
        <f t="shared" si="118"/>
        <v>0</v>
      </c>
      <c r="W206" s="1">
        <f t="shared" si="119"/>
        <v>0</v>
      </c>
      <c r="X206" s="1">
        <f t="shared" si="120"/>
        <v>0</v>
      </c>
      <c r="Y206" s="1">
        <f t="shared" si="121"/>
        <v>0</v>
      </c>
      <c r="Z206" s="1">
        <f t="shared" si="122"/>
        <v>0</v>
      </c>
      <c r="AA206" s="1">
        <f t="shared" si="123"/>
        <v>0</v>
      </c>
      <c r="AB206" s="1">
        <f t="shared" si="124"/>
        <v>0</v>
      </c>
      <c r="AD206" s="1">
        <f t="shared" si="125"/>
        <v>0</v>
      </c>
      <c r="AE206" s="1">
        <f t="shared" si="126"/>
        <v>0</v>
      </c>
      <c r="AF206" s="1">
        <f t="shared" si="111"/>
        <v>0</v>
      </c>
      <c r="AG206" s="1">
        <f t="shared" si="112"/>
        <v>0</v>
      </c>
      <c r="AH206" s="1">
        <f t="shared" si="113"/>
        <v>0</v>
      </c>
      <c r="AI206" s="1">
        <f t="shared" si="114"/>
        <v>1</v>
      </c>
    </row>
    <row r="207" spans="1:35" ht="14.25" customHeight="1" x14ac:dyDescent="0.3">
      <c r="A207" s="31">
        <v>0</v>
      </c>
      <c r="B207" s="31">
        <v>1</v>
      </c>
      <c r="C207" s="31">
        <v>5</v>
      </c>
      <c r="D207" s="32" t="s">
        <v>108</v>
      </c>
      <c r="E207" s="32" t="s">
        <v>165</v>
      </c>
      <c r="F207" s="32" t="s">
        <v>305</v>
      </c>
      <c r="G207" s="32" t="s">
        <v>230</v>
      </c>
      <c r="H207" s="32" t="s">
        <v>352</v>
      </c>
      <c r="I207" s="31" t="s">
        <v>453</v>
      </c>
      <c r="J207" s="31">
        <v>99</v>
      </c>
      <c r="K207" s="33" t="s">
        <v>719</v>
      </c>
      <c r="L207" s="33" t="s">
        <v>693</v>
      </c>
      <c r="M207" s="34" t="s">
        <v>688</v>
      </c>
      <c r="N207" s="34" t="s">
        <v>1740</v>
      </c>
      <c r="O207" s="35">
        <v>1</v>
      </c>
      <c r="P207" s="35"/>
      <c r="Q207" s="32"/>
      <c r="S207" s="1">
        <f t="shared" si="115"/>
        <v>0</v>
      </c>
      <c r="T207" s="1">
        <f t="shared" si="116"/>
        <v>0</v>
      </c>
      <c r="U207" s="1">
        <f t="shared" si="117"/>
        <v>0</v>
      </c>
      <c r="V207" s="1">
        <f t="shared" si="118"/>
        <v>0</v>
      </c>
      <c r="W207" s="1">
        <f t="shared" si="119"/>
        <v>0</v>
      </c>
      <c r="X207" s="1">
        <f t="shared" si="120"/>
        <v>0</v>
      </c>
      <c r="Y207" s="1">
        <f t="shared" si="121"/>
        <v>0</v>
      </c>
      <c r="Z207" s="1">
        <f t="shared" si="122"/>
        <v>0</v>
      </c>
      <c r="AA207" s="1">
        <f t="shared" si="123"/>
        <v>0</v>
      </c>
      <c r="AB207" s="1">
        <f t="shared" si="124"/>
        <v>0</v>
      </c>
      <c r="AD207" s="1">
        <f t="shared" si="125"/>
        <v>0</v>
      </c>
      <c r="AE207" s="1">
        <f t="shared" si="126"/>
        <v>1</v>
      </c>
      <c r="AF207" s="1">
        <f t="shared" si="111"/>
        <v>0</v>
      </c>
      <c r="AG207" s="1">
        <f t="shared" si="112"/>
        <v>1</v>
      </c>
      <c r="AH207" s="1">
        <f t="shared" si="113"/>
        <v>0</v>
      </c>
      <c r="AI207" s="1">
        <f t="shared" si="114"/>
        <v>1</v>
      </c>
    </row>
    <row r="208" spans="1:35" ht="14.25" customHeight="1" x14ac:dyDescent="0.3">
      <c r="A208" s="31">
        <v>0</v>
      </c>
      <c r="B208" s="31">
        <v>1</v>
      </c>
      <c r="C208" s="31">
        <v>5</v>
      </c>
      <c r="D208" s="32" t="s">
        <v>110</v>
      </c>
      <c r="E208" s="32" t="s">
        <v>171</v>
      </c>
      <c r="F208" s="32" t="s">
        <v>308</v>
      </c>
      <c r="G208" s="32" t="s">
        <v>39</v>
      </c>
      <c r="H208" s="32" t="s">
        <v>362</v>
      </c>
      <c r="I208" s="31" t="s">
        <v>456</v>
      </c>
      <c r="J208" s="31">
        <v>17</v>
      </c>
      <c r="K208" s="33" t="s">
        <v>700</v>
      </c>
      <c r="L208" s="33" t="s">
        <v>694</v>
      </c>
      <c r="M208" s="34" t="s">
        <v>688</v>
      </c>
      <c r="N208" s="34" t="s">
        <v>1730</v>
      </c>
      <c r="O208" s="35">
        <v>1</v>
      </c>
      <c r="P208" s="35">
        <v>1</v>
      </c>
      <c r="Q208" s="32" t="s">
        <v>1912</v>
      </c>
      <c r="S208" s="1">
        <f t="shared" si="115"/>
        <v>0</v>
      </c>
      <c r="T208" s="1">
        <f t="shared" si="116"/>
        <v>0</v>
      </c>
      <c r="U208" s="1">
        <f t="shared" si="117"/>
        <v>0</v>
      </c>
      <c r="V208" s="1">
        <f t="shared" si="118"/>
        <v>0</v>
      </c>
      <c r="W208" s="1">
        <f t="shared" si="119"/>
        <v>0</v>
      </c>
      <c r="X208" s="1">
        <f t="shared" si="120"/>
        <v>0</v>
      </c>
      <c r="Y208" s="1">
        <f t="shared" si="121"/>
        <v>0</v>
      </c>
      <c r="Z208" s="1">
        <f t="shared" si="122"/>
        <v>0</v>
      </c>
      <c r="AA208" s="1">
        <f t="shared" si="123"/>
        <v>0</v>
      </c>
      <c r="AB208" s="1">
        <f t="shared" si="124"/>
        <v>0</v>
      </c>
      <c r="AD208" s="1">
        <f t="shared" si="125"/>
        <v>1</v>
      </c>
      <c r="AE208" s="1">
        <f t="shared" si="126"/>
        <v>0</v>
      </c>
      <c r="AF208" s="1">
        <f t="shared" si="111"/>
        <v>1</v>
      </c>
      <c r="AG208" s="1">
        <f t="shared" si="112"/>
        <v>0</v>
      </c>
      <c r="AH208" s="1">
        <f t="shared" si="113"/>
        <v>1</v>
      </c>
      <c r="AI208" s="1">
        <f t="shared" si="114"/>
        <v>0</v>
      </c>
    </row>
    <row r="209" spans="1:35" ht="14.25" customHeight="1" x14ac:dyDescent="0.3">
      <c r="A209" s="31">
        <v>0</v>
      </c>
      <c r="B209" s="31">
        <v>1</v>
      </c>
      <c r="C209" s="31">
        <v>5</v>
      </c>
      <c r="D209" s="32" t="s">
        <v>522</v>
      </c>
      <c r="E209" s="32" t="s">
        <v>523</v>
      </c>
      <c r="F209" s="32" t="s">
        <v>524</v>
      </c>
      <c r="G209" s="32" t="s">
        <v>201</v>
      </c>
      <c r="H209" s="32" t="s">
        <v>352</v>
      </c>
      <c r="I209" s="31" t="s">
        <v>525</v>
      </c>
      <c r="J209" s="31">
        <v>10</v>
      </c>
      <c r="K209" s="33" t="s">
        <v>699</v>
      </c>
      <c r="L209" s="33" t="s">
        <v>690</v>
      </c>
      <c r="M209" s="34" t="s">
        <v>967</v>
      </c>
      <c r="N209" s="34" t="s">
        <v>1730</v>
      </c>
      <c r="O209" s="35">
        <v>1</v>
      </c>
      <c r="P209" s="35">
        <v>1</v>
      </c>
      <c r="Q209" s="32"/>
      <c r="S209" s="1">
        <f t="shared" si="115"/>
        <v>0</v>
      </c>
      <c r="T209" s="1">
        <f t="shared" si="116"/>
        <v>0</v>
      </c>
      <c r="U209" s="1">
        <f t="shared" si="117"/>
        <v>0</v>
      </c>
      <c r="V209" s="1">
        <f t="shared" si="118"/>
        <v>0</v>
      </c>
      <c r="W209" s="1">
        <f t="shared" si="119"/>
        <v>0</v>
      </c>
      <c r="X209" s="1">
        <f t="shared" si="120"/>
        <v>0</v>
      </c>
      <c r="Y209" s="1">
        <f t="shared" si="121"/>
        <v>0</v>
      </c>
      <c r="Z209" s="1">
        <f t="shared" si="122"/>
        <v>0</v>
      </c>
      <c r="AA209" s="1">
        <f t="shared" si="123"/>
        <v>0</v>
      </c>
      <c r="AB209" s="1">
        <f t="shared" si="124"/>
        <v>1</v>
      </c>
      <c r="AD209" s="1">
        <f t="shared" si="125"/>
        <v>1</v>
      </c>
      <c r="AE209" s="1">
        <f t="shared" si="126"/>
        <v>0</v>
      </c>
      <c r="AF209" s="1">
        <f t="shared" si="111"/>
        <v>1</v>
      </c>
      <c r="AG209" s="1">
        <f t="shared" si="112"/>
        <v>0</v>
      </c>
      <c r="AH209" s="1">
        <f t="shared" si="113"/>
        <v>1</v>
      </c>
      <c r="AI209" s="1">
        <f t="shared" si="114"/>
        <v>0</v>
      </c>
    </row>
    <row r="210" spans="1:35" ht="14.25" customHeight="1" x14ac:dyDescent="0.3">
      <c r="A210" s="31">
        <v>0</v>
      </c>
      <c r="B210" s="31">
        <v>1</v>
      </c>
      <c r="C210" s="31">
        <v>5</v>
      </c>
      <c r="D210" s="32" t="s">
        <v>1496</v>
      </c>
      <c r="E210" s="32" t="s">
        <v>165</v>
      </c>
      <c r="F210" s="32" t="s">
        <v>1497</v>
      </c>
      <c r="G210" s="32" t="s">
        <v>179</v>
      </c>
      <c r="H210" s="32" t="s">
        <v>352</v>
      </c>
      <c r="I210" s="31" t="s">
        <v>1498</v>
      </c>
      <c r="J210" s="31">
        <v>10</v>
      </c>
      <c r="K210" s="33" t="s">
        <v>953</v>
      </c>
      <c r="L210" s="33" t="s">
        <v>690</v>
      </c>
      <c r="M210" s="34" t="s">
        <v>967</v>
      </c>
      <c r="N210" s="34" t="s">
        <v>1724</v>
      </c>
      <c r="O210" s="35">
        <v>1</v>
      </c>
      <c r="P210" s="35">
        <v>1</v>
      </c>
      <c r="Q210" s="32"/>
      <c r="S210" s="1">
        <f t="shared" si="115"/>
        <v>0</v>
      </c>
      <c r="T210" s="1">
        <f t="shared" si="116"/>
        <v>0</v>
      </c>
      <c r="U210" s="1">
        <f t="shared" si="117"/>
        <v>0</v>
      </c>
      <c r="V210" s="1">
        <f t="shared" si="118"/>
        <v>0</v>
      </c>
      <c r="W210" s="1">
        <f t="shared" si="119"/>
        <v>0</v>
      </c>
      <c r="X210" s="1">
        <f t="shared" si="120"/>
        <v>0</v>
      </c>
      <c r="Y210" s="1">
        <f t="shared" si="121"/>
        <v>0</v>
      </c>
      <c r="Z210" s="1">
        <f t="shared" si="122"/>
        <v>0</v>
      </c>
      <c r="AA210" s="1">
        <f t="shared" si="123"/>
        <v>0</v>
      </c>
      <c r="AB210" s="1">
        <f t="shared" si="124"/>
        <v>1</v>
      </c>
      <c r="AD210" s="1">
        <f t="shared" si="125"/>
        <v>1</v>
      </c>
      <c r="AE210" s="1">
        <f t="shared" si="126"/>
        <v>0</v>
      </c>
      <c r="AF210" s="1">
        <f t="shared" ref="AF210:AF275" si="165">+O210*P210*(1-A210)</f>
        <v>1</v>
      </c>
      <c r="AG210" s="1">
        <f t="shared" ref="AG210:AG275" si="166">O210*(1-P210)*(1-A210)</f>
        <v>0</v>
      </c>
      <c r="AH210" s="1">
        <f t="shared" ref="AH210:AH275" si="167">+P210*(1-A210)</f>
        <v>1</v>
      </c>
      <c r="AI210" s="1">
        <f t="shared" ref="AI210:AI275" si="168">+(1-A210)*(1-P210)</f>
        <v>0</v>
      </c>
    </row>
    <row r="211" spans="1:35" ht="14.25" customHeight="1" x14ac:dyDescent="0.3">
      <c r="A211" s="31">
        <v>0</v>
      </c>
      <c r="B211" s="31">
        <v>1</v>
      </c>
      <c r="C211" s="31">
        <v>5</v>
      </c>
      <c r="D211" s="32" t="s">
        <v>1754</v>
      </c>
      <c r="E211" s="32" t="s">
        <v>165</v>
      </c>
      <c r="F211" s="32" t="s">
        <v>1755</v>
      </c>
      <c r="G211" s="32" t="s">
        <v>1756</v>
      </c>
      <c r="H211" s="32" t="s">
        <v>352</v>
      </c>
      <c r="I211" s="31" t="s">
        <v>1757</v>
      </c>
      <c r="J211" s="31">
        <v>1</v>
      </c>
      <c r="K211" s="33" t="s">
        <v>700</v>
      </c>
      <c r="L211" s="33"/>
      <c r="M211" s="34"/>
      <c r="N211" s="34" t="s">
        <v>1745</v>
      </c>
      <c r="O211" s="35">
        <v>1</v>
      </c>
      <c r="P211" s="35"/>
      <c r="Q211" s="32"/>
      <c r="S211" s="1">
        <f t="shared" si="115"/>
        <v>1</v>
      </c>
      <c r="T211" s="1">
        <f t="shared" si="116"/>
        <v>0</v>
      </c>
      <c r="U211" s="1">
        <f t="shared" si="117"/>
        <v>0</v>
      </c>
      <c r="V211" s="1">
        <f t="shared" si="118"/>
        <v>0</v>
      </c>
      <c r="W211" s="1">
        <f t="shared" si="119"/>
        <v>0</v>
      </c>
      <c r="X211" s="1">
        <f t="shared" si="120"/>
        <v>0</v>
      </c>
      <c r="Y211" s="1">
        <f t="shared" si="121"/>
        <v>0</v>
      </c>
      <c r="Z211" s="1">
        <f t="shared" si="122"/>
        <v>0</v>
      </c>
      <c r="AA211" s="1">
        <f t="shared" si="123"/>
        <v>0</v>
      </c>
      <c r="AB211" s="1">
        <f t="shared" si="124"/>
        <v>0</v>
      </c>
      <c r="AD211" s="1">
        <f t="shared" si="125"/>
        <v>0</v>
      </c>
      <c r="AE211" s="1">
        <f t="shared" si="126"/>
        <v>1</v>
      </c>
      <c r="AF211" s="1">
        <f t="shared" si="165"/>
        <v>0</v>
      </c>
      <c r="AG211" s="1">
        <f t="shared" si="166"/>
        <v>1</v>
      </c>
      <c r="AH211" s="1">
        <f t="shared" si="167"/>
        <v>0</v>
      </c>
      <c r="AI211" s="1">
        <f t="shared" si="168"/>
        <v>1</v>
      </c>
    </row>
    <row r="212" spans="1:35" ht="14.25" customHeight="1" x14ac:dyDescent="0.3">
      <c r="A212" s="44">
        <v>0</v>
      </c>
      <c r="B212" s="44">
        <v>1</v>
      </c>
      <c r="C212" s="44">
        <v>5</v>
      </c>
      <c r="D212" s="45" t="s">
        <v>1023</v>
      </c>
      <c r="E212" s="45" t="s">
        <v>1084</v>
      </c>
      <c r="F212" s="45" t="s">
        <v>1024</v>
      </c>
      <c r="G212" s="45" t="s">
        <v>193</v>
      </c>
      <c r="H212" s="45" t="s">
        <v>352</v>
      </c>
      <c r="I212" s="44" t="s">
        <v>1025</v>
      </c>
      <c r="J212" s="44">
        <v>9</v>
      </c>
      <c r="K212" s="46" t="s">
        <v>719</v>
      </c>
      <c r="L212" s="46" t="s">
        <v>1701</v>
      </c>
      <c r="M212" s="47" t="s">
        <v>1601</v>
      </c>
      <c r="N212" s="47" t="s">
        <v>1732</v>
      </c>
      <c r="O212" s="48"/>
      <c r="P212" s="48"/>
      <c r="Q212" s="45"/>
      <c r="S212" s="1">
        <f t="shared" si="115"/>
        <v>0</v>
      </c>
      <c r="T212" s="1">
        <f t="shared" si="116"/>
        <v>0</v>
      </c>
      <c r="U212" s="1">
        <f t="shared" si="117"/>
        <v>0</v>
      </c>
      <c r="V212" s="1">
        <f t="shared" si="118"/>
        <v>0</v>
      </c>
      <c r="W212" s="1">
        <f t="shared" si="119"/>
        <v>0</v>
      </c>
      <c r="X212" s="1">
        <f t="shared" si="120"/>
        <v>0</v>
      </c>
      <c r="Y212" s="1">
        <f t="shared" si="121"/>
        <v>0</v>
      </c>
      <c r="Z212" s="1">
        <f t="shared" si="122"/>
        <v>0</v>
      </c>
      <c r="AA212" s="1">
        <f t="shared" si="123"/>
        <v>1</v>
      </c>
      <c r="AB212" s="1">
        <f t="shared" si="124"/>
        <v>0</v>
      </c>
      <c r="AD212" s="1">
        <f t="shared" si="125"/>
        <v>0</v>
      </c>
      <c r="AE212" s="1">
        <f t="shared" si="126"/>
        <v>0</v>
      </c>
      <c r="AF212" s="1">
        <f t="shared" si="165"/>
        <v>0</v>
      </c>
      <c r="AG212" s="1">
        <f t="shared" si="166"/>
        <v>0</v>
      </c>
      <c r="AH212" s="1">
        <f t="shared" si="167"/>
        <v>0</v>
      </c>
      <c r="AI212" s="1">
        <f t="shared" si="168"/>
        <v>1</v>
      </c>
    </row>
    <row r="213" spans="1:35" ht="14.25" customHeight="1" x14ac:dyDescent="0.3">
      <c r="A213" s="44">
        <v>0</v>
      </c>
      <c r="B213" s="44">
        <v>1</v>
      </c>
      <c r="C213" s="44">
        <v>5</v>
      </c>
      <c r="D213" s="45" t="s">
        <v>1611</v>
      </c>
      <c r="E213" s="45" t="s">
        <v>165</v>
      </c>
      <c r="F213" s="45" t="s">
        <v>1612</v>
      </c>
      <c r="G213" s="45" t="s">
        <v>212</v>
      </c>
      <c r="H213" s="45" t="s">
        <v>352</v>
      </c>
      <c r="I213" s="44" t="s">
        <v>1613</v>
      </c>
      <c r="J213" s="44">
        <v>1</v>
      </c>
      <c r="K213" s="46" t="s">
        <v>719</v>
      </c>
      <c r="L213" s="46" t="s">
        <v>691</v>
      </c>
      <c r="M213" s="47" t="s">
        <v>967</v>
      </c>
      <c r="N213" s="47" t="s">
        <v>1733</v>
      </c>
      <c r="O213" s="48"/>
      <c r="P213" s="48"/>
      <c r="Q213" s="45"/>
      <c r="S213" s="1">
        <f t="shared" si="115"/>
        <v>1</v>
      </c>
      <c r="T213" s="1">
        <f t="shared" si="116"/>
        <v>0</v>
      </c>
      <c r="U213" s="1">
        <f t="shared" si="117"/>
        <v>0</v>
      </c>
      <c r="V213" s="1">
        <f t="shared" si="118"/>
        <v>0</v>
      </c>
      <c r="W213" s="1">
        <f t="shared" si="119"/>
        <v>0</v>
      </c>
      <c r="X213" s="1">
        <f t="shared" si="120"/>
        <v>0</v>
      </c>
      <c r="Y213" s="1">
        <f t="shared" si="121"/>
        <v>0</v>
      </c>
      <c r="Z213" s="1">
        <f t="shared" si="122"/>
        <v>0</v>
      </c>
      <c r="AA213" s="1">
        <f t="shared" si="123"/>
        <v>0</v>
      </c>
      <c r="AB213" s="1">
        <f t="shared" si="124"/>
        <v>0</v>
      </c>
      <c r="AD213" s="1">
        <f t="shared" si="125"/>
        <v>0</v>
      </c>
      <c r="AE213" s="1">
        <f t="shared" si="126"/>
        <v>0</v>
      </c>
      <c r="AF213" s="1">
        <f t="shared" si="165"/>
        <v>0</v>
      </c>
      <c r="AG213" s="1">
        <f t="shared" si="166"/>
        <v>0</v>
      </c>
      <c r="AH213" s="1">
        <f t="shared" si="167"/>
        <v>0</v>
      </c>
      <c r="AI213" s="1">
        <f t="shared" si="168"/>
        <v>1</v>
      </c>
    </row>
    <row r="214" spans="1:35" ht="14.25" customHeight="1" x14ac:dyDescent="0.3">
      <c r="A214" s="31">
        <v>0</v>
      </c>
      <c r="B214" s="31">
        <v>1</v>
      </c>
      <c r="C214" s="31">
        <v>5</v>
      </c>
      <c r="D214" s="32" t="s">
        <v>146</v>
      </c>
      <c r="E214" s="32" t="s">
        <v>542</v>
      </c>
      <c r="F214" s="32" t="s">
        <v>1596</v>
      </c>
      <c r="G214" s="32" t="s">
        <v>1670</v>
      </c>
      <c r="H214" s="32" t="s">
        <v>352</v>
      </c>
      <c r="I214" s="31" t="s">
        <v>491</v>
      </c>
      <c r="J214" s="31">
        <v>99</v>
      </c>
      <c r="K214" s="33" t="s">
        <v>699</v>
      </c>
      <c r="L214" s="33" t="s">
        <v>686</v>
      </c>
      <c r="M214" s="34" t="s">
        <v>967</v>
      </c>
      <c r="N214" s="34" t="s">
        <v>1822</v>
      </c>
      <c r="O214" s="35">
        <v>1</v>
      </c>
      <c r="P214" s="35"/>
      <c r="Q214" s="32"/>
      <c r="S214" s="1">
        <f t="shared" si="115"/>
        <v>0</v>
      </c>
      <c r="T214" s="1">
        <f t="shared" si="116"/>
        <v>0</v>
      </c>
      <c r="U214" s="1">
        <f t="shared" si="117"/>
        <v>0</v>
      </c>
      <c r="V214" s="1">
        <f t="shared" si="118"/>
        <v>0</v>
      </c>
      <c r="W214" s="1">
        <f t="shared" si="119"/>
        <v>0</v>
      </c>
      <c r="X214" s="1">
        <f t="shared" si="120"/>
        <v>0</v>
      </c>
      <c r="Y214" s="1">
        <f t="shared" si="121"/>
        <v>0</v>
      </c>
      <c r="Z214" s="1">
        <f t="shared" si="122"/>
        <v>0</v>
      </c>
      <c r="AA214" s="1">
        <f t="shared" si="123"/>
        <v>0</v>
      </c>
      <c r="AB214" s="1">
        <f t="shared" si="124"/>
        <v>0</v>
      </c>
      <c r="AD214" s="1">
        <f t="shared" si="125"/>
        <v>0</v>
      </c>
      <c r="AE214" s="1">
        <f t="shared" si="126"/>
        <v>1</v>
      </c>
      <c r="AF214" s="1">
        <f t="shared" si="165"/>
        <v>0</v>
      </c>
      <c r="AG214" s="1">
        <f t="shared" si="166"/>
        <v>1</v>
      </c>
      <c r="AH214" s="1">
        <f t="shared" si="167"/>
        <v>0</v>
      </c>
      <c r="AI214" s="1">
        <f t="shared" si="168"/>
        <v>1</v>
      </c>
    </row>
    <row r="215" spans="1:35" ht="14.25" customHeight="1" x14ac:dyDescent="0.3">
      <c r="A215" s="15">
        <v>0</v>
      </c>
      <c r="B215" s="15">
        <v>1</v>
      </c>
      <c r="C215" s="15">
        <v>5</v>
      </c>
      <c r="D215" s="16" t="s">
        <v>1209</v>
      </c>
      <c r="E215" s="16" t="s">
        <v>165</v>
      </c>
      <c r="F215" s="16" t="s">
        <v>1210</v>
      </c>
      <c r="G215" s="16" t="s">
        <v>1211</v>
      </c>
      <c r="H215" s="16" t="s">
        <v>352</v>
      </c>
      <c r="I215" s="15" t="s">
        <v>1212</v>
      </c>
      <c r="J215" s="15">
        <v>99</v>
      </c>
      <c r="K215" s="10" t="s">
        <v>700</v>
      </c>
      <c r="L215" s="10">
        <v>30</v>
      </c>
      <c r="M215" s="19" t="s">
        <v>967</v>
      </c>
      <c r="N215" s="19"/>
      <c r="Q215" s="16"/>
      <c r="S215" s="1">
        <f t="shared" ref="S215:S279" si="169">IF(J215=$S$7,1,0)</f>
        <v>0</v>
      </c>
      <c r="T215" s="1">
        <f t="shared" ref="T215:T279" si="170">IF(J215=$T$7,1,0)</f>
        <v>0</v>
      </c>
      <c r="U215" s="1">
        <f t="shared" ref="U215:U279" si="171">IF(J215=$U$7,1,0)</f>
        <v>0</v>
      </c>
      <c r="V215" s="1">
        <f t="shared" ref="V215:V279" si="172">IF(J215=$V$7,1,0)</f>
        <v>0</v>
      </c>
      <c r="W215" s="1">
        <f t="shared" ref="W215:W279" si="173">IF(J215=$W$7,1,0)</f>
        <v>0</v>
      </c>
      <c r="X215" s="1">
        <f t="shared" ref="X215:X279" si="174">IF(J215=$X$7,1,0)</f>
        <v>0</v>
      </c>
      <c r="Y215" s="1">
        <f t="shared" ref="Y215:Y279" si="175">IF(J215=$Y$7,1,0)</f>
        <v>0</v>
      </c>
      <c r="Z215" s="1">
        <f t="shared" ref="Z215:Z279" si="176">IF(J215=$Z$7,1,0)</f>
        <v>0</v>
      </c>
      <c r="AA215" s="1">
        <f t="shared" ref="AA215:AA279" si="177">IF(J215=$AA$7,1,0)</f>
        <v>0</v>
      </c>
      <c r="AB215" s="1">
        <f t="shared" ref="AB215:AB279" si="178">IF(J215=$AB$7,1,0)</f>
        <v>0</v>
      </c>
      <c r="AD215" s="1">
        <f t="shared" ref="AD215:AD279" si="179">+O215*P215</f>
        <v>0</v>
      </c>
      <c r="AE215" s="1">
        <f t="shared" ref="AE215:AE279" si="180">O215*(1-P215)</f>
        <v>0</v>
      </c>
      <c r="AF215" s="1">
        <f t="shared" si="165"/>
        <v>0</v>
      </c>
      <c r="AG215" s="1">
        <f t="shared" si="166"/>
        <v>0</v>
      </c>
      <c r="AH215" s="1">
        <f t="shared" si="167"/>
        <v>0</v>
      </c>
      <c r="AI215" s="1">
        <f t="shared" si="168"/>
        <v>1</v>
      </c>
    </row>
    <row r="216" spans="1:35" ht="14.25" customHeight="1" x14ac:dyDescent="0.3">
      <c r="A216" s="31">
        <v>0</v>
      </c>
      <c r="B216" s="31">
        <v>1</v>
      </c>
      <c r="C216" s="31">
        <v>5</v>
      </c>
      <c r="D216" s="32" t="s">
        <v>1597</v>
      </c>
      <c r="E216" s="32" t="s">
        <v>171</v>
      </c>
      <c r="F216" s="32" t="s">
        <v>805</v>
      </c>
      <c r="G216" s="32" t="s">
        <v>39</v>
      </c>
      <c r="H216" s="32" t="s">
        <v>806</v>
      </c>
      <c r="I216" s="31" t="s">
        <v>807</v>
      </c>
      <c r="J216" s="31">
        <v>16</v>
      </c>
      <c r="K216" s="33" t="s">
        <v>954</v>
      </c>
      <c r="L216" s="33" t="s">
        <v>1739</v>
      </c>
      <c r="M216" s="34" t="s">
        <v>967</v>
      </c>
      <c r="N216" s="34" t="s">
        <v>1745</v>
      </c>
      <c r="O216" s="35">
        <v>1</v>
      </c>
      <c r="P216" s="35"/>
      <c r="Q216" s="32"/>
      <c r="S216" s="1">
        <f t="shared" si="169"/>
        <v>0</v>
      </c>
      <c r="T216" s="1">
        <f t="shared" si="170"/>
        <v>0</v>
      </c>
      <c r="U216" s="1">
        <f t="shared" si="171"/>
        <v>0</v>
      </c>
      <c r="V216" s="1">
        <f t="shared" si="172"/>
        <v>0</v>
      </c>
      <c r="W216" s="1">
        <f t="shared" si="173"/>
        <v>0</v>
      </c>
      <c r="X216" s="1">
        <f t="shared" si="174"/>
        <v>0</v>
      </c>
      <c r="Y216" s="1">
        <f t="shared" si="175"/>
        <v>0</v>
      </c>
      <c r="Z216" s="1">
        <f t="shared" si="176"/>
        <v>0</v>
      </c>
      <c r="AA216" s="1">
        <f t="shared" si="177"/>
        <v>0</v>
      </c>
      <c r="AB216" s="1">
        <f t="shared" si="178"/>
        <v>0</v>
      </c>
      <c r="AD216" s="1">
        <f t="shared" si="179"/>
        <v>0</v>
      </c>
      <c r="AE216" s="1">
        <f t="shared" si="180"/>
        <v>1</v>
      </c>
      <c r="AF216" s="1">
        <f t="shared" si="165"/>
        <v>0</v>
      </c>
      <c r="AG216" s="1">
        <f t="shared" si="166"/>
        <v>1</v>
      </c>
      <c r="AH216" s="1">
        <f t="shared" si="167"/>
        <v>0</v>
      </c>
      <c r="AI216" s="1">
        <f t="shared" si="168"/>
        <v>1</v>
      </c>
    </row>
    <row r="217" spans="1:35" ht="14.25" customHeight="1" x14ac:dyDescent="0.3">
      <c r="A217" s="31">
        <v>0</v>
      </c>
      <c r="B217" s="31">
        <v>1</v>
      </c>
      <c r="C217" s="31">
        <v>5</v>
      </c>
      <c r="D217" s="32" t="s">
        <v>499</v>
      </c>
      <c r="E217" s="32" t="s">
        <v>165</v>
      </c>
      <c r="F217" s="32" t="s">
        <v>500</v>
      </c>
      <c r="G217" s="32" t="s">
        <v>501</v>
      </c>
      <c r="H217" s="32" t="s">
        <v>352</v>
      </c>
      <c r="I217" s="31" t="s">
        <v>502</v>
      </c>
      <c r="J217" s="31">
        <v>99</v>
      </c>
      <c r="K217" s="33" t="s">
        <v>954</v>
      </c>
      <c r="L217" s="33" t="s">
        <v>691</v>
      </c>
      <c r="M217" s="34" t="s">
        <v>688</v>
      </c>
      <c r="N217" s="34" t="s">
        <v>1724</v>
      </c>
      <c r="O217" s="35">
        <v>1</v>
      </c>
      <c r="P217" s="35">
        <v>1</v>
      </c>
      <c r="Q217" s="32"/>
      <c r="S217" s="1">
        <f t="shared" si="169"/>
        <v>0</v>
      </c>
      <c r="T217" s="1">
        <f t="shared" si="170"/>
        <v>0</v>
      </c>
      <c r="U217" s="1">
        <f t="shared" si="171"/>
        <v>0</v>
      </c>
      <c r="V217" s="1">
        <f t="shared" si="172"/>
        <v>0</v>
      </c>
      <c r="W217" s="1">
        <f t="shared" si="173"/>
        <v>0</v>
      </c>
      <c r="X217" s="1">
        <f t="shared" si="174"/>
        <v>0</v>
      </c>
      <c r="Y217" s="1">
        <f t="shared" si="175"/>
        <v>0</v>
      </c>
      <c r="Z217" s="1">
        <f t="shared" si="176"/>
        <v>0</v>
      </c>
      <c r="AA217" s="1">
        <f t="shared" si="177"/>
        <v>0</v>
      </c>
      <c r="AB217" s="1">
        <f t="shared" si="178"/>
        <v>0</v>
      </c>
      <c r="AD217" s="1">
        <f t="shared" si="179"/>
        <v>1</v>
      </c>
      <c r="AE217" s="1">
        <f t="shared" si="180"/>
        <v>0</v>
      </c>
      <c r="AF217" s="1">
        <f t="shared" si="165"/>
        <v>1</v>
      </c>
      <c r="AG217" s="1">
        <f t="shared" si="166"/>
        <v>0</v>
      </c>
      <c r="AH217" s="1">
        <f t="shared" si="167"/>
        <v>1</v>
      </c>
      <c r="AI217" s="1">
        <f t="shared" si="168"/>
        <v>0</v>
      </c>
    </row>
    <row r="218" spans="1:35" ht="14.25" customHeight="1" x14ac:dyDescent="0.3">
      <c r="A218" s="31">
        <v>0</v>
      </c>
      <c r="B218" s="31">
        <v>1</v>
      </c>
      <c r="C218" s="31">
        <v>6</v>
      </c>
      <c r="D218" s="32" t="s">
        <v>1447</v>
      </c>
      <c r="E218" s="32" t="s">
        <v>166</v>
      </c>
      <c r="F218" s="32" t="s">
        <v>1448</v>
      </c>
      <c r="G218" s="32" t="s">
        <v>178</v>
      </c>
      <c r="H218" s="32" t="s">
        <v>352</v>
      </c>
      <c r="I218" s="31" t="s">
        <v>1449</v>
      </c>
      <c r="J218" s="31">
        <v>99</v>
      </c>
      <c r="K218" s="33" t="s">
        <v>953</v>
      </c>
      <c r="L218" s="33" t="s">
        <v>693</v>
      </c>
      <c r="M218" s="34" t="s">
        <v>1450</v>
      </c>
      <c r="N218" s="34" t="s">
        <v>1746</v>
      </c>
      <c r="O218" s="35">
        <v>1</v>
      </c>
      <c r="P218" s="35"/>
      <c r="Q218" s="36"/>
      <c r="S218" s="1">
        <f t="shared" si="169"/>
        <v>0</v>
      </c>
      <c r="T218" s="1">
        <f t="shared" si="170"/>
        <v>0</v>
      </c>
      <c r="U218" s="1">
        <f t="shared" si="171"/>
        <v>0</v>
      </c>
      <c r="V218" s="1">
        <f t="shared" si="172"/>
        <v>0</v>
      </c>
      <c r="W218" s="1">
        <f t="shared" si="173"/>
        <v>0</v>
      </c>
      <c r="X218" s="1">
        <f t="shared" si="174"/>
        <v>0</v>
      </c>
      <c r="Y218" s="1">
        <f t="shared" si="175"/>
        <v>0</v>
      </c>
      <c r="Z218" s="1">
        <f t="shared" si="176"/>
        <v>0</v>
      </c>
      <c r="AA218" s="1">
        <f t="shared" si="177"/>
        <v>0</v>
      </c>
      <c r="AB218" s="1">
        <f t="shared" si="178"/>
        <v>0</v>
      </c>
      <c r="AD218" s="1">
        <f t="shared" si="179"/>
        <v>0</v>
      </c>
      <c r="AE218" s="1">
        <f t="shared" si="180"/>
        <v>1</v>
      </c>
      <c r="AF218" s="1">
        <f t="shared" si="165"/>
        <v>0</v>
      </c>
      <c r="AG218" s="1">
        <f t="shared" si="166"/>
        <v>1</v>
      </c>
      <c r="AH218" s="1">
        <f t="shared" si="167"/>
        <v>0</v>
      </c>
      <c r="AI218" s="1">
        <f t="shared" si="168"/>
        <v>1</v>
      </c>
    </row>
    <row r="219" spans="1:35" ht="14.25" customHeight="1" x14ac:dyDescent="0.3">
      <c r="A219" s="31">
        <v>0</v>
      </c>
      <c r="B219" s="31">
        <v>1</v>
      </c>
      <c r="C219" s="31">
        <v>6</v>
      </c>
      <c r="D219" s="32" t="s">
        <v>1183</v>
      </c>
      <c r="E219" s="32" t="s">
        <v>1186</v>
      </c>
      <c r="F219" s="32" t="s">
        <v>1184</v>
      </c>
      <c r="G219" s="32" t="s">
        <v>39</v>
      </c>
      <c r="H219" s="32" t="s">
        <v>352</v>
      </c>
      <c r="I219" s="31" t="s">
        <v>1185</v>
      </c>
      <c r="J219" s="31">
        <v>99</v>
      </c>
      <c r="K219" s="33" t="s">
        <v>959</v>
      </c>
      <c r="L219" s="33" t="s">
        <v>39</v>
      </c>
      <c r="M219" s="34" t="s">
        <v>39</v>
      </c>
      <c r="N219" s="34" t="s">
        <v>1730</v>
      </c>
      <c r="O219" s="35">
        <v>1</v>
      </c>
      <c r="P219" s="35">
        <v>1</v>
      </c>
      <c r="Q219" s="36" t="s">
        <v>1905</v>
      </c>
      <c r="S219" s="1">
        <f t="shared" si="169"/>
        <v>0</v>
      </c>
      <c r="T219" s="1">
        <f t="shared" si="170"/>
        <v>0</v>
      </c>
      <c r="U219" s="1">
        <f t="shared" si="171"/>
        <v>0</v>
      </c>
      <c r="V219" s="1">
        <f t="shared" si="172"/>
        <v>0</v>
      </c>
      <c r="W219" s="1">
        <f t="shared" si="173"/>
        <v>0</v>
      </c>
      <c r="X219" s="1">
        <f t="shared" si="174"/>
        <v>0</v>
      </c>
      <c r="Y219" s="1">
        <f t="shared" si="175"/>
        <v>0</v>
      </c>
      <c r="Z219" s="1">
        <f t="shared" si="176"/>
        <v>0</v>
      </c>
      <c r="AA219" s="1">
        <f t="shared" si="177"/>
        <v>0</v>
      </c>
      <c r="AB219" s="1">
        <f t="shared" si="178"/>
        <v>0</v>
      </c>
      <c r="AD219" s="1">
        <f t="shared" si="179"/>
        <v>1</v>
      </c>
      <c r="AE219" s="1">
        <f t="shared" si="180"/>
        <v>0</v>
      </c>
      <c r="AF219" s="1">
        <f t="shared" si="165"/>
        <v>1</v>
      </c>
      <c r="AG219" s="1">
        <f t="shared" si="166"/>
        <v>0</v>
      </c>
      <c r="AH219" s="1">
        <f t="shared" si="167"/>
        <v>1</v>
      </c>
      <c r="AI219" s="1">
        <f t="shared" si="168"/>
        <v>0</v>
      </c>
    </row>
    <row r="220" spans="1:35" ht="14.25" customHeight="1" x14ac:dyDescent="0.3">
      <c r="A220" s="31">
        <v>0</v>
      </c>
      <c r="B220" s="31">
        <v>1</v>
      </c>
      <c r="C220" s="31">
        <v>6</v>
      </c>
      <c r="D220" s="32" t="s">
        <v>1645</v>
      </c>
      <c r="E220" s="32" t="s">
        <v>1653</v>
      </c>
      <c r="F220" s="32" t="s">
        <v>1680</v>
      </c>
      <c r="G220" s="32" t="s">
        <v>1681</v>
      </c>
      <c r="H220" s="32" t="s">
        <v>352</v>
      </c>
      <c r="I220" s="31" t="s">
        <v>1693</v>
      </c>
      <c r="J220" s="31">
        <v>1</v>
      </c>
      <c r="K220" s="33" t="s">
        <v>955</v>
      </c>
      <c r="L220" s="33" t="s">
        <v>39</v>
      </c>
      <c r="M220" s="34" t="s">
        <v>39</v>
      </c>
      <c r="N220" s="34" t="s">
        <v>1724</v>
      </c>
      <c r="O220" s="35">
        <v>1</v>
      </c>
      <c r="P220" s="35">
        <v>1</v>
      </c>
      <c r="Q220" s="32"/>
      <c r="S220" s="1">
        <f t="shared" si="169"/>
        <v>1</v>
      </c>
      <c r="T220" s="1">
        <f t="shared" si="170"/>
        <v>0</v>
      </c>
      <c r="U220" s="1">
        <f t="shared" si="171"/>
        <v>0</v>
      </c>
      <c r="V220" s="1">
        <f t="shared" si="172"/>
        <v>0</v>
      </c>
      <c r="W220" s="1">
        <f t="shared" si="173"/>
        <v>0</v>
      </c>
      <c r="X220" s="1">
        <f t="shared" si="174"/>
        <v>0</v>
      </c>
      <c r="Y220" s="1">
        <f t="shared" si="175"/>
        <v>0</v>
      </c>
      <c r="Z220" s="1">
        <f t="shared" si="176"/>
        <v>0</v>
      </c>
      <c r="AA220" s="1">
        <f t="shared" si="177"/>
        <v>0</v>
      </c>
      <c r="AB220" s="1">
        <f t="shared" si="178"/>
        <v>0</v>
      </c>
      <c r="AD220" s="1">
        <f t="shared" si="179"/>
        <v>1</v>
      </c>
      <c r="AE220" s="1">
        <f t="shared" si="180"/>
        <v>0</v>
      </c>
      <c r="AF220" s="1">
        <f t="shared" si="165"/>
        <v>1</v>
      </c>
      <c r="AG220" s="1">
        <f t="shared" si="166"/>
        <v>0</v>
      </c>
      <c r="AH220" s="1">
        <f t="shared" si="167"/>
        <v>1</v>
      </c>
      <c r="AI220" s="1">
        <f t="shared" si="168"/>
        <v>0</v>
      </c>
    </row>
    <row r="221" spans="1:35" ht="14.25" customHeight="1" x14ac:dyDescent="0.3">
      <c r="A221" s="31">
        <v>0</v>
      </c>
      <c r="B221" s="31">
        <v>1</v>
      </c>
      <c r="C221" s="31">
        <v>6</v>
      </c>
      <c r="D221" s="32" t="s">
        <v>89</v>
      </c>
      <c r="E221" s="32" t="s">
        <v>167</v>
      </c>
      <c r="F221" s="32" t="s">
        <v>282</v>
      </c>
      <c r="G221" s="32" t="s">
        <v>229</v>
      </c>
      <c r="H221" s="32" t="s">
        <v>352</v>
      </c>
      <c r="I221" s="31" t="s">
        <v>435</v>
      </c>
      <c r="J221" s="31">
        <v>7</v>
      </c>
      <c r="K221" s="33" t="s">
        <v>719</v>
      </c>
      <c r="L221" s="33">
        <v>40</v>
      </c>
      <c r="M221" s="34" t="s">
        <v>39</v>
      </c>
      <c r="N221" s="34" t="s">
        <v>1745</v>
      </c>
      <c r="O221" s="35">
        <v>1</v>
      </c>
      <c r="P221" s="35"/>
      <c r="Q221" s="32"/>
      <c r="S221" s="1">
        <f t="shared" si="169"/>
        <v>0</v>
      </c>
      <c r="T221" s="1">
        <f t="shared" si="170"/>
        <v>0</v>
      </c>
      <c r="U221" s="1">
        <f t="shared" si="171"/>
        <v>0</v>
      </c>
      <c r="V221" s="1">
        <f t="shared" si="172"/>
        <v>0</v>
      </c>
      <c r="W221" s="1">
        <f t="shared" si="173"/>
        <v>0</v>
      </c>
      <c r="X221" s="1">
        <f t="shared" si="174"/>
        <v>0</v>
      </c>
      <c r="Y221" s="1">
        <f t="shared" si="175"/>
        <v>1</v>
      </c>
      <c r="Z221" s="1">
        <f t="shared" si="176"/>
        <v>0</v>
      </c>
      <c r="AA221" s="1">
        <f t="shared" si="177"/>
        <v>0</v>
      </c>
      <c r="AB221" s="1">
        <f t="shared" si="178"/>
        <v>0</v>
      </c>
      <c r="AD221" s="1">
        <f t="shared" si="179"/>
        <v>0</v>
      </c>
      <c r="AE221" s="1">
        <f t="shared" si="180"/>
        <v>1</v>
      </c>
      <c r="AF221" s="1">
        <f t="shared" si="165"/>
        <v>0</v>
      </c>
      <c r="AG221" s="1">
        <f t="shared" si="166"/>
        <v>1</v>
      </c>
      <c r="AH221" s="1">
        <f t="shared" si="167"/>
        <v>0</v>
      </c>
      <c r="AI221" s="1">
        <f t="shared" si="168"/>
        <v>1</v>
      </c>
    </row>
    <row r="222" spans="1:35" ht="14.25" customHeight="1" x14ac:dyDescent="0.3">
      <c r="A222" s="31">
        <v>0</v>
      </c>
      <c r="B222" s="31">
        <v>1</v>
      </c>
      <c r="C222" s="31">
        <v>6</v>
      </c>
      <c r="D222" s="32" t="s">
        <v>90</v>
      </c>
      <c r="E222" s="32" t="s">
        <v>164</v>
      </c>
      <c r="F222" s="36" t="s">
        <v>1868</v>
      </c>
      <c r="G222" s="32" t="s">
        <v>239</v>
      </c>
      <c r="H222" s="32" t="s">
        <v>352</v>
      </c>
      <c r="I222" s="31" t="s">
        <v>436</v>
      </c>
      <c r="J222" s="31">
        <v>1</v>
      </c>
      <c r="K222" s="33" t="s">
        <v>961</v>
      </c>
      <c r="L222" s="33" t="s">
        <v>39</v>
      </c>
      <c r="M222" s="34" t="s">
        <v>39</v>
      </c>
      <c r="N222" s="34" t="s">
        <v>1724</v>
      </c>
      <c r="O222" s="35">
        <v>1</v>
      </c>
      <c r="P222" s="35">
        <v>1</v>
      </c>
      <c r="Q222" s="32"/>
      <c r="S222" s="1">
        <f t="shared" si="169"/>
        <v>1</v>
      </c>
      <c r="T222" s="1">
        <f t="shared" si="170"/>
        <v>0</v>
      </c>
      <c r="U222" s="1">
        <f t="shared" si="171"/>
        <v>0</v>
      </c>
      <c r="V222" s="1">
        <f t="shared" si="172"/>
        <v>0</v>
      </c>
      <c r="W222" s="1">
        <f t="shared" si="173"/>
        <v>0</v>
      </c>
      <c r="X222" s="1">
        <f t="shared" si="174"/>
        <v>0</v>
      </c>
      <c r="Y222" s="1">
        <f t="shared" si="175"/>
        <v>0</v>
      </c>
      <c r="Z222" s="1">
        <f t="shared" si="176"/>
        <v>0</v>
      </c>
      <c r="AA222" s="1">
        <f t="shared" si="177"/>
        <v>0</v>
      </c>
      <c r="AB222" s="1">
        <f t="shared" si="178"/>
        <v>0</v>
      </c>
      <c r="AD222" s="1">
        <f t="shared" si="179"/>
        <v>1</v>
      </c>
      <c r="AE222" s="1">
        <f t="shared" si="180"/>
        <v>0</v>
      </c>
      <c r="AF222" s="1">
        <f t="shared" si="165"/>
        <v>1</v>
      </c>
      <c r="AG222" s="1">
        <f t="shared" si="166"/>
        <v>0</v>
      </c>
      <c r="AH222" s="1">
        <f t="shared" si="167"/>
        <v>1</v>
      </c>
      <c r="AI222" s="1">
        <f t="shared" si="168"/>
        <v>0</v>
      </c>
    </row>
    <row r="223" spans="1:35" ht="14.25" customHeight="1" x14ac:dyDescent="0.3">
      <c r="A223" s="31">
        <v>0</v>
      </c>
      <c r="B223" s="31">
        <v>1</v>
      </c>
      <c r="C223" s="31">
        <v>6</v>
      </c>
      <c r="D223" s="32" t="s">
        <v>91</v>
      </c>
      <c r="E223" s="32" t="s">
        <v>166</v>
      </c>
      <c r="F223" s="32" t="s">
        <v>284</v>
      </c>
      <c r="G223" s="32" t="s">
        <v>199</v>
      </c>
      <c r="H223" s="32" t="s">
        <v>352</v>
      </c>
      <c r="I223" s="31" t="s">
        <v>437</v>
      </c>
      <c r="J223" s="31">
        <v>2</v>
      </c>
      <c r="K223" s="33" t="s">
        <v>959</v>
      </c>
      <c r="L223" s="33" t="s">
        <v>39</v>
      </c>
      <c r="M223" s="34" t="s">
        <v>39</v>
      </c>
      <c r="N223" s="34" t="s">
        <v>1724</v>
      </c>
      <c r="O223" s="35">
        <v>1</v>
      </c>
      <c r="P223" s="35">
        <v>1</v>
      </c>
      <c r="Q223" s="32"/>
      <c r="S223" s="1">
        <f t="shared" si="169"/>
        <v>0</v>
      </c>
      <c r="T223" s="1">
        <f t="shared" si="170"/>
        <v>1</v>
      </c>
      <c r="U223" s="1">
        <f t="shared" si="171"/>
        <v>0</v>
      </c>
      <c r="V223" s="1">
        <f t="shared" si="172"/>
        <v>0</v>
      </c>
      <c r="W223" s="1">
        <f t="shared" si="173"/>
        <v>0</v>
      </c>
      <c r="X223" s="1">
        <f t="shared" si="174"/>
        <v>0</v>
      </c>
      <c r="Y223" s="1">
        <f t="shared" si="175"/>
        <v>0</v>
      </c>
      <c r="Z223" s="1">
        <f t="shared" si="176"/>
        <v>0</v>
      </c>
      <c r="AA223" s="1">
        <f t="shared" si="177"/>
        <v>0</v>
      </c>
      <c r="AB223" s="1">
        <f t="shared" si="178"/>
        <v>0</v>
      </c>
      <c r="AD223" s="1">
        <f t="shared" si="179"/>
        <v>1</v>
      </c>
      <c r="AE223" s="1">
        <f t="shared" si="180"/>
        <v>0</v>
      </c>
      <c r="AF223" s="1">
        <f t="shared" si="165"/>
        <v>1</v>
      </c>
      <c r="AG223" s="1">
        <f t="shared" si="166"/>
        <v>0</v>
      </c>
      <c r="AH223" s="1">
        <f t="shared" si="167"/>
        <v>1</v>
      </c>
      <c r="AI223" s="1">
        <f t="shared" si="168"/>
        <v>0</v>
      </c>
    </row>
    <row r="224" spans="1:35" ht="14.25" customHeight="1" x14ac:dyDescent="0.3">
      <c r="A224" s="31">
        <v>0</v>
      </c>
      <c r="B224" s="31">
        <v>1</v>
      </c>
      <c r="C224" s="31">
        <v>6</v>
      </c>
      <c r="D224" s="32" t="s">
        <v>1273</v>
      </c>
      <c r="E224" s="32" t="s">
        <v>166</v>
      </c>
      <c r="F224" s="32" t="s">
        <v>1145</v>
      </c>
      <c r="G224" s="32" t="s">
        <v>1339</v>
      </c>
      <c r="H224" s="32" t="s">
        <v>352</v>
      </c>
      <c r="I224" s="31" t="s">
        <v>1146</v>
      </c>
      <c r="J224" s="31">
        <v>99</v>
      </c>
      <c r="K224" s="33" t="s">
        <v>699</v>
      </c>
      <c r="L224" s="33">
        <v>45</v>
      </c>
      <c r="M224" s="34" t="s">
        <v>39</v>
      </c>
      <c r="N224" s="34" t="s">
        <v>1740</v>
      </c>
      <c r="O224" s="35">
        <v>1</v>
      </c>
      <c r="P224" s="35"/>
      <c r="Q224" s="32"/>
      <c r="S224" s="1">
        <f t="shared" si="169"/>
        <v>0</v>
      </c>
      <c r="T224" s="1">
        <f t="shared" si="170"/>
        <v>0</v>
      </c>
      <c r="U224" s="1">
        <f t="shared" si="171"/>
        <v>0</v>
      </c>
      <c r="V224" s="1">
        <f t="shared" si="172"/>
        <v>0</v>
      </c>
      <c r="W224" s="1">
        <f t="shared" si="173"/>
        <v>0</v>
      </c>
      <c r="X224" s="1">
        <f t="shared" si="174"/>
        <v>0</v>
      </c>
      <c r="Y224" s="1">
        <f t="shared" si="175"/>
        <v>0</v>
      </c>
      <c r="Z224" s="1">
        <f t="shared" si="176"/>
        <v>0</v>
      </c>
      <c r="AA224" s="1">
        <f t="shared" si="177"/>
        <v>0</v>
      </c>
      <c r="AB224" s="1">
        <f t="shared" si="178"/>
        <v>0</v>
      </c>
      <c r="AD224" s="1">
        <f t="shared" si="179"/>
        <v>0</v>
      </c>
      <c r="AE224" s="1">
        <f t="shared" si="180"/>
        <v>1</v>
      </c>
      <c r="AF224" s="1">
        <f t="shared" si="165"/>
        <v>0</v>
      </c>
      <c r="AG224" s="1">
        <f t="shared" si="166"/>
        <v>1</v>
      </c>
      <c r="AH224" s="1">
        <f t="shared" si="167"/>
        <v>0</v>
      </c>
      <c r="AI224" s="1">
        <f t="shared" si="168"/>
        <v>1</v>
      </c>
    </row>
    <row r="225" spans="1:16384" ht="14.25" customHeight="1" x14ac:dyDescent="0.3">
      <c r="A225" s="31">
        <v>0</v>
      </c>
      <c r="B225" s="31">
        <v>1</v>
      </c>
      <c r="C225" s="31">
        <v>6</v>
      </c>
      <c r="D225" s="32" t="s">
        <v>1788</v>
      </c>
      <c r="E225" s="32" t="s">
        <v>166</v>
      </c>
      <c r="F225" s="32" t="s">
        <v>1763</v>
      </c>
      <c r="G225" s="32"/>
      <c r="H225" s="32" t="s">
        <v>352</v>
      </c>
      <c r="I225" s="31" t="s">
        <v>1764</v>
      </c>
      <c r="J225" s="31"/>
      <c r="K225" s="33" t="s">
        <v>700</v>
      </c>
      <c r="L225" s="33"/>
      <c r="M225" s="34"/>
      <c r="N225" s="34" t="s">
        <v>1724</v>
      </c>
      <c r="O225" s="35">
        <v>1</v>
      </c>
      <c r="P225" s="35">
        <v>1</v>
      </c>
      <c r="Q225" s="32"/>
      <c r="S225" s="1">
        <f t="shared" si="169"/>
        <v>0</v>
      </c>
      <c r="T225" s="1">
        <f t="shared" si="170"/>
        <v>0</v>
      </c>
      <c r="U225" s="1">
        <f t="shared" si="171"/>
        <v>0</v>
      </c>
      <c r="V225" s="1">
        <f t="shared" si="172"/>
        <v>0</v>
      </c>
      <c r="W225" s="1">
        <f t="shared" si="173"/>
        <v>0</v>
      </c>
      <c r="X225" s="1">
        <f t="shared" si="174"/>
        <v>0</v>
      </c>
      <c r="Y225" s="1">
        <f t="shared" si="175"/>
        <v>0</v>
      </c>
      <c r="Z225" s="1">
        <f t="shared" si="176"/>
        <v>0</v>
      </c>
      <c r="AA225" s="1">
        <f t="shared" si="177"/>
        <v>0</v>
      </c>
      <c r="AB225" s="1">
        <f t="shared" si="178"/>
        <v>0</v>
      </c>
      <c r="AD225" s="1">
        <f t="shared" si="179"/>
        <v>1</v>
      </c>
      <c r="AE225" s="1">
        <f t="shared" si="180"/>
        <v>0</v>
      </c>
      <c r="AF225" s="1">
        <f t="shared" si="165"/>
        <v>1</v>
      </c>
      <c r="AG225" s="1">
        <f t="shared" si="166"/>
        <v>0</v>
      </c>
      <c r="AH225" s="1">
        <f t="shared" si="167"/>
        <v>1</v>
      </c>
      <c r="AI225" s="1">
        <f t="shared" si="168"/>
        <v>0</v>
      </c>
    </row>
    <row r="226" spans="1:16384" ht="14.25" customHeight="1" x14ac:dyDescent="0.3">
      <c r="A226" s="31">
        <v>0</v>
      </c>
      <c r="B226" s="31">
        <v>1</v>
      </c>
      <c r="C226" s="31">
        <v>6</v>
      </c>
      <c r="D226" s="32" t="s">
        <v>1787</v>
      </c>
      <c r="E226" s="32" t="s">
        <v>166</v>
      </c>
      <c r="F226" s="32" t="s">
        <v>1765</v>
      </c>
      <c r="G226" s="32"/>
      <c r="H226" s="32" t="s">
        <v>352</v>
      </c>
      <c r="I226" s="31" t="s">
        <v>1766</v>
      </c>
      <c r="J226" s="31"/>
      <c r="K226" s="33" t="s">
        <v>700</v>
      </c>
      <c r="L226" s="33">
        <v>30</v>
      </c>
      <c r="M226" s="34" t="s">
        <v>1767</v>
      </c>
      <c r="N226" s="34" t="s">
        <v>1745</v>
      </c>
      <c r="O226" s="35">
        <v>1</v>
      </c>
      <c r="P226" s="35"/>
      <c r="Q226" s="32"/>
      <c r="S226" s="1">
        <f t="shared" si="169"/>
        <v>0</v>
      </c>
      <c r="T226" s="1">
        <f t="shared" si="170"/>
        <v>0</v>
      </c>
      <c r="U226" s="1">
        <f t="shared" si="171"/>
        <v>0</v>
      </c>
      <c r="V226" s="1">
        <f t="shared" si="172"/>
        <v>0</v>
      </c>
      <c r="W226" s="1">
        <f t="shared" si="173"/>
        <v>0</v>
      </c>
      <c r="X226" s="1">
        <f t="shared" si="174"/>
        <v>0</v>
      </c>
      <c r="Y226" s="1">
        <f t="shared" si="175"/>
        <v>0</v>
      </c>
      <c r="Z226" s="1">
        <f t="shared" si="176"/>
        <v>0</v>
      </c>
      <c r="AA226" s="1">
        <f t="shared" si="177"/>
        <v>0</v>
      </c>
      <c r="AB226" s="1">
        <f t="shared" si="178"/>
        <v>0</v>
      </c>
      <c r="AD226" s="1">
        <f t="shared" si="179"/>
        <v>0</v>
      </c>
      <c r="AE226" s="1">
        <f t="shared" si="180"/>
        <v>1</v>
      </c>
      <c r="AF226" s="1">
        <f t="shared" si="165"/>
        <v>0</v>
      </c>
      <c r="AG226" s="1">
        <f t="shared" si="166"/>
        <v>1</v>
      </c>
      <c r="AH226" s="1">
        <f t="shared" si="167"/>
        <v>0</v>
      </c>
      <c r="AI226" s="1">
        <f t="shared" si="168"/>
        <v>1</v>
      </c>
    </row>
    <row r="227" spans="1:16384" ht="14.25" customHeight="1" x14ac:dyDescent="0.3">
      <c r="A227" s="31">
        <v>0</v>
      </c>
      <c r="B227" s="31">
        <v>1</v>
      </c>
      <c r="C227" s="31">
        <v>6</v>
      </c>
      <c r="D227" s="32" t="s">
        <v>1011</v>
      </c>
      <c r="E227" s="32" t="s">
        <v>166</v>
      </c>
      <c r="F227" s="32" t="s">
        <v>1012</v>
      </c>
      <c r="G227" s="32" t="s">
        <v>1100</v>
      </c>
      <c r="H227" s="32" t="s">
        <v>352</v>
      </c>
      <c r="I227" s="31" t="s">
        <v>1013</v>
      </c>
      <c r="J227" s="31">
        <v>99</v>
      </c>
      <c r="K227" s="33" t="s">
        <v>961</v>
      </c>
      <c r="L227" s="33" t="s">
        <v>39</v>
      </c>
      <c r="M227" s="34" t="s">
        <v>39</v>
      </c>
      <c r="N227" s="34" t="s">
        <v>1724</v>
      </c>
      <c r="O227" s="35">
        <v>1</v>
      </c>
      <c r="P227" s="35">
        <v>1</v>
      </c>
      <c r="Q227" s="32"/>
      <c r="S227" s="1">
        <f t="shared" si="169"/>
        <v>0</v>
      </c>
      <c r="T227" s="1">
        <f t="shared" si="170"/>
        <v>0</v>
      </c>
      <c r="U227" s="1">
        <f t="shared" si="171"/>
        <v>0</v>
      </c>
      <c r="V227" s="1">
        <f t="shared" si="172"/>
        <v>0</v>
      </c>
      <c r="W227" s="1">
        <f t="shared" si="173"/>
        <v>0</v>
      </c>
      <c r="X227" s="1">
        <f t="shared" si="174"/>
        <v>0</v>
      </c>
      <c r="Y227" s="1">
        <f t="shared" si="175"/>
        <v>0</v>
      </c>
      <c r="Z227" s="1">
        <f t="shared" si="176"/>
        <v>0</v>
      </c>
      <c r="AA227" s="1">
        <f t="shared" si="177"/>
        <v>0</v>
      </c>
      <c r="AB227" s="1">
        <f t="shared" si="178"/>
        <v>0</v>
      </c>
      <c r="AD227" s="1">
        <f t="shared" si="179"/>
        <v>1</v>
      </c>
      <c r="AE227" s="1">
        <f t="shared" si="180"/>
        <v>0</v>
      </c>
      <c r="AF227" s="1">
        <f t="shared" si="165"/>
        <v>1</v>
      </c>
      <c r="AG227" s="1">
        <f t="shared" si="166"/>
        <v>0</v>
      </c>
      <c r="AH227" s="1">
        <f t="shared" si="167"/>
        <v>1</v>
      </c>
      <c r="AI227" s="1">
        <f t="shared" si="168"/>
        <v>0</v>
      </c>
    </row>
    <row r="228" spans="1:16384" ht="14.25" customHeight="1" x14ac:dyDescent="0.3">
      <c r="A228" s="31">
        <v>0</v>
      </c>
      <c r="B228" s="31">
        <v>1</v>
      </c>
      <c r="C228" s="31">
        <v>6</v>
      </c>
      <c r="D228" s="32" t="s">
        <v>93</v>
      </c>
      <c r="E228" s="32" t="s">
        <v>168</v>
      </c>
      <c r="F228" s="32" t="s">
        <v>287</v>
      </c>
      <c r="G228" s="32" t="s">
        <v>193</v>
      </c>
      <c r="H228" s="32" t="s">
        <v>352</v>
      </c>
      <c r="I228" s="31" t="s">
        <v>439</v>
      </c>
      <c r="J228" s="31">
        <v>9</v>
      </c>
      <c r="K228" s="33" t="s">
        <v>699</v>
      </c>
      <c r="L228" s="33" t="s">
        <v>691</v>
      </c>
      <c r="M228" s="34" t="s">
        <v>703</v>
      </c>
      <c r="N228" s="34" t="s">
        <v>1745</v>
      </c>
      <c r="O228" s="35">
        <v>1</v>
      </c>
      <c r="P228" s="35"/>
      <c r="Q228" s="32"/>
      <c r="S228" s="1">
        <f t="shared" si="169"/>
        <v>0</v>
      </c>
      <c r="T228" s="1">
        <f t="shared" si="170"/>
        <v>0</v>
      </c>
      <c r="U228" s="1">
        <f t="shared" si="171"/>
        <v>0</v>
      </c>
      <c r="V228" s="1">
        <f t="shared" si="172"/>
        <v>0</v>
      </c>
      <c r="W228" s="1">
        <f t="shared" si="173"/>
        <v>0</v>
      </c>
      <c r="X228" s="1">
        <f t="shared" si="174"/>
        <v>0</v>
      </c>
      <c r="Y228" s="1">
        <f t="shared" si="175"/>
        <v>0</v>
      </c>
      <c r="Z228" s="1">
        <f t="shared" si="176"/>
        <v>0</v>
      </c>
      <c r="AA228" s="1">
        <f t="shared" si="177"/>
        <v>1</v>
      </c>
      <c r="AB228" s="1">
        <f t="shared" si="178"/>
        <v>0</v>
      </c>
      <c r="AD228" s="1">
        <f t="shared" si="179"/>
        <v>0</v>
      </c>
      <c r="AE228" s="1">
        <f t="shared" si="180"/>
        <v>1</v>
      </c>
      <c r="AF228" s="1">
        <f t="shared" si="165"/>
        <v>0</v>
      </c>
      <c r="AG228" s="1">
        <f t="shared" si="166"/>
        <v>1</v>
      </c>
      <c r="AH228" s="1">
        <f t="shared" si="167"/>
        <v>0</v>
      </c>
      <c r="AI228" s="1">
        <f t="shared" si="168"/>
        <v>1</v>
      </c>
    </row>
    <row r="229" spans="1:16384" ht="14.25" customHeight="1" x14ac:dyDescent="0.3">
      <c r="A229" s="38">
        <v>0</v>
      </c>
      <c r="B229" s="38">
        <v>1</v>
      </c>
      <c r="C229" s="38">
        <v>6</v>
      </c>
      <c r="D229" s="54" t="s">
        <v>1606</v>
      </c>
      <c r="E229" s="39" t="s">
        <v>1607</v>
      </c>
      <c r="F229" s="39" t="s">
        <v>1608</v>
      </c>
      <c r="G229" s="39" t="s">
        <v>191</v>
      </c>
      <c r="H229" s="39" t="s">
        <v>352</v>
      </c>
      <c r="I229" s="38" t="s">
        <v>1609</v>
      </c>
      <c r="J229" s="38">
        <v>10</v>
      </c>
      <c r="K229" s="40" t="s">
        <v>953</v>
      </c>
      <c r="L229" s="40" t="s">
        <v>684</v>
      </c>
      <c r="M229" s="41" t="s">
        <v>1610</v>
      </c>
      <c r="N229" s="42"/>
      <c r="O229" s="43"/>
      <c r="P229" s="43">
        <v>1</v>
      </c>
      <c r="Q229" s="39"/>
      <c r="S229" s="1">
        <f t="shared" si="169"/>
        <v>0</v>
      </c>
      <c r="T229" s="1">
        <f t="shared" si="170"/>
        <v>0</v>
      </c>
      <c r="U229" s="1">
        <f t="shared" si="171"/>
        <v>0</v>
      </c>
      <c r="V229" s="1">
        <f t="shared" si="172"/>
        <v>0</v>
      </c>
      <c r="W229" s="1">
        <f t="shared" si="173"/>
        <v>0</v>
      </c>
      <c r="X229" s="1">
        <f t="shared" si="174"/>
        <v>0</v>
      </c>
      <c r="Y229" s="1">
        <f t="shared" si="175"/>
        <v>0</v>
      </c>
      <c r="Z229" s="1">
        <f t="shared" si="176"/>
        <v>0</v>
      </c>
      <c r="AA229" s="1">
        <f t="shared" si="177"/>
        <v>0</v>
      </c>
      <c r="AB229" s="1">
        <f t="shared" si="178"/>
        <v>1</v>
      </c>
      <c r="AD229" s="1">
        <f t="shared" si="179"/>
        <v>0</v>
      </c>
      <c r="AE229" s="1">
        <f t="shared" si="180"/>
        <v>0</v>
      </c>
      <c r="AF229" s="1">
        <f t="shared" si="165"/>
        <v>0</v>
      </c>
      <c r="AG229" s="1">
        <f t="shared" si="166"/>
        <v>0</v>
      </c>
      <c r="AH229" s="1">
        <f t="shared" si="167"/>
        <v>1</v>
      </c>
      <c r="AI229" s="1">
        <f t="shared" si="168"/>
        <v>0</v>
      </c>
    </row>
    <row r="230" spans="1:16384" ht="14.25" customHeight="1" x14ac:dyDescent="0.3">
      <c r="A230" s="31">
        <v>0</v>
      </c>
      <c r="B230" s="31">
        <v>1</v>
      </c>
      <c r="C230" s="31">
        <v>6</v>
      </c>
      <c r="D230" s="32" t="s">
        <v>94</v>
      </c>
      <c r="E230" s="32" t="s">
        <v>164</v>
      </c>
      <c r="F230" s="32" t="s">
        <v>288</v>
      </c>
      <c r="G230" s="32" t="s">
        <v>289</v>
      </c>
      <c r="H230" s="32" t="s">
        <v>352</v>
      </c>
      <c r="I230" s="31" t="s">
        <v>440</v>
      </c>
      <c r="J230" s="31">
        <v>7</v>
      </c>
      <c r="K230" s="33" t="s">
        <v>699</v>
      </c>
      <c r="L230" s="33" t="s">
        <v>691</v>
      </c>
      <c r="M230" s="34" t="s">
        <v>695</v>
      </c>
      <c r="N230" s="34" t="s">
        <v>1746</v>
      </c>
      <c r="O230" s="35">
        <v>1</v>
      </c>
      <c r="P230" s="35"/>
      <c r="Q230" s="32"/>
      <c r="R230" s="31"/>
      <c r="S230" s="31">
        <f t="shared" si="169"/>
        <v>0</v>
      </c>
      <c r="T230" s="31">
        <f t="shared" si="170"/>
        <v>0</v>
      </c>
      <c r="U230" s="32">
        <f t="shared" si="171"/>
        <v>0</v>
      </c>
      <c r="V230" s="32">
        <f t="shared" si="172"/>
        <v>0</v>
      </c>
      <c r="W230" s="32">
        <f t="shared" si="173"/>
        <v>0</v>
      </c>
      <c r="X230" s="32">
        <f t="shared" si="174"/>
        <v>0</v>
      </c>
      <c r="Y230" s="32">
        <f t="shared" si="175"/>
        <v>1</v>
      </c>
      <c r="Z230" s="31">
        <f t="shared" si="176"/>
        <v>0</v>
      </c>
      <c r="AA230" s="31">
        <f t="shared" si="177"/>
        <v>0</v>
      </c>
      <c r="AB230" s="33">
        <f t="shared" si="178"/>
        <v>0</v>
      </c>
      <c r="AC230" s="33"/>
      <c r="AD230" s="34">
        <f t="shared" si="179"/>
        <v>0</v>
      </c>
      <c r="AE230" s="34">
        <f t="shared" si="180"/>
        <v>1</v>
      </c>
      <c r="AF230" s="35">
        <f t="shared" si="165"/>
        <v>0</v>
      </c>
      <c r="AG230" s="35">
        <f t="shared" si="166"/>
        <v>1</v>
      </c>
      <c r="AH230" s="32">
        <f t="shared" si="167"/>
        <v>0</v>
      </c>
      <c r="AI230" s="31">
        <f t="shared" si="168"/>
        <v>1</v>
      </c>
      <c r="AJ230" s="31"/>
      <c r="AK230" s="31"/>
      <c r="AL230" s="32"/>
      <c r="AM230" s="32"/>
      <c r="AN230" s="32"/>
      <c r="AO230" s="32"/>
      <c r="AP230" s="32"/>
      <c r="AQ230" s="31"/>
      <c r="AR230" s="31"/>
      <c r="AS230" s="33"/>
      <c r="AT230" s="33"/>
      <c r="AU230" s="34"/>
      <c r="AV230" s="34"/>
      <c r="AW230" s="35"/>
      <c r="AX230" s="35"/>
      <c r="AY230" s="32"/>
      <c r="AZ230" s="31"/>
      <c r="BA230" s="31"/>
      <c r="BB230" s="31"/>
      <c r="BC230" s="32"/>
      <c r="BD230" s="32"/>
      <c r="BE230" s="32"/>
      <c r="BF230" s="32"/>
      <c r="BG230" s="32"/>
      <c r="BH230" s="31"/>
      <c r="BI230" s="31"/>
      <c r="BJ230" s="33"/>
      <c r="BK230" s="33"/>
      <c r="BL230" s="34"/>
      <c r="BM230" s="34"/>
      <c r="BN230" s="35"/>
      <c r="BO230" s="35"/>
      <c r="BP230" s="32"/>
      <c r="BQ230" s="31"/>
      <c r="BR230" s="31"/>
      <c r="BS230" s="31"/>
      <c r="BT230" s="32"/>
      <c r="BU230" s="32"/>
      <c r="BV230" s="32"/>
      <c r="BW230" s="32"/>
      <c r="BX230" s="32"/>
      <c r="BY230" s="31"/>
      <c r="BZ230" s="31"/>
      <c r="CA230" s="33"/>
      <c r="CB230" s="33"/>
      <c r="CC230" s="34"/>
      <c r="CD230" s="34"/>
      <c r="CE230" s="35"/>
      <c r="CF230" s="35"/>
      <c r="CG230" s="32"/>
      <c r="CH230" s="31"/>
      <c r="CI230" s="31"/>
      <c r="CJ230" s="31"/>
      <c r="CK230" s="32"/>
      <c r="CL230" s="32"/>
      <c r="CM230" s="32"/>
      <c r="CN230" s="32"/>
      <c r="CO230" s="32"/>
      <c r="CP230" s="31"/>
      <c r="CQ230" s="31"/>
      <c r="CR230" s="33"/>
      <c r="CS230" s="33"/>
      <c r="CT230" s="34"/>
      <c r="CU230" s="34"/>
      <c r="CV230" s="35"/>
      <c r="CW230" s="35"/>
      <c r="CX230" s="32"/>
      <c r="CY230" s="31"/>
      <c r="CZ230" s="31"/>
      <c r="DA230" s="31"/>
      <c r="DB230" s="32"/>
      <c r="DC230" s="32"/>
      <c r="DD230" s="32"/>
      <c r="DE230" s="32"/>
      <c r="DF230" s="32"/>
      <c r="DG230" s="31"/>
      <c r="DH230" s="31"/>
      <c r="DI230" s="33"/>
      <c r="DJ230" s="33"/>
      <c r="DK230" s="34"/>
      <c r="DL230" s="34"/>
      <c r="DM230" s="35"/>
      <c r="DN230" s="35"/>
      <c r="DO230" s="32"/>
      <c r="DP230" s="31"/>
      <c r="DQ230" s="31"/>
      <c r="DR230" s="31"/>
      <c r="DS230" s="32"/>
      <c r="DT230" s="32"/>
      <c r="DU230" s="32"/>
      <c r="DV230" s="32"/>
      <c r="DW230" s="32"/>
      <c r="DX230" s="31"/>
      <c r="DY230" s="31"/>
      <c r="DZ230" s="33"/>
      <c r="EA230" s="33"/>
      <c r="EB230" s="34"/>
      <c r="EC230" s="34"/>
      <c r="ED230" s="35"/>
      <c r="EE230" s="35"/>
      <c r="EF230" s="32"/>
      <c r="EG230" s="31"/>
      <c r="EH230" s="31"/>
      <c r="EI230" s="31"/>
      <c r="EJ230" s="32"/>
      <c r="EK230" s="32"/>
      <c r="EL230" s="32"/>
      <c r="EM230" s="32"/>
      <c r="EN230" s="32"/>
      <c r="EO230" s="31"/>
      <c r="EP230" s="31"/>
      <c r="EQ230" s="33"/>
      <c r="ER230" s="33"/>
      <c r="ES230" s="34"/>
      <c r="ET230" s="34"/>
      <c r="EU230" s="35"/>
      <c r="EV230" s="35"/>
      <c r="EW230" s="32"/>
      <c r="EX230" s="31"/>
      <c r="EY230" s="31"/>
      <c r="EZ230" s="31"/>
      <c r="FA230" s="32"/>
      <c r="FB230" s="32"/>
      <c r="FC230" s="32"/>
      <c r="FD230" s="32"/>
      <c r="FE230" s="32"/>
      <c r="FF230" s="31"/>
      <c r="FG230" s="31"/>
      <c r="FH230" s="33"/>
      <c r="FI230" s="33"/>
      <c r="FJ230" s="34"/>
      <c r="FK230" s="34"/>
      <c r="FL230" s="35"/>
      <c r="FM230" s="35"/>
      <c r="FN230" s="32"/>
      <c r="FO230" s="31"/>
      <c r="FP230" s="31"/>
      <c r="FQ230" s="31"/>
      <c r="FR230" s="32"/>
      <c r="FS230" s="32"/>
      <c r="FT230" s="32"/>
      <c r="FU230" s="32"/>
      <c r="FV230" s="32"/>
      <c r="FW230" s="31"/>
      <c r="FX230" s="31"/>
      <c r="FY230" s="33"/>
      <c r="FZ230" s="33"/>
      <c r="GA230" s="34"/>
      <c r="GB230" s="34"/>
      <c r="GC230" s="35"/>
      <c r="GD230" s="35"/>
      <c r="GE230" s="32"/>
      <c r="GF230" s="31"/>
      <c r="GG230" s="31"/>
      <c r="GH230" s="31"/>
      <c r="GI230" s="32"/>
      <c r="GJ230" s="32"/>
      <c r="GK230" s="32"/>
      <c r="GL230" s="32"/>
      <c r="GM230" s="32"/>
      <c r="GN230" s="31"/>
      <c r="GO230" s="31"/>
      <c r="GP230" s="33"/>
      <c r="GQ230" s="33"/>
      <c r="GR230" s="34"/>
      <c r="GS230" s="34"/>
      <c r="GT230" s="35"/>
      <c r="GU230" s="35"/>
      <c r="GV230" s="32"/>
      <c r="GW230" s="31"/>
      <c r="GX230" s="31"/>
      <c r="GY230" s="31"/>
      <c r="GZ230" s="32"/>
      <c r="HA230" s="32"/>
      <c r="HB230" s="32"/>
      <c r="HC230" s="32"/>
      <c r="HD230" s="32"/>
      <c r="HE230" s="31"/>
      <c r="HF230" s="31"/>
      <c r="HG230" s="33"/>
      <c r="HH230" s="33"/>
      <c r="HI230" s="34"/>
      <c r="HJ230" s="34"/>
      <c r="HK230" s="35"/>
      <c r="HL230" s="35"/>
      <c r="HM230" s="32"/>
      <c r="HN230" s="31"/>
      <c r="HO230" s="31"/>
      <c r="HP230" s="31"/>
      <c r="HQ230" s="32"/>
      <c r="HR230" s="32"/>
      <c r="HS230" s="32"/>
      <c r="HT230" s="32"/>
      <c r="HU230" s="32"/>
      <c r="HV230" s="31"/>
      <c r="HW230" s="31"/>
      <c r="HX230" s="33"/>
      <c r="HY230" s="33"/>
      <c r="HZ230" s="34"/>
      <c r="IA230" s="34"/>
      <c r="IB230" s="35"/>
      <c r="IC230" s="35"/>
      <c r="ID230" s="32"/>
      <c r="IE230" s="31"/>
      <c r="IF230" s="31"/>
      <c r="IG230" s="31"/>
      <c r="IH230" s="32"/>
      <c r="II230" s="32"/>
      <c r="IJ230" s="32"/>
      <c r="IK230" s="32"/>
      <c r="IL230" s="32"/>
      <c r="IM230" s="31"/>
      <c r="IN230" s="31"/>
      <c r="IO230" s="33"/>
      <c r="IP230" s="33"/>
      <c r="IQ230" s="34"/>
      <c r="IR230" s="34"/>
      <c r="IS230" s="35"/>
      <c r="IT230" s="35"/>
      <c r="IU230" s="32"/>
      <c r="IV230" s="31"/>
      <c r="IW230" s="31"/>
      <c r="IX230" s="31"/>
      <c r="IY230" s="32"/>
      <c r="IZ230" s="32"/>
      <c r="JA230" s="32"/>
      <c r="JB230" s="32"/>
      <c r="JC230" s="32"/>
      <c r="JD230" s="31"/>
      <c r="JE230" s="31"/>
      <c r="JF230" s="33"/>
      <c r="JG230" s="33"/>
      <c r="JH230" s="34"/>
      <c r="JI230" s="34"/>
      <c r="JJ230" s="35"/>
      <c r="JK230" s="35"/>
      <c r="JL230" s="32"/>
      <c r="JM230" s="31"/>
      <c r="JN230" s="31"/>
      <c r="JO230" s="31"/>
      <c r="JP230" s="32"/>
      <c r="JQ230" s="32"/>
      <c r="JR230" s="32"/>
      <c r="JS230" s="32"/>
      <c r="JT230" s="32"/>
      <c r="JU230" s="31"/>
      <c r="JV230" s="31"/>
      <c r="JW230" s="33"/>
      <c r="JX230" s="33"/>
      <c r="JY230" s="34"/>
      <c r="JZ230" s="34"/>
      <c r="KA230" s="35"/>
      <c r="KB230" s="35"/>
      <c r="KC230" s="32"/>
      <c r="KD230" s="31"/>
      <c r="KE230" s="31"/>
      <c r="KF230" s="31"/>
      <c r="KG230" s="32"/>
      <c r="KH230" s="32"/>
      <c r="KI230" s="32"/>
      <c r="KJ230" s="32"/>
      <c r="KK230" s="32"/>
      <c r="KL230" s="31"/>
      <c r="KM230" s="31"/>
      <c r="KN230" s="33"/>
      <c r="KO230" s="33"/>
      <c r="KP230" s="34"/>
      <c r="KQ230" s="34"/>
      <c r="KR230" s="35"/>
      <c r="KS230" s="35"/>
      <c r="KT230" s="32"/>
      <c r="KU230" s="31"/>
      <c r="KV230" s="31"/>
      <c r="KW230" s="31"/>
      <c r="KX230" s="32"/>
      <c r="KY230" s="32"/>
      <c r="KZ230" s="32"/>
      <c r="LA230" s="32"/>
      <c r="LB230" s="32"/>
      <c r="LC230" s="31"/>
      <c r="LD230" s="31"/>
      <c r="LE230" s="33"/>
      <c r="LF230" s="33"/>
      <c r="LG230" s="34"/>
      <c r="LH230" s="34"/>
      <c r="LI230" s="35"/>
      <c r="LJ230" s="35"/>
      <c r="LK230" s="32"/>
      <c r="LL230" s="31"/>
      <c r="LM230" s="31"/>
      <c r="LN230" s="31"/>
      <c r="LO230" s="32"/>
      <c r="LP230" s="32"/>
      <c r="LQ230" s="32"/>
      <c r="LR230" s="32"/>
      <c r="LS230" s="32"/>
      <c r="LT230" s="31"/>
      <c r="LU230" s="31"/>
      <c r="LV230" s="33"/>
      <c r="LW230" s="33"/>
      <c r="LX230" s="34"/>
      <c r="LY230" s="34"/>
      <c r="LZ230" s="35"/>
      <c r="MA230" s="35"/>
      <c r="MB230" s="32"/>
      <c r="MC230" s="31"/>
      <c r="MD230" s="31"/>
      <c r="ME230" s="31"/>
      <c r="MF230" s="32"/>
      <c r="MG230" s="32"/>
      <c r="MH230" s="32"/>
      <c r="MI230" s="32"/>
      <c r="MJ230" s="32"/>
      <c r="MK230" s="31"/>
      <c r="ML230" s="31"/>
      <c r="MM230" s="33"/>
      <c r="MN230" s="33"/>
      <c r="MO230" s="34"/>
      <c r="MP230" s="34"/>
      <c r="MQ230" s="35"/>
      <c r="MR230" s="35"/>
      <c r="MS230" s="32"/>
      <c r="MT230" s="31"/>
      <c r="MU230" s="31"/>
      <c r="MV230" s="31"/>
      <c r="MW230" s="32"/>
      <c r="MX230" s="32"/>
      <c r="MY230" s="32"/>
      <c r="MZ230" s="32"/>
      <c r="NA230" s="32"/>
      <c r="NB230" s="31"/>
      <c r="NC230" s="31"/>
      <c r="ND230" s="33"/>
      <c r="NE230" s="33"/>
      <c r="NF230" s="34"/>
      <c r="NG230" s="34"/>
      <c r="NH230" s="35"/>
      <c r="NI230" s="35"/>
      <c r="NJ230" s="32"/>
      <c r="NK230" s="31"/>
      <c r="NL230" s="31"/>
      <c r="NM230" s="31"/>
      <c r="NN230" s="32"/>
      <c r="NO230" s="32"/>
      <c r="NP230" s="32"/>
      <c r="NQ230" s="32"/>
      <c r="NR230" s="32"/>
      <c r="NS230" s="31"/>
      <c r="NT230" s="31"/>
      <c r="NU230" s="33"/>
      <c r="NV230" s="33"/>
      <c r="NW230" s="34"/>
      <c r="NX230" s="34"/>
      <c r="NY230" s="35"/>
      <c r="NZ230" s="35"/>
      <c r="OA230" s="32"/>
      <c r="OB230" s="31"/>
      <c r="OC230" s="31"/>
      <c r="OD230" s="31"/>
      <c r="OE230" s="32"/>
      <c r="OF230" s="32"/>
      <c r="OG230" s="32"/>
      <c r="OH230" s="32"/>
      <c r="OI230" s="32"/>
      <c r="OJ230" s="31"/>
      <c r="OK230" s="31"/>
      <c r="OL230" s="33"/>
      <c r="OM230" s="33"/>
      <c r="ON230" s="34"/>
      <c r="OO230" s="34"/>
      <c r="OP230" s="35"/>
      <c r="OQ230" s="35"/>
      <c r="OR230" s="32"/>
      <c r="OS230" s="31"/>
      <c r="OT230" s="31"/>
      <c r="OU230" s="31"/>
      <c r="OV230" s="32"/>
      <c r="OW230" s="32"/>
      <c r="OX230" s="32"/>
      <c r="OY230" s="32"/>
      <c r="OZ230" s="32"/>
      <c r="PA230" s="31"/>
      <c r="PB230" s="31"/>
      <c r="PC230" s="33"/>
      <c r="PD230" s="33"/>
      <c r="PE230" s="34"/>
      <c r="PF230" s="34"/>
      <c r="PG230" s="35"/>
      <c r="PH230" s="35"/>
      <c r="PI230" s="32"/>
      <c r="PJ230" s="31"/>
      <c r="PK230" s="31"/>
      <c r="PL230" s="31"/>
      <c r="PM230" s="32"/>
      <c r="PN230" s="32"/>
      <c r="PO230" s="32"/>
      <c r="PP230" s="32"/>
      <c r="PQ230" s="32"/>
      <c r="PR230" s="31"/>
      <c r="PS230" s="31"/>
      <c r="PT230" s="33"/>
      <c r="PU230" s="33"/>
      <c r="PV230" s="34"/>
      <c r="PW230" s="34"/>
      <c r="PX230" s="35"/>
      <c r="PY230" s="35"/>
      <c r="PZ230" s="32"/>
      <c r="QA230" s="31"/>
      <c r="QB230" s="31"/>
      <c r="QC230" s="31"/>
      <c r="QD230" s="32"/>
      <c r="QE230" s="32"/>
      <c r="QF230" s="32"/>
      <c r="QG230" s="32"/>
      <c r="QH230" s="32"/>
      <c r="QI230" s="31"/>
      <c r="QJ230" s="31"/>
      <c r="QK230" s="33"/>
      <c r="QL230" s="33"/>
      <c r="QM230" s="34"/>
      <c r="QN230" s="34"/>
      <c r="QO230" s="35"/>
      <c r="QP230" s="35"/>
      <c r="QQ230" s="32"/>
      <c r="QR230" s="31"/>
      <c r="QS230" s="31"/>
      <c r="QT230" s="31"/>
      <c r="QU230" s="32"/>
      <c r="QV230" s="32"/>
      <c r="QW230" s="32"/>
      <c r="QX230" s="32"/>
      <c r="QY230" s="32"/>
      <c r="QZ230" s="31"/>
      <c r="RA230" s="31"/>
      <c r="RB230" s="33"/>
      <c r="RC230" s="33"/>
      <c r="RD230" s="34"/>
      <c r="RE230" s="34"/>
      <c r="RF230" s="35"/>
      <c r="RG230" s="35"/>
      <c r="RH230" s="32"/>
      <c r="RI230" s="31"/>
      <c r="RJ230" s="31"/>
      <c r="RK230" s="31"/>
      <c r="RL230" s="32"/>
      <c r="RM230" s="32"/>
      <c r="RN230" s="32"/>
      <c r="RO230" s="32"/>
      <c r="RP230" s="32"/>
      <c r="RQ230" s="31"/>
      <c r="RR230" s="31"/>
      <c r="RS230" s="33"/>
      <c r="RT230" s="33"/>
      <c r="RU230" s="34"/>
      <c r="RV230" s="34"/>
      <c r="RW230" s="35"/>
      <c r="RX230" s="35"/>
      <c r="RY230" s="32"/>
      <c r="RZ230" s="31"/>
      <c r="SA230" s="31"/>
      <c r="SB230" s="31"/>
      <c r="SC230" s="32"/>
      <c r="SD230" s="32"/>
      <c r="SE230" s="32"/>
      <c r="SF230" s="32"/>
      <c r="SG230" s="32"/>
      <c r="SH230" s="31"/>
      <c r="SI230" s="31"/>
      <c r="SJ230" s="33"/>
      <c r="SK230" s="33"/>
      <c r="SL230" s="34"/>
      <c r="SM230" s="34"/>
      <c r="SN230" s="35"/>
      <c r="SO230" s="35"/>
      <c r="SP230" s="32"/>
      <c r="SQ230" s="31"/>
      <c r="SR230" s="31"/>
      <c r="SS230" s="31"/>
      <c r="ST230" s="32"/>
      <c r="SU230" s="32"/>
      <c r="SV230" s="32"/>
      <c r="SW230" s="32"/>
      <c r="SX230" s="32"/>
      <c r="SY230" s="31"/>
      <c r="SZ230" s="31"/>
      <c r="TA230" s="33"/>
      <c r="TB230" s="33"/>
      <c r="TC230" s="34"/>
      <c r="TD230" s="34"/>
      <c r="TE230" s="35"/>
      <c r="TF230" s="35"/>
      <c r="TG230" s="32"/>
      <c r="TH230" s="31"/>
      <c r="TI230" s="31"/>
      <c r="TJ230" s="31"/>
      <c r="TK230" s="32"/>
      <c r="TL230" s="32"/>
      <c r="TM230" s="32"/>
      <c r="TN230" s="32"/>
      <c r="TO230" s="32"/>
      <c r="TP230" s="31"/>
      <c r="TQ230" s="31"/>
      <c r="TR230" s="33"/>
      <c r="TS230" s="33"/>
      <c r="TT230" s="34"/>
      <c r="TU230" s="34"/>
      <c r="TV230" s="35"/>
      <c r="TW230" s="35"/>
      <c r="TX230" s="32"/>
      <c r="TY230" s="31"/>
      <c r="TZ230" s="31"/>
      <c r="UA230" s="31"/>
      <c r="UB230" s="32"/>
      <c r="UC230" s="32"/>
      <c r="UD230" s="32"/>
      <c r="UE230" s="32"/>
      <c r="UF230" s="32"/>
      <c r="UG230" s="31"/>
      <c r="UH230" s="31"/>
      <c r="UI230" s="33"/>
      <c r="UJ230" s="33"/>
      <c r="UK230" s="34"/>
      <c r="UL230" s="34"/>
      <c r="UM230" s="35"/>
      <c r="UN230" s="35"/>
      <c r="UO230" s="32"/>
      <c r="UP230" s="31"/>
      <c r="UQ230" s="31"/>
      <c r="UR230" s="31"/>
      <c r="US230" s="32"/>
      <c r="UT230" s="32"/>
      <c r="UU230" s="32"/>
      <c r="UV230" s="32"/>
      <c r="UW230" s="32"/>
      <c r="UX230" s="31"/>
      <c r="UY230" s="31"/>
      <c r="UZ230" s="33"/>
      <c r="VA230" s="33"/>
      <c r="VB230" s="34"/>
      <c r="VC230" s="34"/>
      <c r="VD230" s="35"/>
      <c r="VE230" s="35"/>
      <c r="VF230" s="32"/>
      <c r="VG230" s="31"/>
      <c r="VH230" s="31"/>
      <c r="VI230" s="31"/>
      <c r="VJ230" s="32"/>
      <c r="VK230" s="32"/>
      <c r="VL230" s="32"/>
      <c r="VM230" s="32"/>
      <c r="VN230" s="32"/>
      <c r="VO230" s="31"/>
      <c r="VP230" s="31"/>
      <c r="VQ230" s="33"/>
      <c r="VR230" s="33"/>
      <c r="VS230" s="34"/>
      <c r="VT230" s="34"/>
      <c r="VU230" s="35"/>
      <c r="VV230" s="35"/>
      <c r="VW230" s="32"/>
      <c r="VX230" s="31"/>
      <c r="VY230" s="31"/>
      <c r="VZ230" s="31"/>
      <c r="WA230" s="32"/>
      <c r="WB230" s="32"/>
      <c r="WC230" s="32"/>
      <c r="WD230" s="32"/>
      <c r="WE230" s="32"/>
      <c r="WF230" s="31"/>
      <c r="WG230" s="31"/>
      <c r="WH230" s="33"/>
      <c r="WI230" s="33"/>
      <c r="WJ230" s="34"/>
      <c r="WK230" s="34"/>
      <c r="WL230" s="35"/>
      <c r="WM230" s="35"/>
      <c r="WN230" s="32"/>
      <c r="WO230" s="31"/>
      <c r="WP230" s="31"/>
      <c r="WQ230" s="31"/>
      <c r="WR230" s="32"/>
      <c r="WS230" s="32"/>
      <c r="WT230" s="32"/>
      <c r="WU230" s="32"/>
      <c r="WV230" s="32"/>
      <c r="WW230" s="31"/>
      <c r="WX230" s="31"/>
      <c r="WY230" s="33"/>
      <c r="WZ230" s="33"/>
      <c r="XA230" s="34"/>
      <c r="XB230" s="34"/>
      <c r="XC230" s="35"/>
      <c r="XD230" s="35"/>
      <c r="XE230" s="32"/>
      <c r="XF230" s="31"/>
      <c r="XG230" s="31"/>
      <c r="XH230" s="31"/>
      <c r="XI230" s="32"/>
      <c r="XJ230" s="32"/>
      <c r="XK230" s="32"/>
      <c r="XL230" s="32"/>
      <c r="XM230" s="32"/>
      <c r="XN230" s="31"/>
      <c r="XO230" s="31"/>
      <c r="XP230" s="33"/>
      <c r="XQ230" s="33"/>
      <c r="XR230" s="34"/>
      <c r="XS230" s="34"/>
      <c r="XT230" s="35"/>
      <c r="XU230" s="35"/>
      <c r="XV230" s="32"/>
      <c r="XW230" s="31"/>
      <c r="XX230" s="31"/>
      <c r="XY230" s="31"/>
      <c r="XZ230" s="32"/>
      <c r="YA230" s="32"/>
      <c r="YB230" s="32"/>
      <c r="YC230" s="32"/>
      <c r="YD230" s="32"/>
      <c r="YE230" s="31"/>
      <c r="YF230" s="31"/>
      <c r="YG230" s="33"/>
      <c r="YH230" s="33"/>
      <c r="YI230" s="34"/>
      <c r="YJ230" s="34"/>
      <c r="YK230" s="35"/>
      <c r="YL230" s="35"/>
      <c r="YM230" s="32"/>
      <c r="YN230" s="31"/>
      <c r="YO230" s="31"/>
      <c r="YP230" s="31"/>
      <c r="YQ230" s="32"/>
      <c r="YR230" s="32"/>
      <c r="YS230" s="32"/>
      <c r="YT230" s="32"/>
      <c r="YU230" s="32"/>
      <c r="YV230" s="31"/>
      <c r="YW230" s="31"/>
      <c r="YX230" s="33"/>
      <c r="YY230" s="33"/>
      <c r="YZ230" s="34"/>
      <c r="ZA230" s="34"/>
      <c r="ZB230" s="35"/>
      <c r="ZC230" s="35"/>
      <c r="ZD230" s="32"/>
      <c r="ZE230" s="31"/>
      <c r="ZF230" s="31"/>
      <c r="ZG230" s="31"/>
      <c r="ZH230" s="32"/>
      <c r="ZI230" s="32"/>
      <c r="ZJ230" s="32"/>
      <c r="ZK230" s="32"/>
      <c r="ZL230" s="32"/>
      <c r="ZM230" s="31"/>
      <c r="ZN230" s="31"/>
      <c r="ZO230" s="33"/>
      <c r="ZP230" s="33"/>
      <c r="ZQ230" s="34"/>
      <c r="ZR230" s="34"/>
      <c r="ZS230" s="35"/>
      <c r="ZT230" s="35"/>
      <c r="ZU230" s="32"/>
      <c r="ZV230" s="31"/>
      <c r="ZW230" s="31"/>
      <c r="ZX230" s="31"/>
      <c r="ZY230" s="32"/>
      <c r="ZZ230" s="32"/>
      <c r="AAA230" s="32"/>
      <c r="AAB230" s="32"/>
      <c r="AAC230" s="32"/>
      <c r="AAD230" s="31"/>
      <c r="AAE230" s="31"/>
      <c r="AAF230" s="33"/>
      <c r="AAG230" s="33"/>
      <c r="AAH230" s="34"/>
      <c r="AAI230" s="34"/>
      <c r="AAJ230" s="35"/>
      <c r="AAK230" s="35"/>
      <c r="AAL230" s="32"/>
      <c r="AAM230" s="31"/>
      <c r="AAN230" s="31"/>
      <c r="AAO230" s="31"/>
      <c r="AAP230" s="32"/>
      <c r="AAQ230" s="32"/>
      <c r="AAR230" s="32"/>
      <c r="AAS230" s="32"/>
      <c r="AAT230" s="32"/>
      <c r="AAU230" s="31"/>
      <c r="AAV230" s="31"/>
      <c r="AAW230" s="33"/>
      <c r="AAX230" s="33"/>
      <c r="AAY230" s="34"/>
      <c r="AAZ230" s="34"/>
      <c r="ABA230" s="35"/>
      <c r="ABB230" s="35"/>
      <c r="ABC230" s="32"/>
      <c r="ABD230" s="31"/>
      <c r="ABE230" s="31"/>
      <c r="ABF230" s="31"/>
      <c r="ABG230" s="32"/>
      <c r="ABH230" s="32"/>
      <c r="ABI230" s="32"/>
      <c r="ABJ230" s="32"/>
      <c r="ABK230" s="32"/>
      <c r="ABL230" s="31"/>
      <c r="ABM230" s="31"/>
      <c r="ABN230" s="33"/>
      <c r="ABO230" s="33"/>
      <c r="ABP230" s="34"/>
      <c r="ABQ230" s="34"/>
      <c r="ABR230" s="35"/>
      <c r="ABS230" s="35"/>
      <c r="ABT230" s="32"/>
      <c r="ABU230" s="31"/>
      <c r="ABV230" s="31"/>
      <c r="ABW230" s="31"/>
      <c r="ABX230" s="32"/>
      <c r="ABY230" s="32"/>
      <c r="ABZ230" s="32"/>
      <c r="ACA230" s="32"/>
      <c r="ACB230" s="32"/>
      <c r="ACC230" s="31"/>
      <c r="ACD230" s="31"/>
      <c r="ACE230" s="33"/>
      <c r="ACF230" s="33"/>
      <c r="ACG230" s="34"/>
      <c r="ACH230" s="34"/>
      <c r="ACI230" s="35"/>
      <c r="ACJ230" s="35"/>
      <c r="ACK230" s="32"/>
      <c r="ACL230" s="31"/>
      <c r="ACM230" s="31"/>
      <c r="ACN230" s="31"/>
      <c r="ACO230" s="32"/>
      <c r="ACP230" s="32"/>
      <c r="ACQ230" s="32"/>
      <c r="ACR230" s="32"/>
      <c r="ACS230" s="32"/>
      <c r="ACT230" s="31"/>
      <c r="ACU230" s="31"/>
      <c r="ACV230" s="33"/>
      <c r="ACW230" s="33"/>
      <c r="ACX230" s="34"/>
      <c r="ACY230" s="34"/>
      <c r="ACZ230" s="35"/>
      <c r="ADA230" s="35"/>
      <c r="ADB230" s="32"/>
      <c r="ADC230" s="31"/>
      <c r="ADD230" s="31"/>
      <c r="ADE230" s="31"/>
      <c r="ADF230" s="32"/>
      <c r="ADG230" s="32"/>
      <c r="ADH230" s="32"/>
      <c r="ADI230" s="32"/>
      <c r="ADJ230" s="32"/>
      <c r="ADK230" s="31"/>
      <c r="ADL230" s="31"/>
      <c r="ADM230" s="33"/>
      <c r="ADN230" s="33"/>
      <c r="ADO230" s="34"/>
      <c r="ADP230" s="34"/>
      <c r="ADQ230" s="35"/>
      <c r="ADR230" s="35"/>
      <c r="ADS230" s="32"/>
      <c r="ADT230" s="31"/>
      <c r="ADU230" s="31"/>
      <c r="ADV230" s="31"/>
      <c r="ADW230" s="32"/>
      <c r="ADX230" s="32"/>
      <c r="ADY230" s="32"/>
      <c r="ADZ230" s="32"/>
      <c r="AEA230" s="32"/>
      <c r="AEB230" s="31"/>
      <c r="AEC230" s="31"/>
      <c r="AED230" s="33"/>
      <c r="AEE230" s="33"/>
      <c r="AEF230" s="34"/>
      <c r="AEG230" s="34"/>
      <c r="AEH230" s="35"/>
      <c r="AEI230" s="35"/>
      <c r="AEJ230" s="32"/>
      <c r="AEK230" s="31"/>
      <c r="AEL230" s="31"/>
      <c r="AEM230" s="31"/>
      <c r="AEN230" s="32"/>
      <c r="AEO230" s="32"/>
      <c r="AEP230" s="32"/>
      <c r="AEQ230" s="32"/>
      <c r="AER230" s="32"/>
      <c r="AES230" s="31"/>
      <c r="AET230" s="31"/>
      <c r="AEU230" s="33"/>
      <c r="AEV230" s="33"/>
      <c r="AEW230" s="34"/>
      <c r="AEX230" s="34"/>
      <c r="AEY230" s="35"/>
      <c r="AEZ230" s="35"/>
      <c r="AFA230" s="32"/>
      <c r="AFB230" s="31"/>
      <c r="AFC230" s="31"/>
      <c r="AFD230" s="31"/>
      <c r="AFE230" s="32"/>
      <c r="AFF230" s="32"/>
      <c r="AFG230" s="32"/>
      <c r="AFH230" s="32"/>
      <c r="AFI230" s="32"/>
      <c r="AFJ230" s="31"/>
      <c r="AFK230" s="31"/>
      <c r="AFL230" s="33"/>
      <c r="AFM230" s="33"/>
      <c r="AFN230" s="34"/>
      <c r="AFO230" s="34"/>
      <c r="AFP230" s="35"/>
      <c r="AFQ230" s="35"/>
      <c r="AFR230" s="32"/>
      <c r="AFS230" s="31"/>
      <c r="AFT230" s="31"/>
      <c r="AFU230" s="31"/>
      <c r="AFV230" s="32"/>
      <c r="AFW230" s="32"/>
      <c r="AFX230" s="32"/>
      <c r="AFY230" s="32"/>
      <c r="AFZ230" s="32"/>
      <c r="AGA230" s="31"/>
      <c r="AGB230" s="31"/>
      <c r="AGC230" s="33"/>
      <c r="AGD230" s="33"/>
      <c r="AGE230" s="34"/>
      <c r="AGF230" s="34"/>
      <c r="AGG230" s="35"/>
      <c r="AGH230" s="35"/>
      <c r="AGI230" s="32"/>
      <c r="AGJ230" s="31"/>
      <c r="AGK230" s="31"/>
      <c r="AGL230" s="31"/>
      <c r="AGM230" s="32"/>
      <c r="AGN230" s="32"/>
      <c r="AGO230" s="32"/>
      <c r="AGP230" s="32"/>
      <c r="AGQ230" s="32"/>
      <c r="AGR230" s="31"/>
      <c r="AGS230" s="31"/>
      <c r="AGT230" s="33"/>
      <c r="AGU230" s="33"/>
      <c r="AGV230" s="34"/>
      <c r="AGW230" s="34"/>
      <c r="AGX230" s="35"/>
      <c r="AGY230" s="35"/>
      <c r="AGZ230" s="32"/>
      <c r="AHA230" s="31"/>
      <c r="AHB230" s="31"/>
      <c r="AHC230" s="31"/>
      <c r="AHD230" s="32"/>
      <c r="AHE230" s="32"/>
      <c r="AHF230" s="32"/>
      <c r="AHG230" s="32"/>
      <c r="AHH230" s="32"/>
      <c r="AHI230" s="31"/>
      <c r="AHJ230" s="31"/>
      <c r="AHK230" s="33"/>
      <c r="AHL230" s="33"/>
      <c r="AHM230" s="34"/>
      <c r="AHN230" s="34"/>
      <c r="AHO230" s="35"/>
      <c r="AHP230" s="35"/>
      <c r="AHQ230" s="32"/>
      <c r="AHR230" s="31"/>
      <c r="AHS230" s="31"/>
      <c r="AHT230" s="31"/>
      <c r="AHU230" s="32"/>
      <c r="AHV230" s="32"/>
      <c r="AHW230" s="32"/>
      <c r="AHX230" s="32"/>
      <c r="AHY230" s="32"/>
      <c r="AHZ230" s="31"/>
      <c r="AIA230" s="31"/>
      <c r="AIB230" s="33"/>
      <c r="AIC230" s="33"/>
      <c r="AID230" s="34"/>
      <c r="AIE230" s="34"/>
      <c r="AIF230" s="35"/>
      <c r="AIG230" s="35"/>
      <c r="AIH230" s="32"/>
      <c r="AII230" s="31"/>
      <c r="AIJ230" s="31"/>
      <c r="AIK230" s="31"/>
      <c r="AIL230" s="32"/>
      <c r="AIM230" s="32"/>
      <c r="AIN230" s="32"/>
      <c r="AIO230" s="32"/>
      <c r="AIP230" s="32"/>
      <c r="AIQ230" s="31"/>
      <c r="AIR230" s="31"/>
      <c r="AIS230" s="33"/>
      <c r="AIT230" s="33"/>
      <c r="AIU230" s="34"/>
      <c r="AIV230" s="34"/>
      <c r="AIW230" s="35"/>
      <c r="AIX230" s="35"/>
      <c r="AIY230" s="32"/>
      <c r="AIZ230" s="31"/>
      <c r="AJA230" s="31"/>
      <c r="AJB230" s="31"/>
      <c r="AJC230" s="32"/>
      <c r="AJD230" s="32"/>
      <c r="AJE230" s="32"/>
      <c r="AJF230" s="32"/>
      <c r="AJG230" s="32"/>
      <c r="AJH230" s="31"/>
      <c r="AJI230" s="31"/>
      <c r="AJJ230" s="33"/>
      <c r="AJK230" s="33"/>
      <c r="AJL230" s="34"/>
      <c r="AJM230" s="34"/>
      <c r="AJN230" s="35"/>
      <c r="AJO230" s="35"/>
      <c r="AJP230" s="32"/>
      <c r="AJQ230" s="31"/>
      <c r="AJR230" s="31"/>
      <c r="AJS230" s="31"/>
      <c r="AJT230" s="32"/>
      <c r="AJU230" s="32"/>
      <c r="AJV230" s="32"/>
      <c r="AJW230" s="32"/>
      <c r="AJX230" s="32"/>
      <c r="AJY230" s="31"/>
      <c r="AJZ230" s="31"/>
      <c r="AKA230" s="33"/>
      <c r="AKB230" s="33"/>
      <c r="AKC230" s="34"/>
      <c r="AKD230" s="34"/>
      <c r="AKE230" s="35"/>
      <c r="AKF230" s="35"/>
      <c r="AKG230" s="32"/>
      <c r="AKH230" s="31"/>
      <c r="AKI230" s="31"/>
      <c r="AKJ230" s="31"/>
      <c r="AKK230" s="32"/>
      <c r="AKL230" s="32"/>
      <c r="AKM230" s="32"/>
      <c r="AKN230" s="32"/>
      <c r="AKO230" s="32"/>
      <c r="AKP230" s="31"/>
      <c r="AKQ230" s="31"/>
      <c r="AKR230" s="33"/>
      <c r="AKS230" s="33"/>
      <c r="AKT230" s="34"/>
      <c r="AKU230" s="34"/>
      <c r="AKV230" s="35"/>
      <c r="AKW230" s="35"/>
      <c r="AKX230" s="32"/>
      <c r="AKY230" s="31"/>
      <c r="AKZ230" s="31"/>
      <c r="ALA230" s="31"/>
      <c r="ALB230" s="32"/>
      <c r="ALC230" s="32"/>
      <c r="ALD230" s="32"/>
      <c r="ALE230" s="32"/>
      <c r="ALF230" s="32"/>
      <c r="ALG230" s="31"/>
      <c r="ALH230" s="31"/>
      <c r="ALI230" s="33"/>
      <c r="ALJ230" s="33"/>
      <c r="ALK230" s="34"/>
      <c r="ALL230" s="34"/>
      <c r="ALM230" s="35"/>
      <c r="ALN230" s="35"/>
      <c r="ALO230" s="32"/>
      <c r="ALP230" s="31"/>
      <c r="ALQ230" s="31"/>
      <c r="ALR230" s="31"/>
      <c r="ALS230" s="32"/>
      <c r="ALT230" s="32"/>
      <c r="ALU230" s="32"/>
      <c r="ALV230" s="32"/>
      <c r="ALW230" s="32"/>
      <c r="ALX230" s="31"/>
      <c r="ALY230" s="31"/>
      <c r="ALZ230" s="33"/>
      <c r="AMA230" s="33"/>
      <c r="AMB230" s="34"/>
      <c r="AMC230" s="34"/>
      <c r="AMD230" s="35"/>
      <c r="AME230" s="35"/>
      <c r="AMF230" s="32"/>
      <c r="AMG230" s="31"/>
      <c r="AMH230" s="31"/>
      <c r="AMI230" s="31"/>
      <c r="AMJ230" s="32"/>
      <c r="AMK230" s="32"/>
      <c r="AML230" s="32"/>
      <c r="AMM230" s="32"/>
      <c r="AMN230" s="32"/>
      <c r="AMO230" s="31"/>
      <c r="AMP230" s="31"/>
      <c r="AMQ230" s="33"/>
      <c r="AMR230" s="33"/>
      <c r="AMS230" s="34"/>
      <c r="AMT230" s="34"/>
      <c r="AMU230" s="35"/>
      <c r="AMV230" s="35"/>
      <c r="AMW230" s="32"/>
      <c r="AMX230" s="31"/>
      <c r="AMY230" s="31"/>
      <c r="AMZ230" s="31"/>
      <c r="ANA230" s="32"/>
      <c r="ANB230" s="32"/>
      <c r="ANC230" s="32"/>
      <c r="AND230" s="32"/>
      <c r="ANE230" s="32"/>
      <c r="ANF230" s="31"/>
      <c r="ANG230" s="31"/>
      <c r="ANH230" s="33"/>
      <c r="ANI230" s="33"/>
      <c r="ANJ230" s="34"/>
      <c r="ANK230" s="34"/>
      <c r="ANL230" s="35"/>
      <c r="ANM230" s="35"/>
      <c r="ANN230" s="32"/>
      <c r="ANO230" s="31"/>
      <c r="ANP230" s="31"/>
      <c r="ANQ230" s="31"/>
      <c r="ANR230" s="32"/>
      <c r="ANS230" s="32"/>
      <c r="ANT230" s="32"/>
      <c r="ANU230" s="32"/>
      <c r="ANV230" s="32"/>
      <c r="ANW230" s="31"/>
      <c r="ANX230" s="31"/>
      <c r="ANY230" s="33"/>
      <c r="ANZ230" s="33"/>
      <c r="AOA230" s="34"/>
      <c r="AOB230" s="34"/>
      <c r="AOC230" s="35"/>
      <c r="AOD230" s="35"/>
      <c r="AOE230" s="32"/>
      <c r="AOF230" s="31"/>
      <c r="AOG230" s="31"/>
      <c r="AOH230" s="31"/>
      <c r="AOI230" s="32"/>
      <c r="AOJ230" s="32"/>
      <c r="AOK230" s="32"/>
      <c r="AOL230" s="32"/>
      <c r="AOM230" s="32"/>
      <c r="AON230" s="31"/>
      <c r="AOO230" s="31"/>
      <c r="AOP230" s="33"/>
      <c r="AOQ230" s="33"/>
      <c r="AOR230" s="34"/>
      <c r="AOS230" s="34"/>
      <c r="AOT230" s="35"/>
      <c r="AOU230" s="35"/>
      <c r="AOV230" s="32"/>
      <c r="AOW230" s="31"/>
      <c r="AOX230" s="31"/>
      <c r="AOY230" s="31"/>
      <c r="AOZ230" s="32"/>
      <c r="APA230" s="32"/>
      <c r="APB230" s="32"/>
      <c r="APC230" s="32"/>
      <c r="APD230" s="32"/>
      <c r="APE230" s="31"/>
      <c r="APF230" s="31"/>
      <c r="APG230" s="33"/>
      <c r="APH230" s="33"/>
      <c r="API230" s="34"/>
      <c r="APJ230" s="34"/>
      <c r="APK230" s="35"/>
      <c r="APL230" s="35"/>
      <c r="APM230" s="32"/>
      <c r="APN230" s="31"/>
      <c r="APO230" s="31"/>
      <c r="APP230" s="31"/>
      <c r="APQ230" s="32"/>
      <c r="APR230" s="32"/>
      <c r="APS230" s="32"/>
      <c r="APT230" s="32"/>
      <c r="APU230" s="32"/>
      <c r="APV230" s="31"/>
      <c r="APW230" s="31"/>
      <c r="APX230" s="33"/>
      <c r="APY230" s="33"/>
      <c r="APZ230" s="34"/>
      <c r="AQA230" s="34"/>
      <c r="AQB230" s="35"/>
      <c r="AQC230" s="35"/>
      <c r="AQD230" s="32"/>
      <c r="AQE230" s="31"/>
      <c r="AQF230" s="31"/>
      <c r="AQG230" s="31"/>
      <c r="AQH230" s="32"/>
      <c r="AQI230" s="32"/>
      <c r="AQJ230" s="32"/>
      <c r="AQK230" s="32"/>
      <c r="AQL230" s="32"/>
      <c r="AQM230" s="31"/>
      <c r="AQN230" s="31"/>
      <c r="AQO230" s="33"/>
      <c r="AQP230" s="33"/>
      <c r="AQQ230" s="34"/>
      <c r="AQR230" s="34"/>
      <c r="AQS230" s="35"/>
      <c r="AQT230" s="35"/>
      <c r="AQU230" s="32"/>
      <c r="AQV230" s="31"/>
      <c r="AQW230" s="31"/>
      <c r="AQX230" s="31"/>
      <c r="AQY230" s="32"/>
      <c r="AQZ230" s="32"/>
      <c r="ARA230" s="32"/>
      <c r="ARB230" s="32"/>
      <c r="ARC230" s="32"/>
      <c r="ARD230" s="31"/>
      <c r="ARE230" s="31"/>
      <c r="ARF230" s="33"/>
      <c r="ARG230" s="33"/>
      <c r="ARH230" s="34"/>
      <c r="ARI230" s="34"/>
      <c r="ARJ230" s="35"/>
      <c r="ARK230" s="35"/>
      <c r="ARL230" s="32"/>
      <c r="ARM230" s="31"/>
      <c r="ARN230" s="31"/>
      <c r="ARO230" s="31"/>
      <c r="ARP230" s="32"/>
      <c r="ARQ230" s="32"/>
      <c r="ARR230" s="32"/>
      <c r="ARS230" s="32"/>
      <c r="ART230" s="32"/>
      <c r="ARU230" s="31"/>
      <c r="ARV230" s="31"/>
      <c r="ARW230" s="33"/>
      <c r="ARX230" s="33"/>
      <c r="ARY230" s="34"/>
      <c r="ARZ230" s="34"/>
      <c r="ASA230" s="35"/>
      <c r="ASB230" s="35"/>
      <c r="ASC230" s="32"/>
      <c r="ASD230" s="31"/>
      <c r="ASE230" s="31"/>
      <c r="ASF230" s="31"/>
      <c r="ASG230" s="32"/>
      <c r="ASH230" s="32"/>
      <c r="ASI230" s="32"/>
      <c r="ASJ230" s="32"/>
      <c r="ASK230" s="32"/>
      <c r="ASL230" s="31"/>
      <c r="ASM230" s="31"/>
      <c r="ASN230" s="33"/>
      <c r="ASO230" s="33"/>
      <c r="ASP230" s="34"/>
      <c r="ASQ230" s="34"/>
      <c r="ASR230" s="35"/>
      <c r="ASS230" s="35"/>
      <c r="AST230" s="32"/>
      <c r="ASU230" s="31"/>
      <c r="ASV230" s="31"/>
      <c r="ASW230" s="31"/>
      <c r="ASX230" s="32"/>
      <c r="ASY230" s="32"/>
      <c r="ASZ230" s="32"/>
      <c r="ATA230" s="32"/>
      <c r="ATB230" s="32"/>
      <c r="ATC230" s="31"/>
      <c r="ATD230" s="31"/>
      <c r="ATE230" s="33"/>
      <c r="ATF230" s="33"/>
      <c r="ATG230" s="34"/>
      <c r="ATH230" s="34"/>
      <c r="ATI230" s="35"/>
      <c r="ATJ230" s="35"/>
      <c r="ATK230" s="32"/>
      <c r="ATL230" s="31"/>
      <c r="ATM230" s="31"/>
      <c r="ATN230" s="31"/>
      <c r="ATO230" s="32"/>
      <c r="ATP230" s="32"/>
      <c r="ATQ230" s="32"/>
      <c r="ATR230" s="32"/>
      <c r="ATS230" s="32"/>
      <c r="ATT230" s="31"/>
      <c r="ATU230" s="31"/>
      <c r="ATV230" s="33"/>
      <c r="ATW230" s="33"/>
      <c r="ATX230" s="34"/>
      <c r="ATY230" s="34"/>
      <c r="ATZ230" s="35"/>
      <c r="AUA230" s="35"/>
      <c r="AUB230" s="32"/>
      <c r="AUC230" s="31"/>
      <c r="AUD230" s="31"/>
      <c r="AUE230" s="31"/>
      <c r="AUF230" s="32"/>
      <c r="AUG230" s="32"/>
      <c r="AUH230" s="32"/>
      <c r="AUI230" s="32"/>
      <c r="AUJ230" s="32"/>
      <c r="AUK230" s="31"/>
      <c r="AUL230" s="31"/>
      <c r="AUM230" s="33"/>
      <c r="AUN230" s="33"/>
      <c r="AUO230" s="34"/>
      <c r="AUP230" s="34"/>
      <c r="AUQ230" s="35"/>
      <c r="AUR230" s="35"/>
      <c r="AUS230" s="32"/>
      <c r="AUT230" s="31"/>
      <c r="AUU230" s="31"/>
      <c r="AUV230" s="31"/>
      <c r="AUW230" s="32"/>
      <c r="AUX230" s="32"/>
      <c r="AUY230" s="32"/>
      <c r="AUZ230" s="32"/>
      <c r="AVA230" s="32"/>
      <c r="AVB230" s="31"/>
      <c r="AVC230" s="31"/>
      <c r="AVD230" s="33"/>
      <c r="AVE230" s="33"/>
      <c r="AVF230" s="34"/>
      <c r="AVG230" s="34"/>
      <c r="AVH230" s="35"/>
      <c r="AVI230" s="35"/>
      <c r="AVJ230" s="32"/>
      <c r="AVK230" s="31"/>
      <c r="AVL230" s="31"/>
      <c r="AVM230" s="31"/>
      <c r="AVN230" s="32"/>
      <c r="AVO230" s="32"/>
      <c r="AVP230" s="32"/>
      <c r="AVQ230" s="32"/>
      <c r="AVR230" s="32"/>
      <c r="AVS230" s="31"/>
      <c r="AVT230" s="31"/>
      <c r="AVU230" s="33"/>
      <c r="AVV230" s="33"/>
      <c r="AVW230" s="34"/>
      <c r="AVX230" s="34"/>
      <c r="AVY230" s="35"/>
      <c r="AVZ230" s="35"/>
      <c r="AWA230" s="32"/>
      <c r="AWB230" s="31"/>
      <c r="AWC230" s="31"/>
      <c r="AWD230" s="31"/>
      <c r="AWE230" s="32"/>
      <c r="AWF230" s="32"/>
      <c r="AWG230" s="32"/>
      <c r="AWH230" s="32"/>
      <c r="AWI230" s="32"/>
      <c r="AWJ230" s="31"/>
      <c r="AWK230" s="31"/>
      <c r="AWL230" s="33"/>
      <c r="AWM230" s="33"/>
      <c r="AWN230" s="34"/>
      <c r="AWO230" s="34"/>
      <c r="AWP230" s="35"/>
      <c r="AWQ230" s="35"/>
      <c r="AWR230" s="32"/>
      <c r="AWS230" s="31"/>
      <c r="AWT230" s="31"/>
      <c r="AWU230" s="31"/>
      <c r="AWV230" s="32"/>
      <c r="AWW230" s="32"/>
      <c r="AWX230" s="32"/>
      <c r="AWY230" s="32"/>
      <c r="AWZ230" s="32"/>
      <c r="AXA230" s="31"/>
      <c r="AXB230" s="31"/>
      <c r="AXC230" s="33"/>
      <c r="AXD230" s="33"/>
      <c r="AXE230" s="34"/>
      <c r="AXF230" s="34"/>
      <c r="AXG230" s="35"/>
      <c r="AXH230" s="35"/>
      <c r="AXI230" s="32"/>
      <c r="AXJ230" s="31"/>
      <c r="AXK230" s="31"/>
      <c r="AXL230" s="31"/>
      <c r="AXM230" s="32"/>
      <c r="AXN230" s="32"/>
      <c r="AXO230" s="32"/>
      <c r="AXP230" s="32"/>
      <c r="AXQ230" s="32"/>
      <c r="AXR230" s="31"/>
      <c r="AXS230" s="31"/>
      <c r="AXT230" s="33"/>
      <c r="AXU230" s="33"/>
      <c r="AXV230" s="34"/>
      <c r="AXW230" s="34"/>
      <c r="AXX230" s="35"/>
      <c r="AXY230" s="35"/>
      <c r="AXZ230" s="32"/>
      <c r="AYA230" s="31"/>
      <c r="AYB230" s="31"/>
      <c r="AYC230" s="31"/>
      <c r="AYD230" s="32"/>
      <c r="AYE230" s="32"/>
      <c r="AYF230" s="32"/>
      <c r="AYG230" s="32"/>
      <c r="AYH230" s="32"/>
      <c r="AYI230" s="31"/>
      <c r="AYJ230" s="31"/>
      <c r="AYK230" s="33"/>
      <c r="AYL230" s="33"/>
      <c r="AYM230" s="34"/>
      <c r="AYN230" s="34"/>
      <c r="AYO230" s="35"/>
      <c r="AYP230" s="35"/>
      <c r="AYQ230" s="32"/>
      <c r="AYR230" s="31"/>
      <c r="AYS230" s="31"/>
      <c r="AYT230" s="31"/>
      <c r="AYU230" s="32"/>
      <c r="AYV230" s="32"/>
      <c r="AYW230" s="32"/>
      <c r="AYX230" s="32"/>
      <c r="AYY230" s="32"/>
      <c r="AYZ230" s="31"/>
      <c r="AZA230" s="31"/>
      <c r="AZB230" s="33"/>
      <c r="AZC230" s="33"/>
      <c r="AZD230" s="34"/>
      <c r="AZE230" s="34"/>
      <c r="AZF230" s="35"/>
      <c r="AZG230" s="35"/>
      <c r="AZH230" s="32"/>
      <c r="AZI230" s="31"/>
      <c r="AZJ230" s="31"/>
      <c r="AZK230" s="31"/>
      <c r="AZL230" s="32"/>
      <c r="AZM230" s="32"/>
      <c r="AZN230" s="32"/>
      <c r="AZO230" s="32"/>
      <c r="AZP230" s="32"/>
      <c r="AZQ230" s="31"/>
      <c r="AZR230" s="31"/>
      <c r="AZS230" s="33"/>
      <c r="AZT230" s="33"/>
      <c r="AZU230" s="34"/>
      <c r="AZV230" s="34"/>
      <c r="AZW230" s="35"/>
      <c r="AZX230" s="35"/>
      <c r="AZY230" s="32"/>
      <c r="AZZ230" s="31"/>
      <c r="BAA230" s="31"/>
      <c r="BAB230" s="31"/>
      <c r="BAC230" s="32"/>
      <c r="BAD230" s="32"/>
      <c r="BAE230" s="32"/>
      <c r="BAF230" s="32"/>
      <c r="BAG230" s="32"/>
      <c r="BAH230" s="31"/>
      <c r="BAI230" s="31"/>
      <c r="BAJ230" s="33"/>
      <c r="BAK230" s="33"/>
      <c r="BAL230" s="34"/>
      <c r="BAM230" s="34"/>
      <c r="BAN230" s="35"/>
      <c r="BAO230" s="35"/>
      <c r="BAP230" s="32"/>
      <c r="BAQ230" s="31"/>
      <c r="BAR230" s="31"/>
      <c r="BAS230" s="31"/>
      <c r="BAT230" s="32"/>
      <c r="BAU230" s="32"/>
      <c r="BAV230" s="32"/>
      <c r="BAW230" s="32"/>
      <c r="BAX230" s="32"/>
      <c r="BAY230" s="31"/>
      <c r="BAZ230" s="31"/>
      <c r="BBA230" s="33"/>
      <c r="BBB230" s="33"/>
      <c r="BBC230" s="34"/>
      <c r="BBD230" s="34"/>
      <c r="BBE230" s="35"/>
      <c r="BBF230" s="35"/>
      <c r="BBG230" s="32"/>
      <c r="BBH230" s="31"/>
      <c r="BBI230" s="31"/>
      <c r="BBJ230" s="31"/>
      <c r="BBK230" s="32"/>
      <c r="BBL230" s="32"/>
      <c r="BBM230" s="32"/>
      <c r="BBN230" s="32"/>
      <c r="BBO230" s="32"/>
      <c r="BBP230" s="31"/>
      <c r="BBQ230" s="31"/>
      <c r="BBR230" s="33"/>
      <c r="BBS230" s="33"/>
      <c r="BBT230" s="34"/>
      <c r="BBU230" s="34"/>
      <c r="BBV230" s="35"/>
      <c r="BBW230" s="35"/>
      <c r="BBX230" s="32"/>
      <c r="BBY230" s="31"/>
      <c r="BBZ230" s="31"/>
      <c r="BCA230" s="31"/>
      <c r="BCB230" s="32"/>
      <c r="BCC230" s="32"/>
      <c r="BCD230" s="32"/>
      <c r="BCE230" s="32"/>
      <c r="BCF230" s="32"/>
      <c r="BCG230" s="31"/>
      <c r="BCH230" s="31"/>
      <c r="BCI230" s="33"/>
      <c r="BCJ230" s="33"/>
      <c r="BCK230" s="34"/>
      <c r="BCL230" s="34"/>
      <c r="BCM230" s="35"/>
      <c r="BCN230" s="35"/>
      <c r="BCO230" s="32"/>
      <c r="BCP230" s="31"/>
      <c r="BCQ230" s="31"/>
      <c r="BCR230" s="31"/>
      <c r="BCS230" s="32"/>
      <c r="BCT230" s="32"/>
      <c r="BCU230" s="32"/>
      <c r="BCV230" s="32"/>
      <c r="BCW230" s="32"/>
      <c r="BCX230" s="31"/>
      <c r="BCY230" s="31"/>
      <c r="BCZ230" s="33"/>
      <c r="BDA230" s="33"/>
      <c r="BDB230" s="34"/>
      <c r="BDC230" s="34"/>
      <c r="BDD230" s="35"/>
      <c r="BDE230" s="35"/>
      <c r="BDF230" s="32"/>
      <c r="BDG230" s="31"/>
      <c r="BDH230" s="31"/>
      <c r="BDI230" s="31"/>
      <c r="BDJ230" s="32"/>
      <c r="BDK230" s="32"/>
      <c r="BDL230" s="32"/>
      <c r="BDM230" s="32"/>
      <c r="BDN230" s="32"/>
      <c r="BDO230" s="31"/>
      <c r="BDP230" s="31"/>
      <c r="BDQ230" s="33"/>
      <c r="BDR230" s="33"/>
      <c r="BDS230" s="34"/>
      <c r="BDT230" s="34"/>
      <c r="BDU230" s="35"/>
      <c r="BDV230" s="35"/>
      <c r="BDW230" s="32"/>
      <c r="BDX230" s="31"/>
      <c r="BDY230" s="31"/>
      <c r="BDZ230" s="31"/>
      <c r="BEA230" s="32"/>
      <c r="BEB230" s="32"/>
      <c r="BEC230" s="32"/>
      <c r="BED230" s="32"/>
      <c r="BEE230" s="32"/>
      <c r="BEF230" s="31"/>
      <c r="BEG230" s="31"/>
      <c r="BEH230" s="33"/>
      <c r="BEI230" s="33"/>
      <c r="BEJ230" s="34"/>
      <c r="BEK230" s="34"/>
      <c r="BEL230" s="35"/>
      <c r="BEM230" s="35"/>
      <c r="BEN230" s="32"/>
      <c r="BEO230" s="31"/>
      <c r="BEP230" s="31"/>
      <c r="BEQ230" s="31"/>
      <c r="BER230" s="32"/>
      <c r="BES230" s="32"/>
      <c r="BET230" s="32"/>
      <c r="BEU230" s="32"/>
      <c r="BEV230" s="32"/>
      <c r="BEW230" s="31"/>
      <c r="BEX230" s="31"/>
      <c r="BEY230" s="33"/>
      <c r="BEZ230" s="33"/>
      <c r="BFA230" s="34"/>
      <c r="BFB230" s="34"/>
      <c r="BFC230" s="35"/>
      <c r="BFD230" s="35"/>
      <c r="BFE230" s="32"/>
      <c r="BFF230" s="31"/>
      <c r="BFG230" s="31"/>
      <c r="BFH230" s="31"/>
      <c r="BFI230" s="32"/>
      <c r="BFJ230" s="32"/>
      <c r="BFK230" s="32"/>
      <c r="BFL230" s="32"/>
      <c r="BFM230" s="32"/>
      <c r="BFN230" s="31"/>
      <c r="BFO230" s="31"/>
      <c r="BFP230" s="33"/>
      <c r="BFQ230" s="33"/>
      <c r="BFR230" s="34"/>
      <c r="BFS230" s="34"/>
      <c r="BFT230" s="35"/>
      <c r="BFU230" s="35"/>
      <c r="BFV230" s="32"/>
      <c r="BFW230" s="31"/>
      <c r="BFX230" s="31"/>
      <c r="BFY230" s="31"/>
      <c r="BFZ230" s="32"/>
      <c r="BGA230" s="32"/>
      <c r="BGB230" s="32"/>
      <c r="BGC230" s="32"/>
      <c r="BGD230" s="32"/>
      <c r="BGE230" s="31"/>
      <c r="BGF230" s="31"/>
      <c r="BGG230" s="33"/>
      <c r="BGH230" s="33"/>
      <c r="BGI230" s="34"/>
      <c r="BGJ230" s="34"/>
      <c r="BGK230" s="35"/>
      <c r="BGL230" s="35"/>
      <c r="BGM230" s="32"/>
      <c r="BGN230" s="31"/>
      <c r="BGO230" s="31"/>
      <c r="BGP230" s="31"/>
      <c r="BGQ230" s="32"/>
      <c r="BGR230" s="32"/>
      <c r="BGS230" s="32"/>
      <c r="BGT230" s="32"/>
      <c r="BGU230" s="32"/>
      <c r="BGV230" s="31"/>
      <c r="BGW230" s="31"/>
      <c r="BGX230" s="33"/>
      <c r="BGY230" s="33"/>
      <c r="BGZ230" s="34"/>
      <c r="BHA230" s="34"/>
      <c r="BHB230" s="35"/>
      <c r="BHC230" s="35"/>
      <c r="BHD230" s="32"/>
      <c r="BHE230" s="31"/>
      <c r="BHF230" s="31"/>
      <c r="BHG230" s="31"/>
      <c r="BHH230" s="32"/>
      <c r="BHI230" s="32"/>
      <c r="BHJ230" s="32"/>
      <c r="BHK230" s="32"/>
      <c r="BHL230" s="32"/>
      <c r="BHM230" s="31"/>
      <c r="BHN230" s="31"/>
      <c r="BHO230" s="33"/>
      <c r="BHP230" s="33"/>
      <c r="BHQ230" s="34"/>
      <c r="BHR230" s="34"/>
      <c r="BHS230" s="35"/>
      <c r="BHT230" s="35"/>
      <c r="BHU230" s="32"/>
      <c r="BHV230" s="31"/>
      <c r="BHW230" s="31"/>
      <c r="BHX230" s="31"/>
      <c r="BHY230" s="32"/>
      <c r="BHZ230" s="32"/>
      <c r="BIA230" s="32"/>
      <c r="BIB230" s="32"/>
      <c r="BIC230" s="32"/>
      <c r="BID230" s="31"/>
      <c r="BIE230" s="31"/>
      <c r="BIF230" s="33"/>
      <c r="BIG230" s="33"/>
      <c r="BIH230" s="34"/>
      <c r="BII230" s="34"/>
      <c r="BIJ230" s="35"/>
      <c r="BIK230" s="35"/>
      <c r="BIL230" s="32"/>
      <c r="BIM230" s="31"/>
      <c r="BIN230" s="31"/>
      <c r="BIO230" s="31"/>
      <c r="BIP230" s="32"/>
      <c r="BIQ230" s="32"/>
      <c r="BIR230" s="32"/>
      <c r="BIS230" s="32"/>
      <c r="BIT230" s="32"/>
      <c r="BIU230" s="31"/>
      <c r="BIV230" s="31"/>
      <c r="BIW230" s="33"/>
      <c r="BIX230" s="33"/>
      <c r="BIY230" s="34"/>
      <c r="BIZ230" s="34"/>
      <c r="BJA230" s="35"/>
      <c r="BJB230" s="35"/>
      <c r="BJC230" s="32"/>
      <c r="BJD230" s="31"/>
      <c r="BJE230" s="31"/>
      <c r="BJF230" s="31"/>
      <c r="BJG230" s="32"/>
      <c r="BJH230" s="32"/>
      <c r="BJI230" s="32"/>
      <c r="BJJ230" s="32"/>
      <c r="BJK230" s="32"/>
      <c r="BJL230" s="31"/>
      <c r="BJM230" s="31"/>
      <c r="BJN230" s="33"/>
      <c r="BJO230" s="33"/>
      <c r="BJP230" s="34"/>
      <c r="BJQ230" s="34"/>
      <c r="BJR230" s="35"/>
      <c r="BJS230" s="35"/>
      <c r="BJT230" s="32"/>
      <c r="BJU230" s="31"/>
      <c r="BJV230" s="31"/>
      <c r="BJW230" s="31"/>
      <c r="BJX230" s="32"/>
      <c r="BJY230" s="32"/>
      <c r="BJZ230" s="32"/>
      <c r="BKA230" s="32"/>
      <c r="BKB230" s="32"/>
      <c r="BKC230" s="31"/>
      <c r="BKD230" s="31"/>
      <c r="BKE230" s="33"/>
      <c r="BKF230" s="33"/>
      <c r="BKG230" s="34"/>
      <c r="BKH230" s="34"/>
      <c r="BKI230" s="35"/>
      <c r="BKJ230" s="35"/>
      <c r="BKK230" s="32"/>
      <c r="BKL230" s="31"/>
      <c r="BKM230" s="31"/>
      <c r="BKN230" s="31"/>
      <c r="BKO230" s="32"/>
      <c r="BKP230" s="32"/>
      <c r="BKQ230" s="32"/>
      <c r="BKR230" s="32"/>
      <c r="BKS230" s="32"/>
      <c r="BKT230" s="31"/>
      <c r="BKU230" s="31"/>
      <c r="BKV230" s="33"/>
      <c r="BKW230" s="33"/>
      <c r="BKX230" s="34"/>
      <c r="BKY230" s="34"/>
      <c r="BKZ230" s="35"/>
      <c r="BLA230" s="35"/>
      <c r="BLB230" s="32"/>
      <c r="BLC230" s="31"/>
      <c r="BLD230" s="31"/>
      <c r="BLE230" s="31"/>
      <c r="BLF230" s="32"/>
      <c r="BLG230" s="32"/>
      <c r="BLH230" s="32"/>
      <c r="BLI230" s="32"/>
      <c r="BLJ230" s="32"/>
      <c r="BLK230" s="31"/>
      <c r="BLL230" s="31"/>
      <c r="BLM230" s="33"/>
      <c r="BLN230" s="33"/>
      <c r="BLO230" s="34"/>
      <c r="BLP230" s="34"/>
      <c r="BLQ230" s="35"/>
      <c r="BLR230" s="35"/>
      <c r="BLS230" s="32"/>
      <c r="BLT230" s="31"/>
      <c r="BLU230" s="31"/>
      <c r="BLV230" s="31"/>
      <c r="BLW230" s="32"/>
      <c r="BLX230" s="32"/>
      <c r="BLY230" s="32"/>
      <c r="BLZ230" s="32"/>
      <c r="BMA230" s="32"/>
      <c r="BMB230" s="31"/>
      <c r="BMC230" s="31"/>
      <c r="BMD230" s="33"/>
      <c r="BME230" s="33"/>
      <c r="BMF230" s="34"/>
      <c r="BMG230" s="34"/>
      <c r="BMH230" s="35"/>
      <c r="BMI230" s="35"/>
      <c r="BMJ230" s="32"/>
      <c r="BMK230" s="31"/>
      <c r="BML230" s="31"/>
      <c r="BMM230" s="31"/>
      <c r="BMN230" s="32"/>
      <c r="BMO230" s="32"/>
      <c r="BMP230" s="32"/>
      <c r="BMQ230" s="32"/>
      <c r="BMR230" s="32"/>
      <c r="BMS230" s="31"/>
      <c r="BMT230" s="31"/>
      <c r="BMU230" s="33"/>
      <c r="BMV230" s="33"/>
      <c r="BMW230" s="34"/>
      <c r="BMX230" s="34"/>
      <c r="BMY230" s="35"/>
      <c r="BMZ230" s="35"/>
      <c r="BNA230" s="32"/>
      <c r="BNB230" s="31"/>
      <c r="BNC230" s="31"/>
      <c r="BND230" s="31"/>
      <c r="BNE230" s="32"/>
      <c r="BNF230" s="32"/>
      <c r="BNG230" s="32"/>
      <c r="BNH230" s="32"/>
      <c r="BNI230" s="32"/>
      <c r="BNJ230" s="31"/>
      <c r="BNK230" s="31"/>
      <c r="BNL230" s="33"/>
      <c r="BNM230" s="33"/>
      <c r="BNN230" s="34"/>
      <c r="BNO230" s="34"/>
      <c r="BNP230" s="35"/>
      <c r="BNQ230" s="35"/>
      <c r="BNR230" s="32"/>
      <c r="BNS230" s="31"/>
      <c r="BNT230" s="31"/>
      <c r="BNU230" s="31"/>
      <c r="BNV230" s="32"/>
      <c r="BNW230" s="32"/>
      <c r="BNX230" s="32"/>
      <c r="BNY230" s="32"/>
      <c r="BNZ230" s="32"/>
      <c r="BOA230" s="31"/>
      <c r="BOB230" s="31"/>
      <c r="BOC230" s="33"/>
      <c r="BOD230" s="33"/>
      <c r="BOE230" s="34"/>
      <c r="BOF230" s="34"/>
      <c r="BOG230" s="35"/>
      <c r="BOH230" s="35"/>
      <c r="BOI230" s="32"/>
      <c r="BOJ230" s="31"/>
      <c r="BOK230" s="31"/>
      <c r="BOL230" s="31"/>
      <c r="BOM230" s="32"/>
      <c r="BON230" s="32"/>
      <c r="BOO230" s="32"/>
      <c r="BOP230" s="32"/>
      <c r="BOQ230" s="32"/>
      <c r="BOR230" s="31"/>
      <c r="BOS230" s="31"/>
      <c r="BOT230" s="33"/>
      <c r="BOU230" s="33"/>
      <c r="BOV230" s="34"/>
      <c r="BOW230" s="34"/>
      <c r="BOX230" s="35"/>
      <c r="BOY230" s="35"/>
      <c r="BOZ230" s="32"/>
      <c r="BPA230" s="31"/>
      <c r="BPB230" s="31"/>
      <c r="BPC230" s="31"/>
      <c r="BPD230" s="32"/>
      <c r="BPE230" s="32"/>
      <c r="BPF230" s="32"/>
      <c r="BPG230" s="32"/>
      <c r="BPH230" s="32"/>
      <c r="BPI230" s="31"/>
      <c r="BPJ230" s="31"/>
      <c r="BPK230" s="33"/>
      <c r="BPL230" s="33"/>
      <c r="BPM230" s="34"/>
      <c r="BPN230" s="34"/>
      <c r="BPO230" s="35"/>
      <c r="BPP230" s="35"/>
      <c r="BPQ230" s="32"/>
      <c r="BPR230" s="31"/>
      <c r="BPS230" s="31"/>
      <c r="BPT230" s="31"/>
      <c r="BPU230" s="32"/>
      <c r="BPV230" s="32"/>
      <c r="BPW230" s="32"/>
      <c r="BPX230" s="32"/>
      <c r="BPY230" s="32"/>
      <c r="BPZ230" s="31"/>
      <c r="BQA230" s="31"/>
      <c r="BQB230" s="33"/>
      <c r="BQC230" s="33"/>
      <c r="BQD230" s="34"/>
      <c r="BQE230" s="34"/>
      <c r="BQF230" s="35"/>
      <c r="BQG230" s="35"/>
      <c r="BQH230" s="32"/>
      <c r="BQI230" s="31"/>
      <c r="BQJ230" s="31"/>
      <c r="BQK230" s="31"/>
      <c r="BQL230" s="32"/>
      <c r="BQM230" s="32"/>
      <c r="BQN230" s="32"/>
      <c r="BQO230" s="32"/>
      <c r="BQP230" s="32"/>
      <c r="BQQ230" s="31"/>
      <c r="BQR230" s="31"/>
      <c r="BQS230" s="33"/>
      <c r="BQT230" s="33"/>
      <c r="BQU230" s="34"/>
      <c r="BQV230" s="34"/>
      <c r="BQW230" s="35"/>
      <c r="BQX230" s="35"/>
      <c r="BQY230" s="32"/>
      <c r="BQZ230" s="31"/>
      <c r="BRA230" s="31"/>
      <c r="BRB230" s="31"/>
      <c r="BRC230" s="32"/>
      <c r="BRD230" s="32"/>
      <c r="BRE230" s="32"/>
      <c r="BRF230" s="32"/>
      <c r="BRG230" s="32"/>
      <c r="BRH230" s="31"/>
      <c r="BRI230" s="31"/>
      <c r="BRJ230" s="33"/>
      <c r="BRK230" s="33"/>
      <c r="BRL230" s="34"/>
      <c r="BRM230" s="34"/>
      <c r="BRN230" s="35"/>
      <c r="BRO230" s="35"/>
      <c r="BRP230" s="32"/>
      <c r="BRQ230" s="31"/>
      <c r="BRR230" s="31"/>
      <c r="BRS230" s="31"/>
      <c r="BRT230" s="32"/>
      <c r="BRU230" s="32"/>
      <c r="BRV230" s="32"/>
      <c r="BRW230" s="32"/>
      <c r="BRX230" s="32"/>
      <c r="BRY230" s="31"/>
      <c r="BRZ230" s="31"/>
      <c r="BSA230" s="33"/>
      <c r="BSB230" s="33"/>
      <c r="BSC230" s="34"/>
      <c r="BSD230" s="34"/>
      <c r="BSE230" s="35"/>
      <c r="BSF230" s="35"/>
      <c r="BSG230" s="32"/>
      <c r="BSH230" s="31"/>
      <c r="BSI230" s="31"/>
      <c r="BSJ230" s="31"/>
      <c r="BSK230" s="32"/>
      <c r="BSL230" s="32"/>
      <c r="BSM230" s="32"/>
      <c r="BSN230" s="32"/>
      <c r="BSO230" s="32"/>
      <c r="BSP230" s="31"/>
      <c r="BSQ230" s="31"/>
      <c r="BSR230" s="33"/>
      <c r="BSS230" s="33"/>
      <c r="BST230" s="34"/>
      <c r="BSU230" s="34"/>
      <c r="BSV230" s="35"/>
      <c r="BSW230" s="35"/>
      <c r="BSX230" s="32"/>
      <c r="BSY230" s="31"/>
      <c r="BSZ230" s="31"/>
      <c r="BTA230" s="31"/>
      <c r="BTB230" s="32"/>
      <c r="BTC230" s="32"/>
      <c r="BTD230" s="32"/>
      <c r="BTE230" s="32"/>
      <c r="BTF230" s="32"/>
      <c r="BTG230" s="31"/>
      <c r="BTH230" s="31"/>
      <c r="BTI230" s="33"/>
      <c r="BTJ230" s="33"/>
      <c r="BTK230" s="34"/>
      <c r="BTL230" s="34"/>
      <c r="BTM230" s="35"/>
      <c r="BTN230" s="35"/>
      <c r="BTO230" s="32"/>
      <c r="BTP230" s="31"/>
      <c r="BTQ230" s="31"/>
      <c r="BTR230" s="31"/>
      <c r="BTS230" s="32"/>
      <c r="BTT230" s="32"/>
      <c r="BTU230" s="32"/>
      <c r="BTV230" s="32"/>
      <c r="BTW230" s="32"/>
      <c r="BTX230" s="31"/>
      <c r="BTY230" s="31"/>
      <c r="BTZ230" s="33"/>
      <c r="BUA230" s="33"/>
      <c r="BUB230" s="34"/>
      <c r="BUC230" s="34"/>
      <c r="BUD230" s="35"/>
      <c r="BUE230" s="35"/>
      <c r="BUF230" s="32"/>
      <c r="BUG230" s="31"/>
      <c r="BUH230" s="31"/>
      <c r="BUI230" s="31"/>
      <c r="BUJ230" s="32"/>
      <c r="BUK230" s="32"/>
      <c r="BUL230" s="32"/>
      <c r="BUM230" s="32"/>
      <c r="BUN230" s="32"/>
      <c r="BUO230" s="31"/>
      <c r="BUP230" s="31"/>
      <c r="BUQ230" s="33"/>
      <c r="BUR230" s="33"/>
      <c r="BUS230" s="34"/>
      <c r="BUT230" s="34"/>
      <c r="BUU230" s="35"/>
      <c r="BUV230" s="35"/>
      <c r="BUW230" s="32"/>
      <c r="BUX230" s="31"/>
      <c r="BUY230" s="31"/>
      <c r="BUZ230" s="31"/>
      <c r="BVA230" s="32"/>
      <c r="BVB230" s="32"/>
      <c r="BVC230" s="32"/>
      <c r="BVD230" s="32"/>
      <c r="BVE230" s="32"/>
      <c r="BVF230" s="31"/>
      <c r="BVG230" s="31"/>
      <c r="BVH230" s="33"/>
      <c r="BVI230" s="33"/>
      <c r="BVJ230" s="34"/>
      <c r="BVK230" s="34"/>
      <c r="BVL230" s="35"/>
      <c r="BVM230" s="35"/>
      <c r="BVN230" s="32"/>
      <c r="BVO230" s="31"/>
      <c r="BVP230" s="31"/>
      <c r="BVQ230" s="31"/>
      <c r="BVR230" s="32"/>
      <c r="BVS230" s="32"/>
      <c r="BVT230" s="32"/>
      <c r="BVU230" s="32"/>
      <c r="BVV230" s="32"/>
      <c r="BVW230" s="31"/>
      <c r="BVX230" s="31"/>
      <c r="BVY230" s="33"/>
      <c r="BVZ230" s="33"/>
      <c r="BWA230" s="34"/>
      <c r="BWB230" s="34"/>
      <c r="BWC230" s="35"/>
      <c r="BWD230" s="35"/>
      <c r="BWE230" s="32"/>
      <c r="BWF230" s="31"/>
      <c r="BWG230" s="31"/>
      <c r="BWH230" s="31"/>
      <c r="BWI230" s="32"/>
      <c r="BWJ230" s="32"/>
      <c r="BWK230" s="32"/>
      <c r="BWL230" s="32"/>
      <c r="BWM230" s="32"/>
      <c r="BWN230" s="31"/>
      <c r="BWO230" s="31"/>
      <c r="BWP230" s="33"/>
      <c r="BWQ230" s="33"/>
      <c r="BWR230" s="34"/>
      <c r="BWS230" s="34"/>
      <c r="BWT230" s="35"/>
      <c r="BWU230" s="35"/>
      <c r="BWV230" s="32"/>
      <c r="BWW230" s="31"/>
      <c r="BWX230" s="31"/>
      <c r="BWY230" s="31"/>
      <c r="BWZ230" s="32"/>
      <c r="BXA230" s="32"/>
      <c r="BXB230" s="32"/>
      <c r="BXC230" s="32"/>
      <c r="BXD230" s="32"/>
      <c r="BXE230" s="31"/>
      <c r="BXF230" s="31"/>
      <c r="BXG230" s="33"/>
      <c r="BXH230" s="33"/>
      <c r="BXI230" s="34"/>
      <c r="BXJ230" s="34"/>
      <c r="BXK230" s="35"/>
      <c r="BXL230" s="35"/>
      <c r="BXM230" s="32"/>
      <c r="BXN230" s="31"/>
      <c r="BXO230" s="31"/>
      <c r="BXP230" s="31"/>
      <c r="BXQ230" s="32"/>
      <c r="BXR230" s="32"/>
      <c r="BXS230" s="32"/>
      <c r="BXT230" s="32"/>
      <c r="BXU230" s="32"/>
      <c r="BXV230" s="31"/>
      <c r="BXW230" s="31"/>
      <c r="BXX230" s="33"/>
      <c r="BXY230" s="33"/>
      <c r="BXZ230" s="34"/>
      <c r="BYA230" s="34"/>
      <c r="BYB230" s="35"/>
      <c r="BYC230" s="35"/>
      <c r="BYD230" s="32"/>
      <c r="BYE230" s="31"/>
      <c r="BYF230" s="31"/>
      <c r="BYG230" s="31"/>
      <c r="BYH230" s="32"/>
      <c r="BYI230" s="32"/>
      <c r="BYJ230" s="32"/>
      <c r="BYK230" s="32"/>
      <c r="BYL230" s="32"/>
      <c r="BYM230" s="31"/>
      <c r="BYN230" s="31"/>
      <c r="BYO230" s="33"/>
      <c r="BYP230" s="33"/>
      <c r="BYQ230" s="34"/>
      <c r="BYR230" s="34"/>
      <c r="BYS230" s="35"/>
      <c r="BYT230" s="35"/>
      <c r="BYU230" s="32"/>
      <c r="BYV230" s="31"/>
      <c r="BYW230" s="31"/>
      <c r="BYX230" s="31"/>
      <c r="BYY230" s="32"/>
      <c r="BYZ230" s="32"/>
      <c r="BZA230" s="32"/>
      <c r="BZB230" s="32"/>
      <c r="BZC230" s="32"/>
      <c r="BZD230" s="31"/>
      <c r="BZE230" s="31"/>
      <c r="BZF230" s="33"/>
      <c r="BZG230" s="33"/>
      <c r="BZH230" s="34"/>
      <c r="BZI230" s="34"/>
      <c r="BZJ230" s="35"/>
      <c r="BZK230" s="35"/>
      <c r="BZL230" s="32"/>
      <c r="BZM230" s="31"/>
      <c r="BZN230" s="31"/>
      <c r="BZO230" s="31"/>
      <c r="BZP230" s="32"/>
      <c r="BZQ230" s="32"/>
      <c r="BZR230" s="32"/>
      <c r="BZS230" s="32"/>
      <c r="BZT230" s="32"/>
      <c r="BZU230" s="31"/>
      <c r="BZV230" s="31"/>
      <c r="BZW230" s="33"/>
      <c r="BZX230" s="33"/>
      <c r="BZY230" s="34"/>
      <c r="BZZ230" s="34"/>
      <c r="CAA230" s="35"/>
      <c r="CAB230" s="35"/>
      <c r="CAC230" s="32"/>
      <c r="CAD230" s="31"/>
      <c r="CAE230" s="31"/>
      <c r="CAF230" s="31"/>
      <c r="CAG230" s="32"/>
      <c r="CAH230" s="32"/>
      <c r="CAI230" s="32"/>
      <c r="CAJ230" s="32"/>
      <c r="CAK230" s="32"/>
      <c r="CAL230" s="31"/>
      <c r="CAM230" s="31"/>
      <c r="CAN230" s="33"/>
      <c r="CAO230" s="33"/>
      <c r="CAP230" s="34"/>
      <c r="CAQ230" s="34"/>
      <c r="CAR230" s="35"/>
      <c r="CAS230" s="35"/>
      <c r="CAT230" s="32"/>
      <c r="CAU230" s="31"/>
      <c r="CAV230" s="31"/>
      <c r="CAW230" s="31"/>
      <c r="CAX230" s="32"/>
      <c r="CAY230" s="32"/>
      <c r="CAZ230" s="32"/>
      <c r="CBA230" s="32"/>
      <c r="CBB230" s="32"/>
      <c r="CBC230" s="31"/>
      <c r="CBD230" s="31"/>
      <c r="CBE230" s="33"/>
      <c r="CBF230" s="33"/>
      <c r="CBG230" s="34"/>
      <c r="CBH230" s="34"/>
      <c r="CBI230" s="35"/>
      <c r="CBJ230" s="35"/>
      <c r="CBK230" s="32"/>
      <c r="CBL230" s="31"/>
      <c r="CBM230" s="31"/>
      <c r="CBN230" s="31"/>
      <c r="CBO230" s="32"/>
      <c r="CBP230" s="32"/>
      <c r="CBQ230" s="32"/>
      <c r="CBR230" s="32"/>
      <c r="CBS230" s="32"/>
      <c r="CBT230" s="31"/>
      <c r="CBU230" s="31"/>
      <c r="CBV230" s="33"/>
      <c r="CBW230" s="33"/>
      <c r="CBX230" s="34"/>
      <c r="CBY230" s="34"/>
      <c r="CBZ230" s="35"/>
      <c r="CCA230" s="35"/>
      <c r="CCB230" s="32"/>
      <c r="CCC230" s="31"/>
      <c r="CCD230" s="31"/>
      <c r="CCE230" s="31"/>
      <c r="CCF230" s="32"/>
      <c r="CCG230" s="32"/>
      <c r="CCH230" s="32"/>
      <c r="CCI230" s="32"/>
      <c r="CCJ230" s="32"/>
      <c r="CCK230" s="31"/>
      <c r="CCL230" s="31"/>
      <c r="CCM230" s="33"/>
      <c r="CCN230" s="33"/>
      <c r="CCO230" s="34"/>
      <c r="CCP230" s="34"/>
      <c r="CCQ230" s="35"/>
      <c r="CCR230" s="35"/>
      <c r="CCS230" s="32"/>
      <c r="CCT230" s="31"/>
      <c r="CCU230" s="31"/>
      <c r="CCV230" s="31"/>
      <c r="CCW230" s="32"/>
      <c r="CCX230" s="32"/>
      <c r="CCY230" s="32"/>
      <c r="CCZ230" s="32"/>
      <c r="CDA230" s="32"/>
      <c r="CDB230" s="31"/>
      <c r="CDC230" s="31"/>
      <c r="CDD230" s="33"/>
      <c r="CDE230" s="33"/>
      <c r="CDF230" s="34"/>
      <c r="CDG230" s="34"/>
      <c r="CDH230" s="35"/>
      <c r="CDI230" s="35"/>
      <c r="CDJ230" s="32"/>
      <c r="CDK230" s="31"/>
      <c r="CDL230" s="31"/>
      <c r="CDM230" s="31"/>
      <c r="CDN230" s="32"/>
      <c r="CDO230" s="32"/>
      <c r="CDP230" s="32"/>
      <c r="CDQ230" s="32"/>
      <c r="CDR230" s="32"/>
      <c r="CDS230" s="31"/>
      <c r="CDT230" s="31"/>
      <c r="CDU230" s="33"/>
      <c r="CDV230" s="33"/>
      <c r="CDW230" s="34"/>
      <c r="CDX230" s="34"/>
      <c r="CDY230" s="35"/>
      <c r="CDZ230" s="35"/>
      <c r="CEA230" s="32"/>
      <c r="CEB230" s="31"/>
      <c r="CEC230" s="31"/>
      <c r="CED230" s="31"/>
      <c r="CEE230" s="32"/>
      <c r="CEF230" s="32"/>
      <c r="CEG230" s="32"/>
      <c r="CEH230" s="32"/>
      <c r="CEI230" s="32"/>
      <c r="CEJ230" s="31"/>
      <c r="CEK230" s="31"/>
      <c r="CEL230" s="33"/>
      <c r="CEM230" s="33"/>
      <c r="CEN230" s="34"/>
      <c r="CEO230" s="34"/>
      <c r="CEP230" s="35"/>
      <c r="CEQ230" s="35"/>
      <c r="CER230" s="32"/>
      <c r="CES230" s="31"/>
      <c r="CET230" s="31"/>
      <c r="CEU230" s="31"/>
      <c r="CEV230" s="32"/>
      <c r="CEW230" s="32"/>
      <c r="CEX230" s="32"/>
      <c r="CEY230" s="32"/>
      <c r="CEZ230" s="32"/>
      <c r="CFA230" s="31"/>
      <c r="CFB230" s="31"/>
      <c r="CFC230" s="33"/>
      <c r="CFD230" s="33"/>
      <c r="CFE230" s="34"/>
      <c r="CFF230" s="34"/>
      <c r="CFG230" s="35"/>
      <c r="CFH230" s="35"/>
      <c r="CFI230" s="32"/>
      <c r="CFJ230" s="31"/>
      <c r="CFK230" s="31"/>
      <c r="CFL230" s="31"/>
      <c r="CFM230" s="32"/>
      <c r="CFN230" s="32"/>
      <c r="CFO230" s="32"/>
      <c r="CFP230" s="32"/>
      <c r="CFQ230" s="32"/>
      <c r="CFR230" s="31"/>
      <c r="CFS230" s="31"/>
      <c r="CFT230" s="33"/>
      <c r="CFU230" s="33"/>
      <c r="CFV230" s="34"/>
      <c r="CFW230" s="34"/>
      <c r="CFX230" s="35"/>
      <c r="CFY230" s="35"/>
      <c r="CFZ230" s="32"/>
      <c r="CGA230" s="31"/>
      <c r="CGB230" s="31"/>
      <c r="CGC230" s="31"/>
      <c r="CGD230" s="32"/>
      <c r="CGE230" s="32"/>
      <c r="CGF230" s="32"/>
      <c r="CGG230" s="32"/>
      <c r="CGH230" s="32"/>
      <c r="CGI230" s="31"/>
      <c r="CGJ230" s="31"/>
      <c r="CGK230" s="33"/>
      <c r="CGL230" s="33"/>
      <c r="CGM230" s="34"/>
      <c r="CGN230" s="34"/>
      <c r="CGO230" s="35"/>
      <c r="CGP230" s="35"/>
      <c r="CGQ230" s="32"/>
      <c r="CGR230" s="31"/>
      <c r="CGS230" s="31"/>
      <c r="CGT230" s="31"/>
      <c r="CGU230" s="32"/>
      <c r="CGV230" s="32"/>
      <c r="CGW230" s="32"/>
      <c r="CGX230" s="32"/>
      <c r="CGY230" s="32"/>
      <c r="CGZ230" s="31"/>
      <c r="CHA230" s="31"/>
      <c r="CHB230" s="33"/>
      <c r="CHC230" s="33"/>
      <c r="CHD230" s="34"/>
      <c r="CHE230" s="34"/>
      <c r="CHF230" s="35"/>
      <c r="CHG230" s="35"/>
      <c r="CHH230" s="32"/>
      <c r="CHI230" s="31"/>
      <c r="CHJ230" s="31"/>
      <c r="CHK230" s="31"/>
      <c r="CHL230" s="32"/>
      <c r="CHM230" s="32"/>
      <c r="CHN230" s="32"/>
      <c r="CHO230" s="32"/>
      <c r="CHP230" s="32"/>
      <c r="CHQ230" s="31"/>
      <c r="CHR230" s="31"/>
      <c r="CHS230" s="33"/>
      <c r="CHT230" s="33"/>
      <c r="CHU230" s="34"/>
      <c r="CHV230" s="34"/>
      <c r="CHW230" s="35"/>
      <c r="CHX230" s="35"/>
      <c r="CHY230" s="32"/>
      <c r="CHZ230" s="31"/>
      <c r="CIA230" s="31"/>
      <c r="CIB230" s="31"/>
      <c r="CIC230" s="32"/>
      <c r="CID230" s="32"/>
      <c r="CIE230" s="32"/>
      <c r="CIF230" s="32"/>
      <c r="CIG230" s="32"/>
      <c r="CIH230" s="31"/>
      <c r="CII230" s="31"/>
      <c r="CIJ230" s="33"/>
      <c r="CIK230" s="33"/>
      <c r="CIL230" s="34"/>
      <c r="CIM230" s="34"/>
      <c r="CIN230" s="35"/>
      <c r="CIO230" s="35"/>
      <c r="CIP230" s="32"/>
      <c r="CIQ230" s="31"/>
      <c r="CIR230" s="31"/>
      <c r="CIS230" s="31"/>
      <c r="CIT230" s="32"/>
      <c r="CIU230" s="32"/>
      <c r="CIV230" s="32"/>
      <c r="CIW230" s="32"/>
      <c r="CIX230" s="32"/>
      <c r="CIY230" s="31"/>
      <c r="CIZ230" s="31"/>
      <c r="CJA230" s="33"/>
      <c r="CJB230" s="33"/>
      <c r="CJC230" s="34"/>
      <c r="CJD230" s="34"/>
      <c r="CJE230" s="35"/>
      <c r="CJF230" s="35"/>
      <c r="CJG230" s="32"/>
      <c r="CJH230" s="31"/>
      <c r="CJI230" s="31"/>
      <c r="CJJ230" s="31"/>
      <c r="CJK230" s="32"/>
      <c r="CJL230" s="32"/>
      <c r="CJM230" s="32"/>
      <c r="CJN230" s="32"/>
      <c r="CJO230" s="32"/>
      <c r="CJP230" s="31"/>
      <c r="CJQ230" s="31"/>
      <c r="CJR230" s="33"/>
      <c r="CJS230" s="33"/>
      <c r="CJT230" s="34"/>
      <c r="CJU230" s="34"/>
      <c r="CJV230" s="35"/>
      <c r="CJW230" s="35"/>
      <c r="CJX230" s="32"/>
      <c r="CJY230" s="31"/>
      <c r="CJZ230" s="31"/>
      <c r="CKA230" s="31"/>
      <c r="CKB230" s="32"/>
      <c r="CKC230" s="32"/>
      <c r="CKD230" s="32"/>
      <c r="CKE230" s="32"/>
      <c r="CKF230" s="32"/>
      <c r="CKG230" s="31"/>
      <c r="CKH230" s="31"/>
      <c r="CKI230" s="33"/>
      <c r="CKJ230" s="33"/>
      <c r="CKK230" s="34"/>
      <c r="CKL230" s="34"/>
      <c r="CKM230" s="35"/>
      <c r="CKN230" s="35"/>
      <c r="CKO230" s="32"/>
      <c r="CKP230" s="31"/>
      <c r="CKQ230" s="31"/>
      <c r="CKR230" s="31"/>
      <c r="CKS230" s="32"/>
      <c r="CKT230" s="32"/>
      <c r="CKU230" s="32"/>
      <c r="CKV230" s="32"/>
      <c r="CKW230" s="32"/>
      <c r="CKX230" s="31"/>
      <c r="CKY230" s="31"/>
      <c r="CKZ230" s="33"/>
      <c r="CLA230" s="33"/>
      <c r="CLB230" s="34"/>
      <c r="CLC230" s="34"/>
      <c r="CLD230" s="35"/>
      <c r="CLE230" s="35"/>
      <c r="CLF230" s="32"/>
      <c r="CLG230" s="31"/>
      <c r="CLH230" s="31"/>
      <c r="CLI230" s="31"/>
      <c r="CLJ230" s="32"/>
      <c r="CLK230" s="32"/>
      <c r="CLL230" s="32"/>
      <c r="CLM230" s="32"/>
      <c r="CLN230" s="32"/>
      <c r="CLO230" s="31"/>
      <c r="CLP230" s="31"/>
      <c r="CLQ230" s="33"/>
      <c r="CLR230" s="33"/>
      <c r="CLS230" s="34"/>
      <c r="CLT230" s="34"/>
      <c r="CLU230" s="35"/>
      <c r="CLV230" s="35"/>
      <c r="CLW230" s="32"/>
      <c r="CLX230" s="31"/>
      <c r="CLY230" s="31"/>
      <c r="CLZ230" s="31"/>
      <c r="CMA230" s="32"/>
      <c r="CMB230" s="32"/>
      <c r="CMC230" s="32"/>
      <c r="CMD230" s="32"/>
      <c r="CME230" s="32"/>
      <c r="CMF230" s="31"/>
      <c r="CMG230" s="31"/>
      <c r="CMH230" s="33"/>
      <c r="CMI230" s="33"/>
      <c r="CMJ230" s="34"/>
      <c r="CMK230" s="34"/>
      <c r="CML230" s="35"/>
      <c r="CMM230" s="35"/>
      <c r="CMN230" s="32"/>
      <c r="CMO230" s="31"/>
      <c r="CMP230" s="31"/>
      <c r="CMQ230" s="31"/>
      <c r="CMR230" s="32"/>
      <c r="CMS230" s="32"/>
      <c r="CMT230" s="32"/>
      <c r="CMU230" s="32"/>
      <c r="CMV230" s="32"/>
      <c r="CMW230" s="31"/>
      <c r="CMX230" s="31"/>
      <c r="CMY230" s="33"/>
      <c r="CMZ230" s="33"/>
      <c r="CNA230" s="34"/>
      <c r="CNB230" s="34"/>
      <c r="CNC230" s="35"/>
      <c r="CND230" s="35"/>
      <c r="CNE230" s="32"/>
      <c r="CNF230" s="31"/>
      <c r="CNG230" s="31"/>
      <c r="CNH230" s="31"/>
      <c r="CNI230" s="32"/>
      <c r="CNJ230" s="32"/>
      <c r="CNK230" s="32"/>
      <c r="CNL230" s="32"/>
      <c r="CNM230" s="32"/>
      <c r="CNN230" s="31"/>
      <c r="CNO230" s="31"/>
      <c r="CNP230" s="33"/>
      <c r="CNQ230" s="33"/>
      <c r="CNR230" s="34"/>
      <c r="CNS230" s="34"/>
      <c r="CNT230" s="35"/>
      <c r="CNU230" s="35"/>
      <c r="CNV230" s="32"/>
      <c r="CNW230" s="31"/>
      <c r="CNX230" s="31"/>
      <c r="CNY230" s="31"/>
      <c r="CNZ230" s="32"/>
      <c r="COA230" s="32"/>
      <c r="COB230" s="32"/>
      <c r="COC230" s="32"/>
      <c r="COD230" s="32"/>
      <c r="COE230" s="31"/>
      <c r="COF230" s="31"/>
      <c r="COG230" s="33"/>
      <c r="COH230" s="33"/>
      <c r="COI230" s="34"/>
      <c r="COJ230" s="34"/>
      <c r="COK230" s="35"/>
      <c r="COL230" s="35"/>
      <c r="COM230" s="32"/>
      <c r="CON230" s="31"/>
      <c r="COO230" s="31"/>
      <c r="COP230" s="31"/>
      <c r="COQ230" s="32"/>
      <c r="COR230" s="32"/>
      <c r="COS230" s="32"/>
      <c r="COT230" s="32"/>
      <c r="COU230" s="32"/>
      <c r="COV230" s="31"/>
      <c r="COW230" s="31"/>
      <c r="COX230" s="33"/>
      <c r="COY230" s="33"/>
      <c r="COZ230" s="34"/>
      <c r="CPA230" s="34"/>
      <c r="CPB230" s="35"/>
      <c r="CPC230" s="35"/>
      <c r="CPD230" s="32"/>
      <c r="CPE230" s="31"/>
      <c r="CPF230" s="31"/>
      <c r="CPG230" s="31"/>
      <c r="CPH230" s="32"/>
      <c r="CPI230" s="32"/>
      <c r="CPJ230" s="32"/>
      <c r="CPK230" s="32"/>
      <c r="CPL230" s="32"/>
      <c r="CPM230" s="31"/>
      <c r="CPN230" s="31"/>
      <c r="CPO230" s="33"/>
      <c r="CPP230" s="33"/>
      <c r="CPQ230" s="34"/>
      <c r="CPR230" s="34"/>
      <c r="CPS230" s="35"/>
      <c r="CPT230" s="35"/>
      <c r="CPU230" s="32"/>
      <c r="CPV230" s="31"/>
      <c r="CPW230" s="31"/>
      <c r="CPX230" s="31"/>
      <c r="CPY230" s="32"/>
      <c r="CPZ230" s="32"/>
      <c r="CQA230" s="32"/>
      <c r="CQB230" s="32"/>
      <c r="CQC230" s="32"/>
      <c r="CQD230" s="31"/>
      <c r="CQE230" s="31"/>
      <c r="CQF230" s="33"/>
      <c r="CQG230" s="33"/>
      <c r="CQH230" s="34"/>
      <c r="CQI230" s="34"/>
      <c r="CQJ230" s="35"/>
      <c r="CQK230" s="35"/>
      <c r="CQL230" s="32"/>
      <c r="CQM230" s="31"/>
      <c r="CQN230" s="31"/>
      <c r="CQO230" s="31"/>
      <c r="CQP230" s="32"/>
      <c r="CQQ230" s="32"/>
      <c r="CQR230" s="32"/>
      <c r="CQS230" s="32"/>
      <c r="CQT230" s="32"/>
      <c r="CQU230" s="31"/>
      <c r="CQV230" s="31"/>
      <c r="CQW230" s="33"/>
      <c r="CQX230" s="33"/>
      <c r="CQY230" s="34"/>
      <c r="CQZ230" s="34"/>
      <c r="CRA230" s="35"/>
      <c r="CRB230" s="35"/>
      <c r="CRC230" s="32"/>
      <c r="CRD230" s="31"/>
      <c r="CRE230" s="31"/>
      <c r="CRF230" s="31"/>
      <c r="CRG230" s="32"/>
      <c r="CRH230" s="32"/>
      <c r="CRI230" s="32"/>
      <c r="CRJ230" s="32"/>
      <c r="CRK230" s="32"/>
      <c r="CRL230" s="31"/>
      <c r="CRM230" s="31"/>
      <c r="CRN230" s="33"/>
      <c r="CRO230" s="33"/>
      <c r="CRP230" s="34"/>
      <c r="CRQ230" s="34"/>
      <c r="CRR230" s="35"/>
      <c r="CRS230" s="35"/>
      <c r="CRT230" s="32"/>
      <c r="CRU230" s="31"/>
      <c r="CRV230" s="31"/>
      <c r="CRW230" s="31"/>
      <c r="CRX230" s="32"/>
      <c r="CRY230" s="32"/>
      <c r="CRZ230" s="32"/>
      <c r="CSA230" s="32"/>
      <c r="CSB230" s="32"/>
      <c r="CSC230" s="31"/>
      <c r="CSD230" s="31"/>
      <c r="CSE230" s="33"/>
      <c r="CSF230" s="33"/>
      <c r="CSG230" s="34"/>
      <c r="CSH230" s="34"/>
      <c r="CSI230" s="35"/>
      <c r="CSJ230" s="35"/>
      <c r="CSK230" s="32"/>
      <c r="CSL230" s="31"/>
      <c r="CSM230" s="31"/>
      <c r="CSN230" s="31"/>
      <c r="CSO230" s="32"/>
      <c r="CSP230" s="32"/>
      <c r="CSQ230" s="32"/>
      <c r="CSR230" s="32"/>
      <c r="CSS230" s="32"/>
      <c r="CST230" s="31"/>
      <c r="CSU230" s="31"/>
      <c r="CSV230" s="33"/>
      <c r="CSW230" s="33"/>
      <c r="CSX230" s="34"/>
      <c r="CSY230" s="34"/>
      <c r="CSZ230" s="35"/>
      <c r="CTA230" s="35"/>
      <c r="CTB230" s="32"/>
      <c r="CTC230" s="31"/>
      <c r="CTD230" s="31"/>
      <c r="CTE230" s="31"/>
      <c r="CTF230" s="32"/>
      <c r="CTG230" s="32"/>
      <c r="CTH230" s="32"/>
      <c r="CTI230" s="32"/>
      <c r="CTJ230" s="32"/>
      <c r="CTK230" s="31"/>
      <c r="CTL230" s="31"/>
      <c r="CTM230" s="33"/>
      <c r="CTN230" s="33"/>
      <c r="CTO230" s="34"/>
      <c r="CTP230" s="34"/>
      <c r="CTQ230" s="35"/>
      <c r="CTR230" s="35"/>
      <c r="CTS230" s="32"/>
      <c r="CTT230" s="31"/>
      <c r="CTU230" s="31"/>
      <c r="CTV230" s="31"/>
      <c r="CTW230" s="32"/>
      <c r="CTX230" s="32"/>
      <c r="CTY230" s="32"/>
      <c r="CTZ230" s="32"/>
      <c r="CUA230" s="32"/>
      <c r="CUB230" s="31"/>
      <c r="CUC230" s="31"/>
      <c r="CUD230" s="33"/>
      <c r="CUE230" s="33"/>
      <c r="CUF230" s="34"/>
      <c r="CUG230" s="34"/>
      <c r="CUH230" s="35"/>
      <c r="CUI230" s="35"/>
      <c r="CUJ230" s="32"/>
      <c r="CUK230" s="31"/>
      <c r="CUL230" s="31"/>
      <c r="CUM230" s="31"/>
      <c r="CUN230" s="32"/>
      <c r="CUO230" s="32"/>
      <c r="CUP230" s="32"/>
      <c r="CUQ230" s="32"/>
      <c r="CUR230" s="32"/>
      <c r="CUS230" s="31"/>
      <c r="CUT230" s="31"/>
      <c r="CUU230" s="33"/>
      <c r="CUV230" s="33"/>
      <c r="CUW230" s="34"/>
      <c r="CUX230" s="34"/>
      <c r="CUY230" s="35"/>
      <c r="CUZ230" s="35"/>
      <c r="CVA230" s="32"/>
      <c r="CVB230" s="31"/>
      <c r="CVC230" s="31"/>
      <c r="CVD230" s="31"/>
      <c r="CVE230" s="32"/>
      <c r="CVF230" s="32"/>
      <c r="CVG230" s="32"/>
      <c r="CVH230" s="32"/>
      <c r="CVI230" s="32"/>
      <c r="CVJ230" s="31"/>
      <c r="CVK230" s="31"/>
      <c r="CVL230" s="33"/>
      <c r="CVM230" s="33"/>
      <c r="CVN230" s="34"/>
      <c r="CVO230" s="34"/>
      <c r="CVP230" s="35"/>
      <c r="CVQ230" s="35"/>
      <c r="CVR230" s="32"/>
      <c r="CVS230" s="31"/>
      <c r="CVT230" s="31"/>
      <c r="CVU230" s="31"/>
      <c r="CVV230" s="32"/>
      <c r="CVW230" s="32"/>
      <c r="CVX230" s="32"/>
      <c r="CVY230" s="32"/>
      <c r="CVZ230" s="32"/>
      <c r="CWA230" s="31"/>
      <c r="CWB230" s="31"/>
      <c r="CWC230" s="33"/>
      <c r="CWD230" s="33"/>
      <c r="CWE230" s="34"/>
      <c r="CWF230" s="34"/>
      <c r="CWG230" s="35"/>
      <c r="CWH230" s="35"/>
      <c r="CWI230" s="32"/>
      <c r="CWJ230" s="31"/>
      <c r="CWK230" s="31"/>
      <c r="CWL230" s="31"/>
      <c r="CWM230" s="32"/>
      <c r="CWN230" s="32"/>
      <c r="CWO230" s="32"/>
      <c r="CWP230" s="32"/>
      <c r="CWQ230" s="32"/>
      <c r="CWR230" s="31"/>
      <c r="CWS230" s="31"/>
      <c r="CWT230" s="33"/>
      <c r="CWU230" s="33"/>
      <c r="CWV230" s="34"/>
      <c r="CWW230" s="34"/>
      <c r="CWX230" s="35"/>
      <c r="CWY230" s="35"/>
      <c r="CWZ230" s="32"/>
      <c r="CXA230" s="31"/>
      <c r="CXB230" s="31"/>
      <c r="CXC230" s="31"/>
      <c r="CXD230" s="32"/>
      <c r="CXE230" s="32"/>
      <c r="CXF230" s="32"/>
      <c r="CXG230" s="32"/>
      <c r="CXH230" s="32"/>
      <c r="CXI230" s="31"/>
      <c r="CXJ230" s="31"/>
      <c r="CXK230" s="33"/>
      <c r="CXL230" s="33"/>
      <c r="CXM230" s="34"/>
      <c r="CXN230" s="34"/>
      <c r="CXO230" s="35"/>
      <c r="CXP230" s="35"/>
      <c r="CXQ230" s="32"/>
      <c r="CXR230" s="31"/>
      <c r="CXS230" s="31"/>
      <c r="CXT230" s="31"/>
      <c r="CXU230" s="32"/>
      <c r="CXV230" s="32"/>
      <c r="CXW230" s="32"/>
      <c r="CXX230" s="32"/>
      <c r="CXY230" s="32"/>
      <c r="CXZ230" s="31"/>
      <c r="CYA230" s="31"/>
      <c r="CYB230" s="33"/>
      <c r="CYC230" s="33"/>
      <c r="CYD230" s="34"/>
      <c r="CYE230" s="34"/>
      <c r="CYF230" s="35"/>
      <c r="CYG230" s="35"/>
      <c r="CYH230" s="32"/>
      <c r="CYI230" s="31"/>
      <c r="CYJ230" s="31"/>
      <c r="CYK230" s="31"/>
      <c r="CYL230" s="32"/>
      <c r="CYM230" s="32"/>
      <c r="CYN230" s="32"/>
      <c r="CYO230" s="32"/>
      <c r="CYP230" s="32"/>
      <c r="CYQ230" s="31"/>
      <c r="CYR230" s="31"/>
      <c r="CYS230" s="33"/>
      <c r="CYT230" s="33"/>
      <c r="CYU230" s="34"/>
      <c r="CYV230" s="34"/>
      <c r="CYW230" s="35"/>
      <c r="CYX230" s="35"/>
      <c r="CYY230" s="32"/>
      <c r="CYZ230" s="31"/>
      <c r="CZA230" s="31"/>
      <c r="CZB230" s="31"/>
      <c r="CZC230" s="32"/>
      <c r="CZD230" s="32"/>
      <c r="CZE230" s="32"/>
      <c r="CZF230" s="32"/>
      <c r="CZG230" s="32"/>
      <c r="CZH230" s="31"/>
      <c r="CZI230" s="31"/>
      <c r="CZJ230" s="33"/>
      <c r="CZK230" s="33"/>
      <c r="CZL230" s="34"/>
      <c r="CZM230" s="34"/>
      <c r="CZN230" s="35"/>
      <c r="CZO230" s="35"/>
      <c r="CZP230" s="32"/>
      <c r="CZQ230" s="31"/>
      <c r="CZR230" s="31"/>
      <c r="CZS230" s="31"/>
      <c r="CZT230" s="32"/>
      <c r="CZU230" s="32"/>
      <c r="CZV230" s="32"/>
      <c r="CZW230" s="32"/>
      <c r="CZX230" s="32"/>
      <c r="CZY230" s="31"/>
      <c r="CZZ230" s="31"/>
      <c r="DAA230" s="33"/>
      <c r="DAB230" s="33"/>
      <c r="DAC230" s="34"/>
      <c r="DAD230" s="34"/>
      <c r="DAE230" s="35"/>
      <c r="DAF230" s="35"/>
      <c r="DAG230" s="32"/>
      <c r="DAH230" s="31"/>
      <c r="DAI230" s="31"/>
      <c r="DAJ230" s="31"/>
      <c r="DAK230" s="32"/>
      <c r="DAL230" s="32"/>
      <c r="DAM230" s="32"/>
      <c r="DAN230" s="32"/>
      <c r="DAO230" s="32"/>
      <c r="DAP230" s="31"/>
      <c r="DAQ230" s="31"/>
      <c r="DAR230" s="33"/>
      <c r="DAS230" s="33"/>
      <c r="DAT230" s="34"/>
      <c r="DAU230" s="34"/>
      <c r="DAV230" s="35"/>
      <c r="DAW230" s="35"/>
      <c r="DAX230" s="32"/>
      <c r="DAY230" s="31"/>
      <c r="DAZ230" s="31"/>
      <c r="DBA230" s="31"/>
      <c r="DBB230" s="32"/>
      <c r="DBC230" s="32"/>
      <c r="DBD230" s="32"/>
      <c r="DBE230" s="32"/>
      <c r="DBF230" s="32"/>
      <c r="DBG230" s="31"/>
      <c r="DBH230" s="31"/>
      <c r="DBI230" s="33"/>
      <c r="DBJ230" s="33"/>
      <c r="DBK230" s="34"/>
      <c r="DBL230" s="34"/>
      <c r="DBM230" s="35"/>
      <c r="DBN230" s="35"/>
      <c r="DBO230" s="32"/>
      <c r="DBP230" s="31"/>
      <c r="DBQ230" s="31"/>
      <c r="DBR230" s="31"/>
      <c r="DBS230" s="32"/>
      <c r="DBT230" s="32"/>
      <c r="DBU230" s="32"/>
      <c r="DBV230" s="32"/>
      <c r="DBW230" s="32"/>
      <c r="DBX230" s="31"/>
      <c r="DBY230" s="31"/>
      <c r="DBZ230" s="33"/>
      <c r="DCA230" s="33"/>
      <c r="DCB230" s="34"/>
      <c r="DCC230" s="34"/>
      <c r="DCD230" s="35"/>
      <c r="DCE230" s="35"/>
      <c r="DCF230" s="32"/>
      <c r="DCG230" s="31"/>
      <c r="DCH230" s="31"/>
      <c r="DCI230" s="31"/>
      <c r="DCJ230" s="32"/>
      <c r="DCK230" s="32"/>
      <c r="DCL230" s="32"/>
      <c r="DCM230" s="32"/>
      <c r="DCN230" s="32"/>
      <c r="DCO230" s="31"/>
      <c r="DCP230" s="31"/>
      <c r="DCQ230" s="33"/>
      <c r="DCR230" s="33"/>
      <c r="DCS230" s="34"/>
      <c r="DCT230" s="34"/>
      <c r="DCU230" s="35"/>
      <c r="DCV230" s="35"/>
      <c r="DCW230" s="32"/>
      <c r="DCX230" s="31"/>
      <c r="DCY230" s="31"/>
      <c r="DCZ230" s="31"/>
      <c r="DDA230" s="32"/>
      <c r="DDB230" s="32"/>
      <c r="DDC230" s="32"/>
      <c r="DDD230" s="32"/>
      <c r="DDE230" s="32"/>
      <c r="DDF230" s="31"/>
      <c r="DDG230" s="31"/>
      <c r="DDH230" s="33"/>
      <c r="DDI230" s="33"/>
      <c r="DDJ230" s="34"/>
      <c r="DDK230" s="34"/>
      <c r="DDL230" s="35"/>
      <c r="DDM230" s="35"/>
      <c r="DDN230" s="32"/>
      <c r="DDO230" s="31"/>
      <c r="DDP230" s="31"/>
      <c r="DDQ230" s="31"/>
      <c r="DDR230" s="32"/>
      <c r="DDS230" s="32"/>
      <c r="DDT230" s="32"/>
      <c r="DDU230" s="32"/>
      <c r="DDV230" s="32"/>
      <c r="DDW230" s="31"/>
      <c r="DDX230" s="31"/>
      <c r="DDY230" s="33"/>
      <c r="DDZ230" s="33"/>
      <c r="DEA230" s="34"/>
      <c r="DEB230" s="34"/>
      <c r="DEC230" s="35"/>
      <c r="DED230" s="35"/>
      <c r="DEE230" s="32"/>
      <c r="DEF230" s="31"/>
      <c r="DEG230" s="31"/>
      <c r="DEH230" s="31"/>
      <c r="DEI230" s="32"/>
      <c r="DEJ230" s="32"/>
      <c r="DEK230" s="32"/>
      <c r="DEL230" s="32"/>
      <c r="DEM230" s="32"/>
      <c r="DEN230" s="31"/>
      <c r="DEO230" s="31"/>
      <c r="DEP230" s="33"/>
      <c r="DEQ230" s="33"/>
      <c r="DER230" s="34"/>
      <c r="DES230" s="34"/>
      <c r="DET230" s="35"/>
      <c r="DEU230" s="35"/>
      <c r="DEV230" s="32"/>
      <c r="DEW230" s="31"/>
      <c r="DEX230" s="31"/>
      <c r="DEY230" s="31"/>
      <c r="DEZ230" s="32"/>
      <c r="DFA230" s="32"/>
      <c r="DFB230" s="32"/>
      <c r="DFC230" s="32"/>
      <c r="DFD230" s="32"/>
      <c r="DFE230" s="31"/>
      <c r="DFF230" s="31"/>
      <c r="DFG230" s="33"/>
      <c r="DFH230" s="33"/>
      <c r="DFI230" s="34"/>
      <c r="DFJ230" s="34"/>
      <c r="DFK230" s="35"/>
      <c r="DFL230" s="35"/>
      <c r="DFM230" s="32"/>
      <c r="DFN230" s="31"/>
      <c r="DFO230" s="31"/>
      <c r="DFP230" s="31"/>
      <c r="DFQ230" s="32"/>
      <c r="DFR230" s="32"/>
      <c r="DFS230" s="32"/>
      <c r="DFT230" s="32"/>
      <c r="DFU230" s="32"/>
      <c r="DFV230" s="31"/>
      <c r="DFW230" s="31"/>
      <c r="DFX230" s="33"/>
      <c r="DFY230" s="33"/>
      <c r="DFZ230" s="34"/>
      <c r="DGA230" s="34"/>
      <c r="DGB230" s="35"/>
      <c r="DGC230" s="35"/>
      <c r="DGD230" s="32"/>
      <c r="DGE230" s="31"/>
      <c r="DGF230" s="31"/>
      <c r="DGG230" s="31"/>
      <c r="DGH230" s="32"/>
      <c r="DGI230" s="32"/>
      <c r="DGJ230" s="32"/>
      <c r="DGK230" s="32"/>
      <c r="DGL230" s="32"/>
      <c r="DGM230" s="31"/>
      <c r="DGN230" s="31"/>
      <c r="DGO230" s="33"/>
      <c r="DGP230" s="33"/>
      <c r="DGQ230" s="34"/>
      <c r="DGR230" s="34"/>
      <c r="DGS230" s="35"/>
      <c r="DGT230" s="35"/>
      <c r="DGU230" s="32"/>
      <c r="DGV230" s="31"/>
      <c r="DGW230" s="31"/>
      <c r="DGX230" s="31"/>
      <c r="DGY230" s="32"/>
      <c r="DGZ230" s="32"/>
      <c r="DHA230" s="32"/>
      <c r="DHB230" s="32"/>
      <c r="DHC230" s="32"/>
      <c r="DHD230" s="31"/>
      <c r="DHE230" s="31"/>
      <c r="DHF230" s="33"/>
      <c r="DHG230" s="33"/>
      <c r="DHH230" s="34"/>
      <c r="DHI230" s="34"/>
      <c r="DHJ230" s="35"/>
      <c r="DHK230" s="35"/>
      <c r="DHL230" s="32"/>
      <c r="DHM230" s="31"/>
      <c r="DHN230" s="31"/>
      <c r="DHO230" s="31"/>
      <c r="DHP230" s="32"/>
      <c r="DHQ230" s="32"/>
      <c r="DHR230" s="32"/>
      <c r="DHS230" s="32"/>
      <c r="DHT230" s="32"/>
      <c r="DHU230" s="31"/>
      <c r="DHV230" s="31"/>
      <c r="DHW230" s="33"/>
      <c r="DHX230" s="33"/>
      <c r="DHY230" s="34"/>
      <c r="DHZ230" s="34"/>
      <c r="DIA230" s="35"/>
      <c r="DIB230" s="35"/>
      <c r="DIC230" s="32"/>
      <c r="DID230" s="31"/>
      <c r="DIE230" s="31"/>
      <c r="DIF230" s="31"/>
      <c r="DIG230" s="32"/>
      <c r="DIH230" s="32"/>
      <c r="DII230" s="32"/>
      <c r="DIJ230" s="32"/>
      <c r="DIK230" s="32"/>
      <c r="DIL230" s="31"/>
      <c r="DIM230" s="31"/>
      <c r="DIN230" s="33"/>
      <c r="DIO230" s="33"/>
      <c r="DIP230" s="34"/>
      <c r="DIQ230" s="34"/>
      <c r="DIR230" s="35"/>
      <c r="DIS230" s="35"/>
      <c r="DIT230" s="32"/>
      <c r="DIU230" s="31"/>
      <c r="DIV230" s="31"/>
      <c r="DIW230" s="31"/>
      <c r="DIX230" s="32"/>
      <c r="DIY230" s="32"/>
      <c r="DIZ230" s="32"/>
      <c r="DJA230" s="32"/>
      <c r="DJB230" s="32"/>
      <c r="DJC230" s="31"/>
      <c r="DJD230" s="31"/>
      <c r="DJE230" s="33"/>
      <c r="DJF230" s="33"/>
      <c r="DJG230" s="34"/>
      <c r="DJH230" s="34"/>
      <c r="DJI230" s="35"/>
      <c r="DJJ230" s="35"/>
      <c r="DJK230" s="32"/>
      <c r="DJL230" s="31"/>
      <c r="DJM230" s="31"/>
      <c r="DJN230" s="31"/>
      <c r="DJO230" s="32"/>
      <c r="DJP230" s="32"/>
      <c r="DJQ230" s="32"/>
      <c r="DJR230" s="32"/>
      <c r="DJS230" s="32"/>
      <c r="DJT230" s="31"/>
      <c r="DJU230" s="31"/>
      <c r="DJV230" s="33"/>
      <c r="DJW230" s="33"/>
      <c r="DJX230" s="34"/>
      <c r="DJY230" s="34"/>
      <c r="DJZ230" s="35"/>
      <c r="DKA230" s="35"/>
      <c r="DKB230" s="32"/>
      <c r="DKC230" s="31"/>
      <c r="DKD230" s="31"/>
      <c r="DKE230" s="31"/>
      <c r="DKF230" s="32"/>
      <c r="DKG230" s="32"/>
      <c r="DKH230" s="32"/>
      <c r="DKI230" s="32"/>
      <c r="DKJ230" s="32"/>
      <c r="DKK230" s="31"/>
      <c r="DKL230" s="31"/>
      <c r="DKM230" s="33"/>
      <c r="DKN230" s="33"/>
      <c r="DKO230" s="34"/>
      <c r="DKP230" s="34"/>
      <c r="DKQ230" s="35"/>
      <c r="DKR230" s="35"/>
      <c r="DKS230" s="32"/>
      <c r="DKT230" s="31"/>
      <c r="DKU230" s="31"/>
      <c r="DKV230" s="31"/>
      <c r="DKW230" s="32"/>
      <c r="DKX230" s="32"/>
      <c r="DKY230" s="32"/>
      <c r="DKZ230" s="32"/>
      <c r="DLA230" s="32"/>
      <c r="DLB230" s="31"/>
      <c r="DLC230" s="31"/>
      <c r="DLD230" s="33"/>
      <c r="DLE230" s="33"/>
      <c r="DLF230" s="34"/>
      <c r="DLG230" s="34"/>
      <c r="DLH230" s="35"/>
      <c r="DLI230" s="35"/>
      <c r="DLJ230" s="32"/>
      <c r="DLK230" s="31"/>
      <c r="DLL230" s="31"/>
      <c r="DLM230" s="31"/>
      <c r="DLN230" s="32"/>
      <c r="DLO230" s="32"/>
      <c r="DLP230" s="32"/>
      <c r="DLQ230" s="32"/>
      <c r="DLR230" s="32"/>
      <c r="DLS230" s="31"/>
      <c r="DLT230" s="31"/>
      <c r="DLU230" s="33"/>
      <c r="DLV230" s="33"/>
      <c r="DLW230" s="34"/>
      <c r="DLX230" s="34"/>
      <c r="DLY230" s="35"/>
      <c r="DLZ230" s="35"/>
      <c r="DMA230" s="32"/>
      <c r="DMB230" s="31"/>
      <c r="DMC230" s="31"/>
      <c r="DMD230" s="31"/>
      <c r="DME230" s="32"/>
      <c r="DMF230" s="32"/>
      <c r="DMG230" s="32"/>
      <c r="DMH230" s="32"/>
      <c r="DMI230" s="32"/>
      <c r="DMJ230" s="31"/>
      <c r="DMK230" s="31"/>
      <c r="DML230" s="33"/>
      <c r="DMM230" s="33"/>
      <c r="DMN230" s="34"/>
      <c r="DMO230" s="34"/>
      <c r="DMP230" s="35"/>
      <c r="DMQ230" s="35"/>
      <c r="DMR230" s="32"/>
      <c r="DMS230" s="31"/>
      <c r="DMT230" s="31"/>
      <c r="DMU230" s="31"/>
      <c r="DMV230" s="32"/>
      <c r="DMW230" s="32"/>
      <c r="DMX230" s="32"/>
      <c r="DMY230" s="32"/>
      <c r="DMZ230" s="32"/>
      <c r="DNA230" s="31"/>
      <c r="DNB230" s="31"/>
      <c r="DNC230" s="33"/>
      <c r="DND230" s="33"/>
      <c r="DNE230" s="34"/>
      <c r="DNF230" s="34"/>
      <c r="DNG230" s="35"/>
      <c r="DNH230" s="35"/>
      <c r="DNI230" s="32"/>
      <c r="DNJ230" s="31"/>
      <c r="DNK230" s="31"/>
      <c r="DNL230" s="31"/>
      <c r="DNM230" s="32"/>
      <c r="DNN230" s="32"/>
      <c r="DNO230" s="32"/>
      <c r="DNP230" s="32"/>
      <c r="DNQ230" s="32"/>
      <c r="DNR230" s="31"/>
      <c r="DNS230" s="31"/>
      <c r="DNT230" s="33"/>
      <c r="DNU230" s="33"/>
      <c r="DNV230" s="34"/>
      <c r="DNW230" s="34"/>
      <c r="DNX230" s="35"/>
      <c r="DNY230" s="35"/>
      <c r="DNZ230" s="32"/>
      <c r="DOA230" s="31"/>
      <c r="DOB230" s="31"/>
      <c r="DOC230" s="31"/>
      <c r="DOD230" s="32"/>
      <c r="DOE230" s="32"/>
      <c r="DOF230" s="32"/>
      <c r="DOG230" s="32"/>
      <c r="DOH230" s="32"/>
      <c r="DOI230" s="31"/>
      <c r="DOJ230" s="31"/>
      <c r="DOK230" s="33"/>
      <c r="DOL230" s="33"/>
      <c r="DOM230" s="34"/>
      <c r="DON230" s="34"/>
      <c r="DOO230" s="35"/>
      <c r="DOP230" s="35"/>
      <c r="DOQ230" s="32"/>
      <c r="DOR230" s="31"/>
      <c r="DOS230" s="31"/>
      <c r="DOT230" s="31"/>
      <c r="DOU230" s="32"/>
      <c r="DOV230" s="32"/>
      <c r="DOW230" s="32"/>
      <c r="DOX230" s="32"/>
      <c r="DOY230" s="32"/>
      <c r="DOZ230" s="31"/>
      <c r="DPA230" s="31"/>
      <c r="DPB230" s="33"/>
      <c r="DPC230" s="33"/>
      <c r="DPD230" s="34"/>
      <c r="DPE230" s="34"/>
      <c r="DPF230" s="35"/>
      <c r="DPG230" s="35"/>
      <c r="DPH230" s="32"/>
      <c r="DPI230" s="31"/>
      <c r="DPJ230" s="31"/>
      <c r="DPK230" s="31"/>
      <c r="DPL230" s="32"/>
      <c r="DPM230" s="32"/>
      <c r="DPN230" s="32"/>
      <c r="DPO230" s="32"/>
      <c r="DPP230" s="32"/>
      <c r="DPQ230" s="31"/>
      <c r="DPR230" s="31"/>
      <c r="DPS230" s="33"/>
      <c r="DPT230" s="33"/>
      <c r="DPU230" s="34"/>
      <c r="DPV230" s="34"/>
      <c r="DPW230" s="35"/>
      <c r="DPX230" s="35"/>
      <c r="DPY230" s="32"/>
      <c r="DPZ230" s="31"/>
      <c r="DQA230" s="31"/>
      <c r="DQB230" s="31"/>
      <c r="DQC230" s="32"/>
      <c r="DQD230" s="32"/>
      <c r="DQE230" s="32"/>
      <c r="DQF230" s="32"/>
      <c r="DQG230" s="32"/>
      <c r="DQH230" s="31"/>
      <c r="DQI230" s="31"/>
      <c r="DQJ230" s="33"/>
      <c r="DQK230" s="33"/>
      <c r="DQL230" s="34"/>
      <c r="DQM230" s="34"/>
      <c r="DQN230" s="35"/>
      <c r="DQO230" s="35"/>
      <c r="DQP230" s="32"/>
      <c r="DQQ230" s="31"/>
      <c r="DQR230" s="31"/>
      <c r="DQS230" s="31"/>
      <c r="DQT230" s="32"/>
      <c r="DQU230" s="32"/>
      <c r="DQV230" s="32"/>
      <c r="DQW230" s="32"/>
      <c r="DQX230" s="32"/>
      <c r="DQY230" s="31"/>
      <c r="DQZ230" s="31"/>
      <c r="DRA230" s="33"/>
      <c r="DRB230" s="33"/>
      <c r="DRC230" s="34"/>
      <c r="DRD230" s="34"/>
      <c r="DRE230" s="35"/>
      <c r="DRF230" s="35"/>
      <c r="DRG230" s="32"/>
      <c r="DRH230" s="31"/>
      <c r="DRI230" s="31"/>
      <c r="DRJ230" s="31"/>
      <c r="DRK230" s="32"/>
      <c r="DRL230" s="32"/>
      <c r="DRM230" s="32"/>
      <c r="DRN230" s="32"/>
      <c r="DRO230" s="32"/>
      <c r="DRP230" s="31"/>
      <c r="DRQ230" s="31"/>
      <c r="DRR230" s="33"/>
      <c r="DRS230" s="33"/>
      <c r="DRT230" s="34"/>
      <c r="DRU230" s="34"/>
      <c r="DRV230" s="35"/>
      <c r="DRW230" s="35"/>
      <c r="DRX230" s="32"/>
      <c r="DRY230" s="31"/>
      <c r="DRZ230" s="31"/>
      <c r="DSA230" s="31"/>
      <c r="DSB230" s="32"/>
      <c r="DSC230" s="32"/>
      <c r="DSD230" s="32"/>
      <c r="DSE230" s="32"/>
      <c r="DSF230" s="32"/>
      <c r="DSG230" s="31"/>
      <c r="DSH230" s="31"/>
      <c r="DSI230" s="33"/>
      <c r="DSJ230" s="33"/>
      <c r="DSK230" s="34"/>
      <c r="DSL230" s="34"/>
      <c r="DSM230" s="35"/>
      <c r="DSN230" s="35"/>
      <c r="DSO230" s="32"/>
      <c r="DSP230" s="31"/>
      <c r="DSQ230" s="31"/>
      <c r="DSR230" s="31"/>
      <c r="DSS230" s="32"/>
      <c r="DST230" s="32"/>
      <c r="DSU230" s="32"/>
      <c r="DSV230" s="32"/>
      <c r="DSW230" s="32"/>
      <c r="DSX230" s="31"/>
      <c r="DSY230" s="31"/>
      <c r="DSZ230" s="33"/>
      <c r="DTA230" s="33"/>
      <c r="DTB230" s="34"/>
      <c r="DTC230" s="34"/>
      <c r="DTD230" s="35"/>
      <c r="DTE230" s="35"/>
      <c r="DTF230" s="32"/>
      <c r="DTG230" s="31"/>
      <c r="DTH230" s="31"/>
      <c r="DTI230" s="31"/>
      <c r="DTJ230" s="32"/>
      <c r="DTK230" s="32"/>
      <c r="DTL230" s="32"/>
      <c r="DTM230" s="32"/>
      <c r="DTN230" s="32"/>
      <c r="DTO230" s="31"/>
      <c r="DTP230" s="31"/>
      <c r="DTQ230" s="33"/>
      <c r="DTR230" s="33"/>
      <c r="DTS230" s="34"/>
      <c r="DTT230" s="34"/>
      <c r="DTU230" s="35"/>
      <c r="DTV230" s="35"/>
      <c r="DTW230" s="32"/>
      <c r="DTX230" s="31"/>
      <c r="DTY230" s="31"/>
      <c r="DTZ230" s="31"/>
      <c r="DUA230" s="32"/>
      <c r="DUB230" s="32"/>
      <c r="DUC230" s="32"/>
      <c r="DUD230" s="32"/>
      <c r="DUE230" s="32"/>
      <c r="DUF230" s="31"/>
      <c r="DUG230" s="31"/>
      <c r="DUH230" s="33"/>
      <c r="DUI230" s="33"/>
      <c r="DUJ230" s="34"/>
      <c r="DUK230" s="34"/>
      <c r="DUL230" s="35"/>
      <c r="DUM230" s="35"/>
      <c r="DUN230" s="32"/>
      <c r="DUO230" s="31"/>
      <c r="DUP230" s="31"/>
      <c r="DUQ230" s="31"/>
      <c r="DUR230" s="32"/>
      <c r="DUS230" s="32"/>
      <c r="DUT230" s="32"/>
      <c r="DUU230" s="32"/>
      <c r="DUV230" s="32"/>
      <c r="DUW230" s="31"/>
      <c r="DUX230" s="31"/>
      <c r="DUY230" s="33"/>
      <c r="DUZ230" s="33"/>
      <c r="DVA230" s="34"/>
      <c r="DVB230" s="34"/>
      <c r="DVC230" s="35"/>
      <c r="DVD230" s="35"/>
      <c r="DVE230" s="32"/>
      <c r="DVF230" s="31"/>
      <c r="DVG230" s="31"/>
      <c r="DVH230" s="31"/>
      <c r="DVI230" s="32"/>
      <c r="DVJ230" s="32"/>
      <c r="DVK230" s="32"/>
      <c r="DVL230" s="32"/>
      <c r="DVM230" s="32"/>
      <c r="DVN230" s="31"/>
      <c r="DVO230" s="31"/>
      <c r="DVP230" s="33"/>
      <c r="DVQ230" s="33"/>
      <c r="DVR230" s="34"/>
      <c r="DVS230" s="34"/>
      <c r="DVT230" s="35"/>
      <c r="DVU230" s="35"/>
      <c r="DVV230" s="32"/>
      <c r="DVW230" s="31"/>
      <c r="DVX230" s="31"/>
      <c r="DVY230" s="31"/>
      <c r="DVZ230" s="32"/>
      <c r="DWA230" s="32"/>
      <c r="DWB230" s="32"/>
      <c r="DWC230" s="32"/>
      <c r="DWD230" s="32"/>
      <c r="DWE230" s="31"/>
      <c r="DWF230" s="31"/>
      <c r="DWG230" s="33"/>
      <c r="DWH230" s="33"/>
      <c r="DWI230" s="34"/>
      <c r="DWJ230" s="34"/>
      <c r="DWK230" s="35"/>
      <c r="DWL230" s="35"/>
      <c r="DWM230" s="32"/>
      <c r="DWN230" s="31"/>
      <c r="DWO230" s="31"/>
      <c r="DWP230" s="31"/>
      <c r="DWQ230" s="32"/>
      <c r="DWR230" s="32"/>
      <c r="DWS230" s="32"/>
      <c r="DWT230" s="32"/>
      <c r="DWU230" s="32"/>
      <c r="DWV230" s="31"/>
      <c r="DWW230" s="31"/>
      <c r="DWX230" s="33"/>
      <c r="DWY230" s="33"/>
      <c r="DWZ230" s="34"/>
      <c r="DXA230" s="34"/>
      <c r="DXB230" s="35"/>
      <c r="DXC230" s="35"/>
      <c r="DXD230" s="32"/>
      <c r="DXE230" s="31"/>
      <c r="DXF230" s="31"/>
      <c r="DXG230" s="31"/>
      <c r="DXH230" s="32"/>
      <c r="DXI230" s="32"/>
      <c r="DXJ230" s="32"/>
      <c r="DXK230" s="32"/>
      <c r="DXL230" s="32"/>
      <c r="DXM230" s="31"/>
      <c r="DXN230" s="31"/>
      <c r="DXO230" s="33"/>
      <c r="DXP230" s="33"/>
      <c r="DXQ230" s="34"/>
      <c r="DXR230" s="34"/>
      <c r="DXS230" s="35"/>
      <c r="DXT230" s="35"/>
      <c r="DXU230" s="32"/>
      <c r="DXV230" s="31"/>
      <c r="DXW230" s="31"/>
      <c r="DXX230" s="31"/>
      <c r="DXY230" s="32"/>
      <c r="DXZ230" s="32"/>
      <c r="DYA230" s="32"/>
      <c r="DYB230" s="32"/>
      <c r="DYC230" s="32"/>
      <c r="DYD230" s="31"/>
      <c r="DYE230" s="31"/>
      <c r="DYF230" s="33"/>
      <c r="DYG230" s="33"/>
      <c r="DYH230" s="34"/>
      <c r="DYI230" s="34"/>
      <c r="DYJ230" s="35"/>
      <c r="DYK230" s="35"/>
      <c r="DYL230" s="32"/>
      <c r="DYM230" s="31"/>
      <c r="DYN230" s="31"/>
      <c r="DYO230" s="31"/>
      <c r="DYP230" s="32"/>
      <c r="DYQ230" s="32"/>
      <c r="DYR230" s="32"/>
      <c r="DYS230" s="32"/>
      <c r="DYT230" s="32"/>
      <c r="DYU230" s="31"/>
      <c r="DYV230" s="31"/>
      <c r="DYW230" s="33"/>
      <c r="DYX230" s="33"/>
      <c r="DYY230" s="34"/>
      <c r="DYZ230" s="34"/>
      <c r="DZA230" s="35"/>
      <c r="DZB230" s="35"/>
      <c r="DZC230" s="32"/>
      <c r="DZD230" s="31"/>
      <c r="DZE230" s="31"/>
      <c r="DZF230" s="31"/>
      <c r="DZG230" s="32"/>
      <c r="DZH230" s="32"/>
      <c r="DZI230" s="32"/>
      <c r="DZJ230" s="32"/>
      <c r="DZK230" s="32"/>
      <c r="DZL230" s="31"/>
      <c r="DZM230" s="31"/>
      <c r="DZN230" s="33"/>
      <c r="DZO230" s="33"/>
      <c r="DZP230" s="34"/>
      <c r="DZQ230" s="34"/>
      <c r="DZR230" s="35"/>
      <c r="DZS230" s="35"/>
      <c r="DZT230" s="32"/>
      <c r="DZU230" s="31"/>
      <c r="DZV230" s="31"/>
      <c r="DZW230" s="31"/>
      <c r="DZX230" s="32"/>
      <c r="DZY230" s="32"/>
      <c r="DZZ230" s="32"/>
      <c r="EAA230" s="32"/>
      <c r="EAB230" s="32"/>
      <c r="EAC230" s="31"/>
      <c r="EAD230" s="31"/>
      <c r="EAE230" s="33"/>
      <c r="EAF230" s="33"/>
      <c r="EAG230" s="34"/>
      <c r="EAH230" s="34"/>
      <c r="EAI230" s="35"/>
      <c r="EAJ230" s="35"/>
      <c r="EAK230" s="32"/>
      <c r="EAL230" s="31"/>
      <c r="EAM230" s="31"/>
      <c r="EAN230" s="31"/>
      <c r="EAO230" s="32"/>
      <c r="EAP230" s="32"/>
      <c r="EAQ230" s="32"/>
      <c r="EAR230" s="32"/>
      <c r="EAS230" s="32"/>
      <c r="EAT230" s="31"/>
      <c r="EAU230" s="31"/>
      <c r="EAV230" s="33"/>
      <c r="EAW230" s="33"/>
      <c r="EAX230" s="34"/>
      <c r="EAY230" s="34"/>
      <c r="EAZ230" s="35"/>
      <c r="EBA230" s="35"/>
      <c r="EBB230" s="32"/>
      <c r="EBC230" s="31"/>
      <c r="EBD230" s="31"/>
      <c r="EBE230" s="31"/>
      <c r="EBF230" s="32"/>
      <c r="EBG230" s="32"/>
      <c r="EBH230" s="32"/>
      <c r="EBI230" s="32"/>
      <c r="EBJ230" s="32"/>
      <c r="EBK230" s="31"/>
      <c r="EBL230" s="31"/>
      <c r="EBM230" s="33"/>
      <c r="EBN230" s="33"/>
      <c r="EBO230" s="34"/>
      <c r="EBP230" s="34"/>
      <c r="EBQ230" s="35"/>
      <c r="EBR230" s="35"/>
      <c r="EBS230" s="32"/>
      <c r="EBT230" s="31"/>
      <c r="EBU230" s="31"/>
      <c r="EBV230" s="31"/>
      <c r="EBW230" s="32"/>
      <c r="EBX230" s="32"/>
      <c r="EBY230" s="32"/>
      <c r="EBZ230" s="32"/>
      <c r="ECA230" s="32"/>
      <c r="ECB230" s="31"/>
      <c r="ECC230" s="31"/>
      <c r="ECD230" s="33"/>
      <c r="ECE230" s="33"/>
      <c r="ECF230" s="34"/>
      <c r="ECG230" s="34"/>
      <c r="ECH230" s="35"/>
      <c r="ECI230" s="35"/>
      <c r="ECJ230" s="32"/>
      <c r="ECK230" s="31"/>
      <c r="ECL230" s="31"/>
      <c r="ECM230" s="31"/>
      <c r="ECN230" s="32"/>
      <c r="ECO230" s="32"/>
      <c r="ECP230" s="32"/>
      <c r="ECQ230" s="32"/>
      <c r="ECR230" s="32"/>
      <c r="ECS230" s="31"/>
      <c r="ECT230" s="31"/>
      <c r="ECU230" s="33"/>
      <c r="ECV230" s="33"/>
      <c r="ECW230" s="34"/>
      <c r="ECX230" s="34"/>
      <c r="ECY230" s="35"/>
      <c r="ECZ230" s="35"/>
      <c r="EDA230" s="32"/>
      <c r="EDB230" s="31"/>
      <c r="EDC230" s="31"/>
      <c r="EDD230" s="31"/>
      <c r="EDE230" s="32"/>
      <c r="EDF230" s="32"/>
      <c r="EDG230" s="32"/>
      <c r="EDH230" s="32"/>
      <c r="EDI230" s="32"/>
      <c r="EDJ230" s="31"/>
      <c r="EDK230" s="31"/>
      <c r="EDL230" s="33"/>
      <c r="EDM230" s="33"/>
      <c r="EDN230" s="34"/>
      <c r="EDO230" s="34"/>
      <c r="EDP230" s="35"/>
      <c r="EDQ230" s="35"/>
      <c r="EDR230" s="32"/>
      <c r="EDS230" s="31"/>
      <c r="EDT230" s="31"/>
      <c r="EDU230" s="31"/>
      <c r="EDV230" s="32"/>
      <c r="EDW230" s="32"/>
      <c r="EDX230" s="32"/>
      <c r="EDY230" s="32"/>
      <c r="EDZ230" s="32"/>
      <c r="EEA230" s="31"/>
      <c r="EEB230" s="31"/>
      <c r="EEC230" s="33"/>
      <c r="EED230" s="33"/>
      <c r="EEE230" s="34"/>
      <c r="EEF230" s="34"/>
      <c r="EEG230" s="35"/>
      <c r="EEH230" s="35"/>
      <c r="EEI230" s="32"/>
      <c r="EEJ230" s="31"/>
      <c r="EEK230" s="31"/>
      <c r="EEL230" s="31"/>
      <c r="EEM230" s="32"/>
      <c r="EEN230" s="32"/>
      <c r="EEO230" s="32"/>
      <c r="EEP230" s="32"/>
      <c r="EEQ230" s="32"/>
      <c r="EER230" s="31"/>
      <c r="EES230" s="31"/>
      <c r="EET230" s="33"/>
      <c r="EEU230" s="33"/>
      <c r="EEV230" s="34"/>
      <c r="EEW230" s="34"/>
      <c r="EEX230" s="35"/>
      <c r="EEY230" s="35"/>
      <c r="EEZ230" s="32"/>
      <c r="EFA230" s="31"/>
      <c r="EFB230" s="31"/>
      <c r="EFC230" s="31"/>
      <c r="EFD230" s="32"/>
      <c r="EFE230" s="32"/>
      <c r="EFF230" s="32"/>
      <c r="EFG230" s="32"/>
      <c r="EFH230" s="32"/>
      <c r="EFI230" s="31"/>
      <c r="EFJ230" s="31"/>
      <c r="EFK230" s="33"/>
      <c r="EFL230" s="33"/>
      <c r="EFM230" s="34"/>
      <c r="EFN230" s="34"/>
      <c r="EFO230" s="35"/>
      <c r="EFP230" s="35"/>
      <c r="EFQ230" s="32"/>
      <c r="EFR230" s="31"/>
      <c r="EFS230" s="31"/>
      <c r="EFT230" s="31"/>
      <c r="EFU230" s="32"/>
      <c r="EFV230" s="32"/>
      <c r="EFW230" s="32"/>
      <c r="EFX230" s="32"/>
      <c r="EFY230" s="32"/>
      <c r="EFZ230" s="31"/>
      <c r="EGA230" s="31"/>
      <c r="EGB230" s="33"/>
      <c r="EGC230" s="33"/>
      <c r="EGD230" s="34"/>
      <c r="EGE230" s="34"/>
      <c r="EGF230" s="35"/>
      <c r="EGG230" s="35"/>
      <c r="EGH230" s="32"/>
      <c r="EGI230" s="31"/>
      <c r="EGJ230" s="31"/>
      <c r="EGK230" s="31"/>
      <c r="EGL230" s="32"/>
      <c r="EGM230" s="32"/>
      <c r="EGN230" s="32"/>
      <c r="EGO230" s="32"/>
      <c r="EGP230" s="32"/>
      <c r="EGQ230" s="31"/>
      <c r="EGR230" s="31"/>
      <c r="EGS230" s="33"/>
      <c r="EGT230" s="33"/>
      <c r="EGU230" s="34"/>
      <c r="EGV230" s="34"/>
      <c r="EGW230" s="35"/>
      <c r="EGX230" s="35"/>
      <c r="EGY230" s="32"/>
      <c r="EGZ230" s="31"/>
      <c r="EHA230" s="31"/>
      <c r="EHB230" s="31"/>
      <c r="EHC230" s="32"/>
      <c r="EHD230" s="32"/>
      <c r="EHE230" s="32"/>
      <c r="EHF230" s="32"/>
      <c r="EHG230" s="32"/>
      <c r="EHH230" s="31"/>
      <c r="EHI230" s="31"/>
      <c r="EHJ230" s="33"/>
      <c r="EHK230" s="33"/>
      <c r="EHL230" s="34"/>
      <c r="EHM230" s="34"/>
      <c r="EHN230" s="35"/>
      <c r="EHO230" s="35"/>
      <c r="EHP230" s="32"/>
      <c r="EHQ230" s="31"/>
      <c r="EHR230" s="31"/>
      <c r="EHS230" s="31"/>
      <c r="EHT230" s="32"/>
      <c r="EHU230" s="32"/>
      <c r="EHV230" s="32"/>
      <c r="EHW230" s="32"/>
      <c r="EHX230" s="32"/>
      <c r="EHY230" s="31"/>
      <c r="EHZ230" s="31"/>
      <c r="EIA230" s="33"/>
      <c r="EIB230" s="33"/>
      <c r="EIC230" s="34"/>
      <c r="EID230" s="34"/>
      <c r="EIE230" s="35"/>
      <c r="EIF230" s="35"/>
      <c r="EIG230" s="32"/>
      <c r="EIH230" s="31"/>
      <c r="EII230" s="31"/>
      <c r="EIJ230" s="31"/>
      <c r="EIK230" s="32"/>
      <c r="EIL230" s="32"/>
      <c r="EIM230" s="32"/>
      <c r="EIN230" s="32"/>
      <c r="EIO230" s="32"/>
      <c r="EIP230" s="31"/>
      <c r="EIQ230" s="31"/>
      <c r="EIR230" s="33"/>
      <c r="EIS230" s="33"/>
      <c r="EIT230" s="34"/>
      <c r="EIU230" s="34"/>
      <c r="EIV230" s="35"/>
      <c r="EIW230" s="35"/>
      <c r="EIX230" s="32"/>
      <c r="EIY230" s="31"/>
      <c r="EIZ230" s="31"/>
      <c r="EJA230" s="31"/>
      <c r="EJB230" s="32"/>
      <c r="EJC230" s="32"/>
      <c r="EJD230" s="32"/>
      <c r="EJE230" s="32"/>
      <c r="EJF230" s="32"/>
      <c r="EJG230" s="31"/>
      <c r="EJH230" s="31"/>
      <c r="EJI230" s="33"/>
      <c r="EJJ230" s="33"/>
      <c r="EJK230" s="34"/>
      <c r="EJL230" s="34"/>
      <c r="EJM230" s="35"/>
      <c r="EJN230" s="35"/>
      <c r="EJO230" s="32"/>
      <c r="EJP230" s="31"/>
      <c r="EJQ230" s="31"/>
      <c r="EJR230" s="31"/>
      <c r="EJS230" s="32"/>
      <c r="EJT230" s="32"/>
      <c r="EJU230" s="32"/>
      <c r="EJV230" s="32"/>
      <c r="EJW230" s="32"/>
      <c r="EJX230" s="31"/>
      <c r="EJY230" s="31"/>
      <c r="EJZ230" s="33"/>
      <c r="EKA230" s="33"/>
      <c r="EKB230" s="34"/>
      <c r="EKC230" s="34"/>
      <c r="EKD230" s="35"/>
      <c r="EKE230" s="35"/>
      <c r="EKF230" s="32"/>
      <c r="EKG230" s="31"/>
      <c r="EKH230" s="31"/>
      <c r="EKI230" s="31"/>
      <c r="EKJ230" s="32"/>
      <c r="EKK230" s="32"/>
      <c r="EKL230" s="32"/>
      <c r="EKM230" s="32"/>
      <c r="EKN230" s="32"/>
      <c r="EKO230" s="31"/>
      <c r="EKP230" s="31"/>
      <c r="EKQ230" s="33"/>
      <c r="EKR230" s="33"/>
      <c r="EKS230" s="34"/>
      <c r="EKT230" s="34"/>
      <c r="EKU230" s="35"/>
      <c r="EKV230" s="35"/>
      <c r="EKW230" s="32"/>
      <c r="EKX230" s="31"/>
      <c r="EKY230" s="31"/>
      <c r="EKZ230" s="31"/>
      <c r="ELA230" s="32"/>
      <c r="ELB230" s="32"/>
      <c r="ELC230" s="32"/>
      <c r="ELD230" s="32"/>
      <c r="ELE230" s="32"/>
      <c r="ELF230" s="31"/>
      <c r="ELG230" s="31"/>
      <c r="ELH230" s="33"/>
      <c r="ELI230" s="33"/>
      <c r="ELJ230" s="34"/>
      <c r="ELK230" s="34"/>
      <c r="ELL230" s="35"/>
      <c r="ELM230" s="35"/>
      <c r="ELN230" s="32"/>
      <c r="ELO230" s="31"/>
      <c r="ELP230" s="31"/>
      <c r="ELQ230" s="31"/>
      <c r="ELR230" s="32"/>
      <c r="ELS230" s="32"/>
      <c r="ELT230" s="32"/>
      <c r="ELU230" s="32"/>
      <c r="ELV230" s="32"/>
      <c r="ELW230" s="31"/>
      <c r="ELX230" s="31"/>
      <c r="ELY230" s="33"/>
      <c r="ELZ230" s="33"/>
      <c r="EMA230" s="34"/>
      <c r="EMB230" s="34"/>
      <c r="EMC230" s="35"/>
      <c r="EMD230" s="35"/>
      <c r="EME230" s="32"/>
      <c r="EMF230" s="31"/>
      <c r="EMG230" s="31"/>
      <c r="EMH230" s="31"/>
      <c r="EMI230" s="32"/>
      <c r="EMJ230" s="32"/>
      <c r="EMK230" s="32"/>
      <c r="EML230" s="32"/>
      <c r="EMM230" s="32"/>
      <c r="EMN230" s="31"/>
      <c r="EMO230" s="31"/>
      <c r="EMP230" s="33"/>
      <c r="EMQ230" s="33"/>
      <c r="EMR230" s="34"/>
      <c r="EMS230" s="34"/>
      <c r="EMT230" s="35"/>
      <c r="EMU230" s="35"/>
      <c r="EMV230" s="32"/>
      <c r="EMW230" s="31"/>
      <c r="EMX230" s="31"/>
      <c r="EMY230" s="31"/>
      <c r="EMZ230" s="32"/>
      <c r="ENA230" s="32"/>
      <c r="ENB230" s="32"/>
      <c r="ENC230" s="32"/>
      <c r="END230" s="32"/>
      <c r="ENE230" s="31"/>
      <c r="ENF230" s="31"/>
      <c r="ENG230" s="33"/>
      <c r="ENH230" s="33"/>
      <c r="ENI230" s="34"/>
      <c r="ENJ230" s="34"/>
      <c r="ENK230" s="35"/>
      <c r="ENL230" s="35"/>
      <c r="ENM230" s="32"/>
      <c r="ENN230" s="31"/>
      <c r="ENO230" s="31"/>
      <c r="ENP230" s="31"/>
      <c r="ENQ230" s="32"/>
      <c r="ENR230" s="32"/>
      <c r="ENS230" s="32"/>
      <c r="ENT230" s="32"/>
      <c r="ENU230" s="32"/>
      <c r="ENV230" s="31"/>
      <c r="ENW230" s="31"/>
      <c r="ENX230" s="33"/>
      <c r="ENY230" s="33"/>
      <c r="ENZ230" s="34"/>
      <c r="EOA230" s="34"/>
      <c r="EOB230" s="35"/>
      <c r="EOC230" s="35"/>
      <c r="EOD230" s="32"/>
      <c r="EOE230" s="31"/>
      <c r="EOF230" s="31"/>
      <c r="EOG230" s="31"/>
      <c r="EOH230" s="32"/>
      <c r="EOI230" s="32"/>
      <c r="EOJ230" s="32"/>
      <c r="EOK230" s="32"/>
      <c r="EOL230" s="32"/>
      <c r="EOM230" s="31"/>
      <c r="EON230" s="31"/>
      <c r="EOO230" s="33"/>
      <c r="EOP230" s="33"/>
      <c r="EOQ230" s="34"/>
      <c r="EOR230" s="34"/>
      <c r="EOS230" s="35"/>
      <c r="EOT230" s="35"/>
      <c r="EOU230" s="32"/>
      <c r="EOV230" s="31"/>
      <c r="EOW230" s="31"/>
      <c r="EOX230" s="31"/>
      <c r="EOY230" s="32"/>
      <c r="EOZ230" s="32"/>
      <c r="EPA230" s="32"/>
      <c r="EPB230" s="32"/>
      <c r="EPC230" s="32"/>
      <c r="EPD230" s="31"/>
      <c r="EPE230" s="31"/>
      <c r="EPF230" s="33"/>
      <c r="EPG230" s="33"/>
      <c r="EPH230" s="34"/>
      <c r="EPI230" s="34"/>
      <c r="EPJ230" s="35"/>
      <c r="EPK230" s="35"/>
      <c r="EPL230" s="32"/>
      <c r="EPM230" s="31"/>
      <c r="EPN230" s="31"/>
      <c r="EPO230" s="31"/>
      <c r="EPP230" s="32"/>
      <c r="EPQ230" s="32"/>
      <c r="EPR230" s="32"/>
      <c r="EPS230" s="32"/>
      <c r="EPT230" s="32"/>
      <c r="EPU230" s="31"/>
      <c r="EPV230" s="31"/>
      <c r="EPW230" s="33"/>
      <c r="EPX230" s="33"/>
      <c r="EPY230" s="34"/>
      <c r="EPZ230" s="34"/>
      <c r="EQA230" s="35"/>
      <c r="EQB230" s="35"/>
      <c r="EQC230" s="32"/>
      <c r="EQD230" s="31"/>
      <c r="EQE230" s="31"/>
      <c r="EQF230" s="31"/>
      <c r="EQG230" s="32"/>
      <c r="EQH230" s="32"/>
      <c r="EQI230" s="32"/>
      <c r="EQJ230" s="32"/>
      <c r="EQK230" s="32"/>
      <c r="EQL230" s="31"/>
      <c r="EQM230" s="31"/>
      <c r="EQN230" s="33"/>
      <c r="EQO230" s="33"/>
      <c r="EQP230" s="34"/>
      <c r="EQQ230" s="34"/>
      <c r="EQR230" s="35"/>
      <c r="EQS230" s="35"/>
      <c r="EQT230" s="32"/>
      <c r="EQU230" s="31"/>
      <c r="EQV230" s="31"/>
      <c r="EQW230" s="31"/>
      <c r="EQX230" s="32"/>
      <c r="EQY230" s="32"/>
      <c r="EQZ230" s="32"/>
      <c r="ERA230" s="32"/>
      <c r="ERB230" s="32"/>
      <c r="ERC230" s="31"/>
      <c r="ERD230" s="31"/>
      <c r="ERE230" s="33"/>
      <c r="ERF230" s="33"/>
      <c r="ERG230" s="34"/>
      <c r="ERH230" s="34"/>
      <c r="ERI230" s="35"/>
      <c r="ERJ230" s="35"/>
      <c r="ERK230" s="32"/>
      <c r="ERL230" s="31"/>
      <c r="ERM230" s="31"/>
      <c r="ERN230" s="31"/>
      <c r="ERO230" s="32"/>
      <c r="ERP230" s="32"/>
      <c r="ERQ230" s="32"/>
      <c r="ERR230" s="32"/>
      <c r="ERS230" s="32"/>
      <c r="ERT230" s="31"/>
      <c r="ERU230" s="31"/>
      <c r="ERV230" s="33"/>
      <c r="ERW230" s="33"/>
      <c r="ERX230" s="34"/>
      <c r="ERY230" s="34"/>
      <c r="ERZ230" s="35"/>
      <c r="ESA230" s="35"/>
      <c r="ESB230" s="32"/>
      <c r="ESC230" s="31"/>
      <c r="ESD230" s="31"/>
      <c r="ESE230" s="31"/>
      <c r="ESF230" s="32"/>
      <c r="ESG230" s="32"/>
      <c r="ESH230" s="32"/>
      <c r="ESI230" s="32"/>
      <c r="ESJ230" s="32"/>
      <c r="ESK230" s="31"/>
      <c r="ESL230" s="31"/>
      <c r="ESM230" s="33"/>
      <c r="ESN230" s="33"/>
      <c r="ESO230" s="34"/>
      <c r="ESP230" s="34"/>
      <c r="ESQ230" s="35"/>
      <c r="ESR230" s="35"/>
      <c r="ESS230" s="32"/>
      <c r="EST230" s="31"/>
      <c r="ESU230" s="31"/>
      <c r="ESV230" s="31"/>
      <c r="ESW230" s="32"/>
      <c r="ESX230" s="32"/>
      <c r="ESY230" s="32"/>
      <c r="ESZ230" s="32"/>
      <c r="ETA230" s="32"/>
      <c r="ETB230" s="31"/>
      <c r="ETC230" s="31"/>
      <c r="ETD230" s="33"/>
      <c r="ETE230" s="33"/>
      <c r="ETF230" s="34"/>
      <c r="ETG230" s="34"/>
      <c r="ETH230" s="35"/>
      <c r="ETI230" s="35"/>
      <c r="ETJ230" s="32"/>
      <c r="ETK230" s="31"/>
      <c r="ETL230" s="31"/>
      <c r="ETM230" s="31"/>
      <c r="ETN230" s="32"/>
      <c r="ETO230" s="32"/>
      <c r="ETP230" s="32"/>
      <c r="ETQ230" s="32"/>
      <c r="ETR230" s="32"/>
      <c r="ETS230" s="31"/>
      <c r="ETT230" s="31"/>
      <c r="ETU230" s="33"/>
      <c r="ETV230" s="33"/>
      <c r="ETW230" s="34"/>
      <c r="ETX230" s="34"/>
      <c r="ETY230" s="35"/>
      <c r="ETZ230" s="35"/>
      <c r="EUA230" s="32"/>
      <c r="EUB230" s="31"/>
      <c r="EUC230" s="31"/>
      <c r="EUD230" s="31"/>
      <c r="EUE230" s="32"/>
      <c r="EUF230" s="32"/>
      <c r="EUG230" s="32"/>
      <c r="EUH230" s="32"/>
      <c r="EUI230" s="32"/>
      <c r="EUJ230" s="31"/>
      <c r="EUK230" s="31"/>
      <c r="EUL230" s="33"/>
      <c r="EUM230" s="33"/>
      <c r="EUN230" s="34"/>
      <c r="EUO230" s="34"/>
      <c r="EUP230" s="35"/>
      <c r="EUQ230" s="35"/>
      <c r="EUR230" s="32"/>
      <c r="EUS230" s="31"/>
      <c r="EUT230" s="31"/>
      <c r="EUU230" s="31"/>
      <c r="EUV230" s="32"/>
      <c r="EUW230" s="32"/>
      <c r="EUX230" s="32"/>
      <c r="EUY230" s="32"/>
      <c r="EUZ230" s="32"/>
      <c r="EVA230" s="31"/>
      <c r="EVB230" s="31"/>
      <c r="EVC230" s="33"/>
      <c r="EVD230" s="33"/>
      <c r="EVE230" s="34"/>
      <c r="EVF230" s="34"/>
      <c r="EVG230" s="35"/>
      <c r="EVH230" s="35"/>
      <c r="EVI230" s="32"/>
      <c r="EVJ230" s="31"/>
      <c r="EVK230" s="31"/>
      <c r="EVL230" s="31"/>
      <c r="EVM230" s="32"/>
      <c r="EVN230" s="32"/>
      <c r="EVO230" s="32"/>
      <c r="EVP230" s="32"/>
      <c r="EVQ230" s="32"/>
      <c r="EVR230" s="31"/>
      <c r="EVS230" s="31"/>
      <c r="EVT230" s="33"/>
      <c r="EVU230" s="33"/>
      <c r="EVV230" s="34"/>
      <c r="EVW230" s="34"/>
      <c r="EVX230" s="35"/>
      <c r="EVY230" s="35"/>
      <c r="EVZ230" s="32"/>
      <c r="EWA230" s="31"/>
      <c r="EWB230" s="31"/>
      <c r="EWC230" s="31"/>
      <c r="EWD230" s="32"/>
      <c r="EWE230" s="32"/>
      <c r="EWF230" s="32"/>
      <c r="EWG230" s="32"/>
      <c r="EWH230" s="32"/>
      <c r="EWI230" s="31"/>
      <c r="EWJ230" s="31"/>
      <c r="EWK230" s="33"/>
      <c r="EWL230" s="33"/>
      <c r="EWM230" s="34"/>
      <c r="EWN230" s="34"/>
      <c r="EWO230" s="35"/>
      <c r="EWP230" s="35"/>
      <c r="EWQ230" s="32"/>
      <c r="EWR230" s="31"/>
      <c r="EWS230" s="31"/>
      <c r="EWT230" s="31"/>
      <c r="EWU230" s="32"/>
      <c r="EWV230" s="32"/>
      <c r="EWW230" s="32"/>
      <c r="EWX230" s="32"/>
      <c r="EWY230" s="32"/>
      <c r="EWZ230" s="31"/>
      <c r="EXA230" s="31"/>
      <c r="EXB230" s="33"/>
      <c r="EXC230" s="33"/>
      <c r="EXD230" s="34"/>
      <c r="EXE230" s="34"/>
      <c r="EXF230" s="35"/>
      <c r="EXG230" s="35"/>
      <c r="EXH230" s="32"/>
      <c r="EXI230" s="31"/>
      <c r="EXJ230" s="31"/>
      <c r="EXK230" s="31"/>
      <c r="EXL230" s="32"/>
      <c r="EXM230" s="32"/>
      <c r="EXN230" s="32"/>
      <c r="EXO230" s="32"/>
      <c r="EXP230" s="32"/>
      <c r="EXQ230" s="31"/>
      <c r="EXR230" s="31"/>
      <c r="EXS230" s="33"/>
      <c r="EXT230" s="33"/>
      <c r="EXU230" s="34"/>
      <c r="EXV230" s="34"/>
      <c r="EXW230" s="35"/>
      <c r="EXX230" s="35"/>
      <c r="EXY230" s="32"/>
      <c r="EXZ230" s="31"/>
      <c r="EYA230" s="31"/>
      <c r="EYB230" s="31"/>
      <c r="EYC230" s="32"/>
      <c r="EYD230" s="32"/>
      <c r="EYE230" s="32"/>
      <c r="EYF230" s="32"/>
      <c r="EYG230" s="32"/>
      <c r="EYH230" s="31"/>
      <c r="EYI230" s="31"/>
      <c r="EYJ230" s="33"/>
      <c r="EYK230" s="33"/>
      <c r="EYL230" s="34"/>
      <c r="EYM230" s="34"/>
      <c r="EYN230" s="35"/>
      <c r="EYO230" s="35"/>
      <c r="EYP230" s="32"/>
      <c r="EYQ230" s="31"/>
      <c r="EYR230" s="31"/>
      <c r="EYS230" s="31"/>
      <c r="EYT230" s="32"/>
      <c r="EYU230" s="32"/>
      <c r="EYV230" s="32"/>
      <c r="EYW230" s="32"/>
      <c r="EYX230" s="32"/>
      <c r="EYY230" s="31"/>
      <c r="EYZ230" s="31"/>
      <c r="EZA230" s="33"/>
      <c r="EZB230" s="33"/>
      <c r="EZC230" s="34"/>
      <c r="EZD230" s="34"/>
      <c r="EZE230" s="35"/>
      <c r="EZF230" s="35"/>
      <c r="EZG230" s="32"/>
      <c r="EZH230" s="31"/>
      <c r="EZI230" s="31"/>
      <c r="EZJ230" s="31"/>
      <c r="EZK230" s="32"/>
      <c r="EZL230" s="32"/>
      <c r="EZM230" s="32"/>
      <c r="EZN230" s="32"/>
      <c r="EZO230" s="32"/>
      <c r="EZP230" s="31"/>
      <c r="EZQ230" s="31"/>
      <c r="EZR230" s="33"/>
      <c r="EZS230" s="33"/>
      <c r="EZT230" s="34"/>
      <c r="EZU230" s="34"/>
      <c r="EZV230" s="35"/>
      <c r="EZW230" s="35"/>
      <c r="EZX230" s="32"/>
      <c r="EZY230" s="31"/>
      <c r="EZZ230" s="31"/>
      <c r="FAA230" s="31"/>
      <c r="FAB230" s="32"/>
      <c r="FAC230" s="32"/>
      <c r="FAD230" s="32"/>
      <c r="FAE230" s="32"/>
      <c r="FAF230" s="32"/>
      <c r="FAG230" s="31"/>
      <c r="FAH230" s="31"/>
      <c r="FAI230" s="33"/>
      <c r="FAJ230" s="33"/>
      <c r="FAK230" s="34"/>
      <c r="FAL230" s="34"/>
      <c r="FAM230" s="35"/>
      <c r="FAN230" s="35"/>
      <c r="FAO230" s="32"/>
      <c r="FAP230" s="31"/>
      <c r="FAQ230" s="31"/>
      <c r="FAR230" s="31"/>
      <c r="FAS230" s="32"/>
      <c r="FAT230" s="32"/>
      <c r="FAU230" s="32"/>
      <c r="FAV230" s="32"/>
      <c r="FAW230" s="32"/>
      <c r="FAX230" s="31"/>
      <c r="FAY230" s="31"/>
      <c r="FAZ230" s="33"/>
      <c r="FBA230" s="33"/>
      <c r="FBB230" s="34"/>
      <c r="FBC230" s="34"/>
      <c r="FBD230" s="35"/>
      <c r="FBE230" s="35"/>
      <c r="FBF230" s="32"/>
      <c r="FBG230" s="31"/>
      <c r="FBH230" s="31"/>
      <c r="FBI230" s="31"/>
      <c r="FBJ230" s="32"/>
      <c r="FBK230" s="32"/>
      <c r="FBL230" s="32"/>
      <c r="FBM230" s="32"/>
      <c r="FBN230" s="32"/>
      <c r="FBO230" s="31"/>
      <c r="FBP230" s="31"/>
      <c r="FBQ230" s="33"/>
      <c r="FBR230" s="33"/>
      <c r="FBS230" s="34"/>
      <c r="FBT230" s="34"/>
      <c r="FBU230" s="35"/>
      <c r="FBV230" s="35"/>
      <c r="FBW230" s="32"/>
      <c r="FBX230" s="31"/>
      <c r="FBY230" s="31"/>
      <c r="FBZ230" s="31"/>
      <c r="FCA230" s="32"/>
      <c r="FCB230" s="32"/>
      <c r="FCC230" s="32"/>
      <c r="FCD230" s="32"/>
      <c r="FCE230" s="32"/>
      <c r="FCF230" s="31"/>
      <c r="FCG230" s="31"/>
      <c r="FCH230" s="33"/>
      <c r="FCI230" s="33"/>
      <c r="FCJ230" s="34"/>
      <c r="FCK230" s="34"/>
      <c r="FCL230" s="35"/>
      <c r="FCM230" s="35"/>
      <c r="FCN230" s="32"/>
      <c r="FCO230" s="31"/>
      <c r="FCP230" s="31"/>
      <c r="FCQ230" s="31"/>
      <c r="FCR230" s="32"/>
      <c r="FCS230" s="32"/>
      <c r="FCT230" s="32"/>
      <c r="FCU230" s="32"/>
      <c r="FCV230" s="32"/>
      <c r="FCW230" s="31"/>
      <c r="FCX230" s="31"/>
      <c r="FCY230" s="33"/>
      <c r="FCZ230" s="33"/>
      <c r="FDA230" s="34"/>
      <c r="FDB230" s="34"/>
      <c r="FDC230" s="35"/>
      <c r="FDD230" s="35"/>
      <c r="FDE230" s="32"/>
      <c r="FDF230" s="31"/>
      <c r="FDG230" s="31"/>
      <c r="FDH230" s="31"/>
      <c r="FDI230" s="32"/>
      <c r="FDJ230" s="32"/>
      <c r="FDK230" s="32"/>
      <c r="FDL230" s="32"/>
      <c r="FDM230" s="32"/>
      <c r="FDN230" s="31"/>
      <c r="FDO230" s="31"/>
      <c r="FDP230" s="33"/>
      <c r="FDQ230" s="33"/>
      <c r="FDR230" s="34"/>
      <c r="FDS230" s="34"/>
      <c r="FDT230" s="35"/>
      <c r="FDU230" s="35"/>
      <c r="FDV230" s="32"/>
      <c r="FDW230" s="31"/>
      <c r="FDX230" s="31"/>
      <c r="FDY230" s="31"/>
      <c r="FDZ230" s="32"/>
      <c r="FEA230" s="32"/>
      <c r="FEB230" s="32"/>
      <c r="FEC230" s="32"/>
      <c r="FED230" s="32"/>
      <c r="FEE230" s="31"/>
      <c r="FEF230" s="31"/>
      <c r="FEG230" s="33"/>
      <c r="FEH230" s="33"/>
      <c r="FEI230" s="34"/>
      <c r="FEJ230" s="34"/>
      <c r="FEK230" s="35"/>
      <c r="FEL230" s="35"/>
      <c r="FEM230" s="32"/>
      <c r="FEN230" s="31"/>
      <c r="FEO230" s="31"/>
      <c r="FEP230" s="31"/>
      <c r="FEQ230" s="32"/>
      <c r="FER230" s="32"/>
      <c r="FES230" s="32"/>
      <c r="FET230" s="32"/>
      <c r="FEU230" s="32"/>
      <c r="FEV230" s="31"/>
      <c r="FEW230" s="31"/>
      <c r="FEX230" s="33"/>
      <c r="FEY230" s="33"/>
      <c r="FEZ230" s="34"/>
      <c r="FFA230" s="34"/>
      <c r="FFB230" s="35"/>
      <c r="FFC230" s="35"/>
      <c r="FFD230" s="32"/>
      <c r="FFE230" s="31"/>
      <c r="FFF230" s="31"/>
      <c r="FFG230" s="31"/>
      <c r="FFH230" s="32"/>
      <c r="FFI230" s="32"/>
      <c r="FFJ230" s="32"/>
      <c r="FFK230" s="32"/>
      <c r="FFL230" s="32"/>
      <c r="FFM230" s="31"/>
      <c r="FFN230" s="31"/>
      <c r="FFO230" s="33"/>
      <c r="FFP230" s="33"/>
      <c r="FFQ230" s="34"/>
      <c r="FFR230" s="34"/>
      <c r="FFS230" s="35"/>
      <c r="FFT230" s="35"/>
      <c r="FFU230" s="32"/>
      <c r="FFV230" s="31"/>
      <c r="FFW230" s="31"/>
      <c r="FFX230" s="31"/>
      <c r="FFY230" s="32"/>
      <c r="FFZ230" s="32"/>
      <c r="FGA230" s="32"/>
      <c r="FGB230" s="32"/>
      <c r="FGC230" s="32"/>
      <c r="FGD230" s="31"/>
      <c r="FGE230" s="31"/>
      <c r="FGF230" s="33"/>
      <c r="FGG230" s="33"/>
      <c r="FGH230" s="34"/>
      <c r="FGI230" s="34"/>
      <c r="FGJ230" s="35"/>
      <c r="FGK230" s="35"/>
      <c r="FGL230" s="32"/>
      <c r="FGM230" s="31"/>
      <c r="FGN230" s="31"/>
      <c r="FGO230" s="31"/>
      <c r="FGP230" s="32"/>
      <c r="FGQ230" s="32"/>
      <c r="FGR230" s="32"/>
      <c r="FGS230" s="32"/>
      <c r="FGT230" s="32"/>
      <c r="FGU230" s="31"/>
      <c r="FGV230" s="31"/>
      <c r="FGW230" s="33"/>
      <c r="FGX230" s="33"/>
      <c r="FGY230" s="34"/>
      <c r="FGZ230" s="34"/>
      <c r="FHA230" s="35"/>
      <c r="FHB230" s="35"/>
      <c r="FHC230" s="32"/>
      <c r="FHD230" s="31"/>
      <c r="FHE230" s="31"/>
      <c r="FHF230" s="31"/>
      <c r="FHG230" s="32"/>
      <c r="FHH230" s="32"/>
      <c r="FHI230" s="32"/>
      <c r="FHJ230" s="32"/>
      <c r="FHK230" s="32"/>
      <c r="FHL230" s="31"/>
      <c r="FHM230" s="31"/>
      <c r="FHN230" s="33"/>
      <c r="FHO230" s="33"/>
      <c r="FHP230" s="34"/>
      <c r="FHQ230" s="34"/>
      <c r="FHR230" s="35"/>
      <c r="FHS230" s="35"/>
      <c r="FHT230" s="32"/>
      <c r="FHU230" s="31"/>
      <c r="FHV230" s="31"/>
      <c r="FHW230" s="31"/>
      <c r="FHX230" s="32"/>
      <c r="FHY230" s="32"/>
      <c r="FHZ230" s="32"/>
      <c r="FIA230" s="32"/>
      <c r="FIB230" s="32"/>
      <c r="FIC230" s="31"/>
      <c r="FID230" s="31"/>
      <c r="FIE230" s="33"/>
      <c r="FIF230" s="33"/>
      <c r="FIG230" s="34"/>
      <c r="FIH230" s="34"/>
      <c r="FII230" s="35"/>
      <c r="FIJ230" s="35"/>
      <c r="FIK230" s="32"/>
      <c r="FIL230" s="31"/>
      <c r="FIM230" s="31"/>
      <c r="FIN230" s="31"/>
      <c r="FIO230" s="32"/>
      <c r="FIP230" s="32"/>
      <c r="FIQ230" s="32"/>
      <c r="FIR230" s="32"/>
      <c r="FIS230" s="32"/>
      <c r="FIT230" s="31"/>
      <c r="FIU230" s="31"/>
      <c r="FIV230" s="33"/>
      <c r="FIW230" s="33"/>
      <c r="FIX230" s="34"/>
      <c r="FIY230" s="34"/>
      <c r="FIZ230" s="35"/>
      <c r="FJA230" s="35"/>
      <c r="FJB230" s="32"/>
      <c r="FJC230" s="31"/>
      <c r="FJD230" s="31"/>
      <c r="FJE230" s="31"/>
      <c r="FJF230" s="32"/>
      <c r="FJG230" s="32"/>
      <c r="FJH230" s="32"/>
      <c r="FJI230" s="32"/>
      <c r="FJJ230" s="32"/>
      <c r="FJK230" s="31"/>
      <c r="FJL230" s="31"/>
      <c r="FJM230" s="33"/>
      <c r="FJN230" s="33"/>
      <c r="FJO230" s="34"/>
      <c r="FJP230" s="34"/>
      <c r="FJQ230" s="35"/>
      <c r="FJR230" s="35"/>
      <c r="FJS230" s="32"/>
      <c r="FJT230" s="31"/>
      <c r="FJU230" s="31"/>
      <c r="FJV230" s="31"/>
      <c r="FJW230" s="32"/>
      <c r="FJX230" s="32"/>
      <c r="FJY230" s="32"/>
      <c r="FJZ230" s="32"/>
      <c r="FKA230" s="32"/>
      <c r="FKB230" s="31"/>
      <c r="FKC230" s="31"/>
      <c r="FKD230" s="33"/>
      <c r="FKE230" s="33"/>
      <c r="FKF230" s="34"/>
      <c r="FKG230" s="34"/>
      <c r="FKH230" s="35"/>
      <c r="FKI230" s="35"/>
      <c r="FKJ230" s="32"/>
      <c r="FKK230" s="31"/>
      <c r="FKL230" s="31"/>
      <c r="FKM230" s="31"/>
      <c r="FKN230" s="32"/>
      <c r="FKO230" s="32"/>
      <c r="FKP230" s="32"/>
      <c r="FKQ230" s="32"/>
      <c r="FKR230" s="32"/>
      <c r="FKS230" s="31"/>
      <c r="FKT230" s="31"/>
      <c r="FKU230" s="33"/>
      <c r="FKV230" s="33"/>
      <c r="FKW230" s="34"/>
      <c r="FKX230" s="34"/>
      <c r="FKY230" s="35"/>
      <c r="FKZ230" s="35"/>
      <c r="FLA230" s="32"/>
      <c r="FLB230" s="31"/>
      <c r="FLC230" s="31"/>
      <c r="FLD230" s="31"/>
      <c r="FLE230" s="32"/>
      <c r="FLF230" s="32"/>
      <c r="FLG230" s="32"/>
      <c r="FLH230" s="32"/>
      <c r="FLI230" s="32"/>
      <c r="FLJ230" s="31"/>
      <c r="FLK230" s="31"/>
      <c r="FLL230" s="33"/>
      <c r="FLM230" s="33"/>
      <c r="FLN230" s="34"/>
      <c r="FLO230" s="34"/>
      <c r="FLP230" s="35"/>
      <c r="FLQ230" s="35"/>
      <c r="FLR230" s="32"/>
      <c r="FLS230" s="31"/>
      <c r="FLT230" s="31"/>
      <c r="FLU230" s="31"/>
      <c r="FLV230" s="32"/>
      <c r="FLW230" s="32"/>
      <c r="FLX230" s="32"/>
      <c r="FLY230" s="32"/>
      <c r="FLZ230" s="32"/>
      <c r="FMA230" s="31"/>
      <c r="FMB230" s="31"/>
      <c r="FMC230" s="33"/>
      <c r="FMD230" s="33"/>
      <c r="FME230" s="34"/>
      <c r="FMF230" s="34"/>
      <c r="FMG230" s="35"/>
      <c r="FMH230" s="35"/>
      <c r="FMI230" s="32"/>
      <c r="FMJ230" s="31"/>
      <c r="FMK230" s="31"/>
      <c r="FML230" s="31"/>
      <c r="FMM230" s="32"/>
      <c r="FMN230" s="32"/>
      <c r="FMO230" s="32"/>
      <c r="FMP230" s="32"/>
      <c r="FMQ230" s="32"/>
      <c r="FMR230" s="31"/>
      <c r="FMS230" s="31"/>
      <c r="FMT230" s="33"/>
      <c r="FMU230" s="33"/>
      <c r="FMV230" s="34"/>
      <c r="FMW230" s="34"/>
      <c r="FMX230" s="35"/>
      <c r="FMY230" s="35"/>
      <c r="FMZ230" s="32"/>
      <c r="FNA230" s="31"/>
      <c r="FNB230" s="31"/>
      <c r="FNC230" s="31"/>
      <c r="FND230" s="32"/>
      <c r="FNE230" s="32"/>
      <c r="FNF230" s="32"/>
      <c r="FNG230" s="32"/>
      <c r="FNH230" s="32"/>
      <c r="FNI230" s="31"/>
      <c r="FNJ230" s="31"/>
      <c r="FNK230" s="33"/>
      <c r="FNL230" s="33"/>
      <c r="FNM230" s="34"/>
      <c r="FNN230" s="34"/>
      <c r="FNO230" s="35"/>
      <c r="FNP230" s="35"/>
      <c r="FNQ230" s="32"/>
      <c r="FNR230" s="31"/>
      <c r="FNS230" s="31"/>
      <c r="FNT230" s="31"/>
      <c r="FNU230" s="32"/>
      <c r="FNV230" s="32"/>
      <c r="FNW230" s="32"/>
      <c r="FNX230" s="32"/>
      <c r="FNY230" s="32"/>
      <c r="FNZ230" s="31"/>
      <c r="FOA230" s="31"/>
      <c r="FOB230" s="33"/>
      <c r="FOC230" s="33"/>
      <c r="FOD230" s="34"/>
      <c r="FOE230" s="34"/>
      <c r="FOF230" s="35"/>
      <c r="FOG230" s="35"/>
      <c r="FOH230" s="32"/>
      <c r="FOI230" s="31"/>
      <c r="FOJ230" s="31"/>
      <c r="FOK230" s="31"/>
      <c r="FOL230" s="32"/>
      <c r="FOM230" s="32"/>
      <c r="FON230" s="32"/>
      <c r="FOO230" s="32"/>
      <c r="FOP230" s="32"/>
      <c r="FOQ230" s="31"/>
      <c r="FOR230" s="31"/>
      <c r="FOS230" s="33"/>
      <c r="FOT230" s="33"/>
      <c r="FOU230" s="34"/>
      <c r="FOV230" s="34"/>
      <c r="FOW230" s="35"/>
      <c r="FOX230" s="35"/>
      <c r="FOY230" s="32"/>
      <c r="FOZ230" s="31"/>
      <c r="FPA230" s="31"/>
      <c r="FPB230" s="31"/>
      <c r="FPC230" s="32"/>
      <c r="FPD230" s="32"/>
      <c r="FPE230" s="32"/>
      <c r="FPF230" s="32"/>
      <c r="FPG230" s="32"/>
      <c r="FPH230" s="31"/>
      <c r="FPI230" s="31"/>
      <c r="FPJ230" s="33"/>
      <c r="FPK230" s="33"/>
      <c r="FPL230" s="34"/>
      <c r="FPM230" s="34"/>
      <c r="FPN230" s="35"/>
      <c r="FPO230" s="35"/>
      <c r="FPP230" s="32"/>
      <c r="FPQ230" s="31"/>
      <c r="FPR230" s="31"/>
      <c r="FPS230" s="31"/>
      <c r="FPT230" s="32"/>
      <c r="FPU230" s="32"/>
      <c r="FPV230" s="32"/>
      <c r="FPW230" s="32"/>
      <c r="FPX230" s="32"/>
      <c r="FPY230" s="31"/>
      <c r="FPZ230" s="31"/>
      <c r="FQA230" s="33"/>
      <c r="FQB230" s="33"/>
      <c r="FQC230" s="34"/>
      <c r="FQD230" s="34"/>
      <c r="FQE230" s="35"/>
      <c r="FQF230" s="35"/>
      <c r="FQG230" s="32"/>
      <c r="FQH230" s="31"/>
      <c r="FQI230" s="31"/>
      <c r="FQJ230" s="31"/>
      <c r="FQK230" s="32"/>
      <c r="FQL230" s="32"/>
      <c r="FQM230" s="32"/>
      <c r="FQN230" s="32"/>
      <c r="FQO230" s="32"/>
      <c r="FQP230" s="31"/>
      <c r="FQQ230" s="31"/>
      <c r="FQR230" s="33"/>
      <c r="FQS230" s="33"/>
      <c r="FQT230" s="34"/>
      <c r="FQU230" s="34"/>
      <c r="FQV230" s="35"/>
      <c r="FQW230" s="35"/>
      <c r="FQX230" s="32"/>
      <c r="FQY230" s="31"/>
      <c r="FQZ230" s="31"/>
      <c r="FRA230" s="31"/>
      <c r="FRB230" s="32"/>
      <c r="FRC230" s="32"/>
      <c r="FRD230" s="32"/>
      <c r="FRE230" s="32"/>
      <c r="FRF230" s="32"/>
      <c r="FRG230" s="31"/>
      <c r="FRH230" s="31"/>
      <c r="FRI230" s="33"/>
      <c r="FRJ230" s="33"/>
      <c r="FRK230" s="34"/>
      <c r="FRL230" s="34"/>
      <c r="FRM230" s="35"/>
      <c r="FRN230" s="35"/>
      <c r="FRO230" s="32"/>
      <c r="FRP230" s="31"/>
      <c r="FRQ230" s="31"/>
      <c r="FRR230" s="31"/>
      <c r="FRS230" s="32"/>
      <c r="FRT230" s="32"/>
      <c r="FRU230" s="32"/>
      <c r="FRV230" s="32"/>
      <c r="FRW230" s="32"/>
      <c r="FRX230" s="31"/>
      <c r="FRY230" s="31"/>
      <c r="FRZ230" s="33"/>
      <c r="FSA230" s="33"/>
      <c r="FSB230" s="34"/>
      <c r="FSC230" s="34"/>
      <c r="FSD230" s="35"/>
      <c r="FSE230" s="35"/>
      <c r="FSF230" s="32"/>
      <c r="FSG230" s="31"/>
      <c r="FSH230" s="31"/>
      <c r="FSI230" s="31"/>
      <c r="FSJ230" s="32"/>
      <c r="FSK230" s="32"/>
      <c r="FSL230" s="32"/>
      <c r="FSM230" s="32"/>
      <c r="FSN230" s="32"/>
      <c r="FSO230" s="31"/>
      <c r="FSP230" s="31"/>
      <c r="FSQ230" s="33"/>
      <c r="FSR230" s="33"/>
      <c r="FSS230" s="34"/>
      <c r="FST230" s="34"/>
      <c r="FSU230" s="35"/>
      <c r="FSV230" s="35"/>
      <c r="FSW230" s="32"/>
      <c r="FSX230" s="31"/>
      <c r="FSY230" s="31"/>
      <c r="FSZ230" s="31"/>
      <c r="FTA230" s="32"/>
      <c r="FTB230" s="32"/>
      <c r="FTC230" s="32"/>
      <c r="FTD230" s="32"/>
      <c r="FTE230" s="32"/>
      <c r="FTF230" s="31"/>
      <c r="FTG230" s="31"/>
      <c r="FTH230" s="33"/>
      <c r="FTI230" s="33"/>
      <c r="FTJ230" s="34"/>
      <c r="FTK230" s="34"/>
      <c r="FTL230" s="35"/>
      <c r="FTM230" s="35"/>
      <c r="FTN230" s="32"/>
      <c r="FTO230" s="31"/>
      <c r="FTP230" s="31"/>
      <c r="FTQ230" s="31"/>
      <c r="FTR230" s="32"/>
      <c r="FTS230" s="32"/>
      <c r="FTT230" s="32"/>
      <c r="FTU230" s="32"/>
      <c r="FTV230" s="32"/>
      <c r="FTW230" s="31"/>
      <c r="FTX230" s="31"/>
      <c r="FTY230" s="33"/>
      <c r="FTZ230" s="33"/>
      <c r="FUA230" s="34"/>
      <c r="FUB230" s="34"/>
      <c r="FUC230" s="35"/>
      <c r="FUD230" s="35"/>
      <c r="FUE230" s="32"/>
      <c r="FUF230" s="31"/>
      <c r="FUG230" s="31"/>
      <c r="FUH230" s="31"/>
      <c r="FUI230" s="32"/>
      <c r="FUJ230" s="32"/>
      <c r="FUK230" s="32"/>
      <c r="FUL230" s="32"/>
      <c r="FUM230" s="32"/>
      <c r="FUN230" s="31"/>
      <c r="FUO230" s="31"/>
      <c r="FUP230" s="33"/>
      <c r="FUQ230" s="33"/>
      <c r="FUR230" s="34"/>
      <c r="FUS230" s="34"/>
      <c r="FUT230" s="35"/>
      <c r="FUU230" s="35"/>
      <c r="FUV230" s="32"/>
      <c r="FUW230" s="31"/>
      <c r="FUX230" s="31"/>
      <c r="FUY230" s="31"/>
      <c r="FUZ230" s="32"/>
      <c r="FVA230" s="32"/>
      <c r="FVB230" s="32"/>
      <c r="FVC230" s="32"/>
      <c r="FVD230" s="32"/>
      <c r="FVE230" s="31"/>
      <c r="FVF230" s="31"/>
      <c r="FVG230" s="33"/>
      <c r="FVH230" s="33"/>
      <c r="FVI230" s="34"/>
      <c r="FVJ230" s="34"/>
      <c r="FVK230" s="35"/>
      <c r="FVL230" s="35"/>
      <c r="FVM230" s="32"/>
      <c r="FVN230" s="31"/>
      <c r="FVO230" s="31"/>
      <c r="FVP230" s="31"/>
      <c r="FVQ230" s="32"/>
      <c r="FVR230" s="32"/>
      <c r="FVS230" s="32"/>
      <c r="FVT230" s="32"/>
      <c r="FVU230" s="32"/>
      <c r="FVV230" s="31"/>
      <c r="FVW230" s="31"/>
      <c r="FVX230" s="33"/>
      <c r="FVY230" s="33"/>
      <c r="FVZ230" s="34"/>
      <c r="FWA230" s="34"/>
      <c r="FWB230" s="35"/>
      <c r="FWC230" s="35"/>
      <c r="FWD230" s="32"/>
      <c r="FWE230" s="31"/>
      <c r="FWF230" s="31"/>
      <c r="FWG230" s="31"/>
      <c r="FWH230" s="32"/>
      <c r="FWI230" s="32"/>
      <c r="FWJ230" s="32"/>
      <c r="FWK230" s="32"/>
      <c r="FWL230" s="32"/>
      <c r="FWM230" s="31"/>
      <c r="FWN230" s="31"/>
      <c r="FWO230" s="33"/>
      <c r="FWP230" s="33"/>
      <c r="FWQ230" s="34"/>
      <c r="FWR230" s="34"/>
      <c r="FWS230" s="35"/>
      <c r="FWT230" s="35"/>
      <c r="FWU230" s="32"/>
      <c r="FWV230" s="31"/>
      <c r="FWW230" s="31"/>
      <c r="FWX230" s="31"/>
      <c r="FWY230" s="32"/>
      <c r="FWZ230" s="32"/>
      <c r="FXA230" s="32"/>
      <c r="FXB230" s="32"/>
      <c r="FXC230" s="32"/>
      <c r="FXD230" s="31"/>
      <c r="FXE230" s="31"/>
      <c r="FXF230" s="33"/>
      <c r="FXG230" s="33"/>
      <c r="FXH230" s="34"/>
      <c r="FXI230" s="34"/>
      <c r="FXJ230" s="35"/>
      <c r="FXK230" s="35"/>
      <c r="FXL230" s="32"/>
      <c r="FXM230" s="31"/>
      <c r="FXN230" s="31"/>
      <c r="FXO230" s="31"/>
      <c r="FXP230" s="32"/>
      <c r="FXQ230" s="32"/>
      <c r="FXR230" s="32"/>
      <c r="FXS230" s="32"/>
      <c r="FXT230" s="32"/>
      <c r="FXU230" s="31"/>
      <c r="FXV230" s="31"/>
      <c r="FXW230" s="33"/>
      <c r="FXX230" s="33"/>
      <c r="FXY230" s="34"/>
      <c r="FXZ230" s="34"/>
      <c r="FYA230" s="35"/>
      <c r="FYB230" s="35"/>
      <c r="FYC230" s="32"/>
      <c r="FYD230" s="31"/>
      <c r="FYE230" s="31"/>
      <c r="FYF230" s="31"/>
      <c r="FYG230" s="32"/>
      <c r="FYH230" s="32"/>
      <c r="FYI230" s="32"/>
      <c r="FYJ230" s="32"/>
      <c r="FYK230" s="32"/>
      <c r="FYL230" s="31"/>
      <c r="FYM230" s="31"/>
      <c r="FYN230" s="33"/>
      <c r="FYO230" s="33"/>
      <c r="FYP230" s="34"/>
      <c r="FYQ230" s="34"/>
      <c r="FYR230" s="35"/>
      <c r="FYS230" s="35"/>
      <c r="FYT230" s="32"/>
      <c r="FYU230" s="31"/>
      <c r="FYV230" s="31"/>
      <c r="FYW230" s="31"/>
      <c r="FYX230" s="32"/>
      <c r="FYY230" s="32"/>
      <c r="FYZ230" s="32"/>
      <c r="FZA230" s="32"/>
      <c r="FZB230" s="32"/>
      <c r="FZC230" s="31"/>
      <c r="FZD230" s="31"/>
      <c r="FZE230" s="33"/>
      <c r="FZF230" s="33"/>
      <c r="FZG230" s="34"/>
      <c r="FZH230" s="34"/>
      <c r="FZI230" s="35"/>
      <c r="FZJ230" s="35"/>
      <c r="FZK230" s="32"/>
      <c r="FZL230" s="31"/>
      <c r="FZM230" s="31"/>
      <c r="FZN230" s="31"/>
      <c r="FZO230" s="32"/>
      <c r="FZP230" s="32"/>
      <c r="FZQ230" s="32"/>
      <c r="FZR230" s="32"/>
      <c r="FZS230" s="32"/>
      <c r="FZT230" s="31"/>
      <c r="FZU230" s="31"/>
      <c r="FZV230" s="33"/>
      <c r="FZW230" s="33"/>
      <c r="FZX230" s="34"/>
      <c r="FZY230" s="34"/>
      <c r="FZZ230" s="35"/>
      <c r="GAA230" s="35"/>
      <c r="GAB230" s="32"/>
      <c r="GAC230" s="31"/>
      <c r="GAD230" s="31"/>
      <c r="GAE230" s="31"/>
      <c r="GAF230" s="32"/>
      <c r="GAG230" s="32"/>
      <c r="GAH230" s="32"/>
      <c r="GAI230" s="32"/>
      <c r="GAJ230" s="32"/>
      <c r="GAK230" s="31"/>
      <c r="GAL230" s="31"/>
      <c r="GAM230" s="33"/>
      <c r="GAN230" s="33"/>
      <c r="GAO230" s="34"/>
      <c r="GAP230" s="34"/>
      <c r="GAQ230" s="35"/>
      <c r="GAR230" s="35"/>
      <c r="GAS230" s="32"/>
      <c r="GAT230" s="31"/>
      <c r="GAU230" s="31"/>
      <c r="GAV230" s="31"/>
      <c r="GAW230" s="32"/>
      <c r="GAX230" s="32"/>
      <c r="GAY230" s="32"/>
      <c r="GAZ230" s="32"/>
      <c r="GBA230" s="32"/>
      <c r="GBB230" s="31"/>
      <c r="GBC230" s="31"/>
      <c r="GBD230" s="33"/>
      <c r="GBE230" s="33"/>
      <c r="GBF230" s="34"/>
      <c r="GBG230" s="34"/>
      <c r="GBH230" s="35"/>
      <c r="GBI230" s="35"/>
      <c r="GBJ230" s="32"/>
      <c r="GBK230" s="31"/>
      <c r="GBL230" s="31"/>
      <c r="GBM230" s="31"/>
      <c r="GBN230" s="32"/>
      <c r="GBO230" s="32"/>
      <c r="GBP230" s="32"/>
      <c r="GBQ230" s="32"/>
      <c r="GBR230" s="32"/>
      <c r="GBS230" s="31"/>
      <c r="GBT230" s="31"/>
      <c r="GBU230" s="33"/>
      <c r="GBV230" s="33"/>
      <c r="GBW230" s="34"/>
      <c r="GBX230" s="34"/>
      <c r="GBY230" s="35"/>
      <c r="GBZ230" s="35"/>
      <c r="GCA230" s="32"/>
      <c r="GCB230" s="31"/>
      <c r="GCC230" s="31"/>
      <c r="GCD230" s="31"/>
      <c r="GCE230" s="32"/>
      <c r="GCF230" s="32"/>
      <c r="GCG230" s="32"/>
      <c r="GCH230" s="32"/>
      <c r="GCI230" s="32"/>
      <c r="GCJ230" s="31"/>
      <c r="GCK230" s="31"/>
      <c r="GCL230" s="33"/>
      <c r="GCM230" s="33"/>
      <c r="GCN230" s="34"/>
      <c r="GCO230" s="34"/>
      <c r="GCP230" s="35"/>
      <c r="GCQ230" s="35"/>
      <c r="GCR230" s="32"/>
      <c r="GCS230" s="31"/>
      <c r="GCT230" s="31"/>
      <c r="GCU230" s="31"/>
      <c r="GCV230" s="32"/>
      <c r="GCW230" s="32"/>
      <c r="GCX230" s="32"/>
      <c r="GCY230" s="32"/>
      <c r="GCZ230" s="32"/>
      <c r="GDA230" s="31"/>
      <c r="GDB230" s="31"/>
      <c r="GDC230" s="33"/>
      <c r="GDD230" s="33"/>
      <c r="GDE230" s="34"/>
      <c r="GDF230" s="34"/>
      <c r="GDG230" s="35"/>
      <c r="GDH230" s="35"/>
      <c r="GDI230" s="32"/>
      <c r="GDJ230" s="31"/>
      <c r="GDK230" s="31"/>
      <c r="GDL230" s="31"/>
      <c r="GDM230" s="32"/>
      <c r="GDN230" s="32"/>
      <c r="GDO230" s="32"/>
      <c r="GDP230" s="32"/>
      <c r="GDQ230" s="32"/>
      <c r="GDR230" s="31"/>
      <c r="GDS230" s="31"/>
      <c r="GDT230" s="33"/>
      <c r="GDU230" s="33"/>
      <c r="GDV230" s="34"/>
      <c r="GDW230" s="34"/>
      <c r="GDX230" s="35"/>
      <c r="GDY230" s="35"/>
      <c r="GDZ230" s="32"/>
      <c r="GEA230" s="31"/>
      <c r="GEB230" s="31"/>
      <c r="GEC230" s="31"/>
      <c r="GED230" s="32"/>
      <c r="GEE230" s="32"/>
      <c r="GEF230" s="32"/>
      <c r="GEG230" s="32"/>
      <c r="GEH230" s="32"/>
      <c r="GEI230" s="31"/>
      <c r="GEJ230" s="31"/>
      <c r="GEK230" s="33"/>
      <c r="GEL230" s="33"/>
      <c r="GEM230" s="34"/>
      <c r="GEN230" s="34"/>
      <c r="GEO230" s="35"/>
      <c r="GEP230" s="35"/>
      <c r="GEQ230" s="32"/>
      <c r="GER230" s="31"/>
      <c r="GES230" s="31"/>
      <c r="GET230" s="31"/>
      <c r="GEU230" s="32"/>
      <c r="GEV230" s="32"/>
      <c r="GEW230" s="32"/>
      <c r="GEX230" s="32"/>
      <c r="GEY230" s="32"/>
      <c r="GEZ230" s="31"/>
      <c r="GFA230" s="31"/>
      <c r="GFB230" s="33"/>
      <c r="GFC230" s="33"/>
      <c r="GFD230" s="34"/>
      <c r="GFE230" s="34"/>
      <c r="GFF230" s="35"/>
      <c r="GFG230" s="35"/>
      <c r="GFH230" s="32"/>
      <c r="GFI230" s="31"/>
      <c r="GFJ230" s="31"/>
      <c r="GFK230" s="31"/>
      <c r="GFL230" s="32"/>
      <c r="GFM230" s="32"/>
      <c r="GFN230" s="32"/>
      <c r="GFO230" s="32"/>
      <c r="GFP230" s="32"/>
      <c r="GFQ230" s="31"/>
      <c r="GFR230" s="31"/>
      <c r="GFS230" s="33"/>
      <c r="GFT230" s="33"/>
      <c r="GFU230" s="34"/>
      <c r="GFV230" s="34"/>
      <c r="GFW230" s="35"/>
      <c r="GFX230" s="35"/>
      <c r="GFY230" s="32"/>
      <c r="GFZ230" s="31"/>
      <c r="GGA230" s="31"/>
      <c r="GGB230" s="31"/>
      <c r="GGC230" s="32"/>
      <c r="GGD230" s="32"/>
      <c r="GGE230" s="32"/>
      <c r="GGF230" s="32"/>
      <c r="GGG230" s="32"/>
      <c r="GGH230" s="31"/>
      <c r="GGI230" s="31"/>
      <c r="GGJ230" s="33"/>
      <c r="GGK230" s="33"/>
      <c r="GGL230" s="34"/>
      <c r="GGM230" s="34"/>
      <c r="GGN230" s="35"/>
      <c r="GGO230" s="35"/>
      <c r="GGP230" s="32"/>
      <c r="GGQ230" s="31"/>
      <c r="GGR230" s="31"/>
      <c r="GGS230" s="31"/>
      <c r="GGT230" s="32"/>
      <c r="GGU230" s="32"/>
      <c r="GGV230" s="32"/>
      <c r="GGW230" s="32"/>
      <c r="GGX230" s="32"/>
      <c r="GGY230" s="31"/>
      <c r="GGZ230" s="31"/>
      <c r="GHA230" s="33"/>
      <c r="GHB230" s="33"/>
      <c r="GHC230" s="34"/>
      <c r="GHD230" s="34"/>
      <c r="GHE230" s="35"/>
      <c r="GHF230" s="35"/>
      <c r="GHG230" s="32"/>
      <c r="GHH230" s="31"/>
      <c r="GHI230" s="31"/>
      <c r="GHJ230" s="31"/>
      <c r="GHK230" s="32"/>
      <c r="GHL230" s="32"/>
      <c r="GHM230" s="32"/>
      <c r="GHN230" s="32"/>
      <c r="GHO230" s="32"/>
      <c r="GHP230" s="31"/>
      <c r="GHQ230" s="31"/>
      <c r="GHR230" s="33"/>
      <c r="GHS230" s="33"/>
      <c r="GHT230" s="34"/>
      <c r="GHU230" s="34"/>
      <c r="GHV230" s="35"/>
      <c r="GHW230" s="35"/>
      <c r="GHX230" s="32"/>
      <c r="GHY230" s="31"/>
      <c r="GHZ230" s="31"/>
      <c r="GIA230" s="31"/>
      <c r="GIB230" s="32"/>
      <c r="GIC230" s="32"/>
      <c r="GID230" s="32"/>
      <c r="GIE230" s="32"/>
      <c r="GIF230" s="32"/>
      <c r="GIG230" s="31"/>
      <c r="GIH230" s="31"/>
      <c r="GII230" s="33"/>
      <c r="GIJ230" s="33"/>
      <c r="GIK230" s="34"/>
      <c r="GIL230" s="34"/>
      <c r="GIM230" s="35"/>
      <c r="GIN230" s="35"/>
      <c r="GIO230" s="32"/>
      <c r="GIP230" s="31"/>
      <c r="GIQ230" s="31"/>
      <c r="GIR230" s="31"/>
      <c r="GIS230" s="32"/>
      <c r="GIT230" s="32"/>
      <c r="GIU230" s="32"/>
      <c r="GIV230" s="32"/>
      <c r="GIW230" s="32"/>
      <c r="GIX230" s="31"/>
      <c r="GIY230" s="31"/>
      <c r="GIZ230" s="33"/>
      <c r="GJA230" s="33"/>
      <c r="GJB230" s="34"/>
      <c r="GJC230" s="34"/>
      <c r="GJD230" s="35"/>
      <c r="GJE230" s="35"/>
      <c r="GJF230" s="32"/>
      <c r="GJG230" s="31"/>
      <c r="GJH230" s="31"/>
      <c r="GJI230" s="31"/>
      <c r="GJJ230" s="32"/>
      <c r="GJK230" s="32"/>
      <c r="GJL230" s="32"/>
      <c r="GJM230" s="32"/>
      <c r="GJN230" s="32"/>
      <c r="GJO230" s="31"/>
      <c r="GJP230" s="31"/>
      <c r="GJQ230" s="33"/>
      <c r="GJR230" s="33"/>
      <c r="GJS230" s="34"/>
      <c r="GJT230" s="34"/>
      <c r="GJU230" s="35"/>
      <c r="GJV230" s="35"/>
      <c r="GJW230" s="32"/>
      <c r="GJX230" s="31"/>
      <c r="GJY230" s="31"/>
      <c r="GJZ230" s="31"/>
      <c r="GKA230" s="32"/>
      <c r="GKB230" s="32"/>
      <c r="GKC230" s="32"/>
      <c r="GKD230" s="32"/>
      <c r="GKE230" s="32"/>
      <c r="GKF230" s="31"/>
      <c r="GKG230" s="31"/>
      <c r="GKH230" s="33"/>
      <c r="GKI230" s="33"/>
      <c r="GKJ230" s="34"/>
      <c r="GKK230" s="34"/>
      <c r="GKL230" s="35"/>
      <c r="GKM230" s="35"/>
      <c r="GKN230" s="32"/>
      <c r="GKO230" s="31"/>
      <c r="GKP230" s="31"/>
      <c r="GKQ230" s="31"/>
      <c r="GKR230" s="32"/>
      <c r="GKS230" s="32"/>
      <c r="GKT230" s="32"/>
      <c r="GKU230" s="32"/>
      <c r="GKV230" s="32"/>
      <c r="GKW230" s="31"/>
      <c r="GKX230" s="31"/>
      <c r="GKY230" s="33"/>
      <c r="GKZ230" s="33"/>
      <c r="GLA230" s="34"/>
      <c r="GLB230" s="34"/>
      <c r="GLC230" s="35"/>
      <c r="GLD230" s="35"/>
      <c r="GLE230" s="32"/>
      <c r="GLF230" s="31"/>
      <c r="GLG230" s="31"/>
      <c r="GLH230" s="31"/>
      <c r="GLI230" s="32"/>
      <c r="GLJ230" s="32"/>
      <c r="GLK230" s="32"/>
      <c r="GLL230" s="32"/>
      <c r="GLM230" s="32"/>
      <c r="GLN230" s="31"/>
      <c r="GLO230" s="31"/>
      <c r="GLP230" s="33"/>
      <c r="GLQ230" s="33"/>
      <c r="GLR230" s="34"/>
      <c r="GLS230" s="34"/>
      <c r="GLT230" s="35"/>
      <c r="GLU230" s="35"/>
      <c r="GLV230" s="32"/>
      <c r="GLW230" s="31"/>
      <c r="GLX230" s="31"/>
      <c r="GLY230" s="31"/>
      <c r="GLZ230" s="32"/>
      <c r="GMA230" s="32"/>
      <c r="GMB230" s="32"/>
      <c r="GMC230" s="32"/>
      <c r="GMD230" s="32"/>
      <c r="GME230" s="31"/>
      <c r="GMF230" s="31"/>
      <c r="GMG230" s="33"/>
      <c r="GMH230" s="33"/>
      <c r="GMI230" s="34"/>
      <c r="GMJ230" s="34"/>
      <c r="GMK230" s="35"/>
      <c r="GML230" s="35"/>
      <c r="GMM230" s="32"/>
      <c r="GMN230" s="31"/>
      <c r="GMO230" s="31"/>
      <c r="GMP230" s="31"/>
      <c r="GMQ230" s="32"/>
      <c r="GMR230" s="32"/>
      <c r="GMS230" s="32"/>
      <c r="GMT230" s="32"/>
      <c r="GMU230" s="32"/>
      <c r="GMV230" s="31"/>
      <c r="GMW230" s="31"/>
      <c r="GMX230" s="33"/>
      <c r="GMY230" s="33"/>
      <c r="GMZ230" s="34"/>
      <c r="GNA230" s="34"/>
      <c r="GNB230" s="35"/>
      <c r="GNC230" s="35"/>
      <c r="GND230" s="32"/>
      <c r="GNE230" s="31"/>
      <c r="GNF230" s="31"/>
      <c r="GNG230" s="31"/>
      <c r="GNH230" s="32"/>
      <c r="GNI230" s="32"/>
      <c r="GNJ230" s="32"/>
      <c r="GNK230" s="32"/>
      <c r="GNL230" s="32"/>
      <c r="GNM230" s="31"/>
      <c r="GNN230" s="31"/>
      <c r="GNO230" s="33"/>
      <c r="GNP230" s="33"/>
      <c r="GNQ230" s="34"/>
      <c r="GNR230" s="34"/>
      <c r="GNS230" s="35"/>
      <c r="GNT230" s="35"/>
      <c r="GNU230" s="32"/>
      <c r="GNV230" s="31"/>
      <c r="GNW230" s="31"/>
      <c r="GNX230" s="31"/>
      <c r="GNY230" s="32"/>
      <c r="GNZ230" s="32"/>
      <c r="GOA230" s="32"/>
      <c r="GOB230" s="32"/>
      <c r="GOC230" s="32"/>
      <c r="GOD230" s="31"/>
      <c r="GOE230" s="31"/>
      <c r="GOF230" s="33"/>
      <c r="GOG230" s="33"/>
      <c r="GOH230" s="34"/>
      <c r="GOI230" s="34"/>
      <c r="GOJ230" s="35"/>
      <c r="GOK230" s="35"/>
      <c r="GOL230" s="32"/>
      <c r="GOM230" s="31"/>
      <c r="GON230" s="31"/>
      <c r="GOO230" s="31"/>
      <c r="GOP230" s="32"/>
      <c r="GOQ230" s="32"/>
      <c r="GOR230" s="32"/>
      <c r="GOS230" s="32"/>
      <c r="GOT230" s="32"/>
      <c r="GOU230" s="31"/>
      <c r="GOV230" s="31"/>
      <c r="GOW230" s="33"/>
      <c r="GOX230" s="33"/>
      <c r="GOY230" s="34"/>
      <c r="GOZ230" s="34"/>
      <c r="GPA230" s="35"/>
      <c r="GPB230" s="35"/>
      <c r="GPC230" s="32"/>
      <c r="GPD230" s="31"/>
      <c r="GPE230" s="31"/>
      <c r="GPF230" s="31"/>
      <c r="GPG230" s="32"/>
      <c r="GPH230" s="32"/>
      <c r="GPI230" s="32"/>
      <c r="GPJ230" s="32"/>
      <c r="GPK230" s="32"/>
      <c r="GPL230" s="31"/>
      <c r="GPM230" s="31"/>
      <c r="GPN230" s="33"/>
      <c r="GPO230" s="33"/>
      <c r="GPP230" s="34"/>
      <c r="GPQ230" s="34"/>
      <c r="GPR230" s="35"/>
      <c r="GPS230" s="35"/>
      <c r="GPT230" s="32"/>
      <c r="GPU230" s="31"/>
      <c r="GPV230" s="31"/>
      <c r="GPW230" s="31"/>
      <c r="GPX230" s="32"/>
      <c r="GPY230" s="32"/>
      <c r="GPZ230" s="32"/>
      <c r="GQA230" s="32"/>
      <c r="GQB230" s="32"/>
      <c r="GQC230" s="31"/>
      <c r="GQD230" s="31"/>
      <c r="GQE230" s="33"/>
      <c r="GQF230" s="33"/>
      <c r="GQG230" s="34"/>
      <c r="GQH230" s="34"/>
      <c r="GQI230" s="35"/>
      <c r="GQJ230" s="35"/>
      <c r="GQK230" s="32"/>
      <c r="GQL230" s="31"/>
      <c r="GQM230" s="31"/>
      <c r="GQN230" s="31"/>
      <c r="GQO230" s="32"/>
      <c r="GQP230" s="32"/>
      <c r="GQQ230" s="32"/>
      <c r="GQR230" s="32"/>
      <c r="GQS230" s="32"/>
      <c r="GQT230" s="31"/>
      <c r="GQU230" s="31"/>
      <c r="GQV230" s="33"/>
      <c r="GQW230" s="33"/>
      <c r="GQX230" s="34"/>
      <c r="GQY230" s="34"/>
      <c r="GQZ230" s="35"/>
      <c r="GRA230" s="35"/>
      <c r="GRB230" s="32"/>
      <c r="GRC230" s="31"/>
      <c r="GRD230" s="31"/>
      <c r="GRE230" s="31"/>
      <c r="GRF230" s="32"/>
      <c r="GRG230" s="32"/>
      <c r="GRH230" s="32"/>
      <c r="GRI230" s="32"/>
      <c r="GRJ230" s="32"/>
      <c r="GRK230" s="31"/>
      <c r="GRL230" s="31"/>
      <c r="GRM230" s="33"/>
      <c r="GRN230" s="33"/>
      <c r="GRO230" s="34"/>
      <c r="GRP230" s="34"/>
      <c r="GRQ230" s="35"/>
      <c r="GRR230" s="35"/>
      <c r="GRS230" s="32"/>
      <c r="GRT230" s="31"/>
      <c r="GRU230" s="31"/>
      <c r="GRV230" s="31"/>
      <c r="GRW230" s="32"/>
      <c r="GRX230" s="32"/>
      <c r="GRY230" s="32"/>
      <c r="GRZ230" s="32"/>
      <c r="GSA230" s="32"/>
      <c r="GSB230" s="31"/>
      <c r="GSC230" s="31"/>
      <c r="GSD230" s="33"/>
      <c r="GSE230" s="33"/>
      <c r="GSF230" s="34"/>
      <c r="GSG230" s="34"/>
      <c r="GSH230" s="35"/>
      <c r="GSI230" s="35"/>
      <c r="GSJ230" s="32"/>
      <c r="GSK230" s="31"/>
      <c r="GSL230" s="31"/>
      <c r="GSM230" s="31"/>
      <c r="GSN230" s="32"/>
      <c r="GSO230" s="32"/>
      <c r="GSP230" s="32"/>
      <c r="GSQ230" s="32"/>
      <c r="GSR230" s="32"/>
      <c r="GSS230" s="31"/>
      <c r="GST230" s="31"/>
      <c r="GSU230" s="33"/>
      <c r="GSV230" s="33"/>
      <c r="GSW230" s="34"/>
      <c r="GSX230" s="34"/>
      <c r="GSY230" s="35"/>
      <c r="GSZ230" s="35"/>
      <c r="GTA230" s="32"/>
      <c r="GTB230" s="31"/>
      <c r="GTC230" s="31"/>
      <c r="GTD230" s="31"/>
      <c r="GTE230" s="32"/>
      <c r="GTF230" s="32"/>
      <c r="GTG230" s="32"/>
      <c r="GTH230" s="32"/>
      <c r="GTI230" s="32"/>
      <c r="GTJ230" s="31"/>
      <c r="GTK230" s="31"/>
      <c r="GTL230" s="33"/>
      <c r="GTM230" s="33"/>
      <c r="GTN230" s="34"/>
      <c r="GTO230" s="34"/>
      <c r="GTP230" s="35"/>
      <c r="GTQ230" s="35"/>
      <c r="GTR230" s="32"/>
      <c r="GTS230" s="31"/>
      <c r="GTT230" s="31"/>
      <c r="GTU230" s="31"/>
      <c r="GTV230" s="32"/>
      <c r="GTW230" s="32"/>
      <c r="GTX230" s="32"/>
      <c r="GTY230" s="32"/>
      <c r="GTZ230" s="32"/>
      <c r="GUA230" s="31"/>
      <c r="GUB230" s="31"/>
      <c r="GUC230" s="33"/>
      <c r="GUD230" s="33"/>
      <c r="GUE230" s="34"/>
      <c r="GUF230" s="34"/>
      <c r="GUG230" s="35"/>
      <c r="GUH230" s="35"/>
      <c r="GUI230" s="32"/>
      <c r="GUJ230" s="31"/>
      <c r="GUK230" s="31"/>
      <c r="GUL230" s="31"/>
      <c r="GUM230" s="32"/>
      <c r="GUN230" s="32"/>
      <c r="GUO230" s="32"/>
      <c r="GUP230" s="32"/>
      <c r="GUQ230" s="32"/>
      <c r="GUR230" s="31"/>
      <c r="GUS230" s="31"/>
      <c r="GUT230" s="33"/>
      <c r="GUU230" s="33"/>
      <c r="GUV230" s="34"/>
      <c r="GUW230" s="34"/>
      <c r="GUX230" s="35"/>
      <c r="GUY230" s="35"/>
      <c r="GUZ230" s="32"/>
      <c r="GVA230" s="31"/>
      <c r="GVB230" s="31"/>
      <c r="GVC230" s="31"/>
      <c r="GVD230" s="32"/>
      <c r="GVE230" s="32"/>
      <c r="GVF230" s="32"/>
      <c r="GVG230" s="32"/>
      <c r="GVH230" s="32"/>
      <c r="GVI230" s="31"/>
      <c r="GVJ230" s="31"/>
      <c r="GVK230" s="33"/>
      <c r="GVL230" s="33"/>
      <c r="GVM230" s="34"/>
      <c r="GVN230" s="34"/>
      <c r="GVO230" s="35"/>
      <c r="GVP230" s="35"/>
      <c r="GVQ230" s="32"/>
      <c r="GVR230" s="31"/>
      <c r="GVS230" s="31"/>
      <c r="GVT230" s="31"/>
      <c r="GVU230" s="32"/>
      <c r="GVV230" s="32"/>
      <c r="GVW230" s="32"/>
      <c r="GVX230" s="32"/>
      <c r="GVY230" s="32"/>
      <c r="GVZ230" s="31"/>
      <c r="GWA230" s="31"/>
      <c r="GWB230" s="33"/>
      <c r="GWC230" s="33"/>
      <c r="GWD230" s="34"/>
      <c r="GWE230" s="34"/>
      <c r="GWF230" s="35"/>
      <c r="GWG230" s="35"/>
      <c r="GWH230" s="32"/>
      <c r="GWI230" s="31"/>
      <c r="GWJ230" s="31"/>
      <c r="GWK230" s="31"/>
      <c r="GWL230" s="32"/>
      <c r="GWM230" s="32"/>
      <c r="GWN230" s="32"/>
      <c r="GWO230" s="32"/>
      <c r="GWP230" s="32"/>
      <c r="GWQ230" s="31"/>
      <c r="GWR230" s="31"/>
      <c r="GWS230" s="33"/>
      <c r="GWT230" s="33"/>
      <c r="GWU230" s="34"/>
      <c r="GWV230" s="34"/>
      <c r="GWW230" s="35"/>
      <c r="GWX230" s="35"/>
      <c r="GWY230" s="32"/>
      <c r="GWZ230" s="31"/>
      <c r="GXA230" s="31"/>
      <c r="GXB230" s="31"/>
      <c r="GXC230" s="32"/>
      <c r="GXD230" s="32"/>
      <c r="GXE230" s="32"/>
      <c r="GXF230" s="32"/>
      <c r="GXG230" s="32"/>
      <c r="GXH230" s="31"/>
      <c r="GXI230" s="31"/>
      <c r="GXJ230" s="33"/>
      <c r="GXK230" s="33"/>
      <c r="GXL230" s="34"/>
      <c r="GXM230" s="34"/>
      <c r="GXN230" s="35"/>
      <c r="GXO230" s="35"/>
      <c r="GXP230" s="32"/>
      <c r="GXQ230" s="31"/>
      <c r="GXR230" s="31"/>
      <c r="GXS230" s="31"/>
      <c r="GXT230" s="32"/>
      <c r="GXU230" s="32"/>
      <c r="GXV230" s="32"/>
      <c r="GXW230" s="32"/>
      <c r="GXX230" s="32"/>
      <c r="GXY230" s="31"/>
      <c r="GXZ230" s="31"/>
      <c r="GYA230" s="33"/>
      <c r="GYB230" s="33"/>
      <c r="GYC230" s="34"/>
      <c r="GYD230" s="34"/>
      <c r="GYE230" s="35"/>
      <c r="GYF230" s="35"/>
      <c r="GYG230" s="32"/>
      <c r="GYH230" s="31"/>
      <c r="GYI230" s="31"/>
      <c r="GYJ230" s="31"/>
      <c r="GYK230" s="32"/>
      <c r="GYL230" s="32"/>
      <c r="GYM230" s="32"/>
      <c r="GYN230" s="32"/>
      <c r="GYO230" s="32"/>
      <c r="GYP230" s="31"/>
      <c r="GYQ230" s="31"/>
      <c r="GYR230" s="33"/>
      <c r="GYS230" s="33"/>
      <c r="GYT230" s="34"/>
      <c r="GYU230" s="34"/>
      <c r="GYV230" s="35"/>
      <c r="GYW230" s="35"/>
      <c r="GYX230" s="32"/>
      <c r="GYY230" s="31"/>
      <c r="GYZ230" s="31"/>
      <c r="GZA230" s="31"/>
      <c r="GZB230" s="32"/>
      <c r="GZC230" s="32"/>
      <c r="GZD230" s="32"/>
      <c r="GZE230" s="32"/>
      <c r="GZF230" s="32"/>
      <c r="GZG230" s="31"/>
      <c r="GZH230" s="31"/>
      <c r="GZI230" s="33"/>
      <c r="GZJ230" s="33"/>
      <c r="GZK230" s="34"/>
      <c r="GZL230" s="34"/>
      <c r="GZM230" s="35"/>
      <c r="GZN230" s="35"/>
      <c r="GZO230" s="32"/>
      <c r="GZP230" s="31"/>
      <c r="GZQ230" s="31"/>
      <c r="GZR230" s="31"/>
      <c r="GZS230" s="32"/>
      <c r="GZT230" s="32"/>
      <c r="GZU230" s="32"/>
      <c r="GZV230" s="32"/>
      <c r="GZW230" s="32"/>
      <c r="GZX230" s="31"/>
      <c r="GZY230" s="31"/>
      <c r="GZZ230" s="33"/>
      <c r="HAA230" s="33"/>
      <c r="HAB230" s="34"/>
      <c r="HAC230" s="34"/>
      <c r="HAD230" s="35"/>
      <c r="HAE230" s="35"/>
      <c r="HAF230" s="32"/>
      <c r="HAG230" s="31"/>
      <c r="HAH230" s="31"/>
      <c r="HAI230" s="31"/>
      <c r="HAJ230" s="32"/>
      <c r="HAK230" s="32"/>
      <c r="HAL230" s="32"/>
      <c r="HAM230" s="32"/>
      <c r="HAN230" s="32"/>
      <c r="HAO230" s="31"/>
      <c r="HAP230" s="31"/>
      <c r="HAQ230" s="33"/>
      <c r="HAR230" s="33"/>
      <c r="HAS230" s="34"/>
      <c r="HAT230" s="34"/>
      <c r="HAU230" s="35"/>
      <c r="HAV230" s="35"/>
      <c r="HAW230" s="32"/>
      <c r="HAX230" s="31"/>
      <c r="HAY230" s="31"/>
      <c r="HAZ230" s="31"/>
      <c r="HBA230" s="32"/>
      <c r="HBB230" s="32"/>
      <c r="HBC230" s="32"/>
      <c r="HBD230" s="32"/>
      <c r="HBE230" s="32"/>
      <c r="HBF230" s="31"/>
      <c r="HBG230" s="31"/>
      <c r="HBH230" s="33"/>
      <c r="HBI230" s="33"/>
      <c r="HBJ230" s="34"/>
      <c r="HBK230" s="34"/>
      <c r="HBL230" s="35"/>
      <c r="HBM230" s="35"/>
      <c r="HBN230" s="32"/>
      <c r="HBO230" s="31"/>
      <c r="HBP230" s="31"/>
      <c r="HBQ230" s="31"/>
      <c r="HBR230" s="32"/>
      <c r="HBS230" s="32"/>
      <c r="HBT230" s="32"/>
      <c r="HBU230" s="32"/>
      <c r="HBV230" s="32"/>
      <c r="HBW230" s="31"/>
      <c r="HBX230" s="31"/>
      <c r="HBY230" s="33"/>
      <c r="HBZ230" s="33"/>
      <c r="HCA230" s="34"/>
      <c r="HCB230" s="34"/>
      <c r="HCC230" s="35"/>
      <c r="HCD230" s="35"/>
      <c r="HCE230" s="32"/>
      <c r="HCF230" s="31"/>
      <c r="HCG230" s="31"/>
      <c r="HCH230" s="31"/>
      <c r="HCI230" s="32"/>
      <c r="HCJ230" s="32"/>
      <c r="HCK230" s="32"/>
      <c r="HCL230" s="32"/>
      <c r="HCM230" s="32"/>
      <c r="HCN230" s="31"/>
      <c r="HCO230" s="31"/>
      <c r="HCP230" s="33"/>
      <c r="HCQ230" s="33"/>
      <c r="HCR230" s="34"/>
      <c r="HCS230" s="34"/>
      <c r="HCT230" s="35"/>
      <c r="HCU230" s="35"/>
      <c r="HCV230" s="32"/>
      <c r="HCW230" s="31"/>
      <c r="HCX230" s="31"/>
      <c r="HCY230" s="31"/>
      <c r="HCZ230" s="32"/>
      <c r="HDA230" s="32"/>
      <c r="HDB230" s="32"/>
      <c r="HDC230" s="32"/>
      <c r="HDD230" s="32"/>
      <c r="HDE230" s="31"/>
      <c r="HDF230" s="31"/>
      <c r="HDG230" s="33"/>
      <c r="HDH230" s="33"/>
      <c r="HDI230" s="34"/>
      <c r="HDJ230" s="34"/>
      <c r="HDK230" s="35"/>
      <c r="HDL230" s="35"/>
      <c r="HDM230" s="32"/>
      <c r="HDN230" s="31"/>
      <c r="HDO230" s="31"/>
      <c r="HDP230" s="31"/>
      <c r="HDQ230" s="32"/>
      <c r="HDR230" s="32"/>
      <c r="HDS230" s="32"/>
      <c r="HDT230" s="32"/>
      <c r="HDU230" s="32"/>
      <c r="HDV230" s="31"/>
      <c r="HDW230" s="31"/>
      <c r="HDX230" s="33"/>
      <c r="HDY230" s="33"/>
      <c r="HDZ230" s="34"/>
      <c r="HEA230" s="34"/>
      <c r="HEB230" s="35"/>
      <c r="HEC230" s="35"/>
      <c r="HED230" s="32"/>
      <c r="HEE230" s="31"/>
      <c r="HEF230" s="31"/>
      <c r="HEG230" s="31"/>
      <c r="HEH230" s="32"/>
      <c r="HEI230" s="32"/>
      <c r="HEJ230" s="32"/>
      <c r="HEK230" s="32"/>
      <c r="HEL230" s="32"/>
      <c r="HEM230" s="31"/>
      <c r="HEN230" s="31"/>
      <c r="HEO230" s="33"/>
      <c r="HEP230" s="33"/>
      <c r="HEQ230" s="34"/>
      <c r="HER230" s="34"/>
      <c r="HES230" s="35"/>
      <c r="HET230" s="35"/>
      <c r="HEU230" s="32"/>
      <c r="HEV230" s="31"/>
      <c r="HEW230" s="31"/>
      <c r="HEX230" s="31"/>
      <c r="HEY230" s="32"/>
      <c r="HEZ230" s="32"/>
      <c r="HFA230" s="32"/>
      <c r="HFB230" s="32"/>
      <c r="HFC230" s="32"/>
      <c r="HFD230" s="31"/>
      <c r="HFE230" s="31"/>
      <c r="HFF230" s="33"/>
      <c r="HFG230" s="33"/>
      <c r="HFH230" s="34"/>
      <c r="HFI230" s="34"/>
      <c r="HFJ230" s="35"/>
      <c r="HFK230" s="35"/>
      <c r="HFL230" s="32"/>
      <c r="HFM230" s="31"/>
      <c r="HFN230" s="31"/>
      <c r="HFO230" s="31"/>
      <c r="HFP230" s="32"/>
      <c r="HFQ230" s="32"/>
      <c r="HFR230" s="32"/>
      <c r="HFS230" s="32"/>
      <c r="HFT230" s="32"/>
      <c r="HFU230" s="31"/>
      <c r="HFV230" s="31"/>
      <c r="HFW230" s="33"/>
      <c r="HFX230" s="33"/>
      <c r="HFY230" s="34"/>
      <c r="HFZ230" s="34"/>
      <c r="HGA230" s="35"/>
      <c r="HGB230" s="35"/>
      <c r="HGC230" s="32"/>
      <c r="HGD230" s="31"/>
      <c r="HGE230" s="31"/>
      <c r="HGF230" s="31"/>
      <c r="HGG230" s="32"/>
      <c r="HGH230" s="32"/>
      <c r="HGI230" s="32"/>
      <c r="HGJ230" s="32"/>
      <c r="HGK230" s="32"/>
      <c r="HGL230" s="31"/>
      <c r="HGM230" s="31"/>
      <c r="HGN230" s="33"/>
      <c r="HGO230" s="33"/>
      <c r="HGP230" s="34"/>
      <c r="HGQ230" s="34"/>
      <c r="HGR230" s="35"/>
      <c r="HGS230" s="35"/>
      <c r="HGT230" s="32"/>
      <c r="HGU230" s="31"/>
      <c r="HGV230" s="31"/>
      <c r="HGW230" s="31"/>
      <c r="HGX230" s="32"/>
      <c r="HGY230" s="32"/>
      <c r="HGZ230" s="32"/>
      <c r="HHA230" s="32"/>
      <c r="HHB230" s="32"/>
      <c r="HHC230" s="31"/>
      <c r="HHD230" s="31"/>
      <c r="HHE230" s="33"/>
      <c r="HHF230" s="33"/>
      <c r="HHG230" s="34"/>
      <c r="HHH230" s="34"/>
      <c r="HHI230" s="35"/>
      <c r="HHJ230" s="35"/>
      <c r="HHK230" s="32"/>
      <c r="HHL230" s="31"/>
      <c r="HHM230" s="31"/>
      <c r="HHN230" s="31"/>
      <c r="HHO230" s="32"/>
      <c r="HHP230" s="32"/>
      <c r="HHQ230" s="32"/>
      <c r="HHR230" s="32"/>
      <c r="HHS230" s="32"/>
      <c r="HHT230" s="31"/>
      <c r="HHU230" s="31"/>
      <c r="HHV230" s="33"/>
      <c r="HHW230" s="33"/>
      <c r="HHX230" s="34"/>
      <c r="HHY230" s="34"/>
      <c r="HHZ230" s="35"/>
      <c r="HIA230" s="35"/>
      <c r="HIB230" s="32"/>
      <c r="HIC230" s="31"/>
      <c r="HID230" s="31"/>
      <c r="HIE230" s="31"/>
      <c r="HIF230" s="32"/>
      <c r="HIG230" s="32"/>
      <c r="HIH230" s="32"/>
      <c r="HII230" s="32"/>
      <c r="HIJ230" s="32"/>
      <c r="HIK230" s="31"/>
      <c r="HIL230" s="31"/>
      <c r="HIM230" s="33"/>
      <c r="HIN230" s="33"/>
      <c r="HIO230" s="34"/>
      <c r="HIP230" s="34"/>
      <c r="HIQ230" s="35"/>
      <c r="HIR230" s="35"/>
      <c r="HIS230" s="32"/>
      <c r="HIT230" s="31"/>
      <c r="HIU230" s="31"/>
      <c r="HIV230" s="31"/>
      <c r="HIW230" s="32"/>
      <c r="HIX230" s="32"/>
      <c r="HIY230" s="32"/>
      <c r="HIZ230" s="32"/>
      <c r="HJA230" s="32"/>
      <c r="HJB230" s="31"/>
      <c r="HJC230" s="31"/>
      <c r="HJD230" s="33"/>
      <c r="HJE230" s="33"/>
      <c r="HJF230" s="34"/>
      <c r="HJG230" s="34"/>
      <c r="HJH230" s="35"/>
      <c r="HJI230" s="35"/>
      <c r="HJJ230" s="32"/>
      <c r="HJK230" s="31"/>
      <c r="HJL230" s="31"/>
      <c r="HJM230" s="31"/>
      <c r="HJN230" s="32"/>
      <c r="HJO230" s="32"/>
      <c r="HJP230" s="32"/>
      <c r="HJQ230" s="32"/>
      <c r="HJR230" s="32"/>
      <c r="HJS230" s="31"/>
      <c r="HJT230" s="31"/>
      <c r="HJU230" s="33"/>
      <c r="HJV230" s="33"/>
      <c r="HJW230" s="34"/>
      <c r="HJX230" s="34"/>
      <c r="HJY230" s="35"/>
      <c r="HJZ230" s="35"/>
      <c r="HKA230" s="32"/>
      <c r="HKB230" s="31"/>
      <c r="HKC230" s="31"/>
      <c r="HKD230" s="31"/>
      <c r="HKE230" s="32"/>
      <c r="HKF230" s="32"/>
      <c r="HKG230" s="32"/>
      <c r="HKH230" s="32"/>
      <c r="HKI230" s="32"/>
      <c r="HKJ230" s="31"/>
      <c r="HKK230" s="31"/>
      <c r="HKL230" s="33"/>
      <c r="HKM230" s="33"/>
      <c r="HKN230" s="34"/>
      <c r="HKO230" s="34"/>
      <c r="HKP230" s="35"/>
      <c r="HKQ230" s="35"/>
      <c r="HKR230" s="32"/>
      <c r="HKS230" s="31"/>
      <c r="HKT230" s="31"/>
      <c r="HKU230" s="31"/>
      <c r="HKV230" s="32"/>
      <c r="HKW230" s="32"/>
      <c r="HKX230" s="32"/>
      <c r="HKY230" s="32"/>
      <c r="HKZ230" s="32"/>
      <c r="HLA230" s="31"/>
      <c r="HLB230" s="31"/>
      <c r="HLC230" s="33"/>
      <c r="HLD230" s="33"/>
      <c r="HLE230" s="34"/>
      <c r="HLF230" s="34"/>
      <c r="HLG230" s="35"/>
      <c r="HLH230" s="35"/>
      <c r="HLI230" s="32"/>
      <c r="HLJ230" s="31"/>
      <c r="HLK230" s="31"/>
      <c r="HLL230" s="31"/>
      <c r="HLM230" s="32"/>
      <c r="HLN230" s="32"/>
      <c r="HLO230" s="32"/>
      <c r="HLP230" s="32"/>
      <c r="HLQ230" s="32"/>
      <c r="HLR230" s="31"/>
      <c r="HLS230" s="31"/>
      <c r="HLT230" s="33"/>
      <c r="HLU230" s="33"/>
      <c r="HLV230" s="34"/>
      <c r="HLW230" s="34"/>
      <c r="HLX230" s="35"/>
      <c r="HLY230" s="35"/>
      <c r="HLZ230" s="32"/>
      <c r="HMA230" s="31"/>
      <c r="HMB230" s="31"/>
      <c r="HMC230" s="31"/>
      <c r="HMD230" s="32"/>
      <c r="HME230" s="32"/>
      <c r="HMF230" s="32"/>
      <c r="HMG230" s="32"/>
      <c r="HMH230" s="32"/>
      <c r="HMI230" s="31"/>
      <c r="HMJ230" s="31"/>
      <c r="HMK230" s="33"/>
      <c r="HML230" s="33"/>
      <c r="HMM230" s="34"/>
      <c r="HMN230" s="34"/>
      <c r="HMO230" s="35"/>
      <c r="HMP230" s="35"/>
      <c r="HMQ230" s="32"/>
      <c r="HMR230" s="31"/>
      <c r="HMS230" s="31"/>
      <c r="HMT230" s="31"/>
      <c r="HMU230" s="32"/>
      <c r="HMV230" s="32"/>
      <c r="HMW230" s="32"/>
      <c r="HMX230" s="32"/>
      <c r="HMY230" s="32"/>
      <c r="HMZ230" s="31"/>
      <c r="HNA230" s="31"/>
      <c r="HNB230" s="33"/>
      <c r="HNC230" s="33"/>
      <c r="HND230" s="34"/>
      <c r="HNE230" s="34"/>
      <c r="HNF230" s="35"/>
      <c r="HNG230" s="35"/>
      <c r="HNH230" s="32"/>
      <c r="HNI230" s="31"/>
      <c r="HNJ230" s="31"/>
      <c r="HNK230" s="31"/>
      <c r="HNL230" s="32"/>
      <c r="HNM230" s="32"/>
      <c r="HNN230" s="32"/>
      <c r="HNO230" s="32"/>
      <c r="HNP230" s="32"/>
      <c r="HNQ230" s="31"/>
      <c r="HNR230" s="31"/>
      <c r="HNS230" s="33"/>
      <c r="HNT230" s="33"/>
      <c r="HNU230" s="34"/>
      <c r="HNV230" s="34"/>
      <c r="HNW230" s="35"/>
      <c r="HNX230" s="35"/>
      <c r="HNY230" s="32"/>
      <c r="HNZ230" s="31"/>
      <c r="HOA230" s="31"/>
      <c r="HOB230" s="31"/>
      <c r="HOC230" s="32"/>
      <c r="HOD230" s="32"/>
      <c r="HOE230" s="32"/>
      <c r="HOF230" s="32"/>
      <c r="HOG230" s="32"/>
      <c r="HOH230" s="31"/>
      <c r="HOI230" s="31"/>
      <c r="HOJ230" s="33"/>
      <c r="HOK230" s="33"/>
      <c r="HOL230" s="34"/>
      <c r="HOM230" s="34"/>
      <c r="HON230" s="35"/>
      <c r="HOO230" s="35"/>
      <c r="HOP230" s="32"/>
      <c r="HOQ230" s="31"/>
      <c r="HOR230" s="31"/>
      <c r="HOS230" s="31"/>
      <c r="HOT230" s="32"/>
      <c r="HOU230" s="32"/>
      <c r="HOV230" s="32"/>
      <c r="HOW230" s="32"/>
      <c r="HOX230" s="32"/>
      <c r="HOY230" s="31"/>
      <c r="HOZ230" s="31"/>
      <c r="HPA230" s="33"/>
      <c r="HPB230" s="33"/>
      <c r="HPC230" s="34"/>
      <c r="HPD230" s="34"/>
      <c r="HPE230" s="35"/>
      <c r="HPF230" s="35"/>
      <c r="HPG230" s="32"/>
      <c r="HPH230" s="31"/>
      <c r="HPI230" s="31"/>
      <c r="HPJ230" s="31"/>
      <c r="HPK230" s="32"/>
      <c r="HPL230" s="32"/>
      <c r="HPM230" s="32"/>
      <c r="HPN230" s="32"/>
      <c r="HPO230" s="32"/>
      <c r="HPP230" s="31"/>
      <c r="HPQ230" s="31"/>
      <c r="HPR230" s="33"/>
      <c r="HPS230" s="33"/>
      <c r="HPT230" s="34"/>
      <c r="HPU230" s="34"/>
      <c r="HPV230" s="35"/>
      <c r="HPW230" s="35"/>
      <c r="HPX230" s="32"/>
      <c r="HPY230" s="31"/>
      <c r="HPZ230" s="31"/>
      <c r="HQA230" s="31"/>
      <c r="HQB230" s="32"/>
      <c r="HQC230" s="32"/>
      <c r="HQD230" s="32"/>
      <c r="HQE230" s="32"/>
      <c r="HQF230" s="32"/>
      <c r="HQG230" s="31"/>
      <c r="HQH230" s="31"/>
      <c r="HQI230" s="33"/>
      <c r="HQJ230" s="33"/>
      <c r="HQK230" s="34"/>
      <c r="HQL230" s="34"/>
      <c r="HQM230" s="35"/>
      <c r="HQN230" s="35"/>
      <c r="HQO230" s="32"/>
      <c r="HQP230" s="31"/>
      <c r="HQQ230" s="31"/>
      <c r="HQR230" s="31"/>
      <c r="HQS230" s="32"/>
      <c r="HQT230" s="32"/>
      <c r="HQU230" s="32"/>
      <c r="HQV230" s="32"/>
      <c r="HQW230" s="32"/>
      <c r="HQX230" s="31"/>
      <c r="HQY230" s="31"/>
      <c r="HQZ230" s="33"/>
      <c r="HRA230" s="33"/>
      <c r="HRB230" s="34"/>
      <c r="HRC230" s="34"/>
      <c r="HRD230" s="35"/>
      <c r="HRE230" s="35"/>
      <c r="HRF230" s="32"/>
      <c r="HRG230" s="31"/>
      <c r="HRH230" s="31"/>
      <c r="HRI230" s="31"/>
      <c r="HRJ230" s="32"/>
      <c r="HRK230" s="32"/>
      <c r="HRL230" s="32"/>
      <c r="HRM230" s="32"/>
      <c r="HRN230" s="32"/>
      <c r="HRO230" s="31"/>
      <c r="HRP230" s="31"/>
      <c r="HRQ230" s="33"/>
      <c r="HRR230" s="33"/>
      <c r="HRS230" s="34"/>
      <c r="HRT230" s="34"/>
      <c r="HRU230" s="35"/>
      <c r="HRV230" s="35"/>
      <c r="HRW230" s="32"/>
      <c r="HRX230" s="31"/>
      <c r="HRY230" s="31"/>
      <c r="HRZ230" s="31"/>
      <c r="HSA230" s="32"/>
      <c r="HSB230" s="32"/>
      <c r="HSC230" s="32"/>
      <c r="HSD230" s="32"/>
      <c r="HSE230" s="32"/>
      <c r="HSF230" s="31"/>
      <c r="HSG230" s="31"/>
      <c r="HSH230" s="33"/>
      <c r="HSI230" s="33"/>
      <c r="HSJ230" s="34"/>
      <c r="HSK230" s="34"/>
      <c r="HSL230" s="35"/>
      <c r="HSM230" s="35"/>
      <c r="HSN230" s="32"/>
      <c r="HSO230" s="31"/>
      <c r="HSP230" s="31"/>
      <c r="HSQ230" s="31"/>
      <c r="HSR230" s="32"/>
      <c r="HSS230" s="32"/>
      <c r="HST230" s="32"/>
      <c r="HSU230" s="32"/>
      <c r="HSV230" s="32"/>
      <c r="HSW230" s="31"/>
      <c r="HSX230" s="31"/>
      <c r="HSY230" s="33"/>
      <c r="HSZ230" s="33"/>
      <c r="HTA230" s="34"/>
      <c r="HTB230" s="34"/>
      <c r="HTC230" s="35"/>
      <c r="HTD230" s="35"/>
      <c r="HTE230" s="32"/>
      <c r="HTF230" s="31"/>
      <c r="HTG230" s="31"/>
      <c r="HTH230" s="31"/>
      <c r="HTI230" s="32"/>
      <c r="HTJ230" s="32"/>
      <c r="HTK230" s="32"/>
      <c r="HTL230" s="32"/>
      <c r="HTM230" s="32"/>
      <c r="HTN230" s="31"/>
      <c r="HTO230" s="31"/>
      <c r="HTP230" s="33"/>
      <c r="HTQ230" s="33"/>
      <c r="HTR230" s="34"/>
      <c r="HTS230" s="34"/>
      <c r="HTT230" s="35"/>
      <c r="HTU230" s="35"/>
      <c r="HTV230" s="32"/>
      <c r="HTW230" s="31"/>
      <c r="HTX230" s="31"/>
      <c r="HTY230" s="31"/>
      <c r="HTZ230" s="32"/>
      <c r="HUA230" s="32"/>
      <c r="HUB230" s="32"/>
      <c r="HUC230" s="32"/>
      <c r="HUD230" s="32"/>
      <c r="HUE230" s="31"/>
      <c r="HUF230" s="31"/>
      <c r="HUG230" s="33"/>
      <c r="HUH230" s="33"/>
      <c r="HUI230" s="34"/>
      <c r="HUJ230" s="34"/>
      <c r="HUK230" s="35"/>
      <c r="HUL230" s="35"/>
      <c r="HUM230" s="32"/>
      <c r="HUN230" s="31"/>
      <c r="HUO230" s="31"/>
      <c r="HUP230" s="31"/>
      <c r="HUQ230" s="32"/>
      <c r="HUR230" s="32"/>
      <c r="HUS230" s="32"/>
      <c r="HUT230" s="32"/>
      <c r="HUU230" s="32"/>
      <c r="HUV230" s="31"/>
      <c r="HUW230" s="31"/>
      <c r="HUX230" s="33"/>
      <c r="HUY230" s="33"/>
      <c r="HUZ230" s="34"/>
      <c r="HVA230" s="34"/>
      <c r="HVB230" s="35"/>
      <c r="HVC230" s="35"/>
      <c r="HVD230" s="32"/>
      <c r="HVE230" s="31"/>
      <c r="HVF230" s="31"/>
      <c r="HVG230" s="31"/>
      <c r="HVH230" s="32"/>
      <c r="HVI230" s="32"/>
      <c r="HVJ230" s="32"/>
      <c r="HVK230" s="32"/>
      <c r="HVL230" s="32"/>
      <c r="HVM230" s="31"/>
      <c r="HVN230" s="31"/>
      <c r="HVO230" s="33"/>
      <c r="HVP230" s="33"/>
      <c r="HVQ230" s="34"/>
      <c r="HVR230" s="34"/>
      <c r="HVS230" s="35"/>
      <c r="HVT230" s="35"/>
      <c r="HVU230" s="32"/>
      <c r="HVV230" s="31"/>
      <c r="HVW230" s="31"/>
      <c r="HVX230" s="31"/>
      <c r="HVY230" s="32"/>
      <c r="HVZ230" s="32"/>
      <c r="HWA230" s="32"/>
      <c r="HWB230" s="32"/>
      <c r="HWC230" s="32"/>
      <c r="HWD230" s="31"/>
      <c r="HWE230" s="31"/>
      <c r="HWF230" s="33"/>
      <c r="HWG230" s="33"/>
      <c r="HWH230" s="34"/>
      <c r="HWI230" s="34"/>
      <c r="HWJ230" s="35"/>
      <c r="HWK230" s="35"/>
      <c r="HWL230" s="32"/>
      <c r="HWM230" s="31"/>
      <c r="HWN230" s="31"/>
      <c r="HWO230" s="31"/>
      <c r="HWP230" s="32"/>
      <c r="HWQ230" s="32"/>
      <c r="HWR230" s="32"/>
      <c r="HWS230" s="32"/>
      <c r="HWT230" s="32"/>
      <c r="HWU230" s="31"/>
      <c r="HWV230" s="31"/>
      <c r="HWW230" s="33"/>
      <c r="HWX230" s="33"/>
      <c r="HWY230" s="34"/>
      <c r="HWZ230" s="34"/>
      <c r="HXA230" s="35"/>
      <c r="HXB230" s="35"/>
      <c r="HXC230" s="32"/>
      <c r="HXD230" s="31"/>
      <c r="HXE230" s="31"/>
      <c r="HXF230" s="31"/>
      <c r="HXG230" s="32"/>
      <c r="HXH230" s="32"/>
      <c r="HXI230" s="32"/>
      <c r="HXJ230" s="32"/>
      <c r="HXK230" s="32"/>
      <c r="HXL230" s="31"/>
      <c r="HXM230" s="31"/>
      <c r="HXN230" s="33"/>
      <c r="HXO230" s="33"/>
      <c r="HXP230" s="34"/>
      <c r="HXQ230" s="34"/>
      <c r="HXR230" s="35"/>
      <c r="HXS230" s="35"/>
      <c r="HXT230" s="32"/>
      <c r="HXU230" s="31"/>
      <c r="HXV230" s="31"/>
      <c r="HXW230" s="31"/>
      <c r="HXX230" s="32"/>
      <c r="HXY230" s="32"/>
      <c r="HXZ230" s="32"/>
      <c r="HYA230" s="32"/>
      <c r="HYB230" s="32"/>
      <c r="HYC230" s="31"/>
      <c r="HYD230" s="31"/>
      <c r="HYE230" s="33"/>
      <c r="HYF230" s="33"/>
      <c r="HYG230" s="34"/>
      <c r="HYH230" s="34"/>
      <c r="HYI230" s="35"/>
      <c r="HYJ230" s="35"/>
      <c r="HYK230" s="32"/>
      <c r="HYL230" s="31"/>
      <c r="HYM230" s="31"/>
      <c r="HYN230" s="31"/>
      <c r="HYO230" s="32"/>
      <c r="HYP230" s="32"/>
      <c r="HYQ230" s="32"/>
      <c r="HYR230" s="32"/>
      <c r="HYS230" s="32"/>
      <c r="HYT230" s="31"/>
      <c r="HYU230" s="31"/>
      <c r="HYV230" s="33"/>
      <c r="HYW230" s="33"/>
      <c r="HYX230" s="34"/>
      <c r="HYY230" s="34"/>
      <c r="HYZ230" s="35"/>
      <c r="HZA230" s="35"/>
      <c r="HZB230" s="32"/>
      <c r="HZC230" s="31"/>
      <c r="HZD230" s="31"/>
      <c r="HZE230" s="31"/>
      <c r="HZF230" s="32"/>
      <c r="HZG230" s="32"/>
      <c r="HZH230" s="32"/>
      <c r="HZI230" s="32"/>
      <c r="HZJ230" s="32"/>
      <c r="HZK230" s="31"/>
      <c r="HZL230" s="31"/>
      <c r="HZM230" s="33"/>
      <c r="HZN230" s="33"/>
      <c r="HZO230" s="34"/>
      <c r="HZP230" s="34"/>
      <c r="HZQ230" s="35"/>
      <c r="HZR230" s="35"/>
      <c r="HZS230" s="32"/>
      <c r="HZT230" s="31"/>
      <c r="HZU230" s="31"/>
      <c r="HZV230" s="31"/>
      <c r="HZW230" s="32"/>
      <c r="HZX230" s="32"/>
      <c r="HZY230" s="32"/>
      <c r="HZZ230" s="32"/>
      <c r="IAA230" s="32"/>
      <c r="IAB230" s="31"/>
      <c r="IAC230" s="31"/>
      <c r="IAD230" s="33"/>
      <c r="IAE230" s="33"/>
      <c r="IAF230" s="34"/>
      <c r="IAG230" s="34"/>
      <c r="IAH230" s="35"/>
      <c r="IAI230" s="35"/>
      <c r="IAJ230" s="32"/>
      <c r="IAK230" s="31"/>
      <c r="IAL230" s="31"/>
      <c r="IAM230" s="31"/>
      <c r="IAN230" s="32"/>
      <c r="IAO230" s="32"/>
      <c r="IAP230" s="32"/>
      <c r="IAQ230" s="32"/>
      <c r="IAR230" s="32"/>
      <c r="IAS230" s="31"/>
      <c r="IAT230" s="31"/>
      <c r="IAU230" s="33"/>
      <c r="IAV230" s="33"/>
      <c r="IAW230" s="34"/>
      <c r="IAX230" s="34"/>
      <c r="IAY230" s="35"/>
      <c r="IAZ230" s="35"/>
      <c r="IBA230" s="32"/>
      <c r="IBB230" s="31"/>
      <c r="IBC230" s="31"/>
      <c r="IBD230" s="31"/>
      <c r="IBE230" s="32"/>
      <c r="IBF230" s="32"/>
      <c r="IBG230" s="32"/>
      <c r="IBH230" s="32"/>
      <c r="IBI230" s="32"/>
      <c r="IBJ230" s="31"/>
      <c r="IBK230" s="31"/>
      <c r="IBL230" s="33"/>
      <c r="IBM230" s="33"/>
      <c r="IBN230" s="34"/>
      <c r="IBO230" s="34"/>
      <c r="IBP230" s="35"/>
      <c r="IBQ230" s="35"/>
      <c r="IBR230" s="32"/>
      <c r="IBS230" s="31"/>
      <c r="IBT230" s="31"/>
      <c r="IBU230" s="31"/>
      <c r="IBV230" s="32"/>
      <c r="IBW230" s="32"/>
      <c r="IBX230" s="32"/>
      <c r="IBY230" s="32"/>
      <c r="IBZ230" s="32"/>
      <c r="ICA230" s="31"/>
      <c r="ICB230" s="31"/>
      <c r="ICC230" s="33"/>
      <c r="ICD230" s="33"/>
      <c r="ICE230" s="34"/>
      <c r="ICF230" s="34"/>
      <c r="ICG230" s="35"/>
      <c r="ICH230" s="35"/>
      <c r="ICI230" s="32"/>
      <c r="ICJ230" s="31"/>
      <c r="ICK230" s="31"/>
      <c r="ICL230" s="31"/>
      <c r="ICM230" s="32"/>
      <c r="ICN230" s="32"/>
      <c r="ICO230" s="32"/>
      <c r="ICP230" s="32"/>
      <c r="ICQ230" s="32"/>
      <c r="ICR230" s="31"/>
      <c r="ICS230" s="31"/>
      <c r="ICT230" s="33"/>
      <c r="ICU230" s="33"/>
      <c r="ICV230" s="34"/>
      <c r="ICW230" s="34"/>
      <c r="ICX230" s="35"/>
      <c r="ICY230" s="35"/>
      <c r="ICZ230" s="32"/>
      <c r="IDA230" s="31"/>
      <c r="IDB230" s="31"/>
      <c r="IDC230" s="31"/>
      <c r="IDD230" s="32"/>
      <c r="IDE230" s="32"/>
      <c r="IDF230" s="32"/>
      <c r="IDG230" s="32"/>
      <c r="IDH230" s="32"/>
      <c r="IDI230" s="31"/>
      <c r="IDJ230" s="31"/>
      <c r="IDK230" s="33"/>
      <c r="IDL230" s="33"/>
      <c r="IDM230" s="34"/>
      <c r="IDN230" s="34"/>
      <c r="IDO230" s="35"/>
      <c r="IDP230" s="35"/>
      <c r="IDQ230" s="32"/>
      <c r="IDR230" s="31"/>
      <c r="IDS230" s="31"/>
      <c r="IDT230" s="31"/>
      <c r="IDU230" s="32"/>
      <c r="IDV230" s="32"/>
      <c r="IDW230" s="32"/>
      <c r="IDX230" s="32"/>
      <c r="IDY230" s="32"/>
      <c r="IDZ230" s="31"/>
      <c r="IEA230" s="31"/>
      <c r="IEB230" s="33"/>
      <c r="IEC230" s="33"/>
      <c r="IED230" s="34"/>
      <c r="IEE230" s="34"/>
      <c r="IEF230" s="35"/>
      <c r="IEG230" s="35"/>
      <c r="IEH230" s="32"/>
      <c r="IEI230" s="31"/>
      <c r="IEJ230" s="31"/>
      <c r="IEK230" s="31"/>
      <c r="IEL230" s="32"/>
      <c r="IEM230" s="32"/>
      <c r="IEN230" s="32"/>
      <c r="IEO230" s="32"/>
      <c r="IEP230" s="32"/>
      <c r="IEQ230" s="31"/>
      <c r="IER230" s="31"/>
      <c r="IES230" s="33"/>
      <c r="IET230" s="33"/>
      <c r="IEU230" s="34"/>
      <c r="IEV230" s="34"/>
      <c r="IEW230" s="35"/>
      <c r="IEX230" s="35"/>
      <c r="IEY230" s="32"/>
      <c r="IEZ230" s="31"/>
      <c r="IFA230" s="31"/>
      <c r="IFB230" s="31"/>
      <c r="IFC230" s="32"/>
      <c r="IFD230" s="32"/>
      <c r="IFE230" s="32"/>
      <c r="IFF230" s="32"/>
      <c r="IFG230" s="32"/>
      <c r="IFH230" s="31"/>
      <c r="IFI230" s="31"/>
      <c r="IFJ230" s="33"/>
      <c r="IFK230" s="33"/>
      <c r="IFL230" s="34"/>
      <c r="IFM230" s="34"/>
      <c r="IFN230" s="35"/>
      <c r="IFO230" s="35"/>
      <c r="IFP230" s="32"/>
      <c r="IFQ230" s="31"/>
      <c r="IFR230" s="31"/>
      <c r="IFS230" s="31"/>
      <c r="IFT230" s="32"/>
      <c r="IFU230" s="32"/>
      <c r="IFV230" s="32"/>
      <c r="IFW230" s="32"/>
      <c r="IFX230" s="32"/>
      <c r="IFY230" s="31"/>
      <c r="IFZ230" s="31"/>
      <c r="IGA230" s="33"/>
      <c r="IGB230" s="33"/>
      <c r="IGC230" s="34"/>
      <c r="IGD230" s="34"/>
      <c r="IGE230" s="35"/>
      <c r="IGF230" s="35"/>
      <c r="IGG230" s="32"/>
      <c r="IGH230" s="31"/>
      <c r="IGI230" s="31"/>
      <c r="IGJ230" s="31"/>
      <c r="IGK230" s="32"/>
      <c r="IGL230" s="32"/>
      <c r="IGM230" s="32"/>
      <c r="IGN230" s="32"/>
      <c r="IGO230" s="32"/>
      <c r="IGP230" s="31"/>
      <c r="IGQ230" s="31"/>
      <c r="IGR230" s="33"/>
      <c r="IGS230" s="33"/>
      <c r="IGT230" s="34"/>
      <c r="IGU230" s="34"/>
      <c r="IGV230" s="35"/>
      <c r="IGW230" s="35"/>
      <c r="IGX230" s="32"/>
      <c r="IGY230" s="31"/>
      <c r="IGZ230" s="31"/>
      <c r="IHA230" s="31"/>
      <c r="IHB230" s="32"/>
      <c r="IHC230" s="32"/>
      <c r="IHD230" s="32"/>
      <c r="IHE230" s="32"/>
      <c r="IHF230" s="32"/>
      <c r="IHG230" s="31"/>
      <c r="IHH230" s="31"/>
      <c r="IHI230" s="33"/>
      <c r="IHJ230" s="33"/>
      <c r="IHK230" s="34"/>
      <c r="IHL230" s="34"/>
      <c r="IHM230" s="35"/>
      <c r="IHN230" s="35"/>
      <c r="IHO230" s="32"/>
      <c r="IHP230" s="31"/>
      <c r="IHQ230" s="31"/>
      <c r="IHR230" s="31"/>
      <c r="IHS230" s="32"/>
      <c r="IHT230" s="32"/>
      <c r="IHU230" s="32"/>
      <c r="IHV230" s="32"/>
      <c r="IHW230" s="32"/>
      <c r="IHX230" s="31"/>
      <c r="IHY230" s="31"/>
      <c r="IHZ230" s="33"/>
      <c r="IIA230" s="33"/>
      <c r="IIB230" s="34"/>
      <c r="IIC230" s="34"/>
      <c r="IID230" s="35"/>
      <c r="IIE230" s="35"/>
      <c r="IIF230" s="32"/>
      <c r="IIG230" s="31"/>
      <c r="IIH230" s="31"/>
      <c r="III230" s="31"/>
      <c r="IIJ230" s="32"/>
      <c r="IIK230" s="32"/>
      <c r="IIL230" s="32"/>
      <c r="IIM230" s="32"/>
      <c r="IIN230" s="32"/>
      <c r="IIO230" s="31"/>
      <c r="IIP230" s="31"/>
      <c r="IIQ230" s="33"/>
      <c r="IIR230" s="33"/>
      <c r="IIS230" s="34"/>
      <c r="IIT230" s="34"/>
      <c r="IIU230" s="35"/>
      <c r="IIV230" s="35"/>
      <c r="IIW230" s="32"/>
      <c r="IIX230" s="31"/>
      <c r="IIY230" s="31"/>
      <c r="IIZ230" s="31"/>
      <c r="IJA230" s="32"/>
      <c r="IJB230" s="32"/>
      <c r="IJC230" s="32"/>
      <c r="IJD230" s="32"/>
      <c r="IJE230" s="32"/>
      <c r="IJF230" s="31"/>
      <c r="IJG230" s="31"/>
      <c r="IJH230" s="33"/>
      <c r="IJI230" s="33"/>
      <c r="IJJ230" s="34"/>
      <c r="IJK230" s="34"/>
      <c r="IJL230" s="35"/>
      <c r="IJM230" s="35"/>
      <c r="IJN230" s="32"/>
      <c r="IJO230" s="31"/>
      <c r="IJP230" s="31"/>
      <c r="IJQ230" s="31"/>
      <c r="IJR230" s="32"/>
      <c r="IJS230" s="32"/>
      <c r="IJT230" s="32"/>
      <c r="IJU230" s="32"/>
      <c r="IJV230" s="32"/>
      <c r="IJW230" s="31"/>
      <c r="IJX230" s="31"/>
      <c r="IJY230" s="33"/>
      <c r="IJZ230" s="33"/>
      <c r="IKA230" s="34"/>
      <c r="IKB230" s="34"/>
      <c r="IKC230" s="35"/>
      <c r="IKD230" s="35"/>
      <c r="IKE230" s="32"/>
      <c r="IKF230" s="31"/>
      <c r="IKG230" s="31"/>
      <c r="IKH230" s="31"/>
      <c r="IKI230" s="32"/>
      <c r="IKJ230" s="32"/>
      <c r="IKK230" s="32"/>
      <c r="IKL230" s="32"/>
      <c r="IKM230" s="32"/>
      <c r="IKN230" s="31"/>
      <c r="IKO230" s="31"/>
      <c r="IKP230" s="33"/>
      <c r="IKQ230" s="33"/>
      <c r="IKR230" s="34"/>
      <c r="IKS230" s="34"/>
      <c r="IKT230" s="35"/>
      <c r="IKU230" s="35"/>
      <c r="IKV230" s="32"/>
      <c r="IKW230" s="31"/>
      <c r="IKX230" s="31"/>
      <c r="IKY230" s="31"/>
      <c r="IKZ230" s="32"/>
      <c r="ILA230" s="32"/>
      <c r="ILB230" s="32"/>
      <c r="ILC230" s="32"/>
      <c r="ILD230" s="32"/>
      <c r="ILE230" s="31"/>
      <c r="ILF230" s="31"/>
      <c r="ILG230" s="33"/>
      <c r="ILH230" s="33"/>
      <c r="ILI230" s="34"/>
      <c r="ILJ230" s="34"/>
      <c r="ILK230" s="35"/>
      <c r="ILL230" s="35"/>
      <c r="ILM230" s="32"/>
      <c r="ILN230" s="31"/>
      <c r="ILO230" s="31"/>
      <c r="ILP230" s="31"/>
      <c r="ILQ230" s="32"/>
      <c r="ILR230" s="32"/>
      <c r="ILS230" s="32"/>
      <c r="ILT230" s="32"/>
      <c r="ILU230" s="32"/>
      <c r="ILV230" s="31"/>
      <c r="ILW230" s="31"/>
      <c r="ILX230" s="33"/>
      <c r="ILY230" s="33"/>
      <c r="ILZ230" s="34"/>
      <c r="IMA230" s="34"/>
      <c r="IMB230" s="35"/>
      <c r="IMC230" s="35"/>
      <c r="IMD230" s="32"/>
      <c r="IME230" s="31"/>
      <c r="IMF230" s="31"/>
      <c r="IMG230" s="31"/>
      <c r="IMH230" s="32"/>
      <c r="IMI230" s="32"/>
      <c r="IMJ230" s="32"/>
      <c r="IMK230" s="32"/>
      <c r="IML230" s="32"/>
      <c r="IMM230" s="31"/>
      <c r="IMN230" s="31"/>
      <c r="IMO230" s="33"/>
      <c r="IMP230" s="33"/>
      <c r="IMQ230" s="34"/>
      <c r="IMR230" s="34"/>
      <c r="IMS230" s="35"/>
      <c r="IMT230" s="35"/>
      <c r="IMU230" s="32"/>
      <c r="IMV230" s="31"/>
      <c r="IMW230" s="31"/>
      <c r="IMX230" s="31"/>
      <c r="IMY230" s="32"/>
      <c r="IMZ230" s="32"/>
      <c r="INA230" s="32"/>
      <c r="INB230" s="32"/>
      <c r="INC230" s="32"/>
      <c r="IND230" s="31"/>
      <c r="INE230" s="31"/>
      <c r="INF230" s="33"/>
      <c r="ING230" s="33"/>
      <c r="INH230" s="34"/>
      <c r="INI230" s="34"/>
      <c r="INJ230" s="35"/>
      <c r="INK230" s="35"/>
      <c r="INL230" s="32"/>
      <c r="INM230" s="31"/>
      <c r="INN230" s="31"/>
      <c r="INO230" s="31"/>
      <c r="INP230" s="32"/>
      <c r="INQ230" s="32"/>
      <c r="INR230" s="32"/>
      <c r="INS230" s="32"/>
      <c r="INT230" s="32"/>
      <c r="INU230" s="31"/>
      <c r="INV230" s="31"/>
      <c r="INW230" s="33"/>
      <c r="INX230" s="33"/>
      <c r="INY230" s="34"/>
      <c r="INZ230" s="34"/>
      <c r="IOA230" s="35"/>
      <c r="IOB230" s="35"/>
      <c r="IOC230" s="32"/>
      <c r="IOD230" s="31"/>
      <c r="IOE230" s="31"/>
      <c r="IOF230" s="31"/>
      <c r="IOG230" s="32"/>
      <c r="IOH230" s="32"/>
      <c r="IOI230" s="32"/>
      <c r="IOJ230" s="32"/>
      <c r="IOK230" s="32"/>
      <c r="IOL230" s="31"/>
      <c r="IOM230" s="31"/>
      <c r="ION230" s="33"/>
      <c r="IOO230" s="33"/>
      <c r="IOP230" s="34"/>
      <c r="IOQ230" s="34"/>
      <c r="IOR230" s="35"/>
      <c r="IOS230" s="35"/>
      <c r="IOT230" s="32"/>
      <c r="IOU230" s="31"/>
      <c r="IOV230" s="31"/>
      <c r="IOW230" s="31"/>
      <c r="IOX230" s="32"/>
      <c r="IOY230" s="32"/>
      <c r="IOZ230" s="32"/>
      <c r="IPA230" s="32"/>
      <c r="IPB230" s="32"/>
      <c r="IPC230" s="31"/>
      <c r="IPD230" s="31"/>
      <c r="IPE230" s="33"/>
      <c r="IPF230" s="33"/>
      <c r="IPG230" s="34"/>
      <c r="IPH230" s="34"/>
      <c r="IPI230" s="35"/>
      <c r="IPJ230" s="35"/>
      <c r="IPK230" s="32"/>
      <c r="IPL230" s="31"/>
      <c r="IPM230" s="31"/>
      <c r="IPN230" s="31"/>
      <c r="IPO230" s="32"/>
      <c r="IPP230" s="32"/>
      <c r="IPQ230" s="32"/>
      <c r="IPR230" s="32"/>
      <c r="IPS230" s="32"/>
      <c r="IPT230" s="31"/>
      <c r="IPU230" s="31"/>
      <c r="IPV230" s="33"/>
      <c r="IPW230" s="33"/>
      <c r="IPX230" s="34"/>
      <c r="IPY230" s="34"/>
      <c r="IPZ230" s="35"/>
      <c r="IQA230" s="35"/>
      <c r="IQB230" s="32"/>
      <c r="IQC230" s="31"/>
      <c r="IQD230" s="31"/>
      <c r="IQE230" s="31"/>
      <c r="IQF230" s="32"/>
      <c r="IQG230" s="32"/>
      <c r="IQH230" s="32"/>
      <c r="IQI230" s="32"/>
      <c r="IQJ230" s="32"/>
      <c r="IQK230" s="31"/>
      <c r="IQL230" s="31"/>
      <c r="IQM230" s="33"/>
      <c r="IQN230" s="33"/>
      <c r="IQO230" s="34"/>
      <c r="IQP230" s="34"/>
      <c r="IQQ230" s="35"/>
      <c r="IQR230" s="35"/>
      <c r="IQS230" s="32"/>
      <c r="IQT230" s="31"/>
      <c r="IQU230" s="31"/>
      <c r="IQV230" s="31"/>
      <c r="IQW230" s="32"/>
      <c r="IQX230" s="32"/>
      <c r="IQY230" s="32"/>
      <c r="IQZ230" s="32"/>
      <c r="IRA230" s="32"/>
      <c r="IRB230" s="31"/>
      <c r="IRC230" s="31"/>
      <c r="IRD230" s="33"/>
      <c r="IRE230" s="33"/>
      <c r="IRF230" s="34"/>
      <c r="IRG230" s="34"/>
      <c r="IRH230" s="35"/>
      <c r="IRI230" s="35"/>
      <c r="IRJ230" s="32"/>
      <c r="IRK230" s="31"/>
      <c r="IRL230" s="31"/>
      <c r="IRM230" s="31"/>
      <c r="IRN230" s="32"/>
      <c r="IRO230" s="32"/>
      <c r="IRP230" s="32"/>
      <c r="IRQ230" s="32"/>
      <c r="IRR230" s="32"/>
      <c r="IRS230" s="31"/>
      <c r="IRT230" s="31"/>
      <c r="IRU230" s="33"/>
      <c r="IRV230" s="33"/>
      <c r="IRW230" s="34"/>
      <c r="IRX230" s="34"/>
      <c r="IRY230" s="35"/>
      <c r="IRZ230" s="35"/>
      <c r="ISA230" s="32"/>
      <c r="ISB230" s="31"/>
      <c r="ISC230" s="31"/>
      <c r="ISD230" s="31"/>
      <c r="ISE230" s="32"/>
      <c r="ISF230" s="32"/>
      <c r="ISG230" s="32"/>
      <c r="ISH230" s="32"/>
      <c r="ISI230" s="32"/>
      <c r="ISJ230" s="31"/>
      <c r="ISK230" s="31"/>
      <c r="ISL230" s="33"/>
      <c r="ISM230" s="33"/>
      <c r="ISN230" s="34"/>
      <c r="ISO230" s="34"/>
      <c r="ISP230" s="35"/>
      <c r="ISQ230" s="35"/>
      <c r="ISR230" s="32"/>
      <c r="ISS230" s="31"/>
      <c r="IST230" s="31"/>
      <c r="ISU230" s="31"/>
      <c r="ISV230" s="32"/>
      <c r="ISW230" s="32"/>
      <c r="ISX230" s="32"/>
      <c r="ISY230" s="32"/>
      <c r="ISZ230" s="32"/>
      <c r="ITA230" s="31"/>
      <c r="ITB230" s="31"/>
      <c r="ITC230" s="33"/>
      <c r="ITD230" s="33"/>
      <c r="ITE230" s="34"/>
      <c r="ITF230" s="34"/>
      <c r="ITG230" s="35"/>
      <c r="ITH230" s="35"/>
      <c r="ITI230" s="32"/>
      <c r="ITJ230" s="31"/>
      <c r="ITK230" s="31"/>
      <c r="ITL230" s="31"/>
      <c r="ITM230" s="32"/>
      <c r="ITN230" s="32"/>
      <c r="ITO230" s="32"/>
      <c r="ITP230" s="32"/>
      <c r="ITQ230" s="32"/>
      <c r="ITR230" s="31"/>
      <c r="ITS230" s="31"/>
      <c r="ITT230" s="33"/>
      <c r="ITU230" s="33"/>
      <c r="ITV230" s="34"/>
      <c r="ITW230" s="34"/>
      <c r="ITX230" s="35"/>
      <c r="ITY230" s="35"/>
      <c r="ITZ230" s="32"/>
      <c r="IUA230" s="31"/>
      <c r="IUB230" s="31"/>
      <c r="IUC230" s="31"/>
      <c r="IUD230" s="32"/>
      <c r="IUE230" s="32"/>
      <c r="IUF230" s="32"/>
      <c r="IUG230" s="32"/>
      <c r="IUH230" s="32"/>
      <c r="IUI230" s="31"/>
      <c r="IUJ230" s="31"/>
      <c r="IUK230" s="33"/>
      <c r="IUL230" s="33"/>
      <c r="IUM230" s="34"/>
      <c r="IUN230" s="34"/>
      <c r="IUO230" s="35"/>
      <c r="IUP230" s="35"/>
      <c r="IUQ230" s="32"/>
      <c r="IUR230" s="31"/>
      <c r="IUS230" s="31"/>
      <c r="IUT230" s="31"/>
      <c r="IUU230" s="32"/>
      <c r="IUV230" s="32"/>
      <c r="IUW230" s="32"/>
      <c r="IUX230" s="32"/>
      <c r="IUY230" s="32"/>
      <c r="IUZ230" s="31"/>
      <c r="IVA230" s="31"/>
      <c r="IVB230" s="33"/>
      <c r="IVC230" s="33"/>
      <c r="IVD230" s="34"/>
      <c r="IVE230" s="34"/>
      <c r="IVF230" s="35"/>
      <c r="IVG230" s="35"/>
      <c r="IVH230" s="32"/>
      <c r="IVI230" s="31"/>
      <c r="IVJ230" s="31"/>
      <c r="IVK230" s="31"/>
      <c r="IVL230" s="32"/>
      <c r="IVM230" s="32"/>
      <c r="IVN230" s="32"/>
      <c r="IVO230" s="32"/>
      <c r="IVP230" s="32"/>
      <c r="IVQ230" s="31"/>
      <c r="IVR230" s="31"/>
      <c r="IVS230" s="33"/>
      <c r="IVT230" s="33"/>
      <c r="IVU230" s="34"/>
      <c r="IVV230" s="34"/>
      <c r="IVW230" s="35"/>
      <c r="IVX230" s="35"/>
      <c r="IVY230" s="32"/>
      <c r="IVZ230" s="31"/>
      <c r="IWA230" s="31"/>
      <c r="IWB230" s="31"/>
      <c r="IWC230" s="32"/>
      <c r="IWD230" s="32"/>
      <c r="IWE230" s="32"/>
      <c r="IWF230" s="32"/>
      <c r="IWG230" s="32"/>
      <c r="IWH230" s="31"/>
      <c r="IWI230" s="31"/>
      <c r="IWJ230" s="33"/>
      <c r="IWK230" s="33"/>
      <c r="IWL230" s="34"/>
      <c r="IWM230" s="34"/>
      <c r="IWN230" s="35"/>
      <c r="IWO230" s="35"/>
      <c r="IWP230" s="32"/>
      <c r="IWQ230" s="31"/>
      <c r="IWR230" s="31"/>
      <c r="IWS230" s="31"/>
      <c r="IWT230" s="32"/>
      <c r="IWU230" s="32"/>
      <c r="IWV230" s="32"/>
      <c r="IWW230" s="32"/>
      <c r="IWX230" s="32"/>
      <c r="IWY230" s="31"/>
      <c r="IWZ230" s="31"/>
      <c r="IXA230" s="33"/>
      <c r="IXB230" s="33"/>
      <c r="IXC230" s="34"/>
      <c r="IXD230" s="34"/>
      <c r="IXE230" s="35"/>
      <c r="IXF230" s="35"/>
      <c r="IXG230" s="32"/>
      <c r="IXH230" s="31"/>
      <c r="IXI230" s="31"/>
      <c r="IXJ230" s="31"/>
      <c r="IXK230" s="32"/>
      <c r="IXL230" s="32"/>
      <c r="IXM230" s="32"/>
      <c r="IXN230" s="32"/>
      <c r="IXO230" s="32"/>
      <c r="IXP230" s="31"/>
      <c r="IXQ230" s="31"/>
      <c r="IXR230" s="33"/>
      <c r="IXS230" s="33"/>
      <c r="IXT230" s="34"/>
      <c r="IXU230" s="34"/>
      <c r="IXV230" s="35"/>
      <c r="IXW230" s="35"/>
      <c r="IXX230" s="32"/>
      <c r="IXY230" s="31"/>
      <c r="IXZ230" s="31"/>
      <c r="IYA230" s="31"/>
      <c r="IYB230" s="32"/>
      <c r="IYC230" s="32"/>
      <c r="IYD230" s="32"/>
      <c r="IYE230" s="32"/>
      <c r="IYF230" s="32"/>
      <c r="IYG230" s="31"/>
      <c r="IYH230" s="31"/>
      <c r="IYI230" s="33"/>
      <c r="IYJ230" s="33"/>
      <c r="IYK230" s="34"/>
      <c r="IYL230" s="34"/>
      <c r="IYM230" s="35"/>
      <c r="IYN230" s="35"/>
      <c r="IYO230" s="32"/>
      <c r="IYP230" s="31"/>
      <c r="IYQ230" s="31"/>
      <c r="IYR230" s="31"/>
      <c r="IYS230" s="32"/>
      <c r="IYT230" s="32"/>
      <c r="IYU230" s="32"/>
      <c r="IYV230" s="32"/>
      <c r="IYW230" s="32"/>
      <c r="IYX230" s="31"/>
      <c r="IYY230" s="31"/>
      <c r="IYZ230" s="33"/>
      <c r="IZA230" s="33"/>
      <c r="IZB230" s="34"/>
      <c r="IZC230" s="34"/>
      <c r="IZD230" s="35"/>
      <c r="IZE230" s="35"/>
      <c r="IZF230" s="32"/>
      <c r="IZG230" s="31"/>
      <c r="IZH230" s="31"/>
      <c r="IZI230" s="31"/>
      <c r="IZJ230" s="32"/>
      <c r="IZK230" s="32"/>
      <c r="IZL230" s="32"/>
      <c r="IZM230" s="32"/>
      <c r="IZN230" s="32"/>
      <c r="IZO230" s="31"/>
      <c r="IZP230" s="31"/>
      <c r="IZQ230" s="33"/>
      <c r="IZR230" s="33"/>
      <c r="IZS230" s="34"/>
      <c r="IZT230" s="34"/>
      <c r="IZU230" s="35"/>
      <c r="IZV230" s="35"/>
      <c r="IZW230" s="32"/>
      <c r="IZX230" s="31"/>
      <c r="IZY230" s="31"/>
      <c r="IZZ230" s="31"/>
      <c r="JAA230" s="32"/>
      <c r="JAB230" s="32"/>
      <c r="JAC230" s="32"/>
      <c r="JAD230" s="32"/>
      <c r="JAE230" s="32"/>
      <c r="JAF230" s="31"/>
      <c r="JAG230" s="31"/>
      <c r="JAH230" s="33"/>
      <c r="JAI230" s="33"/>
      <c r="JAJ230" s="34"/>
      <c r="JAK230" s="34"/>
      <c r="JAL230" s="35"/>
      <c r="JAM230" s="35"/>
      <c r="JAN230" s="32"/>
      <c r="JAO230" s="31"/>
      <c r="JAP230" s="31"/>
      <c r="JAQ230" s="31"/>
      <c r="JAR230" s="32"/>
      <c r="JAS230" s="32"/>
      <c r="JAT230" s="32"/>
      <c r="JAU230" s="32"/>
      <c r="JAV230" s="32"/>
      <c r="JAW230" s="31"/>
      <c r="JAX230" s="31"/>
      <c r="JAY230" s="33"/>
      <c r="JAZ230" s="33"/>
      <c r="JBA230" s="34"/>
      <c r="JBB230" s="34"/>
      <c r="JBC230" s="35"/>
      <c r="JBD230" s="35"/>
      <c r="JBE230" s="32"/>
      <c r="JBF230" s="31"/>
      <c r="JBG230" s="31"/>
      <c r="JBH230" s="31"/>
      <c r="JBI230" s="32"/>
      <c r="JBJ230" s="32"/>
      <c r="JBK230" s="32"/>
      <c r="JBL230" s="32"/>
      <c r="JBM230" s="32"/>
      <c r="JBN230" s="31"/>
      <c r="JBO230" s="31"/>
      <c r="JBP230" s="33"/>
      <c r="JBQ230" s="33"/>
      <c r="JBR230" s="34"/>
      <c r="JBS230" s="34"/>
      <c r="JBT230" s="35"/>
      <c r="JBU230" s="35"/>
      <c r="JBV230" s="32"/>
      <c r="JBW230" s="31"/>
      <c r="JBX230" s="31"/>
      <c r="JBY230" s="31"/>
      <c r="JBZ230" s="32"/>
      <c r="JCA230" s="32"/>
      <c r="JCB230" s="32"/>
      <c r="JCC230" s="32"/>
      <c r="JCD230" s="32"/>
      <c r="JCE230" s="31"/>
      <c r="JCF230" s="31"/>
      <c r="JCG230" s="33"/>
      <c r="JCH230" s="33"/>
      <c r="JCI230" s="34"/>
      <c r="JCJ230" s="34"/>
      <c r="JCK230" s="35"/>
      <c r="JCL230" s="35"/>
      <c r="JCM230" s="32"/>
      <c r="JCN230" s="31"/>
      <c r="JCO230" s="31"/>
      <c r="JCP230" s="31"/>
      <c r="JCQ230" s="32"/>
      <c r="JCR230" s="32"/>
      <c r="JCS230" s="32"/>
      <c r="JCT230" s="32"/>
      <c r="JCU230" s="32"/>
      <c r="JCV230" s="31"/>
      <c r="JCW230" s="31"/>
      <c r="JCX230" s="33"/>
      <c r="JCY230" s="33"/>
      <c r="JCZ230" s="34"/>
      <c r="JDA230" s="34"/>
      <c r="JDB230" s="35"/>
      <c r="JDC230" s="35"/>
      <c r="JDD230" s="32"/>
      <c r="JDE230" s="31"/>
      <c r="JDF230" s="31"/>
      <c r="JDG230" s="31"/>
      <c r="JDH230" s="32"/>
      <c r="JDI230" s="32"/>
      <c r="JDJ230" s="32"/>
      <c r="JDK230" s="32"/>
      <c r="JDL230" s="32"/>
      <c r="JDM230" s="31"/>
      <c r="JDN230" s="31"/>
      <c r="JDO230" s="33"/>
      <c r="JDP230" s="33"/>
      <c r="JDQ230" s="34"/>
      <c r="JDR230" s="34"/>
      <c r="JDS230" s="35"/>
      <c r="JDT230" s="35"/>
      <c r="JDU230" s="32"/>
      <c r="JDV230" s="31"/>
      <c r="JDW230" s="31"/>
      <c r="JDX230" s="31"/>
      <c r="JDY230" s="32"/>
      <c r="JDZ230" s="32"/>
      <c r="JEA230" s="32"/>
      <c r="JEB230" s="32"/>
      <c r="JEC230" s="32"/>
      <c r="JED230" s="31"/>
      <c r="JEE230" s="31"/>
      <c r="JEF230" s="33"/>
      <c r="JEG230" s="33"/>
      <c r="JEH230" s="34"/>
      <c r="JEI230" s="34"/>
      <c r="JEJ230" s="35"/>
      <c r="JEK230" s="35"/>
      <c r="JEL230" s="32"/>
      <c r="JEM230" s="31"/>
      <c r="JEN230" s="31"/>
      <c r="JEO230" s="31"/>
      <c r="JEP230" s="32"/>
      <c r="JEQ230" s="32"/>
      <c r="JER230" s="32"/>
      <c r="JES230" s="32"/>
      <c r="JET230" s="32"/>
      <c r="JEU230" s="31"/>
      <c r="JEV230" s="31"/>
      <c r="JEW230" s="33"/>
      <c r="JEX230" s="33"/>
      <c r="JEY230" s="34"/>
      <c r="JEZ230" s="34"/>
      <c r="JFA230" s="35"/>
      <c r="JFB230" s="35"/>
      <c r="JFC230" s="32"/>
      <c r="JFD230" s="31"/>
      <c r="JFE230" s="31"/>
      <c r="JFF230" s="31"/>
      <c r="JFG230" s="32"/>
      <c r="JFH230" s="32"/>
      <c r="JFI230" s="32"/>
      <c r="JFJ230" s="32"/>
      <c r="JFK230" s="32"/>
      <c r="JFL230" s="31"/>
      <c r="JFM230" s="31"/>
      <c r="JFN230" s="33"/>
      <c r="JFO230" s="33"/>
      <c r="JFP230" s="34"/>
      <c r="JFQ230" s="34"/>
      <c r="JFR230" s="35"/>
      <c r="JFS230" s="35"/>
      <c r="JFT230" s="32"/>
      <c r="JFU230" s="31"/>
      <c r="JFV230" s="31"/>
      <c r="JFW230" s="31"/>
      <c r="JFX230" s="32"/>
      <c r="JFY230" s="32"/>
      <c r="JFZ230" s="32"/>
      <c r="JGA230" s="32"/>
      <c r="JGB230" s="32"/>
      <c r="JGC230" s="31"/>
      <c r="JGD230" s="31"/>
      <c r="JGE230" s="33"/>
      <c r="JGF230" s="33"/>
      <c r="JGG230" s="34"/>
      <c r="JGH230" s="34"/>
      <c r="JGI230" s="35"/>
      <c r="JGJ230" s="35"/>
      <c r="JGK230" s="32"/>
      <c r="JGL230" s="31"/>
      <c r="JGM230" s="31"/>
      <c r="JGN230" s="31"/>
      <c r="JGO230" s="32"/>
      <c r="JGP230" s="32"/>
      <c r="JGQ230" s="32"/>
      <c r="JGR230" s="32"/>
      <c r="JGS230" s="32"/>
      <c r="JGT230" s="31"/>
      <c r="JGU230" s="31"/>
      <c r="JGV230" s="33"/>
      <c r="JGW230" s="33"/>
      <c r="JGX230" s="34"/>
      <c r="JGY230" s="34"/>
      <c r="JGZ230" s="35"/>
      <c r="JHA230" s="35"/>
      <c r="JHB230" s="32"/>
      <c r="JHC230" s="31"/>
      <c r="JHD230" s="31"/>
      <c r="JHE230" s="31"/>
      <c r="JHF230" s="32"/>
      <c r="JHG230" s="32"/>
      <c r="JHH230" s="32"/>
      <c r="JHI230" s="32"/>
      <c r="JHJ230" s="32"/>
      <c r="JHK230" s="31"/>
      <c r="JHL230" s="31"/>
      <c r="JHM230" s="33"/>
      <c r="JHN230" s="33"/>
      <c r="JHO230" s="34"/>
      <c r="JHP230" s="34"/>
      <c r="JHQ230" s="35"/>
      <c r="JHR230" s="35"/>
      <c r="JHS230" s="32"/>
      <c r="JHT230" s="31"/>
      <c r="JHU230" s="31"/>
      <c r="JHV230" s="31"/>
      <c r="JHW230" s="32"/>
      <c r="JHX230" s="32"/>
      <c r="JHY230" s="32"/>
      <c r="JHZ230" s="32"/>
      <c r="JIA230" s="32"/>
      <c r="JIB230" s="31"/>
      <c r="JIC230" s="31"/>
      <c r="JID230" s="33"/>
      <c r="JIE230" s="33"/>
      <c r="JIF230" s="34"/>
      <c r="JIG230" s="34"/>
      <c r="JIH230" s="35"/>
      <c r="JII230" s="35"/>
      <c r="JIJ230" s="32"/>
      <c r="JIK230" s="31"/>
      <c r="JIL230" s="31"/>
      <c r="JIM230" s="31"/>
      <c r="JIN230" s="32"/>
      <c r="JIO230" s="32"/>
      <c r="JIP230" s="32"/>
      <c r="JIQ230" s="32"/>
      <c r="JIR230" s="32"/>
      <c r="JIS230" s="31"/>
      <c r="JIT230" s="31"/>
      <c r="JIU230" s="33"/>
      <c r="JIV230" s="33"/>
      <c r="JIW230" s="34"/>
      <c r="JIX230" s="34"/>
      <c r="JIY230" s="35"/>
      <c r="JIZ230" s="35"/>
      <c r="JJA230" s="32"/>
      <c r="JJB230" s="31"/>
      <c r="JJC230" s="31"/>
      <c r="JJD230" s="31"/>
      <c r="JJE230" s="32"/>
      <c r="JJF230" s="32"/>
      <c r="JJG230" s="32"/>
      <c r="JJH230" s="32"/>
      <c r="JJI230" s="32"/>
      <c r="JJJ230" s="31"/>
      <c r="JJK230" s="31"/>
      <c r="JJL230" s="33"/>
      <c r="JJM230" s="33"/>
      <c r="JJN230" s="34"/>
      <c r="JJO230" s="34"/>
      <c r="JJP230" s="35"/>
      <c r="JJQ230" s="35"/>
      <c r="JJR230" s="32"/>
      <c r="JJS230" s="31"/>
      <c r="JJT230" s="31"/>
      <c r="JJU230" s="31"/>
      <c r="JJV230" s="32"/>
      <c r="JJW230" s="32"/>
      <c r="JJX230" s="32"/>
      <c r="JJY230" s="32"/>
      <c r="JJZ230" s="32"/>
      <c r="JKA230" s="31"/>
      <c r="JKB230" s="31"/>
      <c r="JKC230" s="33"/>
      <c r="JKD230" s="33"/>
      <c r="JKE230" s="34"/>
      <c r="JKF230" s="34"/>
      <c r="JKG230" s="35"/>
      <c r="JKH230" s="35"/>
      <c r="JKI230" s="32"/>
      <c r="JKJ230" s="31"/>
      <c r="JKK230" s="31"/>
      <c r="JKL230" s="31"/>
      <c r="JKM230" s="32"/>
      <c r="JKN230" s="32"/>
      <c r="JKO230" s="32"/>
      <c r="JKP230" s="32"/>
      <c r="JKQ230" s="32"/>
      <c r="JKR230" s="31"/>
      <c r="JKS230" s="31"/>
      <c r="JKT230" s="33"/>
      <c r="JKU230" s="33"/>
      <c r="JKV230" s="34"/>
      <c r="JKW230" s="34"/>
      <c r="JKX230" s="35"/>
      <c r="JKY230" s="35"/>
      <c r="JKZ230" s="32"/>
      <c r="JLA230" s="31"/>
      <c r="JLB230" s="31"/>
      <c r="JLC230" s="31"/>
      <c r="JLD230" s="32"/>
      <c r="JLE230" s="32"/>
      <c r="JLF230" s="32"/>
      <c r="JLG230" s="32"/>
      <c r="JLH230" s="32"/>
      <c r="JLI230" s="31"/>
      <c r="JLJ230" s="31"/>
      <c r="JLK230" s="33"/>
      <c r="JLL230" s="33"/>
      <c r="JLM230" s="34"/>
      <c r="JLN230" s="34"/>
      <c r="JLO230" s="35"/>
      <c r="JLP230" s="35"/>
      <c r="JLQ230" s="32"/>
      <c r="JLR230" s="31"/>
      <c r="JLS230" s="31"/>
      <c r="JLT230" s="31"/>
      <c r="JLU230" s="32"/>
      <c r="JLV230" s="32"/>
      <c r="JLW230" s="32"/>
      <c r="JLX230" s="32"/>
      <c r="JLY230" s="32"/>
      <c r="JLZ230" s="31"/>
      <c r="JMA230" s="31"/>
      <c r="JMB230" s="33"/>
      <c r="JMC230" s="33"/>
      <c r="JMD230" s="34"/>
      <c r="JME230" s="34"/>
      <c r="JMF230" s="35"/>
      <c r="JMG230" s="35"/>
      <c r="JMH230" s="32"/>
      <c r="JMI230" s="31"/>
      <c r="JMJ230" s="31"/>
      <c r="JMK230" s="31"/>
      <c r="JML230" s="32"/>
      <c r="JMM230" s="32"/>
      <c r="JMN230" s="32"/>
      <c r="JMO230" s="32"/>
      <c r="JMP230" s="32"/>
      <c r="JMQ230" s="31"/>
      <c r="JMR230" s="31"/>
      <c r="JMS230" s="33"/>
      <c r="JMT230" s="33"/>
      <c r="JMU230" s="34"/>
      <c r="JMV230" s="34"/>
      <c r="JMW230" s="35"/>
      <c r="JMX230" s="35"/>
      <c r="JMY230" s="32"/>
      <c r="JMZ230" s="31"/>
      <c r="JNA230" s="31"/>
      <c r="JNB230" s="31"/>
      <c r="JNC230" s="32"/>
      <c r="JND230" s="32"/>
      <c r="JNE230" s="32"/>
      <c r="JNF230" s="32"/>
      <c r="JNG230" s="32"/>
      <c r="JNH230" s="31"/>
      <c r="JNI230" s="31"/>
      <c r="JNJ230" s="33"/>
      <c r="JNK230" s="33"/>
      <c r="JNL230" s="34"/>
      <c r="JNM230" s="34"/>
      <c r="JNN230" s="35"/>
      <c r="JNO230" s="35"/>
      <c r="JNP230" s="32"/>
      <c r="JNQ230" s="31"/>
      <c r="JNR230" s="31"/>
      <c r="JNS230" s="31"/>
      <c r="JNT230" s="32"/>
      <c r="JNU230" s="32"/>
      <c r="JNV230" s="32"/>
      <c r="JNW230" s="32"/>
      <c r="JNX230" s="32"/>
      <c r="JNY230" s="31"/>
      <c r="JNZ230" s="31"/>
      <c r="JOA230" s="33"/>
      <c r="JOB230" s="33"/>
      <c r="JOC230" s="34"/>
      <c r="JOD230" s="34"/>
      <c r="JOE230" s="35"/>
      <c r="JOF230" s="35"/>
      <c r="JOG230" s="32"/>
      <c r="JOH230" s="31"/>
      <c r="JOI230" s="31"/>
      <c r="JOJ230" s="31"/>
      <c r="JOK230" s="32"/>
      <c r="JOL230" s="32"/>
      <c r="JOM230" s="32"/>
      <c r="JON230" s="32"/>
      <c r="JOO230" s="32"/>
      <c r="JOP230" s="31"/>
      <c r="JOQ230" s="31"/>
      <c r="JOR230" s="33"/>
      <c r="JOS230" s="33"/>
      <c r="JOT230" s="34"/>
      <c r="JOU230" s="34"/>
      <c r="JOV230" s="35"/>
      <c r="JOW230" s="35"/>
      <c r="JOX230" s="32"/>
      <c r="JOY230" s="31"/>
      <c r="JOZ230" s="31"/>
      <c r="JPA230" s="31"/>
      <c r="JPB230" s="32"/>
      <c r="JPC230" s="32"/>
      <c r="JPD230" s="32"/>
      <c r="JPE230" s="32"/>
      <c r="JPF230" s="32"/>
      <c r="JPG230" s="31"/>
      <c r="JPH230" s="31"/>
      <c r="JPI230" s="33"/>
      <c r="JPJ230" s="33"/>
      <c r="JPK230" s="34"/>
      <c r="JPL230" s="34"/>
      <c r="JPM230" s="35"/>
      <c r="JPN230" s="35"/>
      <c r="JPO230" s="32"/>
      <c r="JPP230" s="31"/>
      <c r="JPQ230" s="31"/>
      <c r="JPR230" s="31"/>
      <c r="JPS230" s="32"/>
      <c r="JPT230" s="32"/>
      <c r="JPU230" s="32"/>
      <c r="JPV230" s="32"/>
      <c r="JPW230" s="32"/>
      <c r="JPX230" s="31"/>
      <c r="JPY230" s="31"/>
      <c r="JPZ230" s="33"/>
      <c r="JQA230" s="33"/>
      <c r="JQB230" s="34"/>
      <c r="JQC230" s="34"/>
      <c r="JQD230" s="35"/>
      <c r="JQE230" s="35"/>
      <c r="JQF230" s="32"/>
      <c r="JQG230" s="31"/>
      <c r="JQH230" s="31"/>
      <c r="JQI230" s="31"/>
      <c r="JQJ230" s="32"/>
      <c r="JQK230" s="32"/>
      <c r="JQL230" s="32"/>
      <c r="JQM230" s="32"/>
      <c r="JQN230" s="32"/>
      <c r="JQO230" s="31"/>
      <c r="JQP230" s="31"/>
      <c r="JQQ230" s="33"/>
      <c r="JQR230" s="33"/>
      <c r="JQS230" s="34"/>
      <c r="JQT230" s="34"/>
      <c r="JQU230" s="35"/>
      <c r="JQV230" s="35"/>
      <c r="JQW230" s="32"/>
      <c r="JQX230" s="31"/>
      <c r="JQY230" s="31"/>
      <c r="JQZ230" s="31"/>
      <c r="JRA230" s="32"/>
      <c r="JRB230" s="32"/>
      <c r="JRC230" s="32"/>
      <c r="JRD230" s="32"/>
      <c r="JRE230" s="32"/>
      <c r="JRF230" s="31"/>
      <c r="JRG230" s="31"/>
      <c r="JRH230" s="33"/>
      <c r="JRI230" s="33"/>
      <c r="JRJ230" s="34"/>
      <c r="JRK230" s="34"/>
      <c r="JRL230" s="35"/>
      <c r="JRM230" s="35"/>
      <c r="JRN230" s="32"/>
      <c r="JRO230" s="31"/>
      <c r="JRP230" s="31"/>
      <c r="JRQ230" s="31"/>
      <c r="JRR230" s="32"/>
      <c r="JRS230" s="32"/>
      <c r="JRT230" s="32"/>
      <c r="JRU230" s="32"/>
      <c r="JRV230" s="32"/>
      <c r="JRW230" s="31"/>
      <c r="JRX230" s="31"/>
      <c r="JRY230" s="33"/>
      <c r="JRZ230" s="33"/>
      <c r="JSA230" s="34"/>
      <c r="JSB230" s="34"/>
      <c r="JSC230" s="35"/>
      <c r="JSD230" s="35"/>
      <c r="JSE230" s="32"/>
      <c r="JSF230" s="31"/>
      <c r="JSG230" s="31"/>
      <c r="JSH230" s="31"/>
      <c r="JSI230" s="32"/>
      <c r="JSJ230" s="32"/>
      <c r="JSK230" s="32"/>
      <c r="JSL230" s="32"/>
      <c r="JSM230" s="32"/>
      <c r="JSN230" s="31"/>
      <c r="JSO230" s="31"/>
      <c r="JSP230" s="33"/>
      <c r="JSQ230" s="33"/>
      <c r="JSR230" s="34"/>
      <c r="JSS230" s="34"/>
      <c r="JST230" s="35"/>
      <c r="JSU230" s="35"/>
      <c r="JSV230" s="32"/>
      <c r="JSW230" s="31"/>
      <c r="JSX230" s="31"/>
      <c r="JSY230" s="31"/>
      <c r="JSZ230" s="32"/>
      <c r="JTA230" s="32"/>
      <c r="JTB230" s="32"/>
      <c r="JTC230" s="32"/>
      <c r="JTD230" s="32"/>
      <c r="JTE230" s="31"/>
      <c r="JTF230" s="31"/>
      <c r="JTG230" s="33"/>
      <c r="JTH230" s="33"/>
      <c r="JTI230" s="34"/>
      <c r="JTJ230" s="34"/>
      <c r="JTK230" s="35"/>
      <c r="JTL230" s="35"/>
      <c r="JTM230" s="32"/>
      <c r="JTN230" s="31"/>
      <c r="JTO230" s="31"/>
      <c r="JTP230" s="31"/>
      <c r="JTQ230" s="32"/>
      <c r="JTR230" s="32"/>
      <c r="JTS230" s="32"/>
      <c r="JTT230" s="32"/>
      <c r="JTU230" s="32"/>
      <c r="JTV230" s="31"/>
      <c r="JTW230" s="31"/>
      <c r="JTX230" s="33"/>
      <c r="JTY230" s="33"/>
      <c r="JTZ230" s="34"/>
      <c r="JUA230" s="34"/>
      <c r="JUB230" s="35"/>
      <c r="JUC230" s="35"/>
      <c r="JUD230" s="32"/>
      <c r="JUE230" s="31"/>
      <c r="JUF230" s="31"/>
      <c r="JUG230" s="31"/>
      <c r="JUH230" s="32"/>
      <c r="JUI230" s="32"/>
      <c r="JUJ230" s="32"/>
      <c r="JUK230" s="32"/>
      <c r="JUL230" s="32"/>
      <c r="JUM230" s="31"/>
      <c r="JUN230" s="31"/>
      <c r="JUO230" s="33"/>
      <c r="JUP230" s="33"/>
      <c r="JUQ230" s="34"/>
      <c r="JUR230" s="34"/>
      <c r="JUS230" s="35"/>
      <c r="JUT230" s="35"/>
      <c r="JUU230" s="32"/>
      <c r="JUV230" s="31"/>
      <c r="JUW230" s="31"/>
      <c r="JUX230" s="31"/>
      <c r="JUY230" s="32"/>
      <c r="JUZ230" s="32"/>
      <c r="JVA230" s="32"/>
      <c r="JVB230" s="32"/>
      <c r="JVC230" s="32"/>
      <c r="JVD230" s="31"/>
      <c r="JVE230" s="31"/>
      <c r="JVF230" s="33"/>
      <c r="JVG230" s="33"/>
      <c r="JVH230" s="34"/>
      <c r="JVI230" s="34"/>
      <c r="JVJ230" s="35"/>
      <c r="JVK230" s="35"/>
      <c r="JVL230" s="32"/>
      <c r="JVM230" s="31"/>
      <c r="JVN230" s="31"/>
      <c r="JVO230" s="31"/>
      <c r="JVP230" s="32"/>
      <c r="JVQ230" s="32"/>
      <c r="JVR230" s="32"/>
      <c r="JVS230" s="32"/>
      <c r="JVT230" s="32"/>
      <c r="JVU230" s="31"/>
      <c r="JVV230" s="31"/>
      <c r="JVW230" s="33"/>
      <c r="JVX230" s="33"/>
      <c r="JVY230" s="34"/>
      <c r="JVZ230" s="34"/>
      <c r="JWA230" s="35"/>
      <c r="JWB230" s="35"/>
      <c r="JWC230" s="32"/>
      <c r="JWD230" s="31"/>
      <c r="JWE230" s="31"/>
      <c r="JWF230" s="31"/>
      <c r="JWG230" s="32"/>
      <c r="JWH230" s="32"/>
      <c r="JWI230" s="32"/>
      <c r="JWJ230" s="32"/>
      <c r="JWK230" s="32"/>
      <c r="JWL230" s="31"/>
      <c r="JWM230" s="31"/>
      <c r="JWN230" s="33"/>
      <c r="JWO230" s="33"/>
      <c r="JWP230" s="34"/>
      <c r="JWQ230" s="34"/>
      <c r="JWR230" s="35"/>
      <c r="JWS230" s="35"/>
      <c r="JWT230" s="32"/>
      <c r="JWU230" s="31"/>
      <c r="JWV230" s="31"/>
      <c r="JWW230" s="31"/>
      <c r="JWX230" s="32"/>
      <c r="JWY230" s="32"/>
      <c r="JWZ230" s="32"/>
      <c r="JXA230" s="32"/>
      <c r="JXB230" s="32"/>
      <c r="JXC230" s="31"/>
      <c r="JXD230" s="31"/>
      <c r="JXE230" s="33"/>
      <c r="JXF230" s="33"/>
      <c r="JXG230" s="34"/>
      <c r="JXH230" s="34"/>
      <c r="JXI230" s="35"/>
      <c r="JXJ230" s="35"/>
      <c r="JXK230" s="32"/>
      <c r="JXL230" s="31"/>
      <c r="JXM230" s="31"/>
      <c r="JXN230" s="31"/>
      <c r="JXO230" s="32"/>
      <c r="JXP230" s="32"/>
      <c r="JXQ230" s="32"/>
      <c r="JXR230" s="32"/>
      <c r="JXS230" s="32"/>
      <c r="JXT230" s="31"/>
      <c r="JXU230" s="31"/>
      <c r="JXV230" s="33"/>
      <c r="JXW230" s="33"/>
      <c r="JXX230" s="34"/>
      <c r="JXY230" s="34"/>
      <c r="JXZ230" s="35"/>
      <c r="JYA230" s="35"/>
      <c r="JYB230" s="32"/>
      <c r="JYC230" s="31"/>
      <c r="JYD230" s="31"/>
      <c r="JYE230" s="31"/>
      <c r="JYF230" s="32"/>
      <c r="JYG230" s="32"/>
      <c r="JYH230" s="32"/>
      <c r="JYI230" s="32"/>
      <c r="JYJ230" s="32"/>
      <c r="JYK230" s="31"/>
      <c r="JYL230" s="31"/>
      <c r="JYM230" s="33"/>
      <c r="JYN230" s="33"/>
      <c r="JYO230" s="34"/>
      <c r="JYP230" s="34"/>
      <c r="JYQ230" s="35"/>
      <c r="JYR230" s="35"/>
      <c r="JYS230" s="32"/>
      <c r="JYT230" s="31"/>
      <c r="JYU230" s="31"/>
      <c r="JYV230" s="31"/>
      <c r="JYW230" s="32"/>
      <c r="JYX230" s="32"/>
      <c r="JYY230" s="32"/>
      <c r="JYZ230" s="32"/>
      <c r="JZA230" s="32"/>
      <c r="JZB230" s="31"/>
      <c r="JZC230" s="31"/>
      <c r="JZD230" s="33"/>
      <c r="JZE230" s="33"/>
      <c r="JZF230" s="34"/>
      <c r="JZG230" s="34"/>
      <c r="JZH230" s="35"/>
      <c r="JZI230" s="35"/>
      <c r="JZJ230" s="32"/>
      <c r="JZK230" s="31"/>
      <c r="JZL230" s="31"/>
      <c r="JZM230" s="31"/>
      <c r="JZN230" s="32"/>
      <c r="JZO230" s="32"/>
      <c r="JZP230" s="32"/>
      <c r="JZQ230" s="32"/>
      <c r="JZR230" s="32"/>
      <c r="JZS230" s="31"/>
      <c r="JZT230" s="31"/>
      <c r="JZU230" s="33"/>
      <c r="JZV230" s="33"/>
      <c r="JZW230" s="34"/>
      <c r="JZX230" s="34"/>
      <c r="JZY230" s="35"/>
      <c r="JZZ230" s="35"/>
      <c r="KAA230" s="32"/>
      <c r="KAB230" s="31"/>
      <c r="KAC230" s="31"/>
      <c r="KAD230" s="31"/>
      <c r="KAE230" s="32"/>
      <c r="KAF230" s="32"/>
      <c r="KAG230" s="32"/>
      <c r="KAH230" s="32"/>
      <c r="KAI230" s="32"/>
      <c r="KAJ230" s="31"/>
      <c r="KAK230" s="31"/>
      <c r="KAL230" s="33"/>
      <c r="KAM230" s="33"/>
      <c r="KAN230" s="34"/>
      <c r="KAO230" s="34"/>
      <c r="KAP230" s="35"/>
      <c r="KAQ230" s="35"/>
      <c r="KAR230" s="32"/>
      <c r="KAS230" s="31"/>
      <c r="KAT230" s="31"/>
      <c r="KAU230" s="31"/>
      <c r="KAV230" s="32"/>
      <c r="KAW230" s="32"/>
      <c r="KAX230" s="32"/>
      <c r="KAY230" s="32"/>
      <c r="KAZ230" s="32"/>
      <c r="KBA230" s="31"/>
      <c r="KBB230" s="31"/>
      <c r="KBC230" s="33"/>
      <c r="KBD230" s="33"/>
      <c r="KBE230" s="34"/>
      <c r="KBF230" s="34"/>
      <c r="KBG230" s="35"/>
      <c r="KBH230" s="35"/>
      <c r="KBI230" s="32"/>
      <c r="KBJ230" s="31"/>
      <c r="KBK230" s="31"/>
      <c r="KBL230" s="31"/>
      <c r="KBM230" s="32"/>
      <c r="KBN230" s="32"/>
      <c r="KBO230" s="32"/>
      <c r="KBP230" s="32"/>
      <c r="KBQ230" s="32"/>
      <c r="KBR230" s="31"/>
      <c r="KBS230" s="31"/>
      <c r="KBT230" s="33"/>
      <c r="KBU230" s="33"/>
      <c r="KBV230" s="34"/>
      <c r="KBW230" s="34"/>
      <c r="KBX230" s="35"/>
      <c r="KBY230" s="35"/>
      <c r="KBZ230" s="32"/>
      <c r="KCA230" s="31"/>
      <c r="KCB230" s="31"/>
      <c r="KCC230" s="31"/>
      <c r="KCD230" s="32"/>
      <c r="KCE230" s="32"/>
      <c r="KCF230" s="32"/>
      <c r="KCG230" s="32"/>
      <c r="KCH230" s="32"/>
      <c r="KCI230" s="31"/>
      <c r="KCJ230" s="31"/>
      <c r="KCK230" s="33"/>
      <c r="KCL230" s="33"/>
      <c r="KCM230" s="34"/>
      <c r="KCN230" s="34"/>
      <c r="KCO230" s="35"/>
      <c r="KCP230" s="35"/>
      <c r="KCQ230" s="32"/>
      <c r="KCR230" s="31"/>
      <c r="KCS230" s="31"/>
      <c r="KCT230" s="31"/>
      <c r="KCU230" s="32"/>
      <c r="KCV230" s="32"/>
      <c r="KCW230" s="32"/>
      <c r="KCX230" s="32"/>
      <c r="KCY230" s="32"/>
      <c r="KCZ230" s="31"/>
      <c r="KDA230" s="31"/>
      <c r="KDB230" s="33"/>
      <c r="KDC230" s="33"/>
      <c r="KDD230" s="34"/>
      <c r="KDE230" s="34"/>
      <c r="KDF230" s="35"/>
      <c r="KDG230" s="35"/>
      <c r="KDH230" s="32"/>
      <c r="KDI230" s="31"/>
      <c r="KDJ230" s="31"/>
      <c r="KDK230" s="31"/>
      <c r="KDL230" s="32"/>
      <c r="KDM230" s="32"/>
      <c r="KDN230" s="32"/>
      <c r="KDO230" s="32"/>
      <c r="KDP230" s="32"/>
      <c r="KDQ230" s="31"/>
      <c r="KDR230" s="31"/>
      <c r="KDS230" s="33"/>
      <c r="KDT230" s="33"/>
      <c r="KDU230" s="34"/>
      <c r="KDV230" s="34"/>
      <c r="KDW230" s="35"/>
      <c r="KDX230" s="35"/>
      <c r="KDY230" s="32"/>
      <c r="KDZ230" s="31"/>
      <c r="KEA230" s="31"/>
      <c r="KEB230" s="31"/>
      <c r="KEC230" s="32"/>
      <c r="KED230" s="32"/>
      <c r="KEE230" s="32"/>
      <c r="KEF230" s="32"/>
      <c r="KEG230" s="32"/>
      <c r="KEH230" s="31"/>
      <c r="KEI230" s="31"/>
      <c r="KEJ230" s="33"/>
      <c r="KEK230" s="33"/>
      <c r="KEL230" s="34"/>
      <c r="KEM230" s="34"/>
      <c r="KEN230" s="35"/>
      <c r="KEO230" s="35"/>
      <c r="KEP230" s="32"/>
      <c r="KEQ230" s="31"/>
      <c r="KER230" s="31"/>
      <c r="KES230" s="31"/>
      <c r="KET230" s="32"/>
      <c r="KEU230" s="32"/>
      <c r="KEV230" s="32"/>
      <c r="KEW230" s="32"/>
      <c r="KEX230" s="32"/>
      <c r="KEY230" s="31"/>
      <c r="KEZ230" s="31"/>
      <c r="KFA230" s="33"/>
      <c r="KFB230" s="33"/>
      <c r="KFC230" s="34"/>
      <c r="KFD230" s="34"/>
      <c r="KFE230" s="35"/>
      <c r="KFF230" s="35"/>
      <c r="KFG230" s="32"/>
      <c r="KFH230" s="31"/>
      <c r="KFI230" s="31"/>
      <c r="KFJ230" s="31"/>
      <c r="KFK230" s="32"/>
      <c r="KFL230" s="32"/>
      <c r="KFM230" s="32"/>
      <c r="KFN230" s="32"/>
      <c r="KFO230" s="32"/>
      <c r="KFP230" s="31"/>
      <c r="KFQ230" s="31"/>
      <c r="KFR230" s="33"/>
      <c r="KFS230" s="33"/>
      <c r="KFT230" s="34"/>
      <c r="KFU230" s="34"/>
      <c r="KFV230" s="35"/>
      <c r="KFW230" s="35"/>
      <c r="KFX230" s="32"/>
      <c r="KFY230" s="31"/>
      <c r="KFZ230" s="31"/>
      <c r="KGA230" s="31"/>
      <c r="KGB230" s="32"/>
      <c r="KGC230" s="32"/>
      <c r="KGD230" s="32"/>
      <c r="KGE230" s="32"/>
      <c r="KGF230" s="32"/>
      <c r="KGG230" s="31"/>
      <c r="KGH230" s="31"/>
      <c r="KGI230" s="33"/>
      <c r="KGJ230" s="33"/>
      <c r="KGK230" s="34"/>
      <c r="KGL230" s="34"/>
      <c r="KGM230" s="35"/>
      <c r="KGN230" s="35"/>
      <c r="KGO230" s="32"/>
      <c r="KGP230" s="31"/>
      <c r="KGQ230" s="31"/>
      <c r="KGR230" s="31"/>
      <c r="KGS230" s="32"/>
      <c r="KGT230" s="32"/>
      <c r="KGU230" s="32"/>
      <c r="KGV230" s="32"/>
      <c r="KGW230" s="32"/>
      <c r="KGX230" s="31"/>
      <c r="KGY230" s="31"/>
      <c r="KGZ230" s="33"/>
      <c r="KHA230" s="33"/>
      <c r="KHB230" s="34"/>
      <c r="KHC230" s="34"/>
      <c r="KHD230" s="35"/>
      <c r="KHE230" s="35"/>
      <c r="KHF230" s="32"/>
      <c r="KHG230" s="31"/>
      <c r="KHH230" s="31"/>
      <c r="KHI230" s="31"/>
      <c r="KHJ230" s="32"/>
      <c r="KHK230" s="32"/>
      <c r="KHL230" s="32"/>
      <c r="KHM230" s="32"/>
      <c r="KHN230" s="32"/>
      <c r="KHO230" s="31"/>
      <c r="KHP230" s="31"/>
      <c r="KHQ230" s="33"/>
      <c r="KHR230" s="33"/>
      <c r="KHS230" s="34"/>
      <c r="KHT230" s="34"/>
      <c r="KHU230" s="35"/>
      <c r="KHV230" s="35"/>
      <c r="KHW230" s="32"/>
      <c r="KHX230" s="31"/>
      <c r="KHY230" s="31"/>
      <c r="KHZ230" s="31"/>
      <c r="KIA230" s="32"/>
      <c r="KIB230" s="32"/>
      <c r="KIC230" s="32"/>
      <c r="KID230" s="32"/>
      <c r="KIE230" s="32"/>
      <c r="KIF230" s="31"/>
      <c r="KIG230" s="31"/>
      <c r="KIH230" s="33"/>
      <c r="KII230" s="33"/>
      <c r="KIJ230" s="34"/>
      <c r="KIK230" s="34"/>
      <c r="KIL230" s="35"/>
      <c r="KIM230" s="35"/>
      <c r="KIN230" s="32"/>
      <c r="KIO230" s="31"/>
      <c r="KIP230" s="31"/>
      <c r="KIQ230" s="31"/>
      <c r="KIR230" s="32"/>
      <c r="KIS230" s="32"/>
      <c r="KIT230" s="32"/>
      <c r="KIU230" s="32"/>
      <c r="KIV230" s="32"/>
      <c r="KIW230" s="31"/>
      <c r="KIX230" s="31"/>
      <c r="KIY230" s="33"/>
      <c r="KIZ230" s="33"/>
      <c r="KJA230" s="34"/>
      <c r="KJB230" s="34"/>
      <c r="KJC230" s="35"/>
      <c r="KJD230" s="35"/>
      <c r="KJE230" s="32"/>
      <c r="KJF230" s="31"/>
      <c r="KJG230" s="31"/>
      <c r="KJH230" s="31"/>
      <c r="KJI230" s="32"/>
      <c r="KJJ230" s="32"/>
      <c r="KJK230" s="32"/>
      <c r="KJL230" s="32"/>
      <c r="KJM230" s="32"/>
      <c r="KJN230" s="31"/>
      <c r="KJO230" s="31"/>
      <c r="KJP230" s="33"/>
      <c r="KJQ230" s="33"/>
      <c r="KJR230" s="34"/>
      <c r="KJS230" s="34"/>
      <c r="KJT230" s="35"/>
      <c r="KJU230" s="35"/>
      <c r="KJV230" s="32"/>
      <c r="KJW230" s="31"/>
      <c r="KJX230" s="31"/>
      <c r="KJY230" s="31"/>
      <c r="KJZ230" s="32"/>
      <c r="KKA230" s="32"/>
      <c r="KKB230" s="32"/>
      <c r="KKC230" s="32"/>
      <c r="KKD230" s="32"/>
      <c r="KKE230" s="31"/>
      <c r="KKF230" s="31"/>
      <c r="KKG230" s="33"/>
      <c r="KKH230" s="33"/>
      <c r="KKI230" s="34"/>
      <c r="KKJ230" s="34"/>
      <c r="KKK230" s="35"/>
      <c r="KKL230" s="35"/>
      <c r="KKM230" s="32"/>
      <c r="KKN230" s="31"/>
      <c r="KKO230" s="31"/>
      <c r="KKP230" s="31"/>
      <c r="KKQ230" s="32"/>
      <c r="KKR230" s="32"/>
      <c r="KKS230" s="32"/>
      <c r="KKT230" s="32"/>
      <c r="KKU230" s="32"/>
      <c r="KKV230" s="31"/>
      <c r="KKW230" s="31"/>
      <c r="KKX230" s="33"/>
      <c r="KKY230" s="33"/>
      <c r="KKZ230" s="34"/>
      <c r="KLA230" s="34"/>
      <c r="KLB230" s="35"/>
      <c r="KLC230" s="35"/>
      <c r="KLD230" s="32"/>
      <c r="KLE230" s="31"/>
      <c r="KLF230" s="31"/>
      <c r="KLG230" s="31"/>
      <c r="KLH230" s="32"/>
      <c r="KLI230" s="32"/>
      <c r="KLJ230" s="32"/>
      <c r="KLK230" s="32"/>
      <c r="KLL230" s="32"/>
      <c r="KLM230" s="31"/>
      <c r="KLN230" s="31"/>
      <c r="KLO230" s="33"/>
      <c r="KLP230" s="33"/>
      <c r="KLQ230" s="34"/>
      <c r="KLR230" s="34"/>
      <c r="KLS230" s="35"/>
      <c r="KLT230" s="35"/>
      <c r="KLU230" s="32"/>
      <c r="KLV230" s="31"/>
      <c r="KLW230" s="31"/>
      <c r="KLX230" s="31"/>
      <c r="KLY230" s="32"/>
      <c r="KLZ230" s="32"/>
      <c r="KMA230" s="32"/>
      <c r="KMB230" s="32"/>
      <c r="KMC230" s="32"/>
      <c r="KMD230" s="31"/>
      <c r="KME230" s="31"/>
      <c r="KMF230" s="33"/>
      <c r="KMG230" s="33"/>
      <c r="KMH230" s="34"/>
      <c r="KMI230" s="34"/>
      <c r="KMJ230" s="35"/>
      <c r="KMK230" s="35"/>
      <c r="KML230" s="32"/>
      <c r="KMM230" s="31"/>
      <c r="KMN230" s="31"/>
      <c r="KMO230" s="31"/>
      <c r="KMP230" s="32"/>
      <c r="KMQ230" s="32"/>
      <c r="KMR230" s="32"/>
      <c r="KMS230" s="32"/>
      <c r="KMT230" s="32"/>
      <c r="KMU230" s="31"/>
      <c r="KMV230" s="31"/>
      <c r="KMW230" s="33"/>
      <c r="KMX230" s="33"/>
      <c r="KMY230" s="34"/>
      <c r="KMZ230" s="34"/>
      <c r="KNA230" s="35"/>
      <c r="KNB230" s="35"/>
      <c r="KNC230" s="32"/>
      <c r="KND230" s="31"/>
      <c r="KNE230" s="31"/>
      <c r="KNF230" s="31"/>
      <c r="KNG230" s="32"/>
      <c r="KNH230" s="32"/>
      <c r="KNI230" s="32"/>
      <c r="KNJ230" s="32"/>
      <c r="KNK230" s="32"/>
      <c r="KNL230" s="31"/>
      <c r="KNM230" s="31"/>
      <c r="KNN230" s="33"/>
      <c r="KNO230" s="33"/>
      <c r="KNP230" s="34"/>
      <c r="KNQ230" s="34"/>
      <c r="KNR230" s="35"/>
      <c r="KNS230" s="35"/>
      <c r="KNT230" s="32"/>
      <c r="KNU230" s="31"/>
      <c r="KNV230" s="31"/>
      <c r="KNW230" s="31"/>
      <c r="KNX230" s="32"/>
      <c r="KNY230" s="32"/>
      <c r="KNZ230" s="32"/>
      <c r="KOA230" s="32"/>
      <c r="KOB230" s="32"/>
      <c r="KOC230" s="31"/>
      <c r="KOD230" s="31"/>
      <c r="KOE230" s="33"/>
      <c r="KOF230" s="33"/>
      <c r="KOG230" s="34"/>
      <c r="KOH230" s="34"/>
      <c r="KOI230" s="35"/>
      <c r="KOJ230" s="35"/>
      <c r="KOK230" s="32"/>
      <c r="KOL230" s="31"/>
      <c r="KOM230" s="31"/>
      <c r="KON230" s="31"/>
      <c r="KOO230" s="32"/>
      <c r="KOP230" s="32"/>
      <c r="KOQ230" s="32"/>
      <c r="KOR230" s="32"/>
      <c r="KOS230" s="32"/>
      <c r="KOT230" s="31"/>
      <c r="KOU230" s="31"/>
      <c r="KOV230" s="33"/>
      <c r="KOW230" s="33"/>
      <c r="KOX230" s="34"/>
      <c r="KOY230" s="34"/>
      <c r="KOZ230" s="35"/>
      <c r="KPA230" s="35"/>
      <c r="KPB230" s="32"/>
      <c r="KPC230" s="31"/>
      <c r="KPD230" s="31"/>
      <c r="KPE230" s="31"/>
      <c r="KPF230" s="32"/>
      <c r="KPG230" s="32"/>
      <c r="KPH230" s="32"/>
      <c r="KPI230" s="32"/>
      <c r="KPJ230" s="32"/>
      <c r="KPK230" s="31"/>
      <c r="KPL230" s="31"/>
      <c r="KPM230" s="33"/>
      <c r="KPN230" s="33"/>
      <c r="KPO230" s="34"/>
      <c r="KPP230" s="34"/>
      <c r="KPQ230" s="35"/>
      <c r="KPR230" s="35"/>
      <c r="KPS230" s="32"/>
      <c r="KPT230" s="31"/>
      <c r="KPU230" s="31"/>
      <c r="KPV230" s="31"/>
      <c r="KPW230" s="32"/>
      <c r="KPX230" s="32"/>
      <c r="KPY230" s="32"/>
      <c r="KPZ230" s="32"/>
      <c r="KQA230" s="32"/>
      <c r="KQB230" s="31"/>
      <c r="KQC230" s="31"/>
      <c r="KQD230" s="33"/>
      <c r="KQE230" s="33"/>
      <c r="KQF230" s="34"/>
      <c r="KQG230" s="34"/>
      <c r="KQH230" s="35"/>
      <c r="KQI230" s="35"/>
      <c r="KQJ230" s="32"/>
      <c r="KQK230" s="31"/>
      <c r="KQL230" s="31"/>
      <c r="KQM230" s="31"/>
      <c r="KQN230" s="32"/>
      <c r="KQO230" s="32"/>
      <c r="KQP230" s="32"/>
      <c r="KQQ230" s="32"/>
      <c r="KQR230" s="32"/>
      <c r="KQS230" s="31"/>
      <c r="KQT230" s="31"/>
      <c r="KQU230" s="33"/>
      <c r="KQV230" s="33"/>
      <c r="KQW230" s="34"/>
      <c r="KQX230" s="34"/>
      <c r="KQY230" s="35"/>
      <c r="KQZ230" s="35"/>
      <c r="KRA230" s="32"/>
      <c r="KRB230" s="31"/>
      <c r="KRC230" s="31"/>
      <c r="KRD230" s="31"/>
      <c r="KRE230" s="32"/>
      <c r="KRF230" s="32"/>
      <c r="KRG230" s="32"/>
      <c r="KRH230" s="32"/>
      <c r="KRI230" s="32"/>
      <c r="KRJ230" s="31"/>
      <c r="KRK230" s="31"/>
      <c r="KRL230" s="33"/>
      <c r="KRM230" s="33"/>
      <c r="KRN230" s="34"/>
      <c r="KRO230" s="34"/>
      <c r="KRP230" s="35"/>
      <c r="KRQ230" s="35"/>
      <c r="KRR230" s="32"/>
      <c r="KRS230" s="31"/>
      <c r="KRT230" s="31"/>
      <c r="KRU230" s="31"/>
      <c r="KRV230" s="32"/>
      <c r="KRW230" s="32"/>
      <c r="KRX230" s="32"/>
      <c r="KRY230" s="32"/>
      <c r="KRZ230" s="32"/>
      <c r="KSA230" s="31"/>
      <c r="KSB230" s="31"/>
      <c r="KSC230" s="33"/>
      <c r="KSD230" s="33"/>
      <c r="KSE230" s="34"/>
      <c r="KSF230" s="34"/>
      <c r="KSG230" s="35"/>
      <c r="KSH230" s="35"/>
      <c r="KSI230" s="32"/>
      <c r="KSJ230" s="31"/>
      <c r="KSK230" s="31"/>
      <c r="KSL230" s="31"/>
      <c r="KSM230" s="32"/>
      <c r="KSN230" s="32"/>
      <c r="KSO230" s="32"/>
      <c r="KSP230" s="32"/>
      <c r="KSQ230" s="32"/>
      <c r="KSR230" s="31"/>
      <c r="KSS230" s="31"/>
      <c r="KST230" s="33"/>
      <c r="KSU230" s="33"/>
      <c r="KSV230" s="34"/>
      <c r="KSW230" s="34"/>
      <c r="KSX230" s="35"/>
      <c r="KSY230" s="35"/>
      <c r="KSZ230" s="32"/>
      <c r="KTA230" s="31"/>
      <c r="KTB230" s="31"/>
      <c r="KTC230" s="31"/>
      <c r="KTD230" s="32"/>
      <c r="KTE230" s="32"/>
      <c r="KTF230" s="32"/>
      <c r="KTG230" s="32"/>
      <c r="KTH230" s="32"/>
      <c r="KTI230" s="31"/>
      <c r="KTJ230" s="31"/>
      <c r="KTK230" s="33"/>
      <c r="KTL230" s="33"/>
      <c r="KTM230" s="34"/>
      <c r="KTN230" s="34"/>
      <c r="KTO230" s="35"/>
      <c r="KTP230" s="35"/>
      <c r="KTQ230" s="32"/>
      <c r="KTR230" s="31"/>
      <c r="KTS230" s="31"/>
      <c r="KTT230" s="31"/>
      <c r="KTU230" s="32"/>
      <c r="KTV230" s="32"/>
      <c r="KTW230" s="32"/>
      <c r="KTX230" s="32"/>
      <c r="KTY230" s="32"/>
      <c r="KTZ230" s="31"/>
      <c r="KUA230" s="31"/>
      <c r="KUB230" s="33"/>
      <c r="KUC230" s="33"/>
      <c r="KUD230" s="34"/>
      <c r="KUE230" s="34"/>
      <c r="KUF230" s="35"/>
      <c r="KUG230" s="35"/>
      <c r="KUH230" s="32"/>
      <c r="KUI230" s="31"/>
      <c r="KUJ230" s="31"/>
      <c r="KUK230" s="31"/>
      <c r="KUL230" s="32"/>
      <c r="KUM230" s="32"/>
      <c r="KUN230" s="32"/>
      <c r="KUO230" s="32"/>
      <c r="KUP230" s="32"/>
      <c r="KUQ230" s="31"/>
      <c r="KUR230" s="31"/>
      <c r="KUS230" s="33"/>
      <c r="KUT230" s="33"/>
      <c r="KUU230" s="34"/>
      <c r="KUV230" s="34"/>
      <c r="KUW230" s="35"/>
      <c r="KUX230" s="35"/>
      <c r="KUY230" s="32"/>
      <c r="KUZ230" s="31"/>
      <c r="KVA230" s="31"/>
      <c r="KVB230" s="31"/>
      <c r="KVC230" s="32"/>
      <c r="KVD230" s="32"/>
      <c r="KVE230" s="32"/>
      <c r="KVF230" s="32"/>
      <c r="KVG230" s="32"/>
      <c r="KVH230" s="31"/>
      <c r="KVI230" s="31"/>
      <c r="KVJ230" s="33"/>
      <c r="KVK230" s="33"/>
      <c r="KVL230" s="34"/>
      <c r="KVM230" s="34"/>
      <c r="KVN230" s="35"/>
      <c r="KVO230" s="35"/>
      <c r="KVP230" s="32"/>
      <c r="KVQ230" s="31"/>
      <c r="KVR230" s="31"/>
      <c r="KVS230" s="31"/>
      <c r="KVT230" s="32"/>
      <c r="KVU230" s="32"/>
      <c r="KVV230" s="32"/>
      <c r="KVW230" s="32"/>
      <c r="KVX230" s="32"/>
      <c r="KVY230" s="31"/>
      <c r="KVZ230" s="31"/>
      <c r="KWA230" s="33"/>
      <c r="KWB230" s="33"/>
      <c r="KWC230" s="34"/>
      <c r="KWD230" s="34"/>
      <c r="KWE230" s="35"/>
      <c r="KWF230" s="35"/>
      <c r="KWG230" s="32"/>
      <c r="KWH230" s="31"/>
      <c r="KWI230" s="31"/>
      <c r="KWJ230" s="31"/>
      <c r="KWK230" s="32"/>
      <c r="KWL230" s="32"/>
      <c r="KWM230" s="32"/>
      <c r="KWN230" s="32"/>
      <c r="KWO230" s="32"/>
      <c r="KWP230" s="31"/>
      <c r="KWQ230" s="31"/>
      <c r="KWR230" s="33"/>
      <c r="KWS230" s="33"/>
      <c r="KWT230" s="34"/>
      <c r="KWU230" s="34"/>
      <c r="KWV230" s="35"/>
      <c r="KWW230" s="35"/>
      <c r="KWX230" s="32"/>
      <c r="KWY230" s="31"/>
      <c r="KWZ230" s="31"/>
      <c r="KXA230" s="31"/>
      <c r="KXB230" s="32"/>
      <c r="KXC230" s="32"/>
      <c r="KXD230" s="32"/>
      <c r="KXE230" s="32"/>
      <c r="KXF230" s="32"/>
      <c r="KXG230" s="31"/>
      <c r="KXH230" s="31"/>
      <c r="KXI230" s="33"/>
      <c r="KXJ230" s="33"/>
      <c r="KXK230" s="34"/>
      <c r="KXL230" s="34"/>
      <c r="KXM230" s="35"/>
      <c r="KXN230" s="35"/>
      <c r="KXO230" s="32"/>
      <c r="KXP230" s="31"/>
      <c r="KXQ230" s="31"/>
      <c r="KXR230" s="31"/>
      <c r="KXS230" s="32"/>
      <c r="KXT230" s="32"/>
      <c r="KXU230" s="32"/>
      <c r="KXV230" s="32"/>
      <c r="KXW230" s="32"/>
      <c r="KXX230" s="31"/>
      <c r="KXY230" s="31"/>
      <c r="KXZ230" s="33"/>
      <c r="KYA230" s="33"/>
      <c r="KYB230" s="34"/>
      <c r="KYC230" s="34"/>
      <c r="KYD230" s="35"/>
      <c r="KYE230" s="35"/>
      <c r="KYF230" s="32"/>
      <c r="KYG230" s="31"/>
      <c r="KYH230" s="31"/>
      <c r="KYI230" s="31"/>
      <c r="KYJ230" s="32"/>
      <c r="KYK230" s="32"/>
      <c r="KYL230" s="32"/>
      <c r="KYM230" s="32"/>
      <c r="KYN230" s="32"/>
      <c r="KYO230" s="31"/>
      <c r="KYP230" s="31"/>
      <c r="KYQ230" s="33"/>
      <c r="KYR230" s="33"/>
      <c r="KYS230" s="34"/>
      <c r="KYT230" s="34"/>
      <c r="KYU230" s="35"/>
      <c r="KYV230" s="35"/>
      <c r="KYW230" s="32"/>
      <c r="KYX230" s="31"/>
      <c r="KYY230" s="31"/>
      <c r="KYZ230" s="31"/>
      <c r="KZA230" s="32"/>
      <c r="KZB230" s="32"/>
      <c r="KZC230" s="32"/>
      <c r="KZD230" s="32"/>
      <c r="KZE230" s="32"/>
      <c r="KZF230" s="31"/>
      <c r="KZG230" s="31"/>
      <c r="KZH230" s="33"/>
      <c r="KZI230" s="33"/>
      <c r="KZJ230" s="34"/>
      <c r="KZK230" s="34"/>
      <c r="KZL230" s="35"/>
      <c r="KZM230" s="35"/>
      <c r="KZN230" s="32"/>
      <c r="KZO230" s="31"/>
      <c r="KZP230" s="31"/>
      <c r="KZQ230" s="31"/>
      <c r="KZR230" s="32"/>
      <c r="KZS230" s="32"/>
      <c r="KZT230" s="32"/>
      <c r="KZU230" s="32"/>
      <c r="KZV230" s="32"/>
      <c r="KZW230" s="31"/>
      <c r="KZX230" s="31"/>
      <c r="KZY230" s="33"/>
      <c r="KZZ230" s="33"/>
      <c r="LAA230" s="34"/>
      <c r="LAB230" s="34"/>
      <c r="LAC230" s="35"/>
      <c r="LAD230" s="35"/>
      <c r="LAE230" s="32"/>
      <c r="LAF230" s="31"/>
      <c r="LAG230" s="31"/>
      <c r="LAH230" s="31"/>
      <c r="LAI230" s="32"/>
      <c r="LAJ230" s="32"/>
      <c r="LAK230" s="32"/>
      <c r="LAL230" s="32"/>
      <c r="LAM230" s="32"/>
      <c r="LAN230" s="31"/>
      <c r="LAO230" s="31"/>
      <c r="LAP230" s="33"/>
      <c r="LAQ230" s="33"/>
      <c r="LAR230" s="34"/>
      <c r="LAS230" s="34"/>
      <c r="LAT230" s="35"/>
      <c r="LAU230" s="35"/>
      <c r="LAV230" s="32"/>
      <c r="LAW230" s="31"/>
      <c r="LAX230" s="31"/>
      <c r="LAY230" s="31"/>
      <c r="LAZ230" s="32"/>
      <c r="LBA230" s="32"/>
      <c r="LBB230" s="32"/>
      <c r="LBC230" s="32"/>
      <c r="LBD230" s="32"/>
      <c r="LBE230" s="31"/>
      <c r="LBF230" s="31"/>
      <c r="LBG230" s="33"/>
      <c r="LBH230" s="33"/>
      <c r="LBI230" s="34"/>
      <c r="LBJ230" s="34"/>
      <c r="LBK230" s="35"/>
      <c r="LBL230" s="35"/>
      <c r="LBM230" s="32"/>
      <c r="LBN230" s="31"/>
      <c r="LBO230" s="31"/>
      <c r="LBP230" s="31"/>
      <c r="LBQ230" s="32"/>
      <c r="LBR230" s="32"/>
      <c r="LBS230" s="32"/>
      <c r="LBT230" s="32"/>
      <c r="LBU230" s="32"/>
      <c r="LBV230" s="31"/>
      <c r="LBW230" s="31"/>
      <c r="LBX230" s="33"/>
      <c r="LBY230" s="33"/>
      <c r="LBZ230" s="34"/>
      <c r="LCA230" s="34"/>
      <c r="LCB230" s="35"/>
      <c r="LCC230" s="35"/>
      <c r="LCD230" s="32"/>
      <c r="LCE230" s="31"/>
      <c r="LCF230" s="31"/>
      <c r="LCG230" s="31"/>
      <c r="LCH230" s="32"/>
      <c r="LCI230" s="32"/>
      <c r="LCJ230" s="32"/>
      <c r="LCK230" s="32"/>
      <c r="LCL230" s="32"/>
      <c r="LCM230" s="31"/>
      <c r="LCN230" s="31"/>
      <c r="LCO230" s="33"/>
      <c r="LCP230" s="33"/>
      <c r="LCQ230" s="34"/>
      <c r="LCR230" s="34"/>
      <c r="LCS230" s="35"/>
      <c r="LCT230" s="35"/>
      <c r="LCU230" s="32"/>
      <c r="LCV230" s="31"/>
      <c r="LCW230" s="31"/>
      <c r="LCX230" s="31"/>
      <c r="LCY230" s="32"/>
      <c r="LCZ230" s="32"/>
      <c r="LDA230" s="32"/>
      <c r="LDB230" s="32"/>
      <c r="LDC230" s="32"/>
      <c r="LDD230" s="31"/>
      <c r="LDE230" s="31"/>
      <c r="LDF230" s="33"/>
      <c r="LDG230" s="33"/>
      <c r="LDH230" s="34"/>
      <c r="LDI230" s="34"/>
      <c r="LDJ230" s="35"/>
      <c r="LDK230" s="35"/>
      <c r="LDL230" s="32"/>
      <c r="LDM230" s="31"/>
      <c r="LDN230" s="31"/>
      <c r="LDO230" s="31"/>
      <c r="LDP230" s="32"/>
      <c r="LDQ230" s="32"/>
      <c r="LDR230" s="32"/>
      <c r="LDS230" s="32"/>
      <c r="LDT230" s="32"/>
      <c r="LDU230" s="31"/>
      <c r="LDV230" s="31"/>
      <c r="LDW230" s="33"/>
      <c r="LDX230" s="33"/>
      <c r="LDY230" s="34"/>
      <c r="LDZ230" s="34"/>
      <c r="LEA230" s="35"/>
      <c r="LEB230" s="35"/>
      <c r="LEC230" s="32"/>
      <c r="LED230" s="31"/>
      <c r="LEE230" s="31"/>
      <c r="LEF230" s="31"/>
      <c r="LEG230" s="32"/>
      <c r="LEH230" s="32"/>
      <c r="LEI230" s="32"/>
      <c r="LEJ230" s="32"/>
      <c r="LEK230" s="32"/>
      <c r="LEL230" s="31"/>
      <c r="LEM230" s="31"/>
      <c r="LEN230" s="33"/>
      <c r="LEO230" s="33"/>
      <c r="LEP230" s="34"/>
      <c r="LEQ230" s="34"/>
      <c r="LER230" s="35"/>
      <c r="LES230" s="35"/>
      <c r="LET230" s="32"/>
      <c r="LEU230" s="31"/>
      <c r="LEV230" s="31"/>
      <c r="LEW230" s="31"/>
      <c r="LEX230" s="32"/>
      <c r="LEY230" s="32"/>
      <c r="LEZ230" s="32"/>
      <c r="LFA230" s="32"/>
      <c r="LFB230" s="32"/>
      <c r="LFC230" s="31"/>
      <c r="LFD230" s="31"/>
      <c r="LFE230" s="33"/>
      <c r="LFF230" s="33"/>
      <c r="LFG230" s="34"/>
      <c r="LFH230" s="34"/>
      <c r="LFI230" s="35"/>
      <c r="LFJ230" s="35"/>
      <c r="LFK230" s="32"/>
      <c r="LFL230" s="31"/>
      <c r="LFM230" s="31"/>
      <c r="LFN230" s="31"/>
      <c r="LFO230" s="32"/>
      <c r="LFP230" s="32"/>
      <c r="LFQ230" s="32"/>
      <c r="LFR230" s="32"/>
      <c r="LFS230" s="32"/>
      <c r="LFT230" s="31"/>
      <c r="LFU230" s="31"/>
      <c r="LFV230" s="33"/>
      <c r="LFW230" s="33"/>
      <c r="LFX230" s="34"/>
      <c r="LFY230" s="34"/>
      <c r="LFZ230" s="35"/>
      <c r="LGA230" s="35"/>
      <c r="LGB230" s="32"/>
      <c r="LGC230" s="31"/>
      <c r="LGD230" s="31"/>
      <c r="LGE230" s="31"/>
      <c r="LGF230" s="32"/>
      <c r="LGG230" s="32"/>
      <c r="LGH230" s="32"/>
      <c r="LGI230" s="32"/>
      <c r="LGJ230" s="32"/>
      <c r="LGK230" s="31"/>
      <c r="LGL230" s="31"/>
      <c r="LGM230" s="33"/>
      <c r="LGN230" s="33"/>
      <c r="LGO230" s="34"/>
      <c r="LGP230" s="34"/>
      <c r="LGQ230" s="35"/>
      <c r="LGR230" s="35"/>
      <c r="LGS230" s="32"/>
      <c r="LGT230" s="31"/>
      <c r="LGU230" s="31"/>
      <c r="LGV230" s="31"/>
      <c r="LGW230" s="32"/>
      <c r="LGX230" s="32"/>
      <c r="LGY230" s="32"/>
      <c r="LGZ230" s="32"/>
      <c r="LHA230" s="32"/>
      <c r="LHB230" s="31"/>
      <c r="LHC230" s="31"/>
      <c r="LHD230" s="33"/>
      <c r="LHE230" s="33"/>
      <c r="LHF230" s="34"/>
      <c r="LHG230" s="34"/>
      <c r="LHH230" s="35"/>
      <c r="LHI230" s="35"/>
      <c r="LHJ230" s="32"/>
      <c r="LHK230" s="31"/>
      <c r="LHL230" s="31"/>
      <c r="LHM230" s="31"/>
      <c r="LHN230" s="32"/>
      <c r="LHO230" s="32"/>
      <c r="LHP230" s="32"/>
      <c r="LHQ230" s="32"/>
      <c r="LHR230" s="32"/>
      <c r="LHS230" s="31"/>
      <c r="LHT230" s="31"/>
      <c r="LHU230" s="33"/>
      <c r="LHV230" s="33"/>
      <c r="LHW230" s="34"/>
      <c r="LHX230" s="34"/>
      <c r="LHY230" s="35"/>
      <c r="LHZ230" s="35"/>
      <c r="LIA230" s="32"/>
      <c r="LIB230" s="31"/>
      <c r="LIC230" s="31"/>
      <c r="LID230" s="31"/>
      <c r="LIE230" s="32"/>
      <c r="LIF230" s="32"/>
      <c r="LIG230" s="32"/>
      <c r="LIH230" s="32"/>
      <c r="LII230" s="32"/>
      <c r="LIJ230" s="31"/>
      <c r="LIK230" s="31"/>
      <c r="LIL230" s="33"/>
      <c r="LIM230" s="33"/>
      <c r="LIN230" s="34"/>
      <c r="LIO230" s="34"/>
      <c r="LIP230" s="35"/>
      <c r="LIQ230" s="35"/>
      <c r="LIR230" s="32"/>
      <c r="LIS230" s="31"/>
      <c r="LIT230" s="31"/>
      <c r="LIU230" s="31"/>
      <c r="LIV230" s="32"/>
      <c r="LIW230" s="32"/>
      <c r="LIX230" s="32"/>
      <c r="LIY230" s="32"/>
      <c r="LIZ230" s="32"/>
      <c r="LJA230" s="31"/>
      <c r="LJB230" s="31"/>
      <c r="LJC230" s="33"/>
      <c r="LJD230" s="33"/>
      <c r="LJE230" s="34"/>
      <c r="LJF230" s="34"/>
      <c r="LJG230" s="35"/>
      <c r="LJH230" s="35"/>
      <c r="LJI230" s="32"/>
      <c r="LJJ230" s="31"/>
      <c r="LJK230" s="31"/>
      <c r="LJL230" s="31"/>
      <c r="LJM230" s="32"/>
      <c r="LJN230" s="32"/>
      <c r="LJO230" s="32"/>
      <c r="LJP230" s="32"/>
      <c r="LJQ230" s="32"/>
      <c r="LJR230" s="31"/>
      <c r="LJS230" s="31"/>
      <c r="LJT230" s="33"/>
      <c r="LJU230" s="33"/>
      <c r="LJV230" s="34"/>
      <c r="LJW230" s="34"/>
      <c r="LJX230" s="35"/>
      <c r="LJY230" s="35"/>
      <c r="LJZ230" s="32"/>
      <c r="LKA230" s="31"/>
      <c r="LKB230" s="31"/>
      <c r="LKC230" s="31"/>
      <c r="LKD230" s="32"/>
      <c r="LKE230" s="32"/>
      <c r="LKF230" s="32"/>
      <c r="LKG230" s="32"/>
      <c r="LKH230" s="32"/>
      <c r="LKI230" s="31"/>
      <c r="LKJ230" s="31"/>
      <c r="LKK230" s="33"/>
      <c r="LKL230" s="33"/>
      <c r="LKM230" s="34"/>
      <c r="LKN230" s="34"/>
      <c r="LKO230" s="35"/>
      <c r="LKP230" s="35"/>
      <c r="LKQ230" s="32"/>
      <c r="LKR230" s="31"/>
      <c r="LKS230" s="31"/>
      <c r="LKT230" s="31"/>
      <c r="LKU230" s="32"/>
      <c r="LKV230" s="32"/>
      <c r="LKW230" s="32"/>
      <c r="LKX230" s="32"/>
      <c r="LKY230" s="32"/>
      <c r="LKZ230" s="31"/>
      <c r="LLA230" s="31"/>
      <c r="LLB230" s="33"/>
      <c r="LLC230" s="33"/>
      <c r="LLD230" s="34"/>
      <c r="LLE230" s="34"/>
      <c r="LLF230" s="35"/>
      <c r="LLG230" s="35"/>
      <c r="LLH230" s="32"/>
      <c r="LLI230" s="31"/>
      <c r="LLJ230" s="31"/>
      <c r="LLK230" s="31"/>
      <c r="LLL230" s="32"/>
      <c r="LLM230" s="32"/>
      <c r="LLN230" s="32"/>
      <c r="LLO230" s="32"/>
      <c r="LLP230" s="32"/>
      <c r="LLQ230" s="31"/>
      <c r="LLR230" s="31"/>
      <c r="LLS230" s="33"/>
      <c r="LLT230" s="33"/>
      <c r="LLU230" s="34"/>
      <c r="LLV230" s="34"/>
      <c r="LLW230" s="35"/>
      <c r="LLX230" s="35"/>
      <c r="LLY230" s="32"/>
      <c r="LLZ230" s="31"/>
      <c r="LMA230" s="31"/>
      <c r="LMB230" s="31"/>
      <c r="LMC230" s="32"/>
      <c r="LMD230" s="32"/>
      <c r="LME230" s="32"/>
      <c r="LMF230" s="32"/>
      <c r="LMG230" s="32"/>
      <c r="LMH230" s="31"/>
      <c r="LMI230" s="31"/>
      <c r="LMJ230" s="33"/>
      <c r="LMK230" s="33"/>
      <c r="LML230" s="34"/>
      <c r="LMM230" s="34"/>
      <c r="LMN230" s="35"/>
      <c r="LMO230" s="35"/>
      <c r="LMP230" s="32"/>
      <c r="LMQ230" s="31"/>
      <c r="LMR230" s="31"/>
      <c r="LMS230" s="31"/>
      <c r="LMT230" s="32"/>
      <c r="LMU230" s="32"/>
      <c r="LMV230" s="32"/>
      <c r="LMW230" s="32"/>
      <c r="LMX230" s="32"/>
      <c r="LMY230" s="31"/>
      <c r="LMZ230" s="31"/>
      <c r="LNA230" s="33"/>
      <c r="LNB230" s="33"/>
      <c r="LNC230" s="34"/>
      <c r="LND230" s="34"/>
      <c r="LNE230" s="35"/>
      <c r="LNF230" s="35"/>
      <c r="LNG230" s="32"/>
      <c r="LNH230" s="31"/>
      <c r="LNI230" s="31"/>
      <c r="LNJ230" s="31"/>
      <c r="LNK230" s="32"/>
      <c r="LNL230" s="32"/>
      <c r="LNM230" s="32"/>
      <c r="LNN230" s="32"/>
      <c r="LNO230" s="32"/>
      <c r="LNP230" s="31"/>
      <c r="LNQ230" s="31"/>
      <c r="LNR230" s="33"/>
      <c r="LNS230" s="33"/>
      <c r="LNT230" s="34"/>
      <c r="LNU230" s="34"/>
      <c r="LNV230" s="35"/>
      <c r="LNW230" s="35"/>
      <c r="LNX230" s="32"/>
      <c r="LNY230" s="31"/>
      <c r="LNZ230" s="31"/>
      <c r="LOA230" s="31"/>
      <c r="LOB230" s="32"/>
      <c r="LOC230" s="32"/>
      <c r="LOD230" s="32"/>
      <c r="LOE230" s="32"/>
      <c r="LOF230" s="32"/>
      <c r="LOG230" s="31"/>
      <c r="LOH230" s="31"/>
      <c r="LOI230" s="33"/>
      <c r="LOJ230" s="33"/>
      <c r="LOK230" s="34"/>
      <c r="LOL230" s="34"/>
      <c r="LOM230" s="35"/>
      <c r="LON230" s="35"/>
      <c r="LOO230" s="32"/>
      <c r="LOP230" s="31"/>
      <c r="LOQ230" s="31"/>
      <c r="LOR230" s="31"/>
      <c r="LOS230" s="32"/>
      <c r="LOT230" s="32"/>
      <c r="LOU230" s="32"/>
      <c r="LOV230" s="32"/>
      <c r="LOW230" s="32"/>
      <c r="LOX230" s="31"/>
      <c r="LOY230" s="31"/>
      <c r="LOZ230" s="33"/>
      <c r="LPA230" s="33"/>
      <c r="LPB230" s="34"/>
      <c r="LPC230" s="34"/>
      <c r="LPD230" s="35"/>
      <c r="LPE230" s="35"/>
      <c r="LPF230" s="32"/>
      <c r="LPG230" s="31"/>
      <c r="LPH230" s="31"/>
      <c r="LPI230" s="31"/>
      <c r="LPJ230" s="32"/>
      <c r="LPK230" s="32"/>
      <c r="LPL230" s="32"/>
      <c r="LPM230" s="32"/>
      <c r="LPN230" s="32"/>
      <c r="LPO230" s="31"/>
      <c r="LPP230" s="31"/>
      <c r="LPQ230" s="33"/>
      <c r="LPR230" s="33"/>
      <c r="LPS230" s="34"/>
      <c r="LPT230" s="34"/>
      <c r="LPU230" s="35"/>
      <c r="LPV230" s="35"/>
      <c r="LPW230" s="32"/>
      <c r="LPX230" s="31"/>
      <c r="LPY230" s="31"/>
      <c r="LPZ230" s="31"/>
      <c r="LQA230" s="32"/>
      <c r="LQB230" s="32"/>
      <c r="LQC230" s="32"/>
      <c r="LQD230" s="32"/>
      <c r="LQE230" s="32"/>
      <c r="LQF230" s="31"/>
      <c r="LQG230" s="31"/>
      <c r="LQH230" s="33"/>
      <c r="LQI230" s="33"/>
      <c r="LQJ230" s="34"/>
      <c r="LQK230" s="34"/>
      <c r="LQL230" s="35"/>
      <c r="LQM230" s="35"/>
      <c r="LQN230" s="32"/>
      <c r="LQO230" s="31"/>
      <c r="LQP230" s="31"/>
      <c r="LQQ230" s="31"/>
      <c r="LQR230" s="32"/>
      <c r="LQS230" s="32"/>
      <c r="LQT230" s="32"/>
      <c r="LQU230" s="32"/>
      <c r="LQV230" s="32"/>
      <c r="LQW230" s="31"/>
      <c r="LQX230" s="31"/>
      <c r="LQY230" s="33"/>
      <c r="LQZ230" s="33"/>
      <c r="LRA230" s="34"/>
      <c r="LRB230" s="34"/>
      <c r="LRC230" s="35"/>
      <c r="LRD230" s="35"/>
      <c r="LRE230" s="32"/>
      <c r="LRF230" s="31"/>
      <c r="LRG230" s="31"/>
      <c r="LRH230" s="31"/>
      <c r="LRI230" s="32"/>
      <c r="LRJ230" s="32"/>
      <c r="LRK230" s="32"/>
      <c r="LRL230" s="32"/>
      <c r="LRM230" s="32"/>
      <c r="LRN230" s="31"/>
      <c r="LRO230" s="31"/>
      <c r="LRP230" s="33"/>
      <c r="LRQ230" s="33"/>
      <c r="LRR230" s="34"/>
      <c r="LRS230" s="34"/>
      <c r="LRT230" s="35"/>
      <c r="LRU230" s="35"/>
      <c r="LRV230" s="32"/>
      <c r="LRW230" s="31"/>
      <c r="LRX230" s="31"/>
      <c r="LRY230" s="31"/>
      <c r="LRZ230" s="32"/>
      <c r="LSA230" s="32"/>
      <c r="LSB230" s="32"/>
      <c r="LSC230" s="32"/>
      <c r="LSD230" s="32"/>
      <c r="LSE230" s="31"/>
      <c r="LSF230" s="31"/>
      <c r="LSG230" s="33"/>
      <c r="LSH230" s="33"/>
      <c r="LSI230" s="34"/>
      <c r="LSJ230" s="34"/>
      <c r="LSK230" s="35"/>
      <c r="LSL230" s="35"/>
      <c r="LSM230" s="32"/>
      <c r="LSN230" s="31"/>
      <c r="LSO230" s="31"/>
      <c r="LSP230" s="31"/>
      <c r="LSQ230" s="32"/>
      <c r="LSR230" s="32"/>
      <c r="LSS230" s="32"/>
      <c r="LST230" s="32"/>
      <c r="LSU230" s="32"/>
      <c r="LSV230" s="31"/>
      <c r="LSW230" s="31"/>
      <c r="LSX230" s="33"/>
      <c r="LSY230" s="33"/>
      <c r="LSZ230" s="34"/>
      <c r="LTA230" s="34"/>
      <c r="LTB230" s="35"/>
      <c r="LTC230" s="35"/>
      <c r="LTD230" s="32"/>
      <c r="LTE230" s="31"/>
      <c r="LTF230" s="31"/>
      <c r="LTG230" s="31"/>
      <c r="LTH230" s="32"/>
      <c r="LTI230" s="32"/>
      <c r="LTJ230" s="32"/>
      <c r="LTK230" s="32"/>
      <c r="LTL230" s="32"/>
      <c r="LTM230" s="31"/>
      <c r="LTN230" s="31"/>
      <c r="LTO230" s="33"/>
      <c r="LTP230" s="33"/>
      <c r="LTQ230" s="34"/>
      <c r="LTR230" s="34"/>
      <c r="LTS230" s="35"/>
      <c r="LTT230" s="35"/>
      <c r="LTU230" s="32"/>
      <c r="LTV230" s="31"/>
      <c r="LTW230" s="31"/>
      <c r="LTX230" s="31"/>
      <c r="LTY230" s="32"/>
      <c r="LTZ230" s="32"/>
      <c r="LUA230" s="32"/>
      <c r="LUB230" s="32"/>
      <c r="LUC230" s="32"/>
      <c r="LUD230" s="31"/>
      <c r="LUE230" s="31"/>
      <c r="LUF230" s="33"/>
      <c r="LUG230" s="33"/>
      <c r="LUH230" s="34"/>
      <c r="LUI230" s="34"/>
      <c r="LUJ230" s="35"/>
      <c r="LUK230" s="35"/>
      <c r="LUL230" s="32"/>
      <c r="LUM230" s="31"/>
      <c r="LUN230" s="31"/>
      <c r="LUO230" s="31"/>
      <c r="LUP230" s="32"/>
      <c r="LUQ230" s="32"/>
      <c r="LUR230" s="32"/>
      <c r="LUS230" s="32"/>
      <c r="LUT230" s="32"/>
      <c r="LUU230" s="31"/>
      <c r="LUV230" s="31"/>
      <c r="LUW230" s="33"/>
      <c r="LUX230" s="33"/>
      <c r="LUY230" s="34"/>
      <c r="LUZ230" s="34"/>
      <c r="LVA230" s="35"/>
      <c r="LVB230" s="35"/>
      <c r="LVC230" s="32"/>
      <c r="LVD230" s="31"/>
      <c r="LVE230" s="31"/>
      <c r="LVF230" s="31"/>
      <c r="LVG230" s="32"/>
      <c r="LVH230" s="32"/>
      <c r="LVI230" s="32"/>
      <c r="LVJ230" s="32"/>
      <c r="LVK230" s="32"/>
      <c r="LVL230" s="31"/>
      <c r="LVM230" s="31"/>
      <c r="LVN230" s="33"/>
      <c r="LVO230" s="33"/>
      <c r="LVP230" s="34"/>
      <c r="LVQ230" s="34"/>
      <c r="LVR230" s="35"/>
      <c r="LVS230" s="35"/>
      <c r="LVT230" s="32"/>
      <c r="LVU230" s="31"/>
      <c r="LVV230" s="31"/>
      <c r="LVW230" s="31"/>
      <c r="LVX230" s="32"/>
      <c r="LVY230" s="32"/>
      <c r="LVZ230" s="32"/>
      <c r="LWA230" s="32"/>
      <c r="LWB230" s="32"/>
      <c r="LWC230" s="31"/>
      <c r="LWD230" s="31"/>
      <c r="LWE230" s="33"/>
      <c r="LWF230" s="33"/>
      <c r="LWG230" s="34"/>
      <c r="LWH230" s="34"/>
      <c r="LWI230" s="35"/>
      <c r="LWJ230" s="35"/>
      <c r="LWK230" s="32"/>
      <c r="LWL230" s="31"/>
      <c r="LWM230" s="31"/>
      <c r="LWN230" s="31"/>
      <c r="LWO230" s="32"/>
      <c r="LWP230" s="32"/>
      <c r="LWQ230" s="32"/>
      <c r="LWR230" s="32"/>
      <c r="LWS230" s="32"/>
      <c r="LWT230" s="31"/>
      <c r="LWU230" s="31"/>
      <c r="LWV230" s="33"/>
      <c r="LWW230" s="33"/>
      <c r="LWX230" s="34"/>
      <c r="LWY230" s="34"/>
      <c r="LWZ230" s="35"/>
      <c r="LXA230" s="35"/>
      <c r="LXB230" s="32"/>
      <c r="LXC230" s="31"/>
      <c r="LXD230" s="31"/>
      <c r="LXE230" s="31"/>
      <c r="LXF230" s="32"/>
      <c r="LXG230" s="32"/>
      <c r="LXH230" s="32"/>
      <c r="LXI230" s="32"/>
      <c r="LXJ230" s="32"/>
      <c r="LXK230" s="31"/>
      <c r="LXL230" s="31"/>
      <c r="LXM230" s="33"/>
      <c r="LXN230" s="33"/>
      <c r="LXO230" s="34"/>
      <c r="LXP230" s="34"/>
      <c r="LXQ230" s="35"/>
      <c r="LXR230" s="35"/>
      <c r="LXS230" s="32"/>
      <c r="LXT230" s="31"/>
      <c r="LXU230" s="31"/>
      <c r="LXV230" s="31"/>
      <c r="LXW230" s="32"/>
      <c r="LXX230" s="32"/>
      <c r="LXY230" s="32"/>
      <c r="LXZ230" s="32"/>
      <c r="LYA230" s="32"/>
      <c r="LYB230" s="31"/>
      <c r="LYC230" s="31"/>
      <c r="LYD230" s="33"/>
      <c r="LYE230" s="33"/>
      <c r="LYF230" s="34"/>
      <c r="LYG230" s="34"/>
      <c r="LYH230" s="35"/>
      <c r="LYI230" s="35"/>
      <c r="LYJ230" s="32"/>
      <c r="LYK230" s="31"/>
      <c r="LYL230" s="31"/>
      <c r="LYM230" s="31"/>
      <c r="LYN230" s="32"/>
      <c r="LYO230" s="32"/>
      <c r="LYP230" s="32"/>
      <c r="LYQ230" s="32"/>
      <c r="LYR230" s="32"/>
      <c r="LYS230" s="31"/>
      <c r="LYT230" s="31"/>
      <c r="LYU230" s="33"/>
      <c r="LYV230" s="33"/>
      <c r="LYW230" s="34"/>
      <c r="LYX230" s="34"/>
      <c r="LYY230" s="35"/>
      <c r="LYZ230" s="35"/>
      <c r="LZA230" s="32"/>
      <c r="LZB230" s="31"/>
      <c r="LZC230" s="31"/>
      <c r="LZD230" s="31"/>
      <c r="LZE230" s="32"/>
      <c r="LZF230" s="32"/>
      <c r="LZG230" s="32"/>
      <c r="LZH230" s="32"/>
      <c r="LZI230" s="32"/>
      <c r="LZJ230" s="31"/>
      <c r="LZK230" s="31"/>
      <c r="LZL230" s="33"/>
      <c r="LZM230" s="33"/>
      <c r="LZN230" s="34"/>
      <c r="LZO230" s="34"/>
      <c r="LZP230" s="35"/>
      <c r="LZQ230" s="35"/>
      <c r="LZR230" s="32"/>
      <c r="LZS230" s="31"/>
      <c r="LZT230" s="31"/>
      <c r="LZU230" s="31"/>
      <c r="LZV230" s="32"/>
      <c r="LZW230" s="32"/>
      <c r="LZX230" s="32"/>
      <c r="LZY230" s="32"/>
      <c r="LZZ230" s="32"/>
      <c r="MAA230" s="31"/>
      <c r="MAB230" s="31"/>
      <c r="MAC230" s="33"/>
      <c r="MAD230" s="33"/>
      <c r="MAE230" s="34"/>
      <c r="MAF230" s="34"/>
      <c r="MAG230" s="35"/>
      <c r="MAH230" s="35"/>
      <c r="MAI230" s="32"/>
      <c r="MAJ230" s="31"/>
      <c r="MAK230" s="31"/>
      <c r="MAL230" s="31"/>
      <c r="MAM230" s="32"/>
      <c r="MAN230" s="32"/>
      <c r="MAO230" s="32"/>
      <c r="MAP230" s="32"/>
      <c r="MAQ230" s="32"/>
      <c r="MAR230" s="31"/>
      <c r="MAS230" s="31"/>
      <c r="MAT230" s="33"/>
      <c r="MAU230" s="33"/>
      <c r="MAV230" s="34"/>
      <c r="MAW230" s="34"/>
      <c r="MAX230" s="35"/>
      <c r="MAY230" s="35"/>
      <c r="MAZ230" s="32"/>
      <c r="MBA230" s="31"/>
      <c r="MBB230" s="31"/>
      <c r="MBC230" s="31"/>
      <c r="MBD230" s="32"/>
      <c r="MBE230" s="32"/>
      <c r="MBF230" s="32"/>
      <c r="MBG230" s="32"/>
      <c r="MBH230" s="32"/>
      <c r="MBI230" s="31"/>
      <c r="MBJ230" s="31"/>
      <c r="MBK230" s="33"/>
      <c r="MBL230" s="33"/>
      <c r="MBM230" s="34"/>
      <c r="MBN230" s="34"/>
      <c r="MBO230" s="35"/>
      <c r="MBP230" s="35"/>
      <c r="MBQ230" s="32"/>
      <c r="MBR230" s="31"/>
      <c r="MBS230" s="31"/>
      <c r="MBT230" s="31"/>
      <c r="MBU230" s="32"/>
      <c r="MBV230" s="32"/>
      <c r="MBW230" s="32"/>
      <c r="MBX230" s="32"/>
      <c r="MBY230" s="32"/>
      <c r="MBZ230" s="31"/>
      <c r="MCA230" s="31"/>
      <c r="MCB230" s="33"/>
      <c r="MCC230" s="33"/>
      <c r="MCD230" s="34"/>
      <c r="MCE230" s="34"/>
      <c r="MCF230" s="35"/>
      <c r="MCG230" s="35"/>
      <c r="MCH230" s="32"/>
      <c r="MCI230" s="31"/>
      <c r="MCJ230" s="31"/>
      <c r="MCK230" s="31"/>
      <c r="MCL230" s="32"/>
      <c r="MCM230" s="32"/>
      <c r="MCN230" s="32"/>
      <c r="MCO230" s="32"/>
      <c r="MCP230" s="32"/>
      <c r="MCQ230" s="31"/>
      <c r="MCR230" s="31"/>
      <c r="MCS230" s="33"/>
      <c r="MCT230" s="33"/>
      <c r="MCU230" s="34"/>
      <c r="MCV230" s="34"/>
      <c r="MCW230" s="35"/>
      <c r="MCX230" s="35"/>
      <c r="MCY230" s="32"/>
      <c r="MCZ230" s="31"/>
      <c r="MDA230" s="31"/>
      <c r="MDB230" s="31"/>
      <c r="MDC230" s="32"/>
      <c r="MDD230" s="32"/>
      <c r="MDE230" s="32"/>
      <c r="MDF230" s="32"/>
      <c r="MDG230" s="32"/>
      <c r="MDH230" s="31"/>
      <c r="MDI230" s="31"/>
      <c r="MDJ230" s="33"/>
      <c r="MDK230" s="33"/>
      <c r="MDL230" s="34"/>
      <c r="MDM230" s="34"/>
      <c r="MDN230" s="35"/>
      <c r="MDO230" s="35"/>
      <c r="MDP230" s="32"/>
      <c r="MDQ230" s="31"/>
      <c r="MDR230" s="31"/>
      <c r="MDS230" s="31"/>
      <c r="MDT230" s="32"/>
      <c r="MDU230" s="32"/>
      <c r="MDV230" s="32"/>
      <c r="MDW230" s="32"/>
      <c r="MDX230" s="32"/>
      <c r="MDY230" s="31"/>
      <c r="MDZ230" s="31"/>
      <c r="MEA230" s="33"/>
      <c r="MEB230" s="33"/>
      <c r="MEC230" s="34"/>
      <c r="MED230" s="34"/>
      <c r="MEE230" s="35"/>
      <c r="MEF230" s="35"/>
      <c r="MEG230" s="32"/>
      <c r="MEH230" s="31"/>
      <c r="MEI230" s="31"/>
      <c r="MEJ230" s="31"/>
      <c r="MEK230" s="32"/>
      <c r="MEL230" s="32"/>
      <c r="MEM230" s="32"/>
      <c r="MEN230" s="32"/>
      <c r="MEO230" s="32"/>
      <c r="MEP230" s="31"/>
      <c r="MEQ230" s="31"/>
      <c r="MER230" s="33"/>
      <c r="MES230" s="33"/>
      <c r="MET230" s="34"/>
      <c r="MEU230" s="34"/>
      <c r="MEV230" s="35"/>
      <c r="MEW230" s="35"/>
      <c r="MEX230" s="32"/>
      <c r="MEY230" s="31"/>
      <c r="MEZ230" s="31"/>
      <c r="MFA230" s="31"/>
      <c r="MFB230" s="32"/>
      <c r="MFC230" s="32"/>
      <c r="MFD230" s="32"/>
      <c r="MFE230" s="32"/>
      <c r="MFF230" s="32"/>
      <c r="MFG230" s="31"/>
      <c r="MFH230" s="31"/>
      <c r="MFI230" s="33"/>
      <c r="MFJ230" s="33"/>
      <c r="MFK230" s="34"/>
      <c r="MFL230" s="34"/>
      <c r="MFM230" s="35"/>
      <c r="MFN230" s="35"/>
      <c r="MFO230" s="32"/>
      <c r="MFP230" s="31"/>
      <c r="MFQ230" s="31"/>
      <c r="MFR230" s="31"/>
      <c r="MFS230" s="32"/>
      <c r="MFT230" s="32"/>
      <c r="MFU230" s="32"/>
      <c r="MFV230" s="32"/>
      <c r="MFW230" s="32"/>
      <c r="MFX230" s="31"/>
      <c r="MFY230" s="31"/>
      <c r="MFZ230" s="33"/>
      <c r="MGA230" s="33"/>
      <c r="MGB230" s="34"/>
      <c r="MGC230" s="34"/>
      <c r="MGD230" s="35"/>
      <c r="MGE230" s="35"/>
      <c r="MGF230" s="32"/>
      <c r="MGG230" s="31"/>
      <c r="MGH230" s="31"/>
      <c r="MGI230" s="31"/>
      <c r="MGJ230" s="32"/>
      <c r="MGK230" s="32"/>
      <c r="MGL230" s="32"/>
      <c r="MGM230" s="32"/>
      <c r="MGN230" s="32"/>
      <c r="MGO230" s="31"/>
      <c r="MGP230" s="31"/>
      <c r="MGQ230" s="33"/>
      <c r="MGR230" s="33"/>
      <c r="MGS230" s="34"/>
      <c r="MGT230" s="34"/>
      <c r="MGU230" s="35"/>
      <c r="MGV230" s="35"/>
      <c r="MGW230" s="32"/>
      <c r="MGX230" s="31"/>
      <c r="MGY230" s="31"/>
      <c r="MGZ230" s="31"/>
      <c r="MHA230" s="32"/>
      <c r="MHB230" s="32"/>
      <c r="MHC230" s="32"/>
      <c r="MHD230" s="32"/>
      <c r="MHE230" s="32"/>
      <c r="MHF230" s="31"/>
      <c r="MHG230" s="31"/>
      <c r="MHH230" s="33"/>
      <c r="MHI230" s="33"/>
      <c r="MHJ230" s="34"/>
      <c r="MHK230" s="34"/>
      <c r="MHL230" s="35"/>
      <c r="MHM230" s="35"/>
      <c r="MHN230" s="32"/>
      <c r="MHO230" s="31"/>
      <c r="MHP230" s="31"/>
      <c r="MHQ230" s="31"/>
      <c r="MHR230" s="32"/>
      <c r="MHS230" s="32"/>
      <c r="MHT230" s="32"/>
      <c r="MHU230" s="32"/>
      <c r="MHV230" s="32"/>
      <c r="MHW230" s="31"/>
      <c r="MHX230" s="31"/>
      <c r="MHY230" s="33"/>
      <c r="MHZ230" s="33"/>
      <c r="MIA230" s="34"/>
      <c r="MIB230" s="34"/>
      <c r="MIC230" s="35"/>
      <c r="MID230" s="35"/>
      <c r="MIE230" s="32"/>
      <c r="MIF230" s="31"/>
      <c r="MIG230" s="31"/>
      <c r="MIH230" s="31"/>
      <c r="MII230" s="32"/>
      <c r="MIJ230" s="32"/>
      <c r="MIK230" s="32"/>
      <c r="MIL230" s="32"/>
      <c r="MIM230" s="32"/>
      <c r="MIN230" s="31"/>
      <c r="MIO230" s="31"/>
      <c r="MIP230" s="33"/>
      <c r="MIQ230" s="33"/>
      <c r="MIR230" s="34"/>
      <c r="MIS230" s="34"/>
      <c r="MIT230" s="35"/>
      <c r="MIU230" s="35"/>
      <c r="MIV230" s="32"/>
      <c r="MIW230" s="31"/>
      <c r="MIX230" s="31"/>
      <c r="MIY230" s="31"/>
      <c r="MIZ230" s="32"/>
      <c r="MJA230" s="32"/>
      <c r="MJB230" s="32"/>
      <c r="MJC230" s="32"/>
      <c r="MJD230" s="32"/>
      <c r="MJE230" s="31"/>
      <c r="MJF230" s="31"/>
      <c r="MJG230" s="33"/>
      <c r="MJH230" s="33"/>
      <c r="MJI230" s="34"/>
      <c r="MJJ230" s="34"/>
      <c r="MJK230" s="35"/>
      <c r="MJL230" s="35"/>
      <c r="MJM230" s="32"/>
      <c r="MJN230" s="31"/>
      <c r="MJO230" s="31"/>
      <c r="MJP230" s="31"/>
      <c r="MJQ230" s="32"/>
      <c r="MJR230" s="32"/>
      <c r="MJS230" s="32"/>
      <c r="MJT230" s="32"/>
      <c r="MJU230" s="32"/>
      <c r="MJV230" s="31"/>
      <c r="MJW230" s="31"/>
      <c r="MJX230" s="33"/>
      <c r="MJY230" s="33"/>
      <c r="MJZ230" s="34"/>
      <c r="MKA230" s="34"/>
      <c r="MKB230" s="35"/>
      <c r="MKC230" s="35"/>
      <c r="MKD230" s="32"/>
      <c r="MKE230" s="31"/>
      <c r="MKF230" s="31"/>
      <c r="MKG230" s="31"/>
      <c r="MKH230" s="32"/>
      <c r="MKI230" s="32"/>
      <c r="MKJ230" s="32"/>
      <c r="MKK230" s="32"/>
      <c r="MKL230" s="32"/>
      <c r="MKM230" s="31"/>
      <c r="MKN230" s="31"/>
      <c r="MKO230" s="33"/>
      <c r="MKP230" s="33"/>
      <c r="MKQ230" s="34"/>
      <c r="MKR230" s="34"/>
      <c r="MKS230" s="35"/>
      <c r="MKT230" s="35"/>
      <c r="MKU230" s="32"/>
      <c r="MKV230" s="31"/>
      <c r="MKW230" s="31"/>
      <c r="MKX230" s="31"/>
      <c r="MKY230" s="32"/>
      <c r="MKZ230" s="32"/>
      <c r="MLA230" s="32"/>
      <c r="MLB230" s="32"/>
      <c r="MLC230" s="32"/>
      <c r="MLD230" s="31"/>
      <c r="MLE230" s="31"/>
      <c r="MLF230" s="33"/>
      <c r="MLG230" s="33"/>
      <c r="MLH230" s="34"/>
      <c r="MLI230" s="34"/>
      <c r="MLJ230" s="35"/>
      <c r="MLK230" s="35"/>
      <c r="MLL230" s="32"/>
      <c r="MLM230" s="31"/>
      <c r="MLN230" s="31"/>
      <c r="MLO230" s="31"/>
      <c r="MLP230" s="32"/>
      <c r="MLQ230" s="32"/>
      <c r="MLR230" s="32"/>
      <c r="MLS230" s="32"/>
      <c r="MLT230" s="32"/>
      <c r="MLU230" s="31"/>
      <c r="MLV230" s="31"/>
      <c r="MLW230" s="33"/>
      <c r="MLX230" s="33"/>
      <c r="MLY230" s="34"/>
      <c r="MLZ230" s="34"/>
      <c r="MMA230" s="35"/>
      <c r="MMB230" s="35"/>
      <c r="MMC230" s="32"/>
      <c r="MMD230" s="31"/>
      <c r="MME230" s="31"/>
      <c r="MMF230" s="31"/>
      <c r="MMG230" s="32"/>
      <c r="MMH230" s="32"/>
      <c r="MMI230" s="32"/>
      <c r="MMJ230" s="32"/>
      <c r="MMK230" s="32"/>
      <c r="MML230" s="31"/>
      <c r="MMM230" s="31"/>
      <c r="MMN230" s="33"/>
      <c r="MMO230" s="33"/>
      <c r="MMP230" s="34"/>
      <c r="MMQ230" s="34"/>
      <c r="MMR230" s="35"/>
      <c r="MMS230" s="35"/>
      <c r="MMT230" s="32"/>
      <c r="MMU230" s="31"/>
      <c r="MMV230" s="31"/>
      <c r="MMW230" s="31"/>
      <c r="MMX230" s="32"/>
      <c r="MMY230" s="32"/>
      <c r="MMZ230" s="32"/>
      <c r="MNA230" s="32"/>
      <c r="MNB230" s="32"/>
      <c r="MNC230" s="31"/>
      <c r="MND230" s="31"/>
      <c r="MNE230" s="33"/>
      <c r="MNF230" s="33"/>
      <c r="MNG230" s="34"/>
      <c r="MNH230" s="34"/>
      <c r="MNI230" s="35"/>
      <c r="MNJ230" s="35"/>
      <c r="MNK230" s="32"/>
      <c r="MNL230" s="31"/>
      <c r="MNM230" s="31"/>
      <c r="MNN230" s="31"/>
      <c r="MNO230" s="32"/>
      <c r="MNP230" s="32"/>
      <c r="MNQ230" s="32"/>
      <c r="MNR230" s="32"/>
      <c r="MNS230" s="32"/>
      <c r="MNT230" s="31"/>
      <c r="MNU230" s="31"/>
      <c r="MNV230" s="33"/>
      <c r="MNW230" s="33"/>
      <c r="MNX230" s="34"/>
      <c r="MNY230" s="34"/>
      <c r="MNZ230" s="35"/>
      <c r="MOA230" s="35"/>
      <c r="MOB230" s="32"/>
      <c r="MOC230" s="31"/>
      <c r="MOD230" s="31"/>
      <c r="MOE230" s="31"/>
      <c r="MOF230" s="32"/>
      <c r="MOG230" s="32"/>
      <c r="MOH230" s="32"/>
      <c r="MOI230" s="32"/>
      <c r="MOJ230" s="32"/>
      <c r="MOK230" s="31"/>
      <c r="MOL230" s="31"/>
      <c r="MOM230" s="33"/>
      <c r="MON230" s="33"/>
      <c r="MOO230" s="34"/>
      <c r="MOP230" s="34"/>
      <c r="MOQ230" s="35"/>
      <c r="MOR230" s="35"/>
      <c r="MOS230" s="32"/>
      <c r="MOT230" s="31"/>
      <c r="MOU230" s="31"/>
      <c r="MOV230" s="31"/>
      <c r="MOW230" s="32"/>
      <c r="MOX230" s="32"/>
      <c r="MOY230" s="32"/>
      <c r="MOZ230" s="32"/>
      <c r="MPA230" s="32"/>
      <c r="MPB230" s="31"/>
      <c r="MPC230" s="31"/>
      <c r="MPD230" s="33"/>
      <c r="MPE230" s="33"/>
      <c r="MPF230" s="34"/>
      <c r="MPG230" s="34"/>
      <c r="MPH230" s="35"/>
      <c r="MPI230" s="35"/>
      <c r="MPJ230" s="32"/>
      <c r="MPK230" s="31"/>
      <c r="MPL230" s="31"/>
      <c r="MPM230" s="31"/>
      <c r="MPN230" s="32"/>
      <c r="MPO230" s="32"/>
      <c r="MPP230" s="32"/>
      <c r="MPQ230" s="32"/>
      <c r="MPR230" s="32"/>
      <c r="MPS230" s="31"/>
      <c r="MPT230" s="31"/>
      <c r="MPU230" s="33"/>
      <c r="MPV230" s="33"/>
      <c r="MPW230" s="34"/>
      <c r="MPX230" s="34"/>
      <c r="MPY230" s="35"/>
      <c r="MPZ230" s="35"/>
      <c r="MQA230" s="32"/>
      <c r="MQB230" s="31"/>
      <c r="MQC230" s="31"/>
      <c r="MQD230" s="31"/>
      <c r="MQE230" s="32"/>
      <c r="MQF230" s="32"/>
      <c r="MQG230" s="32"/>
      <c r="MQH230" s="32"/>
      <c r="MQI230" s="32"/>
      <c r="MQJ230" s="31"/>
      <c r="MQK230" s="31"/>
      <c r="MQL230" s="33"/>
      <c r="MQM230" s="33"/>
      <c r="MQN230" s="34"/>
      <c r="MQO230" s="34"/>
      <c r="MQP230" s="35"/>
      <c r="MQQ230" s="35"/>
      <c r="MQR230" s="32"/>
      <c r="MQS230" s="31"/>
      <c r="MQT230" s="31"/>
      <c r="MQU230" s="31"/>
      <c r="MQV230" s="32"/>
      <c r="MQW230" s="32"/>
      <c r="MQX230" s="32"/>
      <c r="MQY230" s="32"/>
      <c r="MQZ230" s="32"/>
      <c r="MRA230" s="31"/>
      <c r="MRB230" s="31"/>
      <c r="MRC230" s="33"/>
      <c r="MRD230" s="33"/>
      <c r="MRE230" s="34"/>
      <c r="MRF230" s="34"/>
      <c r="MRG230" s="35"/>
      <c r="MRH230" s="35"/>
      <c r="MRI230" s="32"/>
      <c r="MRJ230" s="31"/>
      <c r="MRK230" s="31"/>
      <c r="MRL230" s="31"/>
      <c r="MRM230" s="32"/>
      <c r="MRN230" s="32"/>
      <c r="MRO230" s="32"/>
      <c r="MRP230" s="32"/>
      <c r="MRQ230" s="32"/>
      <c r="MRR230" s="31"/>
      <c r="MRS230" s="31"/>
      <c r="MRT230" s="33"/>
      <c r="MRU230" s="33"/>
      <c r="MRV230" s="34"/>
      <c r="MRW230" s="34"/>
      <c r="MRX230" s="35"/>
      <c r="MRY230" s="35"/>
      <c r="MRZ230" s="32"/>
      <c r="MSA230" s="31"/>
      <c r="MSB230" s="31"/>
      <c r="MSC230" s="31"/>
      <c r="MSD230" s="32"/>
      <c r="MSE230" s="32"/>
      <c r="MSF230" s="32"/>
      <c r="MSG230" s="32"/>
      <c r="MSH230" s="32"/>
      <c r="MSI230" s="31"/>
      <c r="MSJ230" s="31"/>
      <c r="MSK230" s="33"/>
      <c r="MSL230" s="33"/>
      <c r="MSM230" s="34"/>
      <c r="MSN230" s="34"/>
      <c r="MSO230" s="35"/>
      <c r="MSP230" s="35"/>
      <c r="MSQ230" s="32"/>
      <c r="MSR230" s="31"/>
      <c r="MSS230" s="31"/>
      <c r="MST230" s="31"/>
      <c r="MSU230" s="32"/>
      <c r="MSV230" s="32"/>
      <c r="MSW230" s="32"/>
      <c r="MSX230" s="32"/>
      <c r="MSY230" s="32"/>
      <c r="MSZ230" s="31"/>
      <c r="MTA230" s="31"/>
      <c r="MTB230" s="33"/>
      <c r="MTC230" s="33"/>
      <c r="MTD230" s="34"/>
      <c r="MTE230" s="34"/>
      <c r="MTF230" s="35"/>
      <c r="MTG230" s="35"/>
      <c r="MTH230" s="32"/>
      <c r="MTI230" s="31"/>
      <c r="MTJ230" s="31"/>
      <c r="MTK230" s="31"/>
      <c r="MTL230" s="32"/>
      <c r="MTM230" s="32"/>
      <c r="MTN230" s="32"/>
      <c r="MTO230" s="32"/>
      <c r="MTP230" s="32"/>
      <c r="MTQ230" s="31"/>
      <c r="MTR230" s="31"/>
      <c r="MTS230" s="33"/>
      <c r="MTT230" s="33"/>
      <c r="MTU230" s="34"/>
      <c r="MTV230" s="34"/>
      <c r="MTW230" s="35"/>
      <c r="MTX230" s="35"/>
      <c r="MTY230" s="32"/>
      <c r="MTZ230" s="31"/>
      <c r="MUA230" s="31"/>
      <c r="MUB230" s="31"/>
      <c r="MUC230" s="32"/>
      <c r="MUD230" s="32"/>
      <c r="MUE230" s="32"/>
      <c r="MUF230" s="32"/>
      <c r="MUG230" s="32"/>
      <c r="MUH230" s="31"/>
      <c r="MUI230" s="31"/>
      <c r="MUJ230" s="33"/>
      <c r="MUK230" s="33"/>
      <c r="MUL230" s="34"/>
      <c r="MUM230" s="34"/>
      <c r="MUN230" s="35"/>
      <c r="MUO230" s="35"/>
      <c r="MUP230" s="32"/>
      <c r="MUQ230" s="31"/>
      <c r="MUR230" s="31"/>
      <c r="MUS230" s="31"/>
      <c r="MUT230" s="32"/>
      <c r="MUU230" s="32"/>
      <c r="MUV230" s="32"/>
      <c r="MUW230" s="32"/>
      <c r="MUX230" s="32"/>
      <c r="MUY230" s="31"/>
      <c r="MUZ230" s="31"/>
      <c r="MVA230" s="33"/>
      <c r="MVB230" s="33"/>
      <c r="MVC230" s="34"/>
      <c r="MVD230" s="34"/>
      <c r="MVE230" s="35"/>
      <c r="MVF230" s="35"/>
      <c r="MVG230" s="32"/>
      <c r="MVH230" s="31"/>
      <c r="MVI230" s="31"/>
      <c r="MVJ230" s="31"/>
      <c r="MVK230" s="32"/>
      <c r="MVL230" s="32"/>
      <c r="MVM230" s="32"/>
      <c r="MVN230" s="32"/>
      <c r="MVO230" s="32"/>
      <c r="MVP230" s="31"/>
      <c r="MVQ230" s="31"/>
      <c r="MVR230" s="33"/>
      <c r="MVS230" s="33"/>
      <c r="MVT230" s="34"/>
      <c r="MVU230" s="34"/>
      <c r="MVV230" s="35"/>
      <c r="MVW230" s="35"/>
      <c r="MVX230" s="32"/>
      <c r="MVY230" s="31"/>
      <c r="MVZ230" s="31"/>
      <c r="MWA230" s="31"/>
      <c r="MWB230" s="32"/>
      <c r="MWC230" s="32"/>
      <c r="MWD230" s="32"/>
      <c r="MWE230" s="32"/>
      <c r="MWF230" s="32"/>
      <c r="MWG230" s="31"/>
      <c r="MWH230" s="31"/>
      <c r="MWI230" s="33"/>
      <c r="MWJ230" s="33"/>
      <c r="MWK230" s="34"/>
      <c r="MWL230" s="34"/>
      <c r="MWM230" s="35"/>
      <c r="MWN230" s="35"/>
      <c r="MWO230" s="32"/>
      <c r="MWP230" s="31"/>
      <c r="MWQ230" s="31"/>
      <c r="MWR230" s="31"/>
      <c r="MWS230" s="32"/>
      <c r="MWT230" s="32"/>
      <c r="MWU230" s="32"/>
      <c r="MWV230" s="32"/>
      <c r="MWW230" s="32"/>
      <c r="MWX230" s="31"/>
      <c r="MWY230" s="31"/>
      <c r="MWZ230" s="33"/>
      <c r="MXA230" s="33"/>
      <c r="MXB230" s="34"/>
      <c r="MXC230" s="34"/>
      <c r="MXD230" s="35"/>
      <c r="MXE230" s="35"/>
      <c r="MXF230" s="32"/>
      <c r="MXG230" s="31"/>
      <c r="MXH230" s="31"/>
      <c r="MXI230" s="31"/>
      <c r="MXJ230" s="32"/>
      <c r="MXK230" s="32"/>
      <c r="MXL230" s="32"/>
      <c r="MXM230" s="32"/>
      <c r="MXN230" s="32"/>
      <c r="MXO230" s="31"/>
      <c r="MXP230" s="31"/>
      <c r="MXQ230" s="33"/>
      <c r="MXR230" s="33"/>
      <c r="MXS230" s="34"/>
      <c r="MXT230" s="34"/>
      <c r="MXU230" s="35"/>
      <c r="MXV230" s="35"/>
      <c r="MXW230" s="32"/>
      <c r="MXX230" s="31"/>
      <c r="MXY230" s="31"/>
      <c r="MXZ230" s="31"/>
      <c r="MYA230" s="32"/>
      <c r="MYB230" s="32"/>
      <c r="MYC230" s="32"/>
      <c r="MYD230" s="32"/>
      <c r="MYE230" s="32"/>
      <c r="MYF230" s="31"/>
      <c r="MYG230" s="31"/>
      <c r="MYH230" s="33"/>
      <c r="MYI230" s="33"/>
      <c r="MYJ230" s="34"/>
      <c r="MYK230" s="34"/>
      <c r="MYL230" s="35"/>
      <c r="MYM230" s="35"/>
      <c r="MYN230" s="32"/>
      <c r="MYO230" s="31"/>
      <c r="MYP230" s="31"/>
      <c r="MYQ230" s="31"/>
      <c r="MYR230" s="32"/>
      <c r="MYS230" s="32"/>
      <c r="MYT230" s="32"/>
      <c r="MYU230" s="32"/>
      <c r="MYV230" s="32"/>
      <c r="MYW230" s="31"/>
      <c r="MYX230" s="31"/>
      <c r="MYY230" s="33"/>
      <c r="MYZ230" s="33"/>
      <c r="MZA230" s="34"/>
      <c r="MZB230" s="34"/>
      <c r="MZC230" s="35"/>
      <c r="MZD230" s="35"/>
      <c r="MZE230" s="32"/>
      <c r="MZF230" s="31"/>
      <c r="MZG230" s="31"/>
      <c r="MZH230" s="31"/>
      <c r="MZI230" s="32"/>
      <c r="MZJ230" s="32"/>
      <c r="MZK230" s="32"/>
      <c r="MZL230" s="32"/>
      <c r="MZM230" s="32"/>
      <c r="MZN230" s="31"/>
      <c r="MZO230" s="31"/>
      <c r="MZP230" s="33"/>
      <c r="MZQ230" s="33"/>
      <c r="MZR230" s="34"/>
      <c r="MZS230" s="34"/>
      <c r="MZT230" s="35"/>
      <c r="MZU230" s="35"/>
      <c r="MZV230" s="32"/>
      <c r="MZW230" s="31"/>
      <c r="MZX230" s="31"/>
      <c r="MZY230" s="31"/>
      <c r="MZZ230" s="32"/>
      <c r="NAA230" s="32"/>
      <c r="NAB230" s="32"/>
      <c r="NAC230" s="32"/>
      <c r="NAD230" s="32"/>
      <c r="NAE230" s="31"/>
      <c r="NAF230" s="31"/>
      <c r="NAG230" s="33"/>
      <c r="NAH230" s="33"/>
      <c r="NAI230" s="34"/>
      <c r="NAJ230" s="34"/>
      <c r="NAK230" s="35"/>
      <c r="NAL230" s="35"/>
      <c r="NAM230" s="32"/>
      <c r="NAN230" s="31"/>
      <c r="NAO230" s="31"/>
      <c r="NAP230" s="31"/>
      <c r="NAQ230" s="32"/>
      <c r="NAR230" s="32"/>
      <c r="NAS230" s="32"/>
      <c r="NAT230" s="32"/>
      <c r="NAU230" s="32"/>
      <c r="NAV230" s="31"/>
      <c r="NAW230" s="31"/>
      <c r="NAX230" s="33"/>
      <c r="NAY230" s="33"/>
      <c r="NAZ230" s="34"/>
      <c r="NBA230" s="34"/>
      <c r="NBB230" s="35"/>
      <c r="NBC230" s="35"/>
      <c r="NBD230" s="32"/>
      <c r="NBE230" s="31"/>
      <c r="NBF230" s="31"/>
      <c r="NBG230" s="31"/>
      <c r="NBH230" s="32"/>
      <c r="NBI230" s="32"/>
      <c r="NBJ230" s="32"/>
      <c r="NBK230" s="32"/>
      <c r="NBL230" s="32"/>
      <c r="NBM230" s="31"/>
      <c r="NBN230" s="31"/>
      <c r="NBO230" s="33"/>
      <c r="NBP230" s="33"/>
      <c r="NBQ230" s="34"/>
      <c r="NBR230" s="34"/>
      <c r="NBS230" s="35"/>
      <c r="NBT230" s="35"/>
      <c r="NBU230" s="32"/>
      <c r="NBV230" s="31"/>
      <c r="NBW230" s="31"/>
      <c r="NBX230" s="31"/>
      <c r="NBY230" s="32"/>
      <c r="NBZ230" s="32"/>
      <c r="NCA230" s="32"/>
      <c r="NCB230" s="32"/>
      <c r="NCC230" s="32"/>
      <c r="NCD230" s="31"/>
      <c r="NCE230" s="31"/>
      <c r="NCF230" s="33"/>
      <c r="NCG230" s="33"/>
      <c r="NCH230" s="34"/>
      <c r="NCI230" s="34"/>
      <c r="NCJ230" s="35"/>
      <c r="NCK230" s="35"/>
      <c r="NCL230" s="32"/>
      <c r="NCM230" s="31"/>
      <c r="NCN230" s="31"/>
      <c r="NCO230" s="31"/>
      <c r="NCP230" s="32"/>
      <c r="NCQ230" s="32"/>
      <c r="NCR230" s="32"/>
      <c r="NCS230" s="32"/>
      <c r="NCT230" s="32"/>
      <c r="NCU230" s="31"/>
      <c r="NCV230" s="31"/>
      <c r="NCW230" s="33"/>
      <c r="NCX230" s="33"/>
      <c r="NCY230" s="34"/>
      <c r="NCZ230" s="34"/>
      <c r="NDA230" s="35"/>
      <c r="NDB230" s="35"/>
      <c r="NDC230" s="32"/>
      <c r="NDD230" s="31"/>
      <c r="NDE230" s="31"/>
      <c r="NDF230" s="31"/>
      <c r="NDG230" s="32"/>
      <c r="NDH230" s="32"/>
      <c r="NDI230" s="32"/>
      <c r="NDJ230" s="32"/>
      <c r="NDK230" s="32"/>
      <c r="NDL230" s="31"/>
      <c r="NDM230" s="31"/>
      <c r="NDN230" s="33"/>
      <c r="NDO230" s="33"/>
      <c r="NDP230" s="34"/>
      <c r="NDQ230" s="34"/>
      <c r="NDR230" s="35"/>
      <c r="NDS230" s="35"/>
      <c r="NDT230" s="32"/>
      <c r="NDU230" s="31"/>
      <c r="NDV230" s="31"/>
      <c r="NDW230" s="31"/>
      <c r="NDX230" s="32"/>
      <c r="NDY230" s="32"/>
      <c r="NDZ230" s="32"/>
      <c r="NEA230" s="32"/>
      <c r="NEB230" s="32"/>
      <c r="NEC230" s="31"/>
      <c r="NED230" s="31"/>
      <c r="NEE230" s="33"/>
      <c r="NEF230" s="33"/>
      <c r="NEG230" s="34"/>
      <c r="NEH230" s="34"/>
      <c r="NEI230" s="35"/>
      <c r="NEJ230" s="35"/>
      <c r="NEK230" s="32"/>
      <c r="NEL230" s="31"/>
      <c r="NEM230" s="31"/>
      <c r="NEN230" s="31"/>
      <c r="NEO230" s="32"/>
      <c r="NEP230" s="32"/>
      <c r="NEQ230" s="32"/>
      <c r="NER230" s="32"/>
      <c r="NES230" s="32"/>
      <c r="NET230" s="31"/>
      <c r="NEU230" s="31"/>
      <c r="NEV230" s="33"/>
      <c r="NEW230" s="33"/>
      <c r="NEX230" s="34"/>
      <c r="NEY230" s="34"/>
      <c r="NEZ230" s="35"/>
      <c r="NFA230" s="35"/>
      <c r="NFB230" s="32"/>
      <c r="NFC230" s="31"/>
      <c r="NFD230" s="31"/>
      <c r="NFE230" s="31"/>
      <c r="NFF230" s="32"/>
      <c r="NFG230" s="32"/>
      <c r="NFH230" s="32"/>
      <c r="NFI230" s="32"/>
      <c r="NFJ230" s="32"/>
      <c r="NFK230" s="31"/>
      <c r="NFL230" s="31"/>
      <c r="NFM230" s="33"/>
      <c r="NFN230" s="33"/>
      <c r="NFO230" s="34"/>
      <c r="NFP230" s="34"/>
      <c r="NFQ230" s="35"/>
      <c r="NFR230" s="35"/>
      <c r="NFS230" s="32"/>
      <c r="NFT230" s="31"/>
      <c r="NFU230" s="31"/>
      <c r="NFV230" s="31"/>
      <c r="NFW230" s="32"/>
      <c r="NFX230" s="32"/>
      <c r="NFY230" s="32"/>
      <c r="NFZ230" s="32"/>
      <c r="NGA230" s="32"/>
      <c r="NGB230" s="31"/>
      <c r="NGC230" s="31"/>
      <c r="NGD230" s="33"/>
      <c r="NGE230" s="33"/>
      <c r="NGF230" s="34"/>
      <c r="NGG230" s="34"/>
      <c r="NGH230" s="35"/>
      <c r="NGI230" s="35"/>
      <c r="NGJ230" s="32"/>
      <c r="NGK230" s="31"/>
      <c r="NGL230" s="31"/>
      <c r="NGM230" s="31"/>
      <c r="NGN230" s="32"/>
      <c r="NGO230" s="32"/>
      <c r="NGP230" s="32"/>
      <c r="NGQ230" s="32"/>
      <c r="NGR230" s="32"/>
      <c r="NGS230" s="31"/>
      <c r="NGT230" s="31"/>
      <c r="NGU230" s="33"/>
      <c r="NGV230" s="33"/>
      <c r="NGW230" s="34"/>
      <c r="NGX230" s="34"/>
      <c r="NGY230" s="35"/>
      <c r="NGZ230" s="35"/>
      <c r="NHA230" s="32"/>
      <c r="NHB230" s="31"/>
      <c r="NHC230" s="31"/>
      <c r="NHD230" s="31"/>
      <c r="NHE230" s="32"/>
      <c r="NHF230" s="32"/>
      <c r="NHG230" s="32"/>
      <c r="NHH230" s="32"/>
      <c r="NHI230" s="32"/>
      <c r="NHJ230" s="31"/>
      <c r="NHK230" s="31"/>
      <c r="NHL230" s="33"/>
      <c r="NHM230" s="33"/>
      <c r="NHN230" s="34"/>
      <c r="NHO230" s="34"/>
      <c r="NHP230" s="35"/>
      <c r="NHQ230" s="35"/>
      <c r="NHR230" s="32"/>
      <c r="NHS230" s="31"/>
      <c r="NHT230" s="31"/>
      <c r="NHU230" s="31"/>
      <c r="NHV230" s="32"/>
      <c r="NHW230" s="32"/>
      <c r="NHX230" s="32"/>
      <c r="NHY230" s="32"/>
      <c r="NHZ230" s="32"/>
      <c r="NIA230" s="31"/>
      <c r="NIB230" s="31"/>
      <c r="NIC230" s="33"/>
      <c r="NID230" s="33"/>
      <c r="NIE230" s="34"/>
      <c r="NIF230" s="34"/>
      <c r="NIG230" s="35"/>
      <c r="NIH230" s="35"/>
      <c r="NII230" s="32"/>
      <c r="NIJ230" s="31"/>
      <c r="NIK230" s="31"/>
      <c r="NIL230" s="31"/>
      <c r="NIM230" s="32"/>
      <c r="NIN230" s="32"/>
      <c r="NIO230" s="32"/>
      <c r="NIP230" s="32"/>
      <c r="NIQ230" s="32"/>
      <c r="NIR230" s="31"/>
      <c r="NIS230" s="31"/>
      <c r="NIT230" s="33"/>
      <c r="NIU230" s="33"/>
      <c r="NIV230" s="34"/>
      <c r="NIW230" s="34"/>
      <c r="NIX230" s="35"/>
      <c r="NIY230" s="35"/>
      <c r="NIZ230" s="32"/>
      <c r="NJA230" s="31"/>
      <c r="NJB230" s="31"/>
      <c r="NJC230" s="31"/>
      <c r="NJD230" s="32"/>
      <c r="NJE230" s="32"/>
      <c r="NJF230" s="32"/>
      <c r="NJG230" s="32"/>
      <c r="NJH230" s="32"/>
      <c r="NJI230" s="31"/>
      <c r="NJJ230" s="31"/>
      <c r="NJK230" s="33"/>
      <c r="NJL230" s="33"/>
      <c r="NJM230" s="34"/>
      <c r="NJN230" s="34"/>
      <c r="NJO230" s="35"/>
      <c r="NJP230" s="35"/>
      <c r="NJQ230" s="32"/>
      <c r="NJR230" s="31"/>
      <c r="NJS230" s="31"/>
      <c r="NJT230" s="31"/>
      <c r="NJU230" s="32"/>
      <c r="NJV230" s="32"/>
      <c r="NJW230" s="32"/>
      <c r="NJX230" s="32"/>
      <c r="NJY230" s="32"/>
      <c r="NJZ230" s="31"/>
      <c r="NKA230" s="31"/>
      <c r="NKB230" s="33"/>
      <c r="NKC230" s="33"/>
      <c r="NKD230" s="34"/>
      <c r="NKE230" s="34"/>
      <c r="NKF230" s="35"/>
      <c r="NKG230" s="35"/>
      <c r="NKH230" s="32"/>
      <c r="NKI230" s="31"/>
      <c r="NKJ230" s="31"/>
      <c r="NKK230" s="31"/>
      <c r="NKL230" s="32"/>
      <c r="NKM230" s="32"/>
      <c r="NKN230" s="32"/>
      <c r="NKO230" s="32"/>
      <c r="NKP230" s="32"/>
      <c r="NKQ230" s="31"/>
      <c r="NKR230" s="31"/>
      <c r="NKS230" s="33"/>
      <c r="NKT230" s="33"/>
      <c r="NKU230" s="34"/>
      <c r="NKV230" s="34"/>
      <c r="NKW230" s="35"/>
      <c r="NKX230" s="35"/>
      <c r="NKY230" s="32"/>
      <c r="NKZ230" s="31"/>
      <c r="NLA230" s="31"/>
      <c r="NLB230" s="31"/>
      <c r="NLC230" s="32"/>
      <c r="NLD230" s="32"/>
      <c r="NLE230" s="32"/>
      <c r="NLF230" s="32"/>
      <c r="NLG230" s="32"/>
      <c r="NLH230" s="31"/>
      <c r="NLI230" s="31"/>
      <c r="NLJ230" s="33"/>
      <c r="NLK230" s="33"/>
      <c r="NLL230" s="34"/>
      <c r="NLM230" s="34"/>
      <c r="NLN230" s="35"/>
      <c r="NLO230" s="35"/>
      <c r="NLP230" s="32"/>
      <c r="NLQ230" s="31"/>
      <c r="NLR230" s="31"/>
      <c r="NLS230" s="31"/>
      <c r="NLT230" s="32"/>
      <c r="NLU230" s="32"/>
      <c r="NLV230" s="32"/>
      <c r="NLW230" s="32"/>
      <c r="NLX230" s="32"/>
      <c r="NLY230" s="31"/>
      <c r="NLZ230" s="31"/>
      <c r="NMA230" s="33"/>
      <c r="NMB230" s="33"/>
      <c r="NMC230" s="34"/>
      <c r="NMD230" s="34"/>
      <c r="NME230" s="35"/>
      <c r="NMF230" s="35"/>
      <c r="NMG230" s="32"/>
      <c r="NMH230" s="31"/>
      <c r="NMI230" s="31"/>
      <c r="NMJ230" s="31"/>
      <c r="NMK230" s="32"/>
      <c r="NML230" s="32"/>
      <c r="NMM230" s="32"/>
      <c r="NMN230" s="32"/>
      <c r="NMO230" s="32"/>
      <c r="NMP230" s="31"/>
      <c r="NMQ230" s="31"/>
      <c r="NMR230" s="33"/>
      <c r="NMS230" s="33"/>
      <c r="NMT230" s="34"/>
      <c r="NMU230" s="34"/>
      <c r="NMV230" s="35"/>
      <c r="NMW230" s="35"/>
      <c r="NMX230" s="32"/>
      <c r="NMY230" s="31"/>
      <c r="NMZ230" s="31"/>
      <c r="NNA230" s="31"/>
      <c r="NNB230" s="32"/>
      <c r="NNC230" s="32"/>
      <c r="NND230" s="32"/>
      <c r="NNE230" s="32"/>
      <c r="NNF230" s="32"/>
      <c r="NNG230" s="31"/>
      <c r="NNH230" s="31"/>
      <c r="NNI230" s="33"/>
      <c r="NNJ230" s="33"/>
      <c r="NNK230" s="34"/>
      <c r="NNL230" s="34"/>
      <c r="NNM230" s="35"/>
      <c r="NNN230" s="35"/>
      <c r="NNO230" s="32"/>
      <c r="NNP230" s="31"/>
      <c r="NNQ230" s="31"/>
      <c r="NNR230" s="31"/>
      <c r="NNS230" s="32"/>
      <c r="NNT230" s="32"/>
      <c r="NNU230" s="32"/>
      <c r="NNV230" s="32"/>
      <c r="NNW230" s="32"/>
      <c r="NNX230" s="31"/>
      <c r="NNY230" s="31"/>
      <c r="NNZ230" s="33"/>
      <c r="NOA230" s="33"/>
      <c r="NOB230" s="34"/>
      <c r="NOC230" s="34"/>
      <c r="NOD230" s="35"/>
      <c r="NOE230" s="35"/>
      <c r="NOF230" s="32"/>
      <c r="NOG230" s="31"/>
      <c r="NOH230" s="31"/>
      <c r="NOI230" s="31"/>
      <c r="NOJ230" s="32"/>
      <c r="NOK230" s="32"/>
      <c r="NOL230" s="32"/>
      <c r="NOM230" s="32"/>
      <c r="NON230" s="32"/>
      <c r="NOO230" s="31"/>
      <c r="NOP230" s="31"/>
      <c r="NOQ230" s="33"/>
      <c r="NOR230" s="33"/>
      <c r="NOS230" s="34"/>
      <c r="NOT230" s="34"/>
      <c r="NOU230" s="35"/>
      <c r="NOV230" s="35"/>
      <c r="NOW230" s="32"/>
      <c r="NOX230" s="31"/>
      <c r="NOY230" s="31"/>
      <c r="NOZ230" s="31"/>
      <c r="NPA230" s="32"/>
      <c r="NPB230" s="32"/>
      <c r="NPC230" s="32"/>
      <c r="NPD230" s="32"/>
      <c r="NPE230" s="32"/>
      <c r="NPF230" s="31"/>
      <c r="NPG230" s="31"/>
      <c r="NPH230" s="33"/>
      <c r="NPI230" s="33"/>
      <c r="NPJ230" s="34"/>
      <c r="NPK230" s="34"/>
      <c r="NPL230" s="35"/>
      <c r="NPM230" s="35"/>
      <c r="NPN230" s="32"/>
      <c r="NPO230" s="31"/>
      <c r="NPP230" s="31"/>
      <c r="NPQ230" s="31"/>
      <c r="NPR230" s="32"/>
      <c r="NPS230" s="32"/>
      <c r="NPT230" s="32"/>
      <c r="NPU230" s="32"/>
      <c r="NPV230" s="32"/>
      <c r="NPW230" s="31"/>
      <c r="NPX230" s="31"/>
      <c r="NPY230" s="33"/>
      <c r="NPZ230" s="33"/>
      <c r="NQA230" s="34"/>
      <c r="NQB230" s="34"/>
      <c r="NQC230" s="35"/>
      <c r="NQD230" s="35"/>
      <c r="NQE230" s="32"/>
      <c r="NQF230" s="31"/>
      <c r="NQG230" s="31"/>
      <c r="NQH230" s="31"/>
      <c r="NQI230" s="32"/>
      <c r="NQJ230" s="32"/>
      <c r="NQK230" s="32"/>
      <c r="NQL230" s="32"/>
      <c r="NQM230" s="32"/>
      <c r="NQN230" s="31"/>
      <c r="NQO230" s="31"/>
      <c r="NQP230" s="33"/>
      <c r="NQQ230" s="33"/>
      <c r="NQR230" s="34"/>
      <c r="NQS230" s="34"/>
      <c r="NQT230" s="35"/>
      <c r="NQU230" s="35"/>
      <c r="NQV230" s="32"/>
      <c r="NQW230" s="31"/>
      <c r="NQX230" s="31"/>
      <c r="NQY230" s="31"/>
      <c r="NQZ230" s="32"/>
      <c r="NRA230" s="32"/>
      <c r="NRB230" s="32"/>
      <c r="NRC230" s="32"/>
      <c r="NRD230" s="32"/>
      <c r="NRE230" s="31"/>
      <c r="NRF230" s="31"/>
      <c r="NRG230" s="33"/>
      <c r="NRH230" s="33"/>
      <c r="NRI230" s="34"/>
      <c r="NRJ230" s="34"/>
      <c r="NRK230" s="35"/>
      <c r="NRL230" s="35"/>
      <c r="NRM230" s="32"/>
      <c r="NRN230" s="31"/>
      <c r="NRO230" s="31"/>
      <c r="NRP230" s="31"/>
      <c r="NRQ230" s="32"/>
      <c r="NRR230" s="32"/>
      <c r="NRS230" s="32"/>
      <c r="NRT230" s="32"/>
      <c r="NRU230" s="32"/>
      <c r="NRV230" s="31"/>
      <c r="NRW230" s="31"/>
      <c r="NRX230" s="33"/>
      <c r="NRY230" s="33"/>
      <c r="NRZ230" s="34"/>
      <c r="NSA230" s="34"/>
      <c r="NSB230" s="35"/>
      <c r="NSC230" s="35"/>
      <c r="NSD230" s="32"/>
      <c r="NSE230" s="31"/>
      <c r="NSF230" s="31"/>
      <c r="NSG230" s="31"/>
      <c r="NSH230" s="32"/>
      <c r="NSI230" s="32"/>
      <c r="NSJ230" s="32"/>
      <c r="NSK230" s="32"/>
      <c r="NSL230" s="32"/>
      <c r="NSM230" s="31"/>
      <c r="NSN230" s="31"/>
      <c r="NSO230" s="33"/>
      <c r="NSP230" s="33"/>
      <c r="NSQ230" s="34"/>
      <c r="NSR230" s="34"/>
      <c r="NSS230" s="35"/>
      <c r="NST230" s="35"/>
      <c r="NSU230" s="32"/>
      <c r="NSV230" s="31"/>
      <c r="NSW230" s="31"/>
      <c r="NSX230" s="31"/>
      <c r="NSY230" s="32"/>
      <c r="NSZ230" s="32"/>
      <c r="NTA230" s="32"/>
      <c r="NTB230" s="32"/>
      <c r="NTC230" s="32"/>
      <c r="NTD230" s="31"/>
      <c r="NTE230" s="31"/>
      <c r="NTF230" s="33"/>
      <c r="NTG230" s="33"/>
      <c r="NTH230" s="34"/>
      <c r="NTI230" s="34"/>
      <c r="NTJ230" s="35"/>
      <c r="NTK230" s="35"/>
      <c r="NTL230" s="32"/>
      <c r="NTM230" s="31"/>
      <c r="NTN230" s="31"/>
      <c r="NTO230" s="31"/>
      <c r="NTP230" s="32"/>
      <c r="NTQ230" s="32"/>
      <c r="NTR230" s="32"/>
      <c r="NTS230" s="32"/>
      <c r="NTT230" s="32"/>
      <c r="NTU230" s="31"/>
      <c r="NTV230" s="31"/>
      <c r="NTW230" s="33"/>
      <c r="NTX230" s="33"/>
      <c r="NTY230" s="34"/>
      <c r="NTZ230" s="34"/>
      <c r="NUA230" s="35"/>
      <c r="NUB230" s="35"/>
      <c r="NUC230" s="32"/>
      <c r="NUD230" s="31"/>
      <c r="NUE230" s="31"/>
      <c r="NUF230" s="31"/>
      <c r="NUG230" s="32"/>
      <c r="NUH230" s="32"/>
      <c r="NUI230" s="32"/>
      <c r="NUJ230" s="32"/>
      <c r="NUK230" s="32"/>
      <c r="NUL230" s="31"/>
      <c r="NUM230" s="31"/>
      <c r="NUN230" s="33"/>
      <c r="NUO230" s="33"/>
      <c r="NUP230" s="34"/>
      <c r="NUQ230" s="34"/>
      <c r="NUR230" s="35"/>
      <c r="NUS230" s="35"/>
      <c r="NUT230" s="32"/>
      <c r="NUU230" s="31"/>
      <c r="NUV230" s="31"/>
      <c r="NUW230" s="31"/>
      <c r="NUX230" s="32"/>
      <c r="NUY230" s="32"/>
      <c r="NUZ230" s="32"/>
      <c r="NVA230" s="32"/>
      <c r="NVB230" s="32"/>
      <c r="NVC230" s="31"/>
      <c r="NVD230" s="31"/>
      <c r="NVE230" s="33"/>
      <c r="NVF230" s="33"/>
      <c r="NVG230" s="34"/>
      <c r="NVH230" s="34"/>
      <c r="NVI230" s="35"/>
      <c r="NVJ230" s="35"/>
      <c r="NVK230" s="32"/>
      <c r="NVL230" s="31"/>
      <c r="NVM230" s="31"/>
      <c r="NVN230" s="31"/>
      <c r="NVO230" s="32"/>
      <c r="NVP230" s="32"/>
      <c r="NVQ230" s="32"/>
      <c r="NVR230" s="32"/>
      <c r="NVS230" s="32"/>
      <c r="NVT230" s="31"/>
      <c r="NVU230" s="31"/>
      <c r="NVV230" s="33"/>
      <c r="NVW230" s="33"/>
      <c r="NVX230" s="34"/>
      <c r="NVY230" s="34"/>
      <c r="NVZ230" s="35"/>
      <c r="NWA230" s="35"/>
      <c r="NWB230" s="32"/>
      <c r="NWC230" s="31"/>
      <c r="NWD230" s="31"/>
      <c r="NWE230" s="31"/>
      <c r="NWF230" s="32"/>
      <c r="NWG230" s="32"/>
      <c r="NWH230" s="32"/>
      <c r="NWI230" s="32"/>
      <c r="NWJ230" s="32"/>
      <c r="NWK230" s="31"/>
      <c r="NWL230" s="31"/>
      <c r="NWM230" s="33"/>
      <c r="NWN230" s="33"/>
      <c r="NWO230" s="34"/>
      <c r="NWP230" s="34"/>
      <c r="NWQ230" s="35"/>
      <c r="NWR230" s="35"/>
      <c r="NWS230" s="32"/>
      <c r="NWT230" s="31"/>
      <c r="NWU230" s="31"/>
      <c r="NWV230" s="31"/>
      <c r="NWW230" s="32"/>
      <c r="NWX230" s="32"/>
      <c r="NWY230" s="32"/>
      <c r="NWZ230" s="32"/>
      <c r="NXA230" s="32"/>
      <c r="NXB230" s="31"/>
      <c r="NXC230" s="31"/>
      <c r="NXD230" s="33"/>
      <c r="NXE230" s="33"/>
      <c r="NXF230" s="34"/>
      <c r="NXG230" s="34"/>
      <c r="NXH230" s="35"/>
      <c r="NXI230" s="35"/>
      <c r="NXJ230" s="32"/>
      <c r="NXK230" s="31"/>
      <c r="NXL230" s="31"/>
      <c r="NXM230" s="31"/>
      <c r="NXN230" s="32"/>
      <c r="NXO230" s="32"/>
      <c r="NXP230" s="32"/>
      <c r="NXQ230" s="32"/>
      <c r="NXR230" s="32"/>
      <c r="NXS230" s="31"/>
      <c r="NXT230" s="31"/>
      <c r="NXU230" s="33"/>
      <c r="NXV230" s="33"/>
      <c r="NXW230" s="34"/>
      <c r="NXX230" s="34"/>
      <c r="NXY230" s="35"/>
      <c r="NXZ230" s="35"/>
      <c r="NYA230" s="32"/>
      <c r="NYB230" s="31"/>
      <c r="NYC230" s="31"/>
      <c r="NYD230" s="31"/>
      <c r="NYE230" s="32"/>
      <c r="NYF230" s="32"/>
      <c r="NYG230" s="32"/>
      <c r="NYH230" s="32"/>
      <c r="NYI230" s="32"/>
      <c r="NYJ230" s="31"/>
      <c r="NYK230" s="31"/>
      <c r="NYL230" s="33"/>
      <c r="NYM230" s="33"/>
      <c r="NYN230" s="34"/>
      <c r="NYO230" s="34"/>
      <c r="NYP230" s="35"/>
      <c r="NYQ230" s="35"/>
      <c r="NYR230" s="32"/>
      <c r="NYS230" s="31"/>
      <c r="NYT230" s="31"/>
      <c r="NYU230" s="31"/>
      <c r="NYV230" s="32"/>
      <c r="NYW230" s="32"/>
      <c r="NYX230" s="32"/>
      <c r="NYY230" s="32"/>
      <c r="NYZ230" s="32"/>
      <c r="NZA230" s="31"/>
      <c r="NZB230" s="31"/>
      <c r="NZC230" s="33"/>
      <c r="NZD230" s="33"/>
      <c r="NZE230" s="34"/>
      <c r="NZF230" s="34"/>
      <c r="NZG230" s="35"/>
      <c r="NZH230" s="35"/>
      <c r="NZI230" s="32"/>
      <c r="NZJ230" s="31"/>
      <c r="NZK230" s="31"/>
      <c r="NZL230" s="31"/>
      <c r="NZM230" s="32"/>
      <c r="NZN230" s="32"/>
      <c r="NZO230" s="32"/>
      <c r="NZP230" s="32"/>
      <c r="NZQ230" s="32"/>
      <c r="NZR230" s="31"/>
      <c r="NZS230" s="31"/>
      <c r="NZT230" s="33"/>
      <c r="NZU230" s="33"/>
      <c r="NZV230" s="34"/>
      <c r="NZW230" s="34"/>
      <c r="NZX230" s="35"/>
      <c r="NZY230" s="35"/>
      <c r="NZZ230" s="32"/>
      <c r="OAA230" s="31"/>
      <c r="OAB230" s="31"/>
      <c r="OAC230" s="31"/>
      <c r="OAD230" s="32"/>
      <c r="OAE230" s="32"/>
      <c r="OAF230" s="32"/>
      <c r="OAG230" s="32"/>
      <c r="OAH230" s="32"/>
      <c r="OAI230" s="31"/>
      <c r="OAJ230" s="31"/>
      <c r="OAK230" s="33"/>
      <c r="OAL230" s="33"/>
      <c r="OAM230" s="34"/>
      <c r="OAN230" s="34"/>
      <c r="OAO230" s="35"/>
      <c r="OAP230" s="35"/>
      <c r="OAQ230" s="32"/>
      <c r="OAR230" s="31"/>
      <c r="OAS230" s="31"/>
      <c r="OAT230" s="31"/>
      <c r="OAU230" s="32"/>
      <c r="OAV230" s="32"/>
      <c r="OAW230" s="32"/>
      <c r="OAX230" s="32"/>
      <c r="OAY230" s="32"/>
      <c r="OAZ230" s="31"/>
      <c r="OBA230" s="31"/>
      <c r="OBB230" s="33"/>
      <c r="OBC230" s="33"/>
      <c r="OBD230" s="34"/>
      <c r="OBE230" s="34"/>
      <c r="OBF230" s="35"/>
      <c r="OBG230" s="35"/>
      <c r="OBH230" s="32"/>
      <c r="OBI230" s="31"/>
      <c r="OBJ230" s="31"/>
      <c r="OBK230" s="31"/>
      <c r="OBL230" s="32"/>
      <c r="OBM230" s="32"/>
      <c r="OBN230" s="32"/>
      <c r="OBO230" s="32"/>
      <c r="OBP230" s="32"/>
      <c r="OBQ230" s="31"/>
      <c r="OBR230" s="31"/>
      <c r="OBS230" s="33"/>
      <c r="OBT230" s="33"/>
      <c r="OBU230" s="34"/>
      <c r="OBV230" s="34"/>
      <c r="OBW230" s="35"/>
      <c r="OBX230" s="35"/>
      <c r="OBY230" s="32"/>
      <c r="OBZ230" s="31"/>
      <c r="OCA230" s="31"/>
      <c r="OCB230" s="31"/>
      <c r="OCC230" s="32"/>
      <c r="OCD230" s="32"/>
      <c r="OCE230" s="32"/>
      <c r="OCF230" s="32"/>
      <c r="OCG230" s="32"/>
      <c r="OCH230" s="31"/>
      <c r="OCI230" s="31"/>
      <c r="OCJ230" s="33"/>
      <c r="OCK230" s="33"/>
      <c r="OCL230" s="34"/>
      <c r="OCM230" s="34"/>
      <c r="OCN230" s="35"/>
      <c r="OCO230" s="35"/>
      <c r="OCP230" s="32"/>
      <c r="OCQ230" s="31"/>
      <c r="OCR230" s="31"/>
      <c r="OCS230" s="31"/>
      <c r="OCT230" s="32"/>
      <c r="OCU230" s="32"/>
      <c r="OCV230" s="32"/>
      <c r="OCW230" s="32"/>
      <c r="OCX230" s="32"/>
      <c r="OCY230" s="31"/>
      <c r="OCZ230" s="31"/>
      <c r="ODA230" s="33"/>
      <c r="ODB230" s="33"/>
      <c r="ODC230" s="34"/>
      <c r="ODD230" s="34"/>
      <c r="ODE230" s="35"/>
      <c r="ODF230" s="35"/>
      <c r="ODG230" s="32"/>
      <c r="ODH230" s="31"/>
      <c r="ODI230" s="31"/>
      <c r="ODJ230" s="31"/>
      <c r="ODK230" s="32"/>
      <c r="ODL230" s="32"/>
      <c r="ODM230" s="32"/>
      <c r="ODN230" s="32"/>
      <c r="ODO230" s="32"/>
      <c r="ODP230" s="31"/>
      <c r="ODQ230" s="31"/>
      <c r="ODR230" s="33"/>
      <c r="ODS230" s="33"/>
      <c r="ODT230" s="34"/>
      <c r="ODU230" s="34"/>
      <c r="ODV230" s="35"/>
      <c r="ODW230" s="35"/>
      <c r="ODX230" s="32"/>
      <c r="ODY230" s="31"/>
      <c r="ODZ230" s="31"/>
      <c r="OEA230" s="31"/>
      <c r="OEB230" s="32"/>
      <c r="OEC230" s="32"/>
      <c r="OED230" s="32"/>
      <c r="OEE230" s="32"/>
      <c r="OEF230" s="32"/>
      <c r="OEG230" s="31"/>
      <c r="OEH230" s="31"/>
      <c r="OEI230" s="33"/>
      <c r="OEJ230" s="33"/>
      <c r="OEK230" s="34"/>
      <c r="OEL230" s="34"/>
      <c r="OEM230" s="35"/>
      <c r="OEN230" s="35"/>
      <c r="OEO230" s="32"/>
      <c r="OEP230" s="31"/>
      <c r="OEQ230" s="31"/>
      <c r="OER230" s="31"/>
      <c r="OES230" s="32"/>
      <c r="OET230" s="32"/>
      <c r="OEU230" s="32"/>
      <c r="OEV230" s="32"/>
      <c r="OEW230" s="32"/>
      <c r="OEX230" s="31"/>
      <c r="OEY230" s="31"/>
      <c r="OEZ230" s="33"/>
      <c r="OFA230" s="33"/>
      <c r="OFB230" s="34"/>
      <c r="OFC230" s="34"/>
      <c r="OFD230" s="35"/>
      <c r="OFE230" s="35"/>
      <c r="OFF230" s="32"/>
      <c r="OFG230" s="31"/>
      <c r="OFH230" s="31"/>
      <c r="OFI230" s="31"/>
      <c r="OFJ230" s="32"/>
      <c r="OFK230" s="32"/>
      <c r="OFL230" s="32"/>
      <c r="OFM230" s="32"/>
      <c r="OFN230" s="32"/>
      <c r="OFO230" s="31"/>
      <c r="OFP230" s="31"/>
      <c r="OFQ230" s="33"/>
      <c r="OFR230" s="33"/>
      <c r="OFS230" s="34"/>
      <c r="OFT230" s="34"/>
      <c r="OFU230" s="35"/>
      <c r="OFV230" s="35"/>
      <c r="OFW230" s="32"/>
      <c r="OFX230" s="31"/>
      <c r="OFY230" s="31"/>
      <c r="OFZ230" s="31"/>
      <c r="OGA230" s="32"/>
      <c r="OGB230" s="32"/>
      <c r="OGC230" s="32"/>
      <c r="OGD230" s="32"/>
      <c r="OGE230" s="32"/>
      <c r="OGF230" s="31"/>
      <c r="OGG230" s="31"/>
      <c r="OGH230" s="33"/>
      <c r="OGI230" s="33"/>
      <c r="OGJ230" s="34"/>
      <c r="OGK230" s="34"/>
      <c r="OGL230" s="35"/>
      <c r="OGM230" s="35"/>
      <c r="OGN230" s="32"/>
      <c r="OGO230" s="31"/>
      <c r="OGP230" s="31"/>
      <c r="OGQ230" s="31"/>
      <c r="OGR230" s="32"/>
      <c r="OGS230" s="32"/>
      <c r="OGT230" s="32"/>
      <c r="OGU230" s="32"/>
      <c r="OGV230" s="32"/>
      <c r="OGW230" s="31"/>
      <c r="OGX230" s="31"/>
      <c r="OGY230" s="33"/>
      <c r="OGZ230" s="33"/>
      <c r="OHA230" s="34"/>
      <c r="OHB230" s="34"/>
      <c r="OHC230" s="35"/>
      <c r="OHD230" s="35"/>
      <c r="OHE230" s="32"/>
      <c r="OHF230" s="31"/>
      <c r="OHG230" s="31"/>
      <c r="OHH230" s="31"/>
      <c r="OHI230" s="32"/>
      <c r="OHJ230" s="32"/>
      <c r="OHK230" s="32"/>
      <c r="OHL230" s="32"/>
      <c r="OHM230" s="32"/>
      <c r="OHN230" s="31"/>
      <c r="OHO230" s="31"/>
      <c r="OHP230" s="33"/>
      <c r="OHQ230" s="33"/>
      <c r="OHR230" s="34"/>
      <c r="OHS230" s="34"/>
      <c r="OHT230" s="35"/>
      <c r="OHU230" s="35"/>
      <c r="OHV230" s="32"/>
      <c r="OHW230" s="31"/>
      <c r="OHX230" s="31"/>
      <c r="OHY230" s="31"/>
      <c r="OHZ230" s="32"/>
      <c r="OIA230" s="32"/>
      <c r="OIB230" s="32"/>
      <c r="OIC230" s="32"/>
      <c r="OID230" s="32"/>
      <c r="OIE230" s="31"/>
      <c r="OIF230" s="31"/>
      <c r="OIG230" s="33"/>
      <c r="OIH230" s="33"/>
      <c r="OII230" s="34"/>
      <c r="OIJ230" s="34"/>
      <c r="OIK230" s="35"/>
      <c r="OIL230" s="35"/>
      <c r="OIM230" s="32"/>
      <c r="OIN230" s="31"/>
      <c r="OIO230" s="31"/>
      <c r="OIP230" s="31"/>
      <c r="OIQ230" s="32"/>
      <c r="OIR230" s="32"/>
      <c r="OIS230" s="32"/>
      <c r="OIT230" s="32"/>
      <c r="OIU230" s="32"/>
      <c r="OIV230" s="31"/>
      <c r="OIW230" s="31"/>
      <c r="OIX230" s="33"/>
      <c r="OIY230" s="33"/>
      <c r="OIZ230" s="34"/>
      <c r="OJA230" s="34"/>
      <c r="OJB230" s="35"/>
      <c r="OJC230" s="35"/>
      <c r="OJD230" s="32"/>
      <c r="OJE230" s="31"/>
      <c r="OJF230" s="31"/>
      <c r="OJG230" s="31"/>
      <c r="OJH230" s="32"/>
      <c r="OJI230" s="32"/>
      <c r="OJJ230" s="32"/>
      <c r="OJK230" s="32"/>
      <c r="OJL230" s="32"/>
      <c r="OJM230" s="31"/>
      <c r="OJN230" s="31"/>
      <c r="OJO230" s="33"/>
      <c r="OJP230" s="33"/>
      <c r="OJQ230" s="34"/>
      <c r="OJR230" s="34"/>
      <c r="OJS230" s="35"/>
      <c r="OJT230" s="35"/>
      <c r="OJU230" s="32"/>
      <c r="OJV230" s="31"/>
      <c r="OJW230" s="31"/>
      <c r="OJX230" s="31"/>
      <c r="OJY230" s="32"/>
      <c r="OJZ230" s="32"/>
      <c r="OKA230" s="32"/>
      <c r="OKB230" s="32"/>
      <c r="OKC230" s="32"/>
      <c r="OKD230" s="31"/>
      <c r="OKE230" s="31"/>
      <c r="OKF230" s="33"/>
      <c r="OKG230" s="33"/>
      <c r="OKH230" s="34"/>
      <c r="OKI230" s="34"/>
      <c r="OKJ230" s="35"/>
      <c r="OKK230" s="35"/>
      <c r="OKL230" s="32"/>
      <c r="OKM230" s="31"/>
      <c r="OKN230" s="31"/>
      <c r="OKO230" s="31"/>
      <c r="OKP230" s="32"/>
      <c r="OKQ230" s="32"/>
      <c r="OKR230" s="32"/>
      <c r="OKS230" s="32"/>
      <c r="OKT230" s="32"/>
      <c r="OKU230" s="31"/>
      <c r="OKV230" s="31"/>
      <c r="OKW230" s="33"/>
      <c r="OKX230" s="33"/>
      <c r="OKY230" s="34"/>
      <c r="OKZ230" s="34"/>
      <c r="OLA230" s="35"/>
      <c r="OLB230" s="35"/>
      <c r="OLC230" s="32"/>
      <c r="OLD230" s="31"/>
      <c r="OLE230" s="31"/>
      <c r="OLF230" s="31"/>
      <c r="OLG230" s="32"/>
      <c r="OLH230" s="32"/>
      <c r="OLI230" s="32"/>
      <c r="OLJ230" s="32"/>
      <c r="OLK230" s="32"/>
      <c r="OLL230" s="31"/>
      <c r="OLM230" s="31"/>
      <c r="OLN230" s="33"/>
      <c r="OLO230" s="33"/>
      <c r="OLP230" s="34"/>
      <c r="OLQ230" s="34"/>
      <c r="OLR230" s="35"/>
      <c r="OLS230" s="35"/>
      <c r="OLT230" s="32"/>
      <c r="OLU230" s="31"/>
      <c r="OLV230" s="31"/>
      <c r="OLW230" s="31"/>
      <c r="OLX230" s="32"/>
      <c r="OLY230" s="32"/>
      <c r="OLZ230" s="32"/>
      <c r="OMA230" s="32"/>
      <c r="OMB230" s="32"/>
      <c r="OMC230" s="31"/>
      <c r="OMD230" s="31"/>
      <c r="OME230" s="33"/>
      <c r="OMF230" s="33"/>
      <c r="OMG230" s="34"/>
      <c r="OMH230" s="34"/>
      <c r="OMI230" s="35"/>
      <c r="OMJ230" s="35"/>
      <c r="OMK230" s="32"/>
      <c r="OML230" s="31"/>
      <c r="OMM230" s="31"/>
      <c r="OMN230" s="31"/>
      <c r="OMO230" s="32"/>
      <c r="OMP230" s="32"/>
      <c r="OMQ230" s="32"/>
      <c r="OMR230" s="32"/>
      <c r="OMS230" s="32"/>
      <c r="OMT230" s="31"/>
      <c r="OMU230" s="31"/>
      <c r="OMV230" s="33"/>
      <c r="OMW230" s="33"/>
      <c r="OMX230" s="34"/>
      <c r="OMY230" s="34"/>
      <c r="OMZ230" s="35"/>
      <c r="ONA230" s="35"/>
      <c r="ONB230" s="32"/>
      <c r="ONC230" s="31"/>
      <c r="OND230" s="31"/>
      <c r="ONE230" s="31"/>
      <c r="ONF230" s="32"/>
      <c r="ONG230" s="32"/>
      <c r="ONH230" s="32"/>
      <c r="ONI230" s="32"/>
      <c r="ONJ230" s="32"/>
      <c r="ONK230" s="31"/>
      <c r="ONL230" s="31"/>
      <c r="ONM230" s="33"/>
      <c r="ONN230" s="33"/>
      <c r="ONO230" s="34"/>
      <c r="ONP230" s="34"/>
      <c r="ONQ230" s="35"/>
      <c r="ONR230" s="35"/>
      <c r="ONS230" s="32"/>
      <c r="ONT230" s="31"/>
      <c r="ONU230" s="31"/>
      <c r="ONV230" s="31"/>
      <c r="ONW230" s="32"/>
      <c r="ONX230" s="32"/>
      <c r="ONY230" s="32"/>
      <c r="ONZ230" s="32"/>
      <c r="OOA230" s="32"/>
      <c r="OOB230" s="31"/>
      <c r="OOC230" s="31"/>
      <c r="OOD230" s="33"/>
      <c r="OOE230" s="33"/>
      <c r="OOF230" s="34"/>
      <c r="OOG230" s="34"/>
      <c r="OOH230" s="35"/>
      <c r="OOI230" s="35"/>
      <c r="OOJ230" s="32"/>
      <c r="OOK230" s="31"/>
      <c r="OOL230" s="31"/>
      <c r="OOM230" s="31"/>
      <c r="OON230" s="32"/>
      <c r="OOO230" s="32"/>
      <c r="OOP230" s="32"/>
      <c r="OOQ230" s="32"/>
      <c r="OOR230" s="32"/>
      <c r="OOS230" s="31"/>
      <c r="OOT230" s="31"/>
      <c r="OOU230" s="33"/>
      <c r="OOV230" s="33"/>
      <c r="OOW230" s="34"/>
      <c r="OOX230" s="34"/>
      <c r="OOY230" s="35"/>
      <c r="OOZ230" s="35"/>
      <c r="OPA230" s="32"/>
      <c r="OPB230" s="31"/>
      <c r="OPC230" s="31"/>
      <c r="OPD230" s="31"/>
      <c r="OPE230" s="32"/>
      <c r="OPF230" s="32"/>
      <c r="OPG230" s="32"/>
      <c r="OPH230" s="32"/>
      <c r="OPI230" s="32"/>
      <c r="OPJ230" s="31"/>
      <c r="OPK230" s="31"/>
      <c r="OPL230" s="33"/>
      <c r="OPM230" s="33"/>
      <c r="OPN230" s="34"/>
      <c r="OPO230" s="34"/>
      <c r="OPP230" s="35"/>
      <c r="OPQ230" s="35"/>
      <c r="OPR230" s="32"/>
      <c r="OPS230" s="31"/>
      <c r="OPT230" s="31"/>
      <c r="OPU230" s="31"/>
      <c r="OPV230" s="32"/>
      <c r="OPW230" s="32"/>
      <c r="OPX230" s="32"/>
      <c r="OPY230" s="32"/>
      <c r="OPZ230" s="32"/>
      <c r="OQA230" s="31"/>
      <c r="OQB230" s="31"/>
      <c r="OQC230" s="33"/>
      <c r="OQD230" s="33"/>
      <c r="OQE230" s="34"/>
      <c r="OQF230" s="34"/>
      <c r="OQG230" s="35"/>
      <c r="OQH230" s="35"/>
      <c r="OQI230" s="32"/>
      <c r="OQJ230" s="31"/>
      <c r="OQK230" s="31"/>
      <c r="OQL230" s="31"/>
      <c r="OQM230" s="32"/>
      <c r="OQN230" s="32"/>
      <c r="OQO230" s="32"/>
      <c r="OQP230" s="32"/>
      <c r="OQQ230" s="32"/>
      <c r="OQR230" s="31"/>
      <c r="OQS230" s="31"/>
      <c r="OQT230" s="33"/>
      <c r="OQU230" s="33"/>
      <c r="OQV230" s="34"/>
      <c r="OQW230" s="34"/>
      <c r="OQX230" s="35"/>
      <c r="OQY230" s="35"/>
      <c r="OQZ230" s="32"/>
      <c r="ORA230" s="31"/>
      <c r="ORB230" s="31"/>
      <c r="ORC230" s="31"/>
      <c r="ORD230" s="32"/>
      <c r="ORE230" s="32"/>
      <c r="ORF230" s="32"/>
      <c r="ORG230" s="32"/>
      <c r="ORH230" s="32"/>
      <c r="ORI230" s="31"/>
      <c r="ORJ230" s="31"/>
      <c r="ORK230" s="33"/>
      <c r="ORL230" s="33"/>
      <c r="ORM230" s="34"/>
      <c r="ORN230" s="34"/>
      <c r="ORO230" s="35"/>
      <c r="ORP230" s="35"/>
      <c r="ORQ230" s="32"/>
      <c r="ORR230" s="31"/>
      <c r="ORS230" s="31"/>
      <c r="ORT230" s="31"/>
      <c r="ORU230" s="32"/>
      <c r="ORV230" s="32"/>
      <c r="ORW230" s="32"/>
      <c r="ORX230" s="32"/>
      <c r="ORY230" s="32"/>
      <c r="ORZ230" s="31"/>
      <c r="OSA230" s="31"/>
      <c r="OSB230" s="33"/>
      <c r="OSC230" s="33"/>
      <c r="OSD230" s="34"/>
      <c r="OSE230" s="34"/>
      <c r="OSF230" s="35"/>
      <c r="OSG230" s="35"/>
      <c r="OSH230" s="32"/>
      <c r="OSI230" s="31"/>
      <c r="OSJ230" s="31"/>
      <c r="OSK230" s="31"/>
      <c r="OSL230" s="32"/>
      <c r="OSM230" s="32"/>
      <c r="OSN230" s="32"/>
      <c r="OSO230" s="32"/>
      <c r="OSP230" s="32"/>
      <c r="OSQ230" s="31"/>
      <c r="OSR230" s="31"/>
      <c r="OSS230" s="33"/>
      <c r="OST230" s="33"/>
      <c r="OSU230" s="34"/>
      <c r="OSV230" s="34"/>
      <c r="OSW230" s="35"/>
      <c r="OSX230" s="35"/>
      <c r="OSY230" s="32"/>
      <c r="OSZ230" s="31"/>
      <c r="OTA230" s="31"/>
      <c r="OTB230" s="31"/>
      <c r="OTC230" s="32"/>
      <c r="OTD230" s="32"/>
      <c r="OTE230" s="32"/>
      <c r="OTF230" s="32"/>
      <c r="OTG230" s="32"/>
      <c r="OTH230" s="31"/>
      <c r="OTI230" s="31"/>
      <c r="OTJ230" s="33"/>
      <c r="OTK230" s="33"/>
      <c r="OTL230" s="34"/>
      <c r="OTM230" s="34"/>
      <c r="OTN230" s="35"/>
      <c r="OTO230" s="35"/>
      <c r="OTP230" s="32"/>
      <c r="OTQ230" s="31"/>
      <c r="OTR230" s="31"/>
      <c r="OTS230" s="31"/>
      <c r="OTT230" s="32"/>
      <c r="OTU230" s="32"/>
      <c r="OTV230" s="32"/>
      <c r="OTW230" s="32"/>
      <c r="OTX230" s="32"/>
      <c r="OTY230" s="31"/>
      <c r="OTZ230" s="31"/>
      <c r="OUA230" s="33"/>
      <c r="OUB230" s="33"/>
      <c r="OUC230" s="34"/>
      <c r="OUD230" s="34"/>
      <c r="OUE230" s="35"/>
      <c r="OUF230" s="35"/>
      <c r="OUG230" s="32"/>
      <c r="OUH230" s="31"/>
      <c r="OUI230" s="31"/>
      <c r="OUJ230" s="31"/>
      <c r="OUK230" s="32"/>
      <c r="OUL230" s="32"/>
      <c r="OUM230" s="32"/>
      <c r="OUN230" s="32"/>
      <c r="OUO230" s="32"/>
      <c r="OUP230" s="31"/>
      <c r="OUQ230" s="31"/>
      <c r="OUR230" s="33"/>
      <c r="OUS230" s="33"/>
      <c r="OUT230" s="34"/>
      <c r="OUU230" s="34"/>
      <c r="OUV230" s="35"/>
      <c r="OUW230" s="35"/>
      <c r="OUX230" s="32"/>
      <c r="OUY230" s="31"/>
      <c r="OUZ230" s="31"/>
      <c r="OVA230" s="31"/>
      <c r="OVB230" s="32"/>
      <c r="OVC230" s="32"/>
      <c r="OVD230" s="32"/>
      <c r="OVE230" s="32"/>
      <c r="OVF230" s="32"/>
      <c r="OVG230" s="31"/>
      <c r="OVH230" s="31"/>
      <c r="OVI230" s="33"/>
      <c r="OVJ230" s="33"/>
      <c r="OVK230" s="34"/>
      <c r="OVL230" s="34"/>
      <c r="OVM230" s="35"/>
      <c r="OVN230" s="35"/>
      <c r="OVO230" s="32"/>
      <c r="OVP230" s="31"/>
      <c r="OVQ230" s="31"/>
      <c r="OVR230" s="31"/>
      <c r="OVS230" s="32"/>
      <c r="OVT230" s="32"/>
      <c r="OVU230" s="32"/>
      <c r="OVV230" s="32"/>
      <c r="OVW230" s="32"/>
      <c r="OVX230" s="31"/>
      <c r="OVY230" s="31"/>
      <c r="OVZ230" s="33"/>
      <c r="OWA230" s="33"/>
      <c r="OWB230" s="34"/>
      <c r="OWC230" s="34"/>
      <c r="OWD230" s="35"/>
      <c r="OWE230" s="35"/>
      <c r="OWF230" s="32"/>
      <c r="OWG230" s="31"/>
      <c r="OWH230" s="31"/>
      <c r="OWI230" s="31"/>
      <c r="OWJ230" s="32"/>
      <c r="OWK230" s="32"/>
      <c r="OWL230" s="32"/>
      <c r="OWM230" s="32"/>
      <c r="OWN230" s="32"/>
      <c r="OWO230" s="31"/>
      <c r="OWP230" s="31"/>
      <c r="OWQ230" s="33"/>
      <c r="OWR230" s="33"/>
      <c r="OWS230" s="34"/>
      <c r="OWT230" s="34"/>
      <c r="OWU230" s="35"/>
      <c r="OWV230" s="35"/>
      <c r="OWW230" s="32"/>
      <c r="OWX230" s="31"/>
      <c r="OWY230" s="31"/>
      <c r="OWZ230" s="31"/>
      <c r="OXA230" s="32"/>
      <c r="OXB230" s="32"/>
      <c r="OXC230" s="32"/>
      <c r="OXD230" s="32"/>
      <c r="OXE230" s="32"/>
      <c r="OXF230" s="31"/>
      <c r="OXG230" s="31"/>
      <c r="OXH230" s="33"/>
      <c r="OXI230" s="33"/>
      <c r="OXJ230" s="34"/>
      <c r="OXK230" s="34"/>
      <c r="OXL230" s="35"/>
      <c r="OXM230" s="35"/>
      <c r="OXN230" s="32"/>
      <c r="OXO230" s="31"/>
      <c r="OXP230" s="31"/>
      <c r="OXQ230" s="31"/>
      <c r="OXR230" s="32"/>
      <c r="OXS230" s="32"/>
      <c r="OXT230" s="32"/>
      <c r="OXU230" s="32"/>
      <c r="OXV230" s="32"/>
      <c r="OXW230" s="31"/>
      <c r="OXX230" s="31"/>
      <c r="OXY230" s="33"/>
      <c r="OXZ230" s="33"/>
      <c r="OYA230" s="34"/>
      <c r="OYB230" s="34"/>
      <c r="OYC230" s="35"/>
      <c r="OYD230" s="35"/>
      <c r="OYE230" s="32"/>
      <c r="OYF230" s="31"/>
      <c r="OYG230" s="31"/>
      <c r="OYH230" s="31"/>
      <c r="OYI230" s="32"/>
      <c r="OYJ230" s="32"/>
      <c r="OYK230" s="32"/>
      <c r="OYL230" s="32"/>
      <c r="OYM230" s="32"/>
      <c r="OYN230" s="31"/>
      <c r="OYO230" s="31"/>
      <c r="OYP230" s="33"/>
      <c r="OYQ230" s="33"/>
      <c r="OYR230" s="34"/>
      <c r="OYS230" s="34"/>
      <c r="OYT230" s="35"/>
      <c r="OYU230" s="35"/>
      <c r="OYV230" s="32"/>
      <c r="OYW230" s="31"/>
      <c r="OYX230" s="31"/>
      <c r="OYY230" s="31"/>
      <c r="OYZ230" s="32"/>
      <c r="OZA230" s="32"/>
      <c r="OZB230" s="32"/>
      <c r="OZC230" s="32"/>
      <c r="OZD230" s="32"/>
      <c r="OZE230" s="31"/>
      <c r="OZF230" s="31"/>
      <c r="OZG230" s="33"/>
      <c r="OZH230" s="33"/>
      <c r="OZI230" s="34"/>
      <c r="OZJ230" s="34"/>
      <c r="OZK230" s="35"/>
      <c r="OZL230" s="35"/>
      <c r="OZM230" s="32"/>
      <c r="OZN230" s="31"/>
      <c r="OZO230" s="31"/>
      <c r="OZP230" s="31"/>
      <c r="OZQ230" s="32"/>
      <c r="OZR230" s="32"/>
      <c r="OZS230" s="32"/>
      <c r="OZT230" s="32"/>
      <c r="OZU230" s="32"/>
      <c r="OZV230" s="31"/>
      <c r="OZW230" s="31"/>
      <c r="OZX230" s="33"/>
      <c r="OZY230" s="33"/>
      <c r="OZZ230" s="34"/>
      <c r="PAA230" s="34"/>
      <c r="PAB230" s="35"/>
      <c r="PAC230" s="35"/>
      <c r="PAD230" s="32"/>
      <c r="PAE230" s="31"/>
      <c r="PAF230" s="31"/>
      <c r="PAG230" s="31"/>
      <c r="PAH230" s="32"/>
      <c r="PAI230" s="32"/>
      <c r="PAJ230" s="32"/>
      <c r="PAK230" s="32"/>
      <c r="PAL230" s="32"/>
      <c r="PAM230" s="31"/>
      <c r="PAN230" s="31"/>
      <c r="PAO230" s="33"/>
      <c r="PAP230" s="33"/>
      <c r="PAQ230" s="34"/>
      <c r="PAR230" s="34"/>
      <c r="PAS230" s="35"/>
      <c r="PAT230" s="35"/>
      <c r="PAU230" s="32"/>
      <c r="PAV230" s="31"/>
      <c r="PAW230" s="31"/>
      <c r="PAX230" s="31"/>
      <c r="PAY230" s="32"/>
      <c r="PAZ230" s="32"/>
      <c r="PBA230" s="32"/>
      <c r="PBB230" s="32"/>
      <c r="PBC230" s="32"/>
      <c r="PBD230" s="31"/>
      <c r="PBE230" s="31"/>
      <c r="PBF230" s="33"/>
      <c r="PBG230" s="33"/>
      <c r="PBH230" s="34"/>
      <c r="PBI230" s="34"/>
      <c r="PBJ230" s="35"/>
      <c r="PBK230" s="35"/>
      <c r="PBL230" s="32"/>
      <c r="PBM230" s="31"/>
      <c r="PBN230" s="31"/>
      <c r="PBO230" s="31"/>
      <c r="PBP230" s="32"/>
      <c r="PBQ230" s="32"/>
      <c r="PBR230" s="32"/>
      <c r="PBS230" s="32"/>
      <c r="PBT230" s="32"/>
      <c r="PBU230" s="31"/>
      <c r="PBV230" s="31"/>
      <c r="PBW230" s="33"/>
      <c r="PBX230" s="33"/>
      <c r="PBY230" s="34"/>
      <c r="PBZ230" s="34"/>
      <c r="PCA230" s="35"/>
      <c r="PCB230" s="35"/>
      <c r="PCC230" s="32"/>
      <c r="PCD230" s="31"/>
      <c r="PCE230" s="31"/>
      <c r="PCF230" s="31"/>
      <c r="PCG230" s="32"/>
      <c r="PCH230" s="32"/>
      <c r="PCI230" s="32"/>
      <c r="PCJ230" s="32"/>
      <c r="PCK230" s="32"/>
      <c r="PCL230" s="31"/>
      <c r="PCM230" s="31"/>
      <c r="PCN230" s="33"/>
      <c r="PCO230" s="33"/>
      <c r="PCP230" s="34"/>
      <c r="PCQ230" s="34"/>
      <c r="PCR230" s="35"/>
      <c r="PCS230" s="35"/>
      <c r="PCT230" s="32"/>
      <c r="PCU230" s="31"/>
      <c r="PCV230" s="31"/>
      <c r="PCW230" s="31"/>
      <c r="PCX230" s="32"/>
      <c r="PCY230" s="32"/>
      <c r="PCZ230" s="32"/>
      <c r="PDA230" s="32"/>
      <c r="PDB230" s="32"/>
      <c r="PDC230" s="31"/>
      <c r="PDD230" s="31"/>
      <c r="PDE230" s="33"/>
      <c r="PDF230" s="33"/>
      <c r="PDG230" s="34"/>
      <c r="PDH230" s="34"/>
      <c r="PDI230" s="35"/>
      <c r="PDJ230" s="35"/>
      <c r="PDK230" s="32"/>
      <c r="PDL230" s="31"/>
      <c r="PDM230" s="31"/>
      <c r="PDN230" s="31"/>
      <c r="PDO230" s="32"/>
      <c r="PDP230" s="32"/>
      <c r="PDQ230" s="32"/>
      <c r="PDR230" s="32"/>
      <c r="PDS230" s="32"/>
      <c r="PDT230" s="31"/>
      <c r="PDU230" s="31"/>
      <c r="PDV230" s="33"/>
      <c r="PDW230" s="33"/>
      <c r="PDX230" s="34"/>
      <c r="PDY230" s="34"/>
      <c r="PDZ230" s="35"/>
      <c r="PEA230" s="35"/>
      <c r="PEB230" s="32"/>
      <c r="PEC230" s="31"/>
      <c r="PED230" s="31"/>
      <c r="PEE230" s="31"/>
      <c r="PEF230" s="32"/>
      <c r="PEG230" s="32"/>
      <c r="PEH230" s="32"/>
      <c r="PEI230" s="32"/>
      <c r="PEJ230" s="32"/>
      <c r="PEK230" s="31"/>
      <c r="PEL230" s="31"/>
      <c r="PEM230" s="33"/>
      <c r="PEN230" s="33"/>
      <c r="PEO230" s="34"/>
      <c r="PEP230" s="34"/>
      <c r="PEQ230" s="35"/>
      <c r="PER230" s="35"/>
      <c r="PES230" s="32"/>
      <c r="PET230" s="31"/>
      <c r="PEU230" s="31"/>
      <c r="PEV230" s="31"/>
      <c r="PEW230" s="32"/>
      <c r="PEX230" s="32"/>
      <c r="PEY230" s="32"/>
      <c r="PEZ230" s="32"/>
      <c r="PFA230" s="32"/>
      <c r="PFB230" s="31"/>
      <c r="PFC230" s="31"/>
      <c r="PFD230" s="33"/>
      <c r="PFE230" s="33"/>
      <c r="PFF230" s="34"/>
      <c r="PFG230" s="34"/>
      <c r="PFH230" s="35"/>
      <c r="PFI230" s="35"/>
      <c r="PFJ230" s="32"/>
      <c r="PFK230" s="31"/>
      <c r="PFL230" s="31"/>
      <c r="PFM230" s="31"/>
      <c r="PFN230" s="32"/>
      <c r="PFO230" s="32"/>
      <c r="PFP230" s="32"/>
      <c r="PFQ230" s="32"/>
      <c r="PFR230" s="32"/>
      <c r="PFS230" s="31"/>
      <c r="PFT230" s="31"/>
      <c r="PFU230" s="33"/>
      <c r="PFV230" s="33"/>
      <c r="PFW230" s="34"/>
      <c r="PFX230" s="34"/>
      <c r="PFY230" s="35"/>
      <c r="PFZ230" s="35"/>
      <c r="PGA230" s="32"/>
      <c r="PGB230" s="31"/>
      <c r="PGC230" s="31"/>
      <c r="PGD230" s="31"/>
      <c r="PGE230" s="32"/>
      <c r="PGF230" s="32"/>
      <c r="PGG230" s="32"/>
      <c r="PGH230" s="32"/>
      <c r="PGI230" s="32"/>
      <c r="PGJ230" s="31"/>
      <c r="PGK230" s="31"/>
      <c r="PGL230" s="33"/>
      <c r="PGM230" s="33"/>
      <c r="PGN230" s="34"/>
      <c r="PGO230" s="34"/>
      <c r="PGP230" s="35"/>
      <c r="PGQ230" s="35"/>
      <c r="PGR230" s="32"/>
      <c r="PGS230" s="31"/>
      <c r="PGT230" s="31"/>
      <c r="PGU230" s="31"/>
      <c r="PGV230" s="32"/>
      <c r="PGW230" s="32"/>
      <c r="PGX230" s="32"/>
      <c r="PGY230" s="32"/>
      <c r="PGZ230" s="32"/>
      <c r="PHA230" s="31"/>
      <c r="PHB230" s="31"/>
      <c r="PHC230" s="33"/>
      <c r="PHD230" s="33"/>
      <c r="PHE230" s="34"/>
      <c r="PHF230" s="34"/>
      <c r="PHG230" s="35"/>
      <c r="PHH230" s="35"/>
      <c r="PHI230" s="32"/>
      <c r="PHJ230" s="31"/>
      <c r="PHK230" s="31"/>
      <c r="PHL230" s="31"/>
      <c r="PHM230" s="32"/>
      <c r="PHN230" s="32"/>
      <c r="PHO230" s="32"/>
      <c r="PHP230" s="32"/>
      <c r="PHQ230" s="32"/>
      <c r="PHR230" s="31"/>
      <c r="PHS230" s="31"/>
      <c r="PHT230" s="33"/>
      <c r="PHU230" s="33"/>
      <c r="PHV230" s="34"/>
      <c r="PHW230" s="34"/>
      <c r="PHX230" s="35"/>
      <c r="PHY230" s="35"/>
      <c r="PHZ230" s="32"/>
      <c r="PIA230" s="31"/>
      <c r="PIB230" s="31"/>
      <c r="PIC230" s="31"/>
      <c r="PID230" s="32"/>
      <c r="PIE230" s="32"/>
      <c r="PIF230" s="32"/>
      <c r="PIG230" s="32"/>
      <c r="PIH230" s="32"/>
      <c r="PII230" s="31"/>
      <c r="PIJ230" s="31"/>
      <c r="PIK230" s="33"/>
      <c r="PIL230" s="33"/>
      <c r="PIM230" s="34"/>
      <c r="PIN230" s="34"/>
      <c r="PIO230" s="35"/>
      <c r="PIP230" s="35"/>
      <c r="PIQ230" s="32"/>
      <c r="PIR230" s="31"/>
      <c r="PIS230" s="31"/>
      <c r="PIT230" s="31"/>
      <c r="PIU230" s="32"/>
      <c r="PIV230" s="32"/>
      <c r="PIW230" s="32"/>
      <c r="PIX230" s="32"/>
      <c r="PIY230" s="32"/>
      <c r="PIZ230" s="31"/>
      <c r="PJA230" s="31"/>
      <c r="PJB230" s="33"/>
      <c r="PJC230" s="33"/>
      <c r="PJD230" s="34"/>
      <c r="PJE230" s="34"/>
      <c r="PJF230" s="35"/>
      <c r="PJG230" s="35"/>
      <c r="PJH230" s="32"/>
      <c r="PJI230" s="31"/>
      <c r="PJJ230" s="31"/>
      <c r="PJK230" s="31"/>
      <c r="PJL230" s="32"/>
      <c r="PJM230" s="32"/>
      <c r="PJN230" s="32"/>
      <c r="PJO230" s="32"/>
      <c r="PJP230" s="32"/>
      <c r="PJQ230" s="31"/>
      <c r="PJR230" s="31"/>
      <c r="PJS230" s="33"/>
      <c r="PJT230" s="33"/>
      <c r="PJU230" s="34"/>
      <c r="PJV230" s="34"/>
      <c r="PJW230" s="35"/>
      <c r="PJX230" s="35"/>
      <c r="PJY230" s="32"/>
      <c r="PJZ230" s="31"/>
      <c r="PKA230" s="31"/>
      <c r="PKB230" s="31"/>
      <c r="PKC230" s="32"/>
      <c r="PKD230" s="32"/>
      <c r="PKE230" s="32"/>
      <c r="PKF230" s="32"/>
      <c r="PKG230" s="32"/>
      <c r="PKH230" s="31"/>
      <c r="PKI230" s="31"/>
      <c r="PKJ230" s="33"/>
      <c r="PKK230" s="33"/>
      <c r="PKL230" s="34"/>
      <c r="PKM230" s="34"/>
      <c r="PKN230" s="35"/>
      <c r="PKO230" s="35"/>
      <c r="PKP230" s="32"/>
      <c r="PKQ230" s="31"/>
      <c r="PKR230" s="31"/>
      <c r="PKS230" s="31"/>
      <c r="PKT230" s="32"/>
      <c r="PKU230" s="32"/>
      <c r="PKV230" s="32"/>
      <c r="PKW230" s="32"/>
      <c r="PKX230" s="32"/>
      <c r="PKY230" s="31"/>
      <c r="PKZ230" s="31"/>
      <c r="PLA230" s="33"/>
      <c r="PLB230" s="33"/>
      <c r="PLC230" s="34"/>
      <c r="PLD230" s="34"/>
      <c r="PLE230" s="35"/>
      <c r="PLF230" s="35"/>
      <c r="PLG230" s="32"/>
      <c r="PLH230" s="31"/>
      <c r="PLI230" s="31"/>
      <c r="PLJ230" s="31"/>
      <c r="PLK230" s="32"/>
      <c r="PLL230" s="32"/>
      <c r="PLM230" s="32"/>
      <c r="PLN230" s="32"/>
      <c r="PLO230" s="32"/>
      <c r="PLP230" s="31"/>
      <c r="PLQ230" s="31"/>
      <c r="PLR230" s="33"/>
      <c r="PLS230" s="33"/>
      <c r="PLT230" s="34"/>
      <c r="PLU230" s="34"/>
      <c r="PLV230" s="35"/>
      <c r="PLW230" s="35"/>
      <c r="PLX230" s="32"/>
      <c r="PLY230" s="31"/>
      <c r="PLZ230" s="31"/>
      <c r="PMA230" s="31"/>
      <c r="PMB230" s="32"/>
      <c r="PMC230" s="32"/>
      <c r="PMD230" s="32"/>
      <c r="PME230" s="32"/>
      <c r="PMF230" s="32"/>
      <c r="PMG230" s="31"/>
      <c r="PMH230" s="31"/>
      <c r="PMI230" s="33"/>
      <c r="PMJ230" s="33"/>
      <c r="PMK230" s="34"/>
      <c r="PML230" s="34"/>
      <c r="PMM230" s="35"/>
      <c r="PMN230" s="35"/>
      <c r="PMO230" s="32"/>
      <c r="PMP230" s="31"/>
      <c r="PMQ230" s="31"/>
      <c r="PMR230" s="31"/>
      <c r="PMS230" s="32"/>
      <c r="PMT230" s="32"/>
      <c r="PMU230" s="32"/>
      <c r="PMV230" s="32"/>
      <c r="PMW230" s="32"/>
      <c r="PMX230" s="31"/>
      <c r="PMY230" s="31"/>
      <c r="PMZ230" s="33"/>
      <c r="PNA230" s="33"/>
      <c r="PNB230" s="34"/>
      <c r="PNC230" s="34"/>
      <c r="PND230" s="35"/>
      <c r="PNE230" s="35"/>
      <c r="PNF230" s="32"/>
      <c r="PNG230" s="31"/>
      <c r="PNH230" s="31"/>
      <c r="PNI230" s="31"/>
      <c r="PNJ230" s="32"/>
      <c r="PNK230" s="32"/>
      <c r="PNL230" s="32"/>
      <c r="PNM230" s="32"/>
      <c r="PNN230" s="32"/>
      <c r="PNO230" s="31"/>
      <c r="PNP230" s="31"/>
      <c r="PNQ230" s="33"/>
      <c r="PNR230" s="33"/>
      <c r="PNS230" s="34"/>
      <c r="PNT230" s="34"/>
      <c r="PNU230" s="35"/>
      <c r="PNV230" s="35"/>
      <c r="PNW230" s="32"/>
      <c r="PNX230" s="31"/>
      <c r="PNY230" s="31"/>
      <c r="PNZ230" s="31"/>
      <c r="POA230" s="32"/>
      <c r="POB230" s="32"/>
      <c r="POC230" s="32"/>
      <c r="POD230" s="32"/>
      <c r="POE230" s="32"/>
      <c r="POF230" s="31"/>
      <c r="POG230" s="31"/>
      <c r="POH230" s="33"/>
      <c r="POI230" s="33"/>
      <c r="POJ230" s="34"/>
      <c r="POK230" s="34"/>
      <c r="POL230" s="35"/>
      <c r="POM230" s="35"/>
      <c r="PON230" s="32"/>
      <c r="POO230" s="31"/>
      <c r="POP230" s="31"/>
      <c r="POQ230" s="31"/>
      <c r="POR230" s="32"/>
      <c r="POS230" s="32"/>
      <c r="POT230" s="32"/>
      <c r="POU230" s="32"/>
      <c r="POV230" s="32"/>
      <c r="POW230" s="31"/>
      <c r="POX230" s="31"/>
      <c r="POY230" s="33"/>
      <c r="POZ230" s="33"/>
      <c r="PPA230" s="34"/>
      <c r="PPB230" s="34"/>
      <c r="PPC230" s="35"/>
      <c r="PPD230" s="35"/>
      <c r="PPE230" s="32"/>
      <c r="PPF230" s="31"/>
      <c r="PPG230" s="31"/>
      <c r="PPH230" s="31"/>
      <c r="PPI230" s="32"/>
      <c r="PPJ230" s="32"/>
      <c r="PPK230" s="32"/>
      <c r="PPL230" s="32"/>
      <c r="PPM230" s="32"/>
      <c r="PPN230" s="31"/>
      <c r="PPO230" s="31"/>
      <c r="PPP230" s="33"/>
      <c r="PPQ230" s="33"/>
      <c r="PPR230" s="34"/>
      <c r="PPS230" s="34"/>
      <c r="PPT230" s="35"/>
      <c r="PPU230" s="35"/>
      <c r="PPV230" s="32"/>
      <c r="PPW230" s="31"/>
      <c r="PPX230" s="31"/>
      <c r="PPY230" s="31"/>
      <c r="PPZ230" s="32"/>
      <c r="PQA230" s="32"/>
      <c r="PQB230" s="32"/>
      <c r="PQC230" s="32"/>
      <c r="PQD230" s="32"/>
      <c r="PQE230" s="31"/>
      <c r="PQF230" s="31"/>
      <c r="PQG230" s="33"/>
      <c r="PQH230" s="33"/>
      <c r="PQI230" s="34"/>
      <c r="PQJ230" s="34"/>
      <c r="PQK230" s="35"/>
      <c r="PQL230" s="35"/>
      <c r="PQM230" s="32"/>
      <c r="PQN230" s="31"/>
      <c r="PQO230" s="31"/>
      <c r="PQP230" s="31"/>
      <c r="PQQ230" s="32"/>
      <c r="PQR230" s="32"/>
      <c r="PQS230" s="32"/>
      <c r="PQT230" s="32"/>
      <c r="PQU230" s="32"/>
      <c r="PQV230" s="31"/>
      <c r="PQW230" s="31"/>
      <c r="PQX230" s="33"/>
      <c r="PQY230" s="33"/>
      <c r="PQZ230" s="34"/>
      <c r="PRA230" s="34"/>
      <c r="PRB230" s="35"/>
      <c r="PRC230" s="35"/>
      <c r="PRD230" s="32"/>
      <c r="PRE230" s="31"/>
      <c r="PRF230" s="31"/>
      <c r="PRG230" s="31"/>
      <c r="PRH230" s="32"/>
      <c r="PRI230" s="32"/>
      <c r="PRJ230" s="32"/>
      <c r="PRK230" s="32"/>
      <c r="PRL230" s="32"/>
      <c r="PRM230" s="31"/>
      <c r="PRN230" s="31"/>
      <c r="PRO230" s="33"/>
      <c r="PRP230" s="33"/>
      <c r="PRQ230" s="34"/>
      <c r="PRR230" s="34"/>
      <c r="PRS230" s="35"/>
      <c r="PRT230" s="35"/>
      <c r="PRU230" s="32"/>
      <c r="PRV230" s="31"/>
      <c r="PRW230" s="31"/>
      <c r="PRX230" s="31"/>
      <c r="PRY230" s="32"/>
      <c r="PRZ230" s="32"/>
      <c r="PSA230" s="32"/>
      <c r="PSB230" s="32"/>
      <c r="PSC230" s="32"/>
      <c r="PSD230" s="31"/>
      <c r="PSE230" s="31"/>
      <c r="PSF230" s="33"/>
      <c r="PSG230" s="33"/>
      <c r="PSH230" s="34"/>
      <c r="PSI230" s="34"/>
      <c r="PSJ230" s="35"/>
      <c r="PSK230" s="35"/>
      <c r="PSL230" s="32"/>
      <c r="PSM230" s="31"/>
      <c r="PSN230" s="31"/>
      <c r="PSO230" s="31"/>
      <c r="PSP230" s="32"/>
      <c r="PSQ230" s="32"/>
      <c r="PSR230" s="32"/>
      <c r="PSS230" s="32"/>
      <c r="PST230" s="32"/>
      <c r="PSU230" s="31"/>
      <c r="PSV230" s="31"/>
      <c r="PSW230" s="33"/>
      <c r="PSX230" s="33"/>
      <c r="PSY230" s="34"/>
      <c r="PSZ230" s="34"/>
      <c r="PTA230" s="35"/>
      <c r="PTB230" s="35"/>
      <c r="PTC230" s="32"/>
      <c r="PTD230" s="31"/>
      <c r="PTE230" s="31"/>
      <c r="PTF230" s="31"/>
      <c r="PTG230" s="32"/>
      <c r="PTH230" s="32"/>
      <c r="PTI230" s="32"/>
      <c r="PTJ230" s="32"/>
      <c r="PTK230" s="32"/>
      <c r="PTL230" s="31"/>
      <c r="PTM230" s="31"/>
      <c r="PTN230" s="33"/>
      <c r="PTO230" s="33"/>
      <c r="PTP230" s="34"/>
      <c r="PTQ230" s="34"/>
      <c r="PTR230" s="35"/>
      <c r="PTS230" s="35"/>
      <c r="PTT230" s="32"/>
      <c r="PTU230" s="31"/>
      <c r="PTV230" s="31"/>
      <c r="PTW230" s="31"/>
      <c r="PTX230" s="32"/>
      <c r="PTY230" s="32"/>
      <c r="PTZ230" s="32"/>
      <c r="PUA230" s="32"/>
      <c r="PUB230" s="32"/>
      <c r="PUC230" s="31"/>
      <c r="PUD230" s="31"/>
      <c r="PUE230" s="33"/>
      <c r="PUF230" s="33"/>
      <c r="PUG230" s="34"/>
      <c r="PUH230" s="34"/>
      <c r="PUI230" s="35"/>
      <c r="PUJ230" s="35"/>
      <c r="PUK230" s="32"/>
      <c r="PUL230" s="31"/>
      <c r="PUM230" s="31"/>
      <c r="PUN230" s="31"/>
      <c r="PUO230" s="32"/>
      <c r="PUP230" s="32"/>
      <c r="PUQ230" s="32"/>
      <c r="PUR230" s="32"/>
      <c r="PUS230" s="32"/>
      <c r="PUT230" s="31"/>
      <c r="PUU230" s="31"/>
      <c r="PUV230" s="33"/>
      <c r="PUW230" s="33"/>
      <c r="PUX230" s="34"/>
      <c r="PUY230" s="34"/>
      <c r="PUZ230" s="35"/>
      <c r="PVA230" s="35"/>
      <c r="PVB230" s="32"/>
      <c r="PVC230" s="31"/>
      <c r="PVD230" s="31"/>
      <c r="PVE230" s="31"/>
      <c r="PVF230" s="32"/>
      <c r="PVG230" s="32"/>
      <c r="PVH230" s="32"/>
      <c r="PVI230" s="32"/>
      <c r="PVJ230" s="32"/>
      <c r="PVK230" s="31"/>
      <c r="PVL230" s="31"/>
      <c r="PVM230" s="33"/>
      <c r="PVN230" s="33"/>
      <c r="PVO230" s="34"/>
      <c r="PVP230" s="34"/>
      <c r="PVQ230" s="35"/>
      <c r="PVR230" s="35"/>
      <c r="PVS230" s="32"/>
      <c r="PVT230" s="31"/>
      <c r="PVU230" s="31"/>
      <c r="PVV230" s="31"/>
      <c r="PVW230" s="32"/>
      <c r="PVX230" s="32"/>
      <c r="PVY230" s="32"/>
      <c r="PVZ230" s="32"/>
      <c r="PWA230" s="32"/>
      <c r="PWB230" s="31"/>
      <c r="PWC230" s="31"/>
      <c r="PWD230" s="33"/>
      <c r="PWE230" s="33"/>
      <c r="PWF230" s="34"/>
      <c r="PWG230" s="34"/>
      <c r="PWH230" s="35"/>
      <c r="PWI230" s="35"/>
      <c r="PWJ230" s="32"/>
      <c r="PWK230" s="31"/>
      <c r="PWL230" s="31"/>
      <c r="PWM230" s="31"/>
      <c r="PWN230" s="32"/>
      <c r="PWO230" s="32"/>
      <c r="PWP230" s="32"/>
      <c r="PWQ230" s="32"/>
      <c r="PWR230" s="32"/>
      <c r="PWS230" s="31"/>
      <c r="PWT230" s="31"/>
      <c r="PWU230" s="33"/>
      <c r="PWV230" s="33"/>
      <c r="PWW230" s="34"/>
      <c r="PWX230" s="34"/>
      <c r="PWY230" s="35"/>
      <c r="PWZ230" s="35"/>
      <c r="PXA230" s="32"/>
      <c r="PXB230" s="31"/>
      <c r="PXC230" s="31"/>
      <c r="PXD230" s="31"/>
      <c r="PXE230" s="32"/>
      <c r="PXF230" s="32"/>
      <c r="PXG230" s="32"/>
      <c r="PXH230" s="32"/>
      <c r="PXI230" s="32"/>
      <c r="PXJ230" s="31"/>
      <c r="PXK230" s="31"/>
      <c r="PXL230" s="33"/>
      <c r="PXM230" s="33"/>
      <c r="PXN230" s="34"/>
      <c r="PXO230" s="34"/>
      <c r="PXP230" s="35"/>
      <c r="PXQ230" s="35"/>
      <c r="PXR230" s="32"/>
      <c r="PXS230" s="31"/>
      <c r="PXT230" s="31"/>
      <c r="PXU230" s="31"/>
      <c r="PXV230" s="32"/>
      <c r="PXW230" s="32"/>
      <c r="PXX230" s="32"/>
      <c r="PXY230" s="32"/>
      <c r="PXZ230" s="32"/>
      <c r="PYA230" s="31"/>
      <c r="PYB230" s="31"/>
      <c r="PYC230" s="33"/>
      <c r="PYD230" s="33"/>
      <c r="PYE230" s="34"/>
      <c r="PYF230" s="34"/>
      <c r="PYG230" s="35"/>
      <c r="PYH230" s="35"/>
      <c r="PYI230" s="32"/>
      <c r="PYJ230" s="31"/>
      <c r="PYK230" s="31"/>
      <c r="PYL230" s="31"/>
      <c r="PYM230" s="32"/>
      <c r="PYN230" s="32"/>
      <c r="PYO230" s="32"/>
      <c r="PYP230" s="32"/>
      <c r="PYQ230" s="32"/>
      <c r="PYR230" s="31"/>
      <c r="PYS230" s="31"/>
      <c r="PYT230" s="33"/>
      <c r="PYU230" s="33"/>
      <c r="PYV230" s="34"/>
      <c r="PYW230" s="34"/>
      <c r="PYX230" s="35"/>
      <c r="PYY230" s="35"/>
      <c r="PYZ230" s="32"/>
      <c r="PZA230" s="31"/>
      <c r="PZB230" s="31"/>
      <c r="PZC230" s="31"/>
      <c r="PZD230" s="32"/>
      <c r="PZE230" s="32"/>
      <c r="PZF230" s="32"/>
      <c r="PZG230" s="32"/>
      <c r="PZH230" s="32"/>
      <c r="PZI230" s="31"/>
      <c r="PZJ230" s="31"/>
      <c r="PZK230" s="33"/>
      <c r="PZL230" s="33"/>
      <c r="PZM230" s="34"/>
      <c r="PZN230" s="34"/>
      <c r="PZO230" s="35"/>
      <c r="PZP230" s="35"/>
      <c r="PZQ230" s="32"/>
      <c r="PZR230" s="31"/>
      <c r="PZS230" s="31"/>
      <c r="PZT230" s="31"/>
      <c r="PZU230" s="32"/>
      <c r="PZV230" s="32"/>
      <c r="PZW230" s="32"/>
      <c r="PZX230" s="32"/>
      <c r="PZY230" s="32"/>
      <c r="PZZ230" s="31"/>
      <c r="QAA230" s="31"/>
      <c r="QAB230" s="33"/>
      <c r="QAC230" s="33"/>
      <c r="QAD230" s="34"/>
      <c r="QAE230" s="34"/>
      <c r="QAF230" s="35"/>
      <c r="QAG230" s="35"/>
      <c r="QAH230" s="32"/>
      <c r="QAI230" s="31"/>
      <c r="QAJ230" s="31"/>
      <c r="QAK230" s="31"/>
      <c r="QAL230" s="32"/>
      <c r="QAM230" s="32"/>
      <c r="QAN230" s="32"/>
      <c r="QAO230" s="32"/>
      <c r="QAP230" s="32"/>
      <c r="QAQ230" s="31"/>
      <c r="QAR230" s="31"/>
      <c r="QAS230" s="33"/>
      <c r="QAT230" s="33"/>
      <c r="QAU230" s="34"/>
      <c r="QAV230" s="34"/>
      <c r="QAW230" s="35"/>
      <c r="QAX230" s="35"/>
      <c r="QAY230" s="32"/>
      <c r="QAZ230" s="31"/>
      <c r="QBA230" s="31"/>
      <c r="QBB230" s="31"/>
      <c r="QBC230" s="32"/>
      <c r="QBD230" s="32"/>
      <c r="QBE230" s="32"/>
      <c r="QBF230" s="32"/>
      <c r="QBG230" s="32"/>
      <c r="QBH230" s="31"/>
      <c r="QBI230" s="31"/>
      <c r="QBJ230" s="33"/>
      <c r="QBK230" s="33"/>
      <c r="QBL230" s="34"/>
      <c r="QBM230" s="34"/>
      <c r="QBN230" s="35"/>
      <c r="QBO230" s="35"/>
      <c r="QBP230" s="32"/>
      <c r="QBQ230" s="31"/>
      <c r="QBR230" s="31"/>
      <c r="QBS230" s="31"/>
      <c r="QBT230" s="32"/>
      <c r="QBU230" s="32"/>
      <c r="QBV230" s="32"/>
      <c r="QBW230" s="32"/>
      <c r="QBX230" s="32"/>
      <c r="QBY230" s="31"/>
      <c r="QBZ230" s="31"/>
      <c r="QCA230" s="33"/>
      <c r="QCB230" s="33"/>
      <c r="QCC230" s="34"/>
      <c r="QCD230" s="34"/>
      <c r="QCE230" s="35"/>
      <c r="QCF230" s="35"/>
      <c r="QCG230" s="32"/>
      <c r="QCH230" s="31"/>
      <c r="QCI230" s="31"/>
      <c r="QCJ230" s="31"/>
      <c r="QCK230" s="32"/>
      <c r="QCL230" s="32"/>
      <c r="QCM230" s="32"/>
      <c r="QCN230" s="32"/>
      <c r="QCO230" s="32"/>
      <c r="QCP230" s="31"/>
      <c r="QCQ230" s="31"/>
      <c r="QCR230" s="33"/>
      <c r="QCS230" s="33"/>
      <c r="QCT230" s="34"/>
      <c r="QCU230" s="34"/>
      <c r="QCV230" s="35"/>
      <c r="QCW230" s="35"/>
      <c r="QCX230" s="32"/>
      <c r="QCY230" s="31"/>
      <c r="QCZ230" s="31"/>
      <c r="QDA230" s="31"/>
      <c r="QDB230" s="32"/>
      <c r="QDC230" s="32"/>
      <c r="QDD230" s="32"/>
      <c r="QDE230" s="32"/>
      <c r="QDF230" s="32"/>
      <c r="QDG230" s="31"/>
      <c r="QDH230" s="31"/>
      <c r="QDI230" s="33"/>
      <c r="QDJ230" s="33"/>
      <c r="QDK230" s="34"/>
      <c r="QDL230" s="34"/>
      <c r="QDM230" s="35"/>
      <c r="QDN230" s="35"/>
      <c r="QDO230" s="32"/>
      <c r="QDP230" s="31"/>
      <c r="QDQ230" s="31"/>
      <c r="QDR230" s="31"/>
      <c r="QDS230" s="32"/>
      <c r="QDT230" s="32"/>
      <c r="QDU230" s="32"/>
      <c r="QDV230" s="32"/>
      <c r="QDW230" s="32"/>
      <c r="QDX230" s="31"/>
      <c r="QDY230" s="31"/>
      <c r="QDZ230" s="33"/>
      <c r="QEA230" s="33"/>
      <c r="QEB230" s="34"/>
      <c r="QEC230" s="34"/>
      <c r="QED230" s="35"/>
      <c r="QEE230" s="35"/>
      <c r="QEF230" s="32"/>
      <c r="QEG230" s="31"/>
      <c r="QEH230" s="31"/>
      <c r="QEI230" s="31"/>
      <c r="QEJ230" s="32"/>
      <c r="QEK230" s="32"/>
      <c r="QEL230" s="32"/>
      <c r="QEM230" s="32"/>
      <c r="QEN230" s="32"/>
      <c r="QEO230" s="31"/>
      <c r="QEP230" s="31"/>
      <c r="QEQ230" s="33"/>
      <c r="QER230" s="33"/>
      <c r="QES230" s="34"/>
      <c r="QET230" s="34"/>
      <c r="QEU230" s="35"/>
      <c r="QEV230" s="35"/>
      <c r="QEW230" s="32"/>
      <c r="QEX230" s="31"/>
      <c r="QEY230" s="31"/>
      <c r="QEZ230" s="31"/>
      <c r="QFA230" s="32"/>
      <c r="QFB230" s="32"/>
      <c r="QFC230" s="32"/>
      <c r="QFD230" s="32"/>
      <c r="QFE230" s="32"/>
      <c r="QFF230" s="31"/>
      <c r="QFG230" s="31"/>
      <c r="QFH230" s="33"/>
      <c r="QFI230" s="33"/>
      <c r="QFJ230" s="34"/>
      <c r="QFK230" s="34"/>
      <c r="QFL230" s="35"/>
      <c r="QFM230" s="35"/>
      <c r="QFN230" s="32"/>
      <c r="QFO230" s="31"/>
      <c r="QFP230" s="31"/>
      <c r="QFQ230" s="31"/>
      <c r="QFR230" s="32"/>
      <c r="QFS230" s="32"/>
      <c r="QFT230" s="32"/>
      <c r="QFU230" s="32"/>
      <c r="QFV230" s="32"/>
      <c r="QFW230" s="31"/>
      <c r="QFX230" s="31"/>
      <c r="QFY230" s="33"/>
      <c r="QFZ230" s="33"/>
      <c r="QGA230" s="34"/>
      <c r="QGB230" s="34"/>
      <c r="QGC230" s="35"/>
      <c r="QGD230" s="35"/>
      <c r="QGE230" s="32"/>
      <c r="QGF230" s="31"/>
      <c r="QGG230" s="31"/>
      <c r="QGH230" s="31"/>
      <c r="QGI230" s="32"/>
      <c r="QGJ230" s="32"/>
      <c r="QGK230" s="32"/>
      <c r="QGL230" s="32"/>
      <c r="QGM230" s="32"/>
      <c r="QGN230" s="31"/>
      <c r="QGO230" s="31"/>
      <c r="QGP230" s="33"/>
      <c r="QGQ230" s="33"/>
      <c r="QGR230" s="34"/>
      <c r="QGS230" s="34"/>
      <c r="QGT230" s="35"/>
      <c r="QGU230" s="35"/>
      <c r="QGV230" s="32"/>
      <c r="QGW230" s="31"/>
      <c r="QGX230" s="31"/>
      <c r="QGY230" s="31"/>
      <c r="QGZ230" s="32"/>
      <c r="QHA230" s="32"/>
      <c r="QHB230" s="32"/>
      <c r="QHC230" s="32"/>
      <c r="QHD230" s="32"/>
      <c r="QHE230" s="31"/>
      <c r="QHF230" s="31"/>
      <c r="QHG230" s="33"/>
      <c r="QHH230" s="33"/>
      <c r="QHI230" s="34"/>
      <c r="QHJ230" s="34"/>
      <c r="QHK230" s="35"/>
      <c r="QHL230" s="35"/>
      <c r="QHM230" s="32"/>
      <c r="QHN230" s="31"/>
      <c r="QHO230" s="31"/>
      <c r="QHP230" s="31"/>
      <c r="QHQ230" s="32"/>
      <c r="QHR230" s="32"/>
      <c r="QHS230" s="32"/>
      <c r="QHT230" s="32"/>
      <c r="QHU230" s="32"/>
      <c r="QHV230" s="31"/>
      <c r="QHW230" s="31"/>
      <c r="QHX230" s="33"/>
      <c r="QHY230" s="33"/>
      <c r="QHZ230" s="34"/>
      <c r="QIA230" s="34"/>
      <c r="QIB230" s="35"/>
      <c r="QIC230" s="35"/>
      <c r="QID230" s="32"/>
      <c r="QIE230" s="31"/>
      <c r="QIF230" s="31"/>
      <c r="QIG230" s="31"/>
      <c r="QIH230" s="32"/>
      <c r="QII230" s="32"/>
      <c r="QIJ230" s="32"/>
      <c r="QIK230" s="32"/>
      <c r="QIL230" s="32"/>
      <c r="QIM230" s="31"/>
      <c r="QIN230" s="31"/>
      <c r="QIO230" s="33"/>
      <c r="QIP230" s="33"/>
      <c r="QIQ230" s="34"/>
      <c r="QIR230" s="34"/>
      <c r="QIS230" s="35"/>
      <c r="QIT230" s="35"/>
      <c r="QIU230" s="32"/>
      <c r="QIV230" s="31"/>
      <c r="QIW230" s="31"/>
      <c r="QIX230" s="31"/>
      <c r="QIY230" s="32"/>
      <c r="QIZ230" s="32"/>
      <c r="QJA230" s="32"/>
      <c r="QJB230" s="32"/>
      <c r="QJC230" s="32"/>
      <c r="QJD230" s="31"/>
      <c r="QJE230" s="31"/>
      <c r="QJF230" s="33"/>
      <c r="QJG230" s="33"/>
      <c r="QJH230" s="34"/>
      <c r="QJI230" s="34"/>
      <c r="QJJ230" s="35"/>
      <c r="QJK230" s="35"/>
      <c r="QJL230" s="32"/>
      <c r="QJM230" s="31"/>
      <c r="QJN230" s="31"/>
      <c r="QJO230" s="31"/>
      <c r="QJP230" s="32"/>
      <c r="QJQ230" s="32"/>
      <c r="QJR230" s="32"/>
      <c r="QJS230" s="32"/>
      <c r="QJT230" s="32"/>
      <c r="QJU230" s="31"/>
      <c r="QJV230" s="31"/>
      <c r="QJW230" s="33"/>
      <c r="QJX230" s="33"/>
      <c r="QJY230" s="34"/>
      <c r="QJZ230" s="34"/>
      <c r="QKA230" s="35"/>
      <c r="QKB230" s="35"/>
      <c r="QKC230" s="32"/>
      <c r="QKD230" s="31"/>
      <c r="QKE230" s="31"/>
      <c r="QKF230" s="31"/>
      <c r="QKG230" s="32"/>
      <c r="QKH230" s="32"/>
      <c r="QKI230" s="32"/>
      <c r="QKJ230" s="32"/>
      <c r="QKK230" s="32"/>
      <c r="QKL230" s="31"/>
      <c r="QKM230" s="31"/>
      <c r="QKN230" s="33"/>
      <c r="QKO230" s="33"/>
      <c r="QKP230" s="34"/>
      <c r="QKQ230" s="34"/>
      <c r="QKR230" s="35"/>
      <c r="QKS230" s="35"/>
      <c r="QKT230" s="32"/>
      <c r="QKU230" s="31"/>
      <c r="QKV230" s="31"/>
      <c r="QKW230" s="31"/>
      <c r="QKX230" s="32"/>
      <c r="QKY230" s="32"/>
      <c r="QKZ230" s="32"/>
      <c r="QLA230" s="32"/>
      <c r="QLB230" s="32"/>
      <c r="QLC230" s="31"/>
      <c r="QLD230" s="31"/>
      <c r="QLE230" s="33"/>
      <c r="QLF230" s="33"/>
      <c r="QLG230" s="34"/>
      <c r="QLH230" s="34"/>
      <c r="QLI230" s="35"/>
      <c r="QLJ230" s="35"/>
      <c r="QLK230" s="32"/>
      <c r="QLL230" s="31"/>
      <c r="QLM230" s="31"/>
      <c r="QLN230" s="31"/>
      <c r="QLO230" s="32"/>
      <c r="QLP230" s="32"/>
      <c r="QLQ230" s="32"/>
      <c r="QLR230" s="32"/>
      <c r="QLS230" s="32"/>
      <c r="QLT230" s="31"/>
      <c r="QLU230" s="31"/>
      <c r="QLV230" s="33"/>
      <c r="QLW230" s="33"/>
      <c r="QLX230" s="34"/>
      <c r="QLY230" s="34"/>
      <c r="QLZ230" s="35"/>
      <c r="QMA230" s="35"/>
      <c r="QMB230" s="32"/>
      <c r="QMC230" s="31"/>
      <c r="QMD230" s="31"/>
      <c r="QME230" s="31"/>
      <c r="QMF230" s="32"/>
      <c r="QMG230" s="32"/>
      <c r="QMH230" s="32"/>
      <c r="QMI230" s="32"/>
      <c r="QMJ230" s="32"/>
      <c r="QMK230" s="31"/>
      <c r="QML230" s="31"/>
      <c r="QMM230" s="33"/>
      <c r="QMN230" s="33"/>
      <c r="QMO230" s="34"/>
      <c r="QMP230" s="34"/>
      <c r="QMQ230" s="35"/>
      <c r="QMR230" s="35"/>
      <c r="QMS230" s="32"/>
      <c r="QMT230" s="31"/>
      <c r="QMU230" s="31"/>
      <c r="QMV230" s="31"/>
      <c r="QMW230" s="32"/>
      <c r="QMX230" s="32"/>
      <c r="QMY230" s="32"/>
      <c r="QMZ230" s="32"/>
      <c r="QNA230" s="32"/>
      <c r="QNB230" s="31"/>
      <c r="QNC230" s="31"/>
      <c r="QND230" s="33"/>
      <c r="QNE230" s="33"/>
      <c r="QNF230" s="34"/>
      <c r="QNG230" s="34"/>
      <c r="QNH230" s="35"/>
      <c r="QNI230" s="35"/>
      <c r="QNJ230" s="32"/>
      <c r="QNK230" s="31"/>
      <c r="QNL230" s="31"/>
      <c r="QNM230" s="31"/>
      <c r="QNN230" s="32"/>
      <c r="QNO230" s="32"/>
      <c r="QNP230" s="32"/>
      <c r="QNQ230" s="32"/>
      <c r="QNR230" s="32"/>
      <c r="QNS230" s="31"/>
      <c r="QNT230" s="31"/>
      <c r="QNU230" s="33"/>
      <c r="QNV230" s="33"/>
      <c r="QNW230" s="34"/>
      <c r="QNX230" s="34"/>
      <c r="QNY230" s="35"/>
      <c r="QNZ230" s="35"/>
      <c r="QOA230" s="32"/>
      <c r="QOB230" s="31"/>
      <c r="QOC230" s="31"/>
      <c r="QOD230" s="31"/>
      <c r="QOE230" s="32"/>
      <c r="QOF230" s="32"/>
      <c r="QOG230" s="32"/>
      <c r="QOH230" s="32"/>
      <c r="QOI230" s="32"/>
      <c r="QOJ230" s="31"/>
      <c r="QOK230" s="31"/>
      <c r="QOL230" s="33"/>
      <c r="QOM230" s="33"/>
      <c r="QON230" s="34"/>
      <c r="QOO230" s="34"/>
      <c r="QOP230" s="35"/>
      <c r="QOQ230" s="35"/>
      <c r="QOR230" s="32"/>
      <c r="QOS230" s="31"/>
      <c r="QOT230" s="31"/>
      <c r="QOU230" s="31"/>
      <c r="QOV230" s="32"/>
      <c r="QOW230" s="32"/>
      <c r="QOX230" s="32"/>
      <c r="QOY230" s="32"/>
      <c r="QOZ230" s="32"/>
      <c r="QPA230" s="31"/>
      <c r="QPB230" s="31"/>
      <c r="QPC230" s="33"/>
      <c r="QPD230" s="33"/>
      <c r="QPE230" s="34"/>
      <c r="QPF230" s="34"/>
      <c r="QPG230" s="35"/>
      <c r="QPH230" s="35"/>
      <c r="QPI230" s="32"/>
      <c r="QPJ230" s="31"/>
      <c r="QPK230" s="31"/>
      <c r="QPL230" s="31"/>
      <c r="QPM230" s="32"/>
      <c r="QPN230" s="32"/>
      <c r="QPO230" s="32"/>
      <c r="QPP230" s="32"/>
      <c r="QPQ230" s="32"/>
      <c r="QPR230" s="31"/>
      <c r="QPS230" s="31"/>
      <c r="QPT230" s="33"/>
      <c r="QPU230" s="33"/>
      <c r="QPV230" s="34"/>
      <c r="QPW230" s="34"/>
      <c r="QPX230" s="35"/>
      <c r="QPY230" s="35"/>
      <c r="QPZ230" s="32"/>
      <c r="QQA230" s="31"/>
      <c r="QQB230" s="31"/>
      <c r="QQC230" s="31"/>
      <c r="QQD230" s="32"/>
      <c r="QQE230" s="32"/>
      <c r="QQF230" s="32"/>
      <c r="QQG230" s="32"/>
      <c r="QQH230" s="32"/>
      <c r="QQI230" s="31"/>
      <c r="QQJ230" s="31"/>
      <c r="QQK230" s="33"/>
      <c r="QQL230" s="33"/>
      <c r="QQM230" s="34"/>
      <c r="QQN230" s="34"/>
      <c r="QQO230" s="35"/>
      <c r="QQP230" s="35"/>
      <c r="QQQ230" s="32"/>
      <c r="QQR230" s="31"/>
      <c r="QQS230" s="31"/>
      <c r="QQT230" s="31"/>
      <c r="QQU230" s="32"/>
      <c r="QQV230" s="32"/>
      <c r="QQW230" s="32"/>
      <c r="QQX230" s="32"/>
      <c r="QQY230" s="32"/>
      <c r="QQZ230" s="31"/>
      <c r="QRA230" s="31"/>
      <c r="QRB230" s="33"/>
      <c r="QRC230" s="33"/>
      <c r="QRD230" s="34"/>
      <c r="QRE230" s="34"/>
      <c r="QRF230" s="35"/>
      <c r="QRG230" s="35"/>
      <c r="QRH230" s="32"/>
      <c r="QRI230" s="31"/>
      <c r="QRJ230" s="31"/>
      <c r="QRK230" s="31"/>
      <c r="QRL230" s="32"/>
      <c r="QRM230" s="32"/>
      <c r="QRN230" s="32"/>
      <c r="QRO230" s="32"/>
      <c r="QRP230" s="32"/>
      <c r="QRQ230" s="31"/>
      <c r="QRR230" s="31"/>
      <c r="QRS230" s="33"/>
      <c r="QRT230" s="33"/>
      <c r="QRU230" s="34"/>
      <c r="QRV230" s="34"/>
      <c r="QRW230" s="35"/>
      <c r="QRX230" s="35"/>
      <c r="QRY230" s="32"/>
      <c r="QRZ230" s="31"/>
      <c r="QSA230" s="31"/>
      <c r="QSB230" s="31"/>
      <c r="QSC230" s="32"/>
      <c r="QSD230" s="32"/>
      <c r="QSE230" s="32"/>
      <c r="QSF230" s="32"/>
      <c r="QSG230" s="32"/>
      <c r="QSH230" s="31"/>
      <c r="QSI230" s="31"/>
      <c r="QSJ230" s="33"/>
      <c r="QSK230" s="33"/>
      <c r="QSL230" s="34"/>
      <c r="QSM230" s="34"/>
      <c r="QSN230" s="35"/>
      <c r="QSO230" s="35"/>
      <c r="QSP230" s="32"/>
      <c r="QSQ230" s="31"/>
      <c r="QSR230" s="31"/>
      <c r="QSS230" s="31"/>
      <c r="QST230" s="32"/>
      <c r="QSU230" s="32"/>
      <c r="QSV230" s="32"/>
      <c r="QSW230" s="32"/>
      <c r="QSX230" s="32"/>
      <c r="QSY230" s="31"/>
      <c r="QSZ230" s="31"/>
      <c r="QTA230" s="33"/>
      <c r="QTB230" s="33"/>
      <c r="QTC230" s="34"/>
      <c r="QTD230" s="34"/>
      <c r="QTE230" s="35"/>
      <c r="QTF230" s="35"/>
      <c r="QTG230" s="32"/>
      <c r="QTH230" s="31"/>
      <c r="QTI230" s="31"/>
      <c r="QTJ230" s="31"/>
      <c r="QTK230" s="32"/>
      <c r="QTL230" s="32"/>
      <c r="QTM230" s="32"/>
      <c r="QTN230" s="32"/>
      <c r="QTO230" s="32"/>
      <c r="QTP230" s="31"/>
      <c r="QTQ230" s="31"/>
      <c r="QTR230" s="33"/>
      <c r="QTS230" s="33"/>
      <c r="QTT230" s="34"/>
      <c r="QTU230" s="34"/>
      <c r="QTV230" s="35"/>
      <c r="QTW230" s="35"/>
      <c r="QTX230" s="32"/>
      <c r="QTY230" s="31"/>
      <c r="QTZ230" s="31"/>
      <c r="QUA230" s="31"/>
      <c r="QUB230" s="32"/>
      <c r="QUC230" s="32"/>
      <c r="QUD230" s="32"/>
      <c r="QUE230" s="32"/>
      <c r="QUF230" s="32"/>
      <c r="QUG230" s="31"/>
      <c r="QUH230" s="31"/>
      <c r="QUI230" s="33"/>
      <c r="QUJ230" s="33"/>
      <c r="QUK230" s="34"/>
      <c r="QUL230" s="34"/>
      <c r="QUM230" s="35"/>
      <c r="QUN230" s="35"/>
      <c r="QUO230" s="32"/>
      <c r="QUP230" s="31"/>
      <c r="QUQ230" s="31"/>
      <c r="QUR230" s="31"/>
      <c r="QUS230" s="32"/>
      <c r="QUT230" s="32"/>
      <c r="QUU230" s="32"/>
      <c r="QUV230" s="32"/>
      <c r="QUW230" s="32"/>
      <c r="QUX230" s="31"/>
      <c r="QUY230" s="31"/>
      <c r="QUZ230" s="33"/>
      <c r="QVA230" s="33"/>
      <c r="QVB230" s="34"/>
      <c r="QVC230" s="34"/>
      <c r="QVD230" s="35"/>
      <c r="QVE230" s="35"/>
      <c r="QVF230" s="32"/>
      <c r="QVG230" s="31"/>
      <c r="QVH230" s="31"/>
      <c r="QVI230" s="31"/>
      <c r="QVJ230" s="32"/>
      <c r="QVK230" s="32"/>
      <c r="QVL230" s="32"/>
      <c r="QVM230" s="32"/>
      <c r="QVN230" s="32"/>
      <c r="QVO230" s="31"/>
      <c r="QVP230" s="31"/>
      <c r="QVQ230" s="33"/>
      <c r="QVR230" s="33"/>
      <c r="QVS230" s="34"/>
      <c r="QVT230" s="34"/>
      <c r="QVU230" s="35"/>
      <c r="QVV230" s="35"/>
      <c r="QVW230" s="32"/>
      <c r="QVX230" s="31"/>
      <c r="QVY230" s="31"/>
      <c r="QVZ230" s="31"/>
      <c r="QWA230" s="32"/>
      <c r="QWB230" s="32"/>
      <c r="QWC230" s="32"/>
      <c r="QWD230" s="32"/>
      <c r="QWE230" s="32"/>
      <c r="QWF230" s="31"/>
      <c r="QWG230" s="31"/>
      <c r="QWH230" s="33"/>
      <c r="QWI230" s="33"/>
      <c r="QWJ230" s="34"/>
      <c r="QWK230" s="34"/>
      <c r="QWL230" s="35"/>
      <c r="QWM230" s="35"/>
      <c r="QWN230" s="32"/>
      <c r="QWO230" s="31"/>
      <c r="QWP230" s="31"/>
      <c r="QWQ230" s="31"/>
      <c r="QWR230" s="32"/>
      <c r="QWS230" s="32"/>
      <c r="QWT230" s="32"/>
      <c r="QWU230" s="32"/>
      <c r="QWV230" s="32"/>
      <c r="QWW230" s="31"/>
      <c r="QWX230" s="31"/>
      <c r="QWY230" s="33"/>
      <c r="QWZ230" s="33"/>
      <c r="QXA230" s="34"/>
      <c r="QXB230" s="34"/>
      <c r="QXC230" s="35"/>
      <c r="QXD230" s="35"/>
      <c r="QXE230" s="32"/>
      <c r="QXF230" s="31"/>
      <c r="QXG230" s="31"/>
      <c r="QXH230" s="31"/>
      <c r="QXI230" s="32"/>
      <c r="QXJ230" s="32"/>
      <c r="QXK230" s="32"/>
      <c r="QXL230" s="32"/>
      <c r="QXM230" s="32"/>
      <c r="QXN230" s="31"/>
      <c r="QXO230" s="31"/>
      <c r="QXP230" s="33"/>
      <c r="QXQ230" s="33"/>
      <c r="QXR230" s="34"/>
      <c r="QXS230" s="34"/>
      <c r="QXT230" s="35"/>
      <c r="QXU230" s="35"/>
      <c r="QXV230" s="32"/>
      <c r="QXW230" s="31"/>
      <c r="QXX230" s="31"/>
      <c r="QXY230" s="31"/>
      <c r="QXZ230" s="32"/>
      <c r="QYA230" s="32"/>
      <c r="QYB230" s="32"/>
      <c r="QYC230" s="32"/>
      <c r="QYD230" s="32"/>
      <c r="QYE230" s="31"/>
      <c r="QYF230" s="31"/>
      <c r="QYG230" s="33"/>
      <c r="QYH230" s="33"/>
      <c r="QYI230" s="34"/>
      <c r="QYJ230" s="34"/>
      <c r="QYK230" s="35"/>
      <c r="QYL230" s="35"/>
      <c r="QYM230" s="32"/>
      <c r="QYN230" s="31"/>
      <c r="QYO230" s="31"/>
      <c r="QYP230" s="31"/>
      <c r="QYQ230" s="32"/>
      <c r="QYR230" s="32"/>
      <c r="QYS230" s="32"/>
      <c r="QYT230" s="32"/>
      <c r="QYU230" s="32"/>
      <c r="QYV230" s="31"/>
      <c r="QYW230" s="31"/>
      <c r="QYX230" s="33"/>
      <c r="QYY230" s="33"/>
      <c r="QYZ230" s="34"/>
      <c r="QZA230" s="34"/>
      <c r="QZB230" s="35"/>
      <c r="QZC230" s="35"/>
      <c r="QZD230" s="32"/>
      <c r="QZE230" s="31"/>
      <c r="QZF230" s="31"/>
      <c r="QZG230" s="31"/>
      <c r="QZH230" s="32"/>
      <c r="QZI230" s="32"/>
      <c r="QZJ230" s="32"/>
      <c r="QZK230" s="32"/>
      <c r="QZL230" s="32"/>
      <c r="QZM230" s="31"/>
      <c r="QZN230" s="31"/>
      <c r="QZO230" s="33"/>
      <c r="QZP230" s="33"/>
      <c r="QZQ230" s="34"/>
      <c r="QZR230" s="34"/>
      <c r="QZS230" s="35"/>
      <c r="QZT230" s="35"/>
      <c r="QZU230" s="32"/>
      <c r="QZV230" s="31"/>
      <c r="QZW230" s="31"/>
      <c r="QZX230" s="31"/>
      <c r="QZY230" s="32"/>
      <c r="QZZ230" s="32"/>
      <c r="RAA230" s="32"/>
      <c r="RAB230" s="32"/>
      <c r="RAC230" s="32"/>
      <c r="RAD230" s="31"/>
      <c r="RAE230" s="31"/>
      <c r="RAF230" s="33"/>
      <c r="RAG230" s="33"/>
      <c r="RAH230" s="34"/>
      <c r="RAI230" s="34"/>
      <c r="RAJ230" s="35"/>
      <c r="RAK230" s="35"/>
      <c r="RAL230" s="32"/>
      <c r="RAM230" s="31"/>
      <c r="RAN230" s="31"/>
      <c r="RAO230" s="31"/>
      <c r="RAP230" s="32"/>
      <c r="RAQ230" s="32"/>
      <c r="RAR230" s="32"/>
      <c r="RAS230" s="32"/>
      <c r="RAT230" s="32"/>
      <c r="RAU230" s="31"/>
      <c r="RAV230" s="31"/>
      <c r="RAW230" s="33"/>
      <c r="RAX230" s="33"/>
      <c r="RAY230" s="34"/>
      <c r="RAZ230" s="34"/>
      <c r="RBA230" s="35"/>
      <c r="RBB230" s="35"/>
      <c r="RBC230" s="32"/>
      <c r="RBD230" s="31"/>
      <c r="RBE230" s="31"/>
      <c r="RBF230" s="31"/>
      <c r="RBG230" s="32"/>
      <c r="RBH230" s="32"/>
      <c r="RBI230" s="32"/>
      <c r="RBJ230" s="32"/>
      <c r="RBK230" s="32"/>
      <c r="RBL230" s="31"/>
      <c r="RBM230" s="31"/>
      <c r="RBN230" s="33"/>
      <c r="RBO230" s="33"/>
      <c r="RBP230" s="34"/>
      <c r="RBQ230" s="34"/>
      <c r="RBR230" s="35"/>
      <c r="RBS230" s="35"/>
      <c r="RBT230" s="32"/>
      <c r="RBU230" s="31"/>
      <c r="RBV230" s="31"/>
      <c r="RBW230" s="31"/>
      <c r="RBX230" s="32"/>
      <c r="RBY230" s="32"/>
      <c r="RBZ230" s="32"/>
      <c r="RCA230" s="32"/>
      <c r="RCB230" s="32"/>
      <c r="RCC230" s="31"/>
      <c r="RCD230" s="31"/>
      <c r="RCE230" s="33"/>
      <c r="RCF230" s="33"/>
      <c r="RCG230" s="34"/>
      <c r="RCH230" s="34"/>
      <c r="RCI230" s="35"/>
      <c r="RCJ230" s="35"/>
      <c r="RCK230" s="32"/>
      <c r="RCL230" s="31"/>
      <c r="RCM230" s="31"/>
      <c r="RCN230" s="31"/>
      <c r="RCO230" s="32"/>
      <c r="RCP230" s="32"/>
      <c r="RCQ230" s="32"/>
      <c r="RCR230" s="32"/>
      <c r="RCS230" s="32"/>
      <c r="RCT230" s="31"/>
      <c r="RCU230" s="31"/>
      <c r="RCV230" s="33"/>
      <c r="RCW230" s="33"/>
      <c r="RCX230" s="34"/>
      <c r="RCY230" s="34"/>
      <c r="RCZ230" s="35"/>
      <c r="RDA230" s="35"/>
      <c r="RDB230" s="32"/>
      <c r="RDC230" s="31"/>
      <c r="RDD230" s="31"/>
      <c r="RDE230" s="31"/>
      <c r="RDF230" s="32"/>
      <c r="RDG230" s="32"/>
      <c r="RDH230" s="32"/>
      <c r="RDI230" s="32"/>
      <c r="RDJ230" s="32"/>
      <c r="RDK230" s="31"/>
      <c r="RDL230" s="31"/>
      <c r="RDM230" s="33"/>
      <c r="RDN230" s="33"/>
      <c r="RDO230" s="34"/>
      <c r="RDP230" s="34"/>
      <c r="RDQ230" s="35"/>
      <c r="RDR230" s="35"/>
      <c r="RDS230" s="32"/>
      <c r="RDT230" s="31"/>
      <c r="RDU230" s="31"/>
      <c r="RDV230" s="31"/>
      <c r="RDW230" s="32"/>
      <c r="RDX230" s="32"/>
      <c r="RDY230" s="32"/>
      <c r="RDZ230" s="32"/>
      <c r="REA230" s="32"/>
      <c r="REB230" s="31"/>
      <c r="REC230" s="31"/>
      <c r="RED230" s="33"/>
      <c r="REE230" s="33"/>
      <c r="REF230" s="34"/>
      <c r="REG230" s="34"/>
      <c r="REH230" s="35"/>
      <c r="REI230" s="35"/>
      <c r="REJ230" s="32"/>
      <c r="REK230" s="31"/>
      <c r="REL230" s="31"/>
      <c r="REM230" s="31"/>
      <c r="REN230" s="32"/>
      <c r="REO230" s="32"/>
      <c r="REP230" s="32"/>
      <c r="REQ230" s="32"/>
      <c r="RER230" s="32"/>
      <c r="RES230" s="31"/>
      <c r="RET230" s="31"/>
      <c r="REU230" s="33"/>
      <c r="REV230" s="33"/>
      <c r="REW230" s="34"/>
      <c r="REX230" s="34"/>
      <c r="REY230" s="35"/>
      <c r="REZ230" s="35"/>
      <c r="RFA230" s="32"/>
      <c r="RFB230" s="31"/>
      <c r="RFC230" s="31"/>
      <c r="RFD230" s="31"/>
      <c r="RFE230" s="32"/>
      <c r="RFF230" s="32"/>
      <c r="RFG230" s="32"/>
      <c r="RFH230" s="32"/>
      <c r="RFI230" s="32"/>
      <c r="RFJ230" s="31"/>
      <c r="RFK230" s="31"/>
      <c r="RFL230" s="33"/>
      <c r="RFM230" s="33"/>
      <c r="RFN230" s="34"/>
      <c r="RFO230" s="34"/>
      <c r="RFP230" s="35"/>
      <c r="RFQ230" s="35"/>
      <c r="RFR230" s="32"/>
      <c r="RFS230" s="31"/>
      <c r="RFT230" s="31"/>
      <c r="RFU230" s="31"/>
      <c r="RFV230" s="32"/>
      <c r="RFW230" s="32"/>
      <c r="RFX230" s="32"/>
      <c r="RFY230" s="32"/>
      <c r="RFZ230" s="32"/>
      <c r="RGA230" s="31"/>
      <c r="RGB230" s="31"/>
      <c r="RGC230" s="33"/>
      <c r="RGD230" s="33"/>
      <c r="RGE230" s="34"/>
      <c r="RGF230" s="34"/>
      <c r="RGG230" s="35"/>
      <c r="RGH230" s="35"/>
      <c r="RGI230" s="32"/>
      <c r="RGJ230" s="31"/>
      <c r="RGK230" s="31"/>
      <c r="RGL230" s="31"/>
      <c r="RGM230" s="32"/>
      <c r="RGN230" s="32"/>
      <c r="RGO230" s="32"/>
      <c r="RGP230" s="32"/>
      <c r="RGQ230" s="32"/>
      <c r="RGR230" s="31"/>
      <c r="RGS230" s="31"/>
      <c r="RGT230" s="33"/>
      <c r="RGU230" s="33"/>
      <c r="RGV230" s="34"/>
      <c r="RGW230" s="34"/>
      <c r="RGX230" s="35"/>
      <c r="RGY230" s="35"/>
      <c r="RGZ230" s="32"/>
      <c r="RHA230" s="31"/>
      <c r="RHB230" s="31"/>
      <c r="RHC230" s="31"/>
      <c r="RHD230" s="32"/>
      <c r="RHE230" s="32"/>
      <c r="RHF230" s="32"/>
      <c r="RHG230" s="32"/>
      <c r="RHH230" s="32"/>
      <c r="RHI230" s="31"/>
      <c r="RHJ230" s="31"/>
      <c r="RHK230" s="33"/>
      <c r="RHL230" s="33"/>
      <c r="RHM230" s="34"/>
      <c r="RHN230" s="34"/>
      <c r="RHO230" s="35"/>
      <c r="RHP230" s="35"/>
      <c r="RHQ230" s="32"/>
      <c r="RHR230" s="31"/>
      <c r="RHS230" s="31"/>
      <c r="RHT230" s="31"/>
      <c r="RHU230" s="32"/>
      <c r="RHV230" s="32"/>
      <c r="RHW230" s="32"/>
      <c r="RHX230" s="32"/>
      <c r="RHY230" s="32"/>
      <c r="RHZ230" s="31"/>
      <c r="RIA230" s="31"/>
      <c r="RIB230" s="33"/>
      <c r="RIC230" s="33"/>
      <c r="RID230" s="34"/>
      <c r="RIE230" s="34"/>
      <c r="RIF230" s="35"/>
      <c r="RIG230" s="35"/>
      <c r="RIH230" s="32"/>
      <c r="RII230" s="31"/>
      <c r="RIJ230" s="31"/>
      <c r="RIK230" s="31"/>
      <c r="RIL230" s="32"/>
      <c r="RIM230" s="32"/>
      <c r="RIN230" s="32"/>
      <c r="RIO230" s="32"/>
      <c r="RIP230" s="32"/>
      <c r="RIQ230" s="31"/>
      <c r="RIR230" s="31"/>
      <c r="RIS230" s="33"/>
      <c r="RIT230" s="33"/>
      <c r="RIU230" s="34"/>
      <c r="RIV230" s="34"/>
      <c r="RIW230" s="35"/>
      <c r="RIX230" s="35"/>
      <c r="RIY230" s="32"/>
      <c r="RIZ230" s="31"/>
      <c r="RJA230" s="31"/>
      <c r="RJB230" s="31"/>
      <c r="RJC230" s="32"/>
      <c r="RJD230" s="32"/>
      <c r="RJE230" s="32"/>
      <c r="RJF230" s="32"/>
      <c r="RJG230" s="32"/>
      <c r="RJH230" s="31"/>
      <c r="RJI230" s="31"/>
      <c r="RJJ230" s="33"/>
      <c r="RJK230" s="33"/>
      <c r="RJL230" s="34"/>
      <c r="RJM230" s="34"/>
      <c r="RJN230" s="35"/>
      <c r="RJO230" s="35"/>
      <c r="RJP230" s="32"/>
      <c r="RJQ230" s="31"/>
      <c r="RJR230" s="31"/>
      <c r="RJS230" s="31"/>
      <c r="RJT230" s="32"/>
      <c r="RJU230" s="32"/>
      <c r="RJV230" s="32"/>
      <c r="RJW230" s="32"/>
      <c r="RJX230" s="32"/>
      <c r="RJY230" s="31"/>
      <c r="RJZ230" s="31"/>
      <c r="RKA230" s="33"/>
      <c r="RKB230" s="33"/>
      <c r="RKC230" s="34"/>
      <c r="RKD230" s="34"/>
      <c r="RKE230" s="35"/>
      <c r="RKF230" s="35"/>
      <c r="RKG230" s="32"/>
      <c r="RKH230" s="31"/>
      <c r="RKI230" s="31"/>
      <c r="RKJ230" s="31"/>
      <c r="RKK230" s="32"/>
      <c r="RKL230" s="32"/>
      <c r="RKM230" s="32"/>
      <c r="RKN230" s="32"/>
      <c r="RKO230" s="32"/>
      <c r="RKP230" s="31"/>
      <c r="RKQ230" s="31"/>
      <c r="RKR230" s="33"/>
      <c r="RKS230" s="33"/>
      <c r="RKT230" s="34"/>
      <c r="RKU230" s="34"/>
      <c r="RKV230" s="35"/>
      <c r="RKW230" s="35"/>
      <c r="RKX230" s="32"/>
      <c r="RKY230" s="31"/>
      <c r="RKZ230" s="31"/>
      <c r="RLA230" s="31"/>
      <c r="RLB230" s="32"/>
      <c r="RLC230" s="32"/>
      <c r="RLD230" s="32"/>
      <c r="RLE230" s="32"/>
      <c r="RLF230" s="32"/>
      <c r="RLG230" s="31"/>
      <c r="RLH230" s="31"/>
      <c r="RLI230" s="33"/>
      <c r="RLJ230" s="33"/>
      <c r="RLK230" s="34"/>
      <c r="RLL230" s="34"/>
      <c r="RLM230" s="35"/>
      <c r="RLN230" s="35"/>
      <c r="RLO230" s="32"/>
      <c r="RLP230" s="31"/>
      <c r="RLQ230" s="31"/>
      <c r="RLR230" s="31"/>
      <c r="RLS230" s="32"/>
      <c r="RLT230" s="32"/>
      <c r="RLU230" s="32"/>
      <c r="RLV230" s="32"/>
      <c r="RLW230" s="32"/>
      <c r="RLX230" s="31"/>
      <c r="RLY230" s="31"/>
      <c r="RLZ230" s="33"/>
      <c r="RMA230" s="33"/>
      <c r="RMB230" s="34"/>
      <c r="RMC230" s="34"/>
      <c r="RMD230" s="35"/>
      <c r="RME230" s="35"/>
      <c r="RMF230" s="32"/>
      <c r="RMG230" s="31"/>
      <c r="RMH230" s="31"/>
      <c r="RMI230" s="31"/>
      <c r="RMJ230" s="32"/>
      <c r="RMK230" s="32"/>
      <c r="RML230" s="32"/>
      <c r="RMM230" s="32"/>
      <c r="RMN230" s="32"/>
      <c r="RMO230" s="31"/>
      <c r="RMP230" s="31"/>
      <c r="RMQ230" s="33"/>
      <c r="RMR230" s="33"/>
      <c r="RMS230" s="34"/>
      <c r="RMT230" s="34"/>
      <c r="RMU230" s="35"/>
      <c r="RMV230" s="35"/>
      <c r="RMW230" s="32"/>
      <c r="RMX230" s="31"/>
      <c r="RMY230" s="31"/>
      <c r="RMZ230" s="31"/>
      <c r="RNA230" s="32"/>
      <c r="RNB230" s="32"/>
      <c r="RNC230" s="32"/>
      <c r="RND230" s="32"/>
      <c r="RNE230" s="32"/>
      <c r="RNF230" s="31"/>
      <c r="RNG230" s="31"/>
      <c r="RNH230" s="33"/>
      <c r="RNI230" s="33"/>
      <c r="RNJ230" s="34"/>
      <c r="RNK230" s="34"/>
      <c r="RNL230" s="35"/>
      <c r="RNM230" s="35"/>
      <c r="RNN230" s="32"/>
      <c r="RNO230" s="31"/>
      <c r="RNP230" s="31"/>
      <c r="RNQ230" s="31"/>
      <c r="RNR230" s="32"/>
      <c r="RNS230" s="32"/>
      <c r="RNT230" s="32"/>
      <c r="RNU230" s="32"/>
      <c r="RNV230" s="32"/>
      <c r="RNW230" s="31"/>
      <c r="RNX230" s="31"/>
      <c r="RNY230" s="33"/>
      <c r="RNZ230" s="33"/>
      <c r="ROA230" s="34"/>
      <c r="ROB230" s="34"/>
      <c r="ROC230" s="35"/>
      <c r="ROD230" s="35"/>
      <c r="ROE230" s="32"/>
      <c r="ROF230" s="31"/>
      <c r="ROG230" s="31"/>
      <c r="ROH230" s="31"/>
      <c r="ROI230" s="32"/>
      <c r="ROJ230" s="32"/>
      <c r="ROK230" s="32"/>
      <c r="ROL230" s="32"/>
      <c r="ROM230" s="32"/>
      <c r="RON230" s="31"/>
      <c r="ROO230" s="31"/>
      <c r="ROP230" s="33"/>
      <c r="ROQ230" s="33"/>
      <c r="ROR230" s="34"/>
      <c r="ROS230" s="34"/>
      <c r="ROT230" s="35"/>
      <c r="ROU230" s="35"/>
      <c r="ROV230" s="32"/>
      <c r="ROW230" s="31"/>
      <c r="ROX230" s="31"/>
      <c r="ROY230" s="31"/>
      <c r="ROZ230" s="32"/>
      <c r="RPA230" s="32"/>
      <c r="RPB230" s="32"/>
      <c r="RPC230" s="32"/>
      <c r="RPD230" s="32"/>
      <c r="RPE230" s="31"/>
      <c r="RPF230" s="31"/>
      <c r="RPG230" s="33"/>
      <c r="RPH230" s="33"/>
      <c r="RPI230" s="34"/>
      <c r="RPJ230" s="34"/>
      <c r="RPK230" s="35"/>
      <c r="RPL230" s="35"/>
      <c r="RPM230" s="32"/>
      <c r="RPN230" s="31"/>
      <c r="RPO230" s="31"/>
      <c r="RPP230" s="31"/>
      <c r="RPQ230" s="32"/>
      <c r="RPR230" s="32"/>
      <c r="RPS230" s="32"/>
      <c r="RPT230" s="32"/>
      <c r="RPU230" s="32"/>
      <c r="RPV230" s="31"/>
      <c r="RPW230" s="31"/>
      <c r="RPX230" s="33"/>
      <c r="RPY230" s="33"/>
      <c r="RPZ230" s="34"/>
      <c r="RQA230" s="34"/>
      <c r="RQB230" s="35"/>
      <c r="RQC230" s="35"/>
      <c r="RQD230" s="32"/>
      <c r="RQE230" s="31"/>
      <c r="RQF230" s="31"/>
      <c r="RQG230" s="31"/>
      <c r="RQH230" s="32"/>
      <c r="RQI230" s="32"/>
      <c r="RQJ230" s="32"/>
      <c r="RQK230" s="32"/>
      <c r="RQL230" s="32"/>
      <c r="RQM230" s="31"/>
      <c r="RQN230" s="31"/>
      <c r="RQO230" s="33"/>
      <c r="RQP230" s="33"/>
      <c r="RQQ230" s="34"/>
      <c r="RQR230" s="34"/>
      <c r="RQS230" s="35"/>
      <c r="RQT230" s="35"/>
      <c r="RQU230" s="32"/>
      <c r="RQV230" s="31"/>
      <c r="RQW230" s="31"/>
      <c r="RQX230" s="31"/>
      <c r="RQY230" s="32"/>
      <c r="RQZ230" s="32"/>
      <c r="RRA230" s="32"/>
      <c r="RRB230" s="32"/>
      <c r="RRC230" s="32"/>
      <c r="RRD230" s="31"/>
      <c r="RRE230" s="31"/>
      <c r="RRF230" s="33"/>
      <c r="RRG230" s="33"/>
      <c r="RRH230" s="34"/>
      <c r="RRI230" s="34"/>
      <c r="RRJ230" s="35"/>
      <c r="RRK230" s="35"/>
      <c r="RRL230" s="32"/>
      <c r="RRM230" s="31"/>
      <c r="RRN230" s="31"/>
      <c r="RRO230" s="31"/>
      <c r="RRP230" s="32"/>
      <c r="RRQ230" s="32"/>
      <c r="RRR230" s="32"/>
      <c r="RRS230" s="32"/>
      <c r="RRT230" s="32"/>
      <c r="RRU230" s="31"/>
      <c r="RRV230" s="31"/>
      <c r="RRW230" s="33"/>
      <c r="RRX230" s="33"/>
      <c r="RRY230" s="34"/>
      <c r="RRZ230" s="34"/>
      <c r="RSA230" s="35"/>
      <c r="RSB230" s="35"/>
      <c r="RSC230" s="32"/>
      <c r="RSD230" s="31"/>
      <c r="RSE230" s="31"/>
      <c r="RSF230" s="31"/>
      <c r="RSG230" s="32"/>
      <c r="RSH230" s="32"/>
      <c r="RSI230" s="32"/>
      <c r="RSJ230" s="32"/>
      <c r="RSK230" s="32"/>
      <c r="RSL230" s="31"/>
      <c r="RSM230" s="31"/>
      <c r="RSN230" s="33"/>
      <c r="RSO230" s="33"/>
      <c r="RSP230" s="34"/>
      <c r="RSQ230" s="34"/>
      <c r="RSR230" s="35"/>
      <c r="RSS230" s="35"/>
      <c r="RST230" s="32"/>
      <c r="RSU230" s="31"/>
      <c r="RSV230" s="31"/>
      <c r="RSW230" s="31"/>
      <c r="RSX230" s="32"/>
      <c r="RSY230" s="32"/>
      <c r="RSZ230" s="32"/>
      <c r="RTA230" s="32"/>
      <c r="RTB230" s="32"/>
      <c r="RTC230" s="31"/>
      <c r="RTD230" s="31"/>
      <c r="RTE230" s="33"/>
      <c r="RTF230" s="33"/>
      <c r="RTG230" s="34"/>
      <c r="RTH230" s="34"/>
      <c r="RTI230" s="35"/>
      <c r="RTJ230" s="35"/>
      <c r="RTK230" s="32"/>
      <c r="RTL230" s="31"/>
      <c r="RTM230" s="31"/>
      <c r="RTN230" s="31"/>
      <c r="RTO230" s="32"/>
      <c r="RTP230" s="32"/>
      <c r="RTQ230" s="32"/>
      <c r="RTR230" s="32"/>
      <c r="RTS230" s="32"/>
      <c r="RTT230" s="31"/>
      <c r="RTU230" s="31"/>
      <c r="RTV230" s="33"/>
      <c r="RTW230" s="33"/>
      <c r="RTX230" s="34"/>
      <c r="RTY230" s="34"/>
      <c r="RTZ230" s="35"/>
      <c r="RUA230" s="35"/>
      <c r="RUB230" s="32"/>
      <c r="RUC230" s="31"/>
      <c r="RUD230" s="31"/>
      <c r="RUE230" s="31"/>
      <c r="RUF230" s="32"/>
      <c r="RUG230" s="32"/>
      <c r="RUH230" s="32"/>
      <c r="RUI230" s="32"/>
      <c r="RUJ230" s="32"/>
      <c r="RUK230" s="31"/>
      <c r="RUL230" s="31"/>
      <c r="RUM230" s="33"/>
      <c r="RUN230" s="33"/>
      <c r="RUO230" s="34"/>
      <c r="RUP230" s="34"/>
      <c r="RUQ230" s="35"/>
      <c r="RUR230" s="35"/>
      <c r="RUS230" s="32"/>
      <c r="RUT230" s="31"/>
      <c r="RUU230" s="31"/>
      <c r="RUV230" s="31"/>
      <c r="RUW230" s="32"/>
      <c r="RUX230" s="32"/>
      <c r="RUY230" s="32"/>
      <c r="RUZ230" s="32"/>
      <c r="RVA230" s="32"/>
      <c r="RVB230" s="31"/>
      <c r="RVC230" s="31"/>
      <c r="RVD230" s="33"/>
      <c r="RVE230" s="33"/>
      <c r="RVF230" s="34"/>
      <c r="RVG230" s="34"/>
      <c r="RVH230" s="35"/>
      <c r="RVI230" s="35"/>
      <c r="RVJ230" s="32"/>
      <c r="RVK230" s="31"/>
      <c r="RVL230" s="31"/>
      <c r="RVM230" s="31"/>
      <c r="RVN230" s="32"/>
      <c r="RVO230" s="32"/>
      <c r="RVP230" s="32"/>
      <c r="RVQ230" s="32"/>
      <c r="RVR230" s="32"/>
      <c r="RVS230" s="31"/>
      <c r="RVT230" s="31"/>
      <c r="RVU230" s="33"/>
      <c r="RVV230" s="33"/>
      <c r="RVW230" s="34"/>
      <c r="RVX230" s="34"/>
      <c r="RVY230" s="35"/>
      <c r="RVZ230" s="35"/>
      <c r="RWA230" s="32"/>
      <c r="RWB230" s="31"/>
      <c r="RWC230" s="31"/>
      <c r="RWD230" s="31"/>
      <c r="RWE230" s="32"/>
      <c r="RWF230" s="32"/>
      <c r="RWG230" s="32"/>
      <c r="RWH230" s="32"/>
      <c r="RWI230" s="32"/>
      <c r="RWJ230" s="31"/>
      <c r="RWK230" s="31"/>
      <c r="RWL230" s="33"/>
      <c r="RWM230" s="33"/>
      <c r="RWN230" s="34"/>
      <c r="RWO230" s="34"/>
      <c r="RWP230" s="35"/>
      <c r="RWQ230" s="35"/>
      <c r="RWR230" s="32"/>
      <c r="RWS230" s="31"/>
      <c r="RWT230" s="31"/>
      <c r="RWU230" s="31"/>
      <c r="RWV230" s="32"/>
      <c r="RWW230" s="32"/>
      <c r="RWX230" s="32"/>
      <c r="RWY230" s="32"/>
      <c r="RWZ230" s="32"/>
      <c r="RXA230" s="31"/>
      <c r="RXB230" s="31"/>
      <c r="RXC230" s="33"/>
      <c r="RXD230" s="33"/>
      <c r="RXE230" s="34"/>
      <c r="RXF230" s="34"/>
      <c r="RXG230" s="35"/>
      <c r="RXH230" s="35"/>
      <c r="RXI230" s="32"/>
      <c r="RXJ230" s="31"/>
      <c r="RXK230" s="31"/>
      <c r="RXL230" s="31"/>
      <c r="RXM230" s="32"/>
      <c r="RXN230" s="32"/>
      <c r="RXO230" s="32"/>
      <c r="RXP230" s="32"/>
      <c r="RXQ230" s="32"/>
      <c r="RXR230" s="31"/>
      <c r="RXS230" s="31"/>
      <c r="RXT230" s="33"/>
      <c r="RXU230" s="33"/>
      <c r="RXV230" s="34"/>
      <c r="RXW230" s="34"/>
      <c r="RXX230" s="35"/>
      <c r="RXY230" s="35"/>
      <c r="RXZ230" s="32"/>
      <c r="RYA230" s="31"/>
      <c r="RYB230" s="31"/>
      <c r="RYC230" s="31"/>
      <c r="RYD230" s="32"/>
      <c r="RYE230" s="32"/>
      <c r="RYF230" s="32"/>
      <c r="RYG230" s="32"/>
      <c r="RYH230" s="32"/>
      <c r="RYI230" s="31"/>
      <c r="RYJ230" s="31"/>
      <c r="RYK230" s="33"/>
      <c r="RYL230" s="33"/>
      <c r="RYM230" s="34"/>
      <c r="RYN230" s="34"/>
      <c r="RYO230" s="35"/>
      <c r="RYP230" s="35"/>
      <c r="RYQ230" s="32"/>
      <c r="RYR230" s="31"/>
      <c r="RYS230" s="31"/>
      <c r="RYT230" s="31"/>
      <c r="RYU230" s="32"/>
      <c r="RYV230" s="32"/>
      <c r="RYW230" s="32"/>
      <c r="RYX230" s="32"/>
      <c r="RYY230" s="32"/>
      <c r="RYZ230" s="31"/>
      <c r="RZA230" s="31"/>
      <c r="RZB230" s="33"/>
      <c r="RZC230" s="33"/>
      <c r="RZD230" s="34"/>
      <c r="RZE230" s="34"/>
      <c r="RZF230" s="35"/>
      <c r="RZG230" s="35"/>
      <c r="RZH230" s="32"/>
      <c r="RZI230" s="31"/>
      <c r="RZJ230" s="31"/>
      <c r="RZK230" s="31"/>
      <c r="RZL230" s="32"/>
      <c r="RZM230" s="32"/>
      <c r="RZN230" s="32"/>
      <c r="RZO230" s="32"/>
      <c r="RZP230" s="32"/>
      <c r="RZQ230" s="31"/>
      <c r="RZR230" s="31"/>
      <c r="RZS230" s="33"/>
      <c r="RZT230" s="33"/>
      <c r="RZU230" s="34"/>
      <c r="RZV230" s="34"/>
      <c r="RZW230" s="35"/>
      <c r="RZX230" s="35"/>
      <c r="RZY230" s="32"/>
      <c r="RZZ230" s="31"/>
      <c r="SAA230" s="31"/>
      <c r="SAB230" s="31"/>
      <c r="SAC230" s="32"/>
      <c r="SAD230" s="32"/>
      <c r="SAE230" s="32"/>
      <c r="SAF230" s="32"/>
      <c r="SAG230" s="32"/>
      <c r="SAH230" s="31"/>
      <c r="SAI230" s="31"/>
      <c r="SAJ230" s="33"/>
      <c r="SAK230" s="33"/>
      <c r="SAL230" s="34"/>
      <c r="SAM230" s="34"/>
      <c r="SAN230" s="35"/>
      <c r="SAO230" s="35"/>
      <c r="SAP230" s="32"/>
      <c r="SAQ230" s="31"/>
      <c r="SAR230" s="31"/>
      <c r="SAS230" s="31"/>
      <c r="SAT230" s="32"/>
      <c r="SAU230" s="32"/>
      <c r="SAV230" s="32"/>
      <c r="SAW230" s="32"/>
      <c r="SAX230" s="32"/>
      <c r="SAY230" s="31"/>
      <c r="SAZ230" s="31"/>
      <c r="SBA230" s="33"/>
      <c r="SBB230" s="33"/>
      <c r="SBC230" s="34"/>
      <c r="SBD230" s="34"/>
      <c r="SBE230" s="35"/>
      <c r="SBF230" s="35"/>
      <c r="SBG230" s="32"/>
      <c r="SBH230" s="31"/>
      <c r="SBI230" s="31"/>
      <c r="SBJ230" s="31"/>
      <c r="SBK230" s="32"/>
      <c r="SBL230" s="32"/>
      <c r="SBM230" s="32"/>
      <c r="SBN230" s="32"/>
      <c r="SBO230" s="32"/>
      <c r="SBP230" s="31"/>
      <c r="SBQ230" s="31"/>
      <c r="SBR230" s="33"/>
      <c r="SBS230" s="33"/>
      <c r="SBT230" s="34"/>
      <c r="SBU230" s="34"/>
      <c r="SBV230" s="35"/>
      <c r="SBW230" s="35"/>
      <c r="SBX230" s="32"/>
      <c r="SBY230" s="31"/>
      <c r="SBZ230" s="31"/>
      <c r="SCA230" s="31"/>
      <c r="SCB230" s="32"/>
      <c r="SCC230" s="32"/>
      <c r="SCD230" s="32"/>
      <c r="SCE230" s="32"/>
      <c r="SCF230" s="32"/>
      <c r="SCG230" s="31"/>
      <c r="SCH230" s="31"/>
      <c r="SCI230" s="33"/>
      <c r="SCJ230" s="33"/>
      <c r="SCK230" s="34"/>
      <c r="SCL230" s="34"/>
      <c r="SCM230" s="35"/>
      <c r="SCN230" s="35"/>
      <c r="SCO230" s="32"/>
      <c r="SCP230" s="31"/>
      <c r="SCQ230" s="31"/>
      <c r="SCR230" s="31"/>
      <c r="SCS230" s="32"/>
      <c r="SCT230" s="32"/>
      <c r="SCU230" s="32"/>
      <c r="SCV230" s="32"/>
      <c r="SCW230" s="32"/>
      <c r="SCX230" s="31"/>
      <c r="SCY230" s="31"/>
      <c r="SCZ230" s="33"/>
      <c r="SDA230" s="33"/>
      <c r="SDB230" s="34"/>
      <c r="SDC230" s="34"/>
      <c r="SDD230" s="35"/>
      <c r="SDE230" s="35"/>
      <c r="SDF230" s="32"/>
      <c r="SDG230" s="31"/>
      <c r="SDH230" s="31"/>
      <c r="SDI230" s="31"/>
      <c r="SDJ230" s="32"/>
      <c r="SDK230" s="32"/>
      <c r="SDL230" s="32"/>
      <c r="SDM230" s="32"/>
      <c r="SDN230" s="32"/>
      <c r="SDO230" s="31"/>
      <c r="SDP230" s="31"/>
      <c r="SDQ230" s="33"/>
      <c r="SDR230" s="33"/>
      <c r="SDS230" s="34"/>
      <c r="SDT230" s="34"/>
      <c r="SDU230" s="35"/>
      <c r="SDV230" s="35"/>
      <c r="SDW230" s="32"/>
      <c r="SDX230" s="31"/>
      <c r="SDY230" s="31"/>
      <c r="SDZ230" s="31"/>
      <c r="SEA230" s="32"/>
      <c r="SEB230" s="32"/>
      <c r="SEC230" s="32"/>
      <c r="SED230" s="32"/>
      <c r="SEE230" s="32"/>
      <c r="SEF230" s="31"/>
      <c r="SEG230" s="31"/>
      <c r="SEH230" s="33"/>
      <c r="SEI230" s="33"/>
      <c r="SEJ230" s="34"/>
      <c r="SEK230" s="34"/>
      <c r="SEL230" s="35"/>
      <c r="SEM230" s="35"/>
      <c r="SEN230" s="32"/>
      <c r="SEO230" s="31"/>
      <c r="SEP230" s="31"/>
      <c r="SEQ230" s="31"/>
      <c r="SER230" s="32"/>
      <c r="SES230" s="32"/>
      <c r="SET230" s="32"/>
      <c r="SEU230" s="32"/>
      <c r="SEV230" s="32"/>
      <c r="SEW230" s="31"/>
      <c r="SEX230" s="31"/>
      <c r="SEY230" s="33"/>
      <c r="SEZ230" s="33"/>
      <c r="SFA230" s="34"/>
      <c r="SFB230" s="34"/>
      <c r="SFC230" s="35"/>
      <c r="SFD230" s="35"/>
      <c r="SFE230" s="32"/>
      <c r="SFF230" s="31"/>
      <c r="SFG230" s="31"/>
      <c r="SFH230" s="31"/>
      <c r="SFI230" s="32"/>
      <c r="SFJ230" s="32"/>
      <c r="SFK230" s="32"/>
      <c r="SFL230" s="32"/>
      <c r="SFM230" s="32"/>
      <c r="SFN230" s="31"/>
      <c r="SFO230" s="31"/>
      <c r="SFP230" s="33"/>
      <c r="SFQ230" s="33"/>
      <c r="SFR230" s="34"/>
      <c r="SFS230" s="34"/>
      <c r="SFT230" s="35"/>
      <c r="SFU230" s="35"/>
      <c r="SFV230" s="32"/>
      <c r="SFW230" s="31"/>
      <c r="SFX230" s="31"/>
      <c r="SFY230" s="31"/>
      <c r="SFZ230" s="32"/>
      <c r="SGA230" s="32"/>
      <c r="SGB230" s="32"/>
      <c r="SGC230" s="32"/>
      <c r="SGD230" s="32"/>
      <c r="SGE230" s="31"/>
      <c r="SGF230" s="31"/>
      <c r="SGG230" s="33"/>
      <c r="SGH230" s="33"/>
      <c r="SGI230" s="34"/>
      <c r="SGJ230" s="34"/>
      <c r="SGK230" s="35"/>
      <c r="SGL230" s="35"/>
      <c r="SGM230" s="32"/>
      <c r="SGN230" s="31"/>
      <c r="SGO230" s="31"/>
      <c r="SGP230" s="31"/>
      <c r="SGQ230" s="32"/>
      <c r="SGR230" s="32"/>
      <c r="SGS230" s="32"/>
      <c r="SGT230" s="32"/>
      <c r="SGU230" s="32"/>
      <c r="SGV230" s="31"/>
      <c r="SGW230" s="31"/>
      <c r="SGX230" s="33"/>
      <c r="SGY230" s="33"/>
      <c r="SGZ230" s="34"/>
      <c r="SHA230" s="34"/>
      <c r="SHB230" s="35"/>
      <c r="SHC230" s="35"/>
      <c r="SHD230" s="32"/>
      <c r="SHE230" s="31"/>
      <c r="SHF230" s="31"/>
      <c r="SHG230" s="31"/>
      <c r="SHH230" s="32"/>
      <c r="SHI230" s="32"/>
      <c r="SHJ230" s="32"/>
      <c r="SHK230" s="32"/>
      <c r="SHL230" s="32"/>
      <c r="SHM230" s="31"/>
      <c r="SHN230" s="31"/>
      <c r="SHO230" s="33"/>
      <c r="SHP230" s="33"/>
      <c r="SHQ230" s="34"/>
      <c r="SHR230" s="34"/>
      <c r="SHS230" s="35"/>
      <c r="SHT230" s="35"/>
      <c r="SHU230" s="32"/>
      <c r="SHV230" s="31"/>
      <c r="SHW230" s="31"/>
      <c r="SHX230" s="31"/>
      <c r="SHY230" s="32"/>
      <c r="SHZ230" s="32"/>
      <c r="SIA230" s="32"/>
      <c r="SIB230" s="32"/>
      <c r="SIC230" s="32"/>
      <c r="SID230" s="31"/>
      <c r="SIE230" s="31"/>
      <c r="SIF230" s="33"/>
      <c r="SIG230" s="33"/>
      <c r="SIH230" s="34"/>
      <c r="SII230" s="34"/>
      <c r="SIJ230" s="35"/>
      <c r="SIK230" s="35"/>
      <c r="SIL230" s="32"/>
      <c r="SIM230" s="31"/>
      <c r="SIN230" s="31"/>
      <c r="SIO230" s="31"/>
      <c r="SIP230" s="32"/>
      <c r="SIQ230" s="32"/>
      <c r="SIR230" s="32"/>
      <c r="SIS230" s="32"/>
      <c r="SIT230" s="32"/>
      <c r="SIU230" s="31"/>
      <c r="SIV230" s="31"/>
      <c r="SIW230" s="33"/>
      <c r="SIX230" s="33"/>
      <c r="SIY230" s="34"/>
      <c r="SIZ230" s="34"/>
      <c r="SJA230" s="35"/>
      <c r="SJB230" s="35"/>
      <c r="SJC230" s="32"/>
      <c r="SJD230" s="31"/>
      <c r="SJE230" s="31"/>
      <c r="SJF230" s="31"/>
      <c r="SJG230" s="32"/>
      <c r="SJH230" s="32"/>
      <c r="SJI230" s="32"/>
      <c r="SJJ230" s="32"/>
      <c r="SJK230" s="32"/>
      <c r="SJL230" s="31"/>
      <c r="SJM230" s="31"/>
      <c r="SJN230" s="33"/>
      <c r="SJO230" s="33"/>
      <c r="SJP230" s="34"/>
      <c r="SJQ230" s="34"/>
      <c r="SJR230" s="35"/>
      <c r="SJS230" s="35"/>
      <c r="SJT230" s="32"/>
      <c r="SJU230" s="31"/>
      <c r="SJV230" s="31"/>
      <c r="SJW230" s="31"/>
      <c r="SJX230" s="32"/>
      <c r="SJY230" s="32"/>
      <c r="SJZ230" s="32"/>
      <c r="SKA230" s="32"/>
      <c r="SKB230" s="32"/>
      <c r="SKC230" s="31"/>
      <c r="SKD230" s="31"/>
      <c r="SKE230" s="33"/>
      <c r="SKF230" s="33"/>
      <c r="SKG230" s="34"/>
      <c r="SKH230" s="34"/>
      <c r="SKI230" s="35"/>
      <c r="SKJ230" s="35"/>
      <c r="SKK230" s="32"/>
      <c r="SKL230" s="31"/>
      <c r="SKM230" s="31"/>
      <c r="SKN230" s="31"/>
      <c r="SKO230" s="32"/>
      <c r="SKP230" s="32"/>
      <c r="SKQ230" s="32"/>
      <c r="SKR230" s="32"/>
      <c r="SKS230" s="32"/>
      <c r="SKT230" s="31"/>
      <c r="SKU230" s="31"/>
      <c r="SKV230" s="33"/>
      <c r="SKW230" s="33"/>
      <c r="SKX230" s="34"/>
      <c r="SKY230" s="34"/>
      <c r="SKZ230" s="35"/>
      <c r="SLA230" s="35"/>
      <c r="SLB230" s="32"/>
      <c r="SLC230" s="31"/>
      <c r="SLD230" s="31"/>
      <c r="SLE230" s="31"/>
      <c r="SLF230" s="32"/>
      <c r="SLG230" s="32"/>
      <c r="SLH230" s="32"/>
      <c r="SLI230" s="32"/>
      <c r="SLJ230" s="32"/>
      <c r="SLK230" s="31"/>
      <c r="SLL230" s="31"/>
      <c r="SLM230" s="33"/>
      <c r="SLN230" s="33"/>
      <c r="SLO230" s="34"/>
      <c r="SLP230" s="34"/>
      <c r="SLQ230" s="35"/>
      <c r="SLR230" s="35"/>
      <c r="SLS230" s="32"/>
      <c r="SLT230" s="31"/>
      <c r="SLU230" s="31"/>
      <c r="SLV230" s="31"/>
      <c r="SLW230" s="32"/>
      <c r="SLX230" s="32"/>
      <c r="SLY230" s="32"/>
      <c r="SLZ230" s="32"/>
      <c r="SMA230" s="32"/>
      <c r="SMB230" s="31"/>
      <c r="SMC230" s="31"/>
      <c r="SMD230" s="33"/>
      <c r="SME230" s="33"/>
      <c r="SMF230" s="34"/>
      <c r="SMG230" s="34"/>
      <c r="SMH230" s="35"/>
      <c r="SMI230" s="35"/>
      <c r="SMJ230" s="32"/>
      <c r="SMK230" s="31"/>
      <c r="SML230" s="31"/>
      <c r="SMM230" s="31"/>
      <c r="SMN230" s="32"/>
      <c r="SMO230" s="32"/>
      <c r="SMP230" s="32"/>
      <c r="SMQ230" s="32"/>
      <c r="SMR230" s="32"/>
      <c r="SMS230" s="31"/>
      <c r="SMT230" s="31"/>
      <c r="SMU230" s="33"/>
      <c r="SMV230" s="33"/>
      <c r="SMW230" s="34"/>
      <c r="SMX230" s="34"/>
      <c r="SMY230" s="35"/>
      <c r="SMZ230" s="35"/>
      <c r="SNA230" s="32"/>
      <c r="SNB230" s="31"/>
      <c r="SNC230" s="31"/>
      <c r="SND230" s="31"/>
      <c r="SNE230" s="32"/>
      <c r="SNF230" s="32"/>
      <c r="SNG230" s="32"/>
      <c r="SNH230" s="32"/>
      <c r="SNI230" s="32"/>
      <c r="SNJ230" s="31"/>
      <c r="SNK230" s="31"/>
      <c r="SNL230" s="33"/>
      <c r="SNM230" s="33"/>
      <c r="SNN230" s="34"/>
      <c r="SNO230" s="34"/>
      <c r="SNP230" s="35"/>
      <c r="SNQ230" s="35"/>
      <c r="SNR230" s="32"/>
      <c r="SNS230" s="31"/>
      <c r="SNT230" s="31"/>
      <c r="SNU230" s="31"/>
      <c r="SNV230" s="32"/>
      <c r="SNW230" s="32"/>
      <c r="SNX230" s="32"/>
      <c r="SNY230" s="32"/>
      <c r="SNZ230" s="32"/>
      <c r="SOA230" s="31"/>
      <c r="SOB230" s="31"/>
      <c r="SOC230" s="33"/>
      <c r="SOD230" s="33"/>
      <c r="SOE230" s="34"/>
      <c r="SOF230" s="34"/>
      <c r="SOG230" s="35"/>
      <c r="SOH230" s="35"/>
      <c r="SOI230" s="32"/>
      <c r="SOJ230" s="31"/>
      <c r="SOK230" s="31"/>
      <c r="SOL230" s="31"/>
      <c r="SOM230" s="32"/>
      <c r="SON230" s="32"/>
      <c r="SOO230" s="32"/>
      <c r="SOP230" s="32"/>
      <c r="SOQ230" s="32"/>
      <c r="SOR230" s="31"/>
      <c r="SOS230" s="31"/>
      <c r="SOT230" s="33"/>
      <c r="SOU230" s="33"/>
      <c r="SOV230" s="34"/>
      <c r="SOW230" s="34"/>
      <c r="SOX230" s="35"/>
      <c r="SOY230" s="35"/>
      <c r="SOZ230" s="32"/>
      <c r="SPA230" s="31"/>
      <c r="SPB230" s="31"/>
      <c r="SPC230" s="31"/>
      <c r="SPD230" s="32"/>
      <c r="SPE230" s="32"/>
      <c r="SPF230" s="32"/>
      <c r="SPG230" s="32"/>
      <c r="SPH230" s="32"/>
      <c r="SPI230" s="31"/>
      <c r="SPJ230" s="31"/>
      <c r="SPK230" s="33"/>
      <c r="SPL230" s="33"/>
      <c r="SPM230" s="34"/>
      <c r="SPN230" s="34"/>
      <c r="SPO230" s="35"/>
      <c r="SPP230" s="35"/>
      <c r="SPQ230" s="32"/>
      <c r="SPR230" s="31"/>
      <c r="SPS230" s="31"/>
      <c r="SPT230" s="31"/>
      <c r="SPU230" s="32"/>
      <c r="SPV230" s="32"/>
      <c r="SPW230" s="32"/>
      <c r="SPX230" s="32"/>
      <c r="SPY230" s="32"/>
      <c r="SPZ230" s="31"/>
      <c r="SQA230" s="31"/>
      <c r="SQB230" s="33"/>
      <c r="SQC230" s="33"/>
      <c r="SQD230" s="34"/>
      <c r="SQE230" s="34"/>
      <c r="SQF230" s="35"/>
      <c r="SQG230" s="35"/>
      <c r="SQH230" s="32"/>
      <c r="SQI230" s="31"/>
      <c r="SQJ230" s="31"/>
      <c r="SQK230" s="31"/>
      <c r="SQL230" s="32"/>
      <c r="SQM230" s="32"/>
      <c r="SQN230" s="32"/>
      <c r="SQO230" s="32"/>
      <c r="SQP230" s="32"/>
      <c r="SQQ230" s="31"/>
      <c r="SQR230" s="31"/>
      <c r="SQS230" s="33"/>
      <c r="SQT230" s="33"/>
      <c r="SQU230" s="34"/>
      <c r="SQV230" s="34"/>
      <c r="SQW230" s="35"/>
      <c r="SQX230" s="35"/>
      <c r="SQY230" s="32"/>
      <c r="SQZ230" s="31"/>
      <c r="SRA230" s="31"/>
      <c r="SRB230" s="31"/>
      <c r="SRC230" s="32"/>
      <c r="SRD230" s="32"/>
      <c r="SRE230" s="32"/>
      <c r="SRF230" s="32"/>
      <c r="SRG230" s="32"/>
      <c r="SRH230" s="31"/>
      <c r="SRI230" s="31"/>
      <c r="SRJ230" s="33"/>
      <c r="SRK230" s="33"/>
      <c r="SRL230" s="34"/>
      <c r="SRM230" s="34"/>
      <c r="SRN230" s="35"/>
      <c r="SRO230" s="35"/>
      <c r="SRP230" s="32"/>
      <c r="SRQ230" s="31"/>
      <c r="SRR230" s="31"/>
      <c r="SRS230" s="31"/>
      <c r="SRT230" s="32"/>
      <c r="SRU230" s="32"/>
      <c r="SRV230" s="32"/>
      <c r="SRW230" s="32"/>
      <c r="SRX230" s="32"/>
      <c r="SRY230" s="31"/>
      <c r="SRZ230" s="31"/>
      <c r="SSA230" s="33"/>
      <c r="SSB230" s="33"/>
      <c r="SSC230" s="34"/>
      <c r="SSD230" s="34"/>
      <c r="SSE230" s="35"/>
      <c r="SSF230" s="35"/>
      <c r="SSG230" s="32"/>
      <c r="SSH230" s="31"/>
      <c r="SSI230" s="31"/>
      <c r="SSJ230" s="31"/>
      <c r="SSK230" s="32"/>
      <c r="SSL230" s="32"/>
      <c r="SSM230" s="32"/>
      <c r="SSN230" s="32"/>
      <c r="SSO230" s="32"/>
      <c r="SSP230" s="31"/>
      <c r="SSQ230" s="31"/>
      <c r="SSR230" s="33"/>
      <c r="SSS230" s="33"/>
      <c r="SST230" s="34"/>
      <c r="SSU230" s="34"/>
      <c r="SSV230" s="35"/>
      <c r="SSW230" s="35"/>
      <c r="SSX230" s="32"/>
      <c r="SSY230" s="31"/>
      <c r="SSZ230" s="31"/>
      <c r="STA230" s="31"/>
      <c r="STB230" s="32"/>
      <c r="STC230" s="32"/>
      <c r="STD230" s="32"/>
      <c r="STE230" s="32"/>
      <c r="STF230" s="32"/>
      <c r="STG230" s="31"/>
      <c r="STH230" s="31"/>
      <c r="STI230" s="33"/>
      <c r="STJ230" s="33"/>
      <c r="STK230" s="34"/>
      <c r="STL230" s="34"/>
      <c r="STM230" s="35"/>
      <c r="STN230" s="35"/>
      <c r="STO230" s="32"/>
      <c r="STP230" s="31"/>
      <c r="STQ230" s="31"/>
      <c r="STR230" s="31"/>
      <c r="STS230" s="32"/>
      <c r="STT230" s="32"/>
      <c r="STU230" s="32"/>
      <c r="STV230" s="32"/>
      <c r="STW230" s="32"/>
      <c r="STX230" s="31"/>
      <c r="STY230" s="31"/>
      <c r="STZ230" s="33"/>
      <c r="SUA230" s="33"/>
      <c r="SUB230" s="34"/>
      <c r="SUC230" s="34"/>
      <c r="SUD230" s="35"/>
      <c r="SUE230" s="35"/>
      <c r="SUF230" s="32"/>
      <c r="SUG230" s="31"/>
      <c r="SUH230" s="31"/>
      <c r="SUI230" s="31"/>
      <c r="SUJ230" s="32"/>
      <c r="SUK230" s="32"/>
      <c r="SUL230" s="32"/>
      <c r="SUM230" s="32"/>
      <c r="SUN230" s="32"/>
      <c r="SUO230" s="31"/>
      <c r="SUP230" s="31"/>
      <c r="SUQ230" s="33"/>
      <c r="SUR230" s="33"/>
      <c r="SUS230" s="34"/>
      <c r="SUT230" s="34"/>
      <c r="SUU230" s="35"/>
      <c r="SUV230" s="35"/>
      <c r="SUW230" s="32"/>
      <c r="SUX230" s="31"/>
      <c r="SUY230" s="31"/>
      <c r="SUZ230" s="31"/>
      <c r="SVA230" s="32"/>
      <c r="SVB230" s="32"/>
      <c r="SVC230" s="32"/>
      <c r="SVD230" s="32"/>
      <c r="SVE230" s="32"/>
      <c r="SVF230" s="31"/>
      <c r="SVG230" s="31"/>
      <c r="SVH230" s="33"/>
      <c r="SVI230" s="33"/>
      <c r="SVJ230" s="34"/>
      <c r="SVK230" s="34"/>
      <c r="SVL230" s="35"/>
      <c r="SVM230" s="35"/>
      <c r="SVN230" s="32"/>
      <c r="SVO230" s="31"/>
      <c r="SVP230" s="31"/>
      <c r="SVQ230" s="31"/>
      <c r="SVR230" s="32"/>
      <c r="SVS230" s="32"/>
      <c r="SVT230" s="32"/>
      <c r="SVU230" s="32"/>
      <c r="SVV230" s="32"/>
      <c r="SVW230" s="31"/>
      <c r="SVX230" s="31"/>
      <c r="SVY230" s="33"/>
      <c r="SVZ230" s="33"/>
      <c r="SWA230" s="34"/>
      <c r="SWB230" s="34"/>
      <c r="SWC230" s="35"/>
      <c r="SWD230" s="35"/>
      <c r="SWE230" s="32"/>
      <c r="SWF230" s="31"/>
      <c r="SWG230" s="31"/>
      <c r="SWH230" s="31"/>
      <c r="SWI230" s="32"/>
      <c r="SWJ230" s="32"/>
      <c r="SWK230" s="32"/>
      <c r="SWL230" s="32"/>
      <c r="SWM230" s="32"/>
      <c r="SWN230" s="31"/>
      <c r="SWO230" s="31"/>
      <c r="SWP230" s="33"/>
      <c r="SWQ230" s="33"/>
      <c r="SWR230" s="34"/>
      <c r="SWS230" s="34"/>
      <c r="SWT230" s="35"/>
      <c r="SWU230" s="35"/>
      <c r="SWV230" s="32"/>
      <c r="SWW230" s="31"/>
      <c r="SWX230" s="31"/>
      <c r="SWY230" s="31"/>
      <c r="SWZ230" s="32"/>
      <c r="SXA230" s="32"/>
      <c r="SXB230" s="32"/>
      <c r="SXC230" s="32"/>
      <c r="SXD230" s="32"/>
      <c r="SXE230" s="31"/>
      <c r="SXF230" s="31"/>
      <c r="SXG230" s="33"/>
      <c r="SXH230" s="33"/>
      <c r="SXI230" s="34"/>
      <c r="SXJ230" s="34"/>
      <c r="SXK230" s="35"/>
      <c r="SXL230" s="35"/>
      <c r="SXM230" s="32"/>
      <c r="SXN230" s="31"/>
      <c r="SXO230" s="31"/>
      <c r="SXP230" s="31"/>
      <c r="SXQ230" s="32"/>
      <c r="SXR230" s="32"/>
      <c r="SXS230" s="32"/>
      <c r="SXT230" s="32"/>
      <c r="SXU230" s="32"/>
      <c r="SXV230" s="31"/>
      <c r="SXW230" s="31"/>
      <c r="SXX230" s="33"/>
      <c r="SXY230" s="33"/>
      <c r="SXZ230" s="34"/>
      <c r="SYA230" s="34"/>
      <c r="SYB230" s="35"/>
      <c r="SYC230" s="35"/>
      <c r="SYD230" s="32"/>
      <c r="SYE230" s="31"/>
      <c r="SYF230" s="31"/>
      <c r="SYG230" s="31"/>
      <c r="SYH230" s="32"/>
      <c r="SYI230" s="32"/>
      <c r="SYJ230" s="32"/>
      <c r="SYK230" s="32"/>
      <c r="SYL230" s="32"/>
      <c r="SYM230" s="31"/>
      <c r="SYN230" s="31"/>
      <c r="SYO230" s="33"/>
      <c r="SYP230" s="33"/>
      <c r="SYQ230" s="34"/>
      <c r="SYR230" s="34"/>
      <c r="SYS230" s="35"/>
      <c r="SYT230" s="35"/>
      <c r="SYU230" s="32"/>
      <c r="SYV230" s="31"/>
      <c r="SYW230" s="31"/>
      <c r="SYX230" s="31"/>
      <c r="SYY230" s="32"/>
      <c r="SYZ230" s="32"/>
      <c r="SZA230" s="32"/>
      <c r="SZB230" s="32"/>
      <c r="SZC230" s="32"/>
      <c r="SZD230" s="31"/>
      <c r="SZE230" s="31"/>
      <c r="SZF230" s="33"/>
      <c r="SZG230" s="33"/>
      <c r="SZH230" s="34"/>
      <c r="SZI230" s="34"/>
      <c r="SZJ230" s="35"/>
      <c r="SZK230" s="35"/>
      <c r="SZL230" s="32"/>
      <c r="SZM230" s="31"/>
      <c r="SZN230" s="31"/>
      <c r="SZO230" s="31"/>
      <c r="SZP230" s="32"/>
      <c r="SZQ230" s="32"/>
      <c r="SZR230" s="32"/>
      <c r="SZS230" s="32"/>
      <c r="SZT230" s="32"/>
      <c r="SZU230" s="31"/>
      <c r="SZV230" s="31"/>
      <c r="SZW230" s="33"/>
      <c r="SZX230" s="33"/>
      <c r="SZY230" s="34"/>
      <c r="SZZ230" s="34"/>
      <c r="TAA230" s="35"/>
      <c r="TAB230" s="35"/>
      <c r="TAC230" s="32"/>
      <c r="TAD230" s="31"/>
      <c r="TAE230" s="31"/>
      <c r="TAF230" s="31"/>
      <c r="TAG230" s="32"/>
      <c r="TAH230" s="32"/>
      <c r="TAI230" s="32"/>
      <c r="TAJ230" s="32"/>
      <c r="TAK230" s="32"/>
      <c r="TAL230" s="31"/>
      <c r="TAM230" s="31"/>
      <c r="TAN230" s="33"/>
      <c r="TAO230" s="33"/>
      <c r="TAP230" s="34"/>
      <c r="TAQ230" s="34"/>
      <c r="TAR230" s="35"/>
      <c r="TAS230" s="35"/>
      <c r="TAT230" s="32"/>
      <c r="TAU230" s="31"/>
      <c r="TAV230" s="31"/>
      <c r="TAW230" s="31"/>
      <c r="TAX230" s="32"/>
      <c r="TAY230" s="32"/>
      <c r="TAZ230" s="32"/>
      <c r="TBA230" s="32"/>
      <c r="TBB230" s="32"/>
      <c r="TBC230" s="31"/>
      <c r="TBD230" s="31"/>
      <c r="TBE230" s="33"/>
      <c r="TBF230" s="33"/>
      <c r="TBG230" s="34"/>
      <c r="TBH230" s="34"/>
      <c r="TBI230" s="35"/>
      <c r="TBJ230" s="35"/>
      <c r="TBK230" s="32"/>
      <c r="TBL230" s="31"/>
      <c r="TBM230" s="31"/>
      <c r="TBN230" s="31"/>
      <c r="TBO230" s="32"/>
      <c r="TBP230" s="32"/>
      <c r="TBQ230" s="32"/>
      <c r="TBR230" s="32"/>
      <c r="TBS230" s="32"/>
      <c r="TBT230" s="31"/>
      <c r="TBU230" s="31"/>
      <c r="TBV230" s="33"/>
      <c r="TBW230" s="33"/>
      <c r="TBX230" s="34"/>
      <c r="TBY230" s="34"/>
      <c r="TBZ230" s="35"/>
      <c r="TCA230" s="35"/>
      <c r="TCB230" s="32"/>
      <c r="TCC230" s="31"/>
      <c r="TCD230" s="31"/>
      <c r="TCE230" s="31"/>
      <c r="TCF230" s="32"/>
      <c r="TCG230" s="32"/>
      <c r="TCH230" s="32"/>
      <c r="TCI230" s="32"/>
      <c r="TCJ230" s="32"/>
      <c r="TCK230" s="31"/>
      <c r="TCL230" s="31"/>
      <c r="TCM230" s="33"/>
      <c r="TCN230" s="33"/>
      <c r="TCO230" s="34"/>
      <c r="TCP230" s="34"/>
      <c r="TCQ230" s="35"/>
      <c r="TCR230" s="35"/>
      <c r="TCS230" s="32"/>
      <c r="TCT230" s="31"/>
      <c r="TCU230" s="31"/>
      <c r="TCV230" s="31"/>
      <c r="TCW230" s="32"/>
      <c r="TCX230" s="32"/>
      <c r="TCY230" s="32"/>
      <c r="TCZ230" s="32"/>
      <c r="TDA230" s="32"/>
      <c r="TDB230" s="31"/>
      <c r="TDC230" s="31"/>
      <c r="TDD230" s="33"/>
      <c r="TDE230" s="33"/>
      <c r="TDF230" s="34"/>
      <c r="TDG230" s="34"/>
      <c r="TDH230" s="35"/>
      <c r="TDI230" s="35"/>
      <c r="TDJ230" s="32"/>
      <c r="TDK230" s="31"/>
      <c r="TDL230" s="31"/>
      <c r="TDM230" s="31"/>
      <c r="TDN230" s="32"/>
      <c r="TDO230" s="32"/>
      <c r="TDP230" s="32"/>
      <c r="TDQ230" s="32"/>
      <c r="TDR230" s="32"/>
      <c r="TDS230" s="31"/>
      <c r="TDT230" s="31"/>
      <c r="TDU230" s="33"/>
      <c r="TDV230" s="33"/>
      <c r="TDW230" s="34"/>
      <c r="TDX230" s="34"/>
      <c r="TDY230" s="35"/>
      <c r="TDZ230" s="35"/>
      <c r="TEA230" s="32"/>
      <c r="TEB230" s="31"/>
      <c r="TEC230" s="31"/>
      <c r="TED230" s="31"/>
      <c r="TEE230" s="32"/>
      <c r="TEF230" s="32"/>
      <c r="TEG230" s="32"/>
      <c r="TEH230" s="32"/>
      <c r="TEI230" s="32"/>
      <c r="TEJ230" s="31"/>
      <c r="TEK230" s="31"/>
      <c r="TEL230" s="33"/>
      <c r="TEM230" s="33"/>
      <c r="TEN230" s="34"/>
      <c r="TEO230" s="34"/>
      <c r="TEP230" s="35"/>
      <c r="TEQ230" s="35"/>
      <c r="TER230" s="32"/>
      <c r="TES230" s="31"/>
      <c r="TET230" s="31"/>
      <c r="TEU230" s="31"/>
      <c r="TEV230" s="32"/>
      <c r="TEW230" s="32"/>
      <c r="TEX230" s="32"/>
      <c r="TEY230" s="32"/>
      <c r="TEZ230" s="32"/>
      <c r="TFA230" s="31"/>
      <c r="TFB230" s="31"/>
      <c r="TFC230" s="33"/>
      <c r="TFD230" s="33"/>
      <c r="TFE230" s="34"/>
      <c r="TFF230" s="34"/>
      <c r="TFG230" s="35"/>
      <c r="TFH230" s="35"/>
      <c r="TFI230" s="32"/>
      <c r="TFJ230" s="31"/>
      <c r="TFK230" s="31"/>
      <c r="TFL230" s="31"/>
      <c r="TFM230" s="32"/>
      <c r="TFN230" s="32"/>
      <c r="TFO230" s="32"/>
      <c r="TFP230" s="32"/>
      <c r="TFQ230" s="32"/>
      <c r="TFR230" s="31"/>
      <c r="TFS230" s="31"/>
      <c r="TFT230" s="33"/>
      <c r="TFU230" s="33"/>
      <c r="TFV230" s="34"/>
      <c r="TFW230" s="34"/>
      <c r="TFX230" s="35"/>
      <c r="TFY230" s="35"/>
      <c r="TFZ230" s="32"/>
      <c r="TGA230" s="31"/>
      <c r="TGB230" s="31"/>
      <c r="TGC230" s="31"/>
      <c r="TGD230" s="32"/>
      <c r="TGE230" s="32"/>
      <c r="TGF230" s="32"/>
      <c r="TGG230" s="32"/>
      <c r="TGH230" s="32"/>
      <c r="TGI230" s="31"/>
      <c r="TGJ230" s="31"/>
      <c r="TGK230" s="33"/>
      <c r="TGL230" s="33"/>
      <c r="TGM230" s="34"/>
      <c r="TGN230" s="34"/>
      <c r="TGO230" s="35"/>
      <c r="TGP230" s="35"/>
      <c r="TGQ230" s="32"/>
      <c r="TGR230" s="31"/>
      <c r="TGS230" s="31"/>
      <c r="TGT230" s="31"/>
      <c r="TGU230" s="32"/>
      <c r="TGV230" s="32"/>
      <c r="TGW230" s="32"/>
      <c r="TGX230" s="32"/>
      <c r="TGY230" s="32"/>
      <c r="TGZ230" s="31"/>
      <c r="THA230" s="31"/>
      <c r="THB230" s="33"/>
      <c r="THC230" s="33"/>
      <c r="THD230" s="34"/>
      <c r="THE230" s="34"/>
      <c r="THF230" s="35"/>
      <c r="THG230" s="35"/>
      <c r="THH230" s="32"/>
      <c r="THI230" s="31"/>
      <c r="THJ230" s="31"/>
      <c r="THK230" s="31"/>
      <c r="THL230" s="32"/>
      <c r="THM230" s="32"/>
      <c r="THN230" s="32"/>
      <c r="THO230" s="32"/>
      <c r="THP230" s="32"/>
      <c r="THQ230" s="31"/>
      <c r="THR230" s="31"/>
      <c r="THS230" s="33"/>
      <c r="THT230" s="33"/>
      <c r="THU230" s="34"/>
      <c r="THV230" s="34"/>
      <c r="THW230" s="35"/>
      <c r="THX230" s="35"/>
      <c r="THY230" s="32"/>
      <c r="THZ230" s="31"/>
      <c r="TIA230" s="31"/>
      <c r="TIB230" s="31"/>
      <c r="TIC230" s="32"/>
      <c r="TID230" s="32"/>
      <c r="TIE230" s="32"/>
      <c r="TIF230" s="32"/>
      <c r="TIG230" s="32"/>
      <c r="TIH230" s="31"/>
      <c r="TII230" s="31"/>
      <c r="TIJ230" s="33"/>
      <c r="TIK230" s="33"/>
      <c r="TIL230" s="34"/>
      <c r="TIM230" s="34"/>
      <c r="TIN230" s="35"/>
      <c r="TIO230" s="35"/>
      <c r="TIP230" s="32"/>
      <c r="TIQ230" s="31"/>
      <c r="TIR230" s="31"/>
      <c r="TIS230" s="31"/>
      <c r="TIT230" s="32"/>
      <c r="TIU230" s="32"/>
      <c r="TIV230" s="32"/>
      <c r="TIW230" s="32"/>
      <c r="TIX230" s="32"/>
      <c r="TIY230" s="31"/>
      <c r="TIZ230" s="31"/>
      <c r="TJA230" s="33"/>
      <c r="TJB230" s="33"/>
      <c r="TJC230" s="34"/>
      <c r="TJD230" s="34"/>
      <c r="TJE230" s="35"/>
      <c r="TJF230" s="35"/>
      <c r="TJG230" s="32"/>
      <c r="TJH230" s="31"/>
      <c r="TJI230" s="31"/>
      <c r="TJJ230" s="31"/>
      <c r="TJK230" s="32"/>
      <c r="TJL230" s="32"/>
      <c r="TJM230" s="32"/>
      <c r="TJN230" s="32"/>
      <c r="TJO230" s="32"/>
      <c r="TJP230" s="31"/>
      <c r="TJQ230" s="31"/>
      <c r="TJR230" s="33"/>
      <c r="TJS230" s="33"/>
      <c r="TJT230" s="34"/>
      <c r="TJU230" s="34"/>
      <c r="TJV230" s="35"/>
      <c r="TJW230" s="35"/>
      <c r="TJX230" s="32"/>
      <c r="TJY230" s="31"/>
      <c r="TJZ230" s="31"/>
      <c r="TKA230" s="31"/>
      <c r="TKB230" s="32"/>
      <c r="TKC230" s="32"/>
      <c r="TKD230" s="32"/>
      <c r="TKE230" s="32"/>
      <c r="TKF230" s="32"/>
      <c r="TKG230" s="31"/>
      <c r="TKH230" s="31"/>
      <c r="TKI230" s="33"/>
      <c r="TKJ230" s="33"/>
      <c r="TKK230" s="34"/>
      <c r="TKL230" s="34"/>
      <c r="TKM230" s="35"/>
      <c r="TKN230" s="35"/>
      <c r="TKO230" s="32"/>
      <c r="TKP230" s="31"/>
      <c r="TKQ230" s="31"/>
      <c r="TKR230" s="31"/>
      <c r="TKS230" s="32"/>
      <c r="TKT230" s="32"/>
      <c r="TKU230" s="32"/>
      <c r="TKV230" s="32"/>
      <c r="TKW230" s="32"/>
      <c r="TKX230" s="31"/>
      <c r="TKY230" s="31"/>
      <c r="TKZ230" s="33"/>
      <c r="TLA230" s="33"/>
      <c r="TLB230" s="34"/>
      <c r="TLC230" s="34"/>
      <c r="TLD230" s="35"/>
      <c r="TLE230" s="35"/>
      <c r="TLF230" s="32"/>
      <c r="TLG230" s="31"/>
      <c r="TLH230" s="31"/>
      <c r="TLI230" s="31"/>
      <c r="TLJ230" s="32"/>
      <c r="TLK230" s="32"/>
      <c r="TLL230" s="32"/>
      <c r="TLM230" s="32"/>
      <c r="TLN230" s="32"/>
      <c r="TLO230" s="31"/>
      <c r="TLP230" s="31"/>
      <c r="TLQ230" s="33"/>
      <c r="TLR230" s="33"/>
      <c r="TLS230" s="34"/>
      <c r="TLT230" s="34"/>
      <c r="TLU230" s="35"/>
      <c r="TLV230" s="35"/>
      <c r="TLW230" s="32"/>
      <c r="TLX230" s="31"/>
      <c r="TLY230" s="31"/>
      <c r="TLZ230" s="31"/>
      <c r="TMA230" s="32"/>
      <c r="TMB230" s="32"/>
      <c r="TMC230" s="32"/>
      <c r="TMD230" s="32"/>
      <c r="TME230" s="32"/>
      <c r="TMF230" s="31"/>
      <c r="TMG230" s="31"/>
      <c r="TMH230" s="33"/>
      <c r="TMI230" s="33"/>
      <c r="TMJ230" s="34"/>
      <c r="TMK230" s="34"/>
      <c r="TML230" s="35"/>
      <c r="TMM230" s="35"/>
      <c r="TMN230" s="32"/>
      <c r="TMO230" s="31"/>
      <c r="TMP230" s="31"/>
      <c r="TMQ230" s="31"/>
      <c r="TMR230" s="32"/>
      <c r="TMS230" s="32"/>
      <c r="TMT230" s="32"/>
      <c r="TMU230" s="32"/>
      <c r="TMV230" s="32"/>
      <c r="TMW230" s="31"/>
      <c r="TMX230" s="31"/>
      <c r="TMY230" s="33"/>
      <c r="TMZ230" s="33"/>
      <c r="TNA230" s="34"/>
      <c r="TNB230" s="34"/>
      <c r="TNC230" s="35"/>
      <c r="TND230" s="35"/>
      <c r="TNE230" s="32"/>
      <c r="TNF230" s="31"/>
      <c r="TNG230" s="31"/>
      <c r="TNH230" s="31"/>
      <c r="TNI230" s="32"/>
      <c r="TNJ230" s="32"/>
      <c r="TNK230" s="32"/>
      <c r="TNL230" s="32"/>
      <c r="TNM230" s="32"/>
      <c r="TNN230" s="31"/>
      <c r="TNO230" s="31"/>
      <c r="TNP230" s="33"/>
      <c r="TNQ230" s="33"/>
      <c r="TNR230" s="34"/>
      <c r="TNS230" s="34"/>
      <c r="TNT230" s="35"/>
      <c r="TNU230" s="35"/>
      <c r="TNV230" s="32"/>
      <c r="TNW230" s="31"/>
      <c r="TNX230" s="31"/>
      <c r="TNY230" s="31"/>
      <c r="TNZ230" s="32"/>
      <c r="TOA230" s="32"/>
      <c r="TOB230" s="32"/>
      <c r="TOC230" s="32"/>
      <c r="TOD230" s="32"/>
      <c r="TOE230" s="31"/>
      <c r="TOF230" s="31"/>
      <c r="TOG230" s="33"/>
      <c r="TOH230" s="33"/>
      <c r="TOI230" s="34"/>
      <c r="TOJ230" s="34"/>
      <c r="TOK230" s="35"/>
      <c r="TOL230" s="35"/>
      <c r="TOM230" s="32"/>
      <c r="TON230" s="31"/>
      <c r="TOO230" s="31"/>
      <c r="TOP230" s="31"/>
      <c r="TOQ230" s="32"/>
      <c r="TOR230" s="32"/>
      <c r="TOS230" s="32"/>
      <c r="TOT230" s="32"/>
      <c r="TOU230" s="32"/>
      <c r="TOV230" s="31"/>
      <c r="TOW230" s="31"/>
      <c r="TOX230" s="33"/>
      <c r="TOY230" s="33"/>
      <c r="TOZ230" s="34"/>
      <c r="TPA230" s="34"/>
      <c r="TPB230" s="35"/>
      <c r="TPC230" s="35"/>
      <c r="TPD230" s="32"/>
      <c r="TPE230" s="31"/>
      <c r="TPF230" s="31"/>
      <c r="TPG230" s="31"/>
      <c r="TPH230" s="32"/>
      <c r="TPI230" s="32"/>
      <c r="TPJ230" s="32"/>
      <c r="TPK230" s="32"/>
      <c r="TPL230" s="32"/>
      <c r="TPM230" s="31"/>
      <c r="TPN230" s="31"/>
      <c r="TPO230" s="33"/>
      <c r="TPP230" s="33"/>
      <c r="TPQ230" s="34"/>
      <c r="TPR230" s="34"/>
      <c r="TPS230" s="35"/>
      <c r="TPT230" s="35"/>
      <c r="TPU230" s="32"/>
      <c r="TPV230" s="31"/>
      <c r="TPW230" s="31"/>
      <c r="TPX230" s="31"/>
      <c r="TPY230" s="32"/>
      <c r="TPZ230" s="32"/>
      <c r="TQA230" s="32"/>
      <c r="TQB230" s="32"/>
      <c r="TQC230" s="32"/>
      <c r="TQD230" s="31"/>
      <c r="TQE230" s="31"/>
      <c r="TQF230" s="33"/>
      <c r="TQG230" s="33"/>
      <c r="TQH230" s="34"/>
      <c r="TQI230" s="34"/>
      <c r="TQJ230" s="35"/>
      <c r="TQK230" s="35"/>
      <c r="TQL230" s="32"/>
      <c r="TQM230" s="31"/>
      <c r="TQN230" s="31"/>
      <c r="TQO230" s="31"/>
      <c r="TQP230" s="32"/>
      <c r="TQQ230" s="32"/>
      <c r="TQR230" s="32"/>
      <c r="TQS230" s="32"/>
      <c r="TQT230" s="32"/>
      <c r="TQU230" s="31"/>
      <c r="TQV230" s="31"/>
      <c r="TQW230" s="33"/>
      <c r="TQX230" s="33"/>
      <c r="TQY230" s="34"/>
      <c r="TQZ230" s="34"/>
      <c r="TRA230" s="35"/>
      <c r="TRB230" s="35"/>
      <c r="TRC230" s="32"/>
      <c r="TRD230" s="31"/>
      <c r="TRE230" s="31"/>
      <c r="TRF230" s="31"/>
      <c r="TRG230" s="32"/>
      <c r="TRH230" s="32"/>
      <c r="TRI230" s="32"/>
      <c r="TRJ230" s="32"/>
      <c r="TRK230" s="32"/>
      <c r="TRL230" s="31"/>
      <c r="TRM230" s="31"/>
      <c r="TRN230" s="33"/>
      <c r="TRO230" s="33"/>
      <c r="TRP230" s="34"/>
      <c r="TRQ230" s="34"/>
      <c r="TRR230" s="35"/>
      <c r="TRS230" s="35"/>
      <c r="TRT230" s="32"/>
      <c r="TRU230" s="31"/>
      <c r="TRV230" s="31"/>
      <c r="TRW230" s="31"/>
      <c r="TRX230" s="32"/>
      <c r="TRY230" s="32"/>
      <c r="TRZ230" s="32"/>
      <c r="TSA230" s="32"/>
      <c r="TSB230" s="32"/>
      <c r="TSC230" s="31"/>
      <c r="TSD230" s="31"/>
      <c r="TSE230" s="33"/>
      <c r="TSF230" s="33"/>
      <c r="TSG230" s="34"/>
      <c r="TSH230" s="34"/>
      <c r="TSI230" s="35"/>
      <c r="TSJ230" s="35"/>
      <c r="TSK230" s="32"/>
      <c r="TSL230" s="31"/>
      <c r="TSM230" s="31"/>
      <c r="TSN230" s="31"/>
      <c r="TSO230" s="32"/>
      <c r="TSP230" s="32"/>
      <c r="TSQ230" s="32"/>
      <c r="TSR230" s="32"/>
      <c r="TSS230" s="32"/>
      <c r="TST230" s="31"/>
      <c r="TSU230" s="31"/>
      <c r="TSV230" s="33"/>
      <c r="TSW230" s="33"/>
      <c r="TSX230" s="34"/>
      <c r="TSY230" s="34"/>
      <c r="TSZ230" s="35"/>
      <c r="TTA230" s="35"/>
      <c r="TTB230" s="32"/>
      <c r="TTC230" s="31"/>
      <c r="TTD230" s="31"/>
      <c r="TTE230" s="31"/>
      <c r="TTF230" s="32"/>
      <c r="TTG230" s="32"/>
      <c r="TTH230" s="32"/>
      <c r="TTI230" s="32"/>
      <c r="TTJ230" s="32"/>
      <c r="TTK230" s="31"/>
      <c r="TTL230" s="31"/>
      <c r="TTM230" s="33"/>
      <c r="TTN230" s="33"/>
      <c r="TTO230" s="34"/>
      <c r="TTP230" s="34"/>
      <c r="TTQ230" s="35"/>
      <c r="TTR230" s="35"/>
      <c r="TTS230" s="32"/>
      <c r="TTT230" s="31"/>
      <c r="TTU230" s="31"/>
      <c r="TTV230" s="31"/>
      <c r="TTW230" s="32"/>
      <c r="TTX230" s="32"/>
      <c r="TTY230" s="32"/>
      <c r="TTZ230" s="32"/>
      <c r="TUA230" s="32"/>
      <c r="TUB230" s="31"/>
      <c r="TUC230" s="31"/>
      <c r="TUD230" s="33"/>
      <c r="TUE230" s="33"/>
      <c r="TUF230" s="34"/>
      <c r="TUG230" s="34"/>
      <c r="TUH230" s="35"/>
      <c r="TUI230" s="35"/>
      <c r="TUJ230" s="32"/>
      <c r="TUK230" s="31"/>
      <c r="TUL230" s="31"/>
      <c r="TUM230" s="31"/>
      <c r="TUN230" s="32"/>
      <c r="TUO230" s="32"/>
      <c r="TUP230" s="32"/>
      <c r="TUQ230" s="32"/>
      <c r="TUR230" s="32"/>
      <c r="TUS230" s="31"/>
      <c r="TUT230" s="31"/>
      <c r="TUU230" s="33"/>
      <c r="TUV230" s="33"/>
      <c r="TUW230" s="34"/>
      <c r="TUX230" s="34"/>
      <c r="TUY230" s="35"/>
      <c r="TUZ230" s="35"/>
      <c r="TVA230" s="32"/>
      <c r="TVB230" s="31"/>
      <c r="TVC230" s="31"/>
      <c r="TVD230" s="31"/>
      <c r="TVE230" s="32"/>
      <c r="TVF230" s="32"/>
      <c r="TVG230" s="32"/>
      <c r="TVH230" s="32"/>
      <c r="TVI230" s="32"/>
      <c r="TVJ230" s="31"/>
      <c r="TVK230" s="31"/>
      <c r="TVL230" s="33"/>
      <c r="TVM230" s="33"/>
      <c r="TVN230" s="34"/>
      <c r="TVO230" s="34"/>
      <c r="TVP230" s="35"/>
      <c r="TVQ230" s="35"/>
      <c r="TVR230" s="32"/>
      <c r="TVS230" s="31"/>
      <c r="TVT230" s="31"/>
      <c r="TVU230" s="31"/>
      <c r="TVV230" s="32"/>
      <c r="TVW230" s="32"/>
      <c r="TVX230" s="32"/>
      <c r="TVY230" s="32"/>
      <c r="TVZ230" s="32"/>
      <c r="TWA230" s="31"/>
      <c r="TWB230" s="31"/>
      <c r="TWC230" s="33"/>
      <c r="TWD230" s="33"/>
      <c r="TWE230" s="34"/>
      <c r="TWF230" s="34"/>
      <c r="TWG230" s="35"/>
      <c r="TWH230" s="35"/>
      <c r="TWI230" s="32"/>
      <c r="TWJ230" s="31"/>
      <c r="TWK230" s="31"/>
      <c r="TWL230" s="31"/>
      <c r="TWM230" s="32"/>
      <c r="TWN230" s="32"/>
      <c r="TWO230" s="32"/>
      <c r="TWP230" s="32"/>
      <c r="TWQ230" s="32"/>
      <c r="TWR230" s="31"/>
      <c r="TWS230" s="31"/>
      <c r="TWT230" s="33"/>
      <c r="TWU230" s="33"/>
      <c r="TWV230" s="34"/>
      <c r="TWW230" s="34"/>
      <c r="TWX230" s="35"/>
      <c r="TWY230" s="35"/>
      <c r="TWZ230" s="32"/>
      <c r="TXA230" s="31"/>
      <c r="TXB230" s="31"/>
      <c r="TXC230" s="31"/>
      <c r="TXD230" s="32"/>
      <c r="TXE230" s="32"/>
      <c r="TXF230" s="32"/>
      <c r="TXG230" s="32"/>
      <c r="TXH230" s="32"/>
      <c r="TXI230" s="31"/>
      <c r="TXJ230" s="31"/>
      <c r="TXK230" s="33"/>
      <c r="TXL230" s="33"/>
      <c r="TXM230" s="34"/>
      <c r="TXN230" s="34"/>
      <c r="TXO230" s="35"/>
      <c r="TXP230" s="35"/>
      <c r="TXQ230" s="32"/>
      <c r="TXR230" s="31"/>
      <c r="TXS230" s="31"/>
      <c r="TXT230" s="31"/>
      <c r="TXU230" s="32"/>
      <c r="TXV230" s="32"/>
      <c r="TXW230" s="32"/>
      <c r="TXX230" s="32"/>
      <c r="TXY230" s="32"/>
      <c r="TXZ230" s="31"/>
      <c r="TYA230" s="31"/>
      <c r="TYB230" s="33"/>
      <c r="TYC230" s="33"/>
      <c r="TYD230" s="34"/>
      <c r="TYE230" s="34"/>
      <c r="TYF230" s="35"/>
      <c r="TYG230" s="35"/>
      <c r="TYH230" s="32"/>
      <c r="TYI230" s="31"/>
      <c r="TYJ230" s="31"/>
      <c r="TYK230" s="31"/>
      <c r="TYL230" s="32"/>
      <c r="TYM230" s="32"/>
      <c r="TYN230" s="32"/>
      <c r="TYO230" s="32"/>
      <c r="TYP230" s="32"/>
      <c r="TYQ230" s="31"/>
      <c r="TYR230" s="31"/>
      <c r="TYS230" s="33"/>
      <c r="TYT230" s="33"/>
      <c r="TYU230" s="34"/>
      <c r="TYV230" s="34"/>
      <c r="TYW230" s="35"/>
      <c r="TYX230" s="35"/>
      <c r="TYY230" s="32"/>
      <c r="TYZ230" s="31"/>
      <c r="TZA230" s="31"/>
      <c r="TZB230" s="31"/>
      <c r="TZC230" s="32"/>
      <c r="TZD230" s="32"/>
      <c r="TZE230" s="32"/>
      <c r="TZF230" s="32"/>
      <c r="TZG230" s="32"/>
      <c r="TZH230" s="31"/>
      <c r="TZI230" s="31"/>
      <c r="TZJ230" s="33"/>
      <c r="TZK230" s="33"/>
      <c r="TZL230" s="34"/>
      <c r="TZM230" s="34"/>
      <c r="TZN230" s="35"/>
      <c r="TZO230" s="35"/>
      <c r="TZP230" s="32"/>
      <c r="TZQ230" s="31"/>
      <c r="TZR230" s="31"/>
      <c r="TZS230" s="31"/>
      <c r="TZT230" s="32"/>
      <c r="TZU230" s="32"/>
      <c r="TZV230" s="32"/>
      <c r="TZW230" s="32"/>
      <c r="TZX230" s="32"/>
      <c r="TZY230" s="31"/>
      <c r="TZZ230" s="31"/>
      <c r="UAA230" s="33"/>
      <c r="UAB230" s="33"/>
      <c r="UAC230" s="34"/>
      <c r="UAD230" s="34"/>
      <c r="UAE230" s="35"/>
      <c r="UAF230" s="35"/>
      <c r="UAG230" s="32"/>
      <c r="UAH230" s="31"/>
      <c r="UAI230" s="31"/>
      <c r="UAJ230" s="31"/>
      <c r="UAK230" s="32"/>
      <c r="UAL230" s="32"/>
      <c r="UAM230" s="32"/>
      <c r="UAN230" s="32"/>
      <c r="UAO230" s="32"/>
      <c r="UAP230" s="31"/>
      <c r="UAQ230" s="31"/>
      <c r="UAR230" s="33"/>
      <c r="UAS230" s="33"/>
      <c r="UAT230" s="34"/>
      <c r="UAU230" s="34"/>
      <c r="UAV230" s="35"/>
      <c r="UAW230" s="35"/>
      <c r="UAX230" s="32"/>
      <c r="UAY230" s="31"/>
      <c r="UAZ230" s="31"/>
      <c r="UBA230" s="31"/>
      <c r="UBB230" s="32"/>
      <c r="UBC230" s="32"/>
      <c r="UBD230" s="32"/>
      <c r="UBE230" s="32"/>
      <c r="UBF230" s="32"/>
      <c r="UBG230" s="31"/>
      <c r="UBH230" s="31"/>
      <c r="UBI230" s="33"/>
      <c r="UBJ230" s="33"/>
      <c r="UBK230" s="34"/>
      <c r="UBL230" s="34"/>
      <c r="UBM230" s="35"/>
      <c r="UBN230" s="35"/>
      <c r="UBO230" s="32"/>
      <c r="UBP230" s="31"/>
      <c r="UBQ230" s="31"/>
      <c r="UBR230" s="31"/>
      <c r="UBS230" s="32"/>
      <c r="UBT230" s="32"/>
      <c r="UBU230" s="32"/>
      <c r="UBV230" s="32"/>
      <c r="UBW230" s="32"/>
      <c r="UBX230" s="31"/>
      <c r="UBY230" s="31"/>
      <c r="UBZ230" s="33"/>
      <c r="UCA230" s="33"/>
      <c r="UCB230" s="34"/>
      <c r="UCC230" s="34"/>
      <c r="UCD230" s="35"/>
      <c r="UCE230" s="35"/>
      <c r="UCF230" s="32"/>
      <c r="UCG230" s="31"/>
      <c r="UCH230" s="31"/>
      <c r="UCI230" s="31"/>
      <c r="UCJ230" s="32"/>
      <c r="UCK230" s="32"/>
      <c r="UCL230" s="32"/>
      <c r="UCM230" s="32"/>
      <c r="UCN230" s="32"/>
      <c r="UCO230" s="31"/>
      <c r="UCP230" s="31"/>
      <c r="UCQ230" s="33"/>
      <c r="UCR230" s="33"/>
      <c r="UCS230" s="34"/>
      <c r="UCT230" s="34"/>
      <c r="UCU230" s="35"/>
      <c r="UCV230" s="35"/>
      <c r="UCW230" s="32"/>
      <c r="UCX230" s="31"/>
      <c r="UCY230" s="31"/>
      <c r="UCZ230" s="31"/>
      <c r="UDA230" s="32"/>
      <c r="UDB230" s="32"/>
      <c r="UDC230" s="32"/>
      <c r="UDD230" s="32"/>
      <c r="UDE230" s="32"/>
      <c r="UDF230" s="31"/>
      <c r="UDG230" s="31"/>
      <c r="UDH230" s="33"/>
      <c r="UDI230" s="33"/>
      <c r="UDJ230" s="34"/>
      <c r="UDK230" s="34"/>
      <c r="UDL230" s="35"/>
      <c r="UDM230" s="35"/>
      <c r="UDN230" s="32"/>
      <c r="UDO230" s="31"/>
      <c r="UDP230" s="31"/>
      <c r="UDQ230" s="31"/>
      <c r="UDR230" s="32"/>
      <c r="UDS230" s="32"/>
      <c r="UDT230" s="32"/>
      <c r="UDU230" s="32"/>
      <c r="UDV230" s="32"/>
      <c r="UDW230" s="31"/>
      <c r="UDX230" s="31"/>
      <c r="UDY230" s="33"/>
      <c r="UDZ230" s="33"/>
      <c r="UEA230" s="34"/>
      <c r="UEB230" s="34"/>
      <c r="UEC230" s="35"/>
      <c r="UED230" s="35"/>
      <c r="UEE230" s="32"/>
      <c r="UEF230" s="31"/>
      <c r="UEG230" s="31"/>
      <c r="UEH230" s="31"/>
      <c r="UEI230" s="32"/>
      <c r="UEJ230" s="32"/>
      <c r="UEK230" s="32"/>
      <c r="UEL230" s="32"/>
      <c r="UEM230" s="32"/>
      <c r="UEN230" s="31"/>
      <c r="UEO230" s="31"/>
      <c r="UEP230" s="33"/>
      <c r="UEQ230" s="33"/>
      <c r="UER230" s="34"/>
      <c r="UES230" s="34"/>
      <c r="UET230" s="35"/>
      <c r="UEU230" s="35"/>
      <c r="UEV230" s="32"/>
      <c r="UEW230" s="31"/>
      <c r="UEX230" s="31"/>
      <c r="UEY230" s="31"/>
      <c r="UEZ230" s="32"/>
      <c r="UFA230" s="32"/>
      <c r="UFB230" s="32"/>
      <c r="UFC230" s="32"/>
      <c r="UFD230" s="32"/>
      <c r="UFE230" s="31"/>
      <c r="UFF230" s="31"/>
      <c r="UFG230" s="33"/>
      <c r="UFH230" s="33"/>
      <c r="UFI230" s="34"/>
      <c r="UFJ230" s="34"/>
      <c r="UFK230" s="35"/>
      <c r="UFL230" s="35"/>
      <c r="UFM230" s="32"/>
      <c r="UFN230" s="31"/>
      <c r="UFO230" s="31"/>
      <c r="UFP230" s="31"/>
      <c r="UFQ230" s="32"/>
      <c r="UFR230" s="32"/>
      <c r="UFS230" s="32"/>
      <c r="UFT230" s="32"/>
      <c r="UFU230" s="32"/>
      <c r="UFV230" s="31"/>
      <c r="UFW230" s="31"/>
      <c r="UFX230" s="33"/>
      <c r="UFY230" s="33"/>
      <c r="UFZ230" s="34"/>
      <c r="UGA230" s="34"/>
      <c r="UGB230" s="35"/>
      <c r="UGC230" s="35"/>
      <c r="UGD230" s="32"/>
      <c r="UGE230" s="31"/>
      <c r="UGF230" s="31"/>
      <c r="UGG230" s="31"/>
      <c r="UGH230" s="32"/>
      <c r="UGI230" s="32"/>
      <c r="UGJ230" s="32"/>
      <c r="UGK230" s="32"/>
      <c r="UGL230" s="32"/>
      <c r="UGM230" s="31"/>
      <c r="UGN230" s="31"/>
      <c r="UGO230" s="33"/>
      <c r="UGP230" s="33"/>
      <c r="UGQ230" s="34"/>
      <c r="UGR230" s="34"/>
      <c r="UGS230" s="35"/>
      <c r="UGT230" s="35"/>
      <c r="UGU230" s="32"/>
      <c r="UGV230" s="31"/>
      <c r="UGW230" s="31"/>
      <c r="UGX230" s="31"/>
      <c r="UGY230" s="32"/>
      <c r="UGZ230" s="32"/>
      <c r="UHA230" s="32"/>
      <c r="UHB230" s="32"/>
      <c r="UHC230" s="32"/>
      <c r="UHD230" s="31"/>
      <c r="UHE230" s="31"/>
      <c r="UHF230" s="33"/>
      <c r="UHG230" s="33"/>
      <c r="UHH230" s="34"/>
      <c r="UHI230" s="34"/>
      <c r="UHJ230" s="35"/>
      <c r="UHK230" s="35"/>
      <c r="UHL230" s="32"/>
      <c r="UHM230" s="31"/>
      <c r="UHN230" s="31"/>
      <c r="UHO230" s="31"/>
      <c r="UHP230" s="32"/>
      <c r="UHQ230" s="32"/>
      <c r="UHR230" s="32"/>
      <c r="UHS230" s="32"/>
      <c r="UHT230" s="32"/>
      <c r="UHU230" s="31"/>
      <c r="UHV230" s="31"/>
      <c r="UHW230" s="33"/>
      <c r="UHX230" s="33"/>
      <c r="UHY230" s="34"/>
      <c r="UHZ230" s="34"/>
      <c r="UIA230" s="35"/>
      <c r="UIB230" s="35"/>
      <c r="UIC230" s="32"/>
      <c r="UID230" s="31"/>
      <c r="UIE230" s="31"/>
      <c r="UIF230" s="31"/>
      <c r="UIG230" s="32"/>
      <c r="UIH230" s="32"/>
      <c r="UII230" s="32"/>
      <c r="UIJ230" s="32"/>
      <c r="UIK230" s="32"/>
      <c r="UIL230" s="31"/>
      <c r="UIM230" s="31"/>
      <c r="UIN230" s="33"/>
      <c r="UIO230" s="33"/>
      <c r="UIP230" s="34"/>
      <c r="UIQ230" s="34"/>
      <c r="UIR230" s="35"/>
      <c r="UIS230" s="35"/>
      <c r="UIT230" s="32"/>
      <c r="UIU230" s="31"/>
      <c r="UIV230" s="31"/>
      <c r="UIW230" s="31"/>
      <c r="UIX230" s="32"/>
      <c r="UIY230" s="32"/>
      <c r="UIZ230" s="32"/>
      <c r="UJA230" s="32"/>
      <c r="UJB230" s="32"/>
      <c r="UJC230" s="31"/>
      <c r="UJD230" s="31"/>
      <c r="UJE230" s="33"/>
      <c r="UJF230" s="33"/>
      <c r="UJG230" s="34"/>
      <c r="UJH230" s="34"/>
      <c r="UJI230" s="35"/>
      <c r="UJJ230" s="35"/>
      <c r="UJK230" s="32"/>
      <c r="UJL230" s="31"/>
      <c r="UJM230" s="31"/>
      <c r="UJN230" s="31"/>
      <c r="UJO230" s="32"/>
      <c r="UJP230" s="32"/>
      <c r="UJQ230" s="32"/>
      <c r="UJR230" s="32"/>
      <c r="UJS230" s="32"/>
      <c r="UJT230" s="31"/>
      <c r="UJU230" s="31"/>
      <c r="UJV230" s="33"/>
      <c r="UJW230" s="33"/>
      <c r="UJX230" s="34"/>
      <c r="UJY230" s="34"/>
      <c r="UJZ230" s="35"/>
      <c r="UKA230" s="35"/>
      <c r="UKB230" s="32"/>
      <c r="UKC230" s="31"/>
      <c r="UKD230" s="31"/>
      <c r="UKE230" s="31"/>
      <c r="UKF230" s="32"/>
      <c r="UKG230" s="32"/>
      <c r="UKH230" s="32"/>
      <c r="UKI230" s="32"/>
      <c r="UKJ230" s="32"/>
      <c r="UKK230" s="31"/>
      <c r="UKL230" s="31"/>
      <c r="UKM230" s="33"/>
      <c r="UKN230" s="33"/>
      <c r="UKO230" s="34"/>
      <c r="UKP230" s="34"/>
      <c r="UKQ230" s="35"/>
      <c r="UKR230" s="35"/>
      <c r="UKS230" s="32"/>
      <c r="UKT230" s="31"/>
      <c r="UKU230" s="31"/>
      <c r="UKV230" s="31"/>
      <c r="UKW230" s="32"/>
      <c r="UKX230" s="32"/>
      <c r="UKY230" s="32"/>
      <c r="UKZ230" s="32"/>
      <c r="ULA230" s="32"/>
      <c r="ULB230" s="31"/>
      <c r="ULC230" s="31"/>
      <c r="ULD230" s="33"/>
      <c r="ULE230" s="33"/>
      <c r="ULF230" s="34"/>
      <c r="ULG230" s="34"/>
      <c r="ULH230" s="35"/>
      <c r="ULI230" s="35"/>
      <c r="ULJ230" s="32"/>
      <c r="ULK230" s="31"/>
      <c r="ULL230" s="31"/>
      <c r="ULM230" s="31"/>
      <c r="ULN230" s="32"/>
      <c r="ULO230" s="32"/>
      <c r="ULP230" s="32"/>
      <c r="ULQ230" s="32"/>
      <c r="ULR230" s="32"/>
      <c r="ULS230" s="31"/>
      <c r="ULT230" s="31"/>
      <c r="ULU230" s="33"/>
      <c r="ULV230" s="33"/>
      <c r="ULW230" s="34"/>
      <c r="ULX230" s="34"/>
      <c r="ULY230" s="35"/>
      <c r="ULZ230" s="35"/>
      <c r="UMA230" s="32"/>
      <c r="UMB230" s="31"/>
      <c r="UMC230" s="31"/>
      <c r="UMD230" s="31"/>
      <c r="UME230" s="32"/>
      <c r="UMF230" s="32"/>
      <c r="UMG230" s="32"/>
      <c r="UMH230" s="32"/>
      <c r="UMI230" s="32"/>
      <c r="UMJ230" s="31"/>
      <c r="UMK230" s="31"/>
      <c r="UML230" s="33"/>
      <c r="UMM230" s="33"/>
      <c r="UMN230" s="34"/>
      <c r="UMO230" s="34"/>
      <c r="UMP230" s="35"/>
      <c r="UMQ230" s="35"/>
      <c r="UMR230" s="32"/>
      <c r="UMS230" s="31"/>
      <c r="UMT230" s="31"/>
      <c r="UMU230" s="31"/>
      <c r="UMV230" s="32"/>
      <c r="UMW230" s="32"/>
      <c r="UMX230" s="32"/>
      <c r="UMY230" s="32"/>
      <c r="UMZ230" s="32"/>
      <c r="UNA230" s="31"/>
      <c r="UNB230" s="31"/>
      <c r="UNC230" s="33"/>
      <c r="UND230" s="33"/>
      <c r="UNE230" s="34"/>
      <c r="UNF230" s="34"/>
      <c r="UNG230" s="35"/>
      <c r="UNH230" s="35"/>
      <c r="UNI230" s="32"/>
      <c r="UNJ230" s="31"/>
      <c r="UNK230" s="31"/>
      <c r="UNL230" s="31"/>
      <c r="UNM230" s="32"/>
      <c r="UNN230" s="32"/>
      <c r="UNO230" s="32"/>
      <c r="UNP230" s="32"/>
      <c r="UNQ230" s="32"/>
      <c r="UNR230" s="31"/>
      <c r="UNS230" s="31"/>
      <c r="UNT230" s="33"/>
      <c r="UNU230" s="33"/>
      <c r="UNV230" s="34"/>
      <c r="UNW230" s="34"/>
      <c r="UNX230" s="35"/>
      <c r="UNY230" s="35"/>
      <c r="UNZ230" s="32"/>
      <c r="UOA230" s="31"/>
      <c r="UOB230" s="31"/>
      <c r="UOC230" s="31"/>
      <c r="UOD230" s="32"/>
      <c r="UOE230" s="32"/>
      <c r="UOF230" s="32"/>
      <c r="UOG230" s="32"/>
      <c r="UOH230" s="32"/>
      <c r="UOI230" s="31"/>
      <c r="UOJ230" s="31"/>
      <c r="UOK230" s="33"/>
      <c r="UOL230" s="33"/>
      <c r="UOM230" s="34"/>
      <c r="UON230" s="34"/>
      <c r="UOO230" s="35"/>
      <c r="UOP230" s="35"/>
      <c r="UOQ230" s="32"/>
      <c r="UOR230" s="31"/>
      <c r="UOS230" s="31"/>
      <c r="UOT230" s="31"/>
      <c r="UOU230" s="32"/>
      <c r="UOV230" s="32"/>
      <c r="UOW230" s="32"/>
      <c r="UOX230" s="32"/>
      <c r="UOY230" s="32"/>
      <c r="UOZ230" s="31"/>
      <c r="UPA230" s="31"/>
      <c r="UPB230" s="33"/>
      <c r="UPC230" s="33"/>
      <c r="UPD230" s="34"/>
      <c r="UPE230" s="34"/>
      <c r="UPF230" s="35"/>
      <c r="UPG230" s="35"/>
      <c r="UPH230" s="32"/>
      <c r="UPI230" s="31"/>
      <c r="UPJ230" s="31"/>
      <c r="UPK230" s="31"/>
      <c r="UPL230" s="32"/>
      <c r="UPM230" s="32"/>
      <c r="UPN230" s="32"/>
      <c r="UPO230" s="32"/>
      <c r="UPP230" s="32"/>
      <c r="UPQ230" s="31"/>
      <c r="UPR230" s="31"/>
      <c r="UPS230" s="33"/>
      <c r="UPT230" s="33"/>
      <c r="UPU230" s="34"/>
      <c r="UPV230" s="34"/>
      <c r="UPW230" s="35"/>
      <c r="UPX230" s="35"/>
      <c r="UPY230" s="32"/>
      <c r="UPZ230" s="31"/>
      <c r="UQA230" s="31"/>
      <c r="UQB230" s="31"/>
      <c r="UQC230" s="32"/>
      <c r="UQD230" s="32"/>
      <c r="UQE230" s="32"/>
      <c r="UQF230" s="32"/>
      <c r="UQG230" s="32"/>
      <c r="UQH230" s="31"/>
      <c r="UQI230" s="31"/>
      <c r="UQJ230" s="33"/>
      <c r="UQK230" s="33"/>
      <c r="UQL230" s="34"/>
      <c r="UQM230" s="34"/>
      <c r="UQN230" s="35"/>
      <c r="UQO230" s="35"/>
      <c r="UQP230" s="32"/>
      <c r="UQQ230" s="31"/>
      <c r="UQR230" s="31"/>
      <c r="UQS230" s="31"/>
      <c r="UQT230" s="32"/>
      <c r="UQU230" s="32"/>
      <c r="UQV230" s="32"/>
      <c r="UQW230" s="32"/>
      <c r="UQX230" s="32"/>
      <c r="UQY230" s="31"/>
      <c r="UQZ230" s="31"/>
      <c r="URA230" s="33"/>
      <c r="URB230" s="33"/>
      <c r="URC230" s="34"/>
      <c r="URD230" s="34"/>
      <c r="URE230" s="35"/>
      <c r="URF230" s="35"/>
      <c r="URG230" s="32"/>
      <c r="URH230" s="31"/>
      <c r="URI230" s="31"/>
      <c r="URJ230" s="31"/>
      <c r="URK230" s="32"/>
      <c r="URL230" s="32"/>
      <c r="URM230" s="32"/>
      <c r="URN230" s="32"/>
      <c r="URO230" s="32"/>
      <c r="URP230" s="31"/>
      <c r="URQ230" s="31"/>
      <c r="URR230" s="33"/>
      <c r="URS230" s="33"/>
      <c r="URT230" s="34"/>
      <c r="URU230" s="34"/>
      <c r="URV230" s="35"/>
      <c r="URW230" s="35"/>
      <c r="URX230" s="32"/>
      <c r="URY230" s="31"/>
      <c r="URZ230" s="31"/>
      <c r="USA230" s="31"/>
      <c r="USB230" s="32"/>
      <c r="USC230" s="32"/>
      <c r="USD230" s="32"/>
      <c r="USE230" s="32"/>
      <c r="USF230" s="32"/>
      <c r="USG230" s="31"/>
      <c r="USH230" s="31"/>
      <c r="USI230" s="33"/>
      <c r="USJ230" s="33"/>
      <c r="USK230" s="34"/>
      <c r="USL230" s="34"/>
      <c r="USM230" s="35"/>
      <c r="USN230" s="35"/>
      <c r="USO230" s="32"/>
      <c r="USP230" s="31"/>
      <c r="USQ230" s="31"/>
      <c r="USR230" s="31"/>
      <c r="USS230" s="32"/>
      <c r="UST230" s="32"/>
      <c r="USU230" s="32"/>
      <c r="USV230" s="32"/>
      <c r="USW230" s="32"/>
      <c r="USX230" s="31"/>
      <c r="USY230" s="31"/>
      <c r="USZ230" s="33"/>
      <c r="UTA230" s="33"/>
      <c r="UTB230" s="34"/>
      <c r="UTC230" s="34"/>
      <c r="UTD230" s="35"/>
      <c r="UTE230" s="35"/>
      <c r="UTF230" s="32"/>
      <c r="UTG230" s="31"/>
      <c r="UTH230" s="31"/>
      <c r="UTI230" s="31"/>
      <c r="UTJ230" s="32"/>
      <c r="UTK230" s="32"/>
      <c r="UTL230" s="32"/>
      <c r="UTM230" s="32"/>
      <c r="UTN230" s="32"/>
      <c r="UTO230" s="31"/>
      <c r="UTP230" s="31"/>
      <c r="UTQ230" s="33"/>
      <c r="UTR230" s="33"/>
      <c r="UTS230" s="34"/>
      <c r="UTT230" s="34"/>
      <c r="UTU230" s="35"/>
      <c r="UTV230" s="35"/>
      <c r="UTW230" s="32"/>
      <c r="UTX230" s="31"/>
      <c r="UTY230" s="31"/>
      <c r="UTZ230" s="31"/>
      <c r="UUA230" s="32"/>
      <c r="UUB230" s="32"/>
      <c r="UUC230" s="32"/>
      <c r="UUD230" s="32"/>
      <c r="UUE230" s="32"/>
      <c r="UUF230" s="31"/>
      <c r="UUG230" s="31"/>
      <c r="UUH230" s="33"/>
      <c r="UUI230" s="33"/>
      <c r="UUJ230" s="34"/>
      <c r="UUK230" s="34"/>
      <c r="UUL230" s="35"/>
      <c r="UUM230" s="35"/>
      <c r="UUN230" s="32"/>
      <c r="UUO230" s="31"/>
      <c r="UUP230" s="31"/>
      <c r="UUQ230" s="31"/>
      <c r="UUR230" s="32"/>
      <c r="UUS230" s="32"/>
      <c r="UUT230" s="32"/>
      <c r="UUU230" s="32"/>
      <c r="UUV230" s="32"/>
      <c r="UUW230" s="31"/>
      <c r="UUX230" s="31"/>
      <c r="UUY230" s="33"/>
      <c r="UUZ230" s="33"/>
      <c r="UVA230" s="34"/>
      <c r="UVB230" s="34"/>
      <c r="UVC230" s="35"/>
      <c r="UVD230" s="35"/>
      <c r="UVE230" s="32"/>
      <c r="UVF230" s="31"/>
      <c r="UVG230" s="31"/>
      <c r="UVH230" s="31"/>
      <c r="UVI230" s="32"/>
      <c r="UVJ230" s="32"/>
      <c r="UVK230" s="32"/>
      <c r="UVL230" s="32"/>
      <c r="UVM230" s="32"/>
      <c r="UVN230" s="31"/>
      <c r="UVO230" s="31"/>
      <c r="UVP230" s="33"/>
      <c r="UVQ230" s="33"/>
      <c r="UVR230" s="34"/>
      <c r="UVS230" s="34"/>
      <c r="UVT230" s="35"/>
      <c r="UVU230" s="35"/>
      <c r="UVV230" s="32"/>
      <c r="UVW230" s="31"/>
      <c r="UVX230" s="31"/>
      <c r="UVY230" s="31"/>
      <c r="UVZ230" s="32"/>
      <c r="UWA230" s="32"/>
      <c r="UWB230" s="32"/>
      <c r="UWC230" s="32"/>
      <c r="UWD230" s="32"/>
      <c r="UWE230" s="31"/>
      <c r="UWF230" s="31"/>
      <c r="UWG230" s="33"/>
      <c r="UWH230" s="33"/>
      <c r="UWI230" s="34"/>
      <c r="UWJ230" s="34"/>
      <c r="UWK230" s="35"/>
      <c r="UWL230" s="35"/>
      <c r="UWM230" s="32"/>
      <c r="UWN230" s="31"/>
      <c r="UWO230" s="31"/>
      <c r="UWP230" s="31"/>
      <c r="UWQ230" s="32"/>
      <c r="UWR230" s="32"/>
      <c r="UWS230" s="32"/>
      <c r="UWT230" s="32"/>
      <c r="UWU230" s="32"/>
      <c r="UWV230" s="31"/>
      <c r="UWW230" s="31"/>
      <c r="UWX230" s="33"/>
      <c r="UWY230" s="33"/>
      <c r="UWZ230" s="34"/>
      <c r="UXA230" s="34"/>
      <c r="UXB230" s="35"/>
      <c r="UXC230" s="35"/>
      <c r="UXD230" s="32"/>
      <c r="UXE230" s="31"/>
      <c r="UXF230" s="31"/>
      <c r="UXG230" s="31"/>
      <c r="UXH230" s="32"/>
      <c r="UXI230" s="32"/>
      <c r="UXJ230" s="32"/>
      <c r="UXK230" s="32"/>
      <c r="UXL230" s="32"/>
      <c r="UXM230" s="31"/>
      <c r="UXN230" s="31"/>
      <c r="UXO230" s="33"/>
      <c r="UXP230" s="33"/>
      <c r="UXQ230" s="34"/>
      <c r="UXR230" s="34"/>
      <c r="UXS230" s="35"/>
      <c r="UXT230" s="35"/>
      <c r="UXU230" s="32"/>
      <c r="UXV230" s="31"/>
      <c r="UXW230" s="31"/>
      <c r="UXX230" s="31"/>
      <c r="UXY230" s="32"/>
      <c r="UXZ230" s="32"/>
      <c r="UYA230" s="32"/>
      <c r="UYB230" s="32"/>
      <c r="UYC230" s="32"/>
      <c r="UYD230" s="31"/>
      <c r="UYE230" s="31"/>
      <c r="UYF230" s="33"/>
      <c r="UYG230" s="33"/>
      <c r="UYH230" s="34"/>
      <c r="UYI230" s="34"/>
      <c r="UYJ230" s="35"/>
      <c r="UYK230" s="35"/>
      <c r="UYL230" s="32"/>
      <c r="UYM230" s="31"/>
      <c r="UYN230" s="31"/>
      <c r="UYO230" s="31"/>
      <c r="UYP230" s="32"/>
      <c r="UYQ230" s="32"/>
      <c r="UYR230" s="32"/>
      <c r="UYS230" s="32"/>
      <c r="UYT230" s="32"/>
      <c r="UYU230" s="31"/>
      <c r="UYV230" s="31"/>
      <c r="UYW230" s="33"/>
      <c r="UYX230" s="33"/>
      <c r="UYY230" s="34"/>
      <c r="UYZ230" s="34"/>
      <c r="UZA230" s="35"/>
      <c r="UZB230" s="35"/>
      <c r="UZC230" s="32"/>
      <c r="UZD230" s="31"/>
      <c r="UZE230" s="31"/>
      <c r="UZF230" s="31"/>
      <c r="UZG230" s="32"/>
      <c r="UZH230" s="32"/>
      <c r="UZI230" s="32"/>
      <c r="UZJ230" s="32"/>
      <c r="UZK230" s="32"/>
      <c r="UZL230" s="31"/>
      <c r="UZM230" s="31"/>
      <c r="UZN230" s="33"/>
      <c r="UZO230" s="33"/>
      <c r="UZP230" s="34"/>
      <c r="UZQ230" s="34"/>
      <c r="UZR230" s="35"/>
      <c r="UZS230" s="35"/>
      <c r="UZT230" s="32"/>
      <c r="UZU230" s="31"/>
      <c r="UZV230" s="31"/>
      <c r="UZW230" s="31"/>
      <c r="UZX230" s="32"/>
      <c r="UZY230" s="32"/>
      <c r="UZZ230" s="32"/>
      <c r="VAA230" s="32"/>
      <c r="VAB230" s="32"/>
      <c r="VAC230" s="31"/>
      <c r="VAD230" s="31"/>
      <c r="VAE230" s="33"/>
      <c r="VAF230" s="33"/>
      <c r="VAG230" s="34"/>
      <c r="VAH230" s="34"/>
      <c r="VAI230" s="35"/>
      <c r="VAJ230" s="35"/>
      <c r="VAK230" s="32"/>
      <c r="VAL230" s="31"/>
      <c r="VAM230" s="31"/>
      <c r="VAN230" s="31"/>
      <c r="VAO230" s="32"/>
      <c r="VAP230" s="32"/>
      <c r="VAQ230" s="32"/>
      <c r="VAR230" s="32"/>
      <c r="VAS230" s="32"/>
      <c r="VAT230" s="31"/>
      <c r="VAU230" s="31"/>
      <c r="VAV230" s="33"/>
      <c r="VAW230" s="33"/>
      <c r="VAX230" s="34"/>
      <c r="VAY230" s="34"/>
      <c r="VAZ230" s="35"/>
      <c r="VBA230" s="35"/>
      <c r="VBB230" s="32"/>
      <c r="VBC230" s="31"/>
      <c r="VBD230" s="31"/>
      <c r="VBE230" s="31"/>
      <c r="VBF230" s="32"/>
      <c r="VBG230" s="32"/>
      <c r="VBH230" s="32"/>
      <c r="VBI230" s="32"/>
      <c r="VBJ230" s="32"/>
      <c r="VBK230" s="31"/>
      <c r="VBL230" s="31"/>
      <c r="VBM230" s="33"/>
      <c r="VBN230" s="33"/>
      <c r="VBO230" s="34"/>
      <c r="VBP230" s="34"/>
      <c r="VBQ230" s="35"/>
      <c r="VBR230" s="35"/>
      <c r="VBS230" s="32"/>
      <c r="VBT230" s="31"/>
      <c r="VBU230" s="31"/>
      <c r="VBV230" s="31"/>
      <c r="VBW230" s="32"/>
      <c r="VBX230" s="32"/>
      <c r="VBY230" s="32"/>
      <c r="VBZ230" s="32"/>
      <c r="VCA230" s="32"/>
      <c r="VCB230" s="31"/>
      <c r="VCC230" s="31"/>
      <c r="VCD230" s="33"/>
      <c r="VCE230" s="33"/>
      <c r="VCF230" s="34"/>
      <c r="VCG230" s="34"/>
      <c r="VCH230" s="35"/>
      <c r="VCI230" s="35"/>
      <c r="VCJ230" s="32"/>
      <c r="VCK230" s="31"/>
      <c r="VCL230" s="31"/>
      <c r="VCM230" s="31"/>
      <c r="VCN230" s="32"/>
      <c r="VCO230" s="32"/>
      <c r="VCP230" s="32"/>
      <c r="VCQ230" s="32"/>
      <c r="VCR230" s="32"/>
      <c r="VCS230" s="31"/>
      <c r="VCT230" s="31"/>
      <c r="VCU230" s="33"/>
      <c r="VCV230" s="33"/>
      <c r="VCW230" s="34"/>
      <c r="VCX230" s="34"/>
      <c r="VCY230" s="35"/>
      <c r="VCZ230" s="35"/>
      <c r="VDA230" s="32"/>
      <c r="VDB230" s="31"/>
      <c r="VDC230" s="31"/>
      <c r="VDD230" s="31"/>
      <c r="VDE230" s="32"/>
      <c r="VDF230" s="32"/>
      <c r="VDG230" s="32"/>
      <c r="VDH230" s="32"/>
      <c r="VDI230" s="32"/>
      <c r="VDJ230" s="31"/>
      <c r="VDK230" s="31"/>
      <c r="VDL230" s="33"/>
      <c r="VDM230" s="33"/>
      <c r="VDN230" s="34"/>
      <c r="VDO230" s="34"/>
      <c r="VDP230" s="35"/>
      <c r="VDQ230" s="35"/>
      <c r="VDR230" s="32"/>
      <c r="VDS230" s="31"/>
      <c r="VDT230" s="31"/>
      <c r="VDU230" s="31"/>
      <c r="VDV230" s="32"/>
      <c r="VDW230" s="32"/>
      <c r="VDX230" s="32"/>
      <c r="VDY230" s="32"/>
      <c r="VDZ230" s="32"/>
      <c r="VEA230" s="31"/>
      <c r="VEB230" s="31"/>
      <c r="VEC230" s="33"/>
      <c r="VED230" s="33"/>
      <c r="VEE230" s="34"/>
      <c r="VEF230" s="34"/>
      <c r="VEG230" s="35"/>
      <c r="VEH230" s="35"/>
      <c r="VEI230" s="32"/>
      <c r="VEJ230" s="31"/>
      <c r="VEK230" s="31"/>
      <c r="VEL230" s="31"/>
      <c r="VEM230" s="32"/>
      <c r="VEN230" s="32"/>
      <c r="VEO230" s="32"/>
      <c r="VEP230" s="32"/>
      <c r="VEQ230" s="32"/>
      <c r="VER230" s="31"/>
      <c r="VES230" s="31"/>
      <c r="VET230" s="33"/>
      <c r="VEU230" s="33"/>
      <c r="VEV230" s="34"/>
      <c r="VEW230" s="34"/>
      <c r="VEX230" s="35"/>
      <c r="VEY230" s="35"/>
      <c r="VEZ230" s="32"/>
      <c r="VFA230" s="31"/>
      <c r="VFB230" s="31"/>
      <c r="VFC230" s="31"/>
      <c r="VFD230" s="32"/>
      <c r="VFE230" s="32"/>
      <c r="VFF230" s="32"/>
      <c r="VFG230" s="32"/>
      <c r="VFH230" s="32"/>
      <c r="VFI230" s="31"/>
      <c r="VFJ230" s="31"/>
      <c r="VFK230" s="33"/>
      <c r="VFL230" s="33"/>
      <c r="VFM230" s="34"/>
      <c r="VFN230" s="34"/>
      <c r="VFO230" s="35"/>
      <c r="VFP230" s="35"/>
      <c r="VFQ230" s="32"/>
      <c r="VFR230" s="31"/>
      <c r="VFS230" s="31"/>
      <c r="VFT230" s="31"/>
      <c r="VFU230" s="32"/>
      <c r="VFV230" s="32"/>
      <c r="VFW230" s="32"/>
      <c r="VFX230" s="32"/>
      <c r="VFY230" s="32"/>
      <c r="VFZ230" s="31"/>
      <c r="VGA230" s="31"/>
      <c r="VGB230" s="33"/>
      <c r="VGC230" s="33"/>
      <c r="VGD230" s="34"/>
      <c r="VGE230" s="34"/>
      <c r="VGF230" s="35"/>
      <c r="VGG230" s="35"/>
      <c r="VGH230" s="32"/>
      <c r="VGI230" s="31"/>
      <c r="VGJ230" s="31"/>
      <c r="VGK230" s="31"/>
      <c r="VGL230" s="32"/>
      <c r="VGM230" s="32"/>
      <c r="VGN230" s="32"/>
      <c r="VGO230" s="32"/>
      <c r="VGP230" s="32"/>
      <c r="VGQ230" s="31"/>
      <c r="VGR230" s="31"/>
      <c r="VGS230" s="33"/>
      <c r="VGT230" s="33"/>
      <c r="VGU230" s="34"/>
      <c r="VGV230" s="34"/>
      <c r="VGW230" s="35"/>
      <c r="VGX230" s="35"/>
      <c r="VGY230" s="32"/>
      <c r="VGZ230" s="31"/>
      <c r="VHA230" s="31"/>
      <c r="VHB230" s="31"/>
      <c r="VHC230" s="32"/>
      <c r="VHD230" s="32"/>
      <c r="VHE230" s="32"/>
      <c r="VHF230" s="32"/>
      <c r="VHG230" s="32"/>
      <c r="VHH230" s="31"/>
      <c r="VHI230" s="31"/>
      <c r="VHJ230" s="33"/>
      <c r="VHK230" s="33"/>
      <c r="VHL230" s="34"/>
      <c r="VHM230" s="34"/>
      <c r="VHN230" s="35"/>
      <c r="VHO230" s="35"/>
      <c r="VHP230" s="32"/>
      <c r="VHQ230" s="31"/>
      <c r="VHR230" s="31"/>
      <c r="VHS230" s="31"/>
      <c r="VHT230" s="32"/>
      <c r="VHU230" s="32"/>
      <c r="VHV230" s="32"/>
      <c r="VHW230" s="32"/>
      <c r="VHX230" s="32"/>
      <c r="VHY230" s="31"/>
      <c r="VHZ230" s="31"/>
      <c r="VIA230" s="33"/>
      <c r="VIB230" s="33"/>
      <c r="VIC230" s="34"/>
      <c r="VID230" s="34"/>
      <c r="VIE230" s="35"/>
      <c r="VIF230" s="35"/>
      <c r="VIG230" s="32"/>
      <c r="VIH230" s="31"/>
      <c r="VII230" s="31"/>
      <c r="VIJ230" s="31"/>
      <c r="VIK230" s="32"/>
      <c r="VIL230" s="32"/>
      <c r="VIM230" s="32"/>
      <c r="VIN230" s="32"/>
      <c r="VIO230" s="32"/>
      <c r="VIP230" s="31"/>
      <c r="VIQ230" s="31"/>
      <c r="VIR230" s="33"/>
      <c r="VIS230" s="33"/>
      <c r="VIT230" s="34"/>
      <c r="VIU230" s="34"/>
      <c r="VIV230" s="35"/>
      <c r="VIW230" s="35"/>
      <c r="VIX230" s="32"/>
      <c r="VIY230" s="31"/>
      <c r="VIZ230" s="31"/>
      <c r="VJA230" s="31"/>
      <c r="VJB230" s="32"/>
      <c r="VJC230" s="32"/>
      <c r="VJD230" s="32"/>
      <c r="VJE230" s="32"/>
      <c r="VJF230" s="32"/>
      <c r="VJG230" s="31"/>
      <c r="VJH230" s="31"/>
      <c r="VJI230" s="33"/>
      <c r="VJJ230" s="33"/>
      <c r="VJK230" s="34"/>
      <c r="VJL230" s="34"/>
      <c r="VJM230" s="35"/>
      <c r="VJN230" s="35"/>
      <c r="VJO230" s="32"/>
      <c r="VJP230" s="31"/>
      <c r="VJQ230" s="31"/>
      <c r="VJR230" s="31"/>
      <c r="VJS230" s="32"/>
      <c r="VJT230" s="32"/>
      <c r="VJU230" s="32"/>
      <c r="VJV230" s="32"/>
      <c r="VJW230" s="32"/>
      <c r="VJX230" s="31"/>
      <c r="VJY230" s="31"/>
      <c r="VJZ230" s="33"/>
      <c r="VKA230" s="33"/>
      <c r="VKB230" s="34"/>
      <c r="VKC230" s="34"/>
      <c r="VKD230" s="35"/>
      <c r="VKE230" s="35"/>
      <c r="VKF230" s="32"/>
      <c r="VKG230" s="31"/>
      <c r="VKH230" s="31"/>
      <c r="VKI230" s="31"/>
      <c r="VKJ230" s="32"/>
      <c r="VKK230" s="32"/>
      <c r="VKL230" s="32"/>
      <c r="VKM230" s="32"/>
      <c r="VKN230" s="32"/>
      <c r="VKO230" s="31"/>
      <c r="VKP230" s="31"/>
      <c r="VKQ230" s="33"/>
      <c r="VKR230" s="33"/>
      <c r="VKS230" s="34"/>
      <c r="VKT230" s="34"/>
      <c r="VKU230" s="35"/>
      <c r="VKV230" s="35"/>
      <c r="VKW230" s="32"/>
      <c r="VKX230" s="31"/>
      <c r="VKY230" s="31"/>
      <c r="VKZ230" s="31"/>
      <c r="VLA230" s="32"/>
      <c r="VLB230" s="32"/>
      <c r="VLC230" s="32"/>
      <c r="VLD230" s="32"/>
      <c r="VLE230" s="32"/>
      <c r="VLF230" s="31"/>
      <c r="VLG230" s="31"/>
      <c r="VLH230" s="33"/>
      <c r="VLI230" s="33"/>
      <c r="VLJ230" s="34"/>
      <c r="VLK230" s="34"/>
      <c r="VLL230" s="35"/>
      <c r="VLM230" s="35"/>
      <c r="VLN230" s="32"/>
      <c r="VLO230" s="31"/>
      <c r="VLP230" s="31"/>
      <c r="VLQ230" s="31"/>
      <c r="VLR230" s="32"/>
      <c r="VLS230" s="32"/>
      <c r="VLT230" s="32"/>
      <c r="VLU230" s="32"/>
      <c r="VLV230" s="32"/>
      <c r="VLW230" s="31"/>
      <c r="VLX230" s="31"/>
      <c r="VLY230" s="33"/>
      <c r="VLZ230" s="33"/>
      <c r="VMA230" s="34"/>
      <c r="VMB230" s="34"/>
      <c r="VMC230" s="35"/>
      <c r="VMD230" s="35"/>
      <c r="VME230" s="32"/>
      <c r="VMF230" s="31"/>
      <c r="VMG230" s="31"/>
      <c r="VMH230" s="31"/>
      <c r="VMI230" s="32"/>
      <c r="VMJ230" s="32"/>
      <c r="VMK230" s="32"/>
      <c r="VML230" s="32"/>
      <c r="VMM230" s="32"/>
      <c r="VMN230" s="31"/>
      <c r="VMO230" s="31"/>
      <c r="VMP230" s="33"/>
      <c r="VMQ230" s="33"/>
      <c r="VMR230" s="34"/>
      <c r="VMS230" s="34"/>
      <c r="VMT230" s="35"/>
      <c r="VMU230" s="35"/>
      <c r="VMV230" s="32"/>
      <c r="VMW230" s="31"/>
      <c r="VMX230" s="31"/>
      <c r="VMY230" s="31"/>
      <c r="VMZ230" s="32"/>
      <c r="VNA230" s="32"/>
      <c r="VNB230" s="32"/>
      <c r="VNC230" s="32"/>
      <c r="VND230" s="32"/>
      <c r="VNE230" s="31"/>
      <c r="VNF230" s="31"/>
      <c r="VNG230" s="33"/>
      <c r="VNH230" s="33"/>
      <c r="VNI230" s="34"/>
      <c r="VNJ230" s="34"/>
      <c r="VNK230" s="35"/>
      <c r="VNL230" s="35"/>
      <c r="VNM230" s="32"/>
      <c r="VNN230" s="31"/>
      <c r="VNO230" s="31"/>
      <c r="VNP230" s="31"/>
      <c r="VNQ230" s="32"/>
      <c r="VNR230" s="32"/>
      <c r="VNS230" s="32"/>
      <c r="VNT230" s="32"/>
      <c r="VNU230" s="32"/>
      <c r="VNV230" s="31"/>
      <c r="VNW230" s="31"/>
      <c r="VNX230" s="33"/>
      <c r="VNY230" s="33"/>
      <c r="VNZ230" s="34"/>
      <c r="VOA230" s="34"/>
      <c r="VOB230" s="35"/>
      <c r="VOC230" s="35"/>
      <c r="VOD230" s="32"/>
      <c r="VOE230" s="31"/>
      <c r="VOF230" s="31"/>
      <c r="VOG230" s="31"/>
      <c r="VOH230" s="32"/>
      <c r="VOI230" s="32"/>
      <c r="VOJ230" s="32"/>
      <c r="VOK230" s="32"/>
      <c r="VOL230" s="32"/>
      <c r="VOM230" s="31"/>
      <c r="VON230" s="31"/>
      <c r="VOO230" s="33"/>
      <c r="VOP230" s="33"/>
      <c r="VOQ230" s="34"/>
      <c r="VOR230" s="34"/>
      <c r="VOS230" s="35"/>
      <c r="VOT230" s="35"/>
      <c r="VOU230" s="32"/>
      <c r="VOV230" s="31"/>
      <c r="VOW230" s="31"/>
      <c r="VOX230" s="31"/>
      <c r="VOY230" s="32"/>
      <c r="VOZ230" s="32"/>
      <c r="VPA230" s="32"/>
      <c r="VPB230" s="32"/>
      <c r="VPC230" s="32"/>
      <c r="VPD230" s="31"/>
      <c r="VPE230" s="31"/>
      <c r="VPF230" s="33"/>
      <c r="VPG230" s="33"/>
      <c r="VPH230" s="34"/>
      <c r="VPI230" s="34"/>
      <c r="VPJ230" s="35"/>
      <c r="VPK230" s="35"/>
      <c r="VPL230" s="32"/>
      <c r="VPM230" s="31"/>
      <c r="VPN230" s="31"/>
      <c r="VPO230" s="31"/>
      <c r="VPP230" s="32"/>
      <c r="VPQ230" s="32"/>
      <c r="VPR230" s="32"/>
      <c r="VPS230" s="32"/>
      <c r="VPT230" s="32"/>
      <c r="VPU230" s="31"/>
      <c r="VPV230" s="31"/>
      <c r="VPW230" s="33"/>
      <c r="VPX230" s="33"/>
      <c r="VPY230" s="34"/>
      <c r="VPZ230" s="34"/>
      <c r="VQA230" s="35"/>
      <c r="VQB230" s="35"/>
      <c r="VQC230" s="32"/>
      <c r="VQD230" s="31"/>
      <c r="VQE230" s="31"/>
      <c r="VQF230" s="31"/>
      <c r="VQG230" s="32"/>
      <c r="VQH230" s="32"/>
      <c r="VQI230" s="32"/>
      <c r="VQJ230" s="32"/>
      <c r="VQK230" s="32"/>
      <c r="VQL230" s="31"/>
      <c r="VQM230" s="31"/>
      <c r="VQN230" s="33"/>
      <c r="VQO230" s="33"/>
      <c r="VQP230" s="34"/>
      <c r="VQQ230" s="34"/>
      <c r="VQR230" s="35"/>
      <c r="VQS230" s="35"/>
      <c r="VQT230" s="32"/>
      <c r="VQU230" s="31"/>
      <c r="VQV230" s="31"/>
      <c r="VQW230" s="31"/>
      <c r="VQX230" s="32"/>
      <c r="VQY230" s="32"/>
      <c r="VQZ230" s="32"/>
      <c r="VRA230" s="32"/>
      <c r="VRB230" s="32"/>
      <c r="VRC230" s="31"/>
      <c r="VRD230" s="31"/>
      <c r="VRE230" s="33"/>
      <c r="VRF230" s="33"/>
      <c r="VRG230" s="34"/>
      <c r="VRH230" s="34"/>
      <c r="VRI230" s="35"/>
      <c r="VRJ230" s="35"/>
      <c r="VRK230" s="32"/>
      <c r="VRL230" s="31"/>
      <c r="VRM230" s="31"/>
      <c r="VRN230" s="31"/>
      <c r="VRO230" s="32"/>
      <c r="VRP230" s="32"/>
      <c r="VRQ230" s="32"/>
      <c r="VRR230" s="32"/>
      <c r="VRS230" s="32"/>
      <c r="VRT230" s="31"/>
      <c r="VRU230" s="31"/>
      <c r="VRV230" s="33"/>
      <c r="VRW230" s="33"/>
      <c r="VRX230" s="34"/>
      <c r="VRY230" s="34"/>
      <c r="VRZ230" s="35"/>
      <c r="VSA230" s="35"/>
      <c r="VSB230" s="32"/>
      <c r="VSC230" s="31"/>
      <c r="VSD230" s="31"/>
      <c r="VSE230" s="31"/>
      <c r="VSF230" s="32"/>
      <c r="VSG230" s="32"/>
      <c r="VSH230" s="32"/>
      <c r="VSI230" s="32"/>
      <c r="VSJ230" s="32"/>
      <c r="VSK230" s="31"/>
      <c r="VSL230" s="31"/>
      <c r="VSM230" s="33"/>
      <c r="VSN230" s="33"/>
      <c r="VSO230" s="34"/>
      <c r="VSP230" s="34"/>
      <c r="VSQ230" s="35"/>
      <c r="VSR230" s="35"/>
      <c r="VSS230" s="32"/>
      <c r="VST230" s="31"/>
      <c r="VSU230" s="31"/>
      <c r="VSV230" s="31"/>
      <c r="VSW230" s="32"/>
      <c r="VSX230" s="32"/>
      <c r="VSY230" s="32"/>
      <c r="VSZ230" s="32"/>
      <c r="VTA230" s="32"/>
      <c r="VTB230" s="31"/>
      <c r="VTC230" s="31"/>
      <c r="VTD230" s="33"/>
      <c r="VTE230" s="33"/>
      <c r="VTF230" s="34"/>
      <c r="VTG230" s="34"/>
      <c r="VTH230" s="35"/>
      <c r="VTI230" s="35"/>
      <c r="VTJ230" s="32"/>
      <c r="VTK230" s="31"/>
      <c r="VTL230" s="31"/>
      <c r="VTM230" s="31"/>
      <c r="VTN230" s="32"/>
      <c r="VTO230" s="32"/>
      <c r="VTP230" s="32"/>
      <c r="VTQ230" s="32"/>
      <c r="VTR230" s="32"/>
      <c r="VTS230" s="31"/>
      <c r="VTT230" s="31"/>
      <c r="VTU230" s="33"/>
      <c r="VTV230" s="33"/>
      <c r="VTW230" s="34"/>
      <c r="VTX230" s="34"/>
      <c r="VTY230" s="35"/>
      <c r="VTZ230" s="35"/>
      <c r="VUA230" s="32"/>
      <c r="VUB230" s="31"/>
      <c r="VUC230" s="31"/>
      <c r="VUD230" s="31"/>
      <c r="VUE230" s="32"/>
      <c r="VUF230" s="32"/>
      <c r="VUG230" s="32"/>
      <c r="VUH230" s="32"/>
      <c r="VUI230" s="32"/>
      <c r="VUJ230" s="31"/>
      <c r="VUK230" s="31"/>
      <c r="VUL230" s="33"/>
      <c r="VUM230" s="33"/>
      <c r="VUN230" s="34"/>
      <c r="VUO230" s="34"/>
      <c r="VUP230" s="35"/>
      <c r="VUQ230" s="35"/>
      <c r="VUR230" s="32"/>
      <c r="VUS230" s="31"/>
      <c r="VUT230" s="31"/>
      <c r="VUU230" s="31"/>
      <c r="VUV230" s="32"/>
      <c r="VUW230" s="32"/>
      <c r="VUX230" s="32"/>
      <c r="VUY230" s="32"/>
      <c r="VUZ230" s="32"/>
      <c r="VVA230" s="31"/>
      <c r="VVB230" s="31"/>
      <c r="VVC230" s="33"/>
      <c r="VVD230" s="33"/>
      <c r="VVE230" s="34"/>
      <c r="VVF230" s="34"/>
      <c r="VVG230" s="35"/>
      <c r="VVH230" s="35"/>
      <c r="VVI230" s="32"/>
      <c r="VVJ230" s="31"/>
      <c r="VVK230" s="31"/>
      <c r="VVL230" s="31"/>
      <c r="VVM230" s="32"/>
      <c r="VVN230" s="32"/>
      <c r="VVO230" s="32"/>
      <c r="VVP230" s="32"/>
      <c r="VVQ230" s="32"/>
      <c r="VVR230" s="31"/>
      <c r="VVS230" s="31"/>
      <c r="VVT230" s="33"/>
      <c r="VVU230" s="33"/>
      <c r="VVV230" s="34"/>
      <c r="VVW230" s="34"/>
      <c r="VVX230" s="35"/>
      <c r="VVY230" s="35"/>
      <c r="VVZ230" s="32"/>
      <c r="VWA230" s="31"/>
      <c r="VWB230" s="31"/>
      <c r="VWC230" s="31"/>
      <c r="VWD230" s="32"/>
      <c r="VWE230" s="32"/>
      <c r="VWF230" s="32"/>
      <c r="VWG230" s="32"/>
      <c r="VWH230" s="32"/>
      <c r="VWI230" s="31"/>
      <c r="VWJ230" s="31"/>
      <c r="VWK230" s="33"/>
      <c r="VWL230" s="33"/>
      <c r="VWM230" s="34"/>
      <c r="VWN230" s="34"/>
      <c r="VWO230" s="35"/>
      <c r="VWP230" s="35"/>
      <c r="VWQ230" s="32"/>
      <c r="VWR230" s="31"/>
      <c r="VWS230" s="31"/>
      <c r="VWT230" s="31"/>
      <c r="VWU230" s="32"/>
      <c r="VWV230" s="32"/>
      <c r="VWW230" s="32"/>
      <c r="VWX230" s="32"/>
      <c r="VWY230" s="32"/>
      <c r="VWZ230" s="31"/>
      <c r="VXA230" s="31"/>
      <c r="VXB230" s="33"/>
      <c r="VXC230" s="33"/>
      <c r="VXD230" s="34"/>
      <c r="VXE230" s="34"/>
      <c r="VXF230" s="35"/>
      <c r="VXG230" s="35"/>
      <c r="VXH230" s="32"/>
      <c r="VXI230" s="31"/>
      <c r="VXJ230" s="31"/>
      <c r="VXK230" s="31"/>
      <c r="VXL230" s="32"/>
      <c r="VXM230" s="32"/>
      <c r="VXN230" s="32"/>
      <c r="VXO230" s="32"/>
      <c r="VXP230" s="32"/>
      <c r="VXQ230" s="31"/>
      <c r="VXR230" s="31"/>
      <c r="VXS230" s="33"/>
      <c r="VXT230" s="33"/>
      <c r="VXU230" s="34"/>
      <c r="VXV230" s="34"/>
      <c r="VXW230" s="35"/>
      <c r="VXX230" s="35"/>
      <c r="VXY230" s="32"/>
      <c r="VXZ230" s="31"/>
      <c r="VYA230" s="31"/>
      <c r="VYB230" s="31"/>
      <c r="VYC230" s="32"/>
      <c r="VYD230" s="32"/>
      <c r="VYE230" s="32"/>
      <c r="VYF230" s="32"/>
      <c r="VYG230" s="32"/>
      <c r="VYH230" s="31"/>
      <c r="VYI230" s="31"/>
      <c r="VYJ230" s="33"/>
      <c r="VYK230" s="33"/>
      <c r="VYL230" s="34"/>
      <c r="VYM230" s="34"/>
      <c r="VYN230" s="35"/>
      <c r="VYO230" s="35"/>
      <c r="VYP230" s="32"/>
      <c r="VYQ230" s="31"/>
      <c r="VYR230" s="31"/>
      <c r="VYS230" s="31"/>
      <c r="VYT230" s="32"/>
      <c r="VYU230" s="32"/>
      <c r="VYV230" s="32"/>
      <c r="VYW230" s="32"/>
      <c r="VYX230" s="32"/>
      <c r="VYY230" s="31"/>
      <c r="VYZ230" s="31"/>
      <c r="VZA230" s="33"/>
      <c r="VZB230" s="33"/>
      <c r="VZC230" s="34"/>
      <c r="VZD230" s="34"/>
      <c r="VZE230" s="35"/>
      <c r="VZF230" s="35"/>
      <c r="VZG230" s="32"/>
      <c r="VZH230" s="31"/>
      <c r="VZI230" s="31"/>
      <c r="VZJ230" s="31"/>
      <c r="VZK230" s="32"/>
      <c r="VZL230" s="32"/>
      <c r="VZM230" s="32"/>
      <c r="VZN230" s="32"/>
      <c r="VZO230" s="32"/>
      <c r="VZP230" s="31"/>
      <c r="VZQ230" s="31"/>
      <c r="VZR230" s="33"/>
      <c r="VZS230" s="33"/>
      <c r="VZT230" s="34"/>
      <c r="VZU230" s="34"/>
      <c r="VZV230" s="35"/>
      <c r="VZW230" s="35"/>
      <c r="VZX230" s="32"/>
      <c r="VZY230" s="31"/>
      <c r="VZZ230" s="31"/>
      <c r="WAA230" s="31"/>
      <c r="WAB230" s="32"/>
      <c r="WAC230" s="32"/>
      <c r="WAD230" s="32"/>
      <c r="WAE230" s="32"/>
      <c r="WAF230" s="32"/>
      <c r="WAG230" s="31"/>
      <c r="WAH230" s="31"/>
      <c r="WAI230" s="33"/>
      <c r="WAJ230" s="33"/>
      <c r="WAK230" s="34"/>
      <c r="WAL230" s="34"/>
      <c r="WAM230" s="35"/>
      <c r="WAN230" s="35"/>
      <c r="WAO230" s="32"/>
      <c r="WAP230" s="31"/>
      <c r="WAQ230" s="31"/>
      <c r="WAR230" s="31"/>
      <c r="WAS230" s="32"/>
      <c r="WAT230" s="32"/>
      <c r="WAU230" s="32"/>
      <c r="WAV230" s="32"/>
      <c r="WAW230" s="32"/>
      <c r="WAX230" s="31"/>
      <c r="WAY230" s="31"/>
      <c r="WAZ230" s="33"/>
      <c r="WBA230" s="33"/>
      <c r="WBB230" s="34"/>
      <c r="WBC230" s="34"/>
      <c r="WBD230" s="35"/>
      <c r="WBE230" s="35"/>
      <c r="WBF230" s="32"/>
      <c r="WBG230" s="31"/>
      <c r="WBH230" s="31"/>
      <c r="WBI230" s="31"/>
      <c r="WBJ230" s="32"/>
      <c r="WBK230" s="32"/>
      <c r="WBL230" s="32"/>
      <c r="WBM230" s="32"/>
      <c r="WBN230" s="32"/>
      <c r="WBO230" s="31"/>
      <c r="WBP230" s="31"/>
      <c r="WBQ230" s="33"/>
      <c r="WBR230" s="33"/>
      <c r="WBS230" s="34"/>
      <c r="WBT230" s="34"/>
      <c r="WBU230" s="35"/>
      <c r="WBV230" s="35"/>
      <c r="WBW230" s="32"/>
      <c r="WBX230" s="31"/>
      <c r="WBY230" s="31"/>
      <c r="WBZ230" s="31"/>
      <c r="WCA230" s="32"/>
      <c r="WCB230" s="32"/>
      <c r="WCC230" s="32"/>
      <c r="WCD230" s="32"/>
      <c r="WCE230" s="32"/>
      <c r="WCF230" s="31"/>
      <c r="WCG230" s="31"/>
      <c r="WCH230" s="33"/>
      <c r="WCI230" s="33"/>
      <c r="WCJ230" s="34"/>
      <c r="WCK230" s="34"/>
      <c r="WCL230" s="35"/>
      <c r="WCM230" s="35"/>
      <c r="WCN230" s="32"/>
      <c r="WCO230" s="31"/>
      <c r="WCP230" s="31"/>
      <c r="WCQ230" s="31"/>
      <c r="WCR230" s="32"/>
      <c r="WCS230" s="32"/>
      <c r="WCT230" s="32"/>
      <c r="WCU230" s="32"/>
      <c r="WCV230" s="32"/>
      <c r="WCW230" s="31"/>
      <c r="WCX230" s="31"/>
      <c r="WCY230" s="33"/>
      <c r="WCZ230" s="33"/>
      <c r="WDA230" s="34"/>
      <c r="WDB230" s="34"/>
      <c r="WDC230" s="35"/>
      <c r="WDD230" s="35"/>
      <c r="WDE230" s="32"/>
      <c r="WDF230" s="31"/>
      <c r="WDG230" s="31"/>
      <c r="WDH230" s="31"/>
      <c r="WDI230" s="32"/>
      <c r="WDJ230" s="32"/>
      <c r="WDK230" s="32"/>
      <c r="WDL230" s="32"/>
      <c r="WDM230" s="32"/>
      <c r="WDN230" s="31"/>
      <c r="WDO230" s="31"/>
      <c r="WDP230" s="33"/>
      <c r="WDQ230" s="33"/>
      <c r="WDR230" s="34"/>
      <c r="WDS230" s="34"/>
      <c r="WDT230" s="35"/>
      <c r="WDU230" s="35"/>
      <c r="WDV230" s="32"/>
      <c r="WDW230" s="31"/>
      <c r="WDX230" s="31"/>
      <c r="WDY230" s="31"/>
      <c r="WDZ230" s="32"/>
      <c r="WEA230" s="32"/>
      <c r="WEB230" s="32"/>
      <c r="WEC230" s="32"/>
      <c r="WED230" s="32"/>
      <c r="WEE230" s="31"/>
      <c r="WEF230" s="31"/>
      <c r="WEG230" s="33"/>
      <c r="WEH230" s="33"/>
      <c r="WEI230" s="34"/>
      <c r="WEJ230" s="34"/>
      <c r="WEK230" s="35"/>
      <c r="WEL230" s="35"/>
      <c r="WEM230" s="32"/>
      <c r="WEN230" s="31"/>
      <c r="WEO230" s="31"/>
      <c r="WEP230" s="31"/>
      <c r="WEQ230" s="32"/>
      <c r="WER230" s="32"/>
      <c r="WES230" s="32"/>
      <c r="WET230" s="32"/>
      <c r="WEU230" s="32"/>
      <c r="WEV230" s="31"/>
      <c r="WEW230" s="31"/>
      <c r="WEX230" s="33"/>
      <c r="WEY230" s="33"/>
      <c r="WEZ230" s="34"/>
      <c r="WFA230" s="34"/>
      <c r="WFB230" s="35"/>
      <c r="WFC230" s="35"/>
      <c r="WFD230" s="32"/>
      <c r="WFE230" s="31"/>
      <c r="WFF230" s="31"/>
      <c r="WFG230" s="31"/>
      <c r="WFH230" s="32"/>
      <c r="WFI230" s="32"/>
      <c r="WFJ230" s="32"/>
      <c r="WFK230" s="32"/>
      <c r="WFL230" s="32"/>
      <c r="WFM230" s="31"/>
      <c r="WFN230" s="31"/>
      <c r="WFO230" s="33"/>
      <c r="WFP230" s="33"/>
      <c r="WFQ230" s="34"/>
      <c r="WFR230" s="34"/>
      <c r="WFS230" s="35"/>
      <c r="WFT230" s="35"/>
      <c r="WFU230" s="32"/>
      <c r="WFV230" s="31"/>
      <c r="WFW230" s="31"/>
      <c r="WFX230" s="31"/>
      <c r="WFY230" s="32"/>
      <c r="WFZ230" s="32"/>
      <c r="WGA230" s="32"/>
      <c r="WGB230" s="32"/>
      <c r="WGC230" s="32"/>
      <c r="WGD230" s="31"/>
      <c r="WGE230" s="31"/>
      <c r="WGF230" s="33"/>
      <c r="WGG230" s="33"/>
      <c r="WGH230" s="34"/>
      <c r="WGI230" s="34"/>
      <c r="WGJ230" s="35"/>
      <c r="WGK230" s="35"/>
      <c r="WGL230" s="32"/>
      <c r="WGM230" s="31"/>
      <c r="WGN230" s="31"/>
      <c r="WGO230" s="31"/>
      <c r="WGP230" s="32"/>
      <c r="WGQ230" s="32"/>
      <c r="WGR230" s="32"/>
      <c r="WGS230" s="32"/>
      <c r="WGT230" s="32"/>
      <c r="WGU230" s="31"/>
      <c r="WGV230" s="31"/>
      <c r="WGW230" s="33"/>
      <c r="WGX230" s="33"/>
      <c r="WGY230" s="34"/>
      <c r="WGZ230" s="34"/>
      <c r="WHA230" s="35"/>
      <c r="WHB230" s="35"/>
      <c r="WHC230" s="32"/>
      <c r="WHD230" s="31"/>
      <c r="WHE230" s="31"/>
      <c r="WHF230" s="31"/>
      <c r="WHG230" s="32"/>
      <c r="WHH230" s="32"/>
      <c r="WHI230" s="32"/>
      <c r="WHJ230" s="32"/>
      <c r="WHK230" s="32"/>
      <c r="WHL230" s="31"/>
      <c r="WHM230" s="31"/>
      <c r="WHN230" s="33"/>
      <c r="WHO230" s="33"/>
      <c r="WHP230" s="34"/>
      <c r="WHQ230" s="34"/>
      <c r="WHR230" s="35"/>
      <c r="WHS230" s="35"/>
      <c r="WHT230" s="32"/>
      <c r="WHU230" s="31"/>
      <c r="WHV230" s="31"/>
      <c r="WHW230" s="31"/>
      <c r="WHX230" s="32"/>
      <c r="WHY230" s="32"/>
      <c r="WHZ230" s="32"/>
      <c r="WIA230" s="32"/>
      <c r="WIB230" s="32"/>
      <c r="WIC230" s="31"/>
      <c r="WID230" s="31"/>
      <c r="WIE230" s="33"/>
      <c r="WIF230" s="33"/>
      <c r="WIG230" s="34"/>
      <c r="WIH230" s="34"/>
      <c r="WII230" s="35"/>
      <c r="WIJ230" s="35"/>
      <c r="WIK230" s="32"/>
      <c r="WIL230" s="31"/>
      <c r="WIM230" s="31"/>
      <c r="WIN230" s="31"/>
      <c r="WIO230" s="32"/>
      <c r="WIP230" s="32"/>
      <c r="WIQ230" s="32"/>
      <c r="WIR230" s="32"/>
      <c r="WIS230" s="32"/>
      <c r="WIT230" s="31"/>
      <c r="WIU230" s="31"/>
      <c r="WIV230" s="33"/>
      <c r="WIW230" s="33"/>
      <c r="WIX230" s="34"/>
      <c r="WIY230" s="34"/>
      <c r="WIZ230" s="35"/>
      <c r="WJA230" s="35"/>
      <c r="WJB230" s="32"/>
      <c r="WJC230" s="31"/>
      <c r="WJD230" s="31"/>
      <c r="WJE230" s="31"/>
      <c r="WJF230" s="32"/>
      <c r="WJG230" s="32"/>
      <c r="WJH230" s="32"/>
      <c r="WJI230" s="32"/>
      <c r="WJJ230" s="32"/>
      <c r="WJK230" s="31"/>
      <c r="WJL230" s="31"/>
      <c r="WJM230" s="33"/>
      <c r="WJN230" s="33"/>
      <c r="WJO230" s="34"/>
      <c r="WJP230" s="34"/>
      <c r="WJQ230" s="35"/>
      <c r="WJR230" s="35"/>
      <c r="WJS230" s="32"/>
      <c r="WJT230" s="31"/>
      <c r="WJU230" s="31"/>
      <c r="WJV230" s="31"/>
      <c r="WJW230" s="32"/>
      <c r="WJX230" s="32"/>
      <c r="WJY230" s="32"/>
      <c r="WJZ230" s="32"/>
      <c r="WKA230" s="32"/>
      <c r="WKB230" s="31"/>
      <c r="WKC230" s="31"/>
      <c r="WKD230" s="33"/>
      <c r="WKE230" s="33"/>
      <c r="WKF230" s="34"/>
      <c r="WKG230" s="34"/>
      <c r="WKH230" s="35"/>
      <c r="WKI230" s="35"/>
      <c r="WKJ230" s="32"/>
      <c r="WKK230" s="31"/>
      <c r="WKL230" s="31"/>
      <c r="WKM230" s="31"/>
      <c r="WKN230" s="32"/>
      <c r="WKO230" s="32"/>
      <c r="WKP230" s="32"/>
      <c r="WKQ230" s="32"/>
      <c r="WKR230" s="32"/>
      <c r="WKS230" s="31"/>
      <c r="WKT230" s="31"/>
      <c r="WKU230" s="33"/>
      <c r="WKV230" s="33"/>
      <c r="WKW230" s="34"/>
      <c r="WKX230" s="34"/>
      <c r="WKY230" s="35"/>
      <c r="WKZ230" s="35"/>
      <c r="WLA230" s="32"/>
      <c r="WLB230" s="31"/>
      <c r="WLC230" s="31"/>
      <c r="WLD230" s="31"/>
      <c r="WLE230" s="32"/>
      <c r="WLF230" s="32"/>
      <c r="WLG230" s="32"/>
      <c r="WLH230" s="32"/>
      <c r="WLI230" s="32"/>
      <c r="WLJ230" s="31"/>
      <c r="WLK230" s="31"/>
      <c r="WLL230" s="33"/>
      <c r="WLM230" s="33"/>
      <c r="WLN230" s="34"/>
      <c r="WLO230" s="34"/>
      <c r="WLP230" s="35"/>
      <c r="WLQ230" s="35"/>
      <c r="WLR230" s="32"/>
      <c r="WLS230" s="31"/>
      <c r="WLT230" s="31"/>
      <c r="WLU230" s="31"/>
      <c r="WLV230" s="32"/>
      <c r="WLW230" s="32"/>
      <c r="WLX230" s="32"/>
      <c r="WLY230" s="32"/>
      <c r="WLZ230" s="32"/>
      <c r="WMA230" s="31"/>
      <c r="WMB230" s="31"/>
      <c r="WMC230" s="33"/>
      <c r="WMD230" s="33"/>
      <c r="WME230" s="34"/>
      <c r="WMF230" s="34"/>
      <c r="WMG230" s="35"/>
      <c r="WMH230" s="35"/>
      <c r="WMI230" s="32"/>
      <c r="WMJ230" s="31"/>
      <c r="WMK230" s="31"/>
      <c r="WML230" s="31"/>
      <c r="WMM230" s="32"/>
      <c r="WMN230" s="32"/>
      <c r="WMO230" s="32"/>
      <c r="WMP230" s="32"/>
      <c r="WMQ230" s="32"/>
      <c r="WMR230" s="31"/>
      <c r="WMS230" s="31"/>
      <c r="WMT230" s="33"/>
      <c r="WMU230" s="33"/>
      <c r="WMV230" s="34"/>
      <c r="WMW230" s="34"/>
      <c r="WMX230" s="35"/>
      <c r="WMY230" s="35"/>
      <c r="WMZ230" s="32"/>
      <c r="WNA230" s="31"/>
      <c r="WNB230" s="31"/>
      <c r="WNC230" s="31"/>
      <c r="WND230" s="32"/>
      <c r="WNE230" s="32"/>
      <c r="WNF230" s="32"/>
      <c r="WNG230" s="32"/>
      <c r="WNH230" s="32"/>
      <c r="WNI230" s="31"/>
      <c r="WNJ230" s="31"/>
      <c r="WNK230" s="33"/>
      <c r="WNL230" s="33"/>
      <c r="WNM230" s="34"/>
      <c r="WNN230" s="34"/>
      <c r="WNO230" s="35"/>
      <c r="WNP230" s="35"/>
      <c r="WNQ230" s="32"/>
      <c r="WNR230" s="31"/>
      <c r="WNS230" s="31"/>
      <c r="WNT230" s="31"/>
      <c r="WNU230" s="32"/>
      <c r="WNV230" s="32"/>
      <c r="WNW230" s="32"/>
      <c r="WNX230" s="32"/>
      <c r="WNY230" s="32"/>
      <c r="WNZ230" s="31"/>
      <c r="WOA230" s="31"/>
      <c r="WOB230" s="33"/>
      <c r="WOC230" s="33"/>
      <c r="WOD230" s="34"/>
      <c r="WOE230" s="34"/>
      <c r="WOF230" s="35"/>
      <c r="WOG230" s="35"/>
      <c r="WOH230" s="32"/>
      <c r="WOI230" s="31"/>
      <c r="WOJ230" s="31"/>
      <c r="WOK230" s="31"/>
      <c r="WOL230" s="32"/>
      <c r="WOM230" s="32"/>
      <c r="WON230" s="32"/>
      <c r="WOO230" s="32"/>
      <c r="WOP230" s="32"/>
      <c r="WOQ230" s="31"/>
      <c r="WOR230" s="31"/>
      <c r="WOS230" s="33"/>
      <c r="WOT230" s="33"/>
      <c r="WOU230" s="34"/>
      <c r="WOV230" s="34"/>
      <c r="WOW230" s="35"/>
      <c r="WOX230" s="35"/>
      <c r="WOY230" s="32"/>
      <c r="WOZ230" s="31"/>
      <c r="WPA230" s="31"/>
      <c r="WPB230" s="31"/>
      <c r="WPC230" s="32"/>
      <c r="WPD230" s="32"/>
      <c r="WPE230" s="32"/>
      <c r="WPF230" s="32"/>
      <c r="WPG230" s="32"/>
      <c r="WPH230" s="31"/>
      <c r="WPI230" s="31"/>
      <c r="WPJ230" s="33"/>
      <c r="WPK230" s="33"/>
      <c r="WPL230" s="34"/>
      <c r="WPM230" s="34"/>
      <c r="WPN230" s="35"/>
      <c r="WPO230" s="35"/>
      <c r="WPP230" s="32"/>
      <c r="WPQ230" s="31"/>
      <c r="WPR230" s="31"/>
      <c r="WPS230" s="31"/>
      <c r="WPT230" s="32"/>
      <c r="WPU230" s="32"/>
      <c r="WPV230" s="32"/>
      <c r="WPW230" s="32"/>
      <c r="WPX230" s="32"/>
      <c r="WPY230" s="31"/>
      <c r="WPZ230" s="31"/>
      <c r="WQA230" s="33"/>
      <c r="WQB230" s="33"/>
      <c r="WQC230" s="34"/>
      <c r="WQD230" s="34"/>
      <c r="WQE230" s="35"/>
      <c r="WQF230" s="35"/>
      <c r="WQG230" s="32"/>
      <c r="WQH230" s="31"/>
      <c r="WQI230" s="31"/>
      <c r="WQJ230" s="31"/>
      <c r="WQK230" s="32"/>
      <c r="WQL230" s="32"/>
      <c r="WQM230" s="32"/>
      <c r="WQN230" s="32"/>
      <c r="WQO230" s="32"/>
      <c r="WQP230" s="31"/>
      <c r="WQQ230" s="31"/>
      <c r="WQR230" s="33"/>
      <c r="WQS230" s="33"/>
      <c r="WQT230" s="34"/>
      <c r="WQU230" s="34"/>
      <c r="WQV230" s="35"/>
      <c r="WQW230" s="35"/>
      <c r="WQX230" s="32"/>
      <c r="WQY230" s="31"/>
      <c r="WQZ230" s="31"/>
      <c r="WRA230" s="31"/>
      <c r="WRB230" s="32"/>
      <c r="WRC230" s="32"/>
      <c r="WRD230" s="32"/>
      <c r="WRE230" s="32"/>
      <c r="WRF230" s="32"/>
      <c r="WRG230" s="31"/>
      <c r="WRH230" s="31"/>
      <c r="WRI230" s="33"/>
      <c r="WRJ230" s="33"/>
      <c r="WRK230" s="34"/>
      <c r="WRL230" s="34"/>
      <c r="WRM230" s="35"/>
      <c r="WRN230" s="35"/>
      <c r="WRO230" s="32"/>
      <c r="WRP230" s="31"/>
      <c r="WRQ230" s="31"/>
      <c r="WRR230" s="31"/>
      <c r="WRS230" s="32"/>
      <c r="WRT230" s="32"/>
      <c r="WRU230" s="32"/>
      <c r="WRV230" s="32"/>
      <c r="WRW230" s="32"/>
      <c r="WRX230" s="31"/>
      <c r="WRY230" s="31"/>
      <c r="WRZ230" s="33"/>
      <c r="WSA230" s="33"/>
      <c r="WSB230" s="34"/>
      <c r="WSC230" s="34"/>
      <c r="WSD230" s="35"/>
      <c r="WSE230" s="35"/>
      <c r="WSF230" s="32"/>
      <c r="WSG230" s="31"/>
      <c r="WSH230" s="31"/>
      <c r="WSI230" s="31"/>
      <c r="WSJ230" s="32"/>
      <c r="WSK230" s="32"/>
      <c r="WSL230" s="32"/>
      <c r="WSM230" s="32"/>
      <c r="WSN230" s="32"/>
      <c r="WSO230" s="31"/>
      <c r="WSP230" s="31"/>
      <c r="WSQ230" s="33"/>
      <c r="WSR230" s="33"/>
      <c r="WSS230" s="34"/>
      <c r="WST230" s="34"/>
      <c r="WSU230" s="35"/>
      <c r="WSV230" s="35"/>
      <c r="WSW230" s="32"/>
      <c r="WSX230" s="31"/>
      <c r="WSY230" s="31"/>
      <c r="WSZ230" s="31"/>
      <c r="WTA230" s="32"/>
      <c r="WTB230" s="32"/>
      <c r="WTC230" s="32"/>
      <c r="WTD230" s="32"/>
      <c r="WTE230" s="32"/>
      <c r="WTF230" s="31"/>
      <c r="WTG230" s="31"/>
      <c r="WTH230" s="33"/>
      <c r="WTI230" s="33"/>
      <c r="WTJ230" s="34"/>
      <c r="WTK230" s="34"/>
      <c r="WTL230" s="35"/>
      <c r="WTM230" s="35"/>
      <c r="WTN230" s="32"/>
      <c r="WTO230" s="31"/>
      <c r="WTP230" s="31"/>
      <c r="WTQ230" s="31"/>
      <c r="WTR230" s="32"/>
      <c r="WTS230" s="32"/>
      <c r="WTT230" s="32"/>
      <c r="WTU230" s="32"/>
      <c r="WTV230" s="32"/>
      <c r="WTW230" s="31"/>
      <c r="WTX230" s="31"/>
      <c r="WTY230" s="33"/>
      <c r="WTZ230" s="33"/>
      <c r="WUA230" s="34"/>
      <c r="WUB230" s="34"/>
      <c r="WUC230" s="35"/>
      <c r="WUD230" s="35"/>
      <c r="WUE230" s="32"/>
      <c r="WUF230" s="31"/>
      <c r="WUG230" s="31"/>
      <c r="WUH230" s="31"/>
      <c r="WUI230" s="32"/>
      <c r="WUJ230" s="32"/>
      <c r="WUK230" s="32"/>
      <c r="WUL230" s="32"/>
      <c r="WUM230" s="32"/>
      <c r="WUN230" s="31"/>
      <c r="WUO230" s="31"/>
      <c r="WUP230" s="33"/>
      <c r="WUQ230" s="33"/>
      <c r="WUR230" s="34"/>
      <c r="WUS230" s="34"/>
      <c r="WUT230" s="35"/>
      <c r="WUU230" s="35"/>
      <c r="WUV230" s="32"/>
      <c r="WUW230" s="31"/>
      <c r="WUX230" s="31"/>
      <c r="WUY230" s="31"/>
      <c r="WUZ230" s="32"/>
      <c r="WVA230" s="32"/>
      <c r="WVB230" s="32"/>
      <c r="WVC230" s="32"/>
      <c r="WVD230" s="32"/>
      <c r="WVE230" s="31"/>
      <c r="WVF230" s="31"/>
      <c r="WVG230" s="33"/>
      <c r="WVH230" s="33"/>
      <c r="WVI230" s="34"/>
      <c r="WVJ230" s="34"/>
      <c r="WVK230" s="35"/>
      <c r="WVL230" s="35"/>
      <c r="WVM230" s="32"/>
      <c r="WVN230" s="31"/>
      <c r="WVO230" s="31"/>
      <c r="WVP230" s="31"/>
      <c r="WVQ230" s="32"/>
      <c r="WVR230" s="32"/>
      <c r="WVS230" s="32"/>
      <c r="WVT230" s="32"/>
      <c r="WVU230" s="32"/>
      <c r="WVV230" s="31"/>
      <c r="WVW230" s="31"/>
      <c r="WVX230" s="33"/>
      <c r="WVY230" s="33"/>
      <c r="WVZ230" s="34"/>
      <c r="WWA230" s="34"/>
      <c r="WWB230" s="35"/>
      <c r="WWC230" s="35"/>
      <c r="WWD230" s="32"/>
      <c r="WWE230" s="31"/>
      <c r="WWF230" s="31"/>
      <c r="WWG230" s="31"/>
      <c r="WWH230" s="32"/>
      <c r="WWI230" s="32"/>
      <c r="WWJ230" s="32"/>
      <c r="WWK230" s="32"/>
      <c r="WWL230" s="32"/>
      <c r="WWM230" s="31"/>
      <c r="WWN230" s="31"/>
      <c r="WWO230" s="33"/>
      <c r="WWP230" s="33"/>
      <c r="WWQ230" s="34"/>
      <c r="WWR230" s="34"/>
      <c r="WWS230" s="35"/>
      <c r="WWT230" s="35"/>
      <c r="WWU230" s="32"/>
      <c r="WWV230" s="31"/>
      <c r="WWW230" s="31"/>
      <c r="WWX230" s="31"/>
      <c r="WWY230" s="32"/>
      <c r="WWZ230" s="32"/>
      <c r="WXA230" s="32"/>
      <c r="WXB230" s="32"/>
      <c r="WXC230" s="32"/>
      <c r="WXD230" s="31"/>
      <c r="WXE230" s="31"/>
      <c r="WXF230" s="33"/>
      <c r="WXG230" s="33"/>
      <c r="WXH230" s="34"/>
      <c r="WXI230" s="34"/>
      <c r="WXJ230" s="35"/>
      <c r="WXK230" s="35"/>
      <c r="WXL230" s="32"/>
      <c r="WXM230" s="31"/>
      <c r="WXN230" s="31"/>
      <c r="WXO230" s="31"/>
      <c r="WXP230" s="32"/>
      <c r="WXQ230" s="32"/>
      <c r="WXR230" s="32"/>
      <c r="WXS230" s="32"/>
      <c r="WXT230" s="32"/>
      <c r="WXU230" s="31"/>
      <c r="WXV230" s="31"/>
      <c r="WXW230" s="33"/>
      <c r="WXX230" s="33"/>
      <c r="WXY230" s="34"/>
      <c r="WXZ230" s="34"/>
      <c r="WYA230" s="35"/>
      <c r="WYB230" s="35"/>
      <c r="WYC230" s="32"/>
      <c r="WYD230" s="31"/>
      <c r="WYE230" s="31"/>
      <c r="WYF230" s="31"/>
      <c r="WYG230" s="32"/>
      <c r="WYH230" s="32"/>
      <c r="WYI230" s="32"/>
      <c r="WYJ230" s="32"/>
      <c r="WYK230" s="32"/>
      <c r="WYL230" s="31"/>
      <c r="WYM230" s="31"/>
      <c r="WYN230" s="33"/>
      <c r="WYO230" s="33"/>
      <c r="WYP230" s="34"/>
      <c r="WYQ230" s="34"/>
      <c r="WYR230" s="35"/>
      <c r="WYS230" s="35"/>
      <c r="WYT230" s="32"/>
      <c r="WYU230" s="31"/>
      <c r="WYV230" s="31"/>
      <c r="WYW230" s="31"/>
      <c r="WYX230" s="32"/>
      <c r="WYY230" s="32"/>
      <c r="WYZ230" s="32"/>
      <c r="WZA230" s="32"/>
      <c r="WZB230" s="32"/>
      <c r="WZC230" s="31"/>
      <c r="WZD230" s="31"/>
      <c r="WZE230" s="33"/>
      <c r="WZF230" s="33"/>
      <c r="WZG230" s="34"/>
      <c r="WZH230" s="34"/>
      <c r="WZI230" s="35"/>
      <c r="WZJ230" s="35"/>
      <c r="WZK230" s="32"/>
      <c r="WZL230" s="31"/>
      <c r="WZM230" s="31"/>
      <c r="WZN230" s="31"/>
      <c r="WZO230" s="32"/>
      <c r="WZP230" s="32"/>
      <c r="WZQ230" s="32"/>
      <c r="WZR230" s="32"/>
      <c r="WZS230" s="32"/>
      <c r="WZT230" s="31"/>
      <c r="WZU230" s="31"/>
      <c r="WZV230" s="33"/>
      <c r="WZW230" s="33"/>
      <c r="WZX230" s="34"/>
      <c r="WZY230" s="34"/>
      <c r="WZZ230" s="35"/>
      <c r="XAA230" s="35"/>
      <c r="XAB230" s="32"/>
      <c r="XAC230" s="31"/>
      <c r="XAD230" s="31"/>
      <c r="XAE230" s="31"/>
      <c r="XAF230" s="32"/>
      <c r="XAG230" s="32"/>
      <c r="XAH230" s="32"/>
      <c r="XAI230" s="32"/>
      <c r="XAJ230" s="32"/>
      <c r="XAK230" s="31"/>
      <c r="XAL230" s="31"/>
      <c r="XAM230" s="33"/>
      <c r="XAN230" s="33"/>
      <c r="XAO230" s="34"/>
      <c r="XAP230" s="34"/>
      <c r="XAQ230" s="35"/>
      <c r="XAR230" s="35"/>
      <c r="XAS230" s="32"/>
      <c r="XAT230" s="31"/>
      <c r="XAU230" s="31"/>
      <c r="XAV230" s="31"/>
      <c r="XAW230" s="32"/>
      <c r="XAX230" s="32"/>
      <c r="XAY230" s="32"/>
      <c r="XAZ230" s="32"/>
      <c r="XBA230" s="32"/>
      <c r="XBB230" s="31"/>
      <c r="XBC230" s="31"/>
      <c r="XBD230" s="33"/>
      <c r="XBE230" s="33"/>
      <c r="XBF230" s="34"/>
      <c r="XBG230" s="34"/>
      <c r="XBH230" s="35"/>
      <c r="XBI230" s="35"/>
      <c r="XBJ230" s="32"/>
      <c r="XBK230" s="31"/>
      <c r="XBL230" s="31"/>
      <c r="XBM230" s="31"/>
      <c r="XBN230" s="32"/>
      <c r="XBO230" s="32"/>
      <c r="XBP230" s="32"/>
      <c r="XBQ230" s="32"/>
      <c r="XBR230" s="32"/>
      <c r="XBS230" s="31"/>
      <c r="XBT230" s="31"/>
      <c r="XBU230" s="33"/>
      <c r="XBV230" s="33"/>
      <c r="XBW230" s="34"/>
      <c r="XBX230" s="34"/>
      <c r="XBY230" s="35"/>
      <c r="XBZ230" s="35"/>
      <c r="XCA230" s="32"/>
      <c r="XCB230" s="31"/>
      <c r="XCC230" s="31"/>
      <c r="XCD230" s="31"/>
      <c r="XCE230" s="32"/>
      <c r="XCF230" s="32"/>
      <c r="XCG230" s="32"/>
      <c r="XCH230" s="32"/>
      <c r="XCI230" s="32"/>
      <c r="XCJ230" s="31"/>
      <c r="XCK230" s="31"/>
      <c r="XCL230" s="33"/>
      <c r="XCM230" s="33"/>
      <c r="XCN230" s="34"/>
      <c r="XCO230" s="34"/>
      <c r="XCP230" s="35"/>
      <c r="XCQ230" s="35"/>
      <c r="XCR230" s="32"/>
      <c r="XCS230" s="31"/>
      <c r="XCT230" s="31"/>
      <c r="XCU230" s="31"/>
      <c r="XCV230" s="32"/>
      <c r="XCW230" s="32"/>
      <c r="XCX230" s="32"/>
      <c r="XCY230" s="32"/>
      <c r="XCZ230" s="32"/>
      <c r="XDA230" s="31"/>
      <c r="XDB230" s="31"/>
      <c r="XDC230" s="33"/>
      <c r="XDD230" s="33"/>
      <c r="XDE230" s="34"/>
      <c r="XDF230" s="34"/>
      <c r="XDG230" s="35"/>
      <c r="XDH230" s="35"/>
      <c r="XDI230" s="32"/>
      <c r="XDJ230" s="31"/>
      <c r="XDK230" s="31"/>
      <c r="XDL230" s="31"/>
      <c r="XDM230" s="32"/>
      <c r="XDN230" s="32"/>
      <c r="XDO230" s="32"/>
      <c r="XDP230" s="32"/>
      <c r="XDQ230" s="32"/>
      <c r="XDR230" s="31"/>
      <c r="XDS230" s="31"/>
      <c r="XDT230" s="33"/>
      <c r="XDU230" s="33"/>
      <c r="XDV230" s="34"/>
      <c r="XDW230" s="34"/>
      <c r="XDX230" s="35"/>
      <c r="XDY230" s="35"/>
      <c r="XDZ230" s="32"/>
      <c r="XEA230" s="31"/>
      <c r="XEB230" s="31"/>
      <c r="XEC230" s="31"/>
      <c r="XED230" s="32"/>
      <c r="XEE230" s="32"/>
      <c r="XEF230" s="32"/>
      <c r="XEG230" s="32"/>
      <c r="XEH230" s="32"/>
      <c r="XEI230" s="31"/>
      <c r="XEJ230" s="31"/>
      <c r="XEK230" s="33"/>
      <c r="XEL230" s="33"/>
      <c r="XEM230" s="34"/>
      <c r="XEN230" s="34"/>
      <c r="XEO230" s="35"/>
      <c r="XEP230" s="35"/>
      <c r="XEQ230" s="32"/>
      <c r="XER230" s="31"/>
      <c r="XES230" s="31"/>
      <c r="XET230" s="31"/>
      <c r="XEU230" s="32"/>
      <c r="XEV230" s="32"/>
      <c r="XEW230" s="32"/>
      <c r="XEX230" s="32"/>
      <c r="XEY230" s="32"/>
      <c r="XEZ230" s="31"/>
      <c r="XFA230" s="31"/>
      <c r="XFB230" s="33"/>
      <c r="XFC230" s="33"/>
      <c r="XFD230" s="34"/>
    </row>
    <row r="231" spans="1:16384" ht="14.25" customHeight="1" x14ac:dyDescent="0.3">
      <c r="A231" s="31">
        <v>0</v>
      </c>
      <c r="B231" s="31">
        <v>1</v>
      </c>
      <c r="C231" s="31">
        <v>6</v>
      </c>
      <c r="D231" s="32" t="s">
        <v>1082</v>
      </c>
      <c r="E231" s="32" t="s">
        <v>166</v>
      </c>
      <c r="F231" s="32" t="s">
        <v>657</v>
      </c>
      <c r="G231" s="32" t="s">
        <v>178</v>
      </c>
      <c r="H231" s="32" t="s">
        <v>352</v>
      </c>
      <c r="I231" s="31" t="s">
        <v>379</v>
      </c>
      <c r="J231" s="31">
        <v>10</v>
      </c>
      <c r="K231" s="33" t="s">
        <v>719</v>
      </c>
      <c r="L231" s="33" t="s">
        <v>701</v>
      </c>
      <c r="M231" s="34" t="s">
        <v>704</v>
      </c>
      <c r="N231" s="34" t="s">
        <v>1747</v>
      </c>
      <c r="O231" s="35">
        <v>1</v>
      </c>
      <c r="P231" s="35"/>
      <c r="Q231" s="32"/>
      <c r="S231" s="1">
        <f t="shared" si="169"/>
        <v>0</v>
      </c>
      <c r="T231" s="1">
        <f t="shared" si="170"/>
        <v>0</v>
      </c>
      <c r="U231" s="1">
        <f t="shared" si="171"/>
        <v>0</v>
      </c>
      <c r="V231" s="1">
        <f t="shared" si="172"/>
        <v>0</v>
      </c>
      <c r="W231" s="1">
        <f t="shared" si="173"/>
        <v>0</v>
      </c>
      <c r="X231" s="1">
        <f t="shared" si="174"/>
        <v>0</v>
      </c>
      <c r="Y231" s="1">
        <f t="shared" si="175"/>
        <v>0</v>
      </c>
      <c r="Z231" s="1">
        <f t="shared" si="176"/>
        <v>0</v>
      </c>
      <c r="AA231" s="1">
        <f t="shared" si="177"/>
        <v>0</v>
      </c>
      <c r="AB231" s="1">
        <f t="shared" si="178"/>
        <v>1</v>
      </c>
      <c r="AD231" s="1">
        <f t="shared" si="179"/>
        <v>0</v>
      </c>
      <c r="AE231" s="1">
        <f t="shared" si="180"/>
        <v>1</v>
      </c>
      <c r="AF231" s="1">
        <f t="shared" si="165"/>
        <v>0</v>
      </c>
      <c r="AG231" s="1">
        <f t="shared" si="166"/>
        <v>1</v>
      </c>
      <c r="AH231" s="1">
        <f t="shared" si="167"/>
        <v>0</v>
      </c>
      <c r="AI231" s="1">
        <f t="shared" si="168"/>
        <v>1</v>
      </c>
    </row>
    <row r="232" spans="1:16384" ht="14.25" customHeight="1" x14ac:dyDescent="0.3">
      <c r="A232" s="31">
        <v>0</v>
      </c>
      <c r="B232" s="31">
        <v>1</v>
      </c>
      <c r="C232" s="31">
        <v>6</v>
      </c>
      <c r="D232" s="32" t="s">
        <v>1226</v>
      </c>
      <c r="E232" s="32" t="s">
        <v>164</v>
      </c>
      <c r="F232" s="32" t="s">
        <v>1227</v>
      </c>
      <c r="G232" s="32" t="s">
        <v>1229</v>
      </c>
      <c r="H232" s="32" t="s">
        <v>352</v>
      </c>
      <c r="I232" s="31" t="s">
        <v>1228</v>
      </c>
      <c r="J232" s="31">
        <v>99</v>
      </c>
      <c r="K232" s="33" t="s">
        <v>719</v>
      </c>
      <c r="L232" s="33" t="s">
        <v>690</v>
      </c>
      <c r="M232" s="34" t="s">
        <v>1398</v>
      </c>
      <c r="N232" s="34" t="s">
        <v>1740</v>
      </c>
      <c r="O232" s="35">
        <v>1</v>
      </c>
      <c r="P232" s="35"/>
      <c r="Q232" s="32"/>
      <c r="R232" s="15"/>
      <c r="S232" s="15">
        <f t="shared" si="169"/>
        <v>0</v>
      </c>
      <c r="T232" s="15">
        <f t="shared" si="170"/>
        <v>0</v>
      </c>
      <c r="U232" s="15">
        <f t="shared" si="171"/>
        <v>0</v>
      </c>
      <c r="V232" s="15">
        <f t="shared" si="172"/>
        <v>0</v>
      </c>
      <c r="W232" s="15">
        <f t="shared" si="173"/>
        <v>0</v>
      </c>
      <c r="X232" s="15">
        <f t="shared" si="174"/>
        <v>0</v>
      </c>
      <c r="Y232" s="15">
        <f t="shared" si="175"/>
        <v>0</v>
      </c>
      <c r="Z232" s="15">
        <f t="shared" si="176"/>
        <v>0</v>
      </c>
      <c r="AA232" s="15">
        <f t="shared" si="177"/>
        <v>0</v>
      </c>
      <c r="AB232" s="10">
        <f t="shared" si="178"/>
        <v>0</v>
      </c>
      <c r="AC232" s="10"/>
      <c r="AD232" s="21">
        <f t="shared" si="179"/>
        <v>0</v>
      </c>
      <c r="AE232" s="21">
        <f t="shared" si="180"/>
        <v>1</v>
      </c>
      <c r="AF232" s="1">
        <f t="shared" si="165"/>
        <v>0</v>
      </c>
      <c r="AG232" s="1">
        <f t="shared" si="166"/>
        <v>1</v>
      </c>
      <c r="AH232" s="21">
        <f t="shared" si="167"/>
        <v>0</v>
      </c>
      <c r="AI232" s="15">
        <f t="shared" si="168"/>
        <v>1</v>
      </c>
      <c r="AJ232" s="15"/>
      <c r="AK232" s="15"/>
      <c r="AL232" s="15"/>
      <c r="AM232" s="15"/>
      <c r="AN232" s="15"/>
      <c r="AO232" s="15"/>
      <c r="AP232" s="15"/>
      <c r="AQ232" s="15"/>
      <c r="AR232" s="15"/>
      <c r="AS232" s="10"/>
      <c r="AT232" s="10"/>
      <c r="AU232" s="21"/>
      <c r="AV232" s="21"/>
      <c r="AY232" s="21"/>
      <c r="AZ232" s="15"/>
      <c r="BA232" s="15"/>
      <c r="BB232" s="15"/>
      <c r="BC232" s="15"/>
      <c r="BD232" s="15"/>
      <c r="BE232" s="15"/>
      <c r="BF232" s="15"/>
      <c r="BG232" s="15"/>
      <c r="BH232" s="15"/>
      <c r="BI232" s="15"/>
      <c r="BJ232" s="10"/>
      <c r="BK232" s="10"/>
      <c r="BL232" s="21"/>
      <c r="BM232" s="21"/>
      <c r="BP232" s="21"/>
      <c r="BQ232" s="15"/>
      <c r="BR232" s="15"/>
      <c r="BS232" s="15"/>
      <c r="BT232" s="15"/>
      <c r="BU232" s="15"/>
      <c r="BV232" s="15"/>
      <c r="BW232" s="15"/>
      <c r="BX232" s="15"/>
      <c r="BY232" s="15"/>
      <c r="BZ232" s="15"/>
      <c r="CA232" s="10"/>
      <c r="CB232" s="10"/>
      <c r="CC232" s="21"/>
      <c r="CD232" s="21"/>
      <c r="CG232" s="21"/>
      <c r="CH232" s="15"/>
      <c r="CI232" s="15"/>
      <c r="CJ232" s="15"/>
      <c r="CK232" s="15"/>
      <c r="CL232" s="15"/>
      <c r="CM232" s="15"/>
      <c r="CN232" s="15"/>
      <c r="CO232" s="15"/>
      <c r="CP232" s="15"/>
      <c r="CQ232" s="15"/>
      <c r="CR232" s="10"/>
      <c r="CS232" s="10"/>
      <c r="CT232" s="21"/>
      <c r="CU232" s="21"/>
      <c r="CX232" s="21"/>
      <c r="CY232" s="15"/>
      <c r="CZ232" s="15"/>
      <c r="DA232" s="15"/>
      <c r="DB232" s="15"/>
      <c r="DC232" s="15"/>
      <c r="DD232" s="15"/>
      <c r="DE232" s="15"/>
      <c r="DF232" s="15"/>
      <c r="DG232" s="15"/>
      <c r="DH232" s="15"/>
      <c r="DI232" s="10"/>
      <c r="DJ232" s="10"/>
      <c r="DK232" s="21"/>
      <c r="DL232" s="21"/>
      <c r="DO232" s="21"/>
      <c r="DP232" s="15"/>
      <c r="DQ232" s="15"/>
      <c r="DR232" s="15"/>
      <c r="DS232" s="15"/>
      <c r="DT232" s="15"/>
      <c r="DU232" s="15"/>
      <c r="DV232" s="15"/>
      <c r="DW232" s="15"/>
      <c r="DX232" s="15"/>
      <c r="DY232" s="15"/>
      <c r="DZ232" s="10"/>
      <c r="EA232" s="10"/>
      <c r="EB232" s="21"/>
      <c r="EC232" s="21"/>
      <c r="EF232" s="21"/>
      <c r="EG232" s="15"/>
      <c r="EH232" s="15"/>
      <c r="EI232" s="15"/>
      <c r="EJ232" s="15"/>
      <c r="EK232" s="15"/>
      <c r="EL232" s="15"/>
      <c r="EM232" s="15"/>
      <c r="EN232" s="15"/>
      <c r="EO232" s="15"/>
      <c r="EP232" s="15"/>
      <c r="EQ232" s="10"/>
      <c r="ER232" s="10"/>
      <c r="ES232" s="21"/>
      <c r="ET232" s="21"/>
      <c r="EW232" s="21"/>
      <c r="EX232" s="15"/>
      <c r="EY232" s="15"/>
      <c r="EZ232" s="15"/>
      <c r="FA232" s="15"/>
      <c r="FB232" s="15"/>
      <c r="FC232" s="15"/>
      <c r="FD232" s="15"/>
      <c r="FE232" s="15"/>
      <c r="FF232" s="15"/>
      <c r="FG232" s="15"/>
      <c r="FH232" s="10"/>
      <c r="FI232" s="10"/>
      <c r="FJ232" s="21"/>
      <c r="FK232" s="21"/>
      <c r="FN232" s="21"/>
      <c r="FO232" s="15"/>
      <c r="FP232" s="15"/>
      <c r="FQ232" s="15"/>
      <c r="FR232" s="15"/>
      <c r="FS232" s="15"/>
      <c r="FT232" s="15"/>
      <c r="FU232" s="15"/>
      <c r="FV232" s="15"/>
      <c r="FW232" s="15"/>
      <c r="FX232" s="15"/>
      <c r="FY232" s="10"/>
      <c r="FZ232" s="10"/>
      <c r="GA232" s="21"/>
      <c r="GB232" s="21"/>
      <c r="GE232" s="21"/>
      <c r="GF232" s="15"/>
      <c r="GG232" s="15"/>
      <c r="GH232" s="15"/>
      <c r="GI232" s="15"/>
      <c r="GJ232" s="15"/>
      <c r="GK232" s="15"/>
      <c r="GL232" s="15"/>
      <c r="GM232" s="15"/>
      <c r="GN232" s="15"/>
      <c r="GO232" s="15"/>
      <c r="GP232" s="10"/>
      <c r="GQ232" s="10"/>
      <c r="GR232" s="21"/>
      <c r="GS232" s="21"/>
      <c r="GV232" s="21"/>
      <c r="GW232" s="15"/>
      <c r="GX232" s="15"/>
      <c r="GY232" s="15"/>
      <c r="GZ232" s="15"/>
      <c r="HA232" s="15"/>
      <c r="HB232" s="15"/>
      <c r="HC232" s="15"/>
      <c r="HD232" s="15"/>
      <c r="HE232" s="15"/>
      <c r="HF232" s="15"/>
      <c r="HG232" s="10"/>
      <c r="HH232" s="10"/>
      <c r="HI232" s="21"/>
      <c r="HJ232" s="21"/>
      <c r="HM232" s="21"/>
      <c r="HN232" s="15"/>
      <c r="HO232" s="15"/>
      <c r="HP232" s="15"/>
      <c r="HQ232" s="15"/>
      <c r="HR232" s="15"/>
      <c r="HS232" s="15"/>
      <c r="HT232" s="15"/>
      <c r="HU232" s="15"/>
      <c r="HV232" s="15"/>
      <c r="HW232" s="15"/>
      <c r="HX232" s="10"/>
      <c r="HY232" s="10"/>
      <c r="HZ232" s="21"/>
      <c r="IA232" s="21"/>
      <c r="ID232" s="21"/>
      <c r="IE232" s="15"/>
      <c r="IF232" s="15"/>
      <c r="IG232" s="15"/>
      <c r="IH232" s="15"/>
      <c r="II232" s="15"/>
      <c r="IJ232" s="15"/>
      <c r="IK232" s="15"/>
      <c r="IL232" s="15"/>
      <c r="IM232" s="15"/>
      <c r="IN232" s="15"/>
      <c r="IO232" s="10"/>
      <c r="IP232" s="10"/>
      <c r="IQ232" s="21"/>
      <c r="IR232" s="21"/>
      <c r="IU232" s="21"/>
      <c r="IV232" s="15"/>
      <c r="IW232" s="15"/>
      <c r="IX232" s="15"/>
      <c r="IY232" s="15"/>
      <c r="IZ232" s="15"/>
      <c r="JA232" s="15"/>
      <c r="JB232" s="15"/>
      <c r="JC232" s="15"/>
      <c r="JD232" s="15"/>
      <c r="JE232" s="15"/>
      <c r="JF232" s="10"/>
      <c r="JG232" s="10"/>
      <c r="JH232" s="21"/>
      <c r="JI232" s="21"/>
      <c r="JL232" s="21"/>
      <c r="JM232" s="15"/>
      <c r="JN232" s="15"/>
      <c r="JO232" s="15"/>
      <c r="JP232" s="15"/>
      <c r="JQ232" s="15"/>
      <c r="JR232" s="15"/>
      <c r="JS232" s="15"/>
      <c r="JT232" s="15"/>
      <c r="JU232" s="15"/>
      <c r="JV232" s="15"/>
      <c r="JW232" s="10"/>
      <c r="JX232" s="10"/>
      <c r="JY232" s="21"/>
      <c r="JZ232" s="21"/>
      <c r="KC232" s="21"/>
      <c r="KD232" s="15"/>
      <c r="KE232" s="15"/>
      <c r="KF232" s="15"/>
      <c r="KG232" s="15"/>
      <c r="KH232" s="15"/>
      <c r="KI232" s="15"/>
      <c r="KJ232" s="15"/>
      <c r="KK232" s="15"/>
      <c r="KL232" s="15"/>
      <c r="KM232" s="15"/>
      <c r="KN232" s="10"/>
      <c r="KO232" s="10"/>
      <c r="KP232" s="21"/>
      <c r="KQ232" s="21"/>
      <c r="KT232" s="21"/>
      <c r="KU232" s="15"/>
      <c r="KV232" s="15"/>
      <c r="KW232" s="15"/>
      <c r="KX232" s="15"/>
      <c r="KY232" s="15"/>
      <c r="KZ232" s="15"/>
      <c r="LA232" s="15"/>
      <c r="LB232" s="15"/>
      <c r="LC232" s="15"/>
      <c r="LD232" s="15"/>
      <c r="LE232" s="10"/>
      <c r="LF232" s="10"/>
      <c r="LG232" s="21"/>
      <c r="LH232" s="21"/>
      <c r="LK232" s="21"/>
      <c r="LL232" s="15"/>
      <c r="LM232" s="15"/>
      <c r="LN232" s="15"/>
      <c r="LO232" s="15"/>
      <c r="LP232" s="15"/>
      <c r="LQ232" s="15"/>
      <c r="LR232" s="15"/>
      <c r="LS232" s="15"/>
      <c r="LT232" s="15"/>
      <c r="LU232" s="15"/>
      <c r="LV232" s="10"/>
      <c r="LW232" s="10"/>
      <c r="LX232" s="21"/>
      <c r="LY232" s="21"/>
      <c r="MB232" s="21"/>
      <c r="MC232" s="15"/>
      <c r="MD232" s="15"/>
      <c r="ME232" s="15"/>
      <c r="MF232" s="15"/>
      <c r="MG232" s="15"/>
      <c r="MH232" s="15"/>
      <c r="MI232" s="15"/>
      <c r="MJ232" s="15"/>
      <c r="MK232" s="15"/>
      <c r="ML232" s="15"/>
      <c r="MM232" s="10"/>
      <c r="MN232" s="10"/>
      <c r="MO232" s="21"/>
      <c r="MP232" s="21"/>
      <c r="MS232" s="21"/>
      <c r="MT232" s="15"/>
      <c r="MU232" s="15"/>
      <c r="MV232" s="15"/>
      <c r="MW232" s="15"/>
      <c r="MX232" s="15"/>
      <c r="MY232" s="15"/>
      <c r="MZ232" s="15"/>
      <c r="NA232" s="15"/>
      <c r="NB232" s="15"/>
      <c r="NC232" s="15"/>
      <c r="ND232" s="10"/>
      <c r="NE232" s="10"/>
      <c r="NF232" s="21"/>
      <c r="NG232" s="21"/>
      <c r="NJ232" s="21"/>
      <c r="NK232" s="15"/>
      <c r="NL232" s="15"/>
      <c r="NM232" s="15"/>
      <c r="NN232" s="15"/>
      <c r="NO232" s="15"/>
      <c r="NP232" s="15"/>
      <c r="NQ232" s="15"/>
      <c r="NR232" s="15"/>
      <c r="NS232" s="15"/>
      <c r="NT232" s="15"/>
      <c r="NU232" s="10"/>
      <c r="NV232" s="10"/>
      <c r="NW232" s="21"/>
      <c r="NX232" s="21"/>
      <c r="OA232" s="21"/>
      <c r="OB232" s="15"/>
      <c r="OC232" s="15"/>
      <c r="OD232" s="15"/>
      <c r="OE232" s="15"/>
      <c r="OF232" s="15"/>
      <c r="OG232" s="15"/>
      <c r="OH232" s="15"/>
      <c r="OI232" s="15"/>
      <c r="OJ232" s="15"/>
      <c r="OK232" s="15"/>
      <c r="OL232" s="10"/>
      <c r="OM232" s="10"/>
      <c r="ON232" s="21"/>
      <c r="OO232" s="21"/>
      <c r="OR232" s="21"/>
      <c r="OS232" s="15"/>
      <c r="OT232" s="15"/>
      <c r="OU232" s="15"/>
      <c r="OV232" s="15"/>
      <c r="OW232" s="15"/>
      <c r="OX232" s="15"/>
      <c r="OY232" s="15"/>
      <c r="OZ232" s="15"/>
      <c r="PA232" s="15"/>
      <c r="PB232" s="15"/>
      <c r="PC232" s="10"/>
      <c r="PD232" s="10"/>
      <c r="PE232" s="21"/>
      <c r="PF232" s="21"/>
      <c r="PI232" s="21"/>
      <c r="PJ232" s="15"/>
      <c r="PK232" s="15"/>
      <c r="PL232" s="15"/>
      <c r="PM232" s="15"/>
      <c r="PN232" s="15"/>
      <c r="PO232" s="15"/>
      <c r="PP232" s="15"/>
      <c r="PQ232" s="15"/>
      <c r="PR232" s="15"/>
      <c r="PS232" s="15"/>
      <c r="PT232" s="10"/>
      <c r="PU232" s="10"/>
      <c r="PV232" s="21"/>
      <c r="PW232" s="21"/>
      <c r="PZ232" s="21"/>
      <c r="QA232" s="15"/>
      <c r="QB232" s="15"/>
      <c r="QC232" s="15"/>
      <c r="QD232" s="15"/>
      <c r="QE232" s="15"/>
      <c r="QF232" s="15"/>
      <c r="QG232" s="15"/>
      <c r="QH232" s="15"/>
      <c r="QI232" s="15"/>
      <c r="QJ232" s="15"/>
      <c r="QK232" s="10"/>
      <c r="QL232" s="10"/>
      <c r="QM232" s="21"/>
      <c r="QN232" s="21"/>
      <c r="QQ232" s="21"/>
      <c r="QR232" s="15"/>
      <c r="QS232" s="15"/>
      <c r="QT232" s="15"/>
      <c r="QU232" s="15"/>
      <c r="QV232" s="15"/>
      <c r="QW232" s="15"/>
      <c r="QX232" s="15"/>
      <c r="QY232" s="15"/>
      <c r="QZ232" s="15"/>
      <c r="RA232" s="15"/>
      <c r="RB232" s="10"/>
      <c r="RC232" s="10"/>
      <c r="RD232" s="21"/>
      <c r="RE232" s="21"/>
      <c r="RH232" s="21"/>
      <c r="RI232" s="15"/>
      <c r="RJ232" s="15"/>
      <c r="RK232" s="15"/>
      <c r="RL232" s="15"/>
      <c r="RM232" s="15"/>
      <c r="RN232" s="15"/>
      <c r="RO232" s="15"/>
      <c r="RP232" s="15"/>
      <c r="RQ232" s="15"/>
      <c r="RR232" s="15"/>
      <c r="RS232" s="10"/>
      <c r="RT232" s="10"/>
      <c r="RU232" s="21"/>
      <c r="RV232" s="21"/>
      <c r="RY232" s="21"/>
      <c r="RZ232" s="15"/>
      <c r="SA232" s="15"/>
      <c r="SB232" s="15"/>
      <c r="SC232" s="15"/>
      <c r="SD232" s="15"/>
      <c r="SE232" s="15"/>
      <c r="SF232" s="15"/>
      <c r="SG232" s="15"/>
      <c r="SH232" s="15"/>
      <c r="SI232" s="15"/>
      <c r="SJ232" s="10"/>
      <c r="SK232" s="10"/>
      <c r="SL232" s="21"/>
      <c r="SM232" s="21"/>
      <c r="SP232" s="21"/>
      <c r="SQ232" s="15"/>
      <c r="SR232" s="15"/>
      <c r="SS232" s="15"/>
      <c r="ST232" s="15"/>
      <c r="SU232" s="15"/>
      <c r="SV232" s="15"/>
      <c r="SW232" s="15"/>
      <c r="SX232" s="15"/>
      <c r="SY232" s="15"/>
      <c r="SZ232" s="15"/>
      <c r="TA232" s="10"/>
      <c r="TB232" s="10"/>
      <c r="TC232" s="21"/>
      <c r="TD232" s="21"/>
      <c r="TG232" s="21"/>
      <c r="TH232" s="15"/>
      <c r="TI232" s="15"/>
      <c r="TJ232" s="15"/>
      <c r="TK232" s="15"/>
      <c r="TL232" s="15"/>
      <c r="TM232" s="15"/>
      <c r="TN232" s="15"/>
      <c r="TO232" s="15"/>
      <c r="TP232" s="15"/>
      <c r="TQ232" s="15"/>
      <c r="TR232" s="10"/>
      <c r="TS232" s="10"/>
      <c r="TT232" s="21"/>
      <c r="TU232" s="21"/>
      <c r="TX232" s="21"/>
      <c r="TY232" s="15"/>
      <c r="TZ232" s="15"/>
      <c r="UA232" s="15"/>
      <c r="UB232" s="15"/>
      <c r="UC232" s="15"/>
      <c r="UD232" s="15"/>
      <c r="UE232" s="15"/>
      <c r="UF232" s="15"/>
      <c r="UG232" s="15"/>
      <c r="UH232" s="15"/>
      <c r="UI232" s="10"/>
      <c r="UJ232" s="10"/>
      <c r="UK232" s="21"/>
      <c r="UL232" s="21"/>
      <c r="UO232" s="21"/>
      <c r="UP232" s="15"/>
      <c r="UQ232" s="15"/>
      <c r="UR232" s="15"/>
      <c r="US232" s="15"/>
      <c r="UT232" s="15"/>
      <c r="UU232" s="15"/>
      <c r="UV232" s="15"/>
      <c r="UW232" s="15"/>
      <c r="UX232" s="15"/>
      <c r="UY232" s="15"/>
      <c r="UZ232" s="10"/>
      <c r="VA232" s="10"/>
      <c r="VB232" s="21"/>
      <c r="VC232" s="21"/>
      <c r="VF232" s="21"/>
      <c r="VG232" s="15"/>
      <c r="VH232" s="15"/>
      <c r="VI232" s="15"/>
      <c r="VJ232" s="15"/>
      <c r="VK232" s="15"/>
      <c r="VL232" s="15"/>
      <c r="VM232" s="15"/>
      <c r="VN232" s="15"/>
      <c r="VO232" s="15"/>
      <c r="VP232" s="15"/>
      <c r="VQ232" s="10"/>
      <c r="VR232" s="10"/>
      <c r="VS232" s="21"/>
      <c r="VT232" s="21"/>
      <c r="VW232" s="21"/>
      <c r="VX232" s="15"/>
      <c r="VY232" s="15"/>
      <c r="VZ232" s="15"/>
      <c r="WA232" s="15"/>
      <c r="WB232" s="15"/>
      <c r="WC232" s="15"/>
      <c r="WD232" s="15"/>
      <c r="WE232" s="15"/>
      <c r="WF232" s="15"/>
      <c r="WG232" s="15"/>
      <c r="WH232" s="10"/>
      <c r="WI232" s="10"/>
      <c r="WJ232" s="21"/>
      <c r="WK232" s="21"/>
      <c r="WN232" s="21"/>
      <c r="WO232" s="15"/>
      <c r="WP232" s="15"/>
      <c r="WQ232" s="15"/>
      <c r="WR232" s="15"/>
      <c r="WS232" s="15"/>
      <c r="WT232" s="15"/>
      <c r="WU232" s="15"/>
      <c r="WV232" s="15"/>
      <c r="WW232" s="15"/>
      <c r="WX232" s="15"/>
      <c r="WY232" s="10"/>
      <c r="WZ232" s="10"/>
      <c r="XA232" s="21"/>
      <c r="XB232" s="21"/>
      <c r="XE232" s="21"/>
      <c r="XF232" s="15"/>
      <c r="XG232" s="15"/>
      <c r="XH232" s="15"/>
      <c r="XI232" s="15"/>
      <c r="XJ232" s="15"/>
      <c r="XK232" s="15"/>
      <c r="XL232" s="15"/>
      <c r="XM232" s="15"/>
      <c r="XN232" s="15"/>
      <c r="XO232" s="15"/>
      <c r="XP232" s="10"/>
      <c r="XQ232" s="10"/>
      <c r="XR232" s="21"/>
      <c r="XS232" s="21"/>
      <c r="XV232" s="21"/>
      <c r="XW232" s="15"/>
      <c r="XX232" s="15"/>
      <c r="XY232" s="15"/>
      <c r="XZ232" s="15"/>
      <c r="YA232" s="15"/>
      <c r="YB232" s="15"/>
      <c r="YC232" s="15"/>
      <c r="YD232" s="15"/>
      <c r="YE232" s="15"/>
      <c r="YF232" s="15"/>
      <c r="YG232" s="10"/>
      <c r="YH232" s="10"/>
      <c r="YI232" s="21"/>
      <c r="YJ232" s="21"/>
      <c r="YM232" s="21"/>
      <c r="YN232" s="15"/>
      <c r="YO232" s="15"/>
      <c r="YP232" s="15"/>
      <c r="YQ232" s="15"/>
      <c r="YR232" s="15"/>
      <c r="YS232" s="15"/>
      <c r="YT232" s="15"/>
      <c r="YU232" s="15"/>
      <c r="YV232" s="15"/>
      <c r="YW232" s="15"/>
      <c r="YX232" s="10"/>
      <c r="YY232" s="10"/>
      <c r="YZ232" s="21"/>
      <c r="ZA232" s="21"/>
      <c r="ZD232" s="21"/>
      <c r="ZE232" s="15"/>
      <c r="ZF232" s="15"/>
      <c r="ZG232" s="15"/>
      <c r="ZH232" s="15"/>
      <c r="ZI232" s="15"/>
      <c r="ZJ232" s="15"/>
      <c r="ZK232" s="15"/>
      <c r="ZL232" s="15"/>
      <c r="ZM232" s="15"/>
      <c r="ZN232" s="15"/>
      <c r="ZO232" s="10"/>
      <c r="ZP232" s="10"/>
      <c r="ZQ232" s="21"/>
      <c r="ZR232" s="21"/>
      <c r="ZU232" s="21"/>
      <c r="ZV232" s="15"/>
      <c r="ZW232" s="15"/>
      <c r="ZX232" s="15"/>
      <c r="ZY232" s="15"/>
      <c r="ZZ232" s="15"/>
      <c r="AAA232" s="15"/>
      <c r="AAB232" s="15"/>
      <c r="AAC232" s="15"/>
      <c r="AAD232" s="15"/>
      <c r="AAE232" s="15"/>
      <c r="AAF232" s="10"/>
      <c r="AAG232" s="10"/>
      <c r="AAH232" s="21"/>
      <c r="AAI232" s="21"/>
      <c r="AAL232" s="21"/>
      <c r="AAM232" s="15"/>
      <c r="AAN232" s="15"/>
      <c r="AAO232" s="15"/>
      <c r="AAP232" s="15"/>
      <c r="AAQ232" s="15"/>
      <c r="AAR232" s="15"/>
      <c r="AAS232" s="15"/>
      <c r="AAT232" s="15"/>
      <c r="AAU232" s="15"/>
      <c r="AAV232" s="15"/>
      <c r="AAW232" s="10"/>
      <c r="AAX232" s="10"/>
      <c r="AAY232" s="21"/>
      <c r="AAZ232" s="21"/>
      <c r="ABC232" s="21"/>
      <c r="ABD232" s="15"/>
      <c r="ABE232" s="15"/>
      <c r="ABF232" s="15"/>
      <c r="ABG232" s="15"/>
      <c r="ABH232" s="15"/>
      <c r="ABI232" s="15"/>
      <c r="ABJ232" s="15"/>
      <c r="ABK232" s="15"/>
      <c r="ABL232" s="15"/>
      <c r="ABM232" s="15"/>
      <c r="ABN232" s="10"/>
      <c r="ABO232" s="10"/>
      <c r="ABP232" s="21"/>
      <c r="ABQ232" s="21"/>
      <c r="ABT232" s="21"/>
      <c r="ABU232" s="15"/>
      <c r="ABV232" s="15"/>
      <c r="ABW232" s="15"/>
      <c r="ABX232" s="15"/>
      <c r="ABY232" s="15"/>
      <c r="ABZ232" s="15"/>
      <c r="ACA232" s="15"/>
      <c r="ACB232" s="15"/>
      <c r="ACC232" s="15"/>
      <c r="ACD232" s="15"/>
      <c r="ACE232" s="10"/>
      <c r="ACF232" s="10"/>
      <c r="ACG232" s="21"/>
      <c r="ACH232" s="21"/>
      <c r="ACK232" s="21"/>
      <c r="ACL232" s="15"/>
      <c r="ACM232" s="15"/>
      <c r="ACN232" s="15"/>
      <c r="ACO232" s="15"/>
      <c r="ACP232" s="15"/>
      <c r="ACQ232" s="15"/>
      <c r="ACR232" s="15"/>
      <c r="ACS232" s="15"/>
      <c r="ACT232" s="15"/>
      <c r="ACU232" s="15"/>
      <c r="ACV232" s="10"/>
      <c r="ACW232" s="10"/>
      <c r="ACX232" s="21"/>
      <c r="ACY232" s="21"/>
      <c r="ADB232" s="21"/>
      <c r="ADC232" s="15"/>
      <c r="ADD232" s="15"/>
      <c r="ADE232" s="15"/>
      <c r="ADF232" s="15"/>
      <c r="ADG232" s="15"/>
      <c r="ADH232" s="15"/>
      <c r="ADI232" s="15"/>
      <c r="ADJ232" s="15"/>
      <c r="ADK232" s="15"/>
      <c r="ADL232" s="15"/>
      <c r="ADM232" s="10"/>
      <c r="ADN232" s="10"/>
      <c r="ADO232" s="21"/>
      <c r="ADP232" s="21"/>
      <c r="ADS232" s="21"/>
      <c r="ADT232" s="15"/>
      <c r="ADU232" s="15"/>
      <c r="ADV232" s="15"/>
      <c r="ADW232" s="15"/>
      <c r="ADX232" s="15"/>
      <c r="ADY232" s="15"/>
      <c r="ADZ232" s="15"/>
      <c r="AEA232" s="15"/>
      <c r="AEB232" s="15"/>
      <c r="AEC232" s="15"/>
      <c r="AED232" s="10"/>
      <c r="AEE232" s="10"/>
      <c r="AEF232" s="21"/>
      <c r="AEG232" s="21"/>
      <c r="AEJ232" s="21"/>
      <c r="AEK232" s="15"/>
      <c r="AEL232" s="15"/>
      <c r="AEM232" s="15"/>
      <c r="AEN232" s="15"/>
      <c r="AEO232" s="15"/>
      <c r="AEP232" s="15"/>
      <c r="AEQ232" s="15"/>
      <c r="AER232" s="15"/>
      <c r="AES232" s="15"/>
      <c r="AET232" s="15"/>
      <c r="AEU232" s="10"/>
      <c r="AEV232" s="10"/>
      <c r="AEW232" s="21"/>
      <c r="AEX232" s="21"/>
      <c r="AFA232" s="21"/>
      <c r="AFB232" s="15"/>
      <c r="AFC232" s="15"/>
      <c r="AFD232" s="15"/>
      <c r="AFE232" s="15"/>
      <c r="AFF232" s="15"/>
      <c r="AFG232" s="15"/>
      <c r="AFH232" s="15"/>
      <c r="AFI232" s="15"/>
      <c r="AFJ232" s="15"/>
      <c r="AFK232" s="15"/>
      <c r="AFL232" s="10"/>
      <c r="AFM232" s="10"/>
      <c r="AFN232" s="21"/>
      <c r="AFO232" s="21"/>
      <c r="AFR232" s="21"/>
      <c r="AFS232" s="15"/>
      <c r="AFT232" s="15"/>
      <c r="AFU232" s="15"/>
      <c r="AFV232" s="15"/>
      <c r="AFW232" s="15"/>
      <c r="AFX232" s="15"/>
      <c r="AFY232" s="15"/>
      <c r="AFZ232" s="15"/>
      <c r="AGA232" s="15"/>
      <c r="AGB232" s="15"/>
      <c r="AGC232" s="10"/>
      <c r="AGD232" s="10"/>
      <c r="AGE232" s="21"/>
      <c r="AGF232" s="21"/>
      <c r="AGI232" s="21"/>
      <c r="AGJ232" s="15"/>
      <c r="AGK232" s="15"/>
      <c r="AGL232" s="15"/>
      <c r="AGM232" s="15"/>
      <c r="AGN232" s="15"/>
      <c r="AGO232" s="15"/>
      <c r="AGP232" s="15"/>
      <c r="AGQ232" s="15"/>
      <c r="AGR232" s="15"/>
      <c r="AGS232" s="15"/>
      <c r="AGT232" s="10"/>
      <c r="AGU232" s="10"/>
      <c r="AGV232" s="21"/>
      <c r="AGW232" s="21"/>
      <c r="AGZ232" s="21"/>
      <c r="AHA232" s="15"/>
      <c r="AHB232" s="15"/>
      <c r="AHC232" s="15"/>
      <c r="AHD232" s="15"/>
      <c r="AHE232" s="15"/>
      <c r="AHF232" s="15"/>
      <c r="AHG232" s="15"/>
      <c r="AHH232" s="15"/>
      <c r="AHI232" s="15"/>
      <c r="AHJ232" s="15"/>
      <c r="AHK232" s="10"/>
      <c r="AHL232" s="10"/>
      <c r="AHM232" s="21"/>
      <c r="AHN232" s="21"/>
      <c r="AHQ232" s="21"/>
      <c r="AHR232" s="15"/>
      <c r="AHS232" s="15"/>
      <c r="AHT232" s="15"/>
      <c r="AHU232" s="15"/>
      <c r="AHV232" s="15"/>
      <c r="AHW232" s="15"/>
      <c r="AHX232" s="15"/>
      <c r="AHY232" s="15"/>
      <c r="AHZ232" s="15"/>
      <c r="AIA232" s="15"/>
      <c r="AIB232" s="10"/>
      <c r="AIC232" s="10"/>
      <c r="AID232" s="21"/>
      <c r="AIE232" s="21"/>
      <c r="AIH232" s="21"/>
      <c r="AII232" s="15"/>
      <c r="AIJ232" s="15"/>
      <c r="AIK232" s="15"/>
      <c r="AIL232" s="15"/>
      <c r="AIM232" s="15"/>
      <c r="AIN232" s="15"/>
      <c r="AIO232" s="15"/>
      <c r="AIP232" s="15"/>
      <c r="AIQ232" s="15"/>
      <c r="AIR232" s="15"/>
      <c r="AIS232" s="10"/>
      <c r="AIT232" s="10"/>
      <c r="AIU232" s="21"/>
      <c r="AIV232" s="21"/>
      <c r="AIY232" s="21"/>
      <c r="AIZ232" s="15"/>
      <c r="AJA232" s="15"/>
      <c r="AJB232" s="15"/>
      <c r="AJC232" s="15"/>
      <c r="AJD232" s="15"/>
      <c r="AJE232" s="15"/>
      <c r="AJF232" s="15"/>
      <c r="AJG232" s="15"/>
      <c r="AJH232" s="15"/>
      <c r="AJI232" s="15"/>
      <c r="AJJ232" s="10"/>
      <c r="AJK232" s="10"/>
      <c r="AJL232" s="21"/>
      <c r="AJM232" s="21"/>
      <c r="AJP232" s="21"/>
      <c r="AJQ232" s="15"/>
      <c r="AJR232" s="15"/>
      <c r="AJS232" s="15"/>
      <c r="AJT232" s="15"/>
      <c r="AJU232" s="15"/>
      <c r="AJV232" s="15"/>
      <c r="AJW232" s="15"/>
      <c r="AJX232" s="15"/>
      <c r="AJY232" s="15"/>
      <c r="AJZ232" s="15"/>
      <c r="AKA232" s="10"/>
      <c r="AKB232" s="10"/>
      <c r="AKC232" s="21"/>
      <c r="AKD232" s="21"/>
      <c r="AKG232" s="21"/>
      <c r="AKH232" s="15"/>
      <c r="AKI232" s="15"/>
      <c r="AKJ232" s="15"/>
      <c r="AKK232" s="15"/>
      <c r="AKL232" s="15"/>
      <c r="AKM232" s="15"/>
      <c r="AKN232" s="15"/>
      <c r="AKO232" s="15"/>
      <c r="AKP232" s="15"/>
      <c r="AKQ232" s="15"/>
      <c r="AKR232" s="10"/>
      <c r="AKS232" s="10"/>
      <c r="AKT232" s="21"/>
      <c r="AKU232" s="21"/>
      <c r="AKX232" s="21"/>
      <c r="AKY232" s="15"/>
      <c r="AKZ232" s="15"/>
      <c r="ALA232" s="15"/>
      <c r="ALB232" s="15"/>
      <c r="ALC232" s="15"/>
      <c r="ALD232" s="15"/>
      <c r="ALE232" s="15"/>
      <c r="ALF232" s="15"/>
      <c r="ALG232" s="15"/>
      <c r="ALH232" s="15"/>
      <c r="ALI232" s="10"/>
      <c r="ALJ232" s="10"/>
      <c r="ALK232" s="21"/>
      <c r="ALL232" s="21"/>
      <c r="ALO232" s="21"/>
      <c r="ALP232" s="15"/>
      <c r="ALQ232" s="15"/>
      <c r="ALR232" s="15"/>
      <c r="ALS232" s="15"/>
      <c r="ALT232" s="15"/>
      <c r="ALU232" s="15"/>
      <c r="ALV232" s="15"/>
      <c r="ALW232" s="15"/>
      <c r="ALX232" s="15"/>
      <c r="ALY232" s="15"/>
      <c r="ALZ232" s="10"/>
      <c r="AMA232" s="10"/>
      <c r="AMB232" s="21"/>
      <c r="AMC232" s="21"/>
      <c r="AMF232" s="21"/>
      <c r="AMG232" s="15"/>
      <c r="AMH232" s="15"/>
      <c r="AMI232" s="15"/>
      <c r="AMJ232" s="15"/>
      <c r="AMK232" s="15"/>
      <c r="AML232" s="15"/>
      <c r="AMM232" s="15"/>
      <c r="AMN232" s="15"/>
      <c r="AMO232" s="15"/>
      <c r="AMP232" s="15"/>
      <c r="AMQ232" s="10"/>
      <c r="AMR232" s="10"/>
      <c r="AMS232" s="21"/>
      <c r="AMT232" s="21"/>
      <c r="AMW232" s="21"/>
      <c r="AMX232" s="15"/>
      <c r="AMY232" s="15"/>
      <c r="AMZ232" s="15"/>
      <c r="ANA232" s="15"/>
      <c r="ANB232" s="15"/>
      <c r="ANC232" s="15"/>
      <c r="AND232" s="15"/>
      <c r="ANE232" s="15"/>
      <c r="ANF232" s="15"/>
      <c r="ANG232" s="15"/>
      <c r="ANH232" s="10"/>
      <c r="ANI232" s="10"/>
      <c r="ANJ232" s="21"/>
      <c r="ANK232" s="21"/>
      <c r="ANN232" s="21"/>
      <c r="ANO232" s="15"/>
      <c r="ANP232" s="15"/>
      <c r="ANQ232" s="15"/>
      <c r="ANR232" s="15"/>
      <c r="ANS232" s="15"/>
      <c r="ANT232" s="15"/>
      <c r="ANU232" s="15"/>
      <c r="ANV232" s="15"/>
      <c r="ANW232" s="15"/>
      <c r="ANX232" s="15"/>
      <c r="ANY232" s="10"/>
      <c r="ANZ232" s="10"/>
      <c r="AOA232" s="21"/>
      <c r="AOB232" s="21"/>
      <c r="AOE232" s="21"/>
      <c r="AOF232" s="15"/>
      <c r="AOG232" s="15"/>
      <c r="AOH232" s="15"/>
      <c r="AOI232" s="15"/>
      <c r="AOJ232" s="15"/>
      <c r="AOK232" s="15"/>
      <c r="AOL232" s="15"/>
      <c r="AOM232" s="15"/>
      <c r="AON232" s="15"/>
      <c r="AOO232" s="15"/>
      <c r="AOP232" s="10"/>
      <c r="AOQ232" s="10"/>
      <c r="AOR232" s="21"/>
      <c r="AOS232" s="21"/>
      <c r="AOV232" s="21"/>
      <c r="AOW232" s="15"/>
      <c r="AOX232" s="15"/>
      <c r="AOY232" s="15"/>
      <c r="AOZ232" s="15"/>
      <c r="APA232" s="15"/>
      <c r="APB232" s="15"/>
      <c r="APC232" s="15"/>
      <c r="APD232" s="15"/>
      <c r="APE232" s="15"/>
      <c r="APF232" s="15"/>
      <c r="APG232" s="10"/>
      <c r="APH232" s="10"/>
      <c r="API232" s="21"/>
      <c r="APJ232" s="21"/>
      <c r="APM232" s="21"/>
      <c r="APN232" s="15"/>
      <c r="APO232" s="15"/>
      <c r="APP232" s="15"/>
      <c r="APQ232" s="15"/>
      <c r="APR232" s="15"/>
      <c r="APS232" s="15"/>
      <c r="APT232" s="15"/>
      <c r="APU232" s="15"/>
      <c r="APV232" s="15"/>
      <c r="APW232" s="15"/>
      <c r="APX232" s="10"/>
      <c r="APY232" s="10"/>
      <c r="APZ232" s="21"/>
      <c r="AQA232" s="21"/>
      <c r="AQD232" s="21"/>
      <c r="AQE232" s="15"/>
      <c r="AQF232" s="15"/>
      <c r="AQG232" s="15"/>
      <c r="AQH232" s="15"/>
      <c r="AQI232" s="15"/>
      <c r="AQJ232" s="15"/>
      <c r="AQK232" s="15"/>
      <c r="AQL232" s="15"/>
      <c r="AQM232" s="15"/>
      <c r="AQN232" s="15"/>
      <c r="AQO232" s="10"/>
      <c r="AQP232" s="10"/>
      <c r="AQQ232" s="21"/>
      <c r="AQR232" s="21"/>
      <c r="AQU232" s="21"/>
      <c r="AQV232" s="15"/>
      <c r="AQW232" s="15"/>
      <c r="AQX232" s="15"/>
      <c r="AQY232" s="15"/>
      <c r="AQZ232" s="15"/>
      <c r="ARA232" s="15"/>
      <c r="ARB232" s="15"/>
      <c r="ARC232" s="15"/>
      <c r="ARD232" s="15"/>
      <c r="ARE232" s="15"/>
      <c r="ARF232" s="10"/>
      <c r="ARG232" s="10"/>
      <c r="ARH232" s="21"/>
      <c r="ARI232" s="21"/>
      <c r="ARL232" s="21"/>
      <c r="ARM232" s="15"/>
      <c r="ARN232" s="15"/>
      <c r="ARO232" s="15"/>
      <c r="ARP232" s="15"/>
      <c r="ARQ232" s="15"/>
      <c r="ARR232" s="15"/>
      <c r="ARS232" s="15"/>
      <c r="ART232" s="15"/>
      <c r="ARU232" s="15"/>
      <c r="ARV232" s="15"/>
      <c r="ARW232" s="10"/>
      <c r="ARX232" s="10"/>
      <c r="ARY232" s="21"/>
      <c r="ARZ232" s="21"/>
      <c r="ASC232" s="21"/>
      <c r="ASD232" s="15"/>
      <c r="ASE232" s="15"/>
      <c r="ASF232" s="15"/>
      <c r="ASG232" s="15"/>
      <c r="ASH232" s="15"/>
      <c r="ASI232" s="15"/>
      <c r="ASJ232" s="15"/>
      <c r="ASK232" s="15"/>
      <c r="ASL232" s="15"/>
      <c r="ASM232" s="15"/>
      <c r="ASN232" s="10"/>
      <c r="ASO232" s="10"/>
      <c r="ASP232" s="21"/>
      <c r="ASQ232" s="21"/>
      <c r="AST232" s="21"/>
      <c r="ASU232" s="15"/>
      <c r="ASV232" s="15"/>
      <c r="ASW232" s="15"/>
      <c r="ASX232" s="15"/>
      <c r="ASY232" s="15"/>
      <c r="ASZ232" s="15"/>
      <c r="ATA232" s="15"/>
      <c r="ATB232" s="15"/>
      <c r="ATC232" s="15"/>
      <c r="ATD232" s="15"/>
      <c r="ATE232" s="10"/>
      <c r="ATF232" s="10"/>
      <c r="ATG232" s="21"/>
      <c r="ATH232" s="21"/>
      <c r="ATK232" s="21"/>
      <c r="ATL232" s="15"/>
      <c r="ATM232" s="15"/>
      <c r="ATN232" s="15"/>
      <c r="ATO232" s="15"/>
      <c r="ATP232" s="15"/>
      <c r="ATQ232" s="15"/>
      <c r="ATR232" s="15"/>
      <c r="ATS232" s="15"/>
      <c r="ATT232" s="15"/>
      <c r="ATU232" s="15"/>
      <c r="ATV232" s="10"/>
      <c r="ATW232" s="10"/>
      <c r="ATX232" s="21"/>
      <c r="ATY232" s="21"/>
      <c r="AUB232" s="21"/>
      <c r="AUC232" s="15"/>
      <c r="AUD232" s="15"/>
      <c r="AUE232" s="15"/>
      <c r="AUF232" s="15"/>
      <c r="AUG232" s="15"/>
      <c r="AUH232" s="15"/>
      <c r="AUI232" s="15"/>
      <c r="AUJ232" s="15"/>
      <c r="AUK232" s="15"/>
      <c r="AUL232" s="15"/>
      <c r="AUM232" s="10"/>
      <c r="AUN232" s="10"/>
      <c r="AUO232" s="21"/>
      <c r="AUP232" s="21"/>
      <c r="AUS232" s="21"/>
      <c r="AUT232" s="15"/>
      <c r="AUU232" s="15"/>
      <c r="AUV232" s="15"/>
      <c r="AUW232" s="15"/>
      <c r="AUX232" s="15"/>
      <c r="AUY232" s="15"/>
      <c r="AUZ232" s="15"/>
      <c r="AVA232" s="15"/>
      <c r="AVB232" s="15"/>
      <c r="AVC232" s="15"/>
      <c r="AVD232" s="10"/>
      <c r="AVE232" s="10"/>
      <c r="AVF232" s="21"/>
      <c r="AVG232" s="21"/>
      <c r="AVJ232" s="21"/>
      <c r="AVK232" s="15"/>
      <c r="AVL232" s="15"/>
      <c r="AVM232" s="15"/>
      <c r="AVN232" s="15"/>
      <c r="AVO232" s="15"/>
      <c r="AVP232" s="15"/>
      <c r="AVQ232" s="15"/>
      <c r="AVR232" s="15"/>
      <c r="AVS232" s="15"/>
      <c r="AVT232" s="15"/>
      <c r="AVU232" s="10"/>
      <c r="AVV232" s="10"/>
      <c r="AVW232" s="21"/>
      <c r="AVX232" s="21"/>
      <c r="AWA232" s="21"/>
      <c r="AWB232" s="15"/>
      <c r="AWC232" s="15"/>
      <c r="AWD232" s="15"/>
      <c r="AWE232" s="15"/>
      <c r="AWF232" s="15"/>
      <c r="AWG232" s="15"/>
      <c r="AWH232" s="15"/>
      <c r="AWI232" s="15"/>
      <c r="AWJ232" s="15"/>
      <c r="AWK232" s="15"/>
      <c r="AWL232" s="10"/>
      <c r="AWM232" s="10"/>
      <c r="AWN232" s="21"/>
      <c r="AWO232" s="21"/>
      <c r="AWR232" s="21"/>
      <c r="AWS232" s="15"/>
      <c r="AWT232" s="15"/>
      <c r="AWU232" s="15"/>
      <c r="AWV232" s="15"/>
      <c r="AWW232" s="15"/>
      <c r="AWX232" s="15"/>
      <c r="AWY232" s="15"/>
      <c r="AWZ232" s="15"/>
      <c r="AXA232" s="15"/>
      <c r="AXB232" s="15"/>
      <c r="AXC232" s="10"/>
      <c r="AXD232" s="10"/>
      <c r="AXE232" s="21"/>
      <c r="AXF232" s="21"/>
      <c r="AXI232" s="21"/>
      <c r="AXJ232" s="15"/>
      <c r="AXK232" s="15"/>
      <c r="AXL232" s="15"/>
      <c r="AXM232" s="15"/>
      <c r="AXN232" s="15"/>
      <c r="AXO232" s="15"/>
      <c r="AXP232" s="15"/>
      <c r="AXQ232" s="15"/>
      <c r="AXR232" s="15"/>
      <c r="AXS232" s="15"/>
      <c r="AXT232" s="10"/>
      <c r="AXU232" s="10"/>
      <c r="AXV232" s="21"/>
      <c r="AXW232" s="21"/>
      <c r="AXZ232" s="21"/>
      <c r="AYA232" s="15"/>
      <c r="AYB232" s="15"/>
      <c r="AYC232" s="15"/>
      <c r="AYD232" s="15"/>
      <c r="AYE232" s="15"/>
      <c r="AYF232" s="15"/>
      <c r="AYG232" s="15"/>
      <c r="AYH232" s="15"/>
      <c r="AYI232" s="15"/>
      <c r="AYJ232" s="15"/>
      <c r="AYK232" s="10"/>
      <c r="AYL232" s="10"/>
      <c r="AYM232" s="21"/>
      <c r="AYN232" s="21"/>
      <c r="AYQ232" s="21"/>
      <c r="AYR232" s="15"/>
      <c r="AYS232" s="15"/>
      <c r="AYT232" s="15"/>
      <c r="AYU232" s="15"/>
      <c r="AYV232" s="15"/>
      <c r="AYW232" s="15"/>
      <c r="AYX232" s="15"/>
      <c r="AYY232" s="15"/>
      <c r="AYZ232" s="15"/>
      <c r="AZA232" s="15"/>
      <c r="AZB232" s="10"/>
      <c r="AZC232" s="10"/>
      <c r="AZD232" s="21"/>
      <c r="AZE232" s="21"/>
      <c r="AZH232" s="21"/>
      <c r="AZI232" s="15"/>
      <c r="AZJ232" s="15"/>
      <c r="AZK232" s="15"/>
      <c r="AZL232" s="15"/>
      <c r="AZM232" s="15"/>
      <c r="AZN232" s="15"/>
      <c r="AZO232" s="15"/>
      <c r="AZP232" s="15"/>
      <c r="AZQ232" s="15"/>
      <c r="AZR232" s="15"/>
      <c r="AZS232" s="10"/>
      <c r="AZT232" s="10"/>
      <c r="AZU232" s="21"/>
      <c r="AZV232" s="21"/>
      <c r="AZY232" s="21"/>
      <c r="AZZ232" s="15"/>
      <c r="BAA232" s="15"/>
      <c r="BAB232" s="15"/>
      <c r="BAC232" s="15"/>
      <c r="BAD232" s="15"/>
      <c r="BAE232" s="15"/>
      <c r="BAF232" s="15"/>
      <c r="BAG232" s="15"/>
      <c r="BAH232" s="15"/>
      <c r="BAI232" s="15"/>
      <c r="BAJ232" s="10"/>
      <c r="BAK232" s="10"/>
      <c r="BAL232" s="21"/>
      <c r="BAM232" s="21"/>
      <c r="BAP232" s="21"/>
      <c r="BAQ232" s="15"/>
      <c r="BAR232" s="15"/>
      <c r="BAS232" s="15"/>
      <c r="BAT232" s="15"/>
      <c r="BAU232" s="15"/>
      <c r="BAV232" s="15"/>
      <c r="BAW232" s="15"/>
      <c r="BAX232" s="15"/>
      <c r="BAY232" s="15"/>
      <c r="BAZ232" s="15"/>
      <c r="BBA232" s="10"/>
      <c r="BBB232" s="10"/>
      <c r="BBC232" s="21"/>
      <c r="BBD232" s="21"/>
      <c r="BBG232" s="21"/>
      <c r="BBH232" s="15"/>
      <c r="BBI232" s="15"/>
      <c r="BBJ232" s="15"/>
      <c r="BBK232" s="15"/>
      <c r="BBL232" s="15"/>
      <c r="BBM232" s="15"/>
      <c r="BBN232" s="15"/>
      <c r="BBO232" s="15"/>
      <c r="BBP232" s="15"/>
      <c r="BBQ232" s="15"/>
      <c r="BBR232" s="10"/>
      <c r="BBS232" s="10"/>
      <c r="BBT232" s="21"/>
      <c r="BBU232" s="21"/>
      <c r="BBX232" s="21"/>
      <c r="BBY232" s="15"/>
      <c r="BBZ232" s="15"/>
      <c r="BCA232" s="15"/>
      <c r="BCB232" s="15"/>
      <c r="BCC232" s="15"/>
      <c r="BCD232" s="15"/>
      <c r="BCE232" s="15"/>
      <c r="BCF232" s="15"/>
      <c r="BCG232" s="15"/>
      <c r="BCH232" s="15"/>
      <c r="BCI232" s="10"/>
      <c r="BCJ232" s="10"/>
      <c r="BCK232" s="21"/>
      <c r="BCL232" s="21"/>
      <c r="BCO232" s="21"/>
      <c r="BCP232" s="15"/>
      <c r="BCQ232" s="15"/>
      <c r="BCR232" s="15"/>
      <c r="BCS232" s="15"/>
      <c r="BCT232" s="15"/>
      <c r="BCU232" s="15"/>
      <c r="BCV232" s="15"/>
      <c r="BCW232" s="15"/>
      <c r="BCX232" s="15"/>
      <c r="BCY232" s="15"/>
      <c r="BCZ232" s="10"/>
      <c r="BDA232" s="10"/>
      <c r="BDB232" s="21"/>
      <c r="BDC232" s="21"/>
      <c r="BDF232" s="21"/>
      <c r="BDG232" s="15"/>
      <c r="BDH232" s="15"/>
      <c r="BDI232" s="15"/>
      <c r="BDJ232" s="15"/>
      <c r="BDK232" s="15"/>
      <c r="BDL232" s="15"/>
      <c r="BDM232" s="15"/>
      <c r="BDN232" s="15"/>
      <c r="BDO232" s="15"/>
      <c r="BDP232" s="15"/>
      <c r="BDQ232" s="10"/>
      <c r="BDR232" s="10"/>
      <c r="BDS232" s="21"/>
      <c r="BDT232" s="21"/>
      <c r="BDW232" s="21"/>
      <c r="BDX232" s="15"/>
      <c r="BDY232" s="15"/>
      <c r="BDZ232" s="15"/>
      <c r="BEA232" s="15"/>
      <c r="BEB232" s="15"/>
      <c r="BEC232" s="15"/>
      <c r="BED232" s="15"/>
      <c r="BEE232" s="15"/>
      <c r="BEF232" s="15"/>
      <c r="BEG232" s="15"/>
      <c r="BEH232" s="10"/>
      <c r="BEI232" s="10"/>
      <c r="BEJ232" s="21"/>
      <c r="BEK232" s="21"/>
      <c r="BEN232" s="21"/>
      <c r="BEO232" s="15"/>
      <c r="BEP232" s="15"/>
      <c r="BEQ232" s="15"/>
      <c r="BER232" s="15"/>
      <c r="BES232" s="15"/>
      <c r="BET232" s="15"/>
      <c r="BEU232" s="15"/>
      <c r="BEV232" s="15"/>
      <c r="BEW232" s="15"/>
      <c r="BEX232" s="15"/>
      <c r="BEY232" s="10"/>
      <c r="BEZ232" s="10"/>
      <c r="BFA232" s="21"/>
      <c r="BFB232" s="21"/>
      <c r="BFE232" s="21"/>
      <c r="BFF232" s="15"/>
      <c r="BFG232" s="15"/>
      <c r="BFH232" s="15"/>
      <c r="BFI232" s="15"/>
      <c r="BFJ232" s="15"/>
      <c r="BFK232" s="15"/>
      <c r="BFL232" s="15"/>
      <c r="BFM232" s="15"/>
      <c r="BFN232" s="15"/>
      <c r="BFO232" s="15"/>
      <c r="BFP232" s="10"/>
      <c r="BFQ232" s="10"/>
      <c r="BFR232" s="21"/>
      <c r="BFS232" s="21"/>
      <c r="BFV232" s="21"/>
      <c r="BFW232" s="15"/>
      <c r="BFX232" s="15"/>
      <c r="BFY232" s="15"/>
      <c r="BFZ232" s="15"/>
      <c r="BGA232" s="15"/>
      <c r="BGB232" s="15"/>
      <c r="BGC232" s="15"/>
      <c r="BGD232" s="15"/>
      <c r="BGE232" s="15"/>
      <c r="BGF232" s="15"/>
      <c r="BGG232" s="10"/>
      <c r="BGH232" s="10"/>
      <c r="BGI232" s="21"/>
      <c r="BGJ232" s="21"/>
      <c r="BGM232" s="21"/>
      <c r="BGN232" s="15"/>
      <c r="BGO232" s="15"/>
      <c r="BGP232" s="15"/>
      <c r="BGQ232" s="15"/>
      <c r="BGR232" s="15"/>
      <c r="BGS232" s="15"/>
      <c r="BGT232" s="15"/>
      <c r="BGU232" s="15"/>
      <c r="BGV232" s="15"/>
      <c r="BGW232" s="15"/>
      <c r="BGX232" s="10"/>
      <c r="BGY232" s="10"/>
      <c r="BGZ232" s="21"/>
      <c r="BHA232" s="21"/>
      <c r="BHD232" s="21"/>
      <c r="BHE232" s="15"/>
      <c r="BHF232" s="15"/>
      <c r="BHG232" s="15"/>
      <c r="BHH232" s="15"/>
      <c r="BHI232" s="15"/>
      <c r="BHJ232" s="15"/>
      <c r="BHK232" s="15"/>
      <c r="BHL232" s="15"/>
      <c r="BHM232" s="15"/>
      <c r="BHN232" s="15"/>
      <c r="BHO232" s="10"/>
      <c r="BHP232" s="10"/>
      <c r="BHQ232" s="21"/>
      <c r="BHR232" s="21"/>
      <c r="BHU232" s="21"/>
      <c r="BHV232" s="15"/>
      <c r="BHW232" s="15"/>
      <c r="BHX232" s="15"/>
      <c r="BHY232" s="15"/>
      <c r="BHZ232" s="15"/>
      <c r="BIA232" s="15"/>
      <c r="BIB232" s="15"/>
      <c r="BIC232" s="15"/>
      <c r="BID232" s="15"/>
      <c r="BIE232" s="15"/>
      <c r="BIF232" s="10"/>
      <c r="BIG232" s="10"/>
      <c r="BIH232" s="21"/>
      <c r="BII232" s="21"/>
      <c r="BIL232" s="21"/>
      <c r="BIM232" s="15"/>
      <c r="BIN232" s="15"/>
      <c r="BIO232" s="15"/>
      <c r="BIP232" s="15"/>
      <c r="BIQ232" s="15"/>
      <c r="BIR232" s="15"/>
      <c r="BIS232" s="15"/>
      <c r="BIT232" s="15"/>
      <c r="BIU232" s="15"/>
      <c r="BIV232" s="15"/>
      <c r="BIW232" s="10"/>
      <c r="BIX232" s="10"/>
      <c r="BIY232" s="21"/>
      <c r="BIZ232" s="21"/>
      <c r="BJC232" s="21"/>
      <c r="BJD232" s="15"/>
      <c r="BJE232" s="15"/>
      <c r="BJF232" s="15"/>
      <c r="BJG232" s="15"/>
      <c r="BJH232" s="15"/>
      <c r="BJI232" s="15"/>
      <c r="BJJ232" s="15"/>
      <c r="BJK232" s="15"/>
      <c r="BJL232" s="15"/>
      <c r="BJM232" s="15"/>
      <c r="BJN232" s="10"/>
      <c r="BJO232" s="10"/>
      <c r="BJP232" s="21"/>
      <c r="BJQ232" s="21"/>
      <c r="BJT232" s="21"/>
      <c r="BJU232" s="15"/>
      <c r="BJV232" s="15"/>
      <c r="BJW232" s="15"/>
      <c r="BJX232" s="15"/>
      <c r="BJY232" s="15"/>
      <c r="BJZ232" s="15"/>
      <c r="BKA232" s="15"/>
      <c r="BKB232" s="15"/>
      <c r="BKC232" s="15"/>
      <c r="BKD232" s="15"/>
      <c r="BKE232" s="10"/>
      <c r="BKF232" s="10"/>
      <c r="BKG232" s="21"/>
      <c r="BKH232" s="21"/>
      <c r="BKK232" s="21"/>
      <c r="BKL232" s="15"/>
      <c r="BKM232" s="15"/>
      <c r="BKN232" s="15"/>
      <c r="BKO232" s="15"/>
      <c r="BKP232" s="15"/>
      <c r="BKQ232" s="15"/>
      <c r="BKR232" s="15"/>
      <c r="BKS232" s="15"/>
      <c r="BKT232" s="15"/>
      <c r="BKU232" s="15"/>
      <c r="BKV232" s="10"/>
      <c r="BKW232" s="10"/>
      <c r="BKX232" s="21"/>
      <c r="BKY232" s="21"/>
      <c r="BLB232" s="21"/>
      <c r="BLC232" s="15"/>
      <c r="BLD232" s="15"/>
      <c r="BLE232" s="15"/>
      <c r="BLF232" s="15"/>
      <c r="BLG232" s="15"/>
      <c r="BLH232" s="15"/>
      <c r="BLI232" s="15"/>
      <c r="BLJ232" s="15"/>
      <c r="BLK232" s="15"/>
      <c r="BLL232" s="15"/>
      <c r="BLM232" s="10"/>
      <c r="BLN232" s="10"/>
      <c r="BLO232" s="21"/>
      <c r="BLP232" s="21"/>
      <c r="BLS232" s="21"/>
      <c r="BLT232" s="15"/>
      <c r="BLU232" s="15"/>
      <c r="BLV232" s="15"/>
      <c r="BLW232" s="15"/>
      <c r="BLX232" s="15"/>
      <c r="BLY232" s="15"/>
      <c r="BLZ232" s="15"/>
      <c r="BMA232" s="15"/>
      <c r="BMB232" s="15"/>
      <c r="BMC232" s="15"/>
      <c r="BMD232" s="10"/>
      <c r="BME232" s="10"/>
      <c r="BMF232" s="21"/>
      <c r="BMG232" s="21"/>
      <c r="BMJ232" s="21"/>
      <c r="BMK232" s="15"/>
      <c r="BML232" s="15"/>
      <c r="BMM232" s="15"/>
      <c r="BMN232" s="15"/>
      <c r="BMO232" s="15"/>
      <c r="BMP232" s="15"/>
      <c r="BMQ232" s="15"/>
      <c r="BMR232" s="15"/>
      <c r="BMS232" s="15"/>
      <c r="BMT232" s="15"/>
      <c r="BMU232" s="10"/>
      <c r="BMV232" s="10"/>
      <c r="BMW232" s="21"/>
      <c r="BMX232" s="21"/>
      <c r="BNA232" s="21"/>
      <c r="BNB232" s="15"/>
      <c r="BNC232" s="15"/>
      <c r="BND232" s="15"/>
      <c r="BNE232" s="15"/>
      <c r="BNF232" s="15"/>
      <c r="BNG232" s="15"/>
      <c r="BNH232" s="15"/>
      <c r="BNI232" s="15"/>
      <c r="BNJ232" s="15"/>
      <c r="BNK232" s="15"/>
      <c r="BNL232" s="10"/>
      <c r="BNM232" s="10"/>
      <c r="BNN232" s="21"/>
      <c r="BNO232" s="21"/>
      <c r="BNR232" s="21"/>
      <c r="BNS232" s="15"/>
      <c r="BNT232" s="15"/>
      <c r="BNU232" s="15"/>
      <c r="BNV232" s="15"/>
      <c r="BNW232" s="15"/>
      <c r="BNX232" s="15"/>
      <c r="BNY232" s="15"/>
      <c r="BNZ232" s="15"/>
      <c r="BOA232" s="15"/>
      <c r="BOB232" s="15"/>
      <c r="BOC232" s="10"/>
      <c r="BOD232" s="10"/>
      <c r="BOE232" s="21"/>
      <c r="BOF232" s="21"/>
      <c r="BOI232" s="21"/>
      <c r="BOJ232" s="15"/>
      <c r="BOK232" s="15"/>
      <c r="BOL232" s="15"/>
      <c r="BOM232" s="15"/>
      <c r="BON232" s="15"/>
      <c r="BOO232" s="15"/>
      <c r="BOP232" s="15"/>
      <c r="BOQ232" s="15"/>
      <c r="BOR232" s="15"/>
      <c r="BOS232" s="15"/>
      <c r="BOT232" s="10"/>
      <c r="BOU232" s="10"/>
      <c r="BOV232" s="21"/>
      <c r="BOW232" s="21"/>
      <c r="BOZ232" s="21"/>
      <c r="BPA232" s="15"/>
      <c r="BPB232" s="15"/>
      <c r="BPC232" s="15"/>
      <c r="BPD232" s="15"/>
      <c r="BPE232" s="15"/>
      <c r="BPF232" s="15"/>
      <c r="BPG232" s="15"/>
      <c r="BPH232" s="15"/>
      <c r="BPI232" s="15"/>
      <c r="BPJ232" s="15"/>
      <c r="BPK232" s="10"/>
      <c r="BPL232" s="10"/>
      <c r="BPM232" s="21"/>
      <c r="BPN232" s="21"/>
      <c r="BPQ232" s="21"/>
      <c r="BPR232" s="15"/>
      <c r="BPS232" s="15"/>
      <c r="BPT232" s="15"/>
      <c r="BPU232" s="15"/>
      <c r="BPV232" s="15"/>
      <c r="BPW232" s="15"/>
      <c r="BPX232" s="15"/>
      <c r="BPY232" s="15"/>
      <c r="BPZ232" s="15"/>
      <c r="BQA232" s="15"/>
      <c r="BQB232" s="10"/>
      <c r="BQC232" s="10"/>
      <c r="BQD232" s="21"/>
      <c r="BQE232" s="21"/>
      <c r="BQH232" s="21"/>
      <c r="BQI232" s="15"/>
      <c r="BQJ232" s="15"/>
      <c r="BQK232" s="15"/>
      <c r="BQL232" s="15"/>
      <c r="BQM232" s="15"/>
      <c r="BQN232" s="15"/>
      <c r="BQO232" s="15"/>
      <c r="BQP232" s="15"/>
      <c r="BQQ232" s="15"/>
      <c r="BQR232" s="15"/>
      <c r="BQS232" s="10"/>
      <c r="BQT232" s="10"/>
      <c r="BQU232" s="21"/>
      <c r="BQV232" s="21"/>
      <c r="BQY232" s="21"/>
      <c r="BQZ232" s="15"/>
      <c r="BRA232" s="15"/>
      <c r="BRB232" s="15"/>
      <c r="BRC232" s="15"/>
      <c r="BRD232" s="15"/>
      <c r="BRE232" s="15"/>
      <c r="BRF232" s="15"/>
      <c r="BRG232" s="15"/>
      <c r="BRH232" s="15"/>
      <c r="BRI232" s="15"/>
      <c r="BRJ232" s="10"/>
      <c r="BRK232" s="10"/>
      <c r="BRL232" s="21"/>
      <c r="BRM232" s="21"/>
      <c r="BRP232" s="21"/>
      <c r="BRQ232" s="15"/>
      <c r="BRR232" s="15"/>
      <c r="BRS232" s="15"/>
      <c r="BRT232" s="15"/>
      <c r="BRU232" s="15"/>
      <c r="BRV232" s="15"/>
      <c r="BRW232" s="15"/>
      <c r="BRX232" s="15"/>
      <c r="BRY232" s="15"/>
      <c r="BRZ232" s="15"/>
      <c r="BSA232" s="10"/>
      <c r="BSB232" s="10"/>
      <c r="BSC232" s="21"/>
      <c r="BSD232" s="21"/>
      <c r="BSG232" s="21"/>
      <c r="BSH232" s="15"/>
      <c r="BSI232" s="15"/>
      <c r="BSJ232" s="15"/>
      <c r="BSK232" s="15"/>
      <c r="BSL232" s="15"/>
      <c r="BSM232" s="15"/>
      <c r="BSN232" s="15"/>
      <c r="BSO232" s="15"/>
      <c r="BSP232" s="15"/>
      <c r="BSQ232" s="15"/>
      <c r="BSR232" s="10"/>
      <c r="BSS232" s="10"/>
      <c r="BST232" s="21"/>
      <c r="BSU232" s="21"/>
      <c r="BSX232" s="21"/>
      <c r="BSY232" s="15"/>
      <c r="BSZ232" s="15"/>
      <c r="BTA232" s="15"/>
      <c r="BTB232" s="15"/>
      <c r="BTC232" s="15"/>
      <c r="BTD232" s="15"/>
      <c r="BTE232" s="15"/>
      <c r="BTF232" s="15"/>
      <c r="BTG232" s="15"/>
      <c r="BTH232" s="15"/>
      <c r="BTI232" s="10"/>
      <c r="BTJ232" s="10"/>
      <c r="BTK232" s="21"/>
      <c r="BTL232" s="21"/>
      <c r="BTO232" s="21"/>
      <c r="BTP232" s="15"/>
      <c r="BTQ232" s="15"/>
      <c r="BTR232" s="15"/>
      <c r="BTS232" s="15"/>
      <c r="BTT232" s="15"/>
      <c r="BTU232" s="15"/>
      <c r="BTV232" s="15"/>
      <c r="BTW232" s="15"/>
      <c r="BTX232" s="15"/>
      <c r="BTY232" s="15"/>
      <c r="BTZ232" s="10"/>
      <c r="BUA232" s="10"/>
      <c r="BUB232" s="21"/>
      <c r="BUC232" s="21"/>
      <c r="BUF232" s="21"/>
      <c r="BUG232" s="15"/>
      <c r="BUH232" s="15"/>
      <c r="BUI232" s="15"/>
      <c r="BUJ232" s="15"/>
      <c r="BUK232" s="15"/>
      <c r="BUL232" s="15"/>
      <c r="BUM232" s="15"/>
      <c r="BUN232" s="15"/>
      <c r="BUO232" s="15"/>
      <c r="BUP232" s="15"/>
      <c r="BUQ232" s="10"/>
      <c r="BUR232" s="10"/>
      <c r="BUS232" s="21"/>
      <c r="BUT232" s="21"/>
      <c r="BUW232" s="21"/>
      <c r="BUX232" s="15"/>
      <c r="BUY232" s="15"/>
      <c r="BUZ232" s="15"/>
      <c r="BVA232" s="15"/>
      <c r="BVB232" s="15"/>
      <c r="BVC232" s="15"/>
      <c r="BVD232" s="15"/>
      <c r="BVE232" s="15"/>
      <c r="BVF232" s="15"/>
      <c r="BVG232" s="15"/>
      <c r="BVH232" s="10"/>
      <c r="BVI232" s="10"/>
      <c r="BVJ232" s="21"/>
      <c r="BVK232" s="21"/>
      <c r="BVN232" s="21"/>
      <c r="BVO232" s="15"/>
      <c r="BVP232" s="15"/>
      <c r="BVQ232" s="15"/>
      <c r="BVR232" s="15"/>
      <c r="BVS232" s="15"/>
      <c r="BVT232" s="15"/>
      <c r="BVU232" s="15"/>
      <c r="BVV232" s="15"/>
      <c r="BVW232" s="15"/>
      <c r="BVX232" s="15"/>
      <c r="BVY232" s="10"/>
      <c r="BVZ232" s="10"/>
      <c r="BWA232" s="21"/>
      <c r="BWB232" s="21"/>
      <c r="BWE232" s="21"/>
      <c r="BWF232" s="15"/>
      <c r="BWG232" s="15"/>
      <c r="BWH232" s="15"/>
      <c r="BWI232" s="15"/>
      <c r="BWJ232" s="15"/>
      <c r="BWK232" s="15"/>
      <c r="BWL232" s="15"/>
      <c r="BWM232" s="15"/>
      <c r="BWN232" s="15"/>
      <c r="BWO232" s="15"/>
      <c r="BWP232" s="10"/>
      <c r="BWQ232" s="10"/>
      <c r="BWR232" s="21"/>
      <c r="BWS232" s="21"/>
      <c r="BWV232" s="21"/>
      <c r="BWW232" s="15"/>
      <c r="BWX232" s="15"/>
      <c r="BWY232" s="15"/>
      <c r="BWZ232" s="15"/>
      <c r="BXA232" s="15"/>
      <c r="BXB232" s="15"/>
      <c r="BXC232" s="15"/>
      <c r="BXD232" s="15"/>
      <c r="BXE232" s="15"/>
      <c r="BXF232" s="15"/>
      <c r="BXG232" s="10"/>
      <c r="BXH232" s="10"/>
      <c r="BXI232" s="21"/>
      <c r="BXJ232" s="21"/>
      <c r="BXM232" s="21"/>
      <c r="BXN232" s="15"/>
      <c r="BXO232" s="15"/>
      <c r="BXP232" s="15"/>
      <c r="BXQ232" s="15"/>
      <c r="BXR232" s="15"/>
      <c r="BXS232" s="15"/>
      <c r="BXT232" s="15"/>
      <c r="BXU232" s="15"/>
      <c r="BXV232" s="15"/>
      <c r="BXW232" s="15"/>
      <c r="BXX232" s="10"/>
      <c r="BXY232" s="10"/>
      <c r="BXZ232" s="21"/>
      <c r="BYA232" s="21"/>
      <c r="BYD232" s="21"/>
      <c r="BYE232" s="15"/>
      <c r="BYF232" s="15"/>
      <c r="BYG232" s="15"/>
      <c r="BYH232" s="15"/>
      <c r="BYI232" s="15"/>
      <c r="BYJ232" s="15"/>
      <c r="BYK232" s="15"/>
      <c r="BYL232" s="15"/>
      <c r="BYM232" s="15"/>
      <c r="BYN232" s="15"/>
      <c r="BYO232" s="10"/>
      <c r="BYP232" s="10"/>
      <c r="BYQ232" s="21"/>
      <c r="BYR232" s="21"/>
      <c r="BYU232" s="21"/>
      <c r="BYV232" s="15"/>
      <c r="BYW232" s="15"/>
      <c r="BYX232" s="15"/>
      <c r="BYY232" s="15"/>
      <c r="BYZ232" s="15"/>
      <c r="BZA232" s="15"/>
      <c r="BZB232" s="15"/>
      <c r="BZC232" s="15"/>
      <c r="BZD232" s="15"/>
      <c r="BZE232" s="15"/>
      <c r="BZF232" s="10"/>
      <c r="BZG232" s="10"/>
      <c r="BZH232" s="21"/>
      <c r="BZI232" s="21"/>
      <c r="BZL232" s="21"/>
      <c r="BZM232" s="15"/>
      <c r="BZN232" s="15"/>
      <c r="BZO232" s="15"/>
      <c r="BZP232" s="15"/>
      <c r="BZQ232" s="15"/>
      <c r="BZR232" s="15"/>
      <c r="BZS232" s="15"/>
      <c r="BZT232" s="15"/>
      <c r="BZU232" s="15"/>
      <c r="BZV232" s="15"/>
      <c r="BZW232" s="10"/>
      <c r="BZX232" s="10"/>
      <c r="BZY232" s="21"/>
      <c r="BZZ232" s="21"/>
      <c r="CAC232" s="21"/>
      <c r="CAD232" s="15"/>
      <c r="CAE232" s="15"/>
      <c r="CAF232" s="15"/>
      <c r="CAG232" s="15"/>
      <c r="CAH232" s="15"/>
      <c r="CAI232" s="15"/>
      <c r="CAJ232" s="15"/>
      <c r="CAK232" s="15"/>
      <c r="CAL232" s="15"/>
      <c r="CAM232" s="15"/>
      <c r="CAN232" s="10"/>
      <c r="CAO232" s="10"/>
      <c r="CAP232" s="21"/>
      <c r="CAQ232" s="21"/>
      <c r="CAT232" s="21"/>
      <c r="CAU232" s="15"/>
      <c r="CAV232" s="15"/>
      <c r="CAW232" s="15"/>
      <c r="CAX232" s="15"/>
      <c r="CAY232" s="15"/>
      <c r="CAZ232" s="15"/>
      <c r="CBA232" s="15"/>
      <c r="CBB232" s="15"/>
      <c r="CBC232" s="15"/>
      <c r="CBD232" s="15"/>
      <c r="CBE232" s="10"/>
      <c r="CBF232" s="10"/>
      <c r="CBG232" s="21"/>
      <c r="CBH232" s="21"/>
      <c r="CBK232" s="21"/>
      <c r="CBL232" s="15"/>
      <c r="CBM232" s="15"/>
      <c r="CBN232" s="15"/>
      <c r="CBO232" s="15"/>
      <c r="CBP232" s="15"/>
      <c r="CBQ232" s="15"/>
      <c r="CBR232" s="15"/>
      <c r="CBS232" s="15"/>
      <c r="CBT232" s="15"/>
      <c r="CBU232" s="15"/>
      <c r="CBV232" s="10"/>
      <c r="CBW232" s="10"/>
      <c r="CBX232" s="21"/>
      <c r="CBY232" s="21"/>
      <c r="CCB232" s="21"/>
      <c r="CCC232" s="15"/>
      <c r="CCD232" s="15"/>
      <c r="CCE232" s="15"/>
      <c r="CCF232" s="15"/>
      <c r="CCG232" s="15"/>
      <c r="CCH232" s="15"/>
      <c r="CCI232" s="15"/>
      <c r="CCJ232" s="15"/>
      <c r="CCK232" s="15"/>
      <c r="CCL232" s="15"/>
      <c r="CCM232" s="10"/>
      <c r="CCN232" s="10"/>
      <c r="CCO232" s="21"/>
      <c r="CCP232" s="21"/>
      <c r="CCS232" s="21"/>
      <c r="CCT232" s="15"/>
      <c r="CCU232" s="15"/>
      <c r="CCV232" s="15"/>
      <c r="CCW232" s="15"/>
      <c r="CCX232" s="15"/>
      <c r="CCY232" s="15"/>
      <c r="CCZ232" s="15"/>
      <c r="CDA232" s="15"/>
      <c r="CDB232" s="15"/>
      <c r="CDC232" s="15"/>
      <c r="CDD232" s="10"/>
      <c r="CDE232" s="10"/>
      <c r="CDF232" s="21"/>
      <c r="CDG232" s="21"/>
      <c r="CDJ232" s="21"/>
      <c r="CDK232" s="15"/>
      <c r="CDL232" s="15"/>
      <c r="CDM232" s="15"/>
      <c r="CDN232" s="15"/>
      <c r="CDO232" s="15"/>
      <c r="CDP232" s="15"/>
      <c r="CDQ232" s="15"/>
      <c r="CDR232" s="15"/>
      <c r="CDS232" s="15"/>
      <c r="CDT232" s="15"/>
      <c r="CDU232" s="10"/>
      <c r="CDV232" s="10"/>
      <c r="CDW232" s="21"/>
      <c r="CDX232" s="21"/>
      <c r="CEA232" s="21"/>
      <c r="CEB232" s="15"/>
      <c r="CEC232" s="15"/>
      <c r="CED232" s="15"/>
      <c r="CEE232" s="15"/>
      <c r="CEF232" s="15"/>
      <c r="CEG232" s="15"/>
      <c r="CEH232" s="15"/>
      <c r="CEI232" s="15"/>
      <c r="CEJ232" s="15"/>
      <c r="CEK232" s="15"/>
      <c r="CEL232" s="10"/>
      <c r="CEM232" s="10"/>
      <c r="CEN232" s="21"/>
      <c r="CEO232" s="21"/>
      <c r="CER232" s="21"/>
      <c r="CES232" s="15"/>
      <c r="CET232" s="15"/>
      <c r="CEU232" s="15"/>
      <c r="CEV232" s="15"/>
      <c r="CEW232" s="15"/>
      <c r="CEX232" s="15"/>
      <c r="CEY232" s="15"/>
      <c r="CEZ232" s="15"/>
      <c r="CFA232" s="15"/>
      <c r="CFB232" s="15"/>
      <c r="CFC232" s="10"/>
      <c r="CFD232" s="10"/>
      <c r="CFE232" s="21"/>
      <c r="CFF232" s="21"/>
      <c r="CFI232" s="21"/>
      <c r="CFJ232" s="15"/>
      <c r="CFK232" s="15"/>
      <c r="CFL232" s="15"/>
      <c r="CFM232" s="15"/>
      <c r="CFN232" s="15"/>
      <c r="CFO232" s="15"/>
      <c r="CFP232" s="15"/>
      <c r="CFQ232" s="15"/>
      <c r="CFR232" s="15"/>
      <c r="CFS232" s="15"/>
      <c r="CFT232" s="10"/>
      <c r="CFU232" s="10"/>
      <c r="CFV232" s="21"/>
      <c r="CFW232" s="21"/>
      <c r="CFZ232" s="21"/>
      <c r="CGA232" s="15"/>
      <c r="CGB232" s="15"/>
      <c r="CGC232" s="15"/>
      <c r="CGD232" s="15"/>
      <c r="CGE232" s="15"/>
      <c r="CGF232" s="15"/>
      <c r="CGG232" s="15"/>
      <c r="CGH232" s="15"/>
      <c r="CGI232" s="15"/>
      <c r="CGJ232" s="15"/>
      <c r="CGK232" s="10"/>
      <c r="CGL232" s="10"/>
      <c r="CGM232" s="21"/>
      <c r="CGN232" s="21"/>
      <c r="CGQ232" s="21"/>
      <c r="CGR232" s="15"/>
      <c r="CGS232" s="15"/>
      <c r="CGT232" s="15"/>
      <c r="CGU232" s="15"/>
      <c r="CGV232" s="15"/>
      <c r="CGW232" s="15"/>
      <c r="CGX232" s="15"/>
      <c r="CGY232" s="15"/>
      <c r="CGZ232" s="15"/>
      <c r="CHA232" s="15"/>
      <c r="CHB232" s="10"/>
      <c r="CHC232" s="10"/>
      <c r="CHD232" s="21"/>
      <c r="CHE232" s="21"/>
      <c r="CHH232" s="21"/>
      <c r="CHI232" s="15"/>
      <c r="CHJ232" s="15"/>
      <c r="CHK232" s="15"/>
      <c r="CHL232" s="15"/>
      <c r="CHM232" s="15"/>
      <c r="CHN232" s="15"/>
      <c r="CHO232" s="15"/>
      <c r="CHP232" s="15"/>
      <c r="CHQ232" s="15"/>
      <c r="CHR232" s="15"/>
      <c r="CHS232" s="10"/>
      <c r="CHT232" s="10"/>
      <c r="CHU232" s="21"/>
      <c r="CHV232" s="21"/>
      <c r="CHY232" s="21"/>
      <c r="CHZ232" s="15"/>
      <c r="CIA232" s="15"/>
      <c r="CIB232" s="15"/>
      <c r="CIC232" s="15"/>
      <c r="CID232" s="15"/>
      <c r="CIE232" s="15"/>
      <c r="CIF232" s="15"/>
      <c r="CIG232" s="15"/>
      <c r="CIH232" s="15"/>
      <c r="CII232" s="15"/>
      <c r="CIJ232" s="10"/>
      <c r="CIK232" s="10"/>
      <c r="CIL232" s="21"/>
      <c r="CIM232" s="21"/>
      <c r="CIP232" s="21"/>
      <c r="CIQ232" s="15"/>
      <c r="CIR232" s="15"/>
      <c r="CIS232" s="15"/>
      <c r="CIT232" s="15"/>
      <c r="CIU232" s="15"/>
      <c r="CIV232" s="15"/>
      <c r="CIW232" s="15"/>
      <c r="CIX232" s="15"/>
      <c r="CIY232" s="15"/>
      <c r="CIZ232" s="15"/>
      <c r="CJA232" s="10"/>
      <c r="CJB232" s="10"/>
      <c r="CJC232" s="21"/>
      <c r="CJD232" s="21"/>
      <c r="CJG232" s="21"/>
      <c r="CJH232" s="15"/>
      <c r="CJI232" s="15"/>
      <c r="CJJ232" s="15"/>
      <c r="CJK232" s="15"/>
      <c r="CJL232" s="15"/>
      <c r="CJM232" s="15"/>
      <c r="CJN232" s="15"/>
      <c r="CJO232" s="15"/>
      <c r="CJP232" s="15"/>
      <c r="CJQ232" s="15"/>
      <c r="CJR232" s="10"/>
      <c r="CJS232" s="10"/>
      <c r="CJT232" s="21"/>
      <c r="CJU232" s="21"/>
      <c r="CJX232" s="21"/>
      <c r="CJY232" s="15"/>
      <c r="CJZ232" s="15"/>
      <c r="CKA232" s="15"/>
      <c r="CKB232" s="15"/>
      <c r="CKC232" s="15"/>
      <c r="CKD232" s="15"/>
      <c r="CKE232" s="15"/>
      <c r="CKF232" s="15"/>
      <c r="CKG232" s="15"/>
      <c r="CKH232" s="15"/>
      <c r="CKI232" s="10"/>
      <c r="CKJ232" s="10"/>
      <c r="CKK232" s="21"/>
      <c r="CKL232" s="21"/>
      <c r="CKO232" s="21"/>
      <c r="CKP232" s="15"/>
      <c r="CKQ232" s="15"/>
      <c r="CKR232" s="15"/>
      <c r="CKS232" s="15"/>
      <c r="CKT232" s="15"/>
      <c r="CKU232" s="15"/>
      <c r="CKV232" s="15"/>
      <c r="CKW232" s="15"/>
      <c r="CKX232" s="15"/>
      <c r="CKY232" s="15"/>
      <c r="CKZ232" s="10"/>
      <c r="CLA232" s="10"/>
      <c r="CLB232" s="21"/>
      <c r="CLC232" s="21"/>
      <c r="CLF232" s="21"/>
      <c r="CLG232" s="15"/>
      <c r="CLH232" s="15"/>
      <c r="CLI232" s="15"/>
      <c r="CLJ232" s="15"/>
      <c r="CLK232" s="15"/>
      <c r="CLL232" s="15"/>
      <c r="CLM232" s="15"/>
      <c r="CLN232" s="15"/>
      <c r="CLO232" s="15"/>
      <c r="CLP232" s="15"/>
      <c r="CLQ232" s="10"/>
      <c r="CLR232" s="10"/>
      <c r="CLS232" s="21"/>
      <c r="CLT232" s="21"/>
      <c r="CLW232" s="21"/>
      <c r="CLX232" s="15"/>
      <c r="CLY232" s="15"/>
      <c r="CLZ232" s="15"/>
      <c r="CMA232" s="15"/>
      <c r="CMB232" s="15"/>
      <c r="CMC232" s="15"/>
      <c r="CMD232" s="15"/>
      <c r="CME232" s="15"/>
      <c r="CMF232" s="15"/>
      <c r="CMG232" s="15"/>
      <c r="CMH232" s="10"/>
      <c r="CMI232" s="10"/>
      <c r="CMJ232" s="21"/>
      <c r="CMK232" s="21"/>
      <c r="CMN232" s="21"/>
      <c r="CMO232" s="15"/>
      <c r="CMP232" s="15"/>
      <c r="CMQ232" s="15"/>
      <c r="CMR232" s="15"/>
      <c r="CMS232" s="15"/>
      <c r="CMT232" s="15"/>
      <c r="CMU232" s="15"/>
      <c r="CMV232" s="15"/>
      <c r="CMW232" s="15"/>
      <c r="CMX232" s="15"/>
      <c r="CMY232" s="10"/>
      <c r="CMZ232" s="10"/>
      <c r="CNA232" s="21"/>
      <c r="CNB232" s="21"/>
      <c r="CNE232" s="21"/>
      <c r="CNF232" s="15"/>
      <c r="CNG232" s="15"/>
      <c r="CNH232" s="15"/>
      <c r="CNI232" s="15"/>
      <c r="CNJ232" s="15"/>
      <c r="CNK232" s="15"/>
      <c r="CNL232" s="15"/>
      <c r="CNM232" s="15"/>
      <c r="CNN232" s="15"/>
      <c r="CNO232" s="15"/>
      <c r="CNP232" s="10"/>
      <c r="CNQ232" s="10"/>
      <c r="CNR232" s="21"/>
      <c r="CNS232" s="21"/>
      <c r="CNV232" s="21"/>
      <c r="CNW232" s="15"/>
      <c r="CNX232" s="15"/>
      <c r="CNY232" s="15"/>
      <c r="CNZ232" s="15"/>
      <c r="COA232" s="15"/>
      <c r="COB232" s="15"/>
      <c r="COC232" s="15"/>
      <c r="COD232" s="15"/>
      <c r="COE232" s="15"/>
      <c r="COF232" s="15"/>
      <c r="COG232" s="10"/>
      <c r="COH232" s="10"/>
      <c r="COI232" s="21"/>
      <c r="COJ232" s="21"/>
      <c r="COM232" s="21"/>
      <c r="CON232" s="15"/>
      <c r="COO232" s="15"/>
      <c r="COP232" s="15"/>
      <c r="COQ232" s="15"/>
      <c r="COR232" s="15"/>
      <c r="COS232" s="15"/>
      <c r="COT232" s="15"/>
      <c r="COU232" s="15"/>
      <c r="COV232" s="15"/>
      <c r="COW232" s="15"/>
      <c r="COX232" s="10"/>
      <c r="COY232" s="10"/>
      <c r="COZ232" s="21"/>
      <c r="CPA232" s="21"/>
      <c r="CPD232" s="21"/>
      <c r="CPE232" s="15"/>
      <c r="CPF232" s="15"/>
      <c r="CPG232" s="15"/>
      <c r="CPH232" s="15"/>
      <c r="CPI232" s="15"/>
      <c r="CPJ232" s="15"/>
      <c r="CPK232" s="15"/>
      <c r="CPL232" s="15"/>
      <c r="CPM232" s="15"/>
      <c r="CPN232" s="15"/>
      <c r="CPO232" s="10"/>
      <c r="CPP232" s="10"/>
      <c r="CPQ232" s="21"/>
      <c r="CPR232" s="21"/>
      <c r="CPU232" s="21"/>
      <c r="CPV232" s="15"/>
      <c r="CPW232" s="15"/>
      <c r="CPX232" s="15"/>
      <c r="CPY232" s="15"/>
      <c r="CPZ232" s="15"/>
      <c r="CQA232" s="15"/>
      <c r="CQB232" s="15"/>
      <c r="CQC232" s="15"/>
      <c r="CQD232" s="15"/>
      <c r="CQE232" s="15"/>
      <c r="CQF232" s="10"/>
      <c r="CQG232" s="10"/>
      <c r="CQH232" s="21"/>
      <c r="CQI232" s="21"/>
      <c r="CQL232" s="21"/>
      <c r="CQM232" s="15"/>
      <c r="CQN232" s="15"/>
      <c r="CQO232" s="15"/>
      <c r="CQP232" s="15"/>
      <c r="CQQ232" s="15"/>
      <c r="CQR232" s="15"/>
      <c r="CQS232" s="15"/>
      <c r="CQT232" s="15"/>
      <c r="CQU232" s="15"/>
      <c r="CQV232" s="15"/>
      <c r="CQW232" s="10"/>
      <c r="CQX232" s="10"/>
      <c r="CQY232" s="21"/>
      <c r="CQZ232" s="21"/>
      <c r="CRC232" s="21"/>
      <c r="CRD232" s="15"/>
      <c r="CRE232" s="15"/>
      <c r="CRF232" s="15"/>
      <c r="CRG232" s="15"/>
      <c r="CRH232" s="15"/>
      <c r="CRI232" s="15"/>
      <c r="CRJ232" s="15"/>
      <c r="CRK232" s="15"/>
      <c r="CRL232" s="15"/>
      <c r="CRM232" s="15"/>
      <c r="CRN232" s="10"/>
      <c r="CRO232" s="10"/>
      <c r="CRP232" s="21"/>
      <c r="CRQ232" s="21"/>
      <c r="CRT232" s="21"/>
      <c r="CRU232" s="15"/>
      <c r="CRV232" s="15"/>
      <c r="CRW232" s="15"/>
      <c r="CRX232" s="15"/>
      <c r="CRY232" s="15"/>
      <c r="CRZ232" s="15"/>
      <c r="CSA232" s="15"/>
      <c r="CSB232" s="15"/>
      <c r="CSC232" s="15"/>
      <c r="CSD232" s="15"/>
      <c r="CSE232" s="10"/>
      <c r="CSF232" s="10"/>
      <c r="CSG232" s="21"/>
      <c r="CSH232" s="21"/>
      <c r="CSK232" s="21"/>
      <c r="CSL232" s="15"/>
      <c r="CSM232" s="15"/>
      <c r="CSN232" s="15"/>
      <c r="CSO232" s="15"/>
      <c r="CSP232" s="15"/>
      <c r="CSQ232" s="15"/>
      <c r="CSR232" s="15"/>
      <c r="CSS232" s="15"/>
      <c r="CST232" s="15"/>
      <c r="CSU232" s="15"/>
      <c r="CSV232" s="10"/>
      <c r="CSW232" s="10"/>
      <c r="CSX232" s="21"/>
      <c r="CSY232" s="21"/>
      <c r="CTB232" s="21"/>
      <c r="CTC232" s="15"/>
      <c r="CTD232" s="15"/>
      <c r="CTE232" s="15"/>
      <c r="CTF232" s="15"/>
      <c r="CTG232" s="15"/>
      <c r="CTH232" s="15"/>
      <c r="CTI232" s="15"/>
      <c r="CTJ232" s="15"/>
      <c r="CTK232" s="15"/>
      <c r="CTL232" s="15"/>
      <c r="CTM232" s="10"/>
      <c r="CTN232" s="10"/>
      <c r="CTO232" s="21"/>
      <c r="CTP232" s="21"/>
      <c r="CTS232" s="21"/>
      <c r="CTT232" s="15"/>
      <c r="CTU232" s="15"/>
      <c r="CTV232" s="15"/>
      <c r="CTW232" s="15"/>
      <c r="CTX232" s="15"/>
      <c r="CTY232" s="15"/>
      <c r="CTZ232" s="15"/>
      <c r="CUA232" s="15"/>
      <c r="CUB232" s="15"/>
      <c r="CUC232" s="15"/>
      <c r="CUD232" s="10"/>
      <c r="CUE232" s="10"/>
      <c r="CUF232" s="21"/>
      <c r="CUG232" s="21"/>
      <c r="CUJ232" s="21"/>
      <c r="CUK232" s="15"/>
      <c r="CUL232" s="15"/>
      <c r="CUM232" s="15"/>
      <c r="CUN232" s="15"/>
      <c r="CUO232" s="15"/>
      <c r="CUP232" s="15"/>
      <c r="CUQ232" s="15"/>
      <c r="CUR232" s="15"/>
      <c r="CUS232" s="15"/>
      <c r="CUT232" s="15"/>
      <c r="CUU232" s="10"/>
      <c r="CUV232" s="10"/>
      <c r="CUW232" s="21"/>
      <c r="CUX232" s="21"/>
      <c r="CVA232" s="21"/>
      <c r="CVB232" s="15"/>
      <c r="CVC232" s="15"/>
      <c r="CVD232" s="15"/>
      <c r="CVE232" s="15"/>
      <c r="CVF232" s="15"/>
      <c r="CVG232" s="15"/>
      <c r="CVH232" s="15"/>
      <c r="CVI232" s="15"/>
      <c r="CVJ232" s="15"/>
      <c r="CVK232" s="15"/>
      <c r="CVL232" s="10"/>
      <c r="CVM232" s="10"/>
      <c r="CVN232" s="21"/>
      <c r="CVO232" s="21"/>
      <c r="CVR232" s="21"/>
      <c r="CVS232" s="15"/>
      <c r="CVT232" s="15"/>
      <c r="CVU232" s="15"/>
      <c r="CVV232" s="15"/>
      <c r="CVW232" s="15"/>
      <c r="CVX232" s="15"/>
      <c r="CVY232" s="15"/>
      <c r="CVZ232" s="15"/>
      <c r="CWA232" s="15"/>
      <c r="CWB232" s="15"/>
      <c r="CWC232" s="10"/>
      <c r="CWD232" s="10"/>
      <c r="CWE232" s="21"/>
      <c r="CWF232" s="21"/>
      <c r="CWI232" s="21"/>
      <c r="CWJ232" s="15"/>
      <c r="CWK232" s="15"/>
      <c r="CWL232" s="15"/>
      <c r="CWM232" s="15"/>
      <c r="CWN232" s="15"/>
      <c r="CWO232" s="15"/>
      <c r="CWP232" s="15"/>
      <c r="CWQ232" s="15"/>
      <c r="CWR232" s="15"/>
      <c r="CWS232" s="15"/>
      <c r="CWT232" s="10"/>
      <c r="CWU232" s="10"/>
      <c r="CWV232" s="21"/>
      <c r="CWW232" s="21"/>
      <c r="CWZ232" s="21"/>
      <c r="CXA232" s="15"/>
      <c r="CXB232" s="15"/>
      <c r="CXC232" s="15"/>
      <c r="CXD232" s="15"/>
      <c r="CXE232" s="15"/>
      <c r="CXF232" s="15"/>
      <c r="CXG232" s="15"/>
      <c r="CXH232" s="15"/>
      <c r="CXI232" s="15"/>
      <c r="CXJ232" s="15"/>
      <c r="CXK232" s="10"/>
      <c r="CXL232" s="10"/>
      <c r="CXM232" s="21"/>
      <c r="CXN232" s="21"/>
      <c r="CXQ232" s="21"/>
      <c r="CXR232" s="15"/>
      <c r="CXS232" s="15"/>
      <c r="CXT232" s="15"/>
      <c r="CXU232" s="15"/>
      <c r="CXV232" s="15"/>
      <c r="CXW232" s="15"/>
      <c r="CXX232" s="15"/>
      <c r="CXY232" s="15"/>
      <c r="CXZ232" s="15"/>
      <c r="CYA232" s="15"/>
      <c r="CYB232" s="10"/>
      <c r="CYC232" s="10"/>
      <c r="CYD232" s="21"/>
      <c r="CYE232" s="21"/>
      <c r="CYH232" s="21"/>
      <c r="CYI232" s="15"/>
      <c r="CYJ232" s="15"/>
      <c r="CYK232" s="15"/>
      <c r="CYL232" s="15"/>
      <c r="CYM232" s="15"/>
      <c r="CYN232" s="15"/>
      <c r="CYO232" s="15"/>
      <c r="CYP232" s="15"/>
      <c r="CYQ232" s="15"/>
      <c r="CYR232" s="15"/>
      <c r="CYS232" s="10"/>
      <c r="CYT232" s="10"/>
      <c r="CYU232" s="21"/>
      <c r="CYV232" s="21"/>
      <c r="CYY232" s="21"/>
      <c r="CYZ232" s="15"/>
      <c r="CZA232" s="15"/>
      <c r="CZB232" s="15"/>
      <c r="CZC232" s="15"/>
      <c r="CZD232" s="15"/>
      <c r="CZE232" s="15"/>
      <c r="CZF232" s="15"/>
      <c r="CZG232" s="15"/>
      <c r="CZH232" s="15"/>
      <c r="CZI232" s="15"/>
      <c r="CZJ232" s="10"/>
      <c r="CZK232" s="10"/>
      <c r="CZL232" s="21"/>
      <c r="CZM232" s="21"/>
      <c r="CZP232" s="21"/>
      <c r="CZQ232" s="15"/>
      <c r="CZR232" s="15"/>
      <c r="CZS232" s="15"/>
      <c r="CZT232" s="15"/>
      <c r="CZU232" s="15"/>
      <c r="CZV232" s="15"/>
      <c r="CZW232" s="15"/>
      <c r="CZX232" s="15"/>
      <c r="CZY232" s="15"/>
      <c r="CZZ232" s="15"/>
      <c r="DAA232" s="10"/>
      <c r="DAB232" s="10"/>
      <c r="DAC232" s="21"/>
      <c r="DAD232" s="21"/>
      <c r="DAG232" s="21"/>
      <c r="DAH232" s="15"/>
      <c r="DAI232" s="15"/>
      <c r="DAJ232" s="15"/>
      <c r="DAK232" s="15"/>
      <c r="DAL232" s="15"/>
      <c r="DAM232" s="15"/>
      <c r="DAN232" s="15"/>
      <c r="DAO232" s="15"/>
      <c r="DAP232" s="15"/>
      <c r="DAQ232" s="15"/>
      <c r="DAR232" s="10"/>
      <c r="DAS232" s="10"/>
      <c r="DAT232" s="21"/>
      <c r="DAU232" s="21"/>
      <c r="DAX232" s="21"/>
      <c r="DAY232" s="15"/>
      <c r="DAZ232" s="15"/>
      <c r="DBA232" s="15"/>
      <c r="DBB232" s="15"/>
      <c r="DBC232" s="15"/>
      <c r="DBD232" s="15"/>
      <c r="DBE232" s="15"/>
      <c r="DBF232" s="15"/>
      <c r="DBG232" s="15"/>
      <c r="DBH232" s="15"/>
      <c r="DBI232" s="10"/>
      <c r="DBJ232" s="10"/>
      <c r="DBK232" s="21"/>
      <c r="DBL232" s="21"/>
      <c r="DBO232" s="21"/>
      <c r="DBP232" s="15"/>
      <c r="DBQ232" s="15"/>
      <c r="DBR232" s="15"/>
      <c r="DBS232" s="15"/>
      <c r="DBT232" s="15"/>
      <c r="DBU232" s="15"/>
      <c r="DBV232" s="15"/>
      <c r="DBW232" s="15"/>
      <c r="DBX232" s="15"/>
      <c r="DBY232" s="15"/>
      <c r="DBZ232" s="10"/>
      <c r="DCA232" s="10"/>
      <c r="DCB232" s="21"/>
      <c r="DCC232" s="21"/>
      <c r="DCF232" s="21"/>
      <c r="DCG232" s="15"/>
      <c r="DCH232" s="15"/>
      <c r="DCI232" s="15"/>
      <c r="DCJ232" s="15"/>
      <c r="DCK232" s="15"/>
      <c r="DCL232" s="15"/>
      <c r="DCM232" s="15"/>
      <c r="DCN232" s="15"/>
      <c r="DCO232" s="15"/>
      <c r="DCP232" s="15"/>
      <c r="DCQ232" s="10"/>
      <c r="DCR232" s="10"/>
      <c r="DCS232" s="21"/>
      <c r="DCT232" s="21"/>
      <c r="DCW232" s="21"/>
      <c r="DCX232" s="15"/>
      <c r="DCY232" s="15"/>
      <c r="DCZ232" s="15"/>
      <c r="DDA232" s="15"/>
      <c r="DDB232" s="15"/>
      <c r="DDC232" s="15"/>
      <c r="DDD232" s="15"/>
      <c r="DDE232" s="15"/>
      <c r="DDF232" s="15"/>
      <c r="DDG232" s="15"/>
      <c r="DDH232" s="10"/>
      <c r="DDI232" s="10"/>
      <c r="DDJ232" s="21"/>
      <c r="DDK232" s="21"/>
      <c r="DDN232" s="21"/>
      <c r="DDO232" s="15"/>
      <c r="DDP232" s="15"/>
      <c r="DDQ232" s="15"/>
      <c r="DDR232" s="15"/>
      <c r="DDS232" s="15"/>
      <c r="DDT232" s="15"/>
      <c r="DDU232" s="15"/>
      <c r="DDV232" s="15"/>
      <c r="DDW232" s="15"/>
      <c r="DDX232" s="15"/>
      <c r="DDY232" s="10"/>
      <c r="DDZ232" s="10"/>
      <c r="DEA232" s="21"/>
      <c r="DEB232" s="21"/>
      <c r="DEE232" s="21"/>
      <c r="DEF232" s="15"/>
      <c r="DEG232" s="15"/>
      <c r="DEH232" s="15"/>
      <c r="DEI232" s="15"/>
      <c r="DEJ232" s="15"/>
      <c r="DEK232" s="15"/>
      <c r="DEL232" s="15"/>
      <c r="DEM232" s="15"/>
      <c r="DEN232" s="15"/>
      <c r="DEO232" s="15"/>
      <c r="DEP232" s="10"/>
      <c r="DEQ232" s="10"/>
      <c r="DER232" s="21"/>
      <c r="DES232" s="21"/>
      <c r="DEV232" s="21"/>
      <c r="DEW232" s="15"/>
      <c r="DEX232" s="15"/>
      <c r="DEY232" s="15"/>
      <c r="DEZ232" s="15"/>
      <c r="DFA232" s="15"/>
      <c r="DFB232" s="15"/>
      <c r="DFC232" s="15"/>
      <c r="DFD232" s="15"/>
      <c r="DFE232" s="15"/>
      <c r="DFF232" s="15"/>
      <c r="DFG232" s="10"/>
      <c r="DFH232" s="10"/>
      <c r="DFI232" s="21"/>
      <c r="DFJ232" s="21"/>
      <c r="DFM232" s="21"/>
      <c r="DFN232" s="15"/>
      <c r="DFO232" s="15"/>
      <c r="DFP232" s="15"/>
      <c r="DFQ232" s="15"/>
      <c r="DFR232" s="15"/>
      <c r="DFS232" s="15"/>
      <c r="DFT232" s="15"/>
      <c r="DFU232" s="15"/>
      <c r="DFV232" s="15"/>
      <c r="DFW232" s="15"/>
      <c r="DFX232" s="10"/>
      <c r="DFY232" s="10"/>
      <c r="DFZ232" s="21"/>
      <c r="DGA232" s="21"/>
      <c r="DGD232" s="21"/>
      <c r="DGE232" s="15"/>
      <c r="DGF232" s="15"/>
      <c r="DGG232" s="15"/>
      <c r="DGH232" s="15"/>
      <c r="DGI232" s="15"/>
      <c r="DGJ232" s="15"/>
      <c r="DGK232" s="15"/>
      <c r="DGL232" s="15"/>
      <c r="DGM232" s="15"/>
      <c r="DGN232" s="15"/>
      <c r="DGO232" s="10"/>
      <c r="DGP232" s="10"/>
      <c r="DGQ232" s="21"/>
      <c r="DGR232" s="21"/>
      <c r="DGU232" s="21"/>
      <c r="DGV232" s="15"/>
      <c r="DGW232" s="15"/>
      <c r="DGX232" s="15"/>
      <c r="DGY232" s="15"/>
      <c r="DGZ232" s="15"/>
      <c r="DHA232" s="15"/>
      <c r="DHB232" s="15"/>
      <c r="DHC232" s="15"/>
      <c r="DHD232" s="15"/>
      <c r="DHE232" s="15"/>
      <c r="DHF232" s="10"/>
      <c r="DHG232" s="10"/>
      <c r="DHH232" s="21"/>
      <c r="DHI232" s="21"/>
      <c r="DHL232" s="21"/>
      <c r="DHM232" s="15"/>
      <c r="DHN232" s="15"/>
      <c r="DHO232" s="15"/>
      <c r="DHP232" s="15"/>
      <c r="DHQ232" s="15"/>
      <c r="DHR232" s="15"/>
      <c r="DHS232" s="15"/>
      <c r="DHT232" s="15"/>
      <c r="DHU232" s="15"/>
      <c r="DHV232" s="15"/>
      <c r="DHW232" s="10"/>
      <c r="DHX232" s="10"/>
      <c r="DHY232" s="21"/>
      <c r="DHZ232" s="21"/>
      <c r="DIC232" s="21"/>
      <c r="DID232" s="15"/>
      <c r="DIE232" s="15"/>
      <c r="DIF232" s="15"/>
      <c r="DIG232" s="15"/>
      <c r="DIH232" s="15"/>
      <c r="DII232" s="15"/>
      <c r="DIJ232" s="15"/>
      <c r="DIK232" s="15"/>
      <c r="DIL232" s="15"/>
      <c r="DIM232" s="15"/>
      <c r="DIN232" s="10"/>
      <c r="DIO232" s="10"/>
      <c r="DIP232" s="21"/>
      <c r="DIQ232" s="21"/>
      <c r="DIT232" s="21"/>
      <c r="DIU232" s="15"/>
      <c r="DIV232" s="15"/>
      <c r="DIW232" s="15"/>
      <c r="DIX232" s="15"/>
      <c r="DIY232" s="15"/>
      <c r="DIZ232" s="15"/>
      <c r="DJA232" s="15"/>
      <c r="DJB232" s="15"/>
      <c r="DJC232" s="15"/>
      <c r="DJD232" s="15"/>
      <c r="DJE232" s="10"/>
      <c r="DJF232" s="10"/>
      <c r="DJG232" s="21"/>
      <c r="DJH232" s="21"/>
      <c r="DJK232" s="21"/>
      <c r="DJL232" s="15"/>
      <c r="DJM232" s="15"/>
      <c r="DJN232" s="15"/>
      <c r="DJO232" s="15"/>
      <c r="DJP232" s="15"/>
      <c r="DJQ232" s="15"/>
      <c r="DJR232" s="15"/>
      <c r="DJS232" s="15"/>
      <c r="DJT232" s="15"/>
      <c r="DJU232" s="15"/>
      <c r="DJV232" s="10"/>
      <c r="DJW232" s="10"/>
      <c r="DJX232" s="21"/>
      <c r="DJY232" s="21"/>
      <c r="DKB232" s="21"/>
      <c r="DKC232" s="15"/>
      <c r="DKD232" s="15"/>
      <c r="DKE232" s="15"/>
      <c r="DKF232" s="15"/>
      <c r="DKG232" s="15"/>
      <c r="DKH232" s="15"/>
      <c r="DKI232" s="15"/>
      <c r="DKJ232" s="15"/>
      <c r="DKK232" s="15"/>
      <c r="DKL232" s="15"/>
      <c r="DKM232" s="10"/>
      <c r="DKN232" s="10"/>
      <c r="DKO232" s="21"/>
      <c r="DKP232" s="21"/>
      <c r="DKS232" s="21"/>
      <c r="DKT232" s="15"/>
      <c r="DKU232" s="15"/>
      <c r="DKV232" s="15"/>
      <c r="DKW232" s="15"/>
      <c r="DKX232" s="15"/>
      <c r="DKY232" s="15"/>
      <c r="DKZ232" s="15"/>
      <c r="DLA232" s="15"/>
      <c r="DLB232" s="15"/>
      <c r="DLC232" s="15"/>
      <c r="DLD232" s="10"/>
      <c r="DLE232" s="10"/>
      <c r="DLF232" s="21"/>
      <c r="DLG232" s="21"/>
      <c r="DLJ232" s="21"/>
      <c r="DLK232" s="15"/>
      <c r="DLL232" s="15"/>
      <c r="DLM232" s="15"/>
      <c r="DLN232" s="15"/>
      <c r="DLO232" s="15"/>
      <c r="DLP232" s="15"/>
      <c r="DLQ232" s="15"/>
      <c r="DLR232" s="15"/>
      <c r="DLS232" s="15"/>
      <c r="DLT232" s="15"/>
      <c r="DLU232" s="10"/>
      <c r="DLV232" s="10"/>
      <c r="DLW232" s="21"/>
      <c r="DLX232" s="21"/>
      <c r="DMA232" s="21"/>
      <c r="DMB232" s="15"/>
      <c r="DMC232" s="15"/>
      <c r="DMD232" s="15"/>
      <c r="DME232" s="15"/>
      <c r="DMF232" s="15"/>
      <c r="DMG232" s="15"/>
      <c r="DMH232" s="15"/>
      <c r="DMI232" s="15"/>
      <c r="DMJ232" s="15"/>
      <c r="DMK232" s="15"/>
      <c r="DML232" s="10"/>
      <c r="DMM232" s="10"/>
      <c r="DMN232" s="21"/>
      <c r="DMO232" s="21"/>
      <c r="DMR232" s="21"/>
      <c r="DMS232" s="15"/>
      <c r="DMT232" s="15"/>
      <c r="DMU232" s="15"/>
      <c r="DMV232" s="15"/>
      <c r="DMW232" s="15"/>
      <c r="DMX232" s="15"/>
      <c r="DMY232" s="15"/>
      <c r="DMZ232" s="15"/>
      <c r="DNA232" s="15"/>
      <c r="DNB232" s="15"/>
      <c r="DNC232" s="10"/>
      <c r="DND232" s="10"/>
      <c r="DNE232" s="21"/>
      <c r="DNF232" s="21"/>
      <c r="DNI232" s="21"/>
      <c r="DNJ232" s="15"/>
      <c r="DNK232" s="15"/>
      <c r="DNL232" s="15"/>
      <c r="DNM232" s="15"/>
      <c r="DNN232" s="15"/>
      <c r="DNO232" s="15"/>
      <c r="DNP232" s="15"/>
      <c r="DNQ232" s="15"/>
      <c r="DNR232" s="15"/>
      <c r="DNS232" s="15"/>
      <c r="DNT232" s="10"/>
      <c r="DNU232" s="10"/>
      <c r="DNV232" s="21"/>
      <c r="DNW232" s="21"/>
      <c r="DNZ232" s="21"/>
      <c r="DOA232" s="15"/>
      <c r="DOB232" s="15"/>
      <c r="DOC232" s="15"/>
      <c r="DOD232" s="15"/>
      <c r="DOE232" s="15"/>
      <c r="DOF232" s="15"/>
      <c r="DOG232" s="15"/>
      <c r="DOH232" s="15"/>
      <c r="DOI232" s="15"/>
      <c r="DOJ232" s="15"/>
      <c r="DOK232" s="10"/>
      <c r="DOL232" s="10"/>
      <c r="DOM232" s="21"/>
      <c r="DON232" s="21"/>
      <c r="DOQ232" s="21"/>
      <c r="DOR232" s="15"/>
      <c r="DOS232" s="15"/>
      <c r="DOT232" s="15"/>
      <c r="DOU232" s="15"/>
      <c r="DOV232" s="15"/>
      <c r="DOW232" s="15"/>
      <c r="DOX232" s="15"/>
      <c r="DOY232" s="15"/>
      <c r="DOZ232" s="15"/>
      <c r="DPA232" s="15"/>
      <c r="DPB232" s="10"/>
      <c r="DPC232" s="10"/>
      <c r="DPD232" s="21"/>
      <c r="DPE232" s="21"/>
      <c r="DPH232" s="21"/>
      <c r="DPI232" s="15"/>
      <c r="DPJ232" s="15"/>
      <c r="DPK232" s="15"/>
      <c r="DPL232" s="15"/>
      <c r="DPM232" s="15"/>
      <c r="DPN232" s="15"/>
      <c r="DPO232" s="15"/>
      <c r="DPP232" s="15"/>
      <c r="DPQ232" s="15"/>
      <c r="DPR232" s="15"/>
      <c r="DPS232" s="10"/>
      <c r="DPT232" s="10"/>
      <c r="DPU232" s="21"/>
      <c r="DPV232" s="21"/>
      <c r="DPY232" s="21"/>
      <c r="DPZ232" s="15"/>
      <c r="DQA232" s="15"/>
      <c r="DQB232" s="15"/>
      <c r="DQC232" s="15"/>
      <c r="DQD232" s="15"/>
      <c r="DQE232" s="15"/>
      <c r="DQF232" s="15"/>
      <c r="DQG232" s="15"/>
      <c r="DQH232" s="15"/>
      <c r="DQI232" s="15"/>
      <c r="DQJ232" s="10"/>
      <c r="DQK232" s="10"/>
      <c r="DQL232" s="21"/>
      <c r="DQM232" s="21"/>
      <c r="DQP232" s="21"/>
      <c r="DQQ232" s="15"/>
      <c r="DQR232" s="15"/>
      <c r="DQS232" s="15"/>
      <c r="DQT232" s="15"/>
      <c r="DQU232" s="15"/>
      <c r="DQV232" s="15"/>
      <c r="DQW232" s="15"/>
      <c r="DQX232" s="15"/>
      <c r="DQY232" s="15"/>
      <c r="DQZ232" s="15"/>
      <c r="DRA232" s="10"/>
      <c r="DRB232" s="10"/>
      <c r="DRC232" s="21"/>
      <c r="DRD232" s="21"/>
      <c r="DRG232" s="21"/>
      <c r="DRH232" s="15"/>
      <c r="DRI232" s="15"/>
      <c r="DRJ232" s="15"/>
      <c r="DRK232" s="15"/>
      <c r="DRL232" s="15"/>
      <c r="DRM232" s="15"/>
      <c r="DRN232" s="15"/>
      <c r="DRO232" s="15"/>
      <c r="DRP232" s="15"/>
      <c r="DRQ232" s="15"/>
      <c r="DRR232" s="10"/>
      <c r="DRS232" s="10"/>
      <c r="DRT232" s="21"/>
      <c r="DRU232" s="21"/>
      <c r="DRX232" s="21"/>
      <c r="DRY232" s="15"/>
      <c r="DRZ232" s="15"/>
      <c r="DSA232" s="15"/>
      <c r="DSB232" s="15"/>
      <c r="DSC232" s="15"/>
      <c r="DSD232" s="15"/>
      <c r="DSE232" s="15"/>
      <c r="DSF232" s="15"/>
      <c r="DSG232" s="15"/>
      <c r="DSH232" s="15"/>
      <c r="DSI232" s="10"/>
      <c r="DSJ232" s="10"/>
      <c r="DSK232" s="21"/>
      <c r="DSL232" s="21"/>
      <c r="DSO232" s="21"/>
      <c r="DSP232" s="15"/>
      <c r="DSQ232" s="15"/>
      <c r="DSR232" s="15"/>
      <c r="DSS232" s="15"/>
      <c r="DST232" s="15"/>
      <c r="DSU232" s="15"/>
      <c r="DSV232" s="15"/>
      <c r="DSW232" s="15"/>
      <c r="DSX232" s="15"/>
      <c r="DSY232" s="15"/>
      <c r="DSZ232" s="10"/>
      <c r="DTA232" s="10"/>
      <c r="DTB232" s="21"/>
      <c r="DTC232" s="21"/>
      <c r="DTF232" s="21"/>
      <c r="DTG232" s="15"/>
      <c r="DTH232" s="15"/>
      <c r="DTI232" s="15"/>
      <c r="DTJ232" s="15"/>
      <c r="DTK232" s="15"/>
      <c r="DTL232" s="15"/>
      <c r="DTM232" s="15"/>
      <c r="DTN232" s="15"/>
      <c r="DTO232" s="15"/>
      <c r="DTP232" s="15"/>
      <c r="DTQ232" s="10"/>
      <c r="DTR232" s="10"/>
      <c r="DTS232" s="21"/>
      <c r="DTT232" s="21"/>
      <c r="DTW232" s="21"/>
      <c r="DTX232" s="15"/>
      <c r="DTY232" s="15"/>
      <c r="DTZ232" s="15"/>
      <c r="DUA232" s="15"/>
      <c r="DUB232" s="15"/>
      <c r="DUC232" s="15"/>
      <c r="DUD232" s="15"/>
      <c r="DUE232" s="15"/>
      <c r="DUF232" s="15"/>
      <c r="DUG232" s="15"/>
      <c r="DUH232" s="10"/>
      <c r="DUI232" s="10"/>
      <c r="DUJ232" s="21"/>
      <c r="DUK232" s="21"/>
      <c r="DUN232" s="21"/>
      <c r="DUO232" s="15"/>
      <c r="DUP232" s="15"/>
      <c r="DUQ232" s="15"/>
      <c r="DUR232" s="15"/>
      <c r="DUS232" s="15"/>
      <c r="DUT232" s="15"/>
      <c r="DUU232" s="15"/>
      <c r="DUV232" s="15"/>
      <c r="DUW232" s="15"/>
      <c r="DUX232" s="15"/>
      <c r="DUY232" s="10"/>
      <c r="DUZ232" s="10"/>
      <c r="DVA232" s="21"/>
      <c r="DVB232" s="21"/>
      <c r="DVE232" s="21"/>
      <c r="DVF232" s="15"/>
      <c r="DVG232" s="15"/>
      <c r="DVH232" s="15"/>
      <c r="DVI232" s="15"/>
      <c r="DVJ232" s="15"/>
      <c r="DVK232" s="15"/>
      <c r="DVL232" s="15"/>
      <c r="DVM232" s="15"/>
      <c r="DVN232" s="15"/>
      <c r="DVO232" s="15"/>
      <c r="DVP232" s="10"/>
      <c r="DVQ232" s="10"/>
      <c r="DVR232" s="21"/>
      <c r="DVS232" s="21"/>
      <c r="DVV232" s="21"/>
      <c r="DVW232" s="15"/>
      <c r="DVX232" s="15"/>
      <c r="DVY232" s="15"/>
      <c r="DVZ232" s="15"/>
      <c r="DWA232" s="15"/>
      <c r="DWB232" s="15"/>
      <c r="DWC232" s="15"/>
      <c r="DWD232" s="15"/>
      <c r="DWE232" s="15"/>
      <c r="DWF232" s="15"/>
      <c r="DWG232" s="10"/>
      <c r="DWH232" s="10"/>
      <c r="DWI232" s="21"/>
      <c r="DWJ232" s="21"/>
      <c r="DWM232" s="21"/>
      <c r="DWN232" s="15"/>
      <c r="DWO232" s="15"/>
      <c r="DWP232" s="15"/>
      <c r="DWQ232" s="15"/>
      <c r="DWR232" s="15"/>
      <c r="DWS232" s="15"/>
      <c r="DWT232" s="15"/>
      <c r="DWU232" s="15"/>
      <c r="DWV232" s="15"/>
      <c r="DWW232" s="15"/>
      <c r="DWX232" s="10"/>
      <c r="DWY232" s="10"/>
      <c r="DWZ232" s="21"/>
      <c r="DXA232" s="21"/>
      <c r="DXD232" s="21"/>
      <c r="DXE232" s="15"/>
      <c r="DXF232" s="15"/>
      <c r="DXG232" s="15"/>
      <c r="DXH232" s="15"/>
      <c r="DXI232" s="15"/>
      <c r="DXJ232" s="15"/>
      <c r="DXK232" s="15"/>
      <c r="DXL232" s="15"/>
      <c r="DXM232" s="15"/>
      <c r="DXN232" s="15"/>
      <c r="DXO232" s="10"/>
      <c r="DXP232" s="10"/>
      <c r="DXQ232" s="21"/>
      <c r="DXR232" s="21"/>
      <c r="DXU232" s="21"/>
      <c r="DXV232" s="15"/>
      <c r="DXW232" s="15"/>
      <c r="DXX232" s="15"/>
      <c r="DXY232" s="15"/>
      <c r="DXZ232" s="15"/>
      <c r="DYA232" s="15"/>
      <c r="DYB232" s="15"/>
      <c r="DYC232" s="15"/>
      <c r="DYD232" s="15"/>
      <c r="DYE232" s="15"/>
      <c r="DYF232" s="10"/>
      <c r="DYG232" s="10"/>
      <c r="DYH232" s="21"/>
      <c r="DYI232" s="21"/>
      <c r="DYL232" s="21"/>
      <c r="DYM232" s="15"/>
      <c r="DYN232" s="15"/>
      <c r="DYO232" s="15"/>
      <c r="DYP232" s="15"/>
      <c r="DYQ232" s="15"/>
      <c r="DYR232" s="15"/>
      <c r="DYS232" s="15"/>
      <c r="DYT232" s="15"/>
      <c r="DYU232" s="15"/>
      <c r="DYV232" s="15"/>
      <c r="DYW232" s="10"/>
      <c r="DYX232" s="10"/>
      <c r="DYY232" s="21"/>
      <c r="DYZ232" s="21"/>
      <c r="DZC232" s="21"/>
      <c r="DZD232" s="15"/>
      <c r="DZE232" s="15"/>
      <c r="DZF232" s="15"/>
      <c r="DZG232" s="15"/>
      <c r="DZH232" s="15"/>
      <c r="DZI232" s="15"/>
      <c r="DZJ232" s="15"/>
      <c r="DZK232" s="15"/>
      <c r="DZL232" s="15"/>
      <c r="DZM232" s="15"/>
      <c r="DZN232" s="10"/>
      <c r="DZO232" s="10"/>
      <c r="DZP232" s="21"/>
      <c r="DZQ232" s="21"/>
      <c r="DZT232" s="21"/>
      <c r="DZU232" s="15"/>
      <c r="DZV232" s="15"/>
      <c r="DZW232" s="15"/>
      <c r="DZX232" s="15"/>
      <c r="DZY232" s="15"/>
      <c r="DZZ232" s="15"/>
      <c r="EAA232" s="15"/>
      <c r="EAB232" s="15"/>
      <c r="EAC232" s="15"/>
      <c r="EAD232" s="15"/>
      <c r="EAE232" s="10"/>
      <c r="EAF232" s="10"/>
      <c r="EAG232" s="21"/>
      <c r="EAH232" s="21"/>
      <c r="EAK232" s="21"/>
      <c r="EAL232" s="15"/>
      <c r="EAM232" s="15"/>
      <c r="EAN232" s="15"/>
      <c r="EAO232" s="15"/>
      <c r="EAP232" s="15"/>
      <c r="EAQ232" s="15"/>
      <c r="EAR232" s="15"/>
      <c r="EAS232" s="15"/>
      <c r="EAT232" s="15"/>
      <c r="EAU232" s="15"/>
      <c r="EAV232" s="10"/>
      <c r="EAW232" s="10"/>
      <c r="EAX232" s="21"/>
      <c r="EAY232" s="21"/>
      <c r="EBB232" s="21"/>
      <c r="EBC232" s="15"/>
      <c r="EBD232" s="15"/>
      <c r="EBE232" s="15"/>
      <c r="EBF232" s="15"/>
      <c r="EBG232" s="15"/>
      <c r="EBH232" s="15"/>
      <c r="EBI232" s="15"/>
      <c r="EBJ232" s="15"/>
      <c r="EBK232" s="15"/>
      <c r="EBL232" s="15"/>
      <c r="EBM232" s="10"/>
      <c r="EBN232" s="10"/>
      <c r="EBO232" s="21"/>
      <c r="EBP232" s="21"/>
      <c r="EBS232" s="21"/>
      <c r="EBT232" s="15"/>
      <c r="EBU232" s="15"/>
      <c r="EBV232" s="15"/>
      <c r="EBW232" s="15"/>
      <c r="EBX232" s="15"/>
      <c r="EBY232" s="15"/>
      <c r="EBZ232" s="15"/>
      <c r="ECA232" s="15"/>
      <c r="ECB232" s="15"/>
      <c r="ECC232" s="15"/>
      <c r="ECD232" s="10"/>
      <c r="ECE232" s="10"/>
      <c r="ECF232" s="21"/>
      <c r="ECG232" s="21"/>
      <c r="ECJ232" s="21"/>
      <c r="ECK232" s="15"/>
      <c r="ECL232" s="15"/>
      <c r="ECM232" s="15"/>
      <c r="ECN232" s="15"/>
      <c r="ECO232" s="15"/>
      <c r="ECP232" s="15"/>
      <c r="ECQ232" s="15"/>
      <c r="ECR232" s="15"/>
      <c r="ECS232" s="15"/>
      <c r="ECT232" s="15"/>
      <c r="ECU232" s="10"/>
      <c r="ECV232" s="10"/>
      <c r="ECW232" s="21"/>
      <c r="ECX232" s="21"/>
      <c r="EDA232" s="21"/>
      <c r="EDB232" s="15"/>
      <c r="EDC232" s="15"/>
      <c r="EDD232" s="15"/>
      <c r="EDE232" s="15"/>
      <c r="EDF232" s="15"/>
      <c r="EDG232" s="15"/>
      <c r="EDH232" s="15"/>
      <c r="EDI232" s="15"/>
      <c r="EDJ232" s="15"/>
      <c r="EDK232" s="15"/>
      <c r="EDL232" s="10"/>
      <c r="EDM232" s="10"/>
      <c r="EDN232" s="21"/>
      <c r="EDO232" s="21"/>
      <c r="EDR232" s="21"/>
      <c r="EDS232" s="15"/>
      <c r="EDT232" s="15"/>
      <c r="EDU232" s="15"/>
      <c r="EDV232" s="15"/>
      <c r="EDW232" s="15"/>
      <c r="EDX232" s="15"/>
      <c r="EDY232" s="15"/>
      <c r="EDZ232" s="15"/>
      <c r="EEA232" s="15"/>
      <c r="EEB232" s="15"/>
      <c r="EEC232" s="10"/>
      <c r="EED232" s="10"/>
      <c r="EEE232" s="21"/>
      <c r="EEF232" s="21"/>
      <c r="EEI232" s="21"/>
      <c r="EEJ232" s="15"/>
      <c r="EEK232" s="15"/>
      <c r="EEL232" s="15"/>
      <c r="EEM232" s="15"/>
      <c r="EEN232" s="15"/>
      <c r="EEO232" s="15"/>
      <c r="EEP232" s="15"/>
      <c r="EEQ232" s="15"/>
      <c r="EER232" s="15"/>
      <c r="EES232" s="15"/>
      <c r="EET232" s="10"/>
      <c r="EEU232" s="10"/>
      <c r="EEV232" s="21"/>
      <c r="EEW232" s="21"/>
      <c r="EEZ232" s="21"/>
      <c r="EFA232" s="15"/>
      <c r="EFB232" s="15"/>
      <c r="EFC232" s="15"/>
      <c r="EFD232" s="15"/>
      <c r="EFE232" s="15"/>
      <c r="EFF232" s="15"/>
      <c r="EFG232" s="15"/>
      <c r="EFH232" s="15"/>
      <c r="EFI232" s="15"/>
      <c r="EFJ232" s="15"/>
      <c r="EFK232" s="10"/>
      <c r="EFL232" s="10"/>
      <c r="EFM232" s="21"/>
      <c r="EFN232" s="21"/>
      <c r="EFQ232" s="21"/>
      <c r="EFR232" s="15"/>
      <c r="EFS232" s="15"/>
      <c r="EFT232" s="15"/>
      <c r="EFU232" s="15"/>
      <c r="EFV232" s="15"/>
      <c r="EFW232" s="15"/>
      <c r="EFX232" s="15"/>
      <c r="EFY232" s="15"/>
      <c r="EFZ232" s="15"/>
      <c r="EGA232" s="15"/>
      <c r="EGB232" s="10"/>
      <c r="EGC232" s="10"/>
      <c r="EGD232" s="21"/>
      <c r="EGE232" s="21"/>
      <c r="EGH232" s="21"/>
      <c r="EGI232" s="15"/>
      <c r="EGJ232" s="15"/>
      <c r="EGK232" s="15"/>
      <c r="EGL232" s="15"/>
      <c r="EGM232" s="15"/>
      <c r="EGN232" s="15"/>
      <c r="EGO232" s="15"/>
      <c r="EGP232" s="15"/>
      <c r="EGQ232" s="15"/>
      <c r="EGR232" s="15"/>
      <c r="EGS232" s="10"/>
      <c r="EGT232" s="10"/>
      <c r="EGU232" s="21"/>
      <c r="EGV232" s="21"/>
      <c r="EGY232" s="21"/>
      <c r="EGZ232" s="15"/>
      <c r="EHA232" s="15"/>
      <c r="EHB232" s="15"/>
      <c r="EHC232" s="15"/>
      <c r="EHD232" s="15"/>
      <c r="EHE232" s="15"/>
      <c r="EHF232" s="15"/>
      <c r="EHG232" s="15"/>
      <c r="EHH232" s="15"/>
      <c r="EHI232" s="15"/>
      <c r="EHJ232" s="10"/>
      <c r="EHK232" s="10"/>
      <c r="EHL232" s="21"/>
      <c r="EHM232" s="21"/>
      <c r="EHP232" s="21"/>
      <c r="EHQ232" s="15"/>
      <c r="EHR232" s="15"/>
      <c r="EHS232" s="15"/>
      <c r="EHT232" s="15"/>
      <c r="EHU232" s="15"/>
      <c r="EHV232" s="15"/>
      <c r="EHW232" s="15"/>
      <c r="EHX232" s="15"/>
      <c r="EHY232" s="15"/>
      <c r="EHZ232" s="15"/>
      <c r="EIA232" s="10"/>
      <c r="EIB232" s="10"/>
      <c r="EIC232" s="21"/>
      <c r="EID232" s="21"/>
      <c r="EIG232" s="21"/>
      <c r="EIH232" s="15"/>
      <c r="EII232" s="15"/>
      <c r="EIJ232" s="15"/>
      <c r="EIK232" s="15"/>
      <c r="EIL232" s="15"/>
      <c r="EIM232" s="15"/>
      <c r="EIN232" s="15"/>
      <c r="EIO232" s="15"/>
      <c r="EIP232" s="15"/>
      <c r="EIQ232" s="15"/>
      <c r="EIR232" s="10"/>
      <c r="EIS232" s="10"/>
      <c r="EIT232" s="21"/>
      <c r="EIU232" s="21"/>
      <c r="EIX232" s="21"/>
      <c r="EIY232" s="15"/>
      <c r="EIZ232" s="15"/>
      <c r="EJA232" s="15"/>
      <c r="EJB232" s="15"/>
      <c r="EJC232" s="15"/>
      <c r="EJD232" s="15"/>
      <c r="EJE232" s="15"/>
      <c r="EJF232" s="15"/>
      <c r="EJG232" s="15"/>
      <c r="EJH232" s="15"/>
      <c r="EJI232" s="10"/>
      <c r="EJJ232" s="10"/>
      <c r="EJK232" s="21"/>
      <c r="EJL232" s="21"/>
      <c r="EJO232" s="21"/>
      <c r="EJP232" s="15"/>
      <c r="EJQ232" s="15"/>
      <c r="EJR232" s="15"/>
      <c r="EJS232" s="15"/>
      <c r="EJT232" s="15"/>
      <c r="EJU232" s="15"/>
      <c r="EJV232" s="15"/>
      <c r="EJW232" s="15"/>
      <c r="EJX232" s="15"/>
      <c r="EJY232" s="15"/>
      <c r="EJZ232" s="10"/>
      <c r="EKA232" s="10"/>
      <c r="EKB232" s="21"/>
      <c r="EKC232" s="21"/>
      <c r="EKF232" s="21"/>
      <c r="EKG232" s="15"/>
      <c r="EKH232" s="15"/>
      <c r="EKI232" s="15"/>
      <c r="EKJ232" s="15"/>
      <c r="EKK232" s="15"/>
      <c r="EKL232" s="15"/>
      <c r="EKM232" s="15"/>
      <c r="EKN232" s="15"/>
      <c r="EKO232" s="15"/>
      <c r="EKP232" s="15"/>
      <c r="EKQ232" s="10"/>
      <c r="EKR232" s="10"/>
      <c r="EKS232" s="21"/>
      <c r="EKT232" s="21"/>
      <c r="EKW232" s="21"/>
      <c r="EKX232" s="15"/>
      <c r="EKY232" s="15"/>
      <c r="EKZ232" s="15"/>
      <c r="ELA232" s="15"/>
      <c r="ELB232" s="15"/>
      <c r="ELC232" s="15"/>
      <c r="ELD232" s="15"/>
      <c r="ELE232" s="15"/>
      <c r="ELF232" s="15"/>
      <c r="ELG232" s="15"/>
      <c r="ELH232" s="10"/>
      <c r="ELI232" s="10"/>
      <c r="ELJ232" s="21"/>
      <c r="ELK232" s="21"/>
      <c r="ELN232" s="21"/>
      <c r="ELO232" s="15"/>
      <c r="ELP232" s="15"/>
      <c r="ELQ232" s="15"/>
      <c r="ELR232" s="15"/>
      <c r="ELS232" s="15"/>
      <c r="ELT232" s="15"/>
      <c r="ELU232" s="15"/>
      <c r="ELV232" s="15"/>
      <c r="ELW232" s="15"/>
      <c r="ELX232" s="15"/>
      <c r="ELY232" s="10"/>
      <c r="ELZ232" s="10"/>
      <c r="EMA232" s="21"/>
      <c r="EMB232" s="21"/>
      <c r="EME232" s="21"/>
      <c r="EMF232" s="15"/>
      <c r="EMG232" s="15"/>
      <c r="EMH232" s="15"/>
      <c r="EMI232" s="15"/>
      <c r="EMJ232" s="15"/>
      <c r="EMK232" s="15"/>
      <c r="EML232" s="15"/>
      <c r="EMM232" s="15"/>
      <c r="EMN232" s="15"/>
      <c r="EMO232" s="15"/>
      <c r="EMP232" s="10"/>
      <c r="EMQ232" s="10"/>
      <c r="EMR232" s="21"/>
      <c r="EMS232" s="21"/>
      <c r="EMV232" s="21"/>
      <c r="EMW232" s="15"/>
      <c r="EMX232" s="15"/>
      <c r="EMY232" s="15"/>
      <c r="EMZ232" s="15"/>
      <c r="ENA232" s="15"/>
      <c r="ENB232" s="15"/>
      <c r="ENC232" s="15"/>
      <c r="END232" s="15"/>
      <c r="ENE232" s="15"/>
      <c r="ENF232" s="15"/>
      <c r="ENG232" s="10"/>
      <c r="ENH232" s="10"/>
      <c r="ENI232" s="21"/>
      <c r="ENJ232" s="21"/>
      <c r="ENM232" s="21"/>
      <c r="ENN232" s="15"/>
      <c r="ENO232" s="15"/>
      <c r="ENP232" s="15"/>
      <c r="ENQ232" s="15"/>
      <c r="ENR232" s="15"/>
      <c r="ENS232" s="15"/>
      <c r="ENT232" s="15"/>
      <c r="ENU232" s="15"/>
      <c r="ENV232" s="15"/>
      <c r="ENW232" s="15"/>
      <c r="ENX232" s="10"/>
      <c r="ENY232" s="10"/>
      <c r="ENZ232" s="21"/>
      <c r="EOA232" s="21"/>
      <c r="EOD232" s="21"/>
      <c r="EOE232" s="15"/>
      <c r="EOF232" s="15"/>
      <c r="EOG232" s="15"/>
      <c r="EOH232" s="15"/>
      <c r="EOI232" s="15"/>
      <c r="EOJ232" s="15"/>
      <c r="EOK232" s="15"/>
      <c r="EOL232" s="15"/>
      <c r="EOM232" s="15"/>
      <c r="EON232" s="15"/>
      <c r="EOO232" s="10"/>
      <c r="EOP232" s="10"/>
      <c r="EOQ232" s="21"/>
      <c r="EOR232" s="21"/>
      <c r="EOU232" s="21"/>
      <c r="EOV232" s="15"/>
      <c r="EOW232" s="15"/>
      <c r="EOX232" s="15"/>
      <c r="EOY232" s="15"/>
      <c r="EOZ232" s="15"/>
      <c r="EPA232" s="15"/>
      <c r="EPB232" s="15"/>
      <c r="EPC232" s="15"/>
      <c r="EPD232" s="15"/>
      <c r="EPE232" s="15"/>
      <c r="EPF232" s="10"/>
      <c r="EPG232" s="10"/>
      <c r="EPH232" s="21"/>
      <c r="EPI232" s="21"/>
      <c r="EPL232" s="21"/>
      <c r="EPM232" s="15"/>
      <c r="EPN232" s="15"/>
      <c r="EPO232" s="15"/>
      <c r="EPP232" s="15"/>
      <c r="EPQ232" s="15"/>
      <c r="EPR232" s="15"/>
      <c r="EPS232" s="15"/>
      <c r="EPT232" s="15"/>
      <c r="EPU232" s="15"/>
      <c r="EPV232" s="15"/>
      <c r="EPW232" s="10"/>
      <c r="EPX232" s="10"/>
      <c r="EPY232" s="21"/>
      <c r="EPZ232" s="21"/>
      <c r="EQC232" s="21"/>
      <c r="EQD232" s="15"/>
      <c r="EQE232" s="15"/>
      <c r="EQF232" s="15"/>
      <c r="EQG232" s="15"/>
      <c r="EQH232" s="15"/>
      <c r="EQI232" s="15"/>
      <c r="EQJ232" s="15"/>
      <c r="EQK232" s="15"/>
      <c r="EQL232" s="15"/>
      <c r="EQM232" s="15"/>
      <c r="EQN232" s="10"/>
      <c r="EQO232" s="10"/>
      <c r="EQP232" s="21"/>
      <c r="EQQ232" s="21"/>
      <c r="EQT232" s="21"/>
      <c r="EQU232" s="15"/>
      <c r="EQV232" s="15"/>
      <c r="EQW232" s="15"/>
      <c r="EQX232" s="15"/>
      <c r="EQY232" s="15"/>
      <c r="EQZ232" s="15"/>
      <c r="ERA232" s="15"/>
      <c r="ERB232" s="15"/>
      <c r="ERC232" s="15"/>
      <c r="ERD232" s="15"/>
      <c r="ERE232" s="10"/>
      <c r="ERF232" s="10"/>
      <c r="ERG232" s="21"/>
      <c r="ERH232" s="21"/>
      <c r="ERK232" s="21"/>
      <c r="ERL232" s="15"/>
      <c r="ERM232" s="15"/>
      <c r="ERN232" s="15"/>
      <c r="ERO232" s="15"/>
      <c r="ERP232" s="15"/>
      <c r="ERQ232" s="15"/>
      <c r="ERR232" s="15"/>
      <c r="ERS232" s="15"/>
      <c r="ERT232" s="15"/>
      <c r="ERU232" s="15"/>
      <c r="ERV232" s="10"/>
      <c r="ERW232" s="10"/>
      <c r="ERX232" s="21"/>
      <c r="ERY232" s="21"/>
      <c r="ESB232" s="21"/>
      <c r="ESC232" s="15"/>
      <c r="ESD232" s="15"/>
      <c r="ESE232" s="15"/>
      <c r="ESF232" s="15"/>
      <c r="ESG232" s="15"/>
      <c r="ESH232" s="15"/>
      <c r="ESI232" s="15"/>
      <c r="ESJ232" s="15"/>
      <c r="ESK232" s="15"/>
      <c r="ESL232" s="15"/>
      <c r="ESM232" s="10"/>
      <c r="ESN232" s="10"/>
      <c r="ESO232" s="21"/>
      <c r="ESP232" s="21"/>
      <c r="ESS232" s="21"/>
      <c r="EST232" s="15"/>
      <c r="ESU232" s="15"/>
      <c r="ESV232" s="15"/>
      <c r="ESW232" s="15"/>
      <c r="ESX232" s="15"/>
      <c r="ESY232" s="15"/>
      <c r="ESZ232" s="15"/>
      <c r="ETA232" s="15"/>
      <c r="ETB232" s="15"/>
      <c r="ETC232" s="15"/>
      <c r="ETD232" s="10"/>
      <c r="ETE232" s="10"/>
      <c r="ETF232" s="21"/>
      <c r="ETG232" s="21"/>
      <c r="ETJ232" s="21"/>
      <c r="ETK232" s="15"/>
      <c r="ETL232" s="15"/>
      <c r="ETM232" s="15"/>
      <c r="ETN232" s="15"/>
      <c r="ETO232" s="15"/>
      <c r="ETP232" s="15"/>
      <c r="ETQ232" s="15"/>
      <c r="ETR232" s="15"/>
      <c r="ETS232" s="15"/>
      <c r="ETT232" s="15"/>
      <c r="ETU232" s="10"/>
      <c r="ETV232" s="10"/>
      <c r="ETW232" s="21"/>
      <c r="ETX232" s="21"/>
      <c r="EUA232" s="21"/>
      <c r="EUB232" s="15"/>
      <c r="EUC232" s="15"/>
      <c r="EUD232" s="15"/>
      <c r="EUE232" s="15"/>
      <c r="EUF232" s="15"/>
      <c r="EUG232" s="15"/>
      <c r="EUH232" s="15"/>
      <c r="EUI232" s="15"/>
      <c r="EUJ232" s="15"/>
      <c r="EUK232" s="15"/>
      <c r="EUL232" s="10"/>
      <c r="EUM232" s="10"/>
      <c r="EUN232" s="21"/>
      <c r="EUO232" s="21"/>
      <c r="EUR232" s="21"/>
      <c r="EUS232" s="15"/>
      <c r="EUT232" s="15"/>
      <c r="EUU232" s="15"/>
      <c r="EUV232" s="15"/>
      <c r="EUW232" s="15"/>
      <c r="EUX232" s="15"/>
      <c r="EUY232" s="15"/>
      <c r="EUZ232" s="15"/>
      <c r="EVA232" s="15"/>
      <c r="EVB232" s="15"/>
      <c r="EVC232" s="10"/>
      <c r="EVD232" s="10"/>
      <c r="EVE232" s="21"/>
      <c r="EVF232" s="21"/>
      <c r="EVI232" s="21"/>
      <c r="EVJ232" s="15"/>
      <c r="EVK232" s="15"/>
      <c r="EVL232" s="15"/>
      <c r="EVM232" s="15"/>
      <c r="EVN232" s="15"/>
      <c r="EVO232" s="15"/>
      <c r="EVP232" s="15"/>
      <c r="EVQ232" s="15"/>
      <c r="EVR232" s="15"/>
      <c r="EVS232" s="15"/>
      <c r="EVT232" s="10"/>
      <c r="EVU232" s="10"/>
      <c r="EVV232" s="21"/>
      <c r="EVW232" s="21"/>
      <c r="EVZ232" s="21"/>
      <c r="EWA232" s="15"/>
      <c r="EWB232" s="15"/>
      <c r="EWC232" s="15"/>
      <c r="EWD232" s="15"/>
      <c r="EWE232" s="15"/>
      <c r="EWF232" s="15"/>
      <c r="EWG232" s="15"/>
      <c r="EWH232" s="15"/>
      <c r="EWI232" s="15"/>
      <c r="EWJ232" s="15"/>
      <c r="EWK232" s="10"/>
      <c r="EWL232" s="10"/>
      <c r="EWM232" s="21"/>
      <c r="EWN232" s="21"/>
      <c r="EWQ232" s="21"/>
      <c r="EWR232" s="15"/>
      <c r="EWS232" s="15"/>
      <c r="EWT232" s="15"/>
      <c r="EWU232" s="15"/>
      <c r="EWV232" s="15"/>
      <c r="EWW232" s="15"/>
      <c r="EWX232" s="15"/>
      <c r="EWY232" s="15"/>
      <c r="EWZ232" s="15"/>
      <c r="EXA232" s="15"/>
      <c r="EXB232" s="10"/>
      <c r="EXC232" s="10"/>
      <c r="EXD232" s="21"/>
      <c r="EXE232" s="21"/>
      <c r="EXH232" s="21"/>
      <c r="EXI232" s="15"/>
      <c r="EXJ232" s="15"/>
      <c r="EXK232" s="15"/>
      <c r="EXL232" s="15"/>
      <c r="EXM232" s="15"/>
      <c r="EXN232" s="15"/>
      <c r="EXO232" s="15"/>
      <c r="EXP232" s="15"/>
      <c r="EXQ232" s="15"/>
      <c r="EXR232" s="15"/>
      <c r="EXS232" s="10"/>
      <c r="EXT232" s="10"/>
      <c r="EXU232" s="21"/>
      <c r="EXV232" s="21"/>
      <c r="EXY232" s="21"/>
      <c r="EXZ232" s="15"/>
      <c r="EYA232" s="15"/>
      <c r="EYB232" s="15"/>
      <c r="EYC232" s="15"/>
      <c r="EYD232" s="15"/>
      <c r="EYE232" s="15"/>
      <c r="EYF232" s="15"/>
      <c r="EYG232" s="15"/>
      <c r="EYH232" s="15"/>
      <c r="EYI232" s="15"/>
      <c r="EYJ232" s="10"/>
      <c r="EYK232" s="10"/>
      <c r="EYL232" s="21"/>
      <c r="EYM232" s="21"/>
      <c r="EYP232" s="21"/>
      <c r="EYQ232" s="15"/>
      <c r="EYR232" s="15"/>
      <c r="EYS232" s="15"/>
      <c r="EYT232" s="15"/>
      <c r="EYU232" s="15"/>
      <c r="EYV232" s="15"/>
      <c r="EYW232" s="15"/>
      <c r="EYX232" s="15"/>
      <c r="EYY232" s="15"/>
      <c r="EYZ232" s="15"/>
      <c r="EZA232" s="10"/>
      <c r="EZB232" s="10"/>
      <c r="EZC232" s="21"/>
      <c r="EZD232" s="21"/>
      <c r="EZG232" s="21"/>
      <c r="EZH232" s="15"/>
      <c r="EZI232" s="15"/>
      <c r="EZJ232" s="15"/>
      <c r="EZK232" s="15"/>
      <c r="EZL232" s="15"/>
      <c r="EZM232" s="15"/>
      <c r="EZN232" s="15"/>
      <c r="EZO232" s="15"/>
      <c r="EZP232" s="15"/>
      <c r="EZQ232" s="15"/>
      <c r="EZR232" s="10"/>
      <c r="EZS232" s="10"/>
      <c r="EZT232" s="21"/>
      <c r="EZU232" s="21"/>
      <c r="EZX232" s="21"/>
      <c r="EZY232" s="15"/>
      <c r="EZZ232" s="15"/>
      <c r="FAA232" s="15"/>
      <c r="FAB232" s="15"/>
      <c r="FAC232" s="15"/>
      <c r="FAD232" s="15"/>
      <c r="FAE232" s="15"/>
      <c r="FAF232" s="15"/>
      <c r="FAG232" s="15"/>
      <c r="FAH232" s="15"/>
      <c r="FAI232" s="10"/>
      <c r="FAJ232" s="10"/>
      <c r="FAK232" s="21"/>
      <c r="FAL232" s="21"/>
      <c r="FAO232" s="21"/>
      <c r="FAP232" s="15"/>
      <c r="FAQ232" s="15"/>
      <c r="FAR232" s="15"/>
      <c r="FAS232" s="15"/>
      <c r="FAT232" s="15"/>
      <c r="FAU232" s="15"/>
      <c r="FAV232" s="15"/>
      <c r="FAW232" s="15"/>
      <c r="FAX232" s="15"/>
      <c r="FAY232" s="15"/>
      <c r="FAZ232" s="10"/>
      <c r="FBA232" s="10"/>
      <c r="FBB232" s="21"/>
      <c r="FBC232" s="21"/>
      <c r="FBF232" s="21"/>
      <c r="FBG232" s="15"/>
      <c r="FBH232" s="15"/>
      <c r="FBI232" s="15"/>
      <c r="FBJ232" s="15"/>
      <c r="FBK232" s="15"/>
      <c r="FBL232" s="15"/>
      <c r="FBM232" s="15"/>
      <c r="FBN232" s="15"/>
      <c r="FBO232" s="15"/>
      <c r="FBP232" s="15"/>
      <c r="FBQ232" s="10"/>
      <c r="FBR232" s="10"/>
      <c r="FBS232" s="21"/>
      <c r="FBT232" s="21"/>
      <c r="FBW232" s="21"/>
      <c r="FBX232" s="15"/>
      <c r="FBY232" s="15"/>
      <c r="FBZ232" s="15"/>
      <c r="FCA232" s="15"/>
      <c r="FCB232" s="15"/>
      <c r="FCC232" s="15"/>
      <c r="FCD232" s="15"/>
      <c r="FCE232" s="15"/>
      <c r="FCF232" s="15"/>
      <c r="FCG232" s="15"/>
      <c r="FCH232" s="10"/>
      <c r="FCI232" s="10"/>
      <c r="FCJ232" s="21"/>
      <c r="FCK232" s="21"/>
      <c r="FCN232" s="21"/>
      <c r="FCO232" s="15"/>
      <c r="FCP232" s="15"/>
      <c r="FCQ232" s="15"/>
      <c r="FCR232" s="15"/>
      <c r="FCS232" s="15"/>
      <c r="FCT232" s="15"/>
      <c r="FCU232" s="15"/>
      <c r="FCV232" s="15"/>
      <c r="FCW232" s="15"/>
      <c r="FCX232" s="15"/>
      <c r="FCY232" s="10"/>
      <c r="FCZ232" s="10"/>
      <c r="FDA232" s="21"/>
      <c r="FDB232" s="21"/>
      <c r="FDE232" s="21"/>
      <c r="FDF232" s="15"/>
      <c r="FDG232" s="15"/>
      <c r="FDH232" s="15"/>
      <c r="FDI232" s="15"/>
      <c r="FDJ232" s="15"/>
      <c r="FDK232" s="15"/>
      <c r="FDL232" s="15"/>
      <c r="FDM232" s="15"/>
      <c r="FDN232" s="15"/>
      <c r="FDO232" s="15"/>
      <c r="FDP232" s="10"/>
      <c r="FDQ232" s="10"/>
      <c r="FDR232" s="21"/>
      <c r="FDS232" s="21"/>
      <c r="FDV232" s="21"/>
      <c r="FDW232" s="15"/>
      <c r="FDX232" s="15"/>
      <c r="FDY232" s="15"/>
      <c r="FDZ232" s="15"/>
      <c r="FEA232" s="15"/>
      <c r="FEB232" s="15"/>
      <c r="FEC232" s="15"/>
      <c r="FED232" s="15"/>
      <c r="FEE232" s="15"/>
      <c r="FEF232" s="15"/>
      <c r="FEG232" s="10"/>
      <c r="FEH232" s="10"/>
      <c r="FEI232" s="21"/>
      <c r="FEJ232" s="21"/>
      <c r="FEM232" s="21"/>
      <c r="FEN232" s="15"/>
      <c r="FEO232" s="15"/>
      <c r="FEP232" s="15"/>
      <c r="FEQ232" s="15"/>
      <c r="FER232" s="15"/>
      <c r="FES232" s="15"/>
      <c r="FET232" s="15"/>
      <c r="FEU232" s="15"/>
      <c r="FEV232" s="15"/>
      <c r="FEW232" s="15"/>
      <c r="FEX232" s="10"/>
      <c r="FEY232" s="10"/>
      <c r="FEZ232" s="21"/>
      <c r="FFA232" s="21"/>
      <c r="FFD232" s="21"/>
      <c r="FFE232" s="15"/>
      <c r="FFF232" s="15"/>
      <c r="FFG232" s="15"/>
      <c r="FFH232" s="15"/>
      <c r="FFI232" s="15"/>
      <c r="FFJ232" s="15"/>
      <c r="FFK232" s="15"/>
      <c r="FFL232" s="15"/>
      <c r="FFM232" s="15"/>
      <c r="FFN232" s="15"/>
      <c r="FFO232" s="10"/>
      <c r="FFP232" s="10"/>
      <c r="FFQ232" s="21"/>
      <c r="FFR232" s="21"/>
      <c r="FFU232" s="21"/>
      <c r="FFV232" s="15"/>
      <c r="FFW232" s="15"/>
      <c r="FFX232" s="15"/>
      <c r="FFY232" s="15"/>
      <c r="FFZ232" s="15"/>
      <c r="FGA232" s="15"/>
      <c r="FGB232" s="15"/>
      <c r="FGC232" s="15"/>
      <c r="FGD232" s="15"/>
      <c r="FGE232" s="15"/>
      <c r="FGF232" s="10"/>
      <c r="FGG232" s="10"/>
      <c r="FGH232" s="21"/>
      <c r="FGI232" s="21"/>
      <c r="FGL232" s="21"/>
      <c r="FGM232" s="15"/>
      <c r="FGN232" s="15"/>
      <c r="FGO232" s="15"/>
      <c r="FGP232" s="15"/>
      <c r="FGQ232" s="15"/>
      <c r="FGR232" s="15"/>
      <c r="FGS232" s="15"/>
      <c r="FGT232" s="15"/>
      <c r="FGU232" s="15"/>
      <c r="FGV232" s="15"/>
      <c r="FGW232" s="10"/>
      <c r="FGX232" s="10"/>
      <c r="FGY232" s="21"/>
      <c r="FGZ232" s="21"/>
      <c r="FHC232" s="21"/>
      <c r="FHD232" s="15"/>
      <c r="FHE232" s="15"/>
      <c r="FHF232" s="15"/>
      <c r="FHG232" s="15"/>
      <c r="FHH232" s="15"/>
      <c r="FHI232" s="15"/>
      <c r="FHJ232" s="15"/>
      <c r="FHK232" s="15"/>
      <c r="FHL232" s="15"/>
      <c r="FHM232" s="15"/>
      <c r="FHN232" s="10"/>
      <c r="FHO232" s="10"/>
      <c r="FHP232" s="21"/>
      <c r="FHQ232" s="21"/>
      <c r="FHT232" s="21"/>
      <c r="FHU232" s="15"/>
      <c r="FHV232" s="15"/>
      <c r="FHW232" s="15"/>
      <c r="FHX232" s="15"/>
      <c r="FHY232" s="15"/>
      <c r="FHZ232" s="15"/>
      <c r="FIA232" s="15"/>
      <c r="FIB232" s="15"/>
      <c r="FIC232" s="15"/>
      <c r="FID232" s="15"/>
      <c r="FIE232" s="10"/>
      <c r="FIF232" s="10"/>
      <c r="FIG232" s="21"/>
      <c r="FIH232" s="21"/>
      <c r="FIK232" s="21"/>
      <c r="FIL232" s="15"/>
      <c r="FIM232" s="15"/>
      <c r="FIN232" s="15"/>
      <c r="FIO232" s="15"/>
      <c r="FIP232" s="15"/>
      <c r="FIQ232" s="15"/>
      <c r="FIR232" s="15"/>
      <c r="FIS232" s="15"/>
      <c r="FIT232" s="15"/>
      <c r="FIU232" s="15"/>
      <c r="FIV232" s="10"/>
      <c r="FIW232" s="10"/>
      <c r="FIX232" s="21"/>
      <c r="FIY232" s="21"/>
      <c r="FJB232" s="21"/>
      <c r="FJC232" s="15"/>
      <c r="FJD232" s="15"/>
      <c r="FJE232" s="15"/>
      <c r="FJF232" s="15"/>
      <c r="FJG232" s="15"/>
      <c r="FJH232" s="15"/>
      <c r="FJI232" s="15"/>
      <c r="FJJ232" s="15"/>
      <c r="FJK232" s="15"/>
      <c r="FJL232" s="15"/>
      <c r="FJM232" s="10"/>
      <c r="FJN232" s="10"/>
      <c r="FJO232" s="21"/>
      <c r="FJP232" s="21"/>
      <c r="FJS232" s="21"/>
      <c r="FJT232" s="15"/>
      <c r="FJU232" s="15"/>
      <c r="FJV232" s="15"/>
      <c r="FJW232" s="15"/>
      <c r="FJX232" s="15"/>
      <c r="FJY232" s="15"/>
      <c r="FJZ232" s="15"/>
      <c r="FKA232" s="15"/>
      <c r="FKB232" s="15"/>
      <c r="FKC232" s="15"/>
      <c r="FKD232" s="10"/>
      <c r="FKE232" s="10"/>
      <c r="FKF232" s="21"/>
      <c r="FKG232" s="21"/>
      <c r="FKJ232" s="21"/>
      <c r="FKK232" s="15"/>
      <c r="FKL232" s="15"/>
      <c r="FKM232" s="15"/>
      <c r="FKN232" s="15"/>
      <c r="FKO232" s="15"/>
      <c r="FKP232" s="15"/>
      <c r="FKQ232" s="15"/>
      <c r="FKR232" s="15"/>
      <c r="FKS232" s="15"/>
      <c r="FKT232" s="15"/>
      <c r="FKU232" s="10"/>
      <c r="FKV232" s="10"/>
      <c r="FKW232" s="21"/>
      <c r="FKX232" s="21"/>
      <c r="FLA232" s="21"/>
      <c r="FLB232" s="15"/>
      <c r="FLC232" s="15"/>
      <c r="FLD232" s="15"/>
      <c r="FLE232" s="15"/>
      <c r="FLF232" s="15"/>
      <c r="FLG232" s="15"/>
      <c r="FLH232" s="15"/>
      <c r="FLI232" s="15"/>
      <c r="FLJ232" s="15"/>
      <c r="FLK232" s="15"/>
      <c r="FLL232" s="10"/>
      <c r="FLM232" s="10"/>
      <c r="FLN232" s="21"/>
      <c r="FLO232" s="21"/>
      <c r="FLR232" s="21"/>
      <c r="FLS232" s="15"/>
      <c r="FLT232" s="15"/>
      <c r="FLU232" s="15"/>
      <c r="FLV232" s="15"/>
      <c r="FLW232" s="15"/>
      <c r="FLX232" s="15"/>
      <c r="FLY232" s="15"/>
      <c r="FLZ232" s="15"/>
      <c r="FMA232" s="15"/>
      <c r="FMB232" s="15"/>
      <c r="FMC232" s="10"/>
      <c r="FMD232" s="10"/>
      <c r="FME232" s="21"/>
      <c r="FMF232" s="21"/>
      <c r="FMI232" s="21"/>
      <c r="FMJ232" s="15"/>
      <c r="FMK232" s="15"/>
      <c r="FML232" s="15"/>
      <c r="FMM232" s="15"/>
      <c r="FMN232" s="15"/>
      <c r="FMO232" s="15"/>
      <c r="FMP232" s="15"/>
      <c r="FMQ232" s="15"/>
      <c r="FMR232" s="15"/>
      <c r="FMS232" s="15"/>
      <c r="FMT232" s="10"/>
      <c r="FMU232" s="10"/>
      <c r="FMV232" s="21"/>
      <c r="FMW232" s="21"/>
      <c r="FMZ232" s="21"/>
      <c r="FNA232" s="15"/>
      <c r="FNB232" s="15"/>
      <c r="FNC232" s="15"/>
      <c r="FND232" s="15"/>
      <c r="FNE232" s="15"/>
      <c r="FNF232" s="15"/>
      <c r="FNG232" s="15"/>
      <c r="FNH232" s="15"/>
      <c r="FNI232" s="15"/>
      <c r="FNJ232" s="15"/>
      <c r="FNK232" s="10"/>
      <c r="FNL232" s="10"/>
      <c r="FNM232" s="21"/>
      <c r="FNN232" s="21"/>
      <c r="FNQ232" s="21"/>
      <c r="FNR232" s="15"/>
      <c r="FNS232" s="15"/>
      <c r="FNT232" s="15"/>
      <c r="FNU232" s="15"/>
      <c r="FNV232" s="15"/>
      <c r="FNW232" s="15"/>
      <c r="FNX232" s="15"/>
      <c r="FNY232" s="15"/>
      <c r="FNZ232" s="15"/>
      <c r="FOA232" s="15"/>
      <c r="FOB232" s="10"/>
      <c r="FOC232" s="10"/>
      <c r="FOD232" s="21"/>
      <c r="FOE232" s="21"/>
      <c r="FOH232" s="21"/>
      <c r="FOI232" s="15"/>
      <c r="FOJ232" s="15"/>
      <c r="FOK232" s="15"/>
      <c r="FOL232" s="15"/>
      <c r="FOM232" s="15"/>
      <c r="FON232" s="15"/>
      <c r="FOO232" s="15"/>
      <c r="FOP232" s="15"/>
      <c r="FOQ232" s="15"/>
      <c r="FOR232" s="15"/>
      <c r="FOS232" s="10"/>
      <c r="FOT232" s="10"/>
      <c r="FOU232" s="21"/>
      <c r="FOV232" s="21"/>
      <c r="FOY232" s="21"/>
      <c r="FOZ232" s="15"/>
      <c r="FPA232" s="15"/>
      <c r="FPB232" s="15"/>
      <c r="FPC232" s="15"/>
      <c r="FPD232" s="15"/>
      <c r="FPE232" s="15"/>
      <c r="FPF232" s="15"/>
      <c r="FPG232" s="15"/>
      <c r="FPH232" s="15"/>
      <c r="FPI232" s="15"/>
      <c r="FPJ232" s="10"/>
      <c r="FPK232" s="10"/>
      <c r="FPL232" s="21"/>
      <c r="FPM232" s="21"/>
      <c r="FPP232" s="21"/>
      <c r="FPQ232" s="15"/>
      <c r="FPR232" s="15"/>
      <c r="FPS232" s="15"/>
      <c r="FPT232" s="15"/>
      <c r="FPU232" s="15"/>
      <c r="FPV232" s="15"/>
      <c r="FPW232" s="15"/>
      <c r="FPX232" s="15"/>
      <c r="FPY232" s="15"/>
      <c r="FPZ232" s="15"/>
      <c r="FQA232" s="10"/>
      <c r="FQB232" s="10"/>
      <c r="FQC232" s="21"/>
      <c r="FQD232" s="21"/>
      <c r="FQG232" s="21"/>
      <c r="FQH232" s="15"/>
      <c r="FQI232" s="15"/>
      <c r="FQJ232" s="15"/>
      <c r="FQK232" s="15"/>
      <c r="FQL232" s="15"/>
      <c r="FQM232" s="15"/>
      <c r="FQN232" s="15"/>
      <c r="FQO232" s="15"/>
      <c r="FQP232" s="15"/>
      <c r="FQQ232" s="15"/>
      <c r="FQR232" s="10"/>
      <c r="FQS232" s="10"/>
      <c r="FQT232" s="21"/>
      <c r="FQU232" s="21"/>
      <c r="FQX232" s="21"/>
      <c r="FQY232" s="15"/>
      <c r="FQZ232" s="15"/>
      <c r="FRA232" s="15"/>
      <c r="FRB232" s="15"/>
      <c r="FRC232" s="15"/>
      <c r="FRD232" s="15"/>
      <c r="FRE232" s="15"/>
      <c r="FRF232" s="15"/>
      <c r="FRG232" s="15"/>
      <c r="FRH232" s="15"/>
      <c r="FRI232" s="10"/>
      <c r="FRJ232" s="10"/>
      <c r="FRK232" s="21"/>
      <c r="FRL232" s="21"/>
      <c r="FRO232" s="21"/>
      <c r="FRP232" s="15"/>
      <c r="FRQ232" s="15"/>
      <c r="FRR232" s="15"/>
      <c r="FRS232" s="15"/>
      <c r="FRT232" s="15"/>
      <c r="FRU232" s="15"/>
      <c r="FRV232" s="15"/>
      <c r="FRW232" s="15"/>
      <c r="FRX232" s="15"/>
      <c r="FRY232" s="15"/>
      <c r="FRZ232" s="10"/>
      <c r="FSA232" s="10"/>
      <c r="FSB232" s="21"/>
      <c r="FSC232" s="21"/>
      <c r="FSF232" s="21"/>
      <c r="FSG232" s="15"/>
      <c r="FSH232" s="15"/>
      <c r="FSI232" s="15"/>
      <c r="FSJ232" s="15"/>
      <c r="FSK232" s="15"/>
      <c r="FSL232" s="15"/>
      <c r="FSM232" s="15"/>
      <c r="FSN232" s="15"/>
      <c r="FSO232" s="15"/>
      <c r="FSP232" s="15"/>
      <c r="FSQ232" s="10"/>
      <c r="FSR232" s="10"/>
      <c r="FSS232" s="21"/>
      <c r="FST232" s="21"/>
      <c r="FSW232" s="21"/>
      <c r="FSX232" s="15"/>
      <c r="FSY232" s="15"/>
      <c r="FSZ232" s="15"/>
      <c r="FTA232" s="15"/>
      <c r="FTB232" s="15"/>
      <c r="FTC232" s="15"/>
      <c r="FTD232" s="15"/>
      <c r="FTE232" s="15"/>
      <c r="FTF232" s="15"/>
      <c r="FTG232" s="15"/>
      <c r="FTH232" s="10"/>
      <c r="FTI232" s="10"/>
      <c r="FTJ232" s="21"/>
      <c r="FTK232" s="21"/>
      <c r="FTN232" s="21"/>
      <c r="FTO232" s="15"/>
      <c r="FTP232" s="15"/>
      <c r="FTQ232" s="15"/>
      <c r="FTR232" s="15"/>
      <c r="FTS232" s="15"/>
      <c r="FTT232" s="15"/>
      <c r="FTU232" s="15"/>
      <c r="FTV232" s="15"/>
      <c r="FTW232" s="15"/>
      <c r="FTX232" s="15"/>
      <c r="FTY232" s="10"/>
      <c r="FTZ232" s="10"/>
      <c r="FUA232" s="21"/>
      <c r="FUB232" s="21"/>
      <c r="FUE232" s="21"/>
      <c r="FUF232" s="15"/>
      <c r="FUG232" s="15"/>
      <c r="FUH232" s="15"/>
      <c r="FUI232" s="15"/>
      <c r="FUJ232" s="15"/>
      <c r="FUK232" s="15"/>
      <c r="FUL232" s="15"/>
      <c r="FUM232" s="15"/>
      <c r="FUN232" s="15"/>
      <c r="FUO232" s="15"/>
      <c r="FUP232" s="10"/>
      <c r="FUQ232" s="10"/>
      <c r="FUR232" s="21"/>
      <c r="FUS232" s="21"/>
      <c r="FUV232" s="21"/>
      <c r="FUW232" s="15"/>
      <c r="FUX232" s="15"/>
      <c r="FUY232" s="15"/>
      <c r="FUZ232" s="15"/>
      <c r="FVA232" s="15"/>
      <c r="FVB232" s="15"/>
      <c r="FVC232" s="15"/>
      <c r="FVD232" s="15"/>
      <c r="FVE232" s="15"/>
      <c r="FVF232" s="15"/>
      <c r="FVG232" s="10"/>
      <c r="FVH232" s="10"/>
      <c r="FVI232" s="21"/>
      <c r="FVJ232" s="21"/>
      <c r="FVM232" s="21"/>
      <c r="FVN232" s="15"/>
      <c r="FVO232" s="15"/>
      <c r="FVP232" s="15"/>
      <c r="FVQ232" s="15"/>
      <c r="FVR232" s="15"/>
      <c r="FVS232" s="15"/>
      <c r="FVT232" s="15"/>
      <c r="FVU232" s="15"/>
      <c r="FVV232" s="15"/>
      <c r="FVW232" s="15"/>
      <c r="FVX232" s="10"/>
      <c r="FVY232" s="10"/>
      <c r="FVZ232" s="21"/>
      <c r="FWA232" s="21"/>
      <c r="FWD232" s="21"/>
      <c r="FWE232" s="15"/>
      <c r="FWF232" s="15"/>
      <c r="FWG232" s="15"/>
      <c r="FWH232" s="15"/>
      <c r="FWI232" s="15"/>
      <c r="FWJ232" s="15"/>
      <c r="FWK232" s="15"/>
      <c r="FWL232" s="15"/>
      <c r="FWM232" s="15"/>
      <c r="FWN232" s="15"/>
      <c r="FWO232" s="10"/>
      <c r="FWP232" s="10"/>
      <c r="FWQ232" s="21"/>
      <c r="FWR232" s="21"/>
      <c r="FWU232" s="21"/>
      <c r="FWV232" s="15"/>
      <c r="FWW232" s="15"/>
      <c r="FWX232" s="15"/>
      <c r="FWY232" s="15"/>
      <c r="FWZ232" s="15"/>
      <c r="FXA232" s="15"/>
      <c r="FXB232" s="15"/>
      <c r="FXC232" s="15"/>
      <c r="FXD232" s="15"/>
      <c r="FXE232" s="15"/>
      <c r="FXF232" s="10"/>
      <c r="FXG232" s="10"/>
      <c r="FXH232" s="21"/>
      <c r="FXI232" s="21"/>
      <c r="FXL232" s="21"/>
      <c r="FXM232" s="15"/>
      <c r="FXN232" s="15"/>
      <c r="FXO232" s="15"/>
      <c r="FXP232" s="15"/>
      <c r="FXQ232" s="15"/>
      <c r="FXR232" s="15"/>
      <c r="FXS232" s="15"/>
      <c r="FXT232" s="15"/>
      <c r="FXU232" s="15"/>
      <c r="FXV232" s="15"/>
      <c r="FXW232" s="10"/>
      <c r="FXX232" s="10"/>
      <c r="FXY232" s="21"/>
      <c r="FXZ232" s="21"/>
      <c r="FYC232" s="21"/>
      <c r="FYD232" s="15"/>
      <c r="FYE232" s="15"/>
      <c r="FYF232" s="15"/>
      <c r="FYG232" s="15"/>
      <c r="FYH232" s="15"/>
      <c r="FYI232" s="15"/>
      <c r="FYJ232" s="15"/>
      <c r="FYK232" s="15"/>
      <c r="FYL232" s="15"/>
      <c r="FYM232" s="15"/>
      <c r="FYN232" s="10"/>
      <c r="FYO232" s="10"/>
      <c r="FYP232" s="21"/>
      <c r="FYQ232" s="21"/>
      <c r="FYT232" s="21"/>
      <c r="FYU232" s="15"/>
      <c r="FYV232" s="15"/>
      <c r="FYW232" s="15"/>
      <c r="FYX232" s="15"/>
      <c r="FYY232" s="15"/>
      <c r="FYZ232" s="15"/>
      <c r="FZA232" s="15"/>
      <c r="FZB232" s="15"/>
      <c r="FZC232" s="15"/>
      <c r="FZD232" s="15"/>
      <c r="FZE232" s="10"/>
      <c r="FZF232" s="10"/>
      <c r="FZG232" s="21"/>
      <c r="FZH232" s="21"/>
      <c r="FZK232" s="21"/>
      <c r="FZL232" s="15"/>
      <c r="FZM232" s="15"/>
      <c r="FZN232" s="15"/>
      <c r="FZO232" s="15"/>
      <c r="FZP232" s="15"/>
      <c r="FZQ232" s="15"/>
      <c r="FZR232" s="15"/>
      <c r="FZS232" s="15"/>
      <c r="FZT232" s="15"/>
      <c r="FZU232" s="15"/>
      <c r="FZV232" s="10"/>
      <c r="FZW232" s="10"/>
      <c r="FZX232" s="21"/>
      <c r="FZY232" s="21"/>
      <c r="GAB232" s="21"/>
      <c r="GAC232" s="15"/>
      <c r="GAD232" s="15"/>
      <c r="GAE232" s="15"/>
      <c r="GAF232" s="15"/>
      <c r="GAG232" s="15"/>
      <c r="GAH232" s="15"/>
      <c r="GAI232" s="15"/>
      <c r="GAJ232" s="15"/>
      <c r="GAK232" s="15"/>
      <c r="GAL232" s="15"/>
      <c r="GAM232" s="10"/>
      <c r="GAN232" s="10"/>
      <c r="GAO232" s="21"/>
      <c r="GAP232" s="21"/>
      <c r="GAS232" s="21"/>
      <c r="GAT232" s="15"/>
      <c r="GAU232" s="15"/>
      <c r="GAV232" s="15"/>
      <c r="GAW232" s="15"/>
      <c r="GAX232" s="15"/>
      <c r="GAY232" s="15"/>
      <c r="GAZ232" s="15"/>
      <c r="GBA232" s="15"/>
      <c r="GBB232" s="15"/>
      <c r="GBC232" s="15"/>
      <c r="GBD232" s="10"/>
      <c r="GBE232" s="10"/>
      <c r="GBF232" s="21"/>
      <c r="GBG232" s="21"/>
      <c r="GBJ232" s="21"/>
      <c r="GBK232" s="15"/>
      <c r="GBL232" s="15"/>
      <c r="GBM232" s="15"/>
      <c r="GBN232" s="15"/>
      <c r="GBO232" s="15"/>
      <c r="GBP232" s="15"/>
      <c r="GBQ232" s="15"/>
      <c r="GBR232" s="15"/>
      <c r="GBS232" s="15"/>
      <c r="GBT232" s="15"/>
      <c r="GBU232" s="10"/>
      <c r="GBV232" s="10"/>
      <c r="GBW232" s="21"/>
      <c r="GBX232" s="21"/>
      <c r="GCA232" s="21"/>
      <c r="GCB232" s="15"/>
      <c r="GCC232" s="15"/>
      <c r="GCD232" s="15"/>
      <c r="GCE232" s="15"/>
      <c r="GCF232" s="15"/>
      <c r="GCG232" s="15"/>
      <c r="GCH232" s="15"/>
      <c r="GCI232" s="15"/>
      <c r="GCJ232" s="15"/>
      <c r="GCK232" s="15"/>
      <c r="GCL232" s="10"/>
      <c r="GCM232" s="10"/>
      <c r="GCN232" s="21"/>
      <c r="GCO232" s="21"/>
      <c r="GCR232" s="21"/>
      <c r="GCS232" s="15"/>
      <c r="GCT232" s="15"/>
      <c r="GCU232" s="15"/>
      <c r="GCV232" s="15"/>
      <c r="GCW232" s="15"/>
      <c r="GCX232" s="15"/>
      <c r="GCY232" s="15"/>
      <c r="GCZ232" s="15"/>
      <c r="GDA232" s="15"/>
      <c r="GDB232" s="15"/>
      <c r="GDC232" s="10"/>
      <c r="GDD232" s="10"/>
      <c r="GDE232" s="21"/>
      <c r="GDF232" s="21"/>
      <c r="GDI232" s="21"/>
      <c r="GDJ232" s="15"/>
      <c r="GDK232" s="15"/>
      <c r="GDL232" s="15"/>
      <c r="GDM232" s="15"/>
      <c r="GDN232" s="15"/>
      <c r="GDO232" s="15"/>
      <c r="GDP232" s="15"/>
      <c r="GDQ232" s="15"/>
      <c r="GDR232" s="15"/>
      <c r="GDS232" s="15"/>
      <c r="GDT232" s="10"/>
      <c r="GDU232" s="10"/>
      <c r="GDV232" s="21"/>
      <c r="GDW232" s="21"/>
      <c r="GDZ232" s="21"/>
      <c r="GEA232" s="15"/>
      <c r="GEB232" s="15"/>
      <c r="GEC232" s="15"/>
      <c r="GED232" s="15"/>
      <c r="GEE232" s="15"/>
      <c r="GEF232" s="15"/>
      <c r="GEG232" s="15"/>
      <c r="GEH232" s="15"/>
      <c r="GEI232" s="15"/>
      <c r="GEJ232" s="15"/>
      <c r="GEK232" s="10"/>
      <c r="GEL232" s="10"/>
      <c r="GEM232" s="21"/>
      <c r="GEN232" s="21"/>
      <c r="GEQ232" s="21"/>
      <c r="GER232" s="15"/>
      <c r="GES232" s="15"/>
      <c r="GET232" s="15"/>
      <c r="GEU232" s="15"/>
      <c r="GEV232" s="15"/>
      <c r="GEW232" s="15"/>
      <c r="GEX232" s="15"/>
      <c r="GEY232" s="15"/>
      <c r="GEZ232" s="15"/>
      <c r="GFA232" s="15"/>
      <c r="GFB232" s="10"/>
      <c r="GFC232" s="10"/>
      <c r="GFD232" s="21"/>
      <c r="GFE232" s="21"/>
      <c r="GFH232" s="21"/>
      <c r="GFI232" s="15"/>
      <c r="GFJ232" s="15"/>
      <c r="GFK232" s="15"/>
      <c r="GFL232" s="15"/>
      <c r="GFM232" s="15"/>
      <c r="GFN232" s="15"/>
      <c r="GFO232" s="15"/>
      <c r="GFP232" s="15"/>
      <c r="GFQ232" s="15"/>
      <c r="GFR232" s="15"/>
      <c r="GFS232" s="10"/>
      <c r="GFT232" s="10"/>
      <c r="GFU232" s="21"/>
      <c r="GFV232" s="21"/>
      <c r="GFY232" s="21"/>
      <c r="GFZ232" s="15"/>
      <c r="GGA232" s="15"/>
      <c r="GGB232" s="15"/>
      <c r="GGC232" s="15"/>
      <c r="GGD232" s="15"/>
      <c r="GGE232" s="15"/>
      <c r="GGF232" s="15"/>
      <c r="GGG232" s="15"/>
      <c r="GGH232" s="15"/>
      <c r="GGI232" s="15"/>
      <c r="GGJ232" s="10"/>
      <c r="GGK232" s="10"/>
      <c r="GGL232" s="21"/>
      <c r="GGM232" s="21"/>
      <c r="GGP232" s="21"/>
      <c r="GGQ232" s="15"/>
      <c r="GGR232" s="15"/>
      <c r="GGS232" s="15"/>
      <c r="GGT232" s="15"/>
      <c r="GGU232" s="15"/>
      <c r="GGV232" s="15"/>
      <c r="GGW232" s="15"/>
      <c r="GGX232" s="15"/>
      <c r="GGY232" s="15"/>
      <c r="GGZ232" s="15"/>
      <c r="GHA232" s="10"/>
      <c r="GHB232" s="10"/>
      <c r="GHC232" s="21"/>
      <c r="GHD232" s="21"/>
      <c r="GHG232" s="21"/>
      <c r="GHH232" s="15"/>
      <c r="GHI232" s="15"/>
      <c r="GHJ232" s="15"/>
      <c r="GHK232" s="15"/>
      <c r="GHL232" s="15"/>
      <c r="GHM232" s="15"/>
      <c r="GHN232" s="15"/>
      <c r="GHO232" s="15"/>
      <c r="GHP232" s="15"/>
      <c r="GHQ232" s="15"/>
      <c r="GHR232" s="10"/>
      <c r="GHS232" s="10"/>
      <c r="GHT232" s="21"/>
      <c r="GHU232" s="21"/>
      <c r="GHX232" s="21"/>
      <c r="GHY232" s="15"/>
      <c r="GHZ232" s="15"/>
      <c r="GIA232" s="15"/>
      <c r="GIB232" s="15"/>
      <c r="GIC232" s="15"/>
      <c r="GID232" s="15"/>
      <c r="GIE232" s="15"/>
      <c r="GIF232" s="15"/>
      <c r="GIG232" s="15"/>
      <c r="GIH232" s="15"/>
      <c r="GII232" s="10"/>
      <c r="GIJ232" s="10"/>
      <c r="GIK232" s="21"/>
      <c r="GIL232" s="21"/>
      <c r="GIO232" s="21"/>
      <c r="GIP232" s="15"/>
      <c r="GIQ232" s="15"/>
      <c r="GIR232" s="15"/>
      <c r="GIS232" s="15"/>
      <c r="GIT232" s="15"/>
      <c r="GIU232" s="15"/>
      <c r="GIV232" s="15"/>
      <c r="GIW232" s="15"/>
      <c r="GIX232" s="15"/>
      <c r="GIY232" s="15"/>
      <c r="GIZ232" s="10"/>
      <c r="GJA232" s="10"/>
      <c r="GJB232" s="21"/>
      <c r="GJC232" s="21"/>
      <c r="GJF232" s="21"/>
      <c r="GJG232" s="15"/>
      <c r="GJH232" s="15"/>
      <c r="GJI232" s="15"/>
      <c r="GJJ232" s="15"/>
      <c r="GJK232" s="15"/>
      <c r="GJL232" s="15"/>
      <c r="GJM232" s="15"/>
      <c r="GJN232" s="15"/>
      <c r="GJO232" s="15"/>
      <c r="GJP232" s="15"/>
      <c r="GJQ232" s="10"/>
      <c r="GJR232" s="10"/>
      <c r="GJS232" s="21"/>
      <c r="GJT232" s="21"/>
      <c r="GJW232" s="21"/>
      <c r="GJX232" s="15"/>
      <c r="GJY232" s="15"/>
      <c r="GJZ232" s="15"/>
      <c r="GKA232" s="15"/>
      <c r="GKB232" s="15"/>
      <c r="GKC232" s="15"/>
      <c r="GKD232" s="15"/>
      <c r="GKE232" s="15"/>
      <c r="GKF232" s="15"/>
      <c r="GKG232" s="15"/>
      <c r="GKH232" s="10"/>
      <c r="GKI232" s="10"/>
      <c r="GKJ232" s="21"/>
      <c r="GKK232" s="21"/>
      <c r="GKN232" s="21"/>
      <c r="GKO232" s="15"/>
      <c r="GKP232" s="15"/>
      <c r="GKQ232" s="15"/>
      <c r="GKR232" s="15"/>
      <c r="GKS232" s="15"/>
      <c r="GKT232" s="15"/>
      <c r="GKU232" s="15"/>
      <c r="GKV232" s="15"/>
      <c r="GKW232" s="15"/>
      <c r="GKX232" s="15"/>
      <c r="GKY232" s="10"/>
      <c r="GKZ232" s="10"/>
      <c r="GLA232" s="21"/>
      <c r="GLB232" s="21"/>
      <c r="GLE232" s="21"/>
      <c r="GLF232" s="15"/>
      <c r="GLG232" s="15"/>
      <c r="GLH232" s="15"/>
      <c r="GLI232" s="15"/>
      <c r="GLJ232" s="15"/>
      <c r="GLK232" s="15"/>
      <c r="GLL232" s="15"/>
      <c r="GLM232" s="15"/>
      <c r="GLN232" s="15"/>
      <c r="GLO232" s="15"/>
      <c r="GLP232" s="10"/>
      <c r="GLQ232" s="10"/>
      <c r="GLR232" s="21"/>
      <c r="GLS232" s="21"/>
      <c r="GLV232" s="21"/>
      <c r="GLW232" s="15"/>
      <c r="GLX232" s="15"/>
      <c r="GLY232" s="15"/>
      <c r="GLZ232" s="15"/>
      <c r="GMA232" s="15"/>
      <c r="GMB232" s="15"/>
      <c r="GMC232" s="15"/>
      <c r="GMD232" s="15"/>
      <c r="GME232" s="15"/>
      <c r="GMF232" s="15"/>
      <c r="GMG232" s="10"/>
      <c r="GMH232" s="10"/>
      <c r="GMI232" s="21"/>
      <c r="GMJ232" s="21"/>
      <c r="GMM232" s="21"/>
      <c r="GMN232" s="15"/>
      <c r="GMO232" s="15"/>
      <c r="GMP232" s="15"/>
      <c r="GMQ232" s="15"/>
      <c r="GMR232" s="15"/>
      <c r="GMS232" s="15"/>
      <c r="GMT232" s="15"/>
      <c r="GMU232" s="15"/>
      <c r="GMV232" s="15"/>
      <c r="GMW232" s="15"/>
      <c r="GMX232" s="10"/>
      <c r="GMY232" s="10"/>
      <c r="GMZ232" s="21"/>
      <c r="GNA232" s="21"/>
      <c r="GND232" s="21"/>
      <c r="GNE232" s="15"/>
      <c r="GNF232" s="15"/>
      <c r="GNG232" s="15"/>
      <c r="GNH232" s="15"/>
      <c r="GNI232" s="15"/>
      <c r="GNJ232" s="15"/>
      <c r="GNK232" s="15"/>
      <c r="GNL232" s="15"/>
      <c r="GNM232" s="15"/>
      <c r="GNN232" s="15"/>
      <c r="GNO232" s="10"/>
      <c r="GNP232" s="10"/>
      <c r="GNQ232" s="21"/>
      <c r="GNR232" s="21"/>
      <c r="GNU232" s="21"/>
      <c r="GNV232" s="15"/>
      <c r="GNW232" s="15"/>
      <c r="GNX232" s="15"/>
      <c r="GNY232" s="15"/>
      <c r="GNZ232" s="15"/>
      <c r="GOA232" s="15"/>
      <c r="GOB232" s="15"/>
      <c r="GOC232" s="15"/>
      <c r="GOD232" s="15"/>
      <c r="GOE232" s="15"/>
      <c r="GOF232" s="10"/>
      <c r="GOG232" s="10"/>
      <c r="GOH232" s="21"/>
      <c r="GOI232" s="21"/>
      <c r="GOL232" s="21"/>
      <c r="GOM232" s="15"/>
      <c r="GON232" s="15"/>
      <c r="GOO232" s="15"/>
      <c r="GOP232" s="15"/>
      <c r="GOQ232" s="15"/>
      <c r="GOR232" s="15"/>
      <c r="GOS232" s="15"/>
      <c r="GOT232" s="15"/>
      <c r="GOU232" s="15"/>
      <c r="GOV232" s="15"/>
      <c r="GOW232" s="10"/>
      <c r="GOX232" s="10"/>
      <c r="GOY232" s="21"/>
      <c r="GOZ232" s="21"/>
      <c r="GPC232" s="21"/>
      <c r="GPD232" s="15"/>
      <c r="GPE232" s="15"/>
      <c r="GPF232" s="15"/>
      <c r="GPG232" s="15"/>
      <c r="GPH232" s="15"/>
      <c r="GPI232" s="15"/>
      <c r="GPJ232" s="15"/>
      <c r="GPK232" s="15"/>
      <c r="GPL232" s="15"/>
      <c r="GPM232" s="15"/>
      <c r="GPN232" s="10"/>
      <c r="GPO232" s="10"/>
      <c r="GPP232" s="21"/>
      <c r="GPQ232" s="21"/>
      <c r="GPT232" s="21"/>
      <c r="GPU232" s="15"/>
      <c r="GPV232" s="15"/>
      <c r="GPW232" s="15"/>
      <c r="GPX232" s="15"/>
      <c r="GPY232" s="15"/>
      <c r="GPZ232" s="15"/>
      <c r="GQA232" s="15"/>
      <c r="GQB232" s="15"/>
      <c r="GQC232" s="15"/>
      <c r="GQD232" s="15"/>
      <c r="GQE232" s="10"/>
      <c r="GQF232" s="10"/>
      <c r="GQG232" s="21"/>
      <c r="GQH232" s="21"/>
      <c r="GQK232" s="21"/>
      <c r="GQL232" s="15"/>
      <c r="GQM232" s="15"/>
      <c r="GQN232" s="15"/>
      <c r="GQO232" s="15"/>
      <c r="GQP232" s="15"/>
      <c r="GQQ232" s="15"/>
      <c r="GQR232" s="15"/>
      <c r="GQS232" s="15"/>
      <c r="GQT232" s="15"/>
      <c r="GQU232" s="15"/>
      <c r="GQV232" s="10"/>
      <c r="GQW232" s="10"/>
      <c r="GQX232" s="21"/>
      <c r="GQY232" s="21"/>
      <c r="GRB232" s="21"/>
      <c r="GRC232" s="15"/>
      <c r="GRD232" s="15"/>
      <c r="GRE232" s="15"/>
      <c r="GRF232" s="15"/>
      <c r="GRG232" s="15"/>
      <c r="GRH232" s="15"/>
      <c r="GRI232" s="15"/>
      <c r="GRJ232" s="15"/>
      <c r="GRK232" s="15"/>
      <c r="GRL232" s="15"/>
      <c r="GRM232" s="10"/>
      <c r="GRN232" s="10"/>
      <c r="GRO232" s="21"/>
      <c r="GRP232" s="21"/>
      <c r="GRS232" s="21"/>
      <c r="GRT232" s="15"/>
      <c r="GRU232" s="15"/>
      <c r="GRV232" s="15"/>
      <c r="GRW232" s="15"/>
      <c r="GRX232" s="15"/>
      <c r="GRY232" s="15"/>
      <c r="GRZ232" s="15"/>
      <c r="GSA232" s="15"/>
      <c r="GSB232" s="15"/>
      <c r="GSC232" s="15"/>
      <c r="GSD232" s="10"/>
      <c r="GSE232" s="10"/>
      <c r="GSF232" s="21"/>
      <c r="GSG232" s="21"/>
      <c r="GSJ232" s="21"/>
      <c r="GSK232" s="15"/>
      <c r="GSL232" s="15"/>
      <c r="GSM232" s="15"/>
      <c r="GSN232" s="15"/>
      <c r="GSO232" s="15"/>
      <c r="GSP232" s="15"/>
      <c r="GSQ232" s="15"/>
      <c r="GSR232" s="15"/>
      <c r="GSS232" s="15"/>
      <c r="GST232" s="15"/>
      <c r="GSU232" s="10"/>
      <c r="GSV232" s="10"/>
      <c r="GSW232" s="21"/>
      <c r="GSX232" s="21"/>
      <c r="GTA232" s="21"/>
      <c r="GTB232" s="15"/>
      <c r="GTC232" s="15"/>
      <c r="GTD232" s="15"/>
      <c r="GTE232" s="15"/>
      <c r="GTF232" s="15"/>
      <c r="GTG232" s="15"/>
      <c r="GTH232" s="15"/>
      <c r="GTI232" s="15"/>
      <c r="GTJ232" s="15"/>
      <c r="GTK232" s="15"/>
      <c r="GTL232" s="10"/>
      <c r="GTM232" s="10"/>
      <c r="GTN232" s="21"/>
      <c r="GTO232" s="21"/>
      <c r="GTR232" s="21"/>
      <c r="GTS232" s="15"/>
      <c r="GTT232" s="15"/>
      <c r="GTU232" s="15"/>
      <c r="GTV232" s="15"/>
      <c r="GTW232" s="15"/>
      <c r="GTX232" s="15"/>
      <c r="GTY232" s="15"/>
      <c r="GTZ232" s="15"/>
      <c r="GUA232" s="15"/>
      <c r="GUB232" s="15"/>
      <c r="GUC232" s="10"/>
      <c r="GUD232" s="10"/>
      <c r="GUE232" s="21"/>
      <c r="GUF232" s="21"/>
      <c r="GUI232" s="21"/>
      <c r="GUJ232" s="15"/>
      <c r="GUK232" s="15"/>
      <c r="GUL232" s="15"/>
      <c r="GUM232" s="15"/>
      <c r="GUN232" s="15"/>
      <c r="GUO232" s="15"/>
      <c r="GUP232" s="15"/>
      <c r="GUQ232" s="15"/>
      <c r="GUR232" s="15"/>
      <c r="GUS232" s="15"/>
      <c r="GUT232" s="10"/>
      <c r="GUU232" s="10"/>
      <c r="GUV232" s="21"/>
      <c r="GUW232" s="21"/>
      <c r="GUZ232" s="21"/>
      <c r="GVA232" s="15"/>
      <c r="GVB232" s="15"/>
      <c r="GVC232" s="15"/>
      <c r="GVD232" s="15"/>
      <c r="GVE232" s="15"/>
      <c r="GVF232" s="15"/>
      <c r="GVG232" s="15"/>
      <c r="GVH232" s="15"/>
      <c r="GVI232" s="15"/>
      <c r="GVJ232" s="15"/>
      <c r="GVK232" s="10"/>
      <c r="GVL232" s="10"/>
      <c r="GVM232" s="21"/>
      <c r="GVN232" s="21"/>
      <c r="GVQ232" s="21"/>
      <c r="GVR232" s="15"/>
      <c r="GVS232" s="15"/>
      <c r="GVT232" s="15"/>
      <c r="GVU232" s="15"/>
      <c r="GVV232" s="15"/>
      <c r="GVW232" s="15"/>
      <c r="GVX232" s="15"/>
      <c r="GVY232" s="15"/>
      <c r="GVZ232" s="15"/>
      <c r="GWA232" s="15"/>
      <c r="GWB232" s="10"/>
      <c r="GWC232" s="10"/>
      <c r="GWD232" s="21"/>
      <c r="GWE232" s="21"/>
      <c r="GWH232" s="21"/>
      <c r="GWI232" s="15"/>
      <c r="GWJ232" s="15"/>
      <c r="GWK232" s="15"/>
      <c r="GWL232" s="15"/>
      <c r="GWM232" s="15"/>
      <c r="GWN232" s="15"/>
      <c r="GWO232" s="15"/>
      <c r="GWP232" s="15"/>
      <c r="GWQ232" s="15"/>
      <c r="GWR232" s="15"/>
      <c r="GWS232" s="10"/>
      <c r="GWT232" s="10"/>
      <c r="GWU232" s="21"/>
      <c r="GWV232" s="21"/>
      <c r="GWY232" s="21"/>
      <c r="GWZ232" s="15"/>
      <c r="GXA232" s="15"/>
      <c r="GXB232" s="15"/>
      <c r="GXC232" s="15"/>
      <c r="GXD232" s="15"/>
      <c r="GXE232" s="15"/>
      <c r="GXF232" s="15"/>
      <c r="GXG232" s="15"/>
      <c r="GXH232" s="15"/>
      <c r="GXI232" s="15"/>
      <c r="GXJ232" s="10"/>
      <c r="GXK232" s="10"/>
      <c r="GXL232" s="21"/>
      <c r="GXM232" s="21"/>
      <c r="GXP232" s="21"/>
      <c r="GXQ232" s="15"/>
      <c r="GXR232" s="15"/>
      <c r="GXS232" s="15"/>
      <c r="GXT232" s="15"/>
      <c r="GXU232" s="15"/>
      <c r="GXV232" s="15"/>
      <c r="GXW232" s="15"/>
      <c r="GXX232" s="15"/>
      <c r="GXY232" s="15"/>
      <c r="GXZ232" s="15"/>
      <c r="GYA232" s="10"/>
      <c r="GYB232" s="10"/>
      <c r="GYC232" s="21"/>
      <c r="GYD232" s="21"/>
      <c r="GYG232" s="21"/>
      <c r="GYH232" s="15"/>
      <c r="GYI232" s="15"/>
      <c r="GYJ232" s="15"/>
      <c r="GYK232" s="15"/>
      <c r="GYL232" s="15"/>
      <c r="GYM232" s="15"/>
      <c r="GYN232" s="15"/>
      <c r="GYO232" s="15"/>
      <c r="GYP232" s="15"/>
      <c r="GYQ232" s="15"/>
      <c r="GYR232" s="10"/>
      <c r="GYS232" s="10"/>
      <c r="GYT232" s="21"/>
      <c r="GYU232" s="21"/>
      <c r="GYX232" s="21"/>
      <c r="GYY232" s="15"/>
      <c r="GYZ232" s="15"/>
      <c r="GZA232" s="15"/>
      <c r="GZB232" s="15"/>
      <c r="GZC232" s="15"/>
      <c r="GZD232" s="15"/>
      <c r="GZE232" s="15"/>
      <c r="GZF232" s="15"/>
      <c r="GZG232" s="15"/>
      <c r="GZH232" s="15"/>
      <c r="GZI232" s="10"/>
      <c r="GZJ232" s="10"/>
      <c r="GZK232" s="21"/>
      <c r="GZL232" s="21"/>
      <c r="GZO232" s="21"/>
      <c r="GZP232" s="15"/>
      <c r="GZQ232" s="15"/>
      <c r="GZR232" s="15"/>
      <c r="GZS232" s="15"/>
      <c r="GZT232" s="15"/>
      <c r="GZU232" s="15"/>
      <c r="GZV232" s="15"/>
      <c r="GZW232" s="15"/>
      <c r="GZX232" s="15"/>
      <c r="GZY232" s="15"/>
      <c r="GZZ232" s="10"/>
      <c r="HAA232" s="10"/>
      <c r="HAB232" s="21"/>
      <c r="HAC232" s="21"/>
      <c r="HAF232" s="21"/>
      <c r="HAG232" s="15"/>
      <c r="HAH232" s="15"/>
      <c r="HAI232" s="15"/>
      <c r="HAJ232" s="15"/>
      <c r="HAK232" s="15"/>
      <c r="HAL232" s="15"/>
      <c r="HAM232" s="15"/>
      <c r="HAN232" s="15"/>
      <c r="HAO232" s="15"/>
      <c r="HAP232" s="15"/>
      <c r="HAQ232" s="10"/>
      <c r="HAR232" s="10"/>
      <c r="HAS232" s="21"/>
      <c r="HAT232" s="21"/>
      <c r="HAW232" s="21"/>
      <c r="HAX232" s="15"/>
      <c r="HAY232" s="15"/>
      <c r="HAZ232" s="15"/>
      <c r="HBA232" s="15"/>
      <c r="HBB232" s="15"/>
      <c r="HBC232" s="15"/>
      <c r="HBD232" s="15"/>
      <c r="HBE232" s="15"/>
      <c r="HBF232" s="15"/>
      <c r="HBG232" s="15"/>
      <c r="HBH232" s="10"/>
      <c r="HBI232" s="10"/>
      <c r="HBJ232" s="21"/>
      <c r="HBK232" s="21"/>
      <c r="HBN232" s="21"/>
      <c r="HBO232" s="15"/>
      <c r="HBP232" s="15"/>
      <c r="HBQ232" s="15"/>
      <c r="HBR232" s="15"/>
      <c r="HBS232" s="15"/>
      <c r="HBT232" s="15"/>
      <c r="HBU232" s="15"/>
      <c r="HBV232" s="15"/>
      <c r="HBW232" s="15"/>
      <c r="HBX232" s="15"/>
      <c r="HBY232" s="10"/>
      <c r="HBZ232" s="10"/>
      <c r="HCA232" s="21"/>
      <c r="HCB232" s="21"/>
      <c r="HCE232" s="21"/>
      <c r="HCF232" s="15"/>
      <c r="HCG232" s="15"/>
      <c r="HCH232" s="15"/>
      <c r="HCI232" s="15"/>
      <c r="HCJ232" s="15"/>
      <c r="HCK232" s="15"/>
      <c r="HCL232" s="15"/>
      <c r="HCM232" s="15"/>
      <c r="HCN232" s="15"/>
      <c r="HCO232" s="15"/>
      <c r="HCP232" s="10"/>
      <c r="HCQ232" s="10"/>
      <c r="HCR232" s="21"/>
      <c r="HCS232" s="21"/>
      <c r="HCV232" s="21"/>
      <c r="HCW232" s="15"/>
      <c r="HCX232" s="15"/>
      <c r="HCY232" s="15"/>
      <c r="HCZ232" s="15"/>
      <c r="HDA232" s="15"/>
      <c r="HDB232" s="15"/>
      <c r="HDC232" s="15"/>
      <c r="HDD232" s="15"/>
      <c r="HDE232" s="15"/>
      <c r="HDF232" s="15"/>
      <c r="HDG232" s="10"/>
      <c r="HDH232" s="10"/>
      <c r="HDI232" s="21"/>
      <c r="HDJ232" s="21"/>
      <c r="HDM232" s="21"/>
      <c r="HDN232" s="15"/>
      <c r="HDO232" s="15"/>
      <c r="HDP232" s="15"/>
      <c r="HDQ232" s="15"/>
      <c r="HDR232" s="15"/>
      <c r="HDS232" s="15"/>
      <c r="HDT232" s="15"/>
      <c r="HDU232" s="15"/>
      <c r="HDV232" s="15"/>
      <c r="HDW232" s="15"/>
      <c r="HDX232" s="10"/>
      <c r="HDY232" s="10"/>
      <c r="HDZ232" s="21"/>
      <c r="HEA232" s="21"/>
      <c r="HED232" s="21"/>
      <c r="HEE232" s="15"/>
      <c r="HEF232" s="15"/>
      <c r="HEG232" s="15"/>
      <c r="HEH232" s="15"/>
      <c r="HEI232" s="15"/>
      <c r="HEJ232" s="15"/>
      <c r="HEK232" s="15"/>
      <c r="HEL232" s="15"/>
      <c r="HEM232" s="15"/>
      <c r="HEN232" s="15"/>
      <c r="HEO232" s="10"/>
      <c r="HEP232" s="10"/>
      <c r="HEQ232" s="21"/>
      <c r="HER232" s="21"/>
      <c r="HEU232" s="21"/>
      <c r="HEV232" s="15"/>
      <c r="HEW232" s="15"/>
      <c r="HEX232" s="15"/>
      <c r="HEY232" s="15"/>
      <c r="HEZ232" s="15"/>
      <c r="HFA232" s="15"/>
      <c r="HFB232" s="15"/>
      <c r="HFC232" s="15"/>
      <c r="HFD232" s="15"/>
      <c r="HFE232" s="15"/>
      <c r="HFF232" s="10"/>
      <c r="HFG232" s="10"/>
      <c r="HFH232" s="21"/>
      <c r="HFI232" s="21"/>
      <c r="HFL232" s="21"/>
      <c r="HFM232" s="15"/>
      <c r="HFN232" s="15"/>
      <c r="HFO232" s="15"/>
      <c r="HFP232" s="15"/>
      <c r="HFQ232" s="15"/>
      <c r="HFR232" s="15"/>
      <c r="HFS232" s="15"/>
      <c r="HFT232" s="15"/>
      <c r="HFU232" s="15"/>
      <c r="HFV232" s="15"/>
      <c r="HFW232" s="10"/>
      <c r="HFX232" s="10"/>
      <c r="HFY232" s="21"/>
      <c r="HFZ232" s="21"/>
      <c r="HGC232" s="21"/>
      <c r="HGD232" s="15"/>
      <c r="HGE232" s="15"/>
      <c r="HGF232" s="15"/>
      <c r="HGG232" s="15"/>
      <c r="HGH232" s="15"/>
      <c r="HGI232" s="15"/>
      <c r="HGJ232" s="15"/>
      <c r="HGK232" s="15"/>
      <c r="HGL232" s="15"/>
      <c r="HGM232" s="15"/>
      <c r="HGN232" s="10"/>
      <c r="HGO232" s="10"/>
      <c r="HGP232" s="21"/>
      <c r="HGQ232" s="21"/>
      <c r="HGT232" s="21"/>
      <c r="HGU232" s="15"/>
      <c r="HGV232" s="15"/>
      <c r="HGW232" s="15"/>
      <c r="HGX232" s="15"/>
      <c r="HGY232" s="15"/>
      <c r="HGZ232" s="15"/>
      <c r="HHA232" s="15"/>
      <c r="HHB232" s="15"/>
      <c r="HHC232" s="15"/>
      <c r="HHD232" s="15"/>
      <c r="HHE232" s="10"/>
      <c r="HHF232" s="10"/>
      <c r="HHG232" s="21"/>
      <c r="HHH232" s="21"/>
      <c r="HHK232" s="21"/>
      <c r="HHL232" s="15"/>
      <c r="HHM232" s="15"/>
      <c r="HHN232" s="15"/>
      <c r="HHO232" s="15"/>
      <c r="HHP232" s="15"/>
      <c r="HHQ232" s="15"/>
      <c r="HHR232" s="15"/>
      <c r="HHS232" s="15"/>
      <c r="HHT232" s="15"/>
      <c r="HHU232" s="15"/>
      <c r="HHV232" s="10"/>
      <c r="HHW232" s="10"/>
      <c r="HHX232" s="21"/>
      <c r="HHY232" s="21"/>
      <c r="HIB232" s="21"/>
      <c r="HIC232" s="15"/>
      <c r="HID232" s="15"/>
      <c r="HIE232" s="15"/>
      <c r="HIF232" s="15"/>
      <c r="HIG232" s="15"/>
      <c r="HIH232" s="15"/>
      <c r="HII232" s="15"/>
      <c r="HIJ232" s="15"/>
      <c r="HIK232" s="15"/>
      <c r="HIL232" s="15"/>
      <c r="HIM232" s="10"/>
      <c r="HIN232" s="10"/>
      <c r="HIO232" s="21"/>
      <c r="HIP232" s="21"/>
      <c r="HIS232" s="21"/>
      <c r="HIT232" s="15"/>
      <c r="HIU232" s="15"/>
      <c r="HIV232" s="15"/>
      <c r="HIW232" s="15"/>
      <c r="HIX232" s="15"/>
      <c r="HIY232" s="15"/>
      <c r="HIZ232" s="15"/>
      <c r="HJA232" s="15"/>
      <c r="HJB232" s="15"/>
      <c r="HJC232" s="15"/>
      <c r="HJD232" s="10"/>
      <c r="HJE232" s="10"/>
      <c r="HJF232" s="21"/>
      <c r="HJG232" s="21"/>
      <c r="HJJ232" s="21"/>
      <c r="HJK232" s="15"/>
      <c r="HJL232" s="15"/>
      <c r="HJM232" s="15"/>
      <c r="HJN232" s="15"/>
      <c r="HJO232" s="15"/>
      <c r="HJP232" s="15"/>
      <c r="HJQ232" s="15"/>
      <c r="HJR232" s="15"/>
      <c r="HJS232" s="15"/>
      <c r="HJT232" s="15"/>
      <c r="HJU232" s="10"/>
      <c r="HJV232" s="10"/>
      <c r="HJW232" s="21"/>
      <c r="HJX232" s="21"/>
      <c r="HKA232" s="21"/>
      <c r="HKB232" s="15"/>
      <c r="HKC232" s="15"/>
      <c r="HKD232" s="15"/>
      <c r="HKE232" s="15"/>
      <c r="HKF232" s="15"/>
      <c r="HKG232" s="15"/>
      <c r="HKH232" s="15"/>
      <c r="HKI232" s="15"/>
      <c r="HKJ232" s="15"/>
      <c r="HKK232" s="15"/>
      <c r="HKL232" s="10"/>
      <c r="HKM232" s="10"/>
      <c r="HKN232" s="21"/>
      <c r="HKO232" s="21"/>
      <c r="HKR232" s="21"/>
      <c r="HKS232" s="15"/>
      <c r="HKT232" s="15"/>
      <c r="HKU232" s="15"/>
      <c r="HKV232" s="15"/>
      <c r="HKW232" s="15"/>
      <c r="HKX232" s="15"/>
      <c r="HKY232" s="15"/>
      <c r="HKZ232" s="15"/>
      <c r="HLA232" s="15"/>
      <c r="HLB232" s="15"/>
      <c r="HLC232" s="10"/>
      <c r="HLD232" s="10"/>
      <c r="HLE232" s="21"/>
      <c r="HLF232" s="21"/>
      <c r="HLI232" s="21"/>
      <c r="HLJ232" s="15"/>
      <c r="HLK232" s="15"/>
      <c r="HLL232" s="15"/>
      <c r="HLM232" s="15"/>
      <c r="HLN232" s="15"/>
      <c r="HLO232" s="15"/>
      <c r="HLP232" s="15"/>
      <c r="HLQ232" s="15"/>
      <c r="HLR232" s="15"/>
      <c r="HLS232" s="15"/>
      <c r="HLT232" s="10"/>
      <c r="HLU232" s="10"/>
      <c r="HLV232" s="21"/>
      <c r="HLW232" s="21"/>
      <c r="HLZ232" s="21"/>
      <c r="HMA232" s="15"/>
      <c r="HMB232" s="15"/>
      <c r="HMC232" s="15"/>
      <c r="HMD232" s="15"/>
      <c r="HME232" s="15"/>
      <c r="HMF232" s="15"/>
      <c r="HMG232" s="15"/>
      <c r="HMH232" s="15"/>
      <c r="HMI232" s="15"/>
      <c r="HMJ232" s="15"/>
      <c r="HMK232" s="10"/>
      <c r="HML232" s="10"/>
      <c r="HMM232" s="21"/>
      <c r="HMN232" s="21"/>
      <c r="HMQ232" s="21"/>
      <c r="HMR232" s="15"/>
      <c r="HMS232" s="15"/>
      <c r="HMT232" s="15"/>
      <c r="HMU232" s="15"/>
      <c r="HMV232" s="15"/>
      <c r="HMW232" s="15"/>
      <c r="HMX232" s="15"/>
      <c r="HMY232" s="15"/>
      <c r="HMZ232" s="15"/>
      <c r="HNA232" s="15"/>
      <c r="HNB232" s="10"/>
      <c r="HNC232" s="10"/>
      <c r="HND232" s="21"/>
      <c r="HNE232" s="21"/>
      <c r="HNH232" s="21"/>
      <c r="HNI232" s="15"/>
      <c r="HNJ232" s="15"/>
      <c r="HNK232" s="15"/>
      <c r="HNL232" s="15"/>
      <c r="HNM232" s="15"/>
      <c r="HNN232" s="15"/>
      <c r="HNO232" s="15"/>
      <c r="HNP232" s="15"/>
      <c r="HNQ232" s="15"/>
      <c r="HNR232" s="15"/>
      <c r="HNS232" s="10"/>
      <c r="HNT232" s="10"/>
      <c r="HNU232" s="21"/>
      <c r="HNV232" s="21"/>
      <c r="HNY232" s="21"/>
      <c r="HNZ232" s="15"/>
      <c r="HOA232" s="15"/>
      <c r="HOB232" s="15"/>
      <c r="HOC232" s="15"/>
      <c r="HOD232" s="15"/>
      <c r="HOE232" s="15"/>
      <c r="HOF232" s="15"/>
      <c r="HOG232" s="15"/>
      <c r="HOH232" s="15"/>
      <c r="HOI232" s="15"/>
      <c r="HOJ232" s="10"/>
      <c r="HOK232" s="10"/>
      <c r="HOL232" s="21"/>
      <c r="HOM232" s="21"/>
      <c r="HOP232" s="21"/>
      <c r="HOQ232" s="15"/>
      <c r="HOR232" s="15"/>
      <c r="HOS232" s="15"/>
      <c r="HOT232" s="15"/>
      <c r="HOU232" s="15"/>
      <c r="HOV232" s="15"/>
      <c r="HOW232" s="15"/>
      <c r="HOX232" s="15"/>
      <c r="HOY232" s="15"/>
      <c r="HOZ232" s="15"/>
      <c r="HPA232" s="10"/>
      <c r="HPB232" s="10"/>
      <c r="HPC232" s="21"/>
      <c r="HPD232" s="21"/>
      <c r="HPG232" s="21"/>
      <c r="HPH232" s="15"/>
      <c r="HPI232" s="15"/>
      <c r="HPJ232" s="15"/>
      <c r="HPK232" s="15"/>
      <c r="HPL232" s="15"/>
      <c r="HPM232" s="15"/>
      <c r="HPN232" s="15"/>
      <c r="HPO232" s="15"/>
      <c r="HPP232" s="15"/>
      <c r="HPQ232" s="15"/>
      <c r="HPR232" s="10"/>
      <c r="HPS232" s="10"/>
      <c r="HPT232" s="21"/>
      <c r="HPU232" s="21"/>
      <c r="HPX232" s="21"/>
      <c r="HPY232" s="15"/>
      <c r="HPZ232" s="15"/>
      <c r="HQA232" s="15"/>
      <c r="HQB232" s="15"/>
      <c r="HQC232" s="15"/>
      <c r="HQD232" s="15"/>
      <c r="HQE232" s="15"/>
      <c r="HQF232" s="15"/>
      <c r="HQG232" s="15"/>
      <c r="HQH232" s="15"/>
      <c r="HQI232" s="10"/>
      <c r="HQJ232" s="10"/>
      <c r="HQK232" s="21"/>
      <c r="HQL232" s="21"/>
      <c r="HQO232" s="21"/>
      <c r="HQP232" s="15"/>
      <c r="HQQ232" s="15"/>
      <c r="HQR232" s="15"/>
      <c r="HQS232" s="15"/>
      <c r="HQT232" s="15"/>
      <c r="HQU232" s="15"/>
      <c r="HQV232" s="15"/>
      <c r="HQW232" s="15"/>
      <c r="HQX232" s="15"/>
      <c r="HQY232" s="15"/>
      <c r="HQZ232" s="10"/>
      <c r="HRA232" s="10"/>
      <c r="HRB232" s="21"/>
      <c r="HRC232" s="21"/>
      <c r="HRF232" s="21"/>
      <c r="HRG232" s="15"/>
      <c r="HRH232" s="15"/>
      <c r="HRI232" s="15"/>
      <c r="HRJ232" s="15"/>
      <c r="HRK232" s="15"/>
      <c r="HRL232" s="15"/>
      <c r="HRM232" s="15"/>
      <c r="HRN232" s="15"/>
      <c r="HRO232" s="15"/>
      <c r="HRP232" s="15"/>
      <c r="HRQ232" s="10"/>
      <c r="HRR232" s="10"/>
      <c r="HRS232" s="21"/>
      <c r="HRT232" s="21"/>
      <c r="HRW232" s="21"/>
      <c r="HRX232" s="15"/>
      <c r="HRY232" s="15"/>
      <c r="HRZ232" s="15"/>
      <c r="HSA232" s="15"/>
      <c r="HSB232" s="15"/>
      <c r="HSC232" s="15"/>
      <c r="HSD232" s="15"/>
      <c r="HSE232" s="15"/>
      <c r="HSF232" s="15"/>
      <c r="HSG232" s="15"/>
      <c r="HSH232" s="10"/>
      <c r="HSI232" s="10"/>
      <c r="HSJ232" s="21"/>
      <c r="HSK232" s="21"/>
      <c r="HSN232" s="21"/>
      <c r="HSO232" s="15"/>
      <c r="HSP232" s="15"/>
      <c r="HSQ232" s="15"/>
      <c r="HSR232" s="15"/>
      <c r="HSS232" s="15"/>
      <c r="HST232" s="15"/>
      <c r="HSU232" s="15"/>
      <c r="HSV232" s="15"/>
      <c r="HSW232" s="15"/>
      <c r="HSX232" s="15"/>
      <c r="HSY232" s="10"/>
      <c r="HSZ232" s="10"/>
      <c r="HTA232" s="21"/>
      <c r="HTB232" s="21"/>
      <c r="HTE232" s="21"/>
      <c r="HTF232" s="15"/>
      <c r="HTG232" s="15"/>
      <c r="HTH232" s="15"/>
      <c r="HTI232" s="15"/>
      <c r="HTJ232" s="15"/>
      <c r="HTK232" s="15"/>
      <c r="HTL232" s="15"/>
      <c r="HTM232" s="15"/>
      <c r="HTN232" s="15"/>
      <c r="HTO232" s="15"/>
      <c r="HTP232" s="10"/>
      <c r="HTQ232" s="10"/>
      <c r="HTR232" s="21"/>
      <c r="HTS232" s="21"/>
      <c r="HTV232" s="21"/>
      <c r="HTW232" s="15"/>
      <c r="HTX232" s="15"/>
      <c r="HTY232" s="15"/>
      <c r="HTZ232" s="15"/>
      <c r="HUA232" s="15"/>
      <c r="HUB232" s="15"/>
      <c r="HUC232" s="15"/>
      <c r="HUD232" s="15"/>
      <c r="HUE232" s="15"/>
      <c r="HUF232" s="15"/>
      <c r="HUG232" s="10"/>
      <c r="HUH232" s="10"/>
      <c r="HUI232" s="21"/>
      <c r="HUJ232" s="21"/>
      <c r="HUM232" s="21"/>
      <c r="HUN232" s="15"/>
      <c r="HUO232" s="15"/>
      <c r="HUP232" s="15"/>
      <c r="HUQ232" s="15"/>
      <c r="HUR232" s="15"/>
      <c r="HUS232" s="15"/>
      <c r="HUT232" s="15"/>
      <c r="HUU232" s="15"/>
      <c r="HUV232" s="15"/>
      <c r="HUW232" s="15"/>
      <c r="HUX232" s="10"/>
      <c r="HUY232" s="10"/>
      <c r="HUZ232" s="21"/>
      <c r="HVA232" s="21"/>
      <c r="HVD232" s="21"/>
      <c r="HVE232" s="15"/>
      <c r="HVF232" s="15"/>
      <c r="HVG232" s="15"/>
      <c r="HVH232" s="15"/>
      <c r="HVI232" s="15"/>
      <c r="HVJ232" s="15"/>
      <c r="HVK232" s="15"/>
      <c r="HVL232" s="15"/>
      <c r="HVM232" s="15"/>
      <c r="HVN232" s="15"/>
      <c r="HVO232" s="10"/>
      <c r="HVP232" s="10"/>
      <c r="HVQ232" s="21"/>
      <c r="HVR232" s="21"/>
      <c r="HVU232" s="21"/>
      <c r="HVV232" s="15"/>
      <c r="HVW232" s="15"/>
      <c r="HVX232" s="15"/>
      <c r="HVY232" s="15"/>
      <c r="HVZ232" s="15"/>
      <c r="HWA232" s="15"/>
      <c r="HWB232" s="15"/>
      <c r="HWC232" s="15"/>
      <c r="HWD232" s="15"/>
      <c r="HWE232" s="15"/>
      <c r="HWF232" s="10"/>
      <c r="HWG232" s="10"/>
      <c r="HWH232" s="21"/>
      <c r="HWI232" s="21"/>
      <c r="HWL232" s="21"/>
      <c r="HWM232" s="15"/>
      <c r="HWN232" s="15"/>
      <c r="HWO232" s="15"/>
      <c r="HWP232" s="15"/>
      <c r="HWQ232" s="15"/>
      <c r="HWR232" s="15"/>
      <c r="HWS232" s="15"/>
      <c r="HWT232" s="15"/>
      <c r="HWU232" s="15"/>
      <c r="HWV232" s="15"/>
      <c r="HWW232" s="10"/>
      <c r="HWX232" s="10"/>
      <c r="HWY232" s="21"/>
      <c r="HWZ232" s="21"/>
      <c r="HXC232" s="21"/>
      <c r="HXD232" s="15"/>
      <c r="HXE232" s="15"/>
      <c r="HXF232" s="15"/>
      <c r="HXG232" s="15"/>
      <c r="HXH232" s="15"/>
      <c r="HXI232" s="15"/>
      <c r="HXJ232" s="15"/>
      <c r="HXK232" s="15"/>
      <c r="HXL232" s="15"/>
      <c r="HXM232" s="15"/>
      <c r="HXN232" s="10"/>
      <c r="HXO232" s="10"/>
      <c r="HXP232" s="21"/>
      <c r="HXQ232" s="21"/>
      <c r="HXT232" s="21"/>
      <c r="HXU232" s="15"/>
      <c r="HXV232" s="15"/>
      <c r="HXW232" s="15"/>
      <c r="HXX232" s="15"/>
      <c r="HXY232" s="15"/>
      <c r="HXZ232" s="15"/>
      <c r="HYA232" s="15"/>
      <c r="HYB232" s="15"/>
      <c r="HYC232" s="15"/>
      <c r="HYD232" s="15"/>
      <c r="HYE232" s="10"/>
      <c r="HYF232" s="10"/>
      <c r="HYG232" s="21"/>
      <c r="HYH232" s="21"/>
      <c r="HYK232" s="21"/>
      <c r="HYL232" s="15"/>
      <c r="HYM232" s="15"/>
      <c r="HYN232" s="15"/>
      <c r="HYO232" s="15"/>
      <c r="HYP232" s="15"/>
      <c r="HYQ232" s="15"/>
      <c r="HYR232" s="15"/>
      <c r="HYS232" s="15"/>
      <c r="HYT232" s="15"/>
      <c r="HYU232" s="15"/>
      <c r="HYV232" s="10"/>
      <c r="HYW232" s="10"/>
      <c r="HYX232" s="21"/>
      <c r="HYY232" s="21"/>
      <c r="HZB232" s="21"/>
      <c r="HZC232" s="15"/>
      <c r="HZD232" s="15"/>
      <c r="HZE232" s="15"/>
      <c r="HZF232" s="15"/>
      <c r="HZG232" s="15"/>
      <c r="HZH232" s="15"/>
      <c r="HZI232" s="15"/>
      <c r="HZJ232" s="15"/>
      <c r="HZK232" s="15"/>
      <c r="HZL232" s="15"/>
      <c r="HZM232" s="10"/>
      <c r="HZN232" s="10"/>
      <c r="HZO232" s="21"/>
      <c r="HZP232" s="21"/>
      <c r="HZS232" s="21"/>
      <c r="HZT232" s="15"/>
      <c r="HZU232" s="15"/>
      <c r="HZV232" s="15"/>
      <c r="HZW232" s="15"/>
      <c r="HZX232" s="15"/>
      <c r="HZY232" s="15"/>
      <c r="HZZ232" s="15"/>
      <c r="IAA232" s="15"/>
      <c r="IAB232" s="15"/>
      <c r="IAC232" s="15"/>
      <c r="IAD232" s="10"/>
      <c r="IAE232" s="10"/>
      <c r="IAF232" s="21"/>
      <c r="IAG232" s="21"/>
      <c r="IAJ232" s="21"/>
      <c r="IAK232" s="15"/>
      <c r="IAL232" s="15"/>
      <c r="IAM232" s="15"/>
      <c r="IAN232" s="15"/>
      <c r="IAO232" s="15"/>
      <c r="IAP232" s="15"/>
      <c r="IAQ232" s="15"/>
      <c r="IAR232" s="15"/>
      <c r="IAS232" s="15"/>
      <c r="IAT232" s="15"/>
      <c r="IAU232" s="10"/>
      <c r="IAV232" s="10"/>
      <c r="IAW232" s="21"/>
      <c r="IAX232" s="21"/>
      <c r="IBA232" s="21"/>
      <c r="IBB232" s="15"/>
      <c r="IBC232" s="15"/>
      <c r="IBD232" s="15"/>
      <c r="IBE232" s="15"/>
      <c r="IBF232" s="15"/>
      <c r="IBG232" s="15"/>
      <c r="IBH232" s="15"/>
      <c r="IBI232" s="15"/>
      <c r="IBJ232" s="15"/>
      <c r="IBK232" s="15"/>
      <c r="IBL232" s="10"/>
      <c r="IBM232" s="10"/>
      <c r="IBN232" s="21"/>
      <c r="IBO232" s="21"/>
      <c r="IBR232" s="21"/>
      <c r="IBS232" s="15"/>
      <c r="IBT232" s="15"/>
      <c r="IBU232" s="15"/>
      <c r="IBV232" s="15"/>
      <c r="IBW232" s="15"/>
      <c r="IBX232" s="15"/>
      <c r="IBY232" s="15"/>
      <c r="IBZ232" s="15"/>
      <c r="ICA232" s="15"/>
      <c r="ICB232" s="15"/>
      <c r="ICC232" s="10"/>
      <c r="ICD232" s="10"/>
      <c r="ICE232" s="21"/>
      <c r="ICF232" s="21"/>
      <c r="ICI232" s="21"/>
      <c r="ICJ232" s="15"/>
      <c r="ICK232" s="15"/>
      <c r="ICL232" s="15"/>
      <c r="ICM232" s="15"/>
      <c r="ICN232" s="15"/>
      <c r="ICO232" s="15"/>
      <c r="ICP232" s="15"/>
      <c r="ICQ232" s="15"/>
      <c r="ICR232" s="15"/>
      <c r="ICS232" s="15"/>
      <c r="ICT232" s="10"/>
      <c r="ICU232" s="10"/>
      <c r="ICV232" s="21"/>
      <c r="ICW232" s="21"/>
      <c r="ICZ232" s="21"/>
      <c r="IDA232" s="15"/>
      <c r="IDB232" s="15"/>
      <c r="IDC232" s="15"/>
      <c r="IDD232" s="15"/>
      <c r="IDE232" s="15"/>
      <c r="IDF232" s="15"/>
      <c r="IDG232" s="15"/>
      <c r="IDH232" s="15"/>
      <c r="IDI232" s="15"/>
      <c r="IDJ232" s="15"/>
      <c r="IDK232" s="10"/>
      <c r="IDL232" s="10"/>
      <c r="IDM232" s="21"/>
      <c r="IDN232" s="21"/>
      <c r="IDQ232" s="21"/>
      <c r="IDR232" s="15"/>
      <c r="IDS232" s="15"/>
      <c r="IDT232" s="15"/>
      <c r="IDU232" s="15"/>
      <c r="IDV232" s="15"/>
      <c r="IDW232" s="15"/>
      <c r="IDX232" s="15"/>
      <c r="IDY232" s="15"/>
      <c r="IDZ232" s="15"/>
      <c r="IEA232" s="15"/>
      <c r="IEB232" s="10"/>
      <c r="IEC232" s="10"/>
      <c r="IED232" s="21"/>
      <c r="IEE232" s="21"/>
      <c r="IEH232" s="21"/>
      <c r="IEI232" s="15"/>
      <c r="IEJ232" s="15"/>
      <c r="IEK232" s="15"/>
      <c r="IEL232" s="15"/>
      <c r="IEM232" s="15"/>
      <c r="IEN232" s="15"/>
      <c r="IEO232" s="15"/>
      <c r="IEP232" s="15"/>
      <c r="IEQ232" s="15"/>
      <c r="IER232" s="15"/>
      <c r="IES232" s="10"/>
      <c r="IET232" s="10"/>
      <c r="IEU232" s="21"/>
      <c r="IEV232" s="21"/>
      <c r="IEY232" s="21"/>
      <c r="IEZ232" s="15"/>
      <c r="IFA232" s="15"/>
      <c r="IFB232" s="15"/>
      <c r="IFC232" s="15"/>
      <c r="IFD232" s="15"/>
      <c r="IFE232" s="15"/>
      <c r="IFF232" s="15"/>
      <c r="IFG232" s="15"/>
      <c r="IFH232" s="15"/>
      <c r="IFI232" s="15"/>
      <c r="IFJ232" s="10"/>
      <c r="IFK232" s="10"/>
      <c r="IFL232" s="21"/>
      <c r="IFM232" s="21"/>
      <c r="IFP232" s="21"/>
      <c r="IFQ232" s="15"/>
      <c r="IFR232" s="15"/>
      <c r="IFS232" s="15"/>
      <c r="IFT232" s="15"/>
      <c r="IFU232" s="15"/>
      <c r="IFV232" s="15"/>
      <c r="IFW232" s="15"/>
      <c r="IFX232" s="15"/>
      <c r="IFY232" s="15"/>
      <c r="IFZ232" s="15"/>
      <c r="IGA232" s="10"/>
      <c r="IGB232" s="10"/>
      <c r="IGC232" s="21"/>
      <c r="IGD232" s="21"/>
      <c r="IGG232" s="21"/>
      <c r="IGH232" s="15"/>
      <c r="IGI232" s="15"/>
      <c r="IGJ232" s="15"/>
      <c r="IGK232" s="15"/>
      <c r="IGL232" s="15"/>
      <c r="IGM232" s="15"/>
      <c r="IGN232" s="15"/>
      <c r="IGO232" s="15"/>
      <c r="IGP232" s="15"/>
      <c r="IGQ232" s="15"/>
      <c r="IGR232" s="10"/>
      <c r="IGS232" s="10"/>
      <c r="IGT232" s="21"/>
      <c r="IGU232" s="21"/>
      <c r="IGX232" s="21"/>
      <c r="IGY232" s="15"/>
      <c r="IGZ232" s="15"/>
      <c r="IHA232" s="15"/>
      <c r="IHB232" s="15"/>
      <c r="IHC232" s="15"/>
      <c r="IHD232" s="15"/>
      <c r="IHE232" s="15"/>
      <c r="IHF232" s="15"/>
      <c r="IHG232" s="15"/>
      <c r="IHH232" s="15"/>
      <c r="IHI232" s="10"/>
      <c r="IHJ232" s="10"/>
      <c r="IHK232" s="21"/>
      <c r="IHL232" s="21"/>
      <c r="IHO232" s="21"/>
      <c r="IHP232" s="15"/>
      <c r="IHQ232" s="15"/>
      <c r="IHR232" s="15"/>
      <c r="IHS232" s="15"/>
      <c r="IHT232" s="15"/>
      <c r="IHU232" s="15"/>
      <c r="IHV232" s="15"/>
      <c r="IHW232" s="15"/>
      <c r="IHX232" s="15"/>
      <c r="IHY232" s="15"/>
      <c r="IHZ232" s="10"/>
      <c r="IIA232" s="10"/>
      <c r="IIB232" s="21"/>
      <c r="IIC232" s="21"/>
      <c r="IIF232" s="21"/>
      <c r="IIG232" s="15"/>
      <c r="IIH232" s="15"/>
      <c r="III232" s="15"/>
      <c r="IIJ232" s="15"/>
      <c r="IIK232" s="15"/>
      <c r="IIL232" s="15"/>
      <c r="IIM232" s="15"/>
      <c r="IIN232" s="15"/>
      <c r="IIO232" s="15"/>
      <c r="IIP232" s="15"/>
      <c r="IIQ232" s="10"/>
      <c r="IIR232" s="10"/>
      <c r="IIS232" s="21"/>
      <c r="IIT232" s="21"/>
      <c r="IIW232" s="21"/>
      <c r="IIX232" s="15"/>
      <c r="IIY232" s="15"/>
      <c r="IIZ232" s="15"/>
      <c r="IJA232" s="15"/>
      <c r="IJB232" s="15"/>
      <c r="IJC232" s="15"/>
      <c r="IJD232" s="15"/>
      <c r="IJE232" s="15"/>
      <c r="IJF232" s="15"/>
      <c r="IJG232" s="15"/>
      <c r="IJH232" s="10"/>
      <c r="IJI232" s="10"/>
      <c r="IJJ232" s="21"/>
      <c r="IJK232" s="21"/>
      <c r="IJN232" s="21"/>
      <c r="IJO232" s="15"/>
      <c r="IJP232" s="15"/>
      <c r="IJQ232" s="15"/>
      <c r="IJR232" s="15"/>
      <c r="IJS232" s="15"/>
      <c r="IJT232" s="15"/>
      <c r="IJU232" s="15"/>
      <c r="IJV232" s="15"/>
      <c r="IJW232" s="15"/>
      <c r="IJX232" s="15"/>
      <c r="IJY232" s="10"/>
      <c r="IJZ232" s="10"/>
      <c r="IKA232" s="21"/>
      <c r="IKB232" s="21"/>
      <c r="IKE232" s="21"/>
      <c r="IKF232" s="15"/>
      <c r="IKG232" s="15"/>
      <c r="IKH232" s="15"/>
      <c r="IKI232" s="15"/>
      <c r="IKJ232" s="15"/>
      <c r="IKK232" s="15"/>
      <c r="IKL232" s="15"/>
      <c r="IKM232" s="15"/>
      <c r="IKN232" s="15"/>
      <c r="IKO232" s="15"/>
      <c r="IKP232" s="10"/>
      <c r="IKQ232" s="10"/>
      <c r="IKR232" s="21"/>
      <c r="IKS232" s="21"/>
      <c r="IKV232" s="21"/>
      <c r="IKW232" s="15"/>
      <c r="IKX232" s="15"/>
      <c r="IKY232" s="15"/>
      <c r="IKZ232" s="15"/>
      <c r="ILA232" s="15"/>
      <c r="ILB232" s="15"/>
      <c r="ILC232" s="15"/>
      <c r="ILD232" s="15"/>
      <c r="ILE232" s="15"/>
      <c r="ILF232" s="15"/>
      <c r="ILG232" s="10"/>
      <c r="ILH232" s="10"/>
      <c r="ILI232" s="21"/>
      <c r="ILJ232" s="21"/>
      <c r="ILM232" s="21"/>
      <c r="ILN232" s="15"/>
      <c r="ILO232" s="15"/>
      <c r="ILP232" s="15"/>
      <c r="ILQ232" s="15"/>
      <c r="ILR232" s="15"/>
      <c r="ILS232" s="15"/>
      <c r="ILT232" s="15"/>
      <c r="ILU232" s="15"/>
      <c r="ILV232" s="15"/>
      <c r="ILW232" s="15"/>
      <c r="ILX232" s="10"/>
      <c r="ILY232" s="10"/>
      <c r="ILZ232" s="21"/>
      <c r="IMA232" s="21"/>
      <c r="IMD232" s="21"/>
      <c r="IME232" s="15"/>
      <c r="IMF232" s="15"/>
      <c r="IMG232" s="15"/>
      <c r="IMH232" s="15"/>
      <c r="IMI232" s="15"/>
      <c r="IMJ232" s="15"/>
      <c r="IMK232" s="15"/>
      <c r="IML232" s="15"/>
      <c r="IMM232" s="15"/>
      <c r="IMN232" s="15"/>
      <c r="IMO232" s="10"/>
      <c r="IMP232" s="10"/>
      <c r="IMQ232" s="21"/>
      <c r="IMR232" s="21"/>
      <c r="IMU232" s="21"/>
      <c r="IMV232" s="15"/>
      <c r="IMW232" s="15"/>
      <c r="IMX232" s="15"/>
      <c r="IMY232" s="15"/>
      <c r="IMZ232" s="15"/>
      <c r="INA232" s="15"/>
      <c r="INB232" s="15"/>
      <c r="INC232" s="15"/>
      <c r="IND232" s="15"/>
      <c r="INE232" s="15"/>
      <c r="INF232" s="10"/>
      <c r="ING232" s="10"/>
      <c r="INH232" s="21"/>
      <c r="INI232" s="21"/>
      <c r="INL232" s="21"/>
      <c r="INM232" s="15"/>
      <c r="INN232" s="15"/>
      <c r="INO232" s="15"/>
      <c r="INP232" s="15"/>
      <c r="INQ232" s="15"/>
      <c r="INR232" s="15"/>
      <c r="INS232" s="15"/>
      <c r="INT232" s="15"/>
      <c r="INU232" s="15"/>
      <c r="INV232" s="15"/>
      <c r="INW232" s="10"/>
      <c r="INX232" s="10"/>
      <c r="INY232" s="21"/>
      <c r="INZ232" s="21"/>
      <c r="IOC232" s="21"/>
      <c r="IOD232" s="15"/>
      <c r="IOE232" s="15"/>
      <c r="IOF232" s="15"/>
      <c r="IOG232" s="15"/>
      <c r="IOH232" s="15"/>
      <c r="IOI232" s="15"/>
      <c r="IOJ232" s="15"/>
      <c r="IOK232" s="15"/>
      <c r="IOL232" s="15"/>
      <c r="IOM232" s="15"/>
      <c r="ION232" s="10"/>
      <c r="IOO232" s="10"/>
      <c r="IOP232" s="21"/>
      <c r="IOQ232" s="21"/>
      <c r="IOT232" s="21"/>
      <c r="IOU232" s="15"/>
      <c r="IOV232" s="15"/>
      <c r="IOW232" s="15"/>
      <c r="IOX232" s="15"/>
      <c r="IOY232" s="15"/>
      <c r="IOZ232" s="15"/>
      <c r="IPA232" s="15"/>
      <c r="IPB232" s="15"/>
      <c r="IPC232" s="15"/>
      <c r="IPD232" s="15"/>
      <c r="IPE232" s="10"/>
      <c r="IPF232" s="10"/>
      <c r="IPG232" s="21"/>
      <c r="IPH232" s="21"/>
      <c r="IPK232" s="21"/>
      <c r="IPL232" s="15"/>
      <c r="IPM232" s="15"/>
      <c r="IPN232" s="15"/>
      <c r="IPO232" s="15"/>
      <c r="IPP232" s="15"/>
      <c r="IPQ232" s="15"/>
      <c r="IPR232" s="15"/>
      <c r="IPS232" s="15"/>
      <c r="IPT232" s="15"/>
      <c r="IPU232" s="15"/>
      <c r="IPV232" s="10"/>
      <c r="IPW232" s="10"/>
      <c r="IPX232" s="21"/>
      <c r="IPY232" s="21"/>
      <c r="IQB232" s="21"/>
      <c r="IQC232" s="15"/>
      <c r="IQD232" s="15"/>
      <c r="IQE232" s="15"/>
      <c r="IQF232" s="15"/>
      <c r="IQG232" s="15"/>
      <c r="IQH232" s="15"/>
      <c r="IQI232" s="15"/>
      <c r="IQJ232" s="15"/>
      <c r="IQK232" s="15"/>
      <c r="IQL232" s="15"/>
      <c r="IQM232" s="10"/>
      <c r="IQN232" s="10"/>
      <c r="IQO232" s="21"/>
      <c r="IQP232" s="21"/>
      <c r="IQS232" s="21"/>
      <c r="IQT232" s="15"/>
      <c r="IQU232" s="15"/>
      <c r="IQV232" s="15"/>
      <c r="IQW232" s="15"/>
      <c r="IQX232" s="15"/>
      <c r="IQY232" s="15"/>
      <c r="IQZ232" s="15"/>
      <c r="IRA232" s="15"/>
      <c r="IRB232" s="15"/>
      <c r="IRC232" s="15"/>
      <c r="IRD232" s="10"/>
      <c r="IRE232" s="10"/>
      <c r="IRF232" s="21"/>
      <c r="IRG232" s="21"/>
      <c r="IRJ232" s="21"/>
      <c r="IRK232" s="15"/>
      <c r="IRL232" s="15"/>
      <c r="IRM232" s="15"/>
      <c r="IRN232" s="15"/>
      <c r="IRO232" s="15"/>
      <c r="IRP232" s="15"/>
      <c r="IRQ232" s="15"/>
      <c r="IRR232" s="15"/>
      <c r="IRS232" s="15"/>
      <c r="IRT232" s="15"/>
      <c r="IRU232" s="10"/>
      <c r="IRV232" s="10"/>
      <c r="IRW232" s="21"/>
      <c r="IRX232" s="21"/>
      <c r="ISA232" s="21"/>
      <c r="ISB232" s="15"/>
      <c r="ISC232" s="15"/>
      <c r="ISD232" s="15"/>
      <c r="ISE232" s="15"/>
      <c r="ISF232" s="15"/>
      <c r="ISG232" s="15"/>
      <c r="ISH232" s="15"/>
      <c r="ISI232" s="15"/>
      <c r="ISJ232" s="15"/>
      <c r="ISK232" s="15"/>
      <c r="ISL232" s="10"/>
      <c r="ISM232" s="10"/>
      <c r="ISN232" s="21"/>
      <c r="ISO232" s="21"/>
      <c r="ISR232" s="21"/>
      <c r="ISS232" s="15"/>
      <c r="IST232" s="15"/>
      <c r="ISU232" s="15"/>
      <c r="ISV232" s="15"/>
      <c r="ISW232" s="15"/>
      <c r="ISX232" s="15"/>
      <c r="ISY232" s="15"/>
      <c r="ISZ232" s="15"/>
      <c r="ITA232" s="15"/>
      <c r="ITB232" s="15"/>
      <c r="ITC232" s="10"/>
      <c r="ITD232" s="10"/>
      <c r="ITE232" s="21"/>
      <c r="ITF232" s="21"/>
      <c r="ITI232" s="21"/>
      <c r="ITJ232" s="15"/>
      <c r="ITK232" s="15"/>
      <c r="ITL232" s="15"/>
      <c r="ITM232" s="15"/>
      <c r="ITN232" s="15"/>
      <c r="ITO232" s="15"/>
      <c r="ITP232" s="15"/>
      <c r="ITQ232" s="15"/>
      <c r="ITR232" s="15"/>
      <c r="ITS232" s="15"/>
      <c r="ITT232" s="10"/>
      <c r="ITU232" s="10"/>
      <c r="ITV232" s="21"/>
      <c r="ITW232" s="21"/>
      <c r="ITZ232" s="21"/>
      <c r="IUA232" s="15"/>
      <c r="IUB232" s="15"/>
      <c r="IUC232" s="15"/>
      <c r="IUD232" s="15"/>
      <c r="IUE232" s="15"/>
      <c r="IUF232" s="15"/>
      <c r="IUG232" s="15"/>
      <c r="IUH232" s="15"/>
      <c r="IUI232" s="15"/>
      <c r="IUJ232" s="15"/>
      <c r="IUK232" s="10"/>
      <c r="IUL232" s="10"/>
      <c r="IUM232" s="21"/>
      <c r="IUN232" s="21"/>
      <c r="IUQ232" s="21"/>
      <c r="IUR232" s="15"/>
      <c r="IUS232" s="15"/>
      <c r="IUT232" s="15"/>
      <c r="IUU232" s="15"/>
      <c r="IUV232" s="15"/>
      <c r="IUW232" s="15"/>
      <c r="IUX232" s="15"/>
      <c r="IUY232" s="15"/>
      <c r="IUZ232" s="15"/>
      <c r="IVA232" s="15"/>
      <c r="IVB232" s="10"/>
      <c r="IVC232" s="10"/>
      <c r="IVD232" s="21"/>
      <c r="IVE232" s="21"/>
      <c r="IVH232" s="21"/>
      <c r="IVI232" s="15"/>
      <c r="IVJ232" s="15"/>
      <c r="IVK232" s="15"/>
      <c r="IVL232" s="15"/>
      <c r="IVM232" s="15"/>
      <c r="IVN232" s="15"/>
      <c r="IVO232" s="15"/>
      <c r="IVP232" s="15"/>
      <c r="IVQ232" s="15"/>
      <c r="IVR232" s="15"/>
      <c r="IVS232" s="10"/>
      <c r="IVT232" s="10"/>
      <c r="IVU232" s="21"/>
      <c r="IVV232" s="21"/>
      <c r="IVY232" s="21"/>
      <c r="IVZ232" s="15"/>
      <c r="IWA232" s="15"/>
      <c r="IWB232" s="15"/>
      <c r="IWC232" s="15"/>
      <c r="IWD232" s="15"/>
      <c r="IWE232" s="15"/>
      <c r="IWF232" s="15"/>
      <c r="IWG232" s="15"/>
      <c r="IWH232" s="15"/>
      <c r="IWI232" s="15"/>
      <c r="IWJ232" s="10"/>
      <c r="IWK232" s="10"/>
      <c r="IWL232" s="21"/>
      <c r="IWM232" s="21"/>
      <c r="IWP232" s="21"/>
      <c r="IWQ232" s="15"/>
      <c r="IWR232" s="15"/>
      <c r="IWS232" s="15"/>
      <c r="IWT232" s="15"/>
      <c r="IWU232" s="15"/>
      <c r="IWV232" s="15"/>
      <c r="IWW232" s="15"/>
      <c r="IWX232" s="15"/>
      <c r="IWY232" s="15"/>
      <c r="IWZ232" s="15"/>
      <c r="IXA232" s="10"/>
      <c r="IXB232" s="10"/>
      <c r="IXC232" s="21"/>
      <c r="IXD232" s="21"/>
      <c r="IXG232" s="21"/>
      <c r="IXH232" s="15"/>
      <c r="IXI232" s="15"/>
      <c r="IXJ232" s="15"/>
      <c r="IXK232" s="15"/>
      <c r="IXL232" s="15"/>
      <c r="IXM232" s="15"/>
      <c r="IXN232" s="15"/>
      <c r="IXO232" s="15"/>
      <c r="IXP232" s="15"/>
      <c r="IXQ232" s="15"/>
      <c r="IXR232" s="10"/>
      <c r="IXS232" s="10"/>
      <c r="IXT232" s="21"/>
      <c r="IXU232" s="21"/>
      <c r="IXX232" s="21"/>
      <c r="IXY232" s="15"/>
      <c r="IXZ232" s="15"/>
      <c r="IYA232" s="15"/>
      <c r="IYB232" s="15"/>
      <c r="IYC232" s="15"/>
      <c r="IYD232" s="15"/>
      <c r="IYE232" s="15"/>
      <c r="IYF232" s="15"/>
      <c r="IYG232" s="15"/>
      <c r="IYH232" s="15"/>
      <c r="IYI232" s="10"/>
      <c r="IYJ232" s="10"/>
      <c r="IYK232" s="21"/>
      <c r="IYL232" s="21"/>
      <c r="IYO232" s="21"/>
      <c r="IYP232" s="15"/>
      <c r="IYQ232" s="15"/>
      <c r="IYR232" s="15"/>
      <c r="IYS232" s="15"/>
      <c r="IYT232" s="15"/>
      <c r="IYU232" s="15"/>
      <c r="IYV232" s="15"/>
      <c r="IYW232" s="15"/>
      <c r="IYX232" s="15"/>
      <c r="IYY232" s="15"/>
      <c r="IYZ232" s="10"/>
      <c r="IZA232" s="10"/>
      <c r="IZB232" s="21"/>
      <c r="IZC232" s="21"/>
      <c r="IZF232" s="21"/>
      <c r="IZG232" s="15"/>
      <c r="IZH232" s="15"/>
      <c r="IZI232" s="15"/>
      <c r="IZJ232" s="15"/>
      <c r="IZK232" s="15"/>
      <c r="IZL232" s="15"/>
      <c r="IZM232" s="15"/>
      <c r="IZN232" s="15"/>
      <c r="IZO232" s="15"/>
      <c r="IZP232" s="15"/>
      <c r="IZQ232" s="10"/>
      <c r="IZR232" s="10"/>
      <c r="IZS232" s="21"/>
      <c r="IZT232" s="21"/>
      <c r="IZW232" s="21"/>
      <c r="IZX232" s="15"/>
      <c r="IZY232" s="15"/>
      <c r="IZZ232" s="15"/>
      <c r="JAA232" s="15"/>
      <c r="JAB232" s="15"/>
      <c r="JAC232" s="15"/>
      <c r="JAD232" s="15"/>
      <c r="JAE232" s="15"/>
      <c r="JAF232" s="15"/>
      <c r="JAG232" s="15"/>
      <c r="JAH232" s="10"/>
      <c r="JAI232" s="10"/>
      <c r="JAJ232" s="21"/>
      <c r="JAK232" s="21"/>
      <c r="JAN232" s="21"/>
      <c r="JAO232" s="15"/>
      <c r="JAP232" s="15"/>
      <c r="JAQ232" s="15"/>
      <c r="JAR232" s="15"/>
      <c r="JAS232" s="15"/>
      <c r="JAT232" s="15"/>
      <c r="JAU232" s="15"/>
      <c r="JAV232" s="15"/>
      <c r="JAW232" s="15"/>
      <c r="JAX232" s="15"/>
      <c r="JAY232" s="10"/>
      <c r="JAZ232" s="10"/>
      <c r="JBA232" s="21"/>
      <c r="JBB232" s="21"/>
      <c r="JBE232" s="21"/>
      <c r="JBF232" s="15"/>
      <c r="JBG232" s="15"/>
      <c r="JBH232" s="15"/>
      <c r="JBI232" s="15"/>
      <c r="JBJ232" s="15"/>
      <c r="JBK232" s="15"/>
      <c r="JBL232" s="15"/>
      <c r="JBM232" s="15"/>
      <c r="JBN232" s="15"/>
      <c r="JBO232" s="15"/>
      <c r="JBP232" s="10"/>
      <c r="JBQ232" s="10"/>
      <c r="JBR232" s="21"/>
      <c r="JBS232" s="21"/>
      <c r="JBV232" s="21"/>
      <c r="JBW232" s="15"/>
      <c r="JBX232" s="15"/>
      <c r="JBY232" s="15"/>
      <c r="JBZ232" s="15"/>
      <c r="JCA232" s="15"/>
      <c r="JCB232" s="15"/>
      <c r="JCC232" s="15"/>
      <c r="JCD232" s="15"/>
      <c r="JCE232" s="15"/>
      <c r="JCF232" s="15"/>
      <c r="JCG232" s="10"/>
      <c r="JCH232" s="10"/>
      <c r="JCI232" s="21"/>
      <c r="JCJ232" s="21"/>
      <c r="JCM232" s="21"/>
      <c r="JCN232" s="15"/>
      <c r="JCO232" s="15"/>
      <c r="JCP232" s="15"/>
      <c r="JCQ232" s="15"/>
      <c r="JCR232" s="15"/>
      <c r="JCS232" s="15"/>
      <c r="JCT232" s="15"/>
      <c r="JCU232" s="15"/>
      <c r="JCV232" s="15"/>
      <c r="JCW232" s="15"/>
      <c r="JCX232" s="10"/>
      <c r="JCY232" s="10"/>
      <c r="JCZ232" s="21"/>
      <c r="JDA232" s="21"/>
      <c r="JDD232" s="21"/>
      <c r="JDE232" s="15"/>
      <c r="JDF232" s="15"/>
      <c r="JDG232" s="15"/>
      <c r="JDH232" s="15"/>
      <c r="JDI232" s="15"/>
      <c r="JDJ232" s="15"/>
      <c r="JDK232" s="15"/>
      <c r="JDL232" s="15"/>
      <c r="JDM232" s="15"/>
      <c r="JDN232" s="15"/>
      <c r="JDO232" s="10"/>
      <c r="JDP232" s="10"/>
      <c r="JDQ232" s="21"/>
      <c r="JDR232" s="21"/>
      <c r="JDU232" s="21"/>
      <c r="JDV232" s="15"/>
      <c r="JDW232" s="15"/>
      <c r="JDX232" s="15"/>
      <c r="JDY232" s="15"/>
      <c r="JDZ232" s="15"/>
      <c r="JEA232" s="15"/>
      <c r="JEB232" s="15"/>
      <c r="JEC232" s="15"/>
      <c r="JED232" s="15"/>
      <c r="JEE232" s="15"/>
      <c r="JEF232" s="10"/>
      <c r="JEG232" s="10"/>
      <c r="JEH232" s="21"/>
      <c r="JEI232" s="21"/>
      <c r="JEL232" s="21"/>
      <c r="JEM232" s="15"/>
      <c r="JEN232" s="15"/>
      <c r="JEO232" s="15"/>
      <c r="JEP232" s="15"/>
      <c r="JEQ232" s="15"/>
      <c r="JER232" s="15"/>
      <c r="JES232" s="15"/>
      <c r="JET232" s="15"/>
      <c r="JEU232" s="15"/>
      <c r="JEV232" s="15"/>
      <c r="JEW232" s="10"/>
      <c r="JEX232" s="10"/>
      <c r="JEY232" s="21"/>
      <c r="JEZ232" s="21"/>
      <c r="JFC232" s="21"/>
      <c r="JFD232" s="15"/>
      <c r="JFE232" s="15"/>
      <c r="JFF232" s="15"/>
      <c r="JFG232" s="15"/>
      <c r="JFH232" s="15"/>
      <c r="JFI232" s="15"/>
      <c r="JFJ232" s="15"/>
      <c r="JFK232" s="15"/>
      <c r="JFL232" s="15"/>
      <c r="JFM232" s="15"/>
      <c r="JFN232" s="10"/>
      <c r="JFO232" s="10"/>
      <c r="JFP232" s="21"/>
      <c r="JFQ232" s="21"/>
      <c r="JFT232" s="21"/>
      <c r="JFU232" s="15"/>
      <c r="JFV232" s="15"/>
      <c r="JFW232" s="15"/>
      <c r="JFX232" s="15"/>
      <c r="JFY232" s="15"/>
      <c r="JFZ232" s="15"/>
      <c r="JGA232" s="15"/>
      <c r="JGB232" s="15"/>
      <c r="JGC232" s="15"/>
      <c r="JGD232" s="15"/>
      <c r="JGE232" s="10"/>
      <c r="JGF232" s="10"/>
      <c r="JGG232" s="21"/>
      <c r="JGH232" s="21"/>
      <c r="JGK232" s="21"/>
      <c r="JGL232" s="15"/>
      <c r="JGM232" s="15"/>
      <c r="JGN232" s="15"/>
      <c r="JGO232" s="15"/>
      <c r="JGP232" s="15"/>
      <c r="JGQ232" s="15"/>
      <c r="JGR232" s="15"/>
      <c r="JGS232" s="15"/>
      <c r="JGT232" s="15"/>
      <c r="JGU232" s="15"/>
      <c r="JGV232" s="10"/>
      <c r="JGW232" s="10"/>
      <c r="JGX232" s="21"/>
      <c r="JGY232" s="21"/>
      <c r="JHB232" s="21"/>
      <c r="JHC232" s="15"/>
      <c r="JHD232" s="15"/>
      <c r="JHE232" s="15"/>
      <c r="JHF232" s="15"/>
      <c r="JHG232" s="15"/>
      <c r="JHH232" s="15"/>
      <c r="JHI232" s="15"/>
      <c r="JHJ232" s="15"/>
      <c r="JHK232" s="15"/>
      <c r="JHL232" s="15"/>
      <c r="JHM232" s="10"/>
      <c r="JHN232" s="10"/>
      <c r="JHO232" s="21"/>
      <c r="JHP232" s="21"/>
      <c r="JHS232" s="21"/>
      <c r="JHT232" s="15"/>
      <c r="JHU232" s="15"/>
      <c r="JHV232" s="15"/>
      <c r="JHW232" s="15"/>
      <c r="JHX232" s="15"/>
      <c r="JHY232" s="15"/>
      <c r="JHZ232" s="15"/>
      <c r="JIA232" s="15"/>
      <c r="JIB232" s="15"/>
      <c r="JIC232" s="15"/>
      <c r="JID232" s="10"/>
      <c r="JIE232" s="10"/>
      <c r="JIF232" s="21"/>
      <c r="JIG232" s="21"/>
      <c r="JIJ232" s="21"/>
      <c r="JIK232" s="15"/>
      <c r="JIL232" s="15"/>
      <c r="JIM232" s="15"/>
      <c r="JIN232" s="15"/>
      <c r="JIO232" s="15"/>
      <c r="JIP232" s="15"/>
      <c r="JIQ232" s="15"/>
      <c r="JIR232" s="15"/>
      <c r="JIS232" s="15"/>
      <c r="JIT232" s="15"/>
      <c r="JIU232" s="10"/>
      <c r="JIV232" s="10"/>
      <c r="JIW232" s="21"/>
      <c r="JIX232" s="21"/>
      <c r="JJA232" s="21"/>
      <c r="JJB232" s="15"/>
      <c r="JJC232" s="15"/>
      <c r="JJD232" s="15"/>
      <c r="JJE232" s="15"/>
      <c r="JJF232" s="15"/>
      <c r="JJG232" s="15"/>
      <c r="JJH232" s="15"/>
      <c r="JJI232" s="15"/>
      <c r="JJJ232" s="15"/>
      <c r="JJK232" s="15"/>
      <c r="JJL232" s="10"/>
      <c r="JJM232" s="10"/>
      <c r="JJN232" s="21"/>
      <c r="JJO232" s="21"/>
      <c r="JJR232" s="21"/>
      <c r="JJS232" s="15"/>
      <c r="JJT232" s="15"/>
      <c r="JJU232" s="15"/>
      <c r="JJV232" s="15"/>
      <c r="JJW232" s="15"/>
      <c r="JJX232" s="15"/>
      <c r="JJY232" s="15"/>
      <c r="JJZ232" s="15"/>
      <c r="JKA232" s="15"/>
      <c r="JKB232" s="15"/>
      <c r="JKC232" s="10"/>
      <c r="JKD232" s="10"/>
      <c r="JKE232" s="21"/>
      <c r="JKF232" s="21"/>
      <c r="JKI232" s="21"/>
      <c r="JKJ232" s="15"/>
      <c r="JKK232" s="15"/>
      <c r="JKL232" s="15"/>
      <c r="JKM232" s="15"/>
      <c r="JKN232" s="15"/>
      <c r="JKO232" s="15"/>
      <c r="JKP232" s="15"/>
      <c r="JKQ232" s="15"/>
      <c r="JKR232" s="15"/>
      <c r="JKS232" s="15"/>
      <c r="JKT232" s="10"/>
      <c r="JKU232" s="10"/>
      <c r="JKV232" s="21"/>
      <c r="JKW232" s="21"/>
      <c r="JKZ232" s="21"/>
      <c r="JLA232" s="15"/>
      <c r="JLB232" s="15"/>
      <c r="JLC232" s="15"/>
      <c r="JLD232" s="15"/>
      <c r="JLE232" s="15"/>
      <c r="JLF232" s="15"/>
      <c r="JLG232" s="15"/>
      <c r="JLH232" s="15"/>
      <c r="JLI232" s="15"/>
      <c r="JLJ232" s="15"/>
      <c r="JLK232" s="10"/>
      <c r="JLL232" s="10"/>
      <c r="JLM232" s="21"/>
      <c r="JLN232" s="21"/>
      <c r="JLQ232" s="21"/>
      <c r="JLR232" s="15"/>
      <c r="JLS232" s="15"/>
      <c r="JLT232" s="15"/>
      <c r="JLU232" s="15"/>
      <c r="JLV232" s="15"/>
      <c r="JLW232" s="15"/>
      <c r="JLX232" s="15"/>
      <c r="JLY232" s="15"/>
      <c r="JLZ232" s="15"/>
      <c r="JMA232" s="15"/>
      <c r="JMB232" s="10"/>
      <c r="JMC232" s="10"/>
      <c r="JMD232" s="21"/>
      <c r="JME232" s="21"/>
      <c r="JMH232" s="21"/>
      <c r="JMI232" s="15"/>
      <c r="JMJ232" s="15"/>
      <c r="JMK232" s="15"/>
      <c r="JML232" s="15"/>
      <c r="JMM232" s="15"/>
      <c r="JMN232" s="15"/>
      <c r="JMO232" s="15"/>
      <c r="JMP232" s="15"/>
      <c r="JMQ232" s="15"/>
      <c r="JMR232" s="15"/>
      <c r="JMS232" s="10"/>
      <c r="JMT232" s="10"/>
      <c r="JMU232" s="21"/>
      <c r="JMV232" s="21"/>
      <c r="JMY232" s="21"/>
      <c r="JMZ232" s="15"/>
      <c r="JNA232" s="15"/>
      <c r="JNB232" s="15"/>
      <c r="JNC232" s="15"/>
      <c r="JND232" s="15"/>
      <c r="JNE232" s="15"/>
      <c r="JNF232" s="15"/>
      <c r="JNG232" s="15"/>
      <c r="JNH232" s="15"/>
      <c r="JNI232" s="15"/>
      <c r="JNJ232" s="10"/>
      <c r="JNK232" s="10"/>
      <c r="JNL232" s="21"/>
      <c r="JNM232" s="21"/>
      <c r="JNP232" s="21"/>
      <c r="JNQ232" s="15"/>
      <c r="JNR232" s="15"/>
      <c r="JNS232" s="15"/>
      <c r="JNT232" s="15"/>
      <c r="JNU232" s="15"/>
      <c r="JNV232" s="15"/>
      <c r="JNW232" s="15"/>
      <c r="JNX232" s="15"/>
      <c r="JNY232" s="15"/>
      <c r="JNZ232" s="15"/>
      <c r="JOA232" s="10"/>
      <c r="JOB232" s="10"/>
      <c r="JOC232" s="21"/>
      <c r="JOD232" s="21"/>
      <c r="JOG232" s="21"/>
      <c r="JOH232" s="15"/>
      <c r="JOI232" s="15"/>
      <c r="JOJ232" s="15"/>
      <c r="JOK232" s="15"/>
      <c r="JOL232" s="15"/>
      <c r="JOM232" s="15"/>
      <c r="JON232" s="15"/>
      <c r="JOO232" s="15"/>
      <c r="JOP232" s="15"/>
      <c r="JOQ232" s="15"/>
      <c r="JOR232" s="10"/>
      <c r="JOS232" s="10"/>
      <c r="JOT232" s="21"/>
      <c r="JOU232" s="21"/>
      <c r="JOX232" s="21"/>
      <c r="JOY232" s="15"/>
      <c r="JOZ232" s="15"/>
      <c r="JPA232" s="15"/>
      <c r="JPB232" s="15"/>
      <c r="JPC232" s="15"/>
      <c r="JPD232" s="15"/>
      <c r="JPE232" s="15"/>
      <c r="JPF232" s="15"/>
      <c r="JPG232" s="15"/>
      <c r="JPH232" s="15"/>
      <c r="JPI232" s="10"/>
      <c r="JPJ232" s="10"/>
      <c r="JPK232" s="21"/>
      <c r="JPL232" s="21"/>
      <c r="JPO232" s="21"/>
      <c r="JPP232" s="15"/>
      <c r="JPQ232" s="15"/>
      <c r="JPR232" s="15"/>
      <c r="JPS232" s="15"/>
      <c r="JPT232" s="15"/>
      <c r="JPU232" s="15"/>
      <c r="JPV232" s="15"/>
      <c r="JPW232" s="15"/>
      <c r="JPX232" s="15"/>
      <c r="JPY232" s="15"/>
      <c r="JPZ232" s="10"/>
      <c r="JQA232" s="10"/>
      <c r="JQB232" s="21"/>
      <c r="JQC232" s="21"/>
      <c r="JQF232" s="21"/>
      <c r="JQG232" s="15"/>
      <c r="JQH232" s="15"/>
      <c r="JQI232" s="15"/>
      <c r="JQJ232" s="15"/>
      <c r="JQK232" s="15"/>
      <c r="JQL232" s="15"/>
      <c r="JQM232" s="15"/>
      <c r="JQN232" s="15"/>
      <c r="JQO232" s="15"/>
      <c r="JQP232" s="15"/>
      <c r="JQQ232" s="10"/>
      <c r="JQR232" s="10"/>
      <c r="JQS232" s="21"/>
      <c r="JQT232" s="21"/>
      <c r="JQW232" s="21"/>
      <c r="JQX232" s="15"/>
      <c r="JQY232" s="15"/>
      <c r="JQZ232" s="15"/>
      <c r="JRA232" s="15"/>
      <c r="JRB232" s="15"/>
      <c r="JRC232" s="15"/>
      <c r="JRD232" s="15"/>
      <c r="JRE232" s="15"/>
      <c r="JRF232" s="15"/>
      <c r="JRG232" s="15"/>
      <c r="JRH232" s="10"/>
      <c r="JRI232" s="10"/>
      <c r="JRJ232" s="21"/>
      <c r="JRK232" s="21"/>
      <c r="JRN232" s="21"/>
      <c r="JRO232" s="15"/>
      <c r="JRP232" s="15"/>
      <c r="JRQ232" s="15"/>
      <c r="JRR232" s="15"/>
      <c r="JRS232" s="15"/>
      <c r="JRT232" s="15"/>
      <c r="JRU232" s="15"/>
      <c r="JRV232" s="15"/>
      <c r="JRW232" s="15"/>
      <c r="JRX232" s="15"/>
      <c r="JRY232" s="10"/>
      <c r="JRZ232" s="10"/>
      <c r="JSA232" s="21"/>
      <c r="JSB232" s="21"/>
      <c r="JSE232" s="21"/>
      <c r="JSF232" s="15"/>
      <c r="JSG232" s="15"/>
      <c r="JSH232" s="15"/>
      <c r="JSI232" s="15"/>
      <c r="JSJ232" s="15"/>
      <c r="JSK232" s="15"/>
      <c r="JSL232" s="15"/>
      <c r="JSM232" s="15"/>
      <c r="JSN232" s="15"/>
      <c r="JSO232" s="15"/>
      <c r="JSP232" s="10"/>
      <c r="JSQ232" s="10"/>
      <c r="JSR232" s="21"/>
      <c r="JSS232" s="21"/>
      <c r="JSV232" s="21"/>
      <c r="JSW232" s="15"/>
      <c r="JSX232" s="15"/>
      <c r="JSY232" s="15"/>
      <c r="JSZ232" s="15"/>
      <c r="JTA232" s="15"/>
      <c r="JTB232" s="15"/>
      <c r="JTC232" s="15"/>
      <c r="JTD232" s="15"/>
      <c r="JTE232" s="15"/>
      <c r="JTF232" s="15"/>
      <c r="JTG232" s="10"/>
      <c r="JTH232" s="10"/>
      <c r="JTI232" s="21"/>
      <c r="JTJ232" s="21"/>
      <c r="JTM232" s="21"/>
      <c r="JTN232" s="15"/>
      <c r="JTO232" s="15"/>
      <c r="JTP232" s="15"/>
      <c r="JTQ232" s="15"/>
      <c r="JTR232" s="15"/>
      <c r="JTS232" s="15"/>
      <c r="JTT232" s="15"/>
      <c r="JTU232" s="15"/>
      <c r="JTV232" s="15"/>
      <c r="JTW232" s="15"/>
      <c r="JTX232" s="10"/>
      <c r="JTY232" s="10"/>
      <c r="JTZ232" s="21"/>
      <c r="JUA232" s="21"/>
      <c r="JUD232" s="21"/>
      <c r="JUE232" s="15"/>
      <c r="JUF232" s="15"/>
      <c r="JUG232" s="15"/>
      <c r="JUH232" s="15"/>
      <c r="JUI232" s="15"/>
      <c r="JUJ232" s="15"/>
      <c r="JUK232" s="15"/>
      <c r="JUL232" s="15"/>
      <c r="JUM232" s="15"/>
      <c r="JUN232" s="15"/>
      <c r="JUO232" s="10"/>
      <c r="JUP232" s="10"/>
      <c r="JUQ232" s="21"/>
      <c r="JUR232" s="21"/>
      <c r="JUU232" s="21"/>
      <c r="JUV232" s="15"/>
      <c r="JUW232" s="15"/>
      <c r="JUX232" s="15"/>
      <c r="JUY232" s="15"/>
      <c r="JUZ232" s="15"/>
      <c r="JVA232" s="15"/>
      <c r="JVB232" s="15"/>
      <c r="JVC232" s="15"/>
      <c r="JVD232" s="15"/>
      <c r="JVE232" s="15"/>
      <c r="JVF232" s="10"/>
      <c r="JVG232" s="10"/>
      <c r="JVH232" s="21"/>
      <c r="JVI232" s="21"/>
      <c r="JVL232" s="21"/>
      <c r="JVM232" s="15"/>
      <c r="JVN232" s="15"/>
      <c r="JVO232" s="15"/>
      <c r="JVP232" s="15"/>
      <c r="JVQ232" s="15"/>
      <c r="JVR232" s="15"/>
      <c r="JVS232" s="15"/>
      <c r="JVT232" s="15"/>
      <c r="JVU232" s="15"/>
      <c r="JVV232" s="15"/>
      <c r="JVW232" s="10"/>
      <c r="JVX232" s="10"/>
      <c r="JVY232" s="21"/>
      <c r="JVZ232" s="21"/>
      <c r="JWC232" s="21"/>
      <c r="JWD232" s="15"/>
      <c r="JWE232" s="15"/>
      <c r="JWF232" s="15"/>
      <c r="JWG232" s="15"/>
      <c r="JWH232" s="15"/>
      <c r="JWI232" s="15"/>
      <c r="JWJ232" s="15"/>
      <c r="JWK232" s="15"/>
      <c r="JWL232" s="15"/>
      <c r="JWM232" s="15"/>
      <c r="JWN232" s="10"/>
      <c r="JWO232" s="10"/>
      <c r="JWP232" s="21"/>
      <c r="JWQ232" s="21"/>
      <c r="JWT232" s="21"/>
      <c r="JWU232" s="15"/>
      <c r="JWV232" s="15"/>
      <c r="JWW232" s="15"/>
      <c r="JWX232" s="15"/>
      <c r="JWY232" s="15"/>
      <c r="JWZ232" s="15"/>
      <c r="JXA232" s="15"/>
      <c r="JXB232" s="15"/>
      <c r="JXC232" s="15"/>
      <c r="JXD232" s="15"/>
      <c r="JXE232" s="10"/>
      <c r="JXF232" s="10"/>
      <c r="JXG232" s="21"/>
      <c r="JXH232" s="21"/>
      <c r="JXK232" s="21"/>
      <c r="JXL232" s="15"/>
      <c r="JXM232" s="15"/>
      <c r="JXN232" s="15"/>
      <c r="JXO232" s="15"/>
      <c r="JXP232" s="15"/>
      <c r="JXQ232" s="15"/>
      <c r="JXR232" s="15"/>
      <c r="JXS232" s="15"/>
      <c r="JXT232" s="15"/>
      <c r="JXU232" s="15"/>
      <c r="JXV232" s="10"/>
      <c r="JXW232" s="10"/>
      <c r="JXX232" s="21"/>
      <c r="JXY232" s="21"/>
      <c r="JYB232" s="21"/>
      <c r="JYC232" s="15"/>
      <c r="JYD232" s="15"/>
      <c r="JYE232" s="15"/>
      <c r="JYF232" s="15"/>
      <c r="JYG232" s="15"/>
      <c r="JYH232" s="15"/>
      <c r="JYI232" s="15"/>
      <c r="JYJ232" s="15"/>
      <c r="JYK232" s="15"/>
      <c r="JYL232" s="15"/>
      <c r="JYM232" s="10"/>
      <c r="JYN232" s="10"/>
      <c r="JYO232" s="21"/>
      <c r="JYP232" s="21"/>
      <c r="JYS232" s="21"/>
      <c r="JYT232" s="15"/>
      <c r="JYU232" s="15"/>
      <c r="JYV232" s="15"/>
      <c r="JYW232" s="15"/>
      <c r="JYX232" s="15"/>
      <c r="JYY232" s="15"/>
      <c r="JYZ232" s="15"/>
      <c r="JZA232" s="15"/>
      <c r="JZB232" s="15"/>
      <c r="JZC232" s="15"/>
      <c r="JZD232" s="10"/>
      <c r="JZE232" s="10"/>
      <c r="JZF232" s="21"/>
      <c r="JZG232" s="21"/>
      <c r="JZJ232" s="21"/>
      <c r="JZK232" s="15"/>
      <c r="JZL232" s="15"/>
      <c r="JZM232" s="15"/>
      <c r="JZN232" s="15"/>
      <c r="JZO232" s="15"/>
      <c r="JZP232" s="15"/>
      <c r="JZQ232" s="15"/>
      <c r="JZR232" s="15"/>
      <c r="JZS232" s="15"/>
      <c r="JZT232" s="15"/>
      <c r="JZU232" s="10"/>
      <c r="JZV232" s="10"/>
      <c r="JZW232" s="21"/>
      <c r="JZX232" s="21"/>
      <c r="KAA232" s="21"/>
      <c r="KAB232" s="15"/>
      <c r="KAC232" s="15"/>
      <c r="KAD232" s="15"/>
      <c r="KAE232" s="15"/>
      <c r="KAF232" s="15"/>
      <c r="KAG232" s="15"/>
      <c r="KAH232" s="15"/>
      <c r="KAI232" s="15"/>
      <c r="KAJ232" s="15"/>
      <c r="KAK232" s="15"/>
      <c r="KAL232" s="10"/>
      <c r="KAM232" s="10"/>
      <c r="KAN232" s="21"/>
      <c r="KAO232" s="21"/>
      <c r="KAR232" s="21"/>
      <c r="KAS232" s="15"/>
      <c r="KAT232" s="15"/>
      <c r="KAU232" s="15"/>
      <c r="KAV232" s="15"/>
      <c r="KAW232" s="15"/>
      <c r="KAX232" s="15"/>
      <c r="KAY232" s="15"/>
      <c r="KAZ232" s="15"/>
      <c r="KBA232" s="15"/>
      <c r="KBB232" s="15"/>
      <c r="KBC232" s="10"/>
      <c r="KBD232" s="10"/>
      <c r="KBE232" s="21"/>
      <c r="KBF232" s="21"/>
      <c r="KBI232" s="21"/>
      <c r="KBJ232" s="15"/>
      <c r="KBK232" s="15"/>
      <c r="KBL232" s="15"/>
      <c r="KBM232" s="15"/>
      <c r="KBN232" s="15"/>
      <c r="KBO232" s="15"/>
      <c r="KBP232" s="15"/>
      <c r="KBQ232" s="15"/>
      <c r="KBR232" s="15"/>
      <c r="KBS232" s="15"/>
      <c r="KBT232" s="10"/>
      <c r="KBU232" s="10"/>
      <c r="KBV232" s="21"/>
      <c r="KBW232" s="21"/>
      <c r="KBZ232" s="21"/>
      <c r="KCA232" s="15"/>
      <c r="KCB232" s="15"/>
      <c r="KCC232" s="15"/>
      <c r="KCD232" s="15"/>
      <c r="KCE232" s="15"/>
      <c r="KCF232" s="15"/>
      <c r="KCG232" s="15"/>
      <c r="KCH232" s="15"/>
      <c r="KCI232" s="15"/>
      <c r="KCJ232" s="15"/>
      <c r="KCK232" s="10"/>
      <c r="KCL232" s="10"/>
      <c r="KCM232" s="21"/>
      <c r="KCN232" s="21"/>
      <c r="KCQ232" s="21"/>
      <c r="KCR232" s="15"/>
      <c r="KCS232" s="15"/>
      <c r="KCT232" s="15"/>
      <c r="KCU232" s="15"/>
      <c r="KCV232" s="15"/>
      <c r="KCW232" s="15"/>
      <c r="KCX232" s="15"/>
      <c r="KCY232" s="15"/>
      <c r="KCZ232" s="15"/>
      <c r="KDA232" s="15"/>
      <c r="KDB232" s="10"/>
      <c r="KDC232" s="10"/>
      <c r="KDD232" s="21"/>
      <c r="KDE232" s="21"/>
      <c r="KDH232" s="21"/>
      <c r="KDI232" s="15"/>
      <c r="KDJ232" s="15"/>
      <c r="KDK232" s="15"/>
      <c r="KDL232" s="15"/>
      <c r="KDM232" s="15"/>
      <c r="KDN232" s="15"/>
      <c r="KDO232" s="15"/>
      <c r="KDP232" s="15"/>
      <c r="KDQ232" s="15"/>
      <c r="KDR232" s="15"/>
      <c r="KDS232" s="10"/>
      <c r="KDT232" s="10"/>
      <c r="KDU232" s="21"/>
      <c r="KDV232" s="21"/>
      <c r="KDY232" s="21"/>
      <c r="KDZ232" s="15"/>
      <c r="KEA232" s="15"/>
      <c r="KEB232" s="15"/>
      <c r="KEC232" s="15"/>
      <c r="KED232" s="15"/>
      <c r="KEE232" s="15"/>
      <c r="KEF232" s="15"/>
      <c r="KEG232" s="15"/>
      <c r="KEH232" s="15"/>
      <c r="KEI232" s="15"/>
      <c r="KEJ232" s="10"/>
      <c r="KEK232" s="10"/>
      <c r="KEL232" s="21"/>
      <c r="KEM232" s="21"/>
      <c r="KEP232" s="21"/>
      <c r="KEQ232" s="15"/>
      <c r="KER232" s="15"/>
      <c r="KES232" s="15"/>
      <c r="KET232" s="15"/>
      <c r="KEU232" s="15"/>
      <c r="KEV232" s="15"/>
      <c r="KEW232" s="15"/>
      <c r="KEX232" s="15"/>
      <c r="KEY232" s="15"/>
      <c r="KEZ232" s="15"/>
      <c r="KFA232" s="10"/>
      <c r="KFB232" s="10"/>
      <c r="KFC232" s="21"/>
      <c r="KFD232" s="21"/>
      <c r="KFG232" s="21"/>
      <c r="KFH232" s="15"/>
      <c r="KFI232" s="15"/>
      <c r="KFJ232" s="15"/>
      <c r="KFK232" s="15"/>
      <c r="KFL232" s="15"/>
      <c r="KFM232" s="15"/>
      <c r="KFN232" s="15"/>
      <c r="KFO232" s="15"/>
      <c r="KFP232" s="15"/>
      <c r="KFQ232" s="15"/>
      <c r="KFR232" s="10"/>
      <c r="KFS232" s="10"/>
      <c r="KFT232" s="21"/>
      <c r="KFU232" s="21"/>
      <c r="KFX232" s="21"/>
      <c r="KFY232" s="15"/>
      <c r="KFZ232" s="15"/>
      <c r="KGA232" s="15"/>
      <c r="KGB232" s="15"/>
      <c r="KGC232" s="15"/>
      <c r="KGD232" s="15"/>
      <c r="KGE232" s="15"/>
      <c r="KGF232" s="15"/>
      <c r="KGG232" s="15"/>
      <c r="KGH232" s="15"/>
      <c r="KGI232" s="10"/>
      <c r="KGJ232" s="10"/>
      <c r="KGK232" s="21"/>
      <c r="KGL232" s="21"/>
      <c r="KGO232" s="21"/>
      <c r="KGP232" s="15"/>
      <c r="KGQ232" s="15"/>
      <c r="KGR232" s="15"/>
      <c r="KGS232" s="15"/>
      <c r="KGT232" s="15"/>
      <c r="KGU232" s="15"/>
      <c r="KGV232" s="15"/>
      <c r="KGW232" s="15"/>
      <c r="KGX232" s="15"/>
      <c r="KGY232" s="15"/>
      <c r="KGZ232" s="10"/>
      <c r="KHA232" s="10"/>
      <c r="KHB232" s="21"/>
      <c r="KHC232" s="21"/>
      <c r="KHF232" s="21"/>
      <c r="KHG232" s="15"/>
      <c r="KHH232" s="15"/>
      <c r="KHI232" s="15"/>
      <c r="KHJ232" s="15"/>
      <c r="KHK232" s="15"/>
      <c r="KHL232" s="15"/>
      <c r="KHM232" s="15"/>
      <c r="KHN232" s="15"/>
      <c r="KHO232" s="15"/>
      <c r="KHP232" s="15"/>
      <c r="KHQ232" s="10"/>
      <c r="KHR232" s="10"/>
      <c r="KHS232" s="21"/>
      <c r="KHT232" s="21"/>
      <c r="KHW232" s="21"/>
      <c r="KHX232" s="15"/>
      <c r="KHY232" s="15"/>
      <c r="KHZ232" s="15"/>
      <c r="KIA232" s="15"/>
      <c r="KIB232" s="15"/>
      <c r="KIC232" s="15"/>
      <c r="KID232" s="15"/>
      <c r="KIE232" s="15"/>
      <c r="KIF232" s="15"/>
      <c r="KIG232" s="15"/>
      <c r="KIH232" s="10"/>
      <c r="KII232" s="10"/>
      <c r="KIJ232" s="21"/>
      <c r="KIK232" s="21"/>
      <c r="KIN232" s="21"/>
      <c r="KIO232" s="15"/>
      <c r="KIP232" s="15"/>
      <c r="KIQ232" s="15"/>
      <c r="KIR232" s="15"/>
      <c r="KIS232" s="15"/>
      <c r="KIT232" s="15"/>
      <c r="KIU232" s="15"/>
      <c r="KIV232" s="15"/>
      <c r="KIW232" s="15"/>
      <c r="KIX232" s="15"/>
      <c r="KIY232" s="10"/>
      <c r="KIZ232" s="10"/>
      <c r="KJA232" s="21"/>
      <c r="KJB232" s="21"/>
      <c r="KJE232" s="21"/>
      <c r="KJF232" s="15"/>
      <c r="KJG232" s="15"/>
      <c r="KJH232" s="15"/>
      <c r="KJI232" s="15"/>
      <c r="KJJ232" s="15"/>
      <c r="KJK232" s="15"/>
      <c r="KJL232" s="15"/>
      <c r="KJM232" s="15"/>
      <c r="KJN232" s="15"/>
      <c r="KJO232" s="15"/>
      <c r="KJP232" s="10"/>
      <c r="KJQ232" s="10"/>
      <c r="KJR232" s="21"/>
      <c r="KJS232" s="21"/>
      <c r="KJV232" s="21"/>
      <c r="KJW232" s="15"/>
      <c r="KJX232" s="15"/>
      <c r="KJY232" s="15"/>
      <c r="KJZ232" s="15"/>
      <c r="KKA232" s="15"/>
      <c r="KKB232" s="15"/>
      <c r="KKC232" s="15"/>
      <c r="KKD232" s="15"/>
      <c r="KKE232" s="15"/>
      <c r="KKF232" s="15"/>
      <c r="KKG232" s="10"/>
      <c r="KKH232" s="10"/>
      <c r="KKI232" s="21"/>
      <c r="KKJ232" s="21"/>
      <c r="KKM232" s="21"/>
      <c r="KKN232" s="15"/>
      <c r="KKO232" s="15"/>
      <c r="KKP232" s="15"/>
      <c r="KKQ232" s="15"/>
      <c r="KKR232" s="15"/>
      <c r="KKS232" s="15"/>
      <c r="KKT232" s="15"/>
      <c r="KKU232" s="15"/>
      <c r="KKV232" s="15"/>
      <c r="KKW232" s="15"/>
      <c r="KKX232" s="10"/>
      <c r="KKY232" s="10"/>
      <c r="KKZ232" s="21"/>
      <c r="KLA232" s="21"/>
      <c r="KLD232" s="21"/>
      <c r="KLE232" s="15"/>
      <c r="KLF232" s="15"/>
      <c r="KLG232" s="15"/>
      <c r="KLH232" s="15"/>
      <c r="KLI232" s="15"/>
      <c r="KLJ232" s="15"/>
      <c r="KLK232" s="15"/>
      <c r="KLL232" s="15"/>
      <c r="KLM232" s="15"/>
      <c r="KLN232" s="15"/>
      <c r="KLO232" s="10"/>
      <c r="KLP232" s="10"/>
      <c r="KLQ232" s="21"/>
      <c r="KLR232" s="21"/>
      <c r="KLU232" s="21"/>
      <c r="KLV232" s="15"/>
      <c r="KLW232" s="15"/>
      <c r="KLX232" s="15"/>
      <c r="KLY232" s="15"/>
      <c r="KLZ232" s="15"/>
      <c r="KMA232" s="15"/>
      <c r="KMB232" s="15"/>
      <c r="KMC232" s="15"/>
      <c r="KMD232" s="15"/>
      <c r="KME232" s="15"/>
      <c r="KMF232" s="10"/>
      <c r="KMG232" s="10"/>
      <c r="KMH232" s="21"/>
      <c r="KMI232" s="21"/>
      <c r="KML232" s="21"/>
      <c r="KMM232" s="15"/>
      <c r="KMN232" s="15"/>
      <c r="KMO232" s="15"/>
      <c r="KMP232" s="15"/>
      <c r="KMQ232" s="15"/>
      <c r="KMR232" s="15"/>
      <c r="KMS232" s="15"/>
      <c r="KMT232" s="15"/>
      <c r="KMU232" s="15"/>
      <c r="KMV232" s="15"/>
      <c r="KMW232" s="10"/>
      <c r="KMX232" s="10"/>
      <c r="KMY232" s="21"/>
      <c r="KMZ232" s="21"/>
      <c r="KNC232" s="21"/>
      <c r="KND232" s="15"/>
      <c r="KNE232" s="15"/>
      <c r="KNF232" s="15"/>
      <c r="KNG232" s="15"/>
      <c r="KNH232" s="15"/>
      <c r="KNI232" s="15"/>
      <c r="KNJ232" s="15"/>
      <c r="KNK232" s="15"/>
      <c r="KNL232" s="15"/>
      <c r="KNM232" s="15"/>
      <c r="KNN232" s="10"/>
      <c r="KNO232" s="10"/>
      <c r="KNP232" s="21"/>
      <c r="KNQ232" s="21"/>
      <c r="KNT232" s="21"/>
      <c r="KNU232" s="15"/>
      <c r="KNV232" s="15"/>
      <c r="KNW232" s="15"/>
      <c r="KNX232" s="15"/>
      <c r="KNY232" s="15"/>
      <c r="KNZ232" s="15"/>
      <c r="KOA232" s="15"/>
      <c r="KOB232" s="15"/>
      <c r="KOC232" s="15"/>
      <c r="KOD232" s="15"/>
      <c r="KOE232" s="10"/>
      <c r="KOF232" s="10"/>
      <c r="KOG232" s="21"/>
      <c r="KOH232" s="21"/>
      <c r="KOK232" s="21"/>
      <c r="KOL232" s="15"/>
      <c r="KOM232" s="15"/>
      <c r="KON232" s="15"/>
      <c r="KOO232" s="15"/>
      <c r="KOP232" s="15"/>
      <c r="KOQ232" s="15"/>
      <c r="KOR232" s="15"/>
      <c r="KOS232" s="15"/>
      <c r="KOT232" s="15"/>
      <c r="KOU232" s="15"/>
      <c r="KOV232" s="10"/>
      <c r="KOW232" s="10"/>
      <c r="KOX232" s="21"/>
      <c r="KOY232" s="21"/>
      <c r="KPB232" s="21"/>
      <c r="KPC232" s="15"/>
      <c r="KPD232" s="15"/>
      <c r="KPE232" s="15"/>
      <c r="KPF232" s="15"/>
      <c r="KPG232" s="15"/>
      <c r="KPH232" s="15"/>
      <c r="KPI232" s="15"/>
      <c r="KPJ232" s="15"/>
      <c r="KPK232" s="15"/>
      <c r="KPL232" s="15"/>
      <c r="KPM232" s="10"/>
      <c r="KPN232" s="10"/>
      <c r="KPO232" s="21"/>
      <c r="KPP232" s="21"/>
      <c r="KPS232" s="21"/>
      <c r="KPT232" s="15"/>
      <c r="KPU232" s="15"/>
      <c r="KPV232" s="15"/>
      <c r="KPW232" s="15"/>
      <c r="KPX232" s="15"/>
      <c r="KPY232" s="15"/>
      <c r="KPZ232" s="15"/>
      <c r="KQA232" s="15"/>
      <c r="KQB232" s="15"/>
      <c r="KQC232" s="15"/>
      <c r="KQD232" s="10"/>
      <c r="KQE232" s="10"/>
      <c r="KQF232" s="21"/>
      <c r="KQG232" s="21"/>
      <c r="KQJ232" s="21"/>
      <c r="KQK232" s="15"/>
      <c r="KQL232" s="15"/>
      <c r="KQM232" s="15"/>
      <c r="KQN232" s="15"/>
      <c r="KQO232" s="15"/>
      <c r="KQP232" s="15"/>
      <c r="KQQ232" s="15"/>
      <c r="KQR232" s="15"/>
      <c r="KQS232" s="15"/>
      <c r="KQT232" s="15"/>
      <c r="KQU232" s="10"/>
      <c r="KQV232" s="10"/>
      <c r="KQW232" s="21"/>
      <c r="KQX232" s="21"/>
      <c r="KRA232" s="21"/>
      <c r="KRB232" s="15"/>
      <c r="KRC232" s="15"/>
      <c r="KRD232" s="15"/>
      <c r="KRE232" s="15"/>
      <c r="KRF232" s="15"/>
      <c r="KRG232" s="15"/>
      <c r="KRH232" s="15"/>
      <c r="KRI232" s="15"/>
      <c r="KRJ232" s="15"/>
      <c r="KRK232" s="15"/>
      <c r="KRL232" s="10"/>
      <c r="KRM232" s="10"/>
      <c r="KRN232" s="21"/>
      <c r="KRO232" s="21"/>
      <c r="KRR232" s="21"/>
      <c r="KRS232" s="15"/>
      <c r="KRT232" s="15"/>
      <c r="KRU232" s="15"/>
      <c r="KRV232" s="15"/>
      <c r="KRW232" s="15"/>
      <c r="KRX232" s="15"/>
      <c r="KRY232" s="15"/>
      <c r="KRZ232" s="15"/>
      <c r="KSA232" s="15"/>
      <c r="KSB232" s="15"/>
      <c r="KSC232" s="10"/>
      <c r="KSD232" s="10"/>
      <c r="KSE232" s="21"/>
      <c r="KSF232" s="21"/>
      <c r="KSI232" s="21"/>
      <c r="KSJ232" s="15"/>
      <c r="KSK232" s="15"/>
      <c r="KSL232" s="15"/>
      <c r="KSM232" s="15"/>
      <c r="KSN232" s="15"/>
      <c r="KSO232" s="15"/>
      <c r="KSP232" s="15"/>
      <c r="KSQ232" s="15"/>
      <c r="KSR232" s="15"/>
      <c r="KSS232" s="15"/>
      <c r="KST232" s="10"/>
      <c r="KSU232" s="10"/>
      <c r="KSV232" s="21"/>
      <c r="KSW232" s="21"/>
      <c r="KSZ232" s="21"/>
      <c r="KTA232" s="15"/>
      <c r="KTB232" s="15"/>
      <c r="KTC232" s="15"/>
      <c r="KTD232" s="15"/>
      <c r="KTE232" s="15"/>
      <c r="KTF232" s="15"/>
      <c r="KTG232" s="15"/>
      <c r="KTH232" s="15"/>
      <c r="KTI232" s="15"/>
      <c r="KTJ232" s="15"/>
      <c r="KTK232" s="10"/>
      <c r="KTL232" s="10"/>
      <c r="KTM232" s="21"/>
      <c r="KTN232" s="21"/>
      <c r="KTQ232" s="21"/>
      <c r="KTR232" s="15"/>
      <c r="KTS232" s="15"/>
      <c r="KTT232" s="15"/>
      <c r="KTU232" s="15"/>
      <c r="KTV232" s="15"/>
      <c r="KTW232" s="15"/>
      <c r="KTX232" s="15"/>
      <c r="KTY232" s="15"/>
      <c r="KTZ232" s="15"/>
      <c r="KUA232" s="15"/>
      <c r="KUB232" s="10"/>
      <c r="KUC232" s="10"/>
      <c r="KUD232" s="21"/>
      <c r="KUE232" s="21"/>
      <c r="KUH232" s="21"/>
      <c r="KUI232" s="15"/>
      <c r="KUJ232" s="15"/>
      <c r="KUK232" s="15"/>
      <c r="KUL232" s="15"/>
      <c r="KUM232" s="15"/>
      <c r="KUN232" s="15"/>
      <c r="KUO232" s="15"/>
      <c r="KUP232" s="15"/>
      <c r="KUQ232" s="15"/>
      <c r="KUR232" s="15"/>
      <c r="KUS232" s="10"/>
      <c r="KUT232" s="10"/>
      <c r="KUU232" s="21"/>
      <c r="KUV232" s="21"/>
      <c r="KUY232" s="21"/>
      <c r="KUZ232" s="15"/>
      <c r="KVA232" s="15"/>
      <c r="KVB232" s="15"/>
      <c r="KVC232" s="15"/>
      <c r="KVD232" s="15"/>
      <c r="KVE232" s="15"/>
      <c r="KVF232" s="15"/>
      <c r="KVG232" s="15"/>
      <c r="KVH232" s="15"/>
      <c r="KVI232" s="15"/>
      <c r="KVJ232" s="10"/>
      <c r="KVK232" s="10"/>
      <c r="KVL232" s="21"/>
      <c r="KVM232" s="21"/>
      <c r="KVP232" s="21"/>
      <c r="KVQ232" s="15"/>
      <c r="KVR232" s="15"/>
      <c r="KVS232" s="15"/>
      <c r="KVT232" s="15"/>
      <c r="KVU232" s="15"/>
      <c r="KVV232" s="15"/>
      <c r="KVW232" s="15"/>
      <c r="KVX232" s="15"/>
      <c r="KVY232" s="15"/>
      <c r="KVZ232" s="15"/>
      <c r="KWA232" s="10"/>
      <c r="KWB232" s="10"/>
      <c r="KWC232" s="21"/>
      <c r="KWD232" s="21"/>
      <c r="KWG232" s="21"/>
      <c r="KWH232" s="15"/>
      <c r="KWI232" s="15"/>
      <c r="KWJ232" s="15"/>
      <c r="KWK232" s="15"/>
      <c r="KWL232" s="15"/>
      <c r="KWM232" s="15"/>
      <c r="KWN232" s="15"/>
      <c r="KWO232" s="15"/>
      <c r="KWP232" s="15"/>
      <c r="KWQ232" s="15"/>
      <c r="KWR232" s="10"/>
      <c r="KWS232" s="10"/>
      <c r="KWT232" s="21"/>
      <c r="KWU232" s="21"/>
      <c r="KWX232" s="21"/>
      <c r="KWY232" s="15"/>
      <c r="KWZ232" s="15"/>
      <c r="KXA232" s="15"/>
      <c r="KXB232" s="15"/>
      <c r="KXC232" s="15"/>
      <c r="KXD232" s="15"/>
      <c r="KXE232" s="15"/>
      <c r="KXF232" s="15"/>
      <c r="KXG232" s="15"/>
      <c r="KXH232" s="15"/>
      <c r="KXI232" s="10"/>
      <c r="KXJ232" s="10"/>
      <c r="KXK232" s="21"/>
      <c r="KXL232" s="21"/>
      <c r="KXO232" s="21"/>
      <c r="KXP232" s="15"/>
      <c r="KXQ232" s="15"/>
      <c r="KXR232" s="15"/>
      <c r="KXS232" s="15"/>
      <c r="KXT232" s="15"/>
      <c r="KXU232" s="15"/>
      <c r="KXV232" s="15"/>
      <c r="KXW232" s="15"/>
      <c r="KXX232" s="15"/>
      <c r="KXY232" s="15"/>
      <c r="KXZ232" s="10"/>
      <c r="KYA232" s="10"/>
      <c r="KYB232" s="21"/>
      <c r="KYC232" s="21"/>
      <c r="KYF232" s="21"/>
      <c r="KYG232" s="15"/>
      <c r="KYH232" s="15"/>
      <c r="KYI232" s="15"/>
      <c r="KYJ232" s="15"/>
      <c r="KYK232" s="15"/>
      <c r="KYL232" s="15"/>
      <c r="KYM232" s="15"/>
      <c r="KYN232" s="15"/>
      <c r="KYO232" s="15"/>
      <c r="KYP232" s="15"/>
      <c r="KYQ232" s="10"/>
      <c r="KYR232" s="10"/>
      <c r="KYS232" s="21"/>
      <c r="KYT232" s="21"/>
      <c r="KYW232" s="21"/>
      <c r="KYX232" s="15"/>
      <c r="KYY232" s="15"/>
      <c r="KYZ232" s="15"/>
      <c r="KZA232" s="15"/>
      <c r="KZB232" s="15"/>
      <c r="KZC232" s="15"/>
      <c r="KZD232" s="15"/>
      <c r="KZE232" s="15"/>
      <c r="KZF232" s="15"/>
      <c r="KZG232" s="15"/>
      <c r="KZH232" s="10"/>
      <c r="KZI232" s="10"/>
      <c r="KZJ232" s="21"/>
      <c r="KZK232" s="21"/>
      <c r="KZN232" s="21"/>
      <c r="KZO232" s="15"/>
      <c r="KZP232" s="15"/>
      <c r="KZQ232" s="15"/>
      <c r="KZR232" s="15"/>
      <c r="KZS232" s="15"/>
      <c r="KZT232" s="15"/>
      <c r="KZU232" s="15"/>
      <c r="KZV232" s="15"/>
      <c r="KZW232" s="15"/>
      <c r="KZX232" s="15"/>
      <c r="KZY232" s="10"/>
      <c r="KZZ232" s="10"/>
      <c r="LAA232" s="21"/>
      <c r="LAB232" s="21"/>
      <c r="LAE232" s="21"/>
      <c r="LAF232" s="15"/>
      <c r="LAG232" s="15"/>
      <c r="LAH232" s="15"/>
      <c r="LAI232" s="15"/>
      <c r="LAJ232" s="15"/>
      <c r="LAK232" s="15"/>
      <c r="LAL232" s="15"/>
      <c r="LAM232" s="15"/>
      <c r="LAN232" s="15"/>
      <c r="LAO232" s="15"/>
      <c r="LAP232" s="10"/>
      <c r="LAQ232" s="10"/>
      <c r="LAR232" s="21"/>
      <c r="LAS232" s="21"/>
      <c r="LAV232" s="21"/>
      <c r="LAW232" s="15"/>
      <c r="LAX232" s="15"/>
      <c r="LAY232" s="15"/>
      <c r="LAZ232" s="15"/>
      <c r="LBA232" s="15"/>
      <c r="LBB232" s="15"/>
      <c r="LBC232" s="15"/>
      <c r="LBD232" s="15"/>
      <c r="LBE232" s="15"/>
      <c r="LBF232" s="15"/>
      <c r="LBG232" s="10"/>
      <c r="LBH232" s="10"/>
      <c r="LBI232" s="21"/>
      <c r="LBJ232" s="21"/>
      <c r="LBM232" s="21"/>
      <c r="LBN232" s="15"/>
      <c r="LBO232" s="15"/>
      <c r="LBP232" s="15"/>
      <c r="LBQ232" s="15"/>
      <c r="LBR232" s="15"/>
      <c r="LBS232" s="15"/>
      <c r="LBT232" s="15"/>
      <c r="LBU232" s="15"/>
      <c r="LBV232" s="15"/>
      <c r="LBW232" s="15"/>
      <c r="LBX232" s="10"/>
      <c r="LBY232" s="10"/>
      <c r="LBZ232" s="21"/>
      <c r="LCA232" s="21"/>
      <c r="LCD232" s="21"/>
      <c r="LCE232" s="15"/>
      <c r="LCF232" s="15"/>
      <c r="LCG232" s="15"/>
      <c r="LCH232" s="15"/>
      <c r="LCI232" s="15"/>
      <c r="LCJ232" s="15"/>
      <c r="LCK232" s="15"/>
      <c r="LCL232" s="15"/>
      <c r="LCM232" s="15"/>
      <c r="LCN232" s="15"/>
      <c r="LCO232" s="10"/>
      <c r="LCP232" s="10"/>
      <c r="LCQ232" s="21"/>
      <c r="LCR232" s="21"/>
      <c r="LCU232" s="21"/>
      <c r="LCV232" s="15"/>
      <c r="LCW232" s="15"/>
      <c r="LCX232" s="15"/>
      <c r="LCY232" s="15"/>
      <c r="LCZ232" s="15"/>
      <c r="LDA232" s="15"/>
      <c r="LDB232" s="15"/>
      <c r="LDC232" s="15"/>
      <c r="LDD232" s="15"/>
      <c r="LDE232" s="15"/>
      <c r="LDF232" s="10"/>
      <c r="LDG232" s="10"/>
      <c r="LDH232" s="21"/>
      <c r="LDI232" s="21"/>
      <c r="LDL232" s="21"/>
      <c r="LDM232" s="15"/>
      <c r="LDN232" s="15"/>
      <c r="LDO232" s="15"/>
      <c r="LDP232" s="15"/>
      <c r="LDQ232" s="15"/>
      <c r="LDR232" s="15"/>
      <c r="LDS232" s="15"/>
      <c r="LDT232" s="15"/>
      <c r="LDU232" s="15"/>
      <c r="LDV232" s="15"/>
      <c r="LDW232" s="10"/>
      <c r="LDX232" s="10"/>
      <c r="LDY232" s="21"/>
      <c r="LDZ232" s="21"/>
      <c r="LEC232" s="21"/>
      <c r="LED232" s="15"/>
      <c r="LEE232" s="15"/>
      <c r="LEF232" s="15"/>
      <c r="LEG232" s="15"/>
      <c r="LEH232" s="15"/>
      <c r="LEI232" s="15"/>
      <c r="LEJ232" s="15"/>
      <c r="LEK232" s="15"/>
      <c r="LEL232" s="15"/>
      <c r="LEM232" s="15"/>
      <c r="LEN232" s="10"/>
      <c r="LEO232" s="10"/>
      <c r="LEP232" s="21"/>
      <c r="LEQ232" s="21"/>
      <c r="LET232" s="21"/>
      <c r="LEU232" s="15"/>
      <c r="LEV232" s="15"/>
      <c r="LEW232" s="15"/>
      <c r="LEX232" s="15"/>
      <c r="LEY232" s="15"/>
      <c r="LEZ232" s="15"/>
      <c r="LFA232" s="15"/>
      <c r="LFB232" s="15"/>
      <c r="LFC232" s="15"/>
      <c r="LFD232" s="15"/>
      <c r="LFE232" s="10"/>
      <c r="LFF232" s="10"/>
      <c r="LFG232" s="21"/>
      <c r="LFH232" s="21"/>
      <c r="LFK232" s="21"/>
      <c r="LFL232" s="15"/>
      <c r="LFM232" s="15"/>
      <c r="LFN232" s="15"/>
      <c r="LFO232" s="15"/>
      <c r="LFP232" s="15"/>
      <c r="LFQ232" s="15"/>
      <c r="LFR232" s="15"/>
      <c r="LFS232" s="15"/>
      <c r="LFT232" s="15"/>
      <c r="LFU232" s="15"/>
      <c r="LFV232" s="10"/>
      <c r="LFW232" s="10"/>
      <c r="LFX232" s="21"/>
      <c r="LFY232" s="21"/>
      <c r="LGB232" s="21"/>
      <c r="LGC232" s="15"/>
      <c r="LGD232" s="15"/>
      <c r="LGE232" s="15"/>
      <c r="LGF232" s="15"/>
      <c r="LGG232" s="15"/>
      <c r="LGH232" s="15"/>
      <c r="LGI232" s="15"/>
      <c r="LGJ232" s="15"/>
      <c r="LGK232" s="15"/>
      <c r="LGL232" s="15"/>
      <c r="LGM232" s="10"/>
      <c r="LGN232" s="10"/>
      <c r="LGO232" s="21"/>
      <c r="LGP232" s="21"/>
      <c r="LGS232" s="21"/>
      <c r="LGT232" s="15"/>
      <c r="LGU232" s="15"/>
      <c r="LGV232" s="15"/>
      <c r="LGW232" s="15"/>
      <c r="LGX232" s="15"/>
      <c r="LGY232" s="15"/>
      <c r="LGZ232" s="15"/>
      <c r="LHA232" s="15"/>
      <c r="LHB232" s="15"/>
      <c r="LHC232" s="15"/>
      <c r="LHD232" s="10"/>
      <c r="LHE232" s="10"/>
      <c r="LHF232" s="21"/>
      <c r="LHG232" s="21"/>
      <c r="LHJ232" s="21"/>
      <c r="LHK232" s="15"/>
      <c r="LHL232" s="15"/>
      <c r="LHM232" s="15"/>
      <c r="LHN232" s="15"/>
      <c r="LHO232" s="15"/>
      <c r="LHP232" s="15"/>
      <c r="LHQ232" s="15"/>
      <c r="LHR232" s="15"/>
      <c r="LHS232" s="15"/>
      <c r="LHT232" s="15"/>
      <c r="LHU232" s="10"/>
      <c r="LHV232" s="10"/>
      <c r="LHW232" s="21"/>
      <c r="LHX232" s="21"/>
      <c r="LIA232" s="21"/>
      <c r="LIB232" s="15"/>
      <c r="LIC232" s="15"/>
      <c r="LID232" s="15"/>
      <c r="LIE232" s="15"/>
      <c r="LIF232" s="15"/>
      <c r="LIG232" s="15"/>
      <c r="LIH232" s="15"/>
      <c r="LII232" s="15"/>
      <c r="LIJ232" s="15"/>
      <c r="LIK232" s="15"/>
      <c r="LIL232" s="10"/>
      <c r="LIM232" s="10"/>
      <c r="LIN232" s="21"/>
      <c r="LIO232" s="21"/>
      <c r="LIR232" s="21"/>
      <c r="LIS232" s="15"/>
      <c r="LIT232" s="15"/>
      <c r="LIU232" s="15"/>
      <c r="LIV232" s="15"/>
      <c r="LIW232" s="15"/>
      <c r="LIX232" s="15"/>
      <c r="LIY232" s="15"/>
      <c r="LIZ232" s="15"/>
      <c r="LJA232" s="15"/>
      <c r="LJB232" s="15"/>
      <c r="LJC232" s="10"/>
      <c r="LJD232" s="10"/>
      <c r="LJE232" s="21"/>
      <c r="LJF232" s="21"/>
      <c r="LJI232" s="21"/>
      <c r="LJJ232" s="15"/>
      <c r="LJK232" s="15"/>
      <c r="LJL232" s="15"/>
      <c r="LJM232" s="15"/>
      <c r="LJN232" s="15"/>
      <c r="LJO232" s="15"/>
      <c r="LJP232" s="15"/>
      <c r="LJQ232" s="15"/>
      <c r="LJR232" s="15"/>
      <c r="LJS232" s="15"/>
      <c r="LJT232" s="10"/>
      <c r="LJU232" s="10"/>
      <c r="LJV232" s="21"/>
      <c r="LJW232" s="21"/>
      <c r="LJZ232" s="21"/>
      <c r="LKA232" s="15"/>
      <c r="LKB232" s="15"/>
      <c r="LKC232" s="15"/>
      <c r="LKD232" s="15"/>
      <c r="LKE232" s="15"/>
      <c r="LKF232" s="15"/>
      <c r="LKG232" s="15"/>
      <c r="LKH232" s="15"/>
      <c r="LKI232" s="15"/>
      <c r="LKJ232" s="15"/>
      <c r="LKK232" s="10"/>
      <c r="LKL232" s="10"/>
      <c r="LKM232" s="21"/>
      <c r="LKN232" s="21"/>
      <c r="LKQ232" s="21"/>
      <c r="LKR232" s="15"/>
      <c r="LKS232" s="15"/>
      <c r="LKT232" s="15"/>
      <c r="LKU232" s="15"/>
      <c r="LKV232" s="15"/>
      <c r="LKW232" s="15"/>
      <c r="LKX232" s="15"/>
      <c r="LKY232" s="15"/>
      <c r="LKZ232" s="15"/>
      <c r="LLA232" s="15"/>
      <c r="LLB232" s="10"/>
      <c r="LLC232" s="10"/>
      <c r="LLD232" s="21"/>
      <c r="LLE232" s="21"/>
      <c r="LLH232" s="21"/>
      <c r="LLI232" s="15"/>
      <c r="LLJ232" s="15"/>
      <c r="LLK232" s="15"/>
      <c r="LLL232" s="15"/>
      <c r="LLM232" s="15"/>
      <c r="LLN232" s="15"/>
      <c r="LLO232" s="15"/>
      <c r="LLP232" s="15"/>
      <c r="LLQ232" s="15"/>
      <c r="LLR232" s="15"/>
      <c r="LLS232" s="10"/>
      <c r="LLT232" s="10"/>
      <c r="LLU232" s="21"/>
      <c r="LLV232" s="21"/>
      <c r="LLY232" s="21"/>
      <c r="LLZ232" s="15"/>
      <c r="LMA232" s="15"/>
      <c r="LMB232" s="15"/>
      <c r="LMC232" s="15"/>
      <c r="LMD232" s="15"/>
      <c r="LME232" s="15"/>
      <c r="LMF232" s="15"/>
      <c r="LMG232" s="15"/>
      <c r="LMH232" s="15"/>
      <c r="LMI232" s="15"/>
      <c r="LMJ232" s="10"/>
      <c r="LMK232" s="10"/>
      <c r="LML232" s="21"/>
      <c r="LMM232" s="21"/>
      <c r="LMP232" s="21"/>
      <c r="LMQ232" s="15"/>
      <c r="LMR232" s="15"/>
      <c r="LMS232" s="15"/>
      <c r="LMT232" s="15"/>
      <c r="LMU232" s="15"/>
      <c r="LMV232" s="15"/>
      <c r="LMW232" s="15"/>
      <c r="LMX232" s="15"/>
      <c r="LMY232" s="15"/>
      <c r="LMZ232" s="15"/>
      <c r="LNA232" s="10"/>
      <c r="LNB232" s="10"/>
      <c r="LNC232" s="21"/>
      <c r="LND232" s="21"/>
      <c r="LNG232" s="21"/>
      <c r="LNH232" s="15"/>
      <c r="LNI232" s="15"/>
      <c r="LNJ232" s="15"/>
      <c r="LNK232" s="15"/>
      <c r="LNL232" s="15"/>
      <c r="LNM232" s="15"/>
      <c r="LNN232" s="15"/>
      <c r="LNO232" s="15"/>
      <c r="LNP232" s="15"/>
      <c r="LNQ232" s="15"/>
      <c r="LNR232" s="10"/>
      <c r="LNS232" s="10"/>
      <c r="LNT232" s="21"/>
      <c r="LNU232" s="21"/>
      <c r="LNX232" s="21"/>
      <c r="LNY232" s="15"/>
      <c r="LNZ232" s="15"/>
      <c r="LOA232" s="15"/>
      <c r="LOB232" s="15"/>
      <c r="LOC232" s="15"/>
      <c r="LOD232" s="15"/>
      <c r="LOE232" s="15"/>
      <c r="LOF232" s="15"/>
      <c r="LOG232" s="15"/>
      <c r="LOH232" s="15"/>
      <c r="LOI232" s="10"/>
      <c r="LOJ232" s="10"/>
      <c r="LOK232" s="21"/>
      <c r="LOL232" s="21"/>
      <c r="LOO232" s="21"/>
      <c r="LOP232" s="15"/>
      <c r="LOQ232" s="15"/>
      <c r="LOR232" s="15"/>
      <c r="LOS232" s="15"/>
      <c r="LOT232" s="15"/>
      <c r="LOU232" s="15"/>
      <c r="LOV232" s="15"/>
      <c r="LOW232" s="15"/>
      <c r="LOX232" s="15"/>
      <c r="LOY232" s="15"/>
      <c r="LOZ232" s="10"/>
      <c r="LPA232" s="10"/>
      <c r="LPB232" s="21"/>
      <c r="LPC232" s="21"/>
      <c r="LPF232" s="21"/>
      <c r="LPG232" s="15"/>
      <c r="LPH232" s="15"/>
      <c r="LPI232" s="15"/>
      <c r="LPJ232" s="15"/>
      <c r="LPK232" s="15"/>
      <c r="LPL232" s="15"/>
      <c r="LPM232" s="15"/>
      <c r="LPN232" s="15"/>
      <c r="LPO232" s="15"/>
      <c r="LPP232" s="15"/>
      <c r="LPQ232" s="10"/>
      <c r="LPR232" s="10"/>
      <c r="LPS232" s="21"/>
      <c r="LPT232" s="21"/>
      <c r="LPW232" s="21"/>
      <c r="LPX232" s="15"/>
      <c r="LPY232" s="15"/>
      <c r="LPZ232" s="15"/>
      <c r="LQA232" s="15"/>
      <c r="LQB232" s="15"/>
      <c r="LQC232" s="15"/>
      <c r="LQD232" s="15"/>
      <c r="LQE232" s="15"/>
      <c r="LQF232" s="15"/>
      <c r="LQG232" s="15"/>
      <c r="LQH232" s="10"/>
      <c r="LQI232" s="10"/>
      <c r="LQJ232" s="21"/>
      <c r="LQK232" s="21"/>
      <c r="LQN232" s="21"/>
      <c r="LQO232" s="15"/>
      <c r="LQP232" s="15"/>
      <c r="LQQ232" s="15"/>
      <c r="LQR232" s="15"/>
      <c r="LQS232" s="15"/>
      <c r="LQT232" s="15"/>
      <c r="LQU232" s="15"/>
      <c r="LQV232" s="15"/>
      <c r="LQW232" s="15"/>
      <c r="LQX232" s="15"/>
      <c r="LQY232" s="10"/>
      <c r="LQZ232" s="10"/>
      <c r="LRA232" s="21"/>
      <c r="LRB232" s="21"/>
      <c r="LRE232" s="21"/>
      <c r="LRF232" s="15"/>
      <c r="LRG232" s="15"/>
      <c r="LRH232" s="15"/>
      <c r="LRI232" s="15"/>
      <c r="LRJ232" s="15"/>
      <c r="LRK232" s="15"/>
      <c r="LRL232" s="15"/>
      <c r="LRM232" s="15"/>
      <c r="LRN232" s="15"/>
      <c r="LRO232" s="15"/>
      <c r="LRP232" s="10"/>
      <c r="LRQ232" s="10"/>
      <c r="LRR232" s="21"/>
      <c r="LRS232" s="21"/>
      <c r="LRV232" s="21"/>
      <c r="LRW232" s="15"/>
      <c r="LRX232" s="15"/>
      <c r="LRY232" s="15"/>
      <c r="LRZ232" s="15"/>
      <c r="LSA232" s="15"/>
      <c r="LSB232" s="15"/>
      <c r="LSC232" s="15"/>
      <c r="LSD232" s="15"/>
      <c r="LSE232" s="15"/>
      <c r="LSF232" s="15"/>
      <c r="LSG232" s="10"/>
      <c r="LSH232" s="10"/>
      <c r="LSI232" s="21"/>
      <c r="LSJ232" s="21"/>
      <c r="LSM232" s="21"/>
      <c r="LSN232" s="15"/>
      <c r="LSO232" s="15"/>
      <c r="LSP232" s="15"/>
      <c r="LSQ232" s="15"/>
      <c r="LSR232" s="15"/>
      <c r="LSS232" s="15"/>
      <c r="LST232" s="15"/>
      <c r="LSU232" s="15"/>
      <c r="LSV232" s="15"/>
      <c r="LSW232" s="15"/>
      <c r="LSX232" s="10"/>
      <c r="LSY232" s="10"/>
      <c r="LSZ232" s="21"/>
      <c r="LTA232" s="21"/>
      <c r="LTD232" s="21"/>
      <c r="LTE232" s="15"/>
      <c r="LTF232" s="15"/>
      <c r="LTG232" s="15"/>
      <c r="LTH232" s="15"/>
      <c r="LTI232" s="15"/>
      <c r="LTJ232" s="15"/>
      <c r="LTK232" s="15"/>
      <c r="LTL232" s="15"/>
      <c r="LTM232" s="15"/>
      <c r="LTN232" s="15"/>
      <c r="LTO232" s="10"/>
      <c r="LTP232" s="10"/>
      <c r="LTQ232" s="21"/>
      <c r="LTR232" s="21"/>
      <c r="LTU232" s="21"/>
      <c r="LTV232" s="15"/>
      <c r="LTW232" s="15"/>
      <c r="LTX232" s="15"/>
      <c r="LTY232" s="15"/>
      <c r="LTZ232" s="15"/>
      <c r="LUA232" s="15"/>
      <c r="LUB232" s="15"/>
      <c r="LUC232" s="15"/>
      <c r="LUD232" s="15"/>
      <c r="LUE232" s="15"/>
      <c r="LUF232" s="10"/>
      <c r="LUG232" s="10"/>
      <c r="LUH232" s="21"/>
      <c r="LUI232" s="21"/>
      <c r="LUL232" s="21"/>
      <c r="LUM232" s="15"/>
      <c r="LUN232" s="15"/>
      <c r="LUO232" s="15"/>
      <c r="LUP232" s="15"/>
      <c r="LUQ232" s="15"/>
      <c r="LUR232" s="15"/>
      <c r="LUS232" s="15"/>
      <c r="LUT232" s="15"/>
      <c r="LUU232" s="15"/>
      <c r="LUV232" s="15"/>
      <c r="LUW232" s="10"/>
      <c r="LUX232" s="10"/>
      <c r="LUY232" s="21"/>
      <c r="LUZ232" s="21"/>
      <c r="LVC232" s="21"/>
      <c r="LVD232" s="15"/>
      <c r="LVE232" s="15"/>
      <c r="LVF232" s="15"/>
      <c r="LVG232" s="15"/>
      <c r="LVH232" s="15"/>
      <c r="LVI232" s="15"/>
      <c r="LVJ232" s="15"/>
      <c r="LVK232" s="15"/>
      <c r="LVL232" s="15"/>
      <c r="LVM232" s="15"/>
      <c r="LVN232" s="10"/>
      <c r="LVO232" s="10"/>
      <c r="LVP232" s="21"/>
      <c r="LVQ232" s="21"/>
      <c r="LVT232" s="21"/>
      <c r="LVU232" s="15"/>
      <c r="LVV232" s="15"/>
      <c r="LVW232" s="15"/>
      <c r="LVX232" s="15"/>
      <c r="LVY232" s="15"/>
      <c r="LVZ232" s="15"/>
      <c r="LWA232" s="15"/>
      <c r="LWB232" s="15"/>
      <c r="LWC232" s="15"/>
      <c r="LWD232" s="15"/>
      <c r="LWE232" s="10"/>
      <c r="LWF232" s="10"/>
      <c r="LWG232" s="21"/>
      <c r="LWH232" s="21"/>
      <c r="LWK232" s="21"/>
      <c r="LWL232" s="15"/>
      <c r="LWM232" s="15"/>
      <c r="LWN232" s="15"/>
      <c r="LWO232" s="15"/>
      <c r="LWP232" s="15"/>
      <c r="LWQ232" s="15"/>
      <c r="LWR232" s="15"/>
      <c r="LWS232" s="15"/>
      <c r="LWT232" s="15"/>
      <c r="LWU232" s="15"/>
      <c r="LWV232" s="10"/>
      <c r="LWW232" s="10"/>
      <c r="LWX232" s="21"/>
      <c r="LWY232" s="21"/>
      <c r="LXB232" s="21"/>
      <c r="LXC232" s="15"/>
      <c r="LXD232" s="15"/>
      <c r="LXE232" s="15"/>
      <c r="LXF232" s="15"/>
      <c r="LXG232" s="15"/>
      <c r="LXH232" s="15"/>
      <c r="LXI232" s="15"/>
      <c r="LXJ232" s="15"/>
      <c r="LXK232" s="15"/>
      <c r="LXL232" s="15"/>
      <c r="LXM232" s="10"/>
      <c r="LXN232" s="10"/>
      <c r="LXO232" s="21"/>
      <c r="LXP232" s="21"/>
      <c r="LXS232" s="21"/>
      <c r="LXT232" s="15"/>
      <c r="LXU232" s="15"/>
      <c r="LXV232" s="15"/>
      <c r="LXW232" s="15"/>
      <c r="LXX232" s="15"/>
      <c r="LXY232" s="15"/>
      <c r="LXZ232" s="15"/>
      <c r="LYA232" s="15"/>
      <c r="LYB232" s="15"/>
      <c r="LYC232" s="15"/>
      <c r="LYD232" s="10"/>
      <c r="LYE232" s="10"/>
      <c r="LYF232" s="21"/>
      <c r="LYG232" s="21"/>
      <c r="LYJ232" s="21"/>
      <c r="LYK232" s="15"/>
      <c r="LYL232" s="15"/>
      <c r="LYM232" s="15"/>
      <c r="LYN232" s="15"/>
      <c r="LYO232" s="15"/>
      <c r="LYP232" s="15"/>
      <c r="LYQ232" s="15"/>
      <c r="LYR232" s="15"/>
      <c r="LYS232" s="15"/>
      <c r="LYT232" s="15"/>
      <c r="LYU232" s="10"/>
      <c r="LYV232" s="10"/>
      <c r="LYW232" s="21"/>
      <c r="LYX232" s="21"/>
      <c r="LZA232" s="21"/>
      <c r="LZB232" s="15"/>
      <c r="LZC232" s="15"/>
      <c r="LZD232" s="15"/>
      <c r="LZE232" s="15"/>
      <c r="LZF232" s="15"/>
      <c r="LZG232" s="15"/>
      <c r="LZH232" s="15"/>
      <c r="LZI232" s="15"/>
      <c r="LZJ232" s="15"/>
      <c r="LZK232" s="15"/>
      <c r="LZL232" s="10"/>
      <c r="LZM232" s="10"/>
      <c r="LZN232" s="21"/>
      <c r="LZO232" s="21"/>
      <c r="LZR232" s="21"/>
      <c r="LZS232" s="15"/>
      <c r="LZT232" s="15"/>
      <c r="LZU232" s="15"/>
      <c r="LZV232" s="15"/>
      <c r="LZW232" s="15"/>
      <c r="LZX232" s="15"/>
      <c r="LZY232" s="15"/>
      <c r="LZZ232" s="15"/>
      <c r="MAA232" s="15"/>
      <c r="MAB232" s="15"/>
      <c r="MAC232" s="10"/>
      <c r="MAD232" s="10"/>
      <c r="MAE232" s="21"/>
      <c r="MAF232" s="21"/>
      <c r="MAI232" s="21"/>
      <c r="MAJ232" s="15"/>
      <c r="MAK232" s="15"/>
      <c r="MAL232" s="15"/>
      <c r="MAM232" s="15"/>
      <c r="MAN232" s="15"/>
      <c r="MAO232" s="15"/>
      <c r="MAP232" s="15"/>
      <c r="MAQ232" s="15"/>
      <c r="MAR232" s="15"/>
      <c r="MAS232" s="15"/>
      <c r="MAT232" s="10"/>
      <c r="MAU232" s="10"/>
      <c r="MAV232" s="21"/>
      <c r="MAW232" s="21"/>
      <c r="MAZ232" s="21"/>
      <c r="MBA232" s="15"/>
      <c r="MBB232" s="15"/>
      <c r="MBC232" s="15"/>
      <c r="MBD232" s="15"/>
      <c r="MBE232" s="15"/>
      <c r="MBF232" s="15"/>
      <c r="MBG232" s="15"/>
      <c r="MBH232" s="15"/>
      <c r="MBI232" s="15"/>
      <c r="MBJ232" s="15"/>
      <c r="MBK232" s="10"/>
      <c r="MBL232" s="10"/>
      <c r="MBM232" s="21"/>
      <c r="MBN232" s="21"/>
      <c r="MBQ232" s="21"/>
      <c r="MBR232" s="15"/>
      <c r="MBS232" s="15"/>
      <c r="MBT232" s="15"/>
      <c r="MBU232" s="15"/>
      <c r="MBV232" s="15"/>
      <c r="MBW232" s="15"/>
      <c r="MBX232" s="15"/>
      <c r="MBY232" s="15"/>
      <c r="MBZ232" s="15"/>
      <c r="MCA232" s="15"/>
      <c r="MCB232" s="10"/>
      <c r="MCC232" s="10"/>
      <c r="MCD232" s="21"/>
      <c r="MCE232" s="21"/>
      <c r="MCH232" s="21"/>
      <c r="MCI232" s="15"/>
      <c r="MCJ232" s="15"/>
      <c r="MCK232" s="15"/>
      <c r="MCL232" s="15"/>
      <c r="MCM232" s="15"/>
      <c r="MCN232" s="15"/>
      <c r="MCO232" s="15"/>
      <c r="MCP232" s="15"/>
      <c r="MCQ232" s="15"/>
      <c r="MCR232" s="15"/>
      <c r="MCS232" s="10"/>
      <c r="MCT232" s="10"/>
      <c r="MCU232" s="21"/>
      <c r="MCV232" s="21"/>
      <c r="MCY232" s="21"/>
      <c r="MCZ232" s="15"/>
      <c r="MDA232" s="15"/>
      <c r="MDB232" s="15"/>
      <c r="MDC232" s="15"/>
      <c r="MDD232" s="15"/>
      <c r="MDE232" s="15"/>
      <c r="MDF232" s="15"/>
      <c r="MDG232" s="15"/>
      <c r="MDH232" s="15"/>
      <c r="MDI232" s="15"/>
      <c r="MDJ232" s="10"/>
      <c r="MDK232" s="10"/>
      <c r="MDL232" s="21"/>
      <c r="MDM232" s="21"/>
      <c r="MDP232" s="21"/>
      <c r="MDQ232" s="15"/>
      <c r="MDR232" s="15"/>
      <c r="MDS232" s="15"/>
      <c r="MDT232" s="15"/>
      <c r="MDU232" s="15"/>
      <c r="MDV232" s="15"/>
      <c r="MDW232" s="15"/>
      <c r="MDX232" s="15"/>
      <c r="MDY232" s="15"/>
      <c r="MDZ232" s="15"/>
      <c r="MEA232" s="10"/>
      <c r="MEB232" s="10"/>
      <c r="MEC232" s="21"/>
      <c r="MED232" s="21"/>
      <c r="MEG232" s="21"/>
      <c r="MEH232" s="15"/>
      <c r="MEI232" s="15"/>
      <c r="MEJ232" s="15"/>
      <c r="MEK232" s="15"/>
      <c r="MEL232" s="15"/>
      <c r="MEM232" s="15"/>
      <c r="MEN232" s="15"/>
      <c r="MEO232" s="15"/>
      <c r="MEP232" s="15"/>
      <c r="MEQ232" s="15"/>
      <c r="MER232" s="10"/>
      <c r="MES232" s="10"/>
      <c r="MET232" s="21"/>
      <c r="MEU232" s="21"/>
      <c r="MEX232" s="21"/>
      <c r="MEY232" s="15"/>
      <c r="MEZ232" s="15"/>
      <c r="MFA232" s="15"/>
      <c r="MFB232" s="15"/>
      <c r="MFC232" s="15"/>
      <c r="MFD232" s="15"/>
      <c r="MFE232" s="15"/>
      <c r="MFF232" s="15"/>
      <c r="MFG232" s="15"/>
      <c r="MFH232" s="15"/>
      <c r="MFI232" s="10"/>
      <c r="MFJ232" s="10"/>
      <c r="MFK232" s="21"/>
      <c r="MFL232" s="21"/>
      <c r="MFO232" s="21"/>
      <c r="MFP232" s="15"/>
      <c r="MFQ232" s="15"/>
      <c r="MFR232" s="15"/>
      <c r="MFS232" s="15"/>
      <c r="MFT232" s="15"/>
      <c r="MFU232" s="15"/>
      <c r="MFV232" s="15"/>
      <c r="MFW232" s="15"/>
      <c r="MFX232" s="15"/>
      <c r="MFY232" s="15"/>
      <c r="MFZ232" s="10"/>
      <c r="MGA232" s="10"/>
      <c r="MGB232" s="21"/>
      <c r="MGC232" s="21"/>
      <c r="MGF232" s="21"/>
      <c r="MGG232" s="15"/>
      <c r="MGH232" s="15"/>
      <c r="MGI232" s="15"/>
      <c r="MGJ232" s="15"/>
      <c r="MGK232" s="15"/>
      <c r="MGL232" s="15"/>
      <c r="MGM232" s="15"/>
      <c r="MGN232" s="15"/>
      <c r="MGO232" s="15"/>
      <c r="MGP232" s="15"/>
      <c r="MGQ232" s="10"/>
      <c r="MGR232" s="10"/>
      <c r="MGS232" s="21"/>
      <c r="MGT232" s="21"/>
      <c r="MGW232" s="21"/>
      <c r="MGX232" s="15"/>
      <c r="MGY232" s="15"/>
      <c r="MGZ232" s="15"/>
      <c r="MHA232" s="15"/>
      <c r="MHB232" s="15"/>
      <c r="MHC232" s="15"/>
      <c r="MHD232" s="15"/>
      <c r="MHE232" s="15"/>
      <c r="MHF232" s="15"/>
      <c r="MHG232" s="15"/>
      <c r="MHH232" s="10"/>
      <c r="MHI232" s="10"/>
      <c r="MHJ232" s="21"/>
      <c r="MHK232" s="21"/>
      <c r="MHN232" s="21"/>
      <c r="MHO232" s="15"/>
      <c r="MHP232" s="15"/>
      <c r="MHQ232" s="15"/>
      <c r="MHR232" s="15"/>
      <c r="MHS232" s="15"/>
      <c r="MHT232" s="15"/>
      <c r="MHU232" s="15"/>
      <c r="MHV232" s="15"/>
      <c r="MHW232" s="15"/>
      <c r="MHX232" s="15"/>
      <c r="MHY232" s="10"/>
      <c r="MHZ232" s="10"/>
      <c r="MIA232" s="21"/>
      <c r="MIB232" s="21"/>
      <c r="MIE232" s="21"/>
      <c r="MIF232" s="15"/>
      <c r="MIG232" s="15"/>
      <c r="MIH232" s="15"/>
      <c r="MII232" s="15"/>
      <c r="MIJ232" s="15"/>
      <c r="MIK232" s="15"/>
      <c r="MIL232" s="15"/>
      <c r="MIM232" s="15"/>
      <c r="MIN232" s="15"/>
      <c r="MIO232" s="15"/>
      <c r="MIP232" s="10"/>
      <c r="MIQ232" s="10"/>
      <c r="MIR232" s="21"/>
      <c r="MIS232" s="21"/>
      <c r="MIV232" s="21"/>
      <c r="MIW232" s="15"/>
      <c r="MIX232" s="15"/>
      <c r="MIY232" s="15"/>
      <c r="MIZ232" s="15"/>
      <c r="MJA232" s="15"/>
      <c r="MJB232" s="15"/>
      <c r="MJC232" s="15"/>
      <c r="MJD232" s="15"/>
      <c r="MJE232" s="15"/>
      <c r="MJF232" s="15"/>
      <c r="MJG232" s="10"/>
      <c r="MJH232" s="10"/>
      <c r="MJI232" s="21"/>
      <c r="MJJ232" s="21"/>
      <c r="MJM232" s="21"/>
      <c r="MJN232" s="15"/>
      <c r="MJO232" s="15"/>
      <c r="MJP232" s="15"/>
      <c r="MJQ232" s="15"/>
      <c r="MJR232" s="15"/>
      <c r="MJS232" s="15"/>
      <c r="MJT232" s="15"/>
      <c r="MJU232" s="15"/>
      <c r="MJV232" s="15"/>
      <c r="MJW232" s="15"/>
      <c r="MJX232" s="10"/>
      <c r="MJY232" s="10"/>
      <c r="MJZ232" s="21"/>
      <c r="MKA232" s="21"/>
      <c r="MKD232" s="21"/>
      <c r="MKE232" s="15"/>
      <c r="MKF232" s="15"/>
      <c r="MKG232" s="15"/>
      <c r="MKH232" s="15"/>
      <c r="MKI232" s="15"/>
      <c r="MKJ232" s="15"/>
      <c r="MKK232" s="15"/>
      <c r="MKL232" s="15"/>
      <c r="MKM232" s="15"/>
      <c r="MKN232" s="15"/>
      <c r="MKO232" s="10"/>
      <c r="MKP232" s="10"/>
      <c r="MKQ232" s="21"/>
      <c r="MKR232" s="21"/>
      <c r="MKU232" s="21"/>
      <c r="MKV232" s="15"/>
      <c r="MKW232" s="15"/>
      <c r="MKX232" s="15"/>
      <c r="MKY232" s="15"/>
      <c r="MKZ232" s="15"/>
      <c r="MLA232" s="15"/>
      <c r="MLB232" s="15"/>
      <c r="MLC232" s="15"/>
      <c r="MLD232" s="15"/>
      <c r="MLE232" s="15"/>
      <c r="MLF232" s="10"/>
      <c r="MLG232" s="10"/>
      <c r="MLH232" s="21"/>
      <c r="MLI232" s="21"/>
      <c r="MLL232" s="21"/>
      <c r="MLM232" s="15"/>
      <c r="MLN232" s="15"/>
      <c r="MLO232" s="15"/>
      <c r="MLP232" s="15"/>
      <c r="MLQ232" s="15"/>
      <c r="MLR232" s="15"/>
      <c r="MLS232" s="15"/>
      <c r="MLT232" s="15"/>
      <c r="MLU232" s="15"/>
      <c r="MLV232" s="15"/>
      <c r="MLW232" s="10"/>
      <c r="MLX232" s="10"/>
      <c r="MLY232" s="21"/>
      <c r="MLZ232" s="21"/>
      <c r="MMC232" s="21"/>
      <c r="MMD232" s="15"/>
      <c r="MME232" s="15"/>
      <c r="MMF232" s="15"/>
      <c r="MMG232" s="15"/>
      <c r="MMH232" s="15"/>
      <c r="MMI232" s="15"/>
      <c r="MMJ232" s="15"/>
      <c r="MMK232" s="15"/>
      <c r="MML232" s="15"/>
      <c r="MMM232" s="15"/>
      <c r="MMN232" s="10"/>
      <c r="MMO232" s="10"/>
      <c r="MMP232" s="21"/>
      <c r="MMQ232" s="21"/>
      <c r="MMT232" s="21"/>
      <c r="MMU232" s="15"/>
      <c r="MMV232" s="15"/>
      <c r="MMW232" s="15"/>
      <c r="MMX232" s="15"/>
      <c r="MMY232" s="15"/>
      <c r="MMZ232" s="15"/>
      <c r="MNA232" s="15"/>
      <c r="MNB232" s="15"/>
      <c r="MNC232" s="15"/>
      <c r="MND232" s="15"/>
      <c r="MNE232" s="10"/>
      <c r="MNF232" s="10"/>
      <c r="MNG232" s="21"/>
      <c r="MNH232" s="21"/>
      <c r="MNK232" s="21"/>
      <c r="MNL232" s="15"/>
      <c r="MNM232" s="15"/>
      <c r="MNN232" s="15"/>
      <c r="MNO232" s="15"/>
      <c r="MNP232" s="15"/>
      <c r="MNQ232" s="15"/>
      <c r="MNR232" s="15"/>
      <c r="MNS232" s="15"/>
      <c r="MNT232" s="15"/>
      <c r="MNU232" s="15"/>
      <c r="MNV232" s="10"/>
      <c r="MNW232" s="10"/>
      <c r="MNX232" s="21"/>
      <c r="MNY232" s="21"/>
      <c r="MOB232" s="21"/>
      <c r="MOC232" s="15"/>
      <c r="MOD232" s="15"/>
      <c r="MOE232" s="15"/>
      <c r="MOF232" s="15"/>
      <c r="MOG232" s="15"/>
      <c r="MOH232" s="15"/>
      <c r="MOI232" s="15"/>
      <c r="MOJ232" s="15"/>
      <c r="MOK232" s="15"/>
      <c r="MOL232" s="15"/>
      <c r="MOM232" s="10"/>
      <c r="MON232" s="10"/>
      <c r="MOO232" s="21"/>
      <c r="MOP232" s="21"/>
      <c r="MOS232" s="21"/>
      <c r="MOT232" s="15"/>
      <c r="MOU232" s="15"/>
      <c r="MOV232" s="15"/>
      <c r="MOW232" s="15"/>
      <c r="MOX232" s="15"/>
      <c r="MOY232" s="15"/>
      <c r="MOZ232" s="15"/>
      <c r="MPA232" s="15"/>
      <c r="MPB232" s="15"/>
      <c r="MPC232" s="15"/>
      <c r="MPD232" s="10"/>
      <c r="MPE232" s="10"/>
      <c r="MPF232" s="21"/>
      <c r="MPG232" s="21"/>
      <c r="MPJ232" s="21"/>
      <c r="MPK232" s="15"/>
      <c r="MPL232" s="15"/>
      <c r="MPM232" s="15"/>
      <c r="MPN232" s="15"/>
      <c r="MPO232" s="15"/>
      <c r="MPP232" s="15"/>
      <c r="MPQ232" s="15"/>
      <c r="MPR232" s="15"/>
      <c r="MPS232" s="15"/>
      <c r="MPT232" s="15"/>
      <c r="MPU232" s="10"/>
      <c r="MPV232" s="10"/>
      <c r="MPW232" s="21"/>
      <c r="MPX232" s="21"/>
      <c r="MQA232" s="21"/>
      <c r="MQB232" s="15"/>
      <c r="MQC232" s="15"/>
      <c r="MQD232" s="15"/>
      <c r="MQE232" s="15"/>
      <c r="MQF232" s="15"/>
      <c r="MQG232" s="15"/>
      <c r="MQH232" s="15"/>
      <c r="MQI232" s="15"/>
      <c r="MQJ232" s="15"/>
      <c r="MQK232" s="15"/>
      <c r="MQL232" s="10"/>
      <c r="MQM232" s="10"/>
      <c r="MQN232" s="21"/>
      <c r="MQO232" s="21"/>
      <c r="MQR232" s="21"/>
      <c r="MQS232" s="15"/>
      <c r="MQT232" s="15"/>
      <c r="MQU232" s="15"/>
      <c r="MQV232" s="15"/>
      <c r="MQW232" s="15"/>
      <c r="MQX232" s="15"/>
      <c r="MQY232" s="15"/>
      <c r="MQZ232" s="15"/>
      <c r="MRA232" s="15"/>
      <c r="MRB232" s="15"/>
      <c r="MRC232" s="10"/>
      <c r="MRD232" s="10"/>
      <c r="MRE232" s="21"/>
      <c r="MRF232" s="21"/>
      <c r="MRI232" s="21"/>
      <c r="MRJ232" s="15"/>
      <c r="MRK232" s="15"/>
      <c r="MRL232" s="15"/>
      <c r="MRM232" s="15"/>
      <c r="MRN232" s="15"/>
      <c r="MRO232" s="15"/>
      <c r="MRP232" s="15"/>
      <c r="MRQ232" s="15"/>
      <c r="MRR232" s="15"/>
      <c r="MRS232" s="15"/>
      <c r="MRT232" s="10"/>
      <c r="MRU232" s="10"/>
      <c r="MRV232" s="21"/>
      <c r="MRW232" s="21"/>
      <c r="MRZ232" s="21"/>
      <c r="MSA232" s="15"/>
      <c r="MSB232" s="15"/>
      <c r="MSC232" s="15"/>
      <c r="MSD232" s="15"/>
      <c r="MSE232" s="15"/>
      <c r="MSF232" s="15"/>
      <c r="MSG232" s="15"/>
      <c r="MSH232" s="15"/>
      <c r="MSI232" s="15"/>
      <c r="MSJ232" s="15"/>
      <c r="MSK232" s="10"/>
      <c r="MSL232" s="10"/>
      <c r="MSM232" s="21"/>
      <c r="MSN232" s="21"/>
      <c r="MSQ232" s="21"/>
      <c r="MSR232" s="15"/>
      <c r="MSS232" s="15"/>
      <c r="MST232" s="15"/>
      <c r="MSU232" s="15"/>
      <c r="MSV232" s="15"/>
      <c r="MSW232" s="15"/>
      <c r="MSX232" s="15"/>
      <c r="MSY232" s="15"/>
      <c r="MSZ232" s="15"/>
      <c r="MTA232" s="15"/>
      <c r="MTB232" s="10"/>
      <c r="MTC232" s="10"/>
      <c r="MTD232" s="21"/>
      <c r="MTE232" s="21"/>
      <c r="MTH232" s="21"/>
      <c r="MTI232" s="15"/>
      <c r="MTJ232" s="15"/>
      <c r="MTK232" s="15"/>
      <c r="MTL232" s="15"/>
      <c r="MTM232" s="15"/>
      <c r="MTN232" s="15"/>
      <c r="MTO232" s="15"/>
      <c r="MTP232" s="15"/>
      <c r="MTQ232" s="15"/>
      <c r="MTR232" s="15"/>
      <c r="MTS232" s="10"/>
      <c r="MTT232" s="10"/>
      <c r="MTU232" s="21"/>
      <c r="MTV232" s="21"/>
      <c r="MTY232" s="21"/>
      <c r="MTZ232" s="15"/>
      <c r="MUA232" s="15"/>
      <c r="MUB232" s="15"/>
      <c r="MUC232" s="15"/>
      <c r="MUD232" s="15"/>
      <c r="MUE232" s="15"/>
      <c r="MUF232" s="15"/>
      <c r="MUG232" s="15"/>
      <c r="MUH232" s="15"/>
      <c r="MUI232" s="15"/>
      <c r="MUJ232" s="10"/>
      <c r="MUK232" s="10"/>
      <c r="MUL232" s="21"/>
      <c r="MUM232" s="21"/>
      <c r="MUP232" s="21"/>
      <c r="MUQ232" s="15"/>
      <c r="MUR232" s="15"/>
      <c r="MUS232" s="15"/>
      <c r="MUT232" s="15"/>
      <c r="MUU232" s="15"/>
      <c r="MUV232" s="15"/>
      <c r="MUW232" s="15"/>
      <c r="MUX232" s="15"/>
      <c r="MUY232" s="15"/>
      <c r="MUZ232" s="15"/>
      <c r="MVA232" s="10"/>
      <c r="MVB232" s="10"/>
      <c r="MVC232" s="21"/>
      <c r="MVD232" s="21"/>
      <c r="MVG232" s="21"/>
      <c r="MVH232" s="15"/>
      <c r="MVI232" s="15"/>
      <c r="MVJ232" s="15"/>
      <c r="MVK232" s="15"/>
      <c r="MVL232" s="15"/>
      <c r="MVM232" s="15"/>
      <c r="MVN232" s="15"/>
      <c r="MVO232" s="15"/>
      <c r="MVP232" s="15"/>
      <c r="MVQ232" s="15"/>
      <c r="MVR232" s="10"/>
      <c r="MVS232" s="10"/>
      <c r="MVT232" s="21"/>
      <c r="MVU232" s="21"/>
      <c r="MVX232" s="21"/>
      <c r="MVY232" s="15"/>
      <c r="MVZ232" s="15"/>
      <c r="MWA232" s="15"/>
      <c r="MWB232" s="15"/>
      <c r="MWC232" s="15"/>
      <c r="MWD232" s="15"/>
      <c r="MWE232" s="15"/>
      <c r="MWF232" s="15"/>
      <c r="MWG232" s="15"/>
      <c r="MWH232" s="15"/>
      <c r="MWI232" s="10"/>
      <c r="MWJ232" s="10"/>
      <c r="MWK232" s="21"/>
      <c r="MWL232" s="21"/>
      <c r="MWO232" s="21"/>
      <c r="MWP232" s="15"/>
      <c r="MWQ232" s="15"/>
      <c r="MWR232" s="15"/>
      <c r="MWS232" s="15"/>
      <c r="MWT232" s="15"/>
      <c r="MWU232" s="15"/>
      <c r="MWV232" s="15"/>
      <c r="MWW232" s="15"/>
      <c r="MWX232" s="15"/>
      <c r="MWY232" s="15"/>
      <c r="MWZ232" s="10"/>
      <c r="MXA232" s="10"/>
      <c r="MXB232" s="21"/>
      <c r="MXC232" s="21"/>
      <c r="MXF232" s="21"/>
      <c r="MXG232" s="15"/>
      <c r="MXH232" s="15"/>
      <c r="MXI232" s="15"/>
      <c r="MXJ232" s="15"/>
      <c r="MXK232" s="15"/>
      <c r="MXL232" s="15"/>
      <c r="MXM232" s="15"/>
      <c r="MXN232" s="15"/>
      <c r="MXO232" s="15"/>
      <c r="MXP232" s="15"/>
      <c r="MXQ232" s="10"/>
      <c r="MXR232" s="10"/>
      <c r="MXS232" s="21"/>
      <c r="MXT232" s="21"/>
      <c r="MXW232" s="21"/>
      <c r="MXX232" s="15"/>
      <c r="MXY232" s="15"/>
      <c r="MXZ232" s="15"/>
      <c r="MYA232" s="15"/>
      <c r="MYB232" s="15"/>
      <c r="MYC232" s="15"/>
      <c r="MYD232" s="15"/>
      <c r="MYE232" s="15"/>
      <c r="MYF232" s="15"/>
      <c r="MYG232" s="15"/>
      <c r="MYH232" s="10"/>
      <c r="MYI232" s="10"/>
      <c r="MYJ232" s="21"/>
      <c r="MYK232" s="21"/>
      <c r="MYN232" s="21"/>
      <c r="MYO232" s="15"/>
      <c r="MYP232" s="15"/>
      <c r="MYQ232" s="15"/>
      <c r="MYR232" s="15"/>
      <c r="MYS232" s="15"/>
      <c r="MYT232" s="15"/>
      <c r="MYU232" s="15"/>
      <c r="MYV232" s="15"/>
      <c r="MYW232" s="15"/>
      <c r="MYX232" s="15"/>
      <c r="MYY232" s="10"/>
      <c r="MYZ232" s="10"/>
      <c r="MZA232" s="21"/>
      <c r="MZB232" s="21"/>
      <c r="MZE232" s="21"/>
      <c r="MZF232" s="15"/>
      <c r="MZG232" s="15"/>
      <c r="MZH232" s="15"/>
      <c r="MZI232" s="15"/>
      <c r="MZJ232" s="15"/>
      <c r="MZK232" s="15"/>
      <c r="MZL232" s="15"/>
      <c r="MZM232" s="15"/>
      <c r="MZN232" s="15"/>
      <c r="MZO232" s="15"/>
      <c r="MZP232" s="10"/>
      <c r="MZQ232" s="10"/>
      <c r="MZR232" s="21"/>
      <c r="MZS232" s="21"/>
      <c r="MZV232" s="21"/>
      <c r="MZW232" s="15"/>
      <c r="MZX232" s="15"/>
      <c r="MZY232" s="15"/>
      <c r="MZZ232" s="15"/>
      <c r="NAA232" s="15"/>
      <c r="NAB232" s="15"/>
      <c r="NAC232" s="15"/>
      <c r="NAD232" s="15"/>
      <c r="NAE232" s="15"/>
      <c r="NAF232" s="15"/>
      <c r="NAG232" s="10"/>
      <c r="NAH232" s="10"/>
      <c r="NAI232" s="21"/>
      <c r="NAJ232" s="21"/>
      <c r="NAM232" s="21"/>
      <c r="NAN232" s="15"/>
      <c r="NAO232" s="15"/>
      <c r="NAP232" s="15"/>
      <c r="NAQ232" s="15"/>
      <c r="NAR232" s="15"/>
      <c r="NAS232" s="15"/>
      <c r="NAT232" s="15"/>
      <c r="NAU232" s="15"/>
      <c r="NAV232" s="15"/>
      <c r="NAW232" s="15"/>
      <c r="NAX232" s="10"/>
      <c r="NAY232" s="10"/>
      <c r="NAZ232" s="21"/>
      <c r="NBA232" s="21"/>
      <c r="NBD232" s="21"/>
      <c r="NBE232" s="15"/>
      <c r="NBF232" s="15"/>
      <c r="NBG232" s="15"/>
      <c r="NBH232" s="15"/>
      <c r="NBI232" s="15"/>
      <c r="NBJ232" s="15"/>
      <c r="NBK232" s="15"/>
      <c r="NBL232" s="15"/>
      <c r="NBM232" s="15"/>
      <c r="NBN232" s="15"/>
      <c r="NBO232" s="10"/>
      <c r="NBP232" s="10"/>
      <c r="NBQ232" s="21"/>
      <c r="NBR232" s="21"/>
      <c r="NBU232" s="21"/>
      <c r="NBV232" s="15"/>
      <c r="NBW232" s="15"/>
      <c r="NBX232" s="15"/>
      <c r="NBY232" s="15"/>
      <c r="NBZ232" s="15"/>
      <c r="NCA232" s="15"/>
      <c r="NCB232" s="15"/>
      <c r="NCC232" s="15"/>
      <c r="NCD232" s="15"/>
      <c r="NCE232" s="15"/>
      <c r="NCF232" s="10"/>
      <c r="NCG232" s="10"/>
      <c r="NCH232" s="21"/>
      <c r="NCI232" s="21"/>
      <c r="NCL232" s="21"/>
      <c r="NCM232" s="15"/>
      <c r="NCN232" s="15"/>
      <c r="NCO232" s="15"/>
      <c r="NCP232" s="15"/>
      <c r="NCQ232" s="15"/>
      <c r="NCR232" s="15"/>
      <c r="NCS232" s="15"/>
      <c r="NCT232" s="15"/>
      <c r="NCU232" s="15"/>
      <c r="NCV232" s="15"/>
      <c r="NCW232" s="10"/>
      <c r="NCX232" s="10"/>
      <c r="NCY232" s="21"/>
      <c r="NCZ232" s="21"/>
      <c r="NDC232" s="21"/>
      <c r="NDD232" s="15"/>
      <c r="NDE232" s="15"/>
      <c r="NDF232" s="15"/>
      <c r="NDG232" s="15"/>
      <c r="NDH232" s="15"/>
      <c r="NDI232" s="15"/>
      <c r="NDJ232" s="15"/>
      <c r="NDK232" s="15"/>
      <c r="NDL232" s="15"/>
      <c r="NDM232" s="15"/>
      <c r="NDN232" s="10"/>
      <c r="NDO232" s="10"/>
      <c r="NDP232" s="21"/>
      <c r="NDQ232" s="21"/>
      <c r="NDT232" s="21"/>
      <c r="NDU232" s="15"/>
      <c r="NDV232" s="15"/>
      <c r="NDW232" s="15"/>
      <c r="NDX232" s="15"/>
      <c r="NDY232" s="15"/>
      <c r="NDZ232" s="15"/>
      <c r="NEA232" s="15"/>
      <c r="NEB232" s="15"/>
      <c r="NEC232" s="15"/>
      <c r="NED232" s="15"/>
      <c r="NEE232" s="10"/>
      <c r="NEF232" s="10"/>
      <c r="NEG232" s="21"/>
      <c r="NEH232" s="21"/>
      <c r="NEK232" s="21"/>
      <c r="NEL232" s="15"/>
      <c r="NEM232" s="15"/>
      <c r="NEN232" s="15"/>
      <c r="NEO232" s="15"/>
      <c r="NEP232" s="15"/>
      <c r="NEQ232" s="15"/>
      <c r="NER232" s="15"/>
      <c r="NES232" s="15"/>
      <c r="NET232" s="15"/>
      <c r="NEU232" s="15"/>
      <c r="NEV232" s="10"/>
      <c r="NEW232" s="10"/>
      <c r="NEX232" s="21"/>
      <c r="NEY232" s="21"/>
      <c r="NFB232" s="21"/>
      <c r="NFC232" s="15"/>
      <c r="NFD232" s="15"/>
      <c r="NFE232" s="15"/>
      <c r="NFF232" s="15"/>
      <c r="NFG232" s="15"/>
      <c r="NFH232" s="15"/>
      <c r="NFI232" s="15"/>
      <c r="NFJ232" s="15"/>
      <c r="NFK232" s="15"/>
      <c r="NFL232" s="15"/>
      <c r="NFM232" s="10"/>
      <c r="NFN232" s="10"/>
      <c r="NFO232" s="21"/>
      <c r="NFP232" s="21"/>
      <c r="NFS232" s="21"/>
      <c r="NFT232" s="15"/>
      <c r="NFU232" s="15"/>
      <c r="NFV232" s="15"/>
      <c r="NFW232" s="15"/>
      <c r="NFX232" s="15"/>
      <c r="NFY232" s="15"/>
      <c r="NFZ232" s="15"/>
      <c r="NGA232" s="15"/>
      <c r="NGB232" s="15"/>
      <c r="NGC232" s="15"/>
      <c r="NGD232" s="10"/>
      <c r="NGE232" s="10"/>
      <c r="NGF232" s="21"/>
      <c r="NGG232" s="21"/>
      <c r="NGJ232" s="21"/>
      <c r="NGK232" s="15"/>
      <c r="NGL232" s="15"/>
      <c r="NGM232" s="15"/>
      <c r="NGN232" s="15"/>
      <c r="NGO232" s="15"/>
      <c r="NGP232" s="15"/>
      <c r="NGQ232" s="15"/>
      <c r="NGR232" s="15"/>
      <c r="NGS232" s="15"/>
      <c r="NGT232" s="15"/>
      <c r="NGU232" s="10"/>
      <c r="NGV232" s="10"/>
      <c r="NGW232" s="21"/>
      <c r="NGX232" s="21"/>
      <c r="NHA232" s="21"/>
      <c r="NHB232" s="15"/>
      <c r="NHC232" s="15"/>
      <c r="NHD232" s="15"/>
      <c r="NHE232" s="15"/>
      <c r="NHF232" s="15"/>
      <c r="NHG232" s="15"/>
      <c r="NHH232" s="15"/>
      <c r="NHI232" s="15"/>
      <c r="NHJ232" s="15"/>
      <c r="NHK232" s="15"/>
      <c r="NHL232" s="10"/>
      <c r="NHM232" s="10"/>
      <c r="NHN232" s="21"/>
      <c r="NHO232" s="21"/>
      <c r="NHR232" s="21"/>
      <c r="NHS232" s="15"/>
      <c r="NHT232" s="15"/>
      <c r="NHU232" s="15"/>
      <c r="NHV232" s="15"/>
      <c r="NHW232" s="15"/>
      <c r="NHX232" s="15"/>
      <c r="NHY232" s="15"/>
      <c r="NHZ232" s="15"/>
      <c r="NIA232" s="15"/>
      <c r="NIB232" s="15"/>
      <c r="NIC232" s="10"/>
      <c r="NID232" s="10"/>
      <c r="NIE232" s="21"/>
      <c r="NIF232" s="21"/>
      <c r="NII232" s="21"/>
      <c r="NIJ232" s="15"/>
      <c r="NIK232" s="15"/>
      <c r="NIL232" s="15"/>
      <c r="NIM232" s="15"/>
      <c r="NIN232" s="15"/>
      <c r="NIO232" s="15"/>
      <c r="NIP232" s="15"/>
      <c r="NIQ232" s="15"/>
      <c r="NIR232" s="15"/>
      <c r="NIS232" s="15"/>
      <c r="NIT232" s="10"/>
      <c r="NIU232" s="10"/>
      <c r="NIV232" s="21"/>
      <c r="NIW232" s="21"/>
      <c r="NIZ232" s="21"/>
      <c r="NJA232" s="15"/>
      <c r="NJB232" s="15"/>
      <c r="NJC232" s="15"/>
      <c r="NJD232" s="15"/>
      <c r="NJE232" s="15"/>
      <c r="NJF232" s="15"/>
      <c r="NJG232" s="15"/>
      <c r="NJH232" s="15"/>
      <c r="NJI232" s="15"/>
      <c r="NJJ232" s="15"/>
      <c r="NJK232" s="10"/>
      <c r="NJL232" s="10"/>
      <c r="NJM232" s="21"/>
      <c r="NJN232" s="21"/>
      <c r="NJQ232" s="21"/>
      <c r="NJR232" s="15"/>
      <c r="NJS232" s="15"/>
      <c r="NJT232" s="15"/>
      <c r="NJU232" s="15"/>
      <c r="NJV232" s="15"/>
      <c r="NJW232" s="15"/>
      <c r="NJX232" s="15"/>
      <c r="NJY232" s="15"/>
      <c r="NJZ232" s="15"/>
      <c r="NKA232" s="15"/>
      <c r="NKB232" s="10"/>
      <c r="NKC232" s="10"/>
      <c r="NKD232" s="21"/>
      <c r="NKE232" s="21"/>
      <c r="NKH232" s="21"/>
      <c r="NKI232" s="15"/>
      <c r="NKJ232" s="15"/>
      <c r="NKK232" s="15"/>
      <c r="NKL232" s="15"/>
      <c r="NKM232" s="15"/>
      <c r="NKN232" s="15"/>
      <c r="NKO232" s="15"/>
      <c r="NKP232" s="15"/>
      <c r="NKQ232" s="15"/>
      <c r="NKR232" s="15"/>
      <c r="NKS232" s="10"/>
      <c r="NKT232" s="10"/>
      <c r="NKU232" s="21"/>
      <c r="NKV232" s="21"/>
      <c r="NKY232" s="21"/>
      <c r="NKZ232" s="15"/>
      <c r="NLA232" s="15"/>
      <c r="NLB232" s="15"/>
      <c r="NLC232" s="15"/>
      <c r="NLD232" s="15"/>
      <c r="NLE232" s="15"/>
      <c r="NLF232" s="15"/>
      <c r="NLG232" s="15"/>
      <c r="NLH232" s="15"/>
      <c r="NLI232" s="15"/>
      <c r="NLJ232" s="10"/>
      <c r="NLK232" s="10"/>
      <c r="NLL232" s="21"/>
      <c r="NLM232" s="21"/>
      <c r="NLP232" s="21"/>
      <c r="NLQ232" s="15"/>
      <c r="NLR232" s="15"/>
      <c r="NLS232" s="15"/>
      <c r="NLT232" s="15"/>
      <c r="NLU232" s="15"/>
      <c r="NLV232" s="15"/>
      <c r="NLW232" s="15"/>
      <c r="NLX232" s="15"/>
      <c r="NLY232" s="15"/>
      <c r="NLZ232" s="15"/>
      <c r="NMA232" s="10"/>
      <c r="NMB232" s="10"/>
      <c r="NMC232" s="21"/>
      <c r="NMD232" s="21"/>
      <c r="NMG232" s="21"/>
      <c r="NMH232" s="15"/>
      <c r="NMI232" s="15"/>
      <c r="NMJ232" s="15"/>
      <c r="NMK232" s="15"/>
      <c r="NML232" s="15"/>
      <c r="NMM232" s="15"/>
      <c r="NMN232" s="15"/>
      <c r="NMO232" s="15"/>
      <c r="NMP232" s="15"/>
      <c r="NMQ232" s="15"/>
      <c r="NMR232" s="10"/>
      <c r="NMS232" s="10"/>
      <c r="NMT232" s="21"/>
      <c r="NMU232" s="21"/>
      <c r="NMX232" s="21"/>
      <c r="NMY232" s="15"/>
      <c r="NMZ232" s="15"/>
      <c r="NNA232" s="15"/>
      <c r="NNB232" s="15"/>
      <c r="NNC232" s="15"/>
      <c r="NND232" s="15"/>
      <c r="NNE232" s="15"/>
      <c r="NNF232" s="15"/>
      <c r="NNG232" s="15"/>
      <c r="NNH232" s="15"/>
      <c r="NNI232" s="10"/>
      <c r="NNJ232" s="10"/>
      <c r="NNK232" s="21"/>
      <c r="NNL232" s="21"/>
      <c r="NNO232" s="21"/>
      <c r="NNP232" s="15"/>
      <c r="NNQ232" s="15"/>
      <c r="NNR232" s="15"/>
      <c r="NNS232" s="15"/>
      <c r="NNT232" s="15"/>
      <c r="NNU232" s="15"/>
      <c r="NNV232" s="15"/>
      <c r="NNW232" s="15"/>
      <c r="NNX232" s="15"/>
      <c r="NNY232" s="15"/>
      <c r="NNZ232" s="10"/>
      <c r="NOA232" s="10"/>
      <c r="NOB232" s="21"/>
      <c r="NOC232" s="21"/>
      <c r="NOF232" s="21"/>
      <c r="NOG232" s="15"/>
      <c r="NOH232" s="15"/>
      <c r="NOI232" s="15"/>
      <c r="NOJ232" s="15"/>
      <c r="NOK232" s="15"/>
      <c r="NOL232" s="15"/>
      <c r="NOM232" s="15"/>
      <c r="NON232" s="15"/>
      <c r="NOO232" s="15"/>
      <c r="NOP232" s="15"/>
      <c r="NOQ232" s="10"/>
      <c r="NOR232" s="10"/>
      <c r="NOS232" s="21"/>
      <c r="NOT232" s="21"/>
      <c r="NOW232" s="21"/>
      <c r="NOX232" s="15"/>
      <c r="NOY232" s="15"/>
      <c r="NOZ232" s="15"/>
      <c r="NPA232" s="15"/>
      <c r="NPB232" s="15"/>
      <c r="NPC232" s="15"/>
      <c r="NPD232" s="15"/>
      <c r="NPE232" s="15"/>
      <c r="NPF232" s="15"/>
      <c r="NPG232" s="15"/>
      <c r="NPH232" s="10"/>
      <c r="NPI232" s="10"/>
      <c r="NPJ232" s="21"/>
      <c r="NPK232" s="21"/>
      <c r="NPN232" s="21"/>
      <c r="NPO232" s="15"/>
      <c r="NPP232" s="15"/>
      <c r="NPQ232" s="15"/>
      <c r="NPR232" s="15"/>
      <c r="NPS232" s="15"/>
      <c r="NPT232" s="15"/>
      <c r="NPU232" s="15"/>
      <c r="NPV232" s="15"/>
      <c r="NPW232" s="15"/>
      <c r="NPX232" s="15"/>
      <c r="NPY232" s="10"/>
      <c r="NPZ232" s="10"/>
      <c r="NQA232" s="21"/>
      <c r="NQB232" s="21"/>
      <c r="NQE232" s="21"/>
      <c r="NQF232" s="15"/>
      <c r="NQG232" s="15"/>
      <c r="NQH232" s="15"/>
      <c r="NQI232" s="15"/>
      <c r="NQJ232" s="15"/>
      <c r="NQK232" s="15"/>
      <c r="NQL232" s="15"/>
      <c r="NQM232" s="15"/>
      <c r="NQN232" s="15"/>
      <c r="NQO232" s="15"/>
      <c r="NQP232" s="10"/>
      <c r="NQQ232" s="10"/>
      <c r="NQR232" s="21"/>
      <c r="NQS232" s="21"/>
      <c r="NQV232" s="21"/>
      <c r="NQW232" s="15"/>
      <c r="NQX232" s="15"/>
      <c r="NQY232" s="15"/>
      <c r="NQZ232" s="15"/>
      <c r="NRA232" s="15"/>
      <c r="NRB232" s="15"/>
      <c r="NRC232" s="15"/>
      <c r="NRD232" s="15"/>
      <c r="NRE232" s="15"/>
      <c r="NRF232" s="15"/>
      <c r="NRG232" s="10"/>
      <c r="NRH232" s="10"/>
      <c r="NRI232" s="21"/>
      <c r="NRJ232" s="21"/>
      <c r="NRM232" s="21"/>
      <c r="NRN232" s="15"/>
      <c r="NRO232" s="15"/>
      <c r="NRP232" s="15"/>
      <c r="NRQ232" s="15"/>
      <c r="NRR232" s="15"/>
      <c r="NRS232" s="15"/>
      <c r="NRT232" s="15"/>
      <c r="NRU232" s="15"/>
      <c r="NRV232" s="15"/>
      <c r="NRW232" s="15"/>
      <c r="NRX232" s="10"/>
      <c r="NRY232" s="10"/>
      <c r="NRZ232" s="21"/>
      <c r="NSA232" s="21"/>
      <c r="NSD232" s="21"/>
      <c r="NSE232" s="15"/>
      <c r="NSF232" s="15"/>
      <c r="NSG232" s="15"/>
      <c r="NSH232" s="15"/>
      <c r="NSI232" s="15"/>
      <c r="NSJ232" s="15"/>
      <c r="NSK232" s="15"/>
      <c r="NSL232" s="15"/>
      <c r="NSM232" s="15"/>
      <c r="NSN232" s="15"/>
      <c r="NSO232" s="10"/>
      <c r="NSP232" s="10"/>
      <c r="NSQ232" s="21"/>
      <c r="NSR232" s="21"/>
      <c r="NSU232" s="21"/>
      <c r="NSV232" s="15"/>
      <c r="NSW232" s="15"/>
      <c r="NSX232" s="15"/>
      <c r="NSY232" s="15"/>
      <c r="NSZ232" s="15"/>
      <c r="NTA232" s="15"/>
      <c r="NTB232" s="15"/>
      <c r="NTC232" s="15"/>
      <c r="NTD232" s="15"/>
      <c r="NTE232" s="15"/>
      <c r="NTF232" s="10"/>
      <c r="NTG232" s="10"/>
      <c r="NTH232" s="21"/>
      <c r="NTI232" s="21"/>
      <c r="NTL232" s="21"/>
      <c r="NTM232" s="15"/>
      <c r="NTN232" s="15"/>
      <c r="NTO232" s="15"/>
      <c r="NTP232" s="15"/>
      <c r="NTQ232" s="15"/>
      <c r="NTR232" s="15"/>
      <c r="NTS232" s="15"/>
      <c r="NTT232" s="15"/>
      <c r="NTU232" s="15"/>
      <c r="NTV232" s="15"/>
      <c r="NTW232" s="10"/>
      <c r="NTX232" s="10"/>
      <c r="NTY232" s="21"/>
      <c r="NTZ232" s="21"/>
      <c r="NUC232" s="21"/>
      <c r="NUD232" s="15"/>
      <c r="NUE232" s="15"/>
      <c r="NUF232" s="15"/>
      <c r="NUG232" s="15"/>
      <c r="NUH232" s="15"/>
      <c r="NUI232" s="15"/>
      <c r="NUJ232" s="15"/>
      <c r="NUK232" s="15"/>
      <c r="NUL232" s="15"/>
      <c r="NUM232" s="15"/>
      <c r="NUN232" s="10"/>
      <c r="NUO232" s="10"/>
      <c r="NUP232" s="21"/>
      <c r="NUQ232" s="21"/>
      <c r="NUT232" s="21"/>
      <c r="NUU232" s="15"/>
      <c r="NUV232" s="15"/>
      <c r="NUW232" s="15"/>
      <c r="NUX232" s="15"/>
      <c r="NUY232" s="15"/>
      <c r="NUZ232" s="15"/>
      <c r="NVA232" s="15"/>
      <c r="NVB232" s="15"/>
      <c r="NVC232" s="15"/>
      <c r="NVD232" s="15"/>
      <c r="NVE232" s="10"/>
      <c r="NVF232" s="10"/>
      <c r="NVG232" s="21"/>
      <c r="NVH232" s="21"/>
      <c r="NVK232" s="21"/>
      <c r="NVL232" s="15"/>
      <c r="NVM232" s="15"/>
      <c r="NVN232" s="15"/>
      <c r="NVO232" s="15"/>
      <c r="NVP232" s="15"/>
      <c r="NVQ232" s="15"/>
      <c r="NVR232" s="15"/>
      <c r="NVS232" s="15"/>
      <c r="NVT232" s="15"/>
      <c r="NVU232" s="15"/>
      <c r="NVV232" s="10"/>
      <c r="NVW232" s="10"/>
      <c r="NVX232" s="21"/>
      <c r="NVY232" s="21"/>
      <c r="NWB232" s="21"/>
      <c r="NWC232" s="15"/>
      <c r="NWD232" s="15"/>
      <c r="NWE232" s="15"/>
      <c r="NWF232" s="15"/>
      <c r="NWG232" s="15"/>
      <c r="NWH232" s="15"/>
      <c r="NWI232" s="15"/>
      <c r="NWJ232" s="15"/>
      <c r="NWK232" s="15"/>
      <c r="NWL232" s="15"/>
      <c r="NWM232" s="10"/>
      <c r="NWN232" s="10"/>
      <c r="NWO232" s="21"/>
      <c r="NWP232" s="21"/>
      <c r="NWS232" s="21"/>
      <c r="NWT232" s="15"/>
      <c r="NWU232" s="15"/>
      <c r="NWV232" s="15"/>
      <c r="NWW232" s="15"/>
      <c r="NWX232" s="15"/>
      <c r="NWY232" s="15"/>
      <c r="NWZ232" s="15"/>
      <c r="NXA232" s="15"/>
      <c r="NXB232" s="15"/>
      <c r="NXC232" s="15"/>
      <c r="NXD232" s="10"/>
      <c r="NXE232" s="10"/>
      <c r="NXF232" s="21"/>
      <c r="NXG232" s="21"/>
      <c r="NXJ232" s="21"/>
      <c r="NXK232" s="15"/>
      <c r="NXL232" s="15"/>
      <c r="NXM232" s="15"/>
      <c r="NXN232" s="15"/>
      <c r="NXO232" s="15"/>
      <c r="NXP232" s="15"/>
      <c r="NXQ232" s="15"/>
      <c r="NXR232" s="15"/>
      <c r="NXS232" s="15"/>
      <c r="NXT232" s="15"/>
      <c r="NXU232" s="10"/>
      <c r="NXV232" s="10"/>
      <c r="NXW232" s="21"/>
      <c r="NXX232" s="21"/>
      <c r="NYA232" s="21"/>
      <c r="NYB232" s="15"/>
      <c r="NYC232" s="15"/>
      <c r="NYD232" s="15"/>
      <c r="NYE232" s="15"/>
      <c r="NYF232" s="15"/>
      <c r="NYG232" s="15"/>
      <c r="NYH232" s="15"/>
      <c r="NYI232" s="15"/>
      <c r="NYJ232" s="15"/>
      <c r="NYK232" s="15"/>
      <c r="NYL232" s="10"/>
      <c r="NYM232" s="10"/>
      <c r="NYN232" s="21"/>
      <c r="NYO232" s="21"/>
      <c r="NYR232" s="21"/>
      <c r="NYS232" s="15"/>
      <c r="NYT232" s="15"/>
      <c r="NYU232" s="15"/>
      <c r="NYV232" s="15"/>
      <c r="NYW232" s="15"/>
      <c r="NYX232" s="15"/>
      <c r="NYY232" s="15"/>
      <c r="NYZ232" s="15"/>
      <c r="NZA232" s="15"/>
      <c r="NZB232" s="15"/>
      <c r="NZC232" s="10"/>
      <c r="NZD232" s="10"/>
      <c r="NZE232" s="21"/>
      <c r="NZF232" s="21"/>
      <c r="NZI232" s="21"/>
      <c r="NZJ232" s="15"/>
      <c r="NZK232" s="15"/>
      <c r="NZL232" s="15"/>
      <c r="NZM232" s="15"/>
      <c r="NZN232" s="15"/>
      <c r="NZO232" s="15"/>
      <c r="NZP232" s="15"/>
      <c r="NZQ232" s="15"/>
      <c r="NZR232" s="15"/>
      <c r="NZS232" s="15"/>
      <c r="NZT232" s="10"/>
      <c r="NZU232" s="10"/>
      <c r="NZV232" s="21"/>
      <c r="NZW232" s="21"/>
      <c r="NZZ232" s="21"/>
      <c r="OAA232" s="15"/>
      <c r="OAB232" s="15"/>
      <c r="OAC232" s="15"/>
      <c r="OAD232" s="15"/>
      <c r="OAE232" s="15"/>
      <c r="OAF232" s="15"/>
      <c r="OAG232" s="15"/>
      <c r="OAH232" s="15"/>
      <c r="OAI232" s="15"/>
      <c r="OAJ232" s="15"/>
      <c r="OAK232" s="10"/>
      <c r="OAL232" s="10"/>
      <c r="OAM232" s="21"/>
      <c r="OAN232" s="21"/>
      <c r="OAQ232" s="21"/>
      <c r="OAR232" s="15"/>
      <c r="OAS232" s="15"/>
      <c r="OAT232" s="15"/>
      <c r="OAU232" s="15"/>
      <c r="OAV232" s="15"/>
      <c r="OAW232" s="15"/>
      <c r="OAX232" s="15"/>
      <c r="OAY232" s="15"/>
      <c r="OAZ232" s="15"/>
      <c r="OBA232" s="15"/>
      <c r="OBB232" s="10"/>
      <c r="OBC232" s="10"/>
      <c r="OBD232" s="21"/>
      <c r="OBE232" s="21"/>
      <c r="OBH232" s="21"/>
      <c r="OBI232" s="15"/>
      <c r="OBJ232" s="15"/>
      <c r="OBK232" s="15"/>
      <c r="OBL232" s="15"/>
      <c r="OBM232" s="15"/>
      <c r="OBN232" s="15"/>
      <c r="OBO232" s="15"/>
      <c r="OBP232" s="15"/>
      <c r="OBQ232" s="15"/>
      <c r="OBR232" s="15"/>
      <c r="OBS232" s="10"/>
      <c r="OBT232" s="10"/>
      <c r="OBU232" s="21"/>
      <c r="OBV232" s="21"/>
      <c r="OBY232" s="21"/>
      <c r="OBZ232" s="15"/>
      <c r="OCA232" s="15"/>
      <c r="OCB232" s="15"/>
      <c r="OCC232" s="15"/>
      <c r="OCD232" s="15"/>
      <c r="OCE232" s="15"/>
      <c r="OCF232" s="15"/>
      <c r="OCG232" s="15"/>
      <c r="OCH232" s="15"/>
      <c r="OCI232" s="15"/>
      <c r="OCJ232" s="10"/>
      <c r="OCK232" s="10"/>
      <c r="OCL232" s="21"/>
      <c r="OCM232" s="21"/>
      <c r="OCP232" s="21"/>
      <c r="OCQ232" s="15"/>
      <c r="OCR232" s="15"/>
      <c r="OCS232" s="15"/>
      <c r="OCT232" s="15"/>
      <c r="OCU232" s="15"/>
      <c r="OCV232" s="15"/>
      <c r="OCW232" s="15"/>
      <c r="OCX232" s="15"/>
      <c r="OCY232" s="15"/>
      <c r="OCZ232" s="15"/>
      <c r="ODA232" s="10"/>
      <c r="ODB232" s="10"/>
      <c r="ODC232" s="21"/>
      <c r="ODD232" s="21"/>
      <c r="ODG232" s="21"/>
      <c r="ODH232" s="15"/>
      <c r="ODI232" s="15"/>
      <c r="ODJ232" s="15"/>
      <c r="ODK232" s="15"/>
      <c r="ODL232" s="15"/>
      <c r="ODM232" s="15"/>
      <c r="ODN232" s="15"/>
      <c r="ODO232" s="15"/>
      <c r="ODP232" s="15"/>
      <c r="ODQ232" s="15"/>
      <c r="ODR232" s="10"/>
      <c r="ODS232" s="10"/>
      <c r="ODT232" s="21"/>
      <c r="ODU232" s="21"/>
      <c r="ODX232" s="21"/>
      <c r="ODY232" s="15"/>
      <c r="ODZ232" s="15"/>
      <c r="OEA232" s="15"/>
      <c r="OEB232" s="15"/>
      <c r="OEC232" s="15"/>
      <c r="OED232" s="15"/>
      <c r="OEE232" s="15"/>
      <c r="OEF232" s="15"/>
      <c r="OEG232" s="15"/>
      <c r="OEH232" s="15"/>
      <c r="OEI232" s="10"/>
      <c r="OEJ232" s="10"/>
      <c r="OEK232" s="21"/>
      <c r="OEL232" s="21"/>
      <c r="OEO232" s="21"/>
      <c r="OEP232" s="15"/>
      <c r="OEQ232" s="15"/>
      <c r="OER232" s="15"/>
      <c r="OES232" s="15"/>
      <c r="OET232" s="15"/>
      <c r="OEU232" s="15"/>
      <c r="OEV232" s="15"/>
      <c r="OEW232" s="15"/>
      <c r="OEX232" s="15"/>
      <c r="OEY232" s="15"/>
      <c r="OEZ232" s="10"/>
      <c r="OFA232" s="10"/>
      <c r="OFB232" s="21"/>
      <c r="OFC232" s="21"/>
      <c r="OFF232" s="21"/>
      <c r="OFG232" s="15"/>
      <c r="OFH232" s="15"/>
      <c r="OFI232" s="15"/>
      <c r="OFJ232" s="15"/>
      <c r="OFK232" s="15"/>
      <c r="OFL232" s="15"/>
      <c r="OFM232" s="15"/>
      <c r="OFN232" s="15"/>
      <c r="OFO232" s="15"/>
      <c r="OFP232" s="15"/>
      <c r="OFQ232" s="10"/>
      <c r="OFR232" s="10"/>
      <c r="OFS232" s="21"/>
      <c r="OFT232" s="21"/>
      <c r="OFW232" s="21"/>
      <c r="OFX232" s="15"/>
      <c r="OFY232" s="15"/>
      <c r="OFZ232" s="15"/>
      <c r="OGA232" s="15"/>
      <c r="OGB232" s="15"/>
      <c r="OGC232" s="15"/>
      <c r="OGD232" s="15"/>
      <c r="OGE232" s="15"/>
      <c r="OGF232" s="15"/>
      <c r="OGG232" s="15"/>
      <c r="OGH232" s="10"/>
      <c r="OGI232" s="10"/>
      <c r="OGJ232" s="21"/>
      <c r="OGK232" s="21"/>
      <c r="OGN232" s="21"/>
      <c r="OGO232" s="15"/>
      <c r="OGP232" s="15"/>
      <c r="OGQ232" s="15"/>
      <c r="OGR232" s="15"/>
      <c r="OGS232" s="15"/>
      <c r="OGT232" s="15"/>
      <c r="OGU232" s="15"/>
      <c r="OGV232" s="15"/>
      <c r="OGW232" s="15"/>
      <c r="OGX232" s="15"/>
      <c r="OGY232" s="10"/>
      <c r="OGZ232" s="10"/>
      <c r="OHA232" s="21"/>
      <c r="OHB232" s="21"/>
      <c r="OHE232" s="21"/>
      <c r="OHF232" s="15"/>
      <c r="OHG232" s="15"/>
      <c r="OHH232" s="15"/>
      <c r="OHI232" s="15"/>
      <c r="OHJ232" s="15"/>
      <c r="OHK232" s="15"/>
      <c r="OHL232" s="15"/>
      <c r="OHM232" s="15"/>
      <c r="OHN232" s="15"/>
      <c r="OHO232" s="15"/>
      <c r="OHP232" s="10"/>
      <c r="OHQ232" s="10"/>
      <c r="OHR232" s="21"/>
      <c r="OHS232" s="21"/>
      <c r="OHV232" s="21"/>
      <c r="OHW232" s="15"/>
      <c r="OHX232" s="15"/>
      <c r="OHY232" s="15"/>
      <c r="OHZ232" s="15"/>
      <c r="OIA232" s="15"/>
      <c r="OIB232" s="15"/>
      <c r="OIC232" s="15"/>
      <c r="OID232" s="15"/>
      <c r="OIE232" s="15"/>
      <c r="OIF232" s="15"/>
      <c r="OIG232" s="10"/>
      <c r="OIH232" s="10"/>
      <c r="OII232" s="21"/>
      <c r="OIJ232" s="21"/>
      <c r="OIM232" s="21"/>
      <c r="OIN232" s="15"/>
      <c r="OIO232" s="15"/>
      <c r="OIP232" s="15"/>
      <c r="OIQ232" s="15"/>
      <c r="OIR232" s="15"/>
      <c r="OIS232" s="15"/>
      <c r="OIT232" s="15"/>
      <c r="OIU232" s="15"/>
      <c r="OIV232" s="15"/>
      <c r="OIW232" s="15"/>
      <c r="OIX232" s="10"/>
      <c r="OIY232" s="10"/>
      <c r="OIZ232" s="21"/>
      <c r="OJA232" s="21"/>
      <c r="OJD232" s="21"/>
      <c r="OJE232" s="15"/>
      <c r="OJF232" s="15"/>
      <c r="OJG232" s="15"/>
      <c r="OJH232" s="15"/>
      <c r="OJI232" s="15"/>
      <c r="OJJ232" s="15"/>
      <c r="OJK232" s="15"/>
      <c r="OJL232" s="15"/>
      <c r="OJM232" s="15"/>
      <c r="OJN232" s="15"/>
      <c r="OJO232" s="10"/>
      <c r="OJP232" s="10"/>
      <c r="OJQ232" s="21"/>
      <c r="OJR232" s="21"/>
      <c r="OJU232" s="21"/>
      <c r="OJV232" s="15"/>
      <c r="OJW232" s="15"/>
      <c r="OJX232" s="15"/>
      <c r="OJY232" s="15"/>
      <c r="OJZ232" s="15"/>
      <c r="OKA232" s="15"/>
      <c r="OKB232" s="15"/>
      <c r="OKC232" s="15"/>
      <c r="OKD232" s="15"/>
      <c r="OKE232" s="15"/>
      <c r="OKF232" s="10"/>
      <c r="OKG232" s="10"/>
      <c r="OKH232" s="21"/>
      <c r="OKI232" s="21"/>
      <c r="OKL232" s="21"/>
      <c r="OKM232" s="15"/>
      <c r="OKN232" s="15"/>
      <c r="OKO232" s="15"/>
      <c r="OKP232" s="15"/>
      <c r="OKQ232" s="15"/>
      <c r="OKR232" s="15"/>
      <c r="OKS232" s="15"/>
      <c r="OKT232" s="15"/>
      <c r="OKU232" s="15"/>
      <c r="OKV232" s="15"/>
      <c r="OKW232" s="10"/>
      <c r="OKX232" s="10"/>
      <c r="OKY232" s="21"/>
      <c r="OKZ232" s="21"/>
      <c r="OLC232" s="21"/>
      <c r="OLD232" s="15"/>
      <c r="OLE232" s="15"/>
      <c r="OLF232" s="15"/>
      <c r="OLG232" s="15"/>
      <c r="OLH232" s="15"/>
      <c r="OLI232" s="15"/>
      <c r="OLJ232" s="15"/>
      <c r="OLK232" s="15"/>
      <c r="OLL232" s="15"/>
      <c r="OLM232" s="15"/>
      <c r="OLN232" s="10"/>
      <c r="OLO232" s="10"/>
      <c r="OLP232" s="21"/>
      <c r="OLQ232" s="21"/>
      <c r="OLT232" s="21"/>
      <c r="OLU232" s="15"/>
      <c r="OLV232" s="15"/>
      <c r="OLW232" s="15"/>
      <c r="OLX232" s="15"/>
      <c r="OLY232" s="15"/>
      <c r="OLZ232" s="15"/>
      <c r="OMA232" s="15"/>
      <c r="OMB232" s="15"/>
      <c r="OMC232" s="15"/>
      <c r="OMD232" s="15"/>
      <c r="OME232" s="10"/>
      <c r="OMF232" s="10"/>
      <c r="OMG232" s="21"/>
      <c r="OMH232" s="21"/>
      <c r="OMK232" s="21"/>
      <c r="OML232" s="15"/>
      <c r="OMM232" s="15"/>
      <c r="OMN232" s="15"/>
      <c r="OMO232" s="15"/>
      <c r="OMP232" s="15"/>
      <c r="OMQ232" s="15"/>
      <c r="OMR232" s="15"/>
      <c r="OMS232" s="15"/>
      <c r="OMT232" s="15"/>
      <c r="OMU232" s="15"/>
      <c r="OMV232" s="10"/>
      <c r="OMW232" s="10"/>
      <c r="OMX232" s="21"/>
      <c r="OMY232" s="21"/>
      <c r="ONB232" s="21"/>
      <c r="ONC232" s="15"/>
      <c r="OND232" s="15"/>
      <c r="ONE232" s="15"/>
      <c r="ONF232" s="15"/>
      <c r="ONG232" s="15"/>
      <c r="ONH232" s="15"/>
      <c r="ONI232" s="15"/>
      <c r="ONJ232" s="15"/>
      <c r="ONK232" s="15"/>
      <c r="ONL232" s="15"/>
      <c r="ONM232" s="10"/>
      <c r="ONN232" s="10"/>
      <c r="ONO232" s="21"/>
      <c r="ONP232" s="21"/>
      <c r="ONS232" s="21"/>
      <c r="ONT232" s="15"/>
      <c r="ONU232" s="15"/>
      <c r="ONV232" s="15"/>
      <c r="ONW232" s="15"/>
      <c r="ONX232" s="15"/>
      <c r="ONY232" s="15"/>
      <c r="ONZ232" s="15"/>
      <c r="OOA232" s="15"/>
      <c r="OOB232" s="15"/>
      <c r="OOC232" s="15"/>
      <c r="OOD232" s="10"/>
      <c r="OOE232" s="10"/>
      <c r="OOF232" s="21"/>
      <c r="OOG232" s="21"/>
      <c r="OOJ232" s="21"/>
      <c r="OOK232" s="15"/>
      <c r="OOL232" s="15"/>
      <c r="OOM232" s="15"/>
      <c r="OON232" s="15"/>
      <c r="OOO232" s="15"/>
      <c r="OOP232" s="15"/>
      <c r="OOQ232" s="15"/>
      <c r="OOR232" s="15"/>
      <c r="OOS232" s="15"/>
      <c r="OOT232" s="15"/>
      <c r="OOU232" s="10"/>
      <c r="OOV232" s="10"/>
      <c r="OOW232" s="21"/>
      <c r="OOX232" s="21"/>
      <c r="OPA232" s="21"/>
      <c r="OPB232" s="15"/>
      <c r="OPC232" s="15"/>
      <c r="OPD232" s="15"/>
      <c r="OPE232" s="15"/>
      <c r="OPF232" s="15"/>
      <c r="OPG232" s="15"/>
      <c r="OPH232" s="15"/>
      <c r="OPI232" s="15"/>
      <c r="OPJ232" s="15"/>
      <c r="OPK232" s="15"/>
      <c r="OPL232" s="10"/>
      <c r="OPM232" s="10"/>
      <c r="OPN232" s="21"/>
      <c r="OPO232" s="21"/>
      <c r="OPR232" s="21"/>
      <c r="OPS232" s="15"/>
      <c r="OPT232" s="15"/>
      <c r="OPU232" s="15"/>
      <c r="OPV232" s="15"/>
      <c r="OPW232" s="15"/>
      <c r="OPX232" s="15"/>
      <c r="OPY232" s="15"/>
      <c r="OPZ232" s="15"/>
      <c r="OQA232" s="15"/>
      <c r="OQB232" s="15"/>
      <c r="OQC232" s="10"/>
      <c r="OQD232" s="10"/>
      <c r="OQE232" s="21"/>
      <c r="OQF232" s="21"/>
      <c r="OQI232" s="21"/>
      <c r="OQJ232" s="15"/>
      <c r="OQK232" s="15"/>
      <c r="OQL232" s="15"/>
      <c r="OQM232" s="15"/>
      <c r="OQN232" s="15"/>
      <c r="OQO232" s="15"/>
      <c r="OQP232" s="15"/>
      <c r="OQQ232" s="15"/>
      <c r="OQR232" s="15"/>
      <c r="OQS232" s="15"/>
      <c r="OQT232" s="10"/>
      <c r="OQU232" s="10"/>
      <c r="OQV232" s="21"/>
      <c r="OQW232" s="21"/>
      <c r="OQZ232" s="21"/>
      <c r="ORA232" s="15"/>
      <c r="ORB232" s="15"/>
      <c r="ORC232" s="15"/>
      <c r="ORD232" s="15"/>
      <c r="ORE232" s="15"/>
      <c r="ORF232" s="15"/>
      <c r="ORG232" s="15"/>
      <c r="ORH232" s="15"/>
      <c r="ORI232" s="15"/>
      <c r="ORJ232" s="15"/>
      <c r="ORK232" s="10"/>
      <c r="ORL232" s="10"/>
      <c r="ORM232" s="21"/>
      <c r="ORN232" s="21"/>
      <c r="ORQ232" s="21"/>
      <c r="ORR232" s="15"/>
      <c r="ORS232" s="15"/>
      <c r="ORT232" s="15"/>
      <c r="ORU232" s="15"/>
      <c r="ORV232" s="15"/>
      <c r="ORW232" s="15"/>
      <c r="ORX232" s="15"/>
      <c r="ORY232" s="15"/>
      <c r="ORZ232" s="15"/>
      <c r="OSA232" s="15"/>
      <c r="OSB232" s="10"/>
      <c r="OSC232" s="10"/>
      <c r="OSD232" s="21"/>
      <c r="OSE232" s="21"/>
      <c r="OSH232" s="21"/>
      <c r="OSI232" s="15"/>
      <c r="OSJ232" s="15"/>
      <c r="OSK232" s="15"/>
      <c r="OSL232" s="15"/>
      <c r="OSM232" s="15"/>
      <c r="OSN232" s="15"/>
      <c r="OSO232" s="15"/>
      <c r="OSP232" s="15"/>
      <c r="OSQ232" s="15"/>
      <c r="OSR232" s="15"/>
      <c r="OSS232" s="10"/>
      <c r="OST232" s="10"/>
      <c r="OSU232" s="21"/>
      <c r="OSV232" s="21"/>
      <c r="OSY232" s="21"/>
      <c r="OSZ232" s="15"/>
      <c r="OTA232" s="15"/>
      <c r="OTB232" s="15"/>
      <c r="OTC232" s="15"/>
      <c r="OTD232" s="15"/>
      <c r="OTE232" s="15"/>
      <c r="OTF232" s="15"/>
      <c r="OTG232" s="15"/>
      <c r="OTH232" s="15"/>
      <c r="OTI232" s="15"/>
      <c r="OTJ232" s="10"/>
      <c r="OTK232" s="10"/>
      <c r="OTL232" s="21"/>
      <c r="OTM232" s="21"/>
      <c r="OTP232" s="21"/>
      <c r="OTQ232" s="15"/>
      <c r="OTR232" s="15"/>
      <c r="OTS232" s="15"/>
      <c r="OTT232" s="15"/>
      <c r="OTU232" s="15"/>
      <c r="OTV232" s="15"/>
      <c r="OTW232" s="15"/>
      <c r="OTX232" s="15"/>
      <c r="OTY232" s="15"/>
      <c r="OTZ232" s="15"/>
      <c r="OUA232" s="10"/>
      <c r="OUB232" s="10"/>
      <c r="OUC232" s="21"/>
      <c r="OUD232" s="21"/>
      <c r="OUG232" s="21"/>
      <c r="OUH232" s="15"/>
      <c r="OUI232" s="15"/>
      <c r="OUJ232" s="15"/>
      <c r="OUK232" s="15"/>
      <c r="OUL232" s="15"/>
      <c r="OUM232" s="15"/>
      <c r="OUN232" s="15"/>
      <c r="OUO232" s="15"/>
      <c r="OUP232" s="15"/>
      <c r="OUQ232" s="15"/>
      <c r="OUR232" s="10"/>
      <c r="OUS232" s="10"/>
      <c r="OUT232" s="21"/>
      <c r="OUU232" s="21"/>
      <c r="OUX232" s="21"/>
      <c r="OUY232" s="15"/>
      <c r="OUZ232" s="15"/>
      <c r="OVA232" s="15"/>
      <c r="OVB232" s="15"/>
      <c r="OVC232" s="15"/>
      <c r="OVD232" s="15"/>
      <c r="OVE232" s="15"/>
      <c r="OVF232" s="15"/>
      <c r="OVG232" s="15"/>
      <c r="OVH232" s="15"/>
      <c r="OVI232" s="10"/>
      <c r="OVJ232" s="10"/>
      <c r="OVK232" s="21"/>
      <c r="OVL232" s="21"/>
      <c r="OVO232" s="21"/>
      <c r="OVP232" s="15"/>
      <c r="OVQ232" s="15"/>
      <c r="OVR232" s="15"/>
      <c r="OVS232" s="15"/>
      <c r="OVT232" s="15"/>
      <c r="OVU232" s="15"/>
      <c r="OVV232" s="15"/>
      <c r="OVW232" s="15"/>
      <c r="OVX232" s="15"/>
      <c r="OVY232" s="15"/>
      <c r="OVZ232" s="10"/>
      <c r="OWA232" s="10"/>
      <c r="OWB232" s="21"/>
      <c r="OWC232" s="21"/>
      <c r="OWF232" s="21"/>
      <c r="OWG232" s="15"/>
      <c r="OWH232" s="15"/>
      <c r="OWI232" s="15"/>
      <c r="OWJ232" s="15"/>
      <c r="OWK232" s="15"/>
      <c r="OWL232" s="15"/>
      <c r="OWM232" s="15"/>
      <c r="OWN232" s="15"/>
      <c r="OWO232" s="15"/>
      <c r="OWP232" s="15"/>
      <c r="OWQ232" s="10"/>
      <c r="OWR232" s="10"/>
      <c r="OWS232" s="21"/>
      <c r="OWT232" s="21"/>
      <c r="OWW232" s="21"/>
      <c r="OWX232" s="15"/>
      <c r="OWY232" s="15"/>
      <c r="OWZ232" s="15"/>
      <c r="OXA232" s="15"/>
      <c r="OXB232" s="15"/>
      <c r="OXC232" s="15"/>
      <c r="OXD232" s="15"/>
      <c r="OXE232" s="15"/>
      <c r="OXF232" s="15"/>
      <c r="OXG232" s="15"/>
      <c r="OXH232" s="10"/>
      <c r="OXI232" s="10"/>
      <c r="OXJ232" s="21"/>
      <c r="OXK232" s="21"/>
      <c r="OXN232" s="21"/>
      <c r="OXO232" s="15"/>
      <c r="OXP232" s="15"/>
      <c r="OXQ232" s="15"/>
      <c r="OXR232" s="15"/>
      <c r="OXS232" s="15"/>
      <c r="OXT232" s="15"/>
      <c r="OXU232" s="15"/>
      <c r="OXV232" s="15"/>
      <c r="OXW232" s="15"/>
      <c r="OXX232" s="15"/>
      <c r="OXY232" s="10"/>
      <c r="OXZ232" s="10"/>
      <c r="OYA232" s="21"/>
      <c r="OYB232" s="21"/>
      <c r="OYE232" s="21"/>
      <c r="OYF232" s="15"/>
      <c r="OYG232" s="15"/>
      <c r="OYH232" s="15"/>
      <c r="OYI232" s="15"/>
      <c r="OYJ232" s="15"/>
      <c r="OYK232" s="15"/>
      <c r="OYL232" s="15"/>
      <c r="OYM232" s="15"/>
      <c r="OYN232" s="15"/>
      <c r="OYO232" s="15"/>
      <c r="OYP232" s="10"/>
      <c r="OYQ232" s="10"/>
      <c r="OYR232" s="21"/>
      <c r="OYS232" s="21"/>
      <c r="OYV232" s="21"/>
      <c r="OYW232" s="15"/>
      <c r="OYX232" s="15"/>
      <c r="OYY232" s="15"/>
      <c r="OYZ232" s="15"/>
      <c r="OZA232" s="15"/>
      <c r="OZB232" s="15"/>
      <c r="OZC232" s="15"/>
      <c r="OZD232" s="15"/>
      <c r="OZE232" s="15"/>
      <c r="OZF232" s="15"/>
      <c r="OZG232" s="10"/>
      <c r="OZH232" s="10"/>
      <c r="OZI232" s="21"/>
      <c r="OZJ232" s="21"/>
      <c r="OZM232" s="21"/>
      <c r="OZN232" s="15"/>
      <c r="OZO232" s="15"/>
      <c r="OZP232" s="15"/>
      <c r="OZQ232" s="15"/>
      <c r="OZR232" s="15"/>
      <c r="OZS232" s="15"/>
      <c r="OZT232" s="15"/>
      <c r="OZU232" s="15"/>
      <c r="OZV232" s="15"/>
      <c r="OZW232" s="15"/>
      <c r="OZX232" s="10"/>
      <c r="OZY232" s="10"/>
      <c r="OZZ232" s="21"/>
      <c r="PAA232" s="21"/>
      <c r="PAD232" s="21"/>
      <c r="PAE232" s="15"/>
      <c r="PAF232" s="15"/>
      <c r="PAG232" s="15"/>
      <c r="PAH232" s="15"/>
      <c r="PAI232" s="15"/>
      <c r="PAJ232" s="15"/>
      <c r="PAK232" s="15"/>
      <c r="PAL232" s="15"/>
      <c r="PAM232" s="15"/>
      <c r="PAN232" s="15"/>
      <c r="PAO232" s="10"/>
      <c r="PAP232" s="10"/>
      <c r="PAQ232" s="21"/>
      <c r="PAR232" s="21"/>
      <c r="PAU232" s="21"/>
      <c r="PAV232" s="15"/>
      <c r="PAW232" s="15"/>
      <c r="PAX232" s="15"/>
      <c r="PAY232" s="15"/>
      <c r="PAZ232" s="15"/>
      <c r="PBA232" s="15"/>
      <c r="PBB232" s="15"/>
      <c r="PBC232" s="15"/>
      <c r="PBD232" s="15"/>
      <c r="PBE232" s="15"/>
      <c r="PBF232" s="10"/>
      <c r="PBG232" s="10"/>
      <c r="PBH232" s="21"/>
      <c r="PBI232" s="21"/>
      <c r="PBL232" s="21"/>
      <c r="PBM232" s="15"/>
      <c r="PBN232" s="15"/>
      <c r="PBO232" s="15"/>
      <c r="PBP232" s="15"/>
      <c r="PBQ232" s="15"/>
      <c r="PBR232" s="15"/>
      <c r="PBS232" s="15"/>
      <c r="PBT232" s="15"/>
      <c r="PBU232" s="15"/>
      <c r="PBV232" s="15"/>
      <c r="PBW232" s="10"/>
      <c r="PBX232" s="10"/>
      <c r="PBY232" s="21"/>
      <c r="PBZ232" s="21"/>
      <c r="PCC232" s="21"/>
      <c r="PCD232" s="15"/>
      <c r="PCE232" s="15"/>
      <c r="PCF232" s="15"/>
      <c r="PCG232" s="15"/>
      <c r="PCH232" s="15"/>
      <c r="PCI232" s="15"/>
      <c r="PCJ232" s="15"/>
      <c r="PCK232" s="15"/>
      <c r="PCL232" s="15"/>
      <c r="PCM232" s="15"/>
      <c r="PCN232" s="10"/>
      <c r="PCO232" s="10"/>
      <c r="PCP232" s="21"/>
      <c r="PCQ232" s="21"/>
      <c r="PCT232" s="21"/>
      <c r="PCU232" s="15"/>
      <c r="PCV232" s="15"/>
      <c r="PCW232" s="15"/>
      <c r="PCX232" s="15"/>
      <c r="PCY232" s="15"/>
      <c r="PCZ232" s="15"/>
      <c r="PDA232" s="15"/>
      <c r="PDB232" s="15"/>
      <c r="PDC232" s="15"/>
      <c r="PDD232" s="15"/>
      <c r="PDE232" s="10"/>
      <c r="PDF232" s="10"/>
      <c r="PDG232" s="21"/>
      <c r="PDH232" s="21"/>
      <c r="PDK232" s="21"/>
      <c r="PDL232" s="15"/>
      <c r="PDM232" s="15"/>
      <c r="PDN232" s="15"/>
      <c r="PDO232" s="15"/>
      <c r="PDP232" s="15"/>
      <c r="PDQ232" s="15"/>
      <c r="PDR232" s="15"/>
      <c r="PDS232" s="15"/>
      <c r="PDT232" s="15"/>
      <c r="PDU232" s="15"/>
      <c r="PDV232" s="10"/>
      <c r="PDW232" s="10"/>
      <c r="PDX232" s="21"/>
      <c r="PDY232" s="21"/>
      <c r="PEB232" s="21"/>
      <c r="PEC232" s="15"/>
      <c r="PED232" s="15"/>
      <c r="PEE232" s="15"/>
      <c r="PEF232" s="15"/>
      <c r="PEG232" s="15"/>
      <c r="PEH232" s="15"/>
      <c r="PEI232" s="15"/>
      <c r="PEJ232" s="15"/>
      <c r="PEK232" s="15"/>
      <c r="PEL232" s="15"/>
      <c r="PEM232" s="10"/>
      <c r="PEN232" s="10"/>
      <c r="PEO232" s="21"/>
      <c r="PEP232" s="21"/>
      <c r="PES232" s="21"/>
      <c r="PET232" s="15"/>
      <c r="PEU232" s="15"/>
      <c r="PEV232" s="15"/>
      <c r="PEW232" s="15"/>
      <c r="PEX232" s="15"/>
      <c r="PEY232" s="15"/>
      <c r="PEZ232" s="15"/>
      <c r="PFA232" s="15"/>
      <c r="PFB232" s="15"/>
      <c r="PFC232" s="15"/>
      <c r="PFD232" s="10"/>
      <c r="PFE232" s="10"/>
      <c r="PFF232" s="21"/>
      <c r="PFG232" s="21"/>
      <c r="PFJ232" s="21"/>
      <c r="PFK232" s="15"/>
      <c r="PFL232" s="15"/>
      <c r="PFM232" s="15"/>
      <c r="PFN232" s="15"/>
      <c r="PFO232" s="15"/>
      <c r="PFP232" s="15"/>
      <c r="PFQ232" s="15"/>
      <c r="PFR232" s="15"/>
      <c r="PFS232" s="15"/>
      <c r="PFT232" s="15"/>
      <c r="PFU232" s="10"/>
      <c r="PFV232" s="10"/>
      <c r="PFW232" s="21"/>
      <c r="PFX232" s="21"/>
      <c r="PGA232" s="21"/>
      <c r="PGB232" s="15"/>
      <c r="PGC232" s="15"/>
      <c r="PGD232" s="15"/>
      <c r="PGE232" s="15"/>
      <c r="PGF232" s="15"/>
      <c r="PGG232" s="15"/>
      <c r="PGH232" s="15"/>
      <c r="PGI232" s="15"/>
      <c r="PGJ232" s="15"/>
      <c r="PGK232" s="15"/>
      <c r="PGL232" s="10"/>
      <c r="PGM232" s="10"/>
      <c r="PGN232" s="21"/>
      <c r="PGO232" s="21"/>
      <c r="PGR232" s="21"/>
      <c r="PGS232" s="15"/>
      <c r="PGT232" s="15"/>
      <c r="PGU232" s="15"/>
      <c r="PGV232" s="15"/>
      <c r="PGW232" s="15"/>
      <c r="PGX232" s="15"/>
      <c r="PGY232" s="15"/>
      <c r="PGZ232" s="15"/>
      <c r="PHA232" s="15"/>
      <c r="PHB232" s="15"/>
      <c r="PHC232" s="10"/>
      <c r="PHD232" s="10"/>
      <c r="PHE232" s="21"/>
      <c r="PHF232" s="21"/>
      <c r="PHI232" s="21"/>
      <c r="PHJ232" s="15"/>
      <c r="PHK232" s="15"/>
      <c r="PHL232" s="15"/>
      <c r="PHM232" s="15"/>
      <c r="PHN232" s="15"/>
      <c r="PHO232" s="15"/>
      <c r="PHP232" s="15"/>
      <c r="PHQ232" s="15"/>
      <c r="PHR232" s="15"/>
      <c r="PHS232" s="15"/>
      <c r="PHT232" s="10"/>
      <c r="PHU232" s="10"/>
      <c r="PHV232" s="21"/>
      <c r="PHW232" s="21"/>
      <c r="PHZ232" s="21"/>
      <c r="PIA232" s="15"/>
      <c r="PIB232" s="15"/>
      <c r="PIC232" s="15"/>
      <c r="PID232" s="15"/>
      <c r="PIE232" s="15"/>
      <c r="PIF232" s="15"/>
      <c r="PIG232" s="15"/>
      <c r="PIH232" s="15"/>
      <c r="PII232" s="15"/>
      <c r="PIJ232" s="15"/>
      <c r="PIK232" s="10"/>
      <c r="PIL232" s="10"/>
      <c r="PIM232" s="21"/>
      <c r="PIN232" s="21"/>
      <c r="PIQ232" s="21"/>
      <c r="PIR232" s="15"/>
      <c r="PIS232" s="15"/>
      <c r="PIT232" s="15"/>
      <c r="PIU232" s="15"/>
      <c r="PIV232" s="15"/>
      <c r="PIW232" s="15"/>
      <c r="PIX232" s="15"/>
      <c r="PIY232" s="15"/>
      <c r="PIZ232" s="15"/>
      <c r="PJA232" s="15"/>
      <c r="PJB232" s="10"/>
      <c r="PJC232" s="10"/>
      <c r="PJD232" s="21"/>
      <c r="PJE232" s="21"/>
      <c r="PJH232" s="21"/>
      <c r="PJI232" s="15"/>
      <c r="PJJ232" s="15"/>
      <c r="PJK232" s="15"/>
      <c r="PJL232" s="15"/>
      <c r="PJM232" s="15"/>
      <c r="PJN232" s="15"/>
      <c r="PJO232" s="15"/>
      <c r="PJP232" s="15"/>
      <c r="PJQ232" s="15"/>
      <c r="PJR232" s="15"/>
      <c r="PJS232" s="10"/>
      <c r="PJT232" s="10"/>
      <c r="PJU232" s="21"/>
      <c r="PJV232" s="21"/>
      <c r="PJY232" s="21"/>
      <c r="PJZ232" s="15"/>
      <c r="PKA232" s="15"/>
      <c r="PKB232" s="15"/>
      <c r="PKC232" s="15"/>
      <c r="PKD232" s="15"/>
      <c r="PKE232" s="15"/>
      <c r="PKF232" s="15"/>
      <c r="PKG232" s="15"/>
      <c r="PKH232" s="15"/>
      <c r="PKI232" s="15"/>
      <c r="PKJ232" s="10"/>
      <c r="PKK232" s="10"/>
      <c r="PKL232" s="21"/>
      <c r="PKM232" s="21"/>
      <c r="PKP232" s="21"/>
      <c r="PKQ232" s="15"/>
      <c r="PKR232" s="15"/>
      <c r="PKS232" s="15"/>
      <c r="PKT232" s="15"/>
      <c r="PKU232" s="15"/>
      <c r="PKV232" s="15"/>
      <c r="PKW232" s="15"/>
      <c r="PKX232" s="15"/>
      <c r="PKY232" s="15"/>
      <c r="PKZ232" s="15"/>
      <c r="PLA232" s="10"/>
      <c r="PLB232" s="10"/>
      <c r="PLC232" s="21"/>
      <c r="PLD232" s="21"/>
      <c r="PLG232" s="21"/>
      <c r="PLH232" s="15"/>
      <c r="PLI232" s="15"/>
      <c r="PLJ232" s="15"/>
      <c r="PLK232" s="15"/>
      <c r="PLL232" s="15"/>
      <c r="PLM232" s="15"/>
      <c r="PLN232" s="15"/>
      <c r="PLO232" s="15"/>
      <c r="PLP232" s="15"/>
      <c r="PLQ232" s="15"/>
      <c r="PLR232" s="10"/>
      <c r="PLS232" s="10"/>
      <c r="PLT232" s="21"/>
      <c r="PLU232" s="21"/>
      <c r="PLX232" s="21"/>
      <c r="PLY232" s="15"/>
      <c r="PLZ232" s="15"/>
      <c r="PMA232" s="15"/>
      <c r="PMB232" s="15"/>
      <c r="PMC232" s="15"/>
      <c r="PMD232" s="15"/>
      <c r="PME232" s="15"/>
      <c r="PMF232" s="15"/>
      <c r="PMG232" s="15"/>
      <c r="PMH232" s="15"/>
      <c r="PMI232" s="10"/>
      <c r="PMJ232" s="10"/>
      <c r="PMK232" s="21"/>
      <c r="PML232" s="21"/>
      <c r="PMO232" s="21"/>
      <c r="PMP232" s="15"/>
      <c r="PMQ232" s="15"/>
      <c r="PMR232" s="15"/>
      <c r="PMS232" s="15"/>
      <c r="PMT232" s="15"/>
      <c r="PMU232" s="15"/>
      <c r="PMV232" s="15"/>
      <c r="PMW232" s="15"/>
      <c r="PMX232" s="15"/>
      <c r="PMY232" s="15"/>
      <c r="PMZ232" s="10"/>
      <c r="PNA232" s="10"/>
      <c r="PNB232" s="21"/>
      <c r="PNC232" s="21"/>
      <c r="PNF232" s="21"/>
      <c r="PNG232" s="15"/>
      <c r="PNH232" s="15"/>
      <c r="PNI232" s="15"/>
      <c r="PNJ232" s="15"/>
      <c r="PNK232" s="15"/>
      <c r="PNL232" s="15"/>
      <c r="PNM232" s="15"/>
      <c r="PNN232" s="15"/>
      <c r="PNO232" s="15"/>
      <c r="PNP232" s="15"/>
      <c r="PNQ232" s="10"/>
      <c r="PNR232" s="10"/>
      <c r="PNS232" s="21"/>
      <c r="PNT232" s="21"/>
      <c r="PNW232" s="21"/>
      <c r="PNX232" s="15"/>
      <c r="PNY232" s="15"/>
      <c r="PNZ232" s="15"/>
      <c r="POA232" s="15"/>
      <c r="POB232" s="15"/>
      <c r="POC232" s="15"/>
      <c r="POD232" s="15"/>
      <c r="POE232" s="15"/>
      <c r="POF232" s="15"/>
      <c r="POG232" s="15"/>
      <c r="POH232" s="10"/>
      <c r="POI232" s="10"/>
      <c r="POJ232" s="21"/>
      <c r="POK232" s="21"/>
      <c r="PON232" s="21"/>
      <c r="POO232" s="15"/>
      <c r="POP232" s="15"/>
      <c r="POQ232" s="15"/>
      <c r="POR232" s="15"/>
      <c r="POS232" s="15"/>
      <c r="POT232" s="15"/>
      <c r="POU232" s="15"/>
      <c r="POV232" s="15"/>
      <c r="POW232" s="15"/>
      <c r="POX232" s="15"/>
      <c r="POY232" s="10"/>
      <c r="POZ232" s="10"/>
      <c r="PPA232" s="21"/>
      <c r="PPB232" s="21"/>
      <c r="PPE232" s="21"/>
      <c r="PPF232" s="15"/>
      <c r="PPG232" s="15"/>
      <c r="PPH232" s="15"/>
      <c r="PPI232" s="15"/>
      <c r="PPJ232" s="15"/>
      <c r="PPK232" s="15"/>
      <c r="PPL232" s="15"/>
      <c r="PPM232" s="15"/>
      <c r="PPN232" s="15"/>
      <c r="PPO232" s="15"/>
      <c r="PPP232" s="10"/>
      <c r="PPQ232" s="10"/>
      <c r="PPR232" s="21"/>
      <c r="PPS232" s="21"/>
      <c r="PPV232" s="21"/>
      <c r="PPW232" s="15"/>
      <c r="PPX232" s="15"/>
      <c r="PPY232" s="15"/>
      <c r="PPZ232" s="15"/>
      <c r="PQA232" s="15"/>
      <c r="PQB232" s="15"/>
      <c r="PQC232" s="15"/>
      <c r="PQD232" s="15"/>
      <c r="PQE232" s="15"/>
      <c r="PQF232" s="15"/>
      <c r="PQG232" s="10"/>
      <c r="PQH232" s="10"/>
      <c r="PQI232" s="21"/>
      <c r="PQJ232" s="21"/>
      <c r="PQM232" s="21"/>
      <c r="PQN232" s="15"/>
      <c r="PQO232" s="15"/>
      <c r="PQP232" s="15"/>
      <c r="PQQ232" s="15"/>
      <c r="PQR232" s="15"/>
      <c r="PQS232" s="15"/>
      <c r="PQT232" s="15"/>
      <c r="PQU232" s="15"/>
      <c r="PQV232" s="15"/>
      <c r="PQW232" s="15"/>
      <c r="PQX232" s="10"/>
      <c r="PQY232" s="10"/>
      <c r="PQZ232" s="21"/>
      <c r="PRA232" s="21"/>
      <c r="PRD232" s="21"/>
      <c r="PRE232" s="15"/>
      <c r="PRF232" s="15"/>
      <c r="PRG232" s="15"/>
      <c r="PRH232" s="15"/>
      <c r="PRI232" s="15"/>
      <c r="PRJ232" s="15"/>
      <c r="PRK232" s="15"/>
      <c r="PRL232" s="15"/>
      <c r="PRM232" s="15"/>
      <c r="PRN232" s="15"/>
      <c r="PRO232" s="10"/>
      <c r="PRP232" s="10"/>
      <c r="PRQ232" s="21"/>
      <c r="PRR232" s="21"/>
      <c r="PRU232" s="21"/>
      <c r="PRV232" s="15"/>
      <c r="PRW232" s="15"/>
      <c r="PRX232" s="15"/>
      <c r="PRY232" s="15"/>
      <c r="PRZ232" s="15"/>
      <c r="PSA232" s="15"/>
      <c r="PSB232" s="15"/>
      <c r="PSC232" s="15"/>
      <c r="PSD232" s="15"/>
      <c r="PSE232" s="15"/>
      <c r="PSF232" s="10"/>
      <c r="PSG232" s="10"/>
      <c r="PSH232" s="21"/>
      <c r="PSI232" s="21"/>
      <c r="PSL232" s="21"/>
      <c r="PSM232" s="15"/>
      <c r="PSN232" s="15"/>
      <c r="PSO232" s="15"/>
      <c r="PSP232" s="15"/>
      <c r="PSQ232" s="15"/>
      <c r="PSR232" s="15"/>
      <c r="PSS232" s="15"/>
      <c r="PST232" s="15"/>
      <c r="PSU232" s="15"/>
      <c r="PSV232" s="15"/>
      <c r="PSW232" s="10"/>
      <c r="PSX232" s="10"/>
      <c r="PSY232" s="21"/>
      <c r="PSZ232" s="21"/>
      <c r="PTC232" s="21"/>
      <c r="PTD232" s="15"/>
      <c r="PTE232" s="15"/>
      <c r="PTF232" s="15"/>
      <c r="PTG232" s="15"/>
      <c r="PTH232" s="15"/>
      <c r="PTI232" s="15"/>
      <c r="PTJ232" s="15"/>
      <c r="PTK232" s="15"/>
      <c r="PTL232" s="15"/>
      <c r="PTM232" s="15"/>
      <c r="PTN232" s="10"/>
      <c r="PTO232" s="10"/>
      <c r="PTP232" s="21"/>
      <c r="PTQ232" s="21"/>
      <c r="PTT232" s="21"/>
      <c r="PTU232" s="15"/>
      <c r="PTV232" s="15"/>
      <c r="PTW232" s="15"/>
      <c r="PTX232" s="15"/>
      <c r="PTY232" s="15"/>
      <c r="PTZ232" s="15"/>
      <c r="PUA232" s="15"/>
      <c r="PUB232" s="15"/>
      <c r="PUC232" s="15"/>
      <c r="PUD232" s="15"/>
      <c r="PUE232" s="10"/>
      <c r="PUF232" s="10"/>
      <c r="PUG232" s="21"/>
      <c r="PUH232" s="21"/>
      <c r="PUK232" s="21"/>
      <c r="PUL232" s="15"/>
      <c r="PUM232" s="15"/>
      <c r="PUN232" s="15"/>
      <c r="PUO232" s="15"/>
      <c r="PUP232" s="15"/>
      <c r="PUQ232" s="15"/>
      <c r="PUR232" s="15"/>
      <c r="PUS232" s="15"/>
      <c r="PUT232" s="15"/>
      <c r="PUU232" s="15"/>
      <c r="PUV232" s="10"/>
      <c r="PUW232" s="10"/>
      <c r="PUX232" s="21"/>
      <c r="PUY232" s="21"/>
      <c r="PVB232" s="21"/>
      <c r="PVC232" s="15"/>
      <c r="PVD232" s="15"/>
      <c r="PVE232" s="15"/>
      <c r="PVF232" s="15"/>
      <c r="PVG232" s="15"/>
      <c r="PVH232" s="15"/>
      <c r="PVI232" s="15"/>
      <c r="PVJ232" s="15"/>
      <c r="PVK232" s="15"/>
      <c r="PVL232" s="15"/>
      <c r="PVM232" s="10"/>
      <c r="PVN232" s="10"/>
      <c r="PVO232" s="21"/>
      <c r="PVP232" s="21"/>
      <c r="PVS232" s="21"/>
      <c r="PVT232" s="15"/>
      <c r="PVU232" s="15"/>
      <c r="PVV232" s="15"/>
      <c r="PVW232" s="15"/>
      <c r="PVX232" s="15"/>
      <c r="PVY232" s="15"/>
      <c r="PVZ232" s="15"/>
      <c r="PWA232" s="15"/>
      <c r="PWB232" s="15"/>
      <c r="PWC232" s="15"/>
      <c r="PWD232" s="10"/>
      <c r="PWE232" s="10"/>
      <c r="PWF232" s="21"/>
      <c r="PWG232" s="21"/>
      <c r="PWJ232" s="21"/>
      <c r="PWK232" s="15"/>
      <c r="PWL232" s="15"/>
      <c r="PWM232" s="15"/>
      <c r="PWN232" s="15"/>
      <c r="PWO232" s="15"/>
      <c r="PWP232" s="15"/>
      <c r="PWQ232" s="15"/>
      <c r="PWR232" s="15"/>
      <c r="PWS232" s="15"/>
      <c r="PWT232" s="15"/>
      <c r="PWU232" s="10"/>
      <c r="PWV232" s="10"/>
      <c r="PWW232" s="21"/>
      <c r="PWX232" s="21"/>
      <c r="PXA232" s="21"/>
      <c r="PXB232" s="15"/>
      <c r="PXC232" s="15"/>
      <c r="PXD232" s="15"/>
      <c r="PXE232" s="15"/>
      <c r="PXF232" s="15"/>
      <c r="PXG232" s="15"/>
      <c r="PXH232" s="15"/>
      <c r="PXI232" s="15"/>
      <c r="PXJ232" s="15"/>
      <c r="PXK232" s="15"/>
      <c r="PXL232" s="10"/>
      <c r="PXM232" s="10"/>
      <c r="PXN232" s="21"/>
      <c r="PXO232" s="21"/>
      <c r="PXR232" s="21"/>
      <c r="PXS232" s="15"/>
      <c r="PXT232" s="15"/>
      <c r="PXU232" s="15"/>
      <c r="PXV232" s="15"/>
      <c r="PXW232" s="15"/>
      <c r="PXX232" s="15"/>
      <c r="PXY232" s="15"/>
      <c r="PXZ232" s="15"/>
      <c r="PYA232" s="15"/>
      <c r="PYB232" s="15"/>
      <c r="PYC232" s="10"/>
      <c r="PYD232" s="10"/>
      <c r="PYE232" s="21"/>
      <c r="PYF232" s="21"/>
      <c r="PYI232" s="21"/>
      <c r="PYJ232" s="15"/>
      <c r="PYK232" s="15"/>
      <c r="PYL232" s="15"/>
      <c r="PYM232" s="15"/>
      <c r="PYN232" s="15"/>
      <c r="PYO232" s="15"/>
      <c r="PYP232" s="15"/>
      <c r="PYQ232" s="15"/>
      <c r="PYR232" s="15"/>
      <c r="PYS232" s="15"/>
      <c r="PYT232" s="10"/>
      <c r="PYU232" s="10"/>
      <c r="PYV232" s="21"/>
      <c r="PYW232" s="21"/>
      <c r="PYZ232" s="21"/>
      <c r="PZA232" s="15"/>
      <c r="PZB232" s="15"/>
      <c r="PZC232" s="15"/>
      <c r="PZD232" s="15"/>
      <c r="PZE232" s="15"/>
      <c r="PZF232" s="15"/>
      <c r="PZG232" s="15"/>
      <c r="PZH232" s="15"/>
      <c r="PZI232" s="15"/>
      <c r="PZJ232" s="15"/>
      <c r="PZK232" s="10"/>
      <c r="PZL232" s="10"/>
      <c r="PZM232" s="21"/>
      <c r="PZN232" s="21"/>
      <c r="PZQ232" s="21"/>
      <c r="PZR232" s="15"/>
      <c r="PZS232" s="15"/>
      <c r="PZT232" s="15"/>
      <c r="PZU232" s="15"/>
      <c r="PZV232" s="15"/>
      <c r="PZW232" s="15"/>
      <c r="PZX232" s="15"/>
      <c r="PZY232" s="15"/>
      <c r="PZZ232" s="15"/>
      <c r="QAA232" s="15"/>
      <c r="QAB232" s="10"/>
      <c r="QAC232" s="10"/>
      <c r="QAD232" s="21"/>
      <c r="QAE232" s="21"/>
      <c r="QAH232" s="21"/>
      <c r="QAI232" s="15"/>
      <c r="QAJ232" s="15"/>
      <c r="QAK232" s="15"/>
      <c r="QAL232" s="15"/>
      <c r="QAM232" s="15"/>
      <c r="QAN232" s="15"/>
      <c r="QAO232" s="15"/>
      <c r="QAP232" s="15"/>
      <c r="QAQ232" s="15"/>
      <c r="QAR232" s="15"/>
      <c r="QAS232" s="10"/>
      <c r="QAT232" s="10"/>
      <c r="QAU232" s="21"/>
      <c r="QAV232" s="21"/>
      <c r="QAY232" s="21"/>
      <c r="QAZ232" s="15"/>
      <c r="QBA232" s="15"/>
      <c r="QBB232" s="15"/>
      <c r="QBC232" s="15"/>
      <c r="QBD232" s="15"/>
      <c r="QBE232" s="15"/>
      <c r="QBF232" s="15"/>
      <c r="QBG232" s="15"/>
      <c r="QBH232" s="15"/>
      <c r="QBI232" s="15"/>
      <c r="QBJ232" s="10"/>
      <c r="QBK232" s="10"/>
      <c r="QBL232" s="21"/>
      <c r="QBM232" s="21"/>
      <c r="QBP232" s="21"/>
      <c r="QBQ232" s="15"/>
      <c r="QBR232" s="15"/>
      <c r="QBS232" s="15"/>
      <c r="QBT232" s="15"/>
      <c r="QBU232" s="15"/>
      <c r="QBV232" s="15"/>
      <c r="QBW232" s="15"/>
      <c r="QBX232" s="15"/>
      <c r="QBY232" s="15"/>
      <c r="QBZ232" s="15"/>
      <c r="QCA232" s="10"/>
      <c r="QCB232" s="10"/>
      <c r="QCC232" s="21"/>
      <c r="QCD232" s="21"/>
      <c r="QCG232" s="21"/>
      <c r="QCH232" s="15"/>
      <c r="QCI232" s="15"/>
      <c r="QCJ232" s="15"/>
      <c r="QCK232" s="15"/>
      <c r="QCL232" s="15"/>
      <c r="QCM232" s="15"/>
      <c r="QCN232" s="15"/>
      <c r="QCO232" s="15"/>
      <c r="QCP232" s="15"/>
      <c r="QCQ232" s="15"/>
      <c r="QCR232" s="10"/>
      <c r="QCS232" s="10"/>
      <c r="QCT232" s="21"/>
      <c r="QCU232" s="21"/>
      <c r="QCX232" s="21"/>
      <c r="QCY232" s="15"/>
      <c r="QCZ232" s="15"/>
      <c r="QDA232" s="15"/>
      <c r="QDB232" s="15"/>
      <c r="QDC232" s="15"/>
      <c r="QDD232" s="15"/>
      <c r="QDE232" s="15"/>
      <c r="QDF232" s="15"/>
      <c r="QDG232" s="15"/>
      <c r="QDH232" s="15"/>
      <c r="QDI232" s="10"/>
      <c r="QDJ232" s="10"/>
      <c r="QDK232" s="21"/>
      <c r="QDL232" s="21"/>
      <c r="QDO232" s="21"/>
      <c r="QDP232" s="15"/>
      <c r="QDQ232" s="15"/>
      <c r="QDR232" s="15"/>
      <c r="QDS232" s="15"/>
      <c r="QDT232" s="15"/>
      <c r="QDU232" s="15"/>
      <c r="QDV232" s="15"/>
      <c r="QDW232" s="15"/>
      <c r="QDX232" s="15"/>
      <c r="QDY232" s="15"/>
      <c r="QDZ232" s="10"/>
      <c r="QEA232" s="10"/>
      <c r="QEB232" s="21"/>
      <c r="QEC232" s="21"/>
      <c r="QEF232" s="21"/>
      <c r="QEG232" s="15"/>
      <c r="QEH232" s="15"/>
      <c r="QEI232" s="15"/>
      <c r="QEJ232" s="15"/>
      <c r="QEK232" s="15"/>
      <c r="QEL232" s="15"/>
      <c r="QEM232" s="15"/>
      <c r="QEN232" s="15"/>
      <c r="QEO232" s="15"/>
      <c r="QEP232" s="15"/>
      <c r="QEQ232" s="10"/>
      <c r="QER232" s="10"/>
      <c r="QES232" s="21"/>
      <c r="QET232" s="21"/>
      <c r="QEW232" s="21"/>
      <c r="QEX232" s="15"/>
      <c r="QEY232" s="15"/>
      <c r="QEZ232" s="15"/>
      <c r="QFA232" s="15"/>
      <c r="QFB232" s="15"/>
      <c r="QFC232" s="15"/>
      <c r="QFD232" s="15"/>
      <c r="QFE232" s="15"/>
      <c r="QFF232" s="15"/>
      <c r="QFG232" s="15"/>
      <c r="QFH232" s="10"/>
      <c r="QFI232" s="10"/>
      <c r="QFJ232" s="21"/>
      <c r="QFK232" s="21"/>
      <c r="QFN232" s="21"/>
      <c r="QFO232" s="15"/>
      <c r="QFP232" s="15"/>
      <c r="QFQ232" s="15"/>
      <c r="QFR232" s="15"/>
      <c r="QFS232" s="15"/>
      <c r="QFT232" s="15"/>
      <c r="QFU232" s="15"/>
      <c r="QFV232" s="15"/>
      <c r="QFW232" s="15"/>
      <c r="QFX232" s="15"/>
      <c r="QFY232" s="10"/>
      <c r="QFZ232" s="10"/>
      <c r="QGA232" s="21"/>
      <c r="QGB232" s="21"/>
      <c r="QGE232" s="21"/>
      <c r="QGF232" s="15"/>
      <c r="QGG232" s="15"/>
      <c r="QGH232" s="15"/>
      <c r="QGI232" s="15"/>
      <c r="QGJ232" s="15"/>
      <c r="QGK232" s="15"/>
      <c r="QGL232" s="15"/>
      <c r="QGM232" s="15"/>
      <c r="QGN232" s="15"/>
      <c r="QGO232" s="15"/>
      <c r="QGP232" s="10"/>
      <c r="QGQ232" s="10"/>
      <c r="QGR232" s="21"/>
      <c r="QGS232" s="21"/>
      <c r="QGV232" s="21"/>
      <c r="QGW232" s="15"/>
      <c r="QGX232" s="15"/>
      <c r="QGY232" s="15"/>
      <c r="QGZ232" s="15"/>
      <c r="QHA232" s="15"/>
      <c r="QHB232" s="15"/>
      <c r="QHC232" s="15"/>
      <c r="QHD232" s="15"/>
      <c r="QHE232" s="15"/>
      <c r="QHF232" s="15"/>
      <c r="QHG232" s="10"/>
      <c r="QHH232" s="10"/>
      <c r="QHI232" s="21"/>
      <c r="QHJ232" s="21"/>
      <c r="QHM232" s="21"/>
      <c r="QHN232" s="15"/>
      <c r="QHO232" s="15"/>
      <c r="QHP232" s="15"/>
      <c r="QHQ232" s="15"/>
      <c r="QHR232" s="15"/>
      <c r="QHS232" s="15"/>
      <c r="QHT232" s="15"/>
      <c r="QHU232" s="15"/>
      <c r="QHV232" s="15"/>
      <c r="QHW232" s="15"/>
      <c r="QHX232" s="10"/>
      <c r="QHY232" s="10"/>
      <c r="QHZ232" s="21"/>
      <c r="QIA232" s="21"/>
      <c r="QID232" s="21"/>
      <c r="QIE232" s="15"/>
      <c r="QIF232" s="15"/>
      <c r="QIG232" s="15"/>
      <c r="QIH232" s="15"/>
      <c r="QII232" s="15"/>
      <c r="QIJ232" s="15"/>
      <c r="QIK232" s="15"/>
      <c r="QIL232" s="15"/>
      <c r="QIM232" s="15"/>
      <c r="QIN232" s="15"/>
      <c r="QIO232" s="10"/>
      <c r="QIP232" s="10"/>
      <c r="QIQ232" s="21"/>
      <c r="QIR232" s="21"/>
      <c r="QIU232" s="21"/>
      <c r="QIV232" s="15"/>
      <c r="QIW232" s="15"/>
      <c r="QIX232" s="15"/>
      <c r="QIY232" s="15"/>
      <c r="QIZ232" s="15"/>
      <c r="QJA232" s="15"/>
      <c r="QJB232" s="15"/>
      <c r="QJC232" s="15"/>
      <c r="QJD232" s="15"/>
      <c r="QJE232" s="15"/>
      <c r="QJF232" s="10"/>
      <c r="QJG232" s="10"/>
      <c r="QJH232" s="21"/>
      <c r="QJI232" s="21"/>
      <c r="QJL232" s="21"/>
      <c r="QJM232" s="15"/>
      <c r="QJN232" s="15"/>
      <c r="QJO232" s="15"/>
      <c r="QJP232" s="15"/>
      <c r="QJQ232" s="15"/>
      <c r="QJR232" s="15"/>
      <c r="QJS232" s="15"/>
      <c r="QJT232" s="15"/>
      <c r="QJU232" s="15"/>
      <c r="QJV232" s="15"/>
      <c r="QJW232" s="10"/>
      <c r="QJX232" s="10"/>
      <c r="QJY232" s="21"/>
      <c r="QJZ232" s="21"/>
      <c r="QKC232" s="21"/>
      <c r="QKD232" s="15"/>
      <c r="QKE232" s="15"/>
      <c r="QKF232" s="15"/>
      <c r="QKG232" s="15"/>
      <c r="QKH232" s="15"/>
      <c r="QKI232" s="15"/>
      <c r="QKJ232" s="15"/>
      <c r="QKK232" s="15"/>
      <c r="QKL232" s="15"/>
      <c r="QKM232" s="15"/>
      <c r="QKN232" s="10"/>
      <c r="QKO232" s="10"/>
      <c r="QKP232" s="21"/>
      <c r="QKQ232" s="21"/>
      <c r="QKT232" s="21"/>
      <c r="QKU232" s="15"/>
      <c r="QKV232" s="15"/>
      <c r="QKW232" s="15"/>
      <c r="QKX232" s="15"/>
      <c r="QKY232" s="15"/>
      <c r="QKZ232" s="15"/>
      <c r="QLA232" s="15"/>
      <c r="QLB232" s="15"/>
      <c r="QLC232" s="15"/>
      <c r="QLD232" s="15"/>
      <c r="QLE232" s="10"/>
      <c r="QLF232" s="10"/>
      <c r="QLG232" s="21"/>
      <c r="QLH232" s="21"/>
      <c r="QLK232" s="21"/>
      <c r="QLL232" s="15"/>
      <c r="QLM232" s="15"/>
      <c r="QLN232" s="15"/>
      <c r="QLO232" s="15"/>
      <c r="QLP232" s="15"/>
      <c r="QLQ232" s="15"/>
      <c r="QLR232" s="15"/>
      <c r="QLS232" s="15"/>
      <c r="QLT232" s="15"/>
      <c r="QLU232" s="15"/>
      <c r="QLV232" s="10"/>
      <c r="QLW232" s="10"/>
      <c r="QLX232" s="21"/>
      <c r="QLY232" s="21"/>
      <c r="QMB232" s="21"/>
      <c r="QMC232" s="15"/>
      <c r="QMD232" s="15"/>
      <c r="QME232" s="15"/>
      <c r="QMF232" s="15"/>
      <c r="QMG232" s="15"/>
      <c r="QMH232" s="15"/>
      <c r="QMI232" s="15"/>
      <c r="QMJ232" s="15"/>
      <c r="QMK232" s="15"/>
      <c r="QML232" s="15"/>
      <c r="QMM232" s="10"/>
      <c r="QMN232" s="10"/>
      <c r="QMO232" s="21"/>
      <c r="QMP232" s="21"/>
      <c r="QMS232" s="21"/>
      <c r="QMT232" s="15"/>
      <c r="QMU232" s="15"/>
      <c r="QMV232" s="15"/>
      <c r="QMW232" s="15"/>
      <c r="QMX232" s="15"/>
      <c r="QMY232" s="15"/>
      <c r="QMZ232" s="15"/>
      <c r="QNA232" s="15"/>
      <c r="QNB232" s="15"/>
      <c r="QNC232" s="15"/>
      <c r="QND232" s="10"/>
      <c r="QNE232" s="10"/>
      <c r="QNF232" s="21"/>
      <c r="QNG232" s="21"/>
      <c r="QNJ232" s="21"/>
      <c r="QNK232" s="15"/>
      <c r="QNL232" s="15"/>
      <c r="QNM232" s="15"/>
      <c r="QNN232" s="15"/>
      <c r="QNO232" s="15"/>
      <c r="QNP232" s="15"/>
      <c r="QNQ232" s="15"/>
      <c r="QNR232" s="15"/>
      <c r="QNS232" s="15"/>
      <c r="QNT232" s="15"/>
      <c r="QNU232" s="10"/>
      <c r="QNV232" s="10"/>
      <c r="QNW232" s="21"/>
      <c r="QNX232" s="21"/>
      <c r="QOA232" s="21"/>
      <c r="QOB232" s="15"/>
      <c r="QOC232" s="15"/>
      <c r="QOD232" s="15"/>
      <c r="QOE232" s="15"/>
      <c r="QOF232" s="15"/>
      <c r="QOG232" s="15"/>
      <c r="QOH232" s="15"/>
      <c r="QOI232" s="15"/>
      <c r="QOJ232" s="15"/>
      <c r="QOK232" s="15"/>
      <c r="QOL232" s="10"/>
      <c r="QOM232" s="10"/>
      <c r="QON232" s="21"/>
      <c r="QOO232" s="21"/>
      <c r="QOR232" s="21"/>
      <c r="QOS232" s="15"/>
      <c r="QOT232" s="15"/>
      <c r="QOU232" s="15"/>
      <c r="QOV232" s="15"/>
      <c r="QOW232" s="15"/>
      <c r="QOX232" s="15"/>
      <c r="QOY232" s="15"/>
      <c r="QOZ232" s="15"/>
      <c r="QPA232" s="15"/>
      <c r="QPB232" s="15"/>
      <c r="QPC232" s="10"/>
      <c r="QPD232" s="10"/>
      <c r="QPE232" s="21"/>
      <c r="QPF232" s="21"/>
      <c r="QPI232" s="21"/>
      <c r="QPJ232" s="15"/>
      <c r="QPK232" s="15"/>
      <c r="QPL232" s="15"/>
      <c r="QPM232" s="15"/>
      <c r="QPN232" s="15"/>
      <c r="QPO232" s="15"/>
      <c r="QPP232" s="15"/>
      <c r="QPQ232" s="15"/>
      <c r="QPR232" s="15"/>
      <c r="QPS232" s="15"/>
      <c r="QPT232" s="10"/>
      <c r="QPU232" s="10"/>
      <c r="QPV232" s="21"/>
      <c r="QPW232" s="21"/>
      <c r="QPZ232" s="21"/>
      <c r="QQA232" s="15"/>
      <c r="QQB232" s="15"/>
      <c r="QQC232" s="15"/>
      <c r="QQD232" s="15"/>
      <c r="QQE232" s="15"/>
      <c r="QQF232" s="15"/>
      <c r="QQG232" s="15"/>
      <c r="QQH232" s="15"/>
      <c r="QQI232" s="15"/>
      <c r="QQJ232" s="15"/>
      <c r="QQK232" s="10"/>
      <c r="QQL232" s="10"/>
      <c r="QQM232" s="21"/>
      <c r="QQN232" s="21"/>
      <c r="QQQ232" s="21"/>
      <c r="QQR232" s="15"/>
      <c r="QQS232" s="15"/>
      <c r="QQT232" s="15"/>
      <c r="QQU232" s="15"/>
      <c r="QQV232" s="15"/>
      <c r="QQW232" s="15"/>
      <c r="QQX232" s="15"/>
      <c r="QQY232" s="15"/>
      <c r="QQZ232" s="15"/>
      <c r="QRA232" s="15"/>
      <c r="QRB232" s="10"/>
      <c r="QRC232" s="10"/>
      <c r="QRD232" s="21"/>
      <c r="QRE232" s="21"/>
      <c r="QRH232" s="21"/>
      <c r="QRI232" s="15"/>
      <c r="QRJ232" s="15"/>
      <c r="QRK232" s="15"/>
      <c r="QRL232" s="15"/>
      <c r="QRM232" s="15"/>
      <c r="QRN232" s="15"/>
      <c r="QRO232" s="15"/>
      <c r="QRP232" s="15"/>
      <c r="QRQ232" s="15"/>
      <c r="QRR232" s="15"/>
      <c r="QRS232" s="10"/>
      <c r="QRT232" s="10"/>
      <c r="QRU232" s="21"/>
      <c r="QRV232" s="21"/>
      <c r="QRY232" s="21"/>
      <c r="QRZ232" s="15"/>
      <c r="QSA232" s="15"/>
      <c r="QSB232" s="15"/>
      <c r="QSC232" s="15"/>
      <c r="QSD232" s="15"/>
      <c r="QSE232" s="15"/>
      <c r="QSF232" s="15"/>
      <c r="QSG232" s="15"/>
      <c r="QSH232" s="15"/>
      <c r="QSI232" s="15"/>
      <c r="QSJ232" s="10"/>
      <c r="QSK232" s="10"/>
      <c r="QSL232" s="21"/>
      <c r="QSM232" s="21"/>
      <c r="QSP232" s="21"/>
      <c r="QSQ232" s="15"/>
      <c r="QSR232" s="15"/>
      <c r="QSS232" s="15"/>
      <c r="QST232" s="15"/>
      <c r="QSU232" s="15"/>
      <c r="QSV232" s="15"/>
      <c r="QSW232" s="15"/>
      <c r="QSX232" s="15"/>
      <c r="QSY232" s="15"/>
      <c r="QSZ232" s="15"/>
      <c r="QTA232" s="10"/>
      <c r="QTB232" s="10"/>
      <c r="QTC232" s="21"/>
      <c r="QTD232" s="21"/>
      <c r="QTG232" s="21"/>
      <c r="QTH232" s="15"/>
      <c r="QTI232" s="15"/>
      <c r="QTJ232" s="15"/>
      <c r="QTK232" s="15"/>
      <c r="QTL232" s="15"/>
      <c r="QTM232" s="15"/>
      <c r="QTN232" s="15"/>
      <c r="QTO232" s="15"/>
      <c r="QTP232" s="15"/>
      <c r="QTQ232" s="15"/>
      <c r="QTR232" s="10"/>
      <c r="QTS232" s="10"/>
      <c r="QTT232" s="21"/>
      <c r="QTU232" s="21"/>
      <c r="QTX232" s="21"/>
      <c r="QTY232" s="15"/>
      <c r="QTZ232" s="15"/>
      <c r="QUA232" s="15"/>
      <c r="QUB232" s="15"/>
      <c r="QUC232" s="15"/>
      <c r="QUD232" s="15"/>
      <c r="QUE232" s="15"/>
      <c r="QUF232" s="15"/>
      <c r="QUG232" s="15"/>
      <c r="QUH232" s="15"/>
      <c r="QUI232" s="10"/>
      <c r="QUJ232" s="10"/>
      <c r="QUK232" s="21"/>
      <c r="QUL232" s="21"/>
      <c r="QUO232" s="21"/>
      <c r="QUP232" s="15"/>
      <c r="QUQ232" s="15"/>
      <c r="QUR232" s="15"/>
      <c r="QUS232" s="15"/>
      <c r="QUT232" s="15"/>
      <c r="QUU232" s="15"/>
      <c r="QUV232" s="15"/>
      <c r="QUW232" s="15"/>
      <c r="QUX232" s="15"/>
      <c r="QUY232" s="15"/>
      <c r="QUZ232" s="10"/>
      <c r="QVA232" s="10"/>
      <c r="QVB232" s="21"/>
      <c r="QVC232" s="21"/>
      <c r="QVF232" s="21"/>
      <c r="QVG232" s="15"/>
      <c r="QVH232" s="15"/>
      <c r="QVI232" s="15"/>
      <c r="QVJ232" s="15"/>
      <c r="QVK232" s="15"/>
      <c r="QVL232" s="15"/>
      <c r="QVM232" s="15"/>
      <c r="QVN232" s="15"/>
      <c r="QVO232" s="15"/>
      <c r="QVP232" s="15"/>
      <c r="QVQ232" s="10"/>
      <c r="QVR232" s="10"/>
      <c r="QVS232" s="21"/>
      <c r="QVT232" s="21"/>
      <c r="QVW232" s="21"/>
      <c r="QVX232" s="15"/>
      <c r="QVY232" s="15"/>
      <c r="QVZ232" s="15"/>
      <c r="QWA232" s="15"/>
      <c r="QWB232" s="15"/>
      <c r="QWC232" s="15"/>
      <c r="QWD232" s="15"/>
      <c r="QWE232" s="15"/>
      <c r="QWF232" s="15"/>
      <c r="QWG232" s="15"/>
      <c r="QWH232" s="10"/>
      <c r="QWI232" s="10"/>
      <c r="QWJ232" s="21"/>
      <c r="QWK232" s="21"/>
      <c r="QWN232" s="21"/>
      <c r="QWO232" s="15"/>
      <c r="QWP232" s="15"/>
      <c r="QWQ232" s="15"/>
      <c r="QWR232" s="15"/>
      <c r="QWS232" s="15"/>
      <c r="QWT232" s="15"/>
      <c r="QWU232" s="15"/>
      <c r="QWV232" s="15"/>
      <c r="QWW232" s="15"/>
      <c r="QWX232" s="15"/>
      <c r="QWY232" s="10"/>
      <c r="QWZ232" s="10"/>
      <c r="QXA232" s="21"/>
      <c r="QXB232" s="21"/>
      <c r="QXE232" s="21"/>
      <c r="QXF232" s="15"/>
      <c r="QXG232" s="15"/>
      <c r="QXH232" s="15"/>
      <c r="QXI232" s="15"/>
      <c r="QXJ232" s="15"/>
      <c r="QXK232" s="15"/>
      <c r="QXL232" s="15"/>
      <c r="QXM232" s="15"/>
      <c r="QXN232" s="15"/>
      <c r="QXO232" s="15"/>
      <c r="QXP232" s="10"/>
      <c r="QXQ232" s="10"/>
      <c r="QXR232" s="21"/>
      <c r="QXS232" s="21"/>
      <c r="QXV232" s="21"/>
      <c r="QXW232" s="15"/>
      <c r="QXX232" s="15"/>
      <c r="QXY232" s="15"/>
      <c r="QXZ232" s="15"/>
      <c r="QYA232" s="15"/>
      <c r="QYB232" s="15"/>
      <c r="QYC232" s="15"/>
      <c r="QYD232" s="15"/>
      <c r="QYE232" s="15"/>
      <c r="QYF232" s="15"/>
      <c r="QYG232" s="10"/>
      <c r="QYH232" s="10"/>
      <c r="QYI232" s="21"/>
      <c r="QYJ232" s="21"/>
      <c r="QYM232" s="21"/>
      <c r="QYN232" s="15"/>
      <c r="QYO232" s="15"/>
      <c r="QYP232" s="15"/>
      <c r="QYQ232" s="15"/>
      <c r="QYR232" s="15"/>
      <c r="QYS232" s="15"/>
      <c r="QYT232" s="15"/>
      <c r="QYU232" s="15"/>
      <c r="QYV232" s="15"/>
      <c r="QYW232" s="15"/>
      <c r="QYX232" s="10"/>
      <c r="QYY232" s="10"/>
      <c r="QYZ232" s="21"/>
      <c r="QZA232" s="21"/>
      <c r="QZD232" s="21"/>
      <c r="QZE232" s="15"/>
      <c r="QZF232" s="15"/>
      <c r="QZG232" s="15"/>
      <c r="QZH232" s="15"/>
      <c r="QZI232" s="15"/>
      <c r="QZJ232" s="15"/>
      <c r="QZK232" s="15"/>
      <c r="QZL232" s="15"/>
      <c r="QZM232" s="15"/>
      <c r="QZN232" s="15"/>
      <c r="QZO232" s="10"/>
      <c r="QZP232" s="10"/>
      <c r="QZQ232" s="21"/>
      <c r="QZR232" s="21"/>
      <c r="QZU232" s="21"/>
      <c r="QZV232" s="15"/>
      <c r="QZW232" s="15"/>
      <c r="QZX232" s="15"/>
      <c r="QZY232" s="15"/>
      <c r="QZZ232" s="15"/>
      <c r="RAA232" s="15"/>
      <c r="RAB232" s="15"/>
      <c r="RAC232" s="15"/>
      <c r="RAD232" s="15"/>
      <c r="RAE232" s="15"/>
      <c r="RAF232" s="10"/>
      <c r="RAG232" s="10"/>
      <c r="RAH232" s="21"/>
      <c r="RAI232" s="21"/>
      <c r="RAL232" s="21"/>
      <c r="RAM232" s="15"/>
      <c r="RAN232" s="15"/>
      <c r="RAO232" s="15"/>
      <c r="RAP232" s="15"/>
      <c r="RAQ232" s="15"/>
      <c r="RAR232" s="15"/>
      <c r="RAS232" s="15"/>
      <c r="RAT232" s="15"/>
      <c r="RAU232" s="15"/>
      <c r="RAV232" s="15"/>
      <c r="RAW232" s="10"/>
      <c r="RAX232" s="10"/>
      <c r="RAY232" s="21"/>
      <c r="RAZ232" s="21"/>
      <c r="RBC232" s="21"/>
      <c r="RBD232" s="15"/>
      <c r="RBE232" s="15"/>
      <c r="RBF232" s="15"/>
      <c r="RBG232" s="15"/>
      <c r="RBH232" s="15"/>
      <c r="RBI232" s="15"/>
      <c r="RBJ232" s="15"/>
      <c r="RBK232" s="15"/>
      <c r="RBL232" s="15"/>
      <c r="RBM232" s="15"/>
      <c r="RBN232" s="10"/>
      <c r="RBO232" s="10"/>
      <c r="RBP232" s="21"/>
      <c r="RBQ232" s="21"/>
      <c r="RBT232" s="21"/>
      <c r="RBU232" s="15"/>
      <c r="RBV232" s="15"/>
      <c r="RBW232" s="15"/>
      <c r="RBX232" s="15"/>
      <c r="RBY232" s="15"/>
      <c r="RBZ232" s="15"/>
      <c r="RCA232" s="15"/>
      <c r="RCB232" s="15"/>
      <c r="RCC232" s="15"/>
      <c r="RCD232" s="15"/>
      <c r="RCE232" s="10"/>
      <c r="RCF232" s="10"/>
      <c r="RCG232" s="21"/>
      <c r="RCH232" s="21"/>
      <c r="RCK232" s="21"/>
      <c r="RCL232" s="15"/>
      <c r="RCM232" s="15"/>
      <c r="RCN232" s="15"/>
      <c r="RCO232" s="15"/>
      <c r="RCP232" s="15"/>
      <c r="RCQ232" s="15"/>
      <c r="RCR232" s="15"/>
      <c r="RCS232" s="15"/>
      <c r="RCT232" s="15"/>
      <c r="RCU232" s="15"/>
      <c r="RCV232" s="10"/>
      <c r="RCW232" s="10"/>
      <c r="RCX232" s="21"/>
      <c r="RCY232" s="21"/>
      <c r="RDB232" s="21"/>
      <c r="RDC232" s="15"/>
      <c r="RDD232" s="15"/>
      <c r="RDE232" s="15"/>
      <c r="RDF232" s="15"/>
      <c r="RDG232" s="15"/>
      <c r="RDH232" s="15"/>
      <c r="RDI232" s="15"/>
      <c r="RDJ232" s="15"/>
      <c r="RDK232" s="15"/>
      <c r="RDL232" s="15"/>
      <c r="RDM232" s="10"/>
      <c r="RDN232" s="10"/>
      <c r="RDO232" s="21"/>
      <c r="RDP232" s="21"/>
      <c r="RDS232" s="21"/>
      <c r="RDT232" s="15"/>
      <c r="RDU232" s="15"/>
      <c r="RDV232" s="15"/>
      <c r="RDW232" s="15"/>
      <c r="RDX232" s="15"/>
      <c r="RDY232" s="15"/>
      <c r="RDZ232" s="15"/>
      <c r="REA232" s="15"/>
      <c r="REB232" s="15"/>
      <c r="REC232" s="15"/>
      <c r="RED232" s="10"/>
      <c r="REE232" s="10"/>
      <c r="REF232" s="21"/>
      <c r="REG232" s="21"/>
      <c r="REJ232" s="21"/>
      <c r="REK232" s="15"/>
      <c r="REL232" s="15"/>
      <c r="REM232" s="15"/>
      <c r="REN232" s="15"/>
      <c r="REO232" s="15"/>
      <c r="REP232" s="15"/>
      <c r="REQ232" s="15"/>
      <c r="RER232" s="15"/>
      <c r="RES232" s="15"/>
      <c r="RET232" s="15"/>
      <c r="REU232" s="10"/>
      <c r="REV232" s="10"/>
      <c r="REW232" s="21"/>
      <c r="REX232" s="21"/>
      <c r="RFA232" s="21"/>
      <c r="RFB232" s="15"/>
      <c r="RFC232" s="15"/>
      <c r="RFD232" s="15"/>
      <c r="RFE232" s="15"/>
      <c r="RFF232" s="15"/>
      <c r="RFG232" s="15"/>
      <c r="RFH232" s="15"/>
      <c r="RFI232" s="15"/>
      <c r="RFJ232" s="15"/>
      <c r="RFK232" s="15"/>
      <c r="RFL232" s="10"/>
      <c r="RFM232" s="10"/>
      <c r="RFN232" s="21"/>
      <c r="RFO232" s="21"/>
      <c r="RFR232" s="21"/>
      <c r="RFS232" s="15"/>
      <c r="RFT232" s="15"/>
      <c r="RFU232" s="15"/>
      <c r="RFV232" s="15"/>
      <c r="RFW232" s="15"/>
      <c r="RFX232" s="15"/>
      <c r="RFY232" s="15"/>
      <c r="RFZ232" s="15"/>
      <c r="RGA232" s="15"/>
      <c r="RGB232" s="15"/>
      <c r="RGC232" s="10"/>
      <c r="RGD232" s="10"/>
      <c r="RGE232" s="21"/>
      <c r="RGF232" s="21"/>
      <c r="RGI232" s="21"/>
      <c r="RGJ232" s="15"/>
      <c r="RGK232" s="15"/>
      <c r="RGL232" s="15"/>
      <c r="RGM232" s="15"/>
      <c r="RGN232" s="15"/>
      <c r="RGO232" s="15"/>
      <c r="RGP232" s="15"/>
      <c r="RGQ232" s="15"/>
      <c r="RGR232" s="15"/>
      <c r="RGS232" s="15"/>
      <c r="RGT232" s="10"/>
      <c r="RGU232" s="10"/>
      <c r="RGV232" s="21"/>
      <c r="RGW232" s="21"/>
      <c r="RGZ232" s="21"/>
      <c r="RHA232" s="15"/>
      <c r="RHB232" s="15"/>
      <c r="RHC232" s="15"/>
      <c r="RHD232" s="15"/>
      <c r="RHE232" s="15"/>
      <c r="RHF232" s="15"/>
      <c r="RHG232" s="15"/>
      <c r="RHH232" s="15"/>
      <c r="RHI232" s="15"/>
      <c r="RHJ232" s="15"/>
      <c r="RHK232" s="10"/>
      <c r="RHL232" s="10"/>
      <c r="RHM232" s="21"/>
      <c r="RHN232" s="21"/>
      <c r="RHQ232" s="21"/>
      <c r="RHR232" s="15"/>
      <c r="RHS232" s="15"/>
      <c r="RHT232" s="15"/>
      <c r="RHU232" s="15"/>
      <c r="RHV232" s="15"/>
      <c r="RHW232" s="15"/>
      <c r="RHX232" s="15"/>
      <c r="RHY232" s="15"/>
      <c r="RHZ232" s="15"/>
      <c r="RIA232" s="15"/>
      <c r="RIB232" s="10"/>
      <c r="RIC232" s="10"/>
      <c r="RID232" s="21"/>
      <c r="RIE232" s="21"/>
      <c r="RIH232" s="21"/>
      <c r="RII232" s="15"/>
      <c r="RIJ232" s="15"/>
      <c r="RIK232" s="15"/>
      <c r="RIL232" s="15"/>
      <c r="RIM232" s="15"/>
      <c r="RIN232" s="15"/>
      <c r="RIO232" s="15"/>
      <c r="RIP232" s="15"/>
      <c r="RIQ232" s="15"/>
      <c r="RIR232" s="15"/>
      <c r="RIS232" s="10"/>
      <c r="RIT232" s="10"/>
      <c r="RIU232" s="21"/>
      <c r="RIV232" s="21"/>
      <c r="RIY232" s="21"/>
      <c r="RIZ232" s="15"/>
      <c r="RJA232" s="15"/>
      <c r="RJB232" s="15"/>
      <c r="RJC232" s="15"/>
      <c r="RJD232" s="15"/>
      <c r="RJE232" s="15"/>
      <c r="RJF232" s="15"/>
      <c r="RJG232" s="15"/>
      <c r="RJH232" s="15"/>
      <c r="RJI232" s="15"/>
      <c r="RJJ232" s="10"/>
      <c r="RJK232" s="10"/>
      <c r="RJL232" s="21"/>
      <c r="RJM232" s="21"/>
      <c r="RJP232" s="21"/>
      <c r="RJQ232" s="15"/>
      <c r="RJR232" s="15"/>
      <c r="RJS232" s="15"/>
      <c r="RJT232" s="15"/>
      <c r="RJU232" s="15"/>
      <c r="RJV232" s="15"/>
      <c r="RJW232" s="15"/>
      <c r="RJX232" s="15"/>
      <c r="RJY232" s="15"/>
      <c r="RJZ232" s="15"/>
      <c r="RKA232" s="10"/>
      <c r="RKB232" s="10"/>
      <c r="RKC232" s="21"/>
      <c r="RKD232" s="21"/>
      <c r="RKG232" s="21"/>
      <c r="RKH232" s="15"/>
      <c r="RKI232" s="15"/>
      <c r="RKJ232" s="15"/>
      <c r="RKK232" s="15"/>
      <c r="RKL232" s="15"/>
      <c r="RKM232" s="15"/>
      <c r="RKN232" s="15"/>
      <c r="RKO232" s="15"/>
      <c r="RKP232" s="15"/>
      <c r="RKQ232" s="15"/>
      <c r="RKR232" s="10"/>
      <c r="RKS232" s="10"/>
      <c r="RKT232" s="21"/>
      <c r="RKU232" s="21"/>
      <c r="RKX232" s="21"/>
      <c r="RKY232" s="15"/>
      <c r="RKZ232" s="15"/>
      <c r="RLA232" s="15"/>
      <c r="RLB232" s="15"/>
      <c r="RLC232" s="15"/>
      <c r="RLD232" s="15"/>
      <c r="RLE232" s="15"/>
      <c r="RLF232" s="15"/>
      <c r="RLG232" s="15"/>
      <c r="RLH232" s="15"/>
      <c r="RLI232" s="10"/>
      <c r="RLJ232" s="10"/>
      <c r="RLK232" s="21"/>
      <c r="RLL232" s="21"/>
      <c r="RLO232" s="21"/>
      <c r="RLP232" s="15"/>
      <c r="RLQ232" s="15"/>
      <c r="RLR232" s="15"/>
      <c r="RLS232" s="15"/>
      <c r="RLT232" s="15"/>
      <c r="RLU232" s="15"/>
      <c r="RLV232" s="15"/>
      <c r="RLW232" s="15"/>
      <c r="RLX232" s="15"/>
      <c r="RLY232" s="15"/>
      <c r="RLZ232" s="10"/>
      <c r="RMA232" s="10"/>
      <c r="RMB232" s="21"/>
      <c r="RMC232" s="21"/>
      <c r="RMF232" s="21"/>
      <c r="RMG232" s="15"/>
      <c r="RMH232" s="15"/>
      <c r="RMI232" s="15"/>
      <c r="RMJ232" s="15"/>
      <c r="RMK232" s="15"/>
      <c r="RML232" s="15"/>
      <c r="RMM232" s="15"/>
      <c r="RMN232" s="15"/>
      <c r="RMO232" s="15"/>
      <c r="RMP232" s="15"/>
      <c r="RMQ232" s="10"/>
      <c r="RMR232" s="10"/>
      <c r="RMS232" s="21"/>
      <c r="RMT232" s="21"/>
      <c r="RMW232" s="21"/>
      <c r="RMX232" s="15"/>
      <c r="RMY232" s="15"/>
      <c r="RMZ232" s="15"/>
      <c r="RNA232" s="15"/>
      <c r="RNB232" s="15"/>
      <c r="RNC232" s="15"/>
      <c r="RND232" s="15"/>
      <c r="RNE232" s="15"/>
      <c r="RNF232" s="15"/>
      <c r="RNG232" s="15"/>
      <c r="RNH232" s="10"/>
      <c r="RNI232" s="10"/>
      <c r="RNJ232" s="21"/>
      <c r="RNK232" s="21"/>
      <c r="RNN232" s="21"/>
      <c r="RNO232" s="15"/>
      <c r="RNP232" s="15"/>
      <c r="RNQ232" s="15"/>
      <c r="RNR232" s="15"/>
      <c r="RNS232" s="15"/>
      <c r="RNT232" s="15"/>
      <c r="RNU232" s="15"/>
      <c r="RNV232" s="15"/>
      <c r="RNW232" s="15"/>
      <c r="RNX232" s="15"/>
      <c r="RNY232" s="10"/>
      <c r="RNZ232" s="10"/>
      <c r="ROA232" s="21"/>
      <c r="ROB232" s="21"/>
      <c r="ROE232" s="21"/>
      <c r="ROF232" s="15"/>
      <c r="ROG232" s="15"/>
      <c r="ROH232" s="15"/>
      <c r="ROI232" s="15"/>
      <c r="ROJ232" s="15"/>
      <c r="ROK232" s="15"/>
      <c r="ROL232" s="15"/>
      <c r="ROM232" s="15"/>
      <c r="RON232" s="15"/>
      <c r="ROO232" s="15"/>
      <c r="ROP232" s="10"/>
      <c r="ROQ232" s="10"/>
      <c r="ROR232" s="21"/>
      <c r="ROS232" s="21"/>
      <c r="ROV232" s="21"/>
      <c r="ROW232" s="15"/>
      <c r="ROX232" s="15"/>
      <c r="ROY232" s="15"/>
      <c r="ROZ232" s="15"/>
      <c r="RPA232" s="15"/>
      <c r="RPB232" s="15"/>
      <c r="RPC232" s="15"/>
      <c r="RPD232" s="15"/>
      <c r="RPE232" s="15"/>
      <c r="RPF232" s="15"/>
      <c r="RPG232" s="10"/>
      <c r="RPH232" s="10"/>
      <c r="RPI232" s="21"/>
      <c r="RPJ232" s="21"/>
      <c r="RPM232" s="21"/>
      <c r="RPN232" s="15"/>
      <c r="RPO232" s="15"/>
      <c r="RPP232" s="15"/>
      <c r="RPQ232" s="15"/>
      <c r="RPR232" s="15"/>
      <c r="RPS232" s="15"/>
      <c r="RPT232" s="15"/>
      <c r="RPU232" s="15"/>
      <c r="RPV232" s="15"/>
      <c r="RPW232" s="15"/>
      <c r="RPX232" s="10"/>
      <c r="RPY232" s="10"/>
      <c r="RPZ232" s="21"/>
      <c r="RQA232" s="21"/>
      <c r="RQD232" s="21"/>
      <c r="RQE232" s="15"/>
      <c r="RQF232" s="15"/>
      <c r="RQG232" s="15"/>
      <c r="RQH232" s="15"/>
      <c r="RQI232" s="15"/>
      <c r="RQJ232" s="15"/>
      <c r="RQK232" s="15"/>
      <c r="RQL232" s="15"/>
      <c r="RQM232" s="15"/>
      <c r="RQN232" s="15"/>
      <c r="RQO232" s="10"/>
      <c r="RQP232" s="10"/>
      <c r="RQQ232" s="21"/>
      <c r="RQR232" s="21"/>
      <c r="RQU232" s="21"/>
      <c r="RQV232" s="15"/>
      <c r="RQW232" s="15"/>
      <c r="RQX232" s="15"/>
      <c r="RQY232" s="15"/>
      <c r="RQZ232" s="15"/>
      <c r="RRA232" s="15"/>
      <c r="RRB232" s="15"/>
      <c r="RRC232" s="15"/>
      <c r="RRD232" s="15"/>
      <c r="RRE232" s="15"/>
      <c r="RRF232" s="10"/>
      <c r="RRG232" s="10"/>
      <c r="RRH232" s="21"/>
      <c r="RRI232" s="21"/>
      <c r="RRL232" s="21"/>
      <c r="RRM232" s="15"/>
      <c r="RRN232" s="15"/>
      <c r="RRO232" s="15"/>
      <c r="RRP232" s="15"/>
      <c r="RRQ232" s="15"/>
      <c r="RRR232" s="15"/>
      <c r="RRS232" s="15"/>
      <c r="RRT232" s="15"/>
      <c r="RRU232" s="15"/>
      <c r="RRV232" s="15"/>
      <c r="RRW232" s="10"/>
      <c r="RRX232" s="10"/>
      <c r="RRY232" s="21"/>
      <c r="RRZ232" s="21"/>
      <c r="RSC232" s="21"/>
      <c r="RSD232" s="15"/>
      <c r="RSE232" s="15"/>
      <c r="RSF232" s="15"/>
      <c r="RSG232" s="15"/>
      <c r="RSH232" s="15"/>
      <c r="RSI232" s="15"/>
      <c r="RSJ232" s="15"/>
      <c r="RSK232" s="15"/>
      <c r="RSL232" s="15"/>
      <c r="RSM232" s="15"/>
      <c r="RSN232" s="10"/>
      <c r="RSO232" s="10"/>
      <c r="RSP232" s="21"/>
      <c r="RSQ232" s="21"/>
      <c r="RST232" s="21"/>
      <c r="RSU232" s="15"/>
      <c r="RSV232" s="15"/>
      <c r="RSW232" s="15"/>
      <c r="RSX232" s="15"/>
      <c r="RSY232" s="15"/>
      <c r="RSZ232" s="15"/>
      <c r="RTA232" s="15"/>
      <c r="RTB232" s="15"/>
      <c r="RTC232" s="15"/>
      <c r="RTD232" s="15"/>
      <c r="RTE232" s="10"/>
      <c r="RTF232" s="10"/>
      <c r="RTG232" s="21"/>
      <c r="RTH232" s="21"/>
      <c r="RTK232" s="21"/>
      <c r="RTL232" s="15"/>
      <c r="RTM232" s="15"/>
      <c r="RTN232" s="15"/>
      <c r="RTO232" s="15"/>
      <c r="RTP232" s="15"/>
      <c r="RTQ232" s="15"/>
      <c r="RTR232" s="15"/>
      <c r="RTS232" s="15"/>
      <c r="RTT232" s="15"/>
      <c r="RTU232" s="15"/>
      <c r="RTV232" s="10"/>
      <c r="RTW232" s="10"/>
      <c r="RTX232" s="21"/>
      <c r="RTY232" s="21"/>
      <c r="RUB232" s="21"/>
      <c r="RUC232" s="15"/>
      <c r="RUD232" s="15"/>
      <c r="RUE232" s="15"/>
      <c r="RUF232" s="15"/>
      <c r="RUG232" s="15"/>
      <c r="RUH232" s="15"/>
      <c r="RUI232" s="15"/>
      <c r="RUJ232" s="15"/>
      <c r="RUK232" s="15"/>
      <c r="RUL232" s="15"/>
      <c r="RUM232" s="10"/>
      <c r="RUN232" s="10"/>
      <c r="RUO232" s="21"/>
      <c r="RUP232" s="21"/>
      <c r="RUS232" s="21"/>
      <c r="RUT232" s="15"/>
      <c r="RUU232" s="15"/>
      <c r="RUV232" s="15"/>
      <c r="RUW232" s="15"/>
      <c r="RUX232" s="15"/>
      <c r="RUY232" s="15"/>
      <c r="RUZ232" s="15"/>
      <c r="RVA232" s="15"/>
      <c r="RVB232" s="15"/>
      <c r="RVC232" s="15"/>
      <c r="RVD232" s="10"/>
      <c r="RVE232" s="10"/>
      <c r="RVF232" s="21"/>
      <c r="RVG232" s="21"/>
      <c r="RVJ232" s="21"/>
      <c r="RVK232" s="15"/>
      <c r="RVL232" s="15"/>
      <c r="RVM232" s="15"/>
      <c r="RVN232" s="15"/>
      <c r="RVO232" s="15"/>
      <c r="RVP232" s="15"/>
      <c r="RVQ232" s="15"/>
      <c r="RVR232" s="15"/>
      <c r="RVS232" s="15"/>
      <c r="RVT232" s="15"/>
      <c r="RVU232" s="10"/>
      <c r="RVV232" s="10"/>
      <c r="RVW232" s="21"/>
      <c r="RVX232" s="21"/>
      <c r="RWA232" s="21"/>
      <c r="RWB232" s="15"/>
      <c r="RWC232" s="15"/>
      <c r="RWD232" s="15"/>
      <c r="RWE232" s="15"/>
      <c r="RWF232" s="15"/>
      <c r="RWG232" s="15"/>
      <c r="RWH232" s="15"/>
      <c r="RWI232" s="15"/>
      <c r="RWJ232" s="15"/>
      <c r="RWK232" s="15"/>
      <c r="RWL232" s="10"/>
      <c r="RWM232" s="10"/>
      <c r="RWN232" s="21"/>
      <c r="RWO232" s="21"/>
      <c r="RWR232" s="21"/>
      <c r="RWS232" s="15"/>
      <c r="RWT232" s="15"/>
      <c r="RWU232" s="15"/>
      <c r="RWV232" s="15"/>
      <c r="RWW232" s="15"/>
      <c r="RWX232" s="15"/>
      <c r="RWY232" s="15"/>
      <c r="RWZ232" s="15"/>
      <c r="RXA232" s="15"/>
      <c r="RXB232" s="15"/>
      <c r="RXC232" s="10"/>
      <c r="RXD232" s="10"/>
      <c r="RXE232" s="21"/>
      <c r="RXF232" s="21"/>
      <c r="RXI232" s="21"/>
      <c r="RXJ232" s="15"/>
      <c r="RXK232" s="15"/>
      <c r="RXL232" s="15"/>
      <c r="RXM232" s="15"/>
      <c r="RXN232" s="15"/>
      <c r="RXO232" s="15"/>
      <c r="RXP232" s="15"/>
      <c r="RXQ232" s="15"/>
      <c r="RXR232" s="15"/>
      <c r="RXS232" s="15"/>
      <c r="RXT232" s="10"/>
      <c r="RXU232" s="10"/>
      <c r="RXV232" s="21"/>
      <c r="RXW232" s="21"/>
      <c r="RXZ232" s="21"/>
      <c r="RYA232" s="15"/>
      <c r="RYB232" s="15"/>
      <c r="RYC232" s="15"/>
      <c r="RYD232" s="15"/>
      <c r="RYE232" s="15"/>
      <c r="RYF232" s="15"/>
      <c r="RYG232" s="15"/>
      <c r="RYH232" s="15"/>
      <c r="RYI232" s="15"/>
      <c r="RYJ232" s="15"/>
      <c r="RYK232" s="10"/>
      <c r="RYL232" s="10"/>
      <c r="RYM232" s="21"/>
      <c r="RYN232" s="21"/>
      <c r="RYQ232" s="21"/>
      <c r="RYR232" s="15"/>
      <c r="RYS232" s="15"/>
      <c r="RYT232" s="15"/>
      <c r="RYU232" s="15"/>
      <c r="RYV232" s="15"/>
      <c r="RYW232" s="15"/>
      <c r="RYX232" s="15"/>
      <c r="RYY232" s="15"/>
      <c r="RYZ232" s="15"/>
      <c r="RZA232" s="15"/>
      <c r="RZB232" s="10"/>
      <c r="RZC232" s="10"/>
      <c r="RZD232" s="21"/>
      <c r="RZE232" s="21"/>
      <c r="RZH232" s="21"/>
      <c r="RZI232" s="15"/>
      <c r="RZJ232" s="15"/>
      <c r="RZK232" s="15"/>
      <c r="RZL232" s="15"/>
      <c r="RZM232" s="15"/>
      <c r="RZN232" s="15"/>
      <c r="RZO232" s="15"/>
      <c r="RZP232" s="15"/>
      <c r="RZQ232" s="15"/>
      <c r="RZR232" s="15"/>
      <c r="RZS232" s="10"/>
      <c r="RZT232" s="10"/>
      <c r="RZU232" s="21"/>
      <c r="RZV232" s="21"/>
      <c r="RZY232" s="21"/>
      <c r="RZZ232" s="15"/>
      <c r="SAA232" s="15"/>
      <c r="SAB232" s="15"/>
      <c r="SAC232" s="15"/>
      <c r="SAD232" s="15"/>
      <c r="SAE232" s="15"/>
      <c r="SAF232" s="15"/>
      <c r="SAG232" s="15"/>
      <c r="SAH232" s="15"/>
      <c r="SAI232" s="15"/>
      <c r="SAJ232" s="10"/>
      <c r="SAK232" s="10"/>
      <c r="SAL232" s="21"/>
      <c r="SAM232" s="21"/>
      <c r="SAP232" s="21"/>
      <c r="SAQ232" s="15"/>
      <c r="SAR232" s="15"/>
      <c r="SAS232" s="15"/>
      <c r="SAT232" s="15"/>
      <c r="SAU232" s="15"/>
      <c r="SAV232" s="15"/>
      <c r="SAW232" s="15"/>
      <c r="SAX232" s="15"/>
      <c r="SAY232" s="15"/>
      <c r="SAZ232" s="15"/>
      <c r="SBA232" s="10"/>
      <c r="SBB232" s="10"/>
      <c r="SBC232" s="21"/>
      <c r="SBD232" s="21"/>
      <c r="SBG232" s="21"/>
      <c r="SBH232" s="15"/>
      <c r="SBI232" s="15"/>
      <c r="SBJ232" s="15"/>
      <c r="SBK232" s="15"/>
      <c r="SBL232" s="15"/>
      <c r="SBM232" s="15"/>
      <c r="SBN232" s="15"/>
      <c r="SBO232" s="15"/>
      <c r="SBP232" s="15"/>
      <c r="SBQ232" s="15"/>
      <c r="SBR232" s="10"/>
      <c r="SBS232" s="10"/>
      <c r="SBT232" s="21"/>
      <c r="SBU232" s="21"/>
      <c r="SBX232" s="21"/>
      <c r="SBY232" s="15"/>
      <c r="SBZ232" s="15"/>
      <c r="SCA232" s="15"/>
      <c r="SCB232" s="15"/>
      <c r="SCC232" s="15"/>
      <c r="SCD232" s="15"/>
      <c r="SCE232" s="15"/>
      <c r="SCF232" s="15"/>
      <c r="SCG232" s="15"/>
      <c r="SCH232" s="15"/>
      <c r="SCI232" s="10"/>
      <c r="SCJ232" s="10"/>
      <c r="SCK232" s="21"/>
      <c r="SCL232" s="21"/>
      <c r="SCO232" s="21"/>
      <c r="SCP232" s="15"/>
      <c r="SCQ232" s="15"/>
      <c r="SCR232" s="15"/>
      <c r="SCS232" s="15"/>
      <c r="SCT232" s="15"/>
      <c r="SCU232" s="15"/>
      <c r="SCV232" s="15"/>
      <c r="SCW232" s="15"/>
      <c r="SCX232" s="15"/>
      <c r="SCY232" s="15"/>
      <c r="SCZ232" s="10"/>
      <c r="SDA232" s="10"/>
      <c r="SDB232" s="21"/>
      <c r="SDC232" s="21"/>
      <c r="SDF232" s="21"/>
      <c r="SDG232" s="15"/>
      <c r="SDH232" s="15"/>
      <c r="SDI232" s="15"/>
      <c r="SDJ232" s="15"/>
      <c r="SDK232" s="15"/>
      <c r="SDL232" s="15"/>
      <c r="SDM232" s="15"/>
      <c r="SDN232" s="15"/>
      <c r="SDO232" s="15"/>
      <c r="SDP232" s="15"/>
      <c r="SDQ232" s="10"/>
      <c r="SDR232" s="10"/>
      <c r="SDS232" s="21"/>
      <c r="SDT232" s="21"/>
      <c r="SDW232" s="21"/>
      <c r="SDX232" s="15"/>
      <c r="SDY232" s="15"/>
      <c r="SDZ232" s="15"/>
      <c r="SEA232" s="15"/>
      <c r="SEB232" s="15"/>
      <c r="SEC232" s="15"/>
      <c r="SED232" s="15"/>
      <c r="SEE232" s="15"/>
      <c r="SEF232" s="15"/>
      <c r="SEG232" s="15"/>
      <c r="SEH232" s="10"/>
      <c r="SEI232" s="10"/>
      <c r="SEJ232" s="21"/>
      <c r="SEK232" s="21"/>
      <c r="SEN232" s="21"/>
      <c r="SEO232" s="15"/>
      <c r="SEP232" s="15"/>
      <c r="SEQ232" s="15"/>
      <c r="SER232" s="15"/>
      <c r="SES232" s="15"/>
      <c r="SET232" s="15"/>
      <c r="SEU232" s="15"/>
      <c r="SEV232" s="15"/>
      <c r="SEW232" s="15"/>
      <c r="SEX232" s="15"/>
      <c r="SEY232" s="10"/>
      <c r="SEZ232" s="10"/>
      <c r="SFA232" s="21"/>
      <c r="SFB232" s="21"/>
      <c r="SFE232" s="21"/>
      <c r="SFF232" s="15"/>
      <c r="SFG232" s="15"/>
      <c r="SFH232" s="15"/>
      <c r="SFI232" s="15"/>
      <c r="SFJ232" s="15"/>
      <c r="SFK232" s="15"/>
      <c r="SFL232" s="15"/>
      <c r="SFM232" s="15"/>
      <c r="SFN232" s="15"/>
      <c r="SFO232" s="15"/>
      <c r="SFP232" s="10"/>
      <c r="SFQ232" s="10"/>
      <c r="SFR232" s="21"/>
      <c r="SFS232" s="21"/>
      <c r="SFV232" s="21"/>
      <c r="SFW232" s="15"/>
      <c r="SFX232" s="15"/>
      <c r="SFY232" s="15"/>
      <c r="SFZ232" s="15"/>
      <c r="SGA232" s="15"/>
      <c r="SGB232" s="15"/>
      <c r="SGC232" s="15"/>
      <c r="SGD232" s="15"/>
      <c r="SGE232" s="15"/>
      <c r="SGF232" s="15"/>
      <c r="SGG232" s="10"/>
      <c r="SGH232" s="10"/>
      <c r="SGI232" s="21"/>
      <c r="SGJ232" s="21"/>
      <c r="SGM232" s="21"/>
      <c r="SGN232" s="15"/>
      <c r="SGO232" s="15"/>
      <c r="SGP232" s="15"/>
      <c r="SGQ232" s="15"/>
      <c r="SGR232" s="15"/>
      <c r="SGS232" s="15"/>
      <c r="SGT232" s="15"/>
      <c r="SGU232" s="15"/>
      <c r="SGV232" s="15"/>
      <c r="SGW232" s="15"/>
      <c r="SGX232" s="10"/>
      <c r="SGY232" s="10"/>
      <c r="SGZ232" s="21"/>
      <c r="SHA232" s="21"/>
      <c r="SHD232" s="21"/>
      <c r="SHE232" s="15"/>
      <c r="SHF232" s="15"/>
      <c r="SHG232" s="15"/>
      <c r="SHH232" s="15"/>
      <c r="SHI232" s="15"/>
      <c r="SHJ232" s="15"/>
      <c r="SHK232" s="15"/>
      <c r="SHL232" s="15"/>
      <c r="SHM232" s="15"/>
      <c r="SHN232" s="15"/>
      <c r="SHO232" s="10"/>
      <c r="SHP232" s="10"/>
      <c r="SHQ232" s="21"/>
      <c r="SHR232" s="21"/>
      <c r="SHU232" s="21"/>
      <c r="SHV232" s="15"/>
      <c r="SHW232" s="15"/>
      <c r="SHX232" s="15"/>
      <c r="SHY232" s="15"/>
      <c r="SHZ232" s="15"/>
      <c r="SIA232" s="15"/>
      <c r="SIB232" s="15"/>
      <c r="SIC232" s="15"/>
      <c r="SID232" s="15"/>
      <c r="SIE232" s="15"/>
      <c r="SIF232" s="10"/>
      <c r="SIG232" s="10"/>
      <c r="SIH232" s="21"/>
      <c r="SII232" s="21"/>
      <c r="SIL232" s="21"/>
      <c r="SIM232" s="15"/>
      <c r="SIN232" s="15"/>
      <c r="SIO232" s="15"/>
      <c r="SIP232" s="15"/>
      <c r="SIQ232" s="15"/>
      <c r="SIR232" s="15"/>
      <c r="SIS232" s="15"/>
      <c r="SIT232" s="15"/>
      <c r="SIU232" s="15"/>
      <c r="SIV232" s="15"/>
      <c r="SIW232" s="10"/>
      <c r="SIX232" s="10"/>
      <c r="SIY232" s="21"/>
      <c r="SIZ232" s="21"/>
      <c r="SJC232" s="21"/>
      <c r="SJD232" s="15"/>
      <c r="SJE232" s="15"/>
      <c r="SJF232" s="15"/>
      <c r="SJG232" s="15"/>
      <c r="SJH232" s="15"/>
      <c r="SJI232" s="15"/>
      <c r="SJJ232" s="15"/>
      <c r="SJK232" s="15"/>
      <c r="SJL232" s="15"/>
      <c r="SJM232" s="15"/>
      <c r="SJN232" s="10"/>
      <c r="SJO232" s="10"/>
      <c r="SJP232" s="21"/>
      <c r="SJQ232" s="21"/>
      <c r="SJT232" s="21"/>
      <c r="SJU232" s="15"/>
      <c r="SJV232" s="15"/>
      <c r="SJW232" s="15"/>
      <c r="SJX232" s="15"/>
      <c r="SJY232" s="15"/>
      <c r="SJZ232" s="15"/>
      <c r="SKA232" s="15"/>
      <c r="SKB232" s="15"/>
      <c r="SKC232" s="15"/>
      <c r="SKD232" s="15"/>
      <c r="SKE232" s="10"/>
      <c r="SKF232" s="10"/>
      <c r="SKG232" s="21"/>
      <c r="SKH232" s="21"/>
      <c r="SKK232" s="21"/>
      <c r="SKL232" s="15"/>
      <c r="SKM232" s="15"/>
      <c r="SKN232" s="15"/>
      <c r="SKO232" s="15"/>
      <c r="SKP232" s="15"/>
      <c r="SKQ232" s="15"/>
      <c r="SKR232" s="15"/>
      <c r="SKS232" s="15"/>
      <c r="SKT232" s="15"/>
      <c r="SKU232" s="15"/>
      <c r="SKV232" s="10"/>
      <c r="SKW232" s="10"/>
      <c r="SKX232" s="21"/>
      <c r="SKY232" s="21"/>
      <c r="SLB232" s="21"/>
      <c r="SLC232" s="15"/>
      <c r="SLD232" s="15"/>
      <c r="SLE232" s="15"/>
      <c r="SLF232" s="15"/>
      <c r="SLG232" s="15"/>
      <c r="SLH232" s="15"/>
      <c r="SLI232" s="15"/>
      <c r="SLJ232" s="15"/>
      <c r="SLK232" s="15"/>
      <c r="SLL232" s="15"/>
      <c r="SLM232" s="10"/>
      <c r="SLN232" s="10"/>
      <c r="SLO232" s="21"/>
      <c r="SLP232" s="21"/>
      <c r="SLS232" s="21"/>
      <c r="SLT232" s="15"/>
      <c r="SLU232" s="15"/>
      <c r="SLV232" s="15"/>
      <c r="SLW232" s="15"/>
      <c r="SLX232" s="15"/>
      <c r="SLY232" s="15"/>
      <c r="SLZ232" s="15"/>
      <c r="SMA232" s="15"/>
      <c r="SMB232" s="15"/>
      <c r="SMC232" s="15"/>
      <c r="SMD232" s="10"/>
      <c r="SME232" s="10"/>
      <c r="SMF232" s="21"/>
      <c r="SMG232" s="21"/>
      <c r="SMJ232" s="21"/>
      <c r="SMK232" s="15"/>
      <c r="SML232" s="15"/>
      <c r="SMM232" s="15"/>
      <c r="SMN232" s="15"/>
      <c r="SMO232" s="15"/>
      <c r="SMP232" s="15"/>
      <c r="SMQ232" s="15"/>
      <c r="SMR232" s="15"/>
      <c r="SMS232" s="15"/>
      <c r="SMT232" s="15"/>
      <c r="SMU232" s="10"/>
      <c r="SMV232" s="10"/>
      <c r="SMW232" s="21"/>
      <c r="SMX232" s="21"/>
      <c r="SNA232" s="21"/>
      <c r="SNB232" s="15"/>
      <c r="SNC232" s="15"/>
      <c r="SND232" s="15"/>
      <c r="SNE232" s="15"/>
      <c r="SNF232" s="15"/>
      <c r="SNG232" s="15"/>
      <c r="SNH232" s="15"/>
      <c r="SNI232" s="15"/>
      <c r="SNJ232" s="15"/>
      <c r="SNK232" s="15"/>
      <c r="SNL232" s="10"/>
      <c r="SNM232" s="10"/>
      <c r="SNN232" s="21"/>
      <c r="SNO232" s="21"/>
      <c r="SNR232" s="21"/>
      <c r="SNS232" s="15"/>
      <c r="SNT232" s="15"/>
      <c r="SNU232" s="15"/>
      <c r="SNV232" s="15"/>
      <c r="SNW232" s="15"/>
      <c r="SNX232" s="15"/>
      <c r="SNY232" s="15"/>
      <c r="SNZ232" s="15"/>
      <c r="SOA232" s="15"/>
      <c r="SOB232" s="15"/>
      <c r="SOC232" s="10"/>
      <c r="SOD232" s="10"/>
      <c r="SOE232" s="21"/>
      <c r="SOF232" s="21"/>
      <c r="SOI232" s="21"/>
      <c r="SOJ232" s="15"/>
      <c r="SOK232" s="15"/>
      <c r="SOL232" s="15"/>
      <c r="SOM232" s="15"/>
      <c r="SON232" s="15"/>
      <c r="SOO232" s="15"/>
      <c r="SOP232" s="15"/>
      <c r="SOQ232" s="15"/>
      <c r="SOR232" s="15"/>
      <c r="SOS232" s="15"/>
      <c r="SOT232" s="10"/>
      <c r="SOU232" s="10"/>
      <c r="SOV232" s="21"/>
      <c r="SOW232" s="21"/>
      <c r="SOZ232" s="21"/>
      <c r="SPA232" s="15"/>
      <c r="SPB232" s="15"/>
      <c r="SPC232" s="15"/>
      <c r="SPD232" s="15"/>
      <c r="SPE232" s="15"/>
      <c r="SPF232" s="15"/>
      <c r="SPG232" s="15"/>
      <c r="SPH232" s="15"/>
      <c r="SPI232" s="15"/>
      <c r="SPJ232" s="15"/>
      <c r="SPK232" s="10"/>
      <c r="SPL232" s="10"/>
      <c r="SPM232" s="21"/>
      <c r="SPN232" s="21"/>
      <c r="SPQ232" s="21"/>
      <c r="SPR232" s="15"/>
      <c r="SPS232" s="15"/>
      <c r="SPT232" s="15"/>
      <c r="SPU232" s="15"/>
      <c r="SPV232" s="15"/>
      <c r="SPW232" s="15"/>
      <c r="SPX232" s="15"/>
      <c r="SPY232" s="15"/>
      <c r="SPZ232" s="15"/>
      <c r="SQA232" s="15"/>
      <c r="SQB232" s="10"/>
      <c r="SQC232" s="10"/>
      <c r="SQD232" s="21"/>
      <c r="SQE232" s="21"/>
      <c r="SQH232" s="21"/>
      <c r="SQI232" s="15"/>
      <c r="SQJ232" s="15"/>
      <c r="SQK232" s="15"/>
      <c r="SQL232" s="15"/>
      <c r="SQM232" s="15"/>
      <c r="SQN232" s="15"/>
      <c r="SQO232" s="15"/>
      <c r="SQP232" s="15"/>
      <c r="SQQ232" s="15"/>
      <c r="SQR232" s="15"/>
      <c r="SQS232" s="10"/>
      <c r="SQT232" s="10"/>
      <c r="SQU232" s="21"/>
      <c r="SQV232" s="21"/>
      <c r="SQY232" s="21"/>
      <c r="SQZ232" s="15"/>
      <c r="SRA232" s="15"/>
      <c r="SRB232" s="15"/>
      <c r="SRC232" s="15"/>
      <c r="SRD232" s="15"/>
      <c r="SRE232" s="15"/>
      <c r="SRF232" s="15"/>
      <c r="SRG232" s="15"/>
      <c r="SRH232" s="15"/>
      <c r="SRI232" s="15"/>
      <c r="SRJ232" s="10"/>
      <c r="SRK232" s="10"/>
      <c r="SRL232" s="21"/>
      <c r="SRM232" s="21"/>
      <c r="SRP232" s="21"/>
      <c r="SRQ232" s="15"/>
      <c r="SRR232" s="15"/>
      <c r="SRS232" s="15"/>
      <c r="SRT232" s="15"/>
      <c r="SRU232" s="15"/>
      <c r="SRV232" s="15"/>
      <c r="SRW232" s="15"/>
      <c r="SRX232" s="15"/>
      <c r="SRY232" s="15"/>
      <c r="SRZ232" s="15"/>
      <c r="SSA232" s="10"/>
      <c r="SSB232" s="10"/>
      <c r="SSC232" s="21"/>
      <c r="SSD232" s="21"/>
      <c r="SSG232" s="21"/>
      <c r="SSH232" s="15"/>
      <c r="SSI232" s="15"/>
      <c r="SSJ232" s="15"/>
      <c r="SSK232" s="15"/>
      <c r="SSL232" s="15"/>
      <c r="SSM232" s="15"/>
      <c r="SSN232" s="15"/>
      <c r="SSO232" s="15"/>
      <c r="SSP232" s="15"/>
      <c r="SSQ232" s="15"/>
      <c r="SSR232" s="10"/>
      <c r="SSS232" s="10"/>
      <c r="SST232" s="21"/>
      <c r="SSU232" s="21"/>
      <c r="SSX232" s="21"/>
      <c r="SSY232" s="15"/>
      <c r="SSZ232" s="15"/>
      <c r="STA232" s="15"/>
      <c r="STB232" s="15"/>
      <c r="STC232" s="15"/>
      <c r="STD232" s="15"/>
      <c r="STE232" s="15"/>
      <c r="STF232" s="15"/>
      <c r="STG232" s="15"/>
      <c r="STH232" s="15"/>
      <c r="STI232" s="10"/>
      <c r="STJ232" s="10"/>
      <c r="STK232" s="21"/>
      <c r="STL232" s="21"/>
      <c r="STO232" s="21"/>
      <c r="STP232" s="15"/>
      <c r="STQ232" s="15"/>
      <c r="STR232" s="15"/>
      <c r="STS232" s="15"/>
      <c r="STT232" s="15"/>
      <c r="STU232" s="15"/>
      <c r="STV232" s="15"/>
      <c r="STW232" s="15"/>
      <c r="STX232" s="15"/>
      <c r="STY232" s="15"/>
      <c r="STZ232" s="10"/>
      <c r="SUA232" s="10"/>
      <c r="SUB232" s="21"/>
      <c r="SUC232" s="21"/>
      <c r="SUF232" s="21"/>
      <c r="SUG232" s="15"/>
      <c r="SUH232" s="15"/>
      <c r="SUI232" s="15"/>
      <c r="SUJ232" s="15"/>
      <c r="SUK232" s="15"/>
      <c r="SUL232" s="15"/>
      <c r="SUM232" s="15"/>
      <c r="SUN232" s="15"/>
      <c r="SUO232" s="15"/>
      <c r="SUP232" s="15"/>
      <c r="SUQ232" s="10"/>
      <c r="SUR232" s="10"/>
      <c r="SUS232" s="21"/>
      <c r="SUT232" s="21"/>
      <c r="SUW232" s="21"/>
      <c r="SUX232" s="15"/>
      <c r="SUY232" s="15"/>
      <c r="SUZ232" s="15"/>
      <c r="SVA232" s="15"/>
      <c r="SVB232" s="15"/>
      <c r="SVC232" s="15"/>
      <c r="SVD232" s="15"/>
      <c r="SVE232" s="15"/>
      <c r="SVF232" s="15"/>
      <c r="SVG232" s="15"/>
      <c r="SVH232" s="10"/>
      <c r="SVI232" s="10"/>
      <c r="SVJ232" s="21"/>
      <c r="SVK232" s="21"/>
      <c r="SVN232" s="21"/>
      <c r="SVO232" s="15"/>
      <c r="SVP232" s="15"/>
      <c r="SVQ232" s="15"/>
      <c r="SVR232" s="15"/>
      <c r="SVS232" s="15"/>
      <c r="SVT232" s="15"/>
      <c r="SVU232" s="15"/>
      <c r="SVV232" s="15"/>
      <c r="SVW232" s="15"/>
      <c r="SVX232" s="15"/>
      <c r="SVY232" s="10"/>
      <c r="SVZ232" s="10"/>
      <c r="SWA232" s="21"/>
      <c r="SWB232" s="21"/>
      <c r="SWE232" s="21"/>
      <c r="SWF232" s="15"/>
      <c r="SWG232" s="15"/>
      <c r="SWH232" s="15"/>
      <c r="SWI232" s="15"/>
      <c r="SWJ232" s="15"/>
      <c r="SWK232" s="15"/>
      <c r="SWL232" s="15"/>
      <c r="SWM232" s="15"/>
      <c r="SWN232" s="15"/>
      <c r="SWO232" s="15"/>
      <c r="SWP232" s="10"/>
      <c r="SWQ232" s="10"/>
      <c r="SWR232" s="21"/>
      <c r="SWS232" s="21"/>
      <c r="SWV232" s="21"/>
      <c r="SWW232" s="15"/>
      <c r="SWX232" s="15"/>
      <c r="SWY232" s="15"/>
      <c r="SWZ232" s="15"/>
      <c r="SXA232" s="15"/>
      <c r="SXB232" s="15"/>
      <c r="SXC232" s="15"/>
      <c r="SXD232" s="15"/>
      <c r="SXE232" s="15"/>
      <c r="SXF232" s="15"/>
      <c r="SXG232" s="10"/>
      <c r="SXH232" s="10"/>
      <c r="SXI232" s="21"/>
      <c r="SXJ232" s="21"/>
      <c r="SXM232" s="21"/>
      <c r="SXN232" s="15"/>
      <c r="SXO232" s="15"/>
      <c r="SXP232" s="15"/>
      <c r="SXQ232" s="15"/>
      <c r="SXR232" s="15"/>
      <c r="SXS232" s="15"/>
      <c r="SXT232" s="15"/>
      <c r="SXU232" s="15"/>
      <c r="SXV232" s="15"/>
      <c r="SXW232" s="15"/>
      <c r="SXX232" s="10"/>
      <c r="SXY232" s="10"/>
      <c r="SXZ232" s="21"/>
      <c r="SYA232" s="21"/>
      <c r="SYD232" s="21"/>
      <c r="SYE232" s="15"/>
      <c r="SYF232" s="15"/>
      <c r="SYG232" s="15"/>
      <c r="SYH232" s="15"/>
      <c r="SYI232" s="15"/>
      <c r="SYJ232" s="15"/>
      <c r="SYK232" s="15"/>
      <c r="SYL232" s="15"/>
      <c r="SYM232" s="15"/>
      <c r="SYN232" s="15"/>
      <c r="SYO232" s="10"/>
      <c r="SYP232" s="10"/>
      <c r="SYQ232" s="21"/>
      <c r="SYR232" s="21"/>
      <c r="SYU232" s="21"/>
      <c r="SYV232" s="15"/>
      <c r="SYW232" s="15"/>
      <c r="SYX232" s="15"/>
      <c r="SYY232" s="15"/>
      <c r="SYZ232" s="15"/>
      <c r="SZA232" s="15"/>
      <c r="SZB232" s="15"/>
      <c r="SZC232" s="15"/>
      <c r="SZD232" s="15"/>
      <c r="SZE232" s="15"/>
      <c r="SZF232" s="10"/>
      <c r="SZG232" s="10"/>
      <c r="SZH232" s="21"/>
      <c r="SZI232" s="21"/>
      <c r="SZL232" s="21"/>
      <c r="SZM232" s="15"/>
      <c r="SZN232" s="15"/>
      <c r="SZO232" s="15"/>
      <c r="SZP232" s="15"/>
      <c r="SZQ232" s="15"/>
      <c r="SZR232" s="15"/>
      <c r="SZS232" s="15"/>
      <c r="SZT232" s="15"/>
      <c r="SZU232" s="15"/>
      <c r="SZV232" s="15"/>
      <c r="SZW232" s="10"/>
      <c r="SZX232" s="10"/>
      <c r="SZY232" s="21"/>
      <c r="SZZ232" s="21"/>
      <c r="TAC232" s="21"/>
      <c r="TAD232" s="15"/>
      <c r="TAE232" s="15"/>
      <c r="TAF232" s="15"/>
      <c r="TAG232" s="15"/>
      <c r="TAH232" s="15"/>
      <c r="TAI232" s="15"/>
      <c r="TAJ232" s="15"/>
      <c r="TAK232" s="15"/>
      <c r="TAL232" s="15"/>
      <c r="TAM232" s="15"/>
      <c r="TAN232" s="10"/>
      <c r="TAO232" s="10"/>
      <c r="TAP232" s="21"/>
      <c r="TAQ232" s="21"/>
      <c r="TAT232" s="21"/>
      <c r="TAU232" s="15"/>
      <c r="TAV232" s="15"/>
      <c r="TAW232" s="15"/>
      <c r="TAX232" s="15"/>
      <c r="TAY232" s="15"/>
      <c r="TAZ232" s="15"/>
      <c r="TBA232" s="15"/>
      <c r="TBB232" s="15"/>
      <c r="TBC232" s="15"/>
      <c r="TBD232" s="15"/>
      <c r="TBE232" s="10"/>
      <c r="TBF232" s="10"/>
      <c r="TBG232" s="21"/>
      <c r="TBH232" s="21"/>
      <c r="TBK232" s="21"/>
      <c r="TBL232" s="15"/>
      <c r="TBM232" s="15"/>
      <c r="TBN232" s="15"/>
      <c r="TBO232" s="15"/>
      <c r="TBP232" s="15"/>
      <c r="TBQ232" s="15"/>
      <c r="TBR232" s="15"/>
      <c r="TBS232" s="15"/>
      <c r="TBT232" s="15"/>
      <c r="TBU232" s="15"/>
      <c r="TBV232" s="10"/>
      <c r="TBW232" s="10"/>
      <c r="TBX232" s="21"/>
      <c r="TBY232" s="21"/>
      <c r="TCB232" s="21"/>
      <c r="TCC232" s="15"/>
      <c r="TCD232" s="15"/>
      <c r="TCE232" s="15"/>
      <c r="TCF232" s="15"/>
      <c r="TCG232" s="15"/>
      <c r="TCH232" s="15"/>
      <c r="TCI232" s="15"/>
      <c r="TCJ232" s="15"/>
      <c r="TCK232" s="15"/>
      <c r="TCL232" s="15"/>
      <c r="TCM232" s="10"/>
      <c r="TCN232" s="10"/>
      <c r="TCO232" s="21"/>
      <c r="TCP232" s="21"/>
      <c r="TCS232" s="21"/>
      <c r="TCT232" s="15"/>
      <c r="TCU232" s="15"/>
      <c r="TCV232" s="15"/>
      <c r="TCW232" s="15"/>
      <c r="TCX232" s="15"/>
      <c r="TCY232" s="15"/>
      <c r="TCZ232" s="15"/>
      <c r="TDA232" s="15"/>
      <c r="TDB232" s="15"/>
      <c r="TDC232" s="15"/>
      <c r="TDD232" s="10"/>
      <c r="TDE232" s="10"/>
      <c r="TDF232" s="21"/>
      <c r="TDG232" s="21"/>
      <c r="TDJ232" s="21"/>
      <c r="TDK232" s="15"/>
      <c r="TDL232" s="15"/>
      <c r="TDM232" s="15"/>
      <c r="TDN232" s="15"/>
      <c r="TDO232" s="15"/>
      <c r="TDP232" s="15"/>
      <c r="TDQ232" s="15"/>
      <c r="TDR232" s="15"/>
      <c r="TDS232" s="15"/>
      <c r="TDT232" s="15"/>
      <c r="TDU232" s="10"/>
      <c r="TDV232" s="10"/>
      <c r="TDW232" s="21"/>
      <c r="TDX232" s="21"/>
      <c r="TEA232" s="21"/>
      <c r="TEB232" s="15"/>
      <c r="TEC232" s="15"/>
      <c r="TED232" s="15"/>
      <c r="TEE232" s="15"/>
      <c r="TEF232" s="15"/>
      <c r="TEG232" s="15"/>
      <c r="TEH232" s="15"/>
      <c r="TEI232" s="15"/>
      <c r="TEJ232" s="15"/>
      <c r="TEK232" s="15"/>
      <c r="TEL232" s="10"/>
      <c r="TEM232" s="10"/>
      <c r="TEN232" s="21"/>
      <c r="TEO232" s="21"/>
      <c r="TER232" s="21"/>
      <c r="TES232" s="15"/>
      <c r="TET232" s="15"/>
      <c r="TEU232" s="15"/>
      <c r="TEV232" s="15"/>
      <c r="TEW232" s="15"/>
      <c r="TEX232" s="15"/>
      <c r="TEY232" s="15"/>
      <c r="TEZ232" s="15"/>
      <c r="TFA232" s="15"/>
      <c r="TFB232" s="15"/>
      <c r="TFC232" s="10"/>
      <c r="TFD232" s="10"/>
      <c r="TFE232" s="21"/>
      <c r="TFF232" s="21"/>
      <c r="TFI232" s="21"/>
      <c r="TFJ232" s="15"/>
      <c r="TFK232" s="15"/>
      <c r="TFL232" s="15"/>
      <c r="TFM232" s="15"/>
      <c r="TFN232" s="15"/>
      <c r="TFO232" s="15"/>
      <c r="TFP232" s="15"/>
      <c r="TFQ232" s="15"/>
      <c r="TFR232" s="15"/>
      <c r="TFS232" s="15"/>
      <c r="TFT232" s="10"/>
      <c r="TFU232" s="10"/>
      <c r="TFV232" s="21"/>
      <c r="TFW232" s="21"/>
      <c r="TFZ232" s="21"/>
      <c r="TGA232" s="15"/>
      <c r="TGB232" s="15"/>
      <c r="TGC232" s="15"/>
      <c r="TGD232" s="15"/>
      <c r="TGE232" s="15"/>
      <c r="TGF232" s="15"/>
      <c r="TGG232" s="15"/>
      <c r="TGH232" s="15"/>
      <c r="TGI232" s="15"/>
      <c r="TGJ232" s="15"/>
      <c r="TGK232" s="10"/>
      <c r="TGL232" s="10"/>
      <c r="TGM232" s="21"/>
      <c r="TGN232" s="21"/>
      <c r="TGQ232" s="21"/>
      <c r="TGR232" s="15"/>
      <c r="TGS232" s="15"/>
      <c r="TGT232" s="15"/>
      <c r="TGU232" s="15"/>
      <c r="TGV232" s="15"/>
      <c r="TGW232" s="15"/>
      <c r="TGX232" s="15"/>
      <c r="TGY232" s="15"/>
      <c r="TGZ232" s="15"/>
      <c r="THA232" s="15"/>
      <c r="THB232" s="10"/>
      <c r="THC232" s="10"/>
      <c r="THD232" s="21"/>
      <c r="THE232" s="21"/>
      <c r="THH232" s="21"/>
      <c r="THI232" s="15"/>
      <c r="THJ232" s="15"/>
      <c r="THK232" s="15"/>
      <c r="THL232" s="15"/>
      <c r="THM232" s="15"/>
      <c r="THN232" s="15"/>
      <c r="THO232" s="15"/>
      <c r="THP232" s="15"/>
      <c r="THQ232" s="15"/>
      <c r="THR232" s="15"/>
      <c r="THS232" s="10"/>
      <c r="THT232" s="10"/>
      <c r="THU232" s="21"/>
      <c r="THV232" s="21"/>
      <c r="THY232" s="21"/>
      <c r="THZ232" s="15"/>
      <c r="TIA232" s="15"/>
      <c r="TIB232" s="15"/>
      <c r="TIC232" s="15"/>
      <c r="TID232" s="15"/>
      <c r="TIE232" s="15"/>
      <c r="TIF232" s="15"/>
      <c r="TIG232" s="15"/>
      <c r="TIH232" s="15"/>
      <c r="TII232" s="15"/>
      <c r="TIJ232" s="10"/>
      <c r="TIK232" s="10"/>
      <c r="TIL232" s="21"/>
      <c r="TIM232" s="21"/>
      <c r="TIP232" s="21"/>
      <c r="TIQ232" s="15"/>
      <c r="TIR232" s="15"/>
      <c r="TIS232" s="15"/>
      <c r="TIT232" s="15"/>
      <c r="TIU232" s="15"/>
      <c r="TIV232" s="15"/>
      <c r="TIW232" s="15"/>
      <c r="TIX232" s="15"/>
      <c r="TIY232" s="15"/>
      <c r="TIZ232" s="15"/>
      <c r="TJA232" s="10"/>
      <c r="TJB232" s="10"/>
      <c r="TJC232" s="21"/>
      <c r="TJD232" s="21"/>
      <c r="TJG232" s="21"/>
      <c r="TJH232" s="15"/>
      <c r="TJI232" s="15"/>
      <c r="TJJ232" s="15"/>
      <c r="TJK232" s="15"/>
      <c r="TJL232" s="15"/>
      <c r="TJM232" s="15"/>
      <c r="TJN232" s="15"/>
      <c r="TJO232" s="15"/>
      <c r="TJP232" s="15"/>
      <c r="TJQ232" s="15"/>
      <c r="TJR232" s="10"/>
      <c r="TJS232" s="10"/>
      <c r="TJT232" s="21"/>
      <c r="TJU232" s="21"/>
      <c r="TJX232" s="21"/>
      <c r="TJY232" s="15"/>
      <c r="TJZ232" s="15"/>
      <c r="TKA232" s="15"/>
      <c r="TKB232" s="15"/>
      <c r="TKC232" s="15"/>
      <c r="TKD232" s="15"/>
      <c r="TKE232" s="15"/>
      <c r="TKF232" s="15"/>
      <c r="TKG232" s="15"/>
      <c r="TKH232" s="15"/>
      <c r="TKI232" s="10"/>
      <c r="TKJ232" s="10"/>
      <c r="TKK232" s="21"/>
      <c r="TKL232" s="21"/>
      <c r="TKO232" s="21"/>
      <c r="TKP232" s="15"/>
      <c r="TKQ232" s="15"/>
      <c r="TKR232" s="15"/>
      <c r="TKS232" s="15"/>
      <c r="TKT232" s="15"/>
      <c r="TKU232" s="15"/>
      <c r="TKV232" s="15"/>
      <c r="TKW232" s="15"/>
      <c r="TKX232" s="15"/>
      <c r="TKY232" s="15"/>
      <c r="TKZ232" s="10"/>
      <c r="TLA232" s="10"/>
      <c r="TLB232" s="21"/>
      <c r="TLC232" s="21"/>
      <c r="TLF232" s="21"/>
      <c r="TLG232" s="15"/>
      <c r="TLH232" s="15"/>
      <c r="TLI232" s="15"/>
      <c r="TLJ232" s="15"/>
      <c r="TLK232" s="15"/>
      <c r="TLL232" s="15"/>
      <c r="TLM232" s="15"/>
      <c r="TLN232" s="15"/>
      <c r="TLO232" s="15"/>
      <c r="TLP232" s="15"/>
      <c r="TLQ232" s="10"/>
      <c r="TLR232" s="10"/>
      <c r="TLS232" s="21"/>
      <c r="TLT232" s="21"/>
      <c r="TLW232" s="21"/>
      <c r="TLX232" s="15"/>
      <c r="TLY232" s="15"/>
      <c r="TLZ232" s="15"/>
      <c r="TMA232" s="15"/>
      <c r="TMB232" s="15"/>
      <c r="TMC232" s="15"/>
      <c r="TMD232" s="15"/>
      <c r="TME232" s="15"/>
      <c r="TMF232" s="15"/>
      <c r="TMG232" s="15"/>
      <c r="TMH232" s="10"/>
      <c r="TMI232" s="10"/>
      <c r="TMJ232" s="21"/>
      <c r="TMK232" s="21"/>
      <c r="TMN232" s="21"/>
      <c r="TMO232" s="15"/>
      <c r="TMP232" s="15"/>
      <c r="TMQ232" s="15"/>
      <c r="TMR232" s="15"/>
      <c r="TMS232" s="15"/>
      <c r="TMT232" s="15"/>
      <c r="TMU232" s="15"/>
      <c r="TMV232" s="15"/>
      <c r="TMW232" s="15"/>
      <c r="TMX232" s="15"/>
      <c r="TMY232" s="10"/>
      <c r="TMZ232" s="10"/>
      <c r="TNA232" s="21"/>
      <c r="TNB232" s="21"/>
      <c r="TNE232" s="21"/>
      <c r="TNF232" s="15"/>
      <c r="TNG232" s="15"/>
      <c r="TNH232" s="15"/>
      <c r="TNI232" s="15"/>
      <c r="TNJ232" s="15"/>
      <c r="TNK232" s="15"/>
      <c r="TNL232" s="15"/>
      <c r="TNM232" s="15"/>
      <c r="TNN232" s="15"/>
      <c r="TNO232" s="15"/>
      <c r="TNP232" s="10"/>
      <c r="TNQ232" s="10"/>
      <c r="TNR232" s="21"/>
      <c r="TNS232" s="21"/>
      <c r="TNV232" s="21"/>
      <c r="TNW232" s="15"/>
      <c r="TNX232" s="15"/>
      <c r="TNY232" s="15"/>
      <c r="TNZ232" s="15"/>
      <c r="TOA232" s="15"/>
      <c r="TOB232" s="15"/>
      <c r="TOC232" s="15"/>
      <c r="TOD232" s="15"/>
      <c r="TOE232" s="15"/>
      <c r="TOF232" s="15"/>
      <c r="TOG232" s="10"/>
      <c r="TOH232" s="10"/>
      <c r="TOI232" s="21"/>
      <c r="TOJ232" s="21"/>
      <c r="TOM232" s="21"/>
      <c r="TON232" s="15"/>
      <c r="TOO232" s="15"/>
      <c r="TOP232" s="15"/>
      <c r="TOQ232" s="15"/>
      <c r="TOR232" s="15"/>
      <c r="TOS232" s="15"/>
      <c r="TOT232" s="15"/>
      <c r="TOU232" s="15"/>
      <c r="TOV232" s="15"/>
      <c r="TOW232" s="15"/>
      <c r="TOX232" s="10"/>
      <c r="TOY232" s="10"/>
      <c r="TOZ232" s="21"/>
      <c r="TPA232" s="21"/>
      <c r="TPD232" s="21"/>
      <c r="TPE232" s="15"/>
      <c r="TPF232" s="15"/>
      <c r="TPG232" s="15"/>
      <c r="TPH232" s="15"/>
      <c r="TPI232" s="15"/>
      <c r="TPJ232" s="15"/>
      <c r="TPK232" s="15"/>
      <c r="TPL232" s="15"/>
      <c r="TPM232" s="15"/>
      <c r="TPN232" s="15"/>
      <c r="TPO232" s="10"/>
      <c r="TPP232" s="10"/>
      <c r="TPQ232" s="21"/>
      <c r="TPR232" s="21"/>
      <c r="TPU232" s="21"/>
      <c r="TPV232" s="15"/>
      <c r="TPW232" s="15"/>
      <c r="TPX232" s="15"/>
      <c r="TPY232" s="15"/>
      <c r="TPZ232" s="15"/>
      <c r="TQA232" s="15"/>
      <c r="TQB232" s="15"/>
      <c r="TQC232" s="15"/>
      <c r="TQD232" s="15"/>
      <c r="TQE232" s="15"/>
      <c r="TQF232" s="10"/>
      <c r="TQG232" s="10"/>
      <c r="TQH232" s="21"/>
      <c r="TQI232" s="21"/>
      <c r="TQL232" s="21"/>
      <c r="TQM232" s="15"/>
      <c r="TQN232" s="15"/>
      <c r="TQO232" s="15"/>
      <c r="TQP232" s="15"/>
      <c r="TQQ232" s="15"/>
      <c r="TQR232" s="15"/>
      <c r="TQS232" s="15"/>
      <c r="TQT232" s="15"/>
      <c r="TQU232" s="15"/>
      <c r="TQV232" s="15"/>
      <c r="TQW232" s="10"/>
      <c r="TQX232" s="10"/>
      <c r="TQY232" s="21"/>
      <c r="TQZ232" s="21"/>
      <c r="TRC232" s="21"/>
      <c r="TRD232" s="15"/>
      <c r="TRE232" s="15"/>
      <c r="TRF232" s="15"/>
      <c r="TRG232" s="15"/>
      <c r="TRH232" s="15"/>
      <c r="TRI232" s="15"/>
      <c r="TRJ232" s="15"/>
      <c r="TRK232" s="15"/>
      <c r="TRL232" s="15"/>
      <c r="TRM232" s="15"/>
      <c r="TRN232" s="10"/>
      <c r="TRO232" s="10"/>
      <c r="TRP232" s="21"/>
      <c r="TRQ232" s="21"/>
      <c r="TRT232" s="21"/>
      <c r="TRU232" s="15"/>
      <c r="TRV232" s="15"/>
      <c r="TRW232" s="15"/>
      <c r="TRX232" s="15"/>
      <c r="TRY232" s="15"/>
      <c r="TRZ232" s="15"/>
      <c r="TSA232" s="15"/>
      <c r="TSB232" s="15"/>
      <c r="TSC232" s="15"/>
      <c r="TSD232" s="15"/>
      <c r="TSE232" s="10"/>
      <c r="TSF232" s="10"/>
      <c r="TSG232" s="21"/>
      <c r="TSH232" s="21"/>
      <c r="TSK232" s="21"/>
      <c r="TSL232" s="15"/>
      <c r="TSM232" s="15"/>
      <c r="TSN232" s="15"/>
      <c r="TSO232" s="15"/>
      <c r="TSP232" s="15"/>
      <c r="TSQ232" s="15"/>
      <c r="TSR232" s="15"/>
      <c r="TSS232" s="15"/>
      <c r="TST232" s="15"/>
      <c r="TSU232" s="15"/>
      <c r="TSV232" s="10"/>
      <c r="TSW232" s="10"/>
      <c r="TSX232" s="21"/>
      <c r="TSY232" s="21"/>
      <c r="TTB232" s="21"/>
      <c r="TTC232" s="15"/>
      <c r="TTD232" s="15"/>
      <c r="TTE232" s="15"/>
      <c r="TTF232" s="15"/>
      <c r="TTG232" s="15"/>
      <c r="TTH232" s="15"/>
      <c r="TTI232" s="15"/>
      <c r="TTJ232" s="15"/>
      <c r="TTK232" s="15"/>
      <c r="TTL232" s="15"/>
      <c r="TTM232" s="10"/>
      <c r="TTN232" s="10"/>
      <c r="TTO232" s="21"/>
      <c r="TTP232" s="21"/>
      <c r="TTS232" s="21"/>
      <c r="TTT232" s="15"/>
      <c r="TTU232" s="15"/>
      <c r="TTV232" s="15"/>
      <c r="TTW232" s="15"/>
      <c r="TTX232" s="15"/>
      <c r="TTY232" s="15"/>
      <c r="TTZ232" s="15"/>
      <c r="TUA232" s="15"/>
      <c r="TUB232" s="15"/>
      <c r="TUC232" s="15"/>
      <c r="TUD232" s="10"/>
      <c r="TUE232" s="10"/>
      <c r="TUF232" s="21"/>
      <c r="TUG232" s="21"/>
      <c r="TUJ232" s="21"/>
      <c r="TUK232" s="15"/>
      <c r="TUL232" s="15"/>
      <c r="TUM232" s="15"/>
      <c r="TUN232" s="15"/>
      <c r="TUO232" s="15"/>
      <c r="TUP232" s="15"/>
      <c r="TUQ232" s="15"/>
      <c r="TUR232" s="15"/>
      <c r="TUS232" s="15"/>
      <c r="TUT232" s="15"/>
      <c r="TUU232" s="10"/>
      <c r="TUV232" s="10"/>
      <c r="TUW232" s="21"/>
      <c r="TUX232" s="21"/>
      <c r="TVA232" s="21"/>
      <c r="TVB232" s="15"/>
      <c r="TVC232" s="15"/>
      <c r="TVD232" s="15"/>
      <c r="TVE232" s="15"/>
      <c r="TVF232" s="15"/>
      <c r="TVG232" s="15"/>
      <c r="TVH232" s="15"/>
      <c r="TVI232" s="15"/>
      <c r="TVJ232" s="15"/>
      <c r="TVK232" s="15"/>
      <c r="TVL232" s="10"/>
      <c r="TVM232" s="10"/>
      <c r="TVN232" s="21"/>
      <c r="TVO232" s="21"/>
      <c r="TVR232" s="21"/>
      <c r="TVS232" s="15"/>
      <c r="TVT232" s="15"/>
      <c r="TVU232" s="15"/>
      <c r="TVV232" s="15"/>
      <c r="TVW232" s="15"/>
      <c r="TVX232" s="15"/>
      <c r="TVY232" s="15"/>
      <c r="TVZ232" s="15"/>
      <c r="TWA232" s="15"/>
      <c r="TWB232" s="15"/>
      <c r="TWC232" s="10"/>
      <c r="TWD232" s="10"/>
      <c r="TWE232" s="21"/>
      <c r="TWF232" s="21"/>
      <c r="TWI232" s="21"/>
      <c r="TWJ232" s="15"/>
      <c r="TWK232" s="15"/>
      <c r="TWL232" s="15"/>
      <c r="TWM232" s="15"/>
      <c r="TWN232" s="15"/>
      <c r="TWO232" s="15"/>
      <c r="TWP232" s="15"/>
      <c r="TWQ232" s="15"/>
      <c r="TWR232" s="15"/>
      <c r="TWS232" s="15"/>
      <c r="TWT232" s="10"/>
      <c r="TWU232" s="10"/>
      <c r="TWV232" s="21"/>
      <c r="TWW232" s="21"/>
      <c r="TWZ232" s="21"/>
      <c r="TXA232" s="15"/>
      <c r="TXB232" s="15"/>
      <c r="TXC232" s="15"/>
      <c r="TXD232" s="15"/>
      <c r="TXE232" s="15"/>
      <c r="TXF232" s="15"/>
      <c r="TXG232" s="15"/>
      <c r="TXH232" s="15"/>
      <c r="TXI232" s="15"/>
      <c r="TXJ232" s="15"/>
      <c r="TXK232" s="10"/>
      <c r="TXL232" s="10"/>
      <c r="TXM232" s="21"/>
      <c r="TXN232" s="21"/>
      <c r="TXQ232" s="21"/>
      <c r="TXR232" s="15"/>
      <c r="TXS232" s="15"/>
      <c r="TXT232" s="15"/>
      <c r="TXU232" s="15"/>
      <c r="TXV232" s="15"/>
      <c r="TXW232" s="15"/>
      <c r="TXX232" s="15"/>
      <c r="TXY232" s="15"/>
      <c r="TXZ232" s="15"/>
      <c r="TYA232" s="15"/>
      <c r="TYB232" s="10"/>
      <c r="TYC232" s="10"/>
      <c r="TYD232" s="21"/>
      <c r="TYE232" s="21"/>
      <c r="TYH232" s="21"/>
      <c r="TYI232" s="15"/>
      <c r="TYJ232" s="15"/>
      <c r="TYK232" s="15"/>
      <c r="TYL232" s="15"/>
      <c r="TYM232" s="15"/>
      <c r="TYN232" s="15"/>
      <c r="TYO232" s="15"/>
      <c r="TYP232" s="15"/>
      <c r="TYQ232" s="15"/>
      <c r="TYR232" s="15"/>
      <c r="TYS232" s="10"/>
      <c r="TYT232" s="10"/>
      <c r="TYU232" s="21"/>
      <c r="TYV232" s="21"/>
      <c r="TYY232" s="21"/>
      <c r="TYZ232" s="15"/>
      <c r="TZA232" s="15"/>
      <c r="TZB232" s="15"/>
      <c r="TZC232" s="15"/>
      <c r="TZD232" s="15"/>
      <c r="TZE232" s="15"/>
      <c r="TZF232" s="15"/>
      <c r="TZG232" s="15"/>
      <c r="TZH232" s="15"/>
      <c r="TZI232" s="15"/>
      <c r="TZJ232" s="10"/>
      <c r="TZK232" s="10"/>
      <c r="TZL232" s="21"/>
      <c r="TZM232" s="21"/>
      <c r="TZP232" s="21"/>
      <c r="TZQ232" s="15"/>
      <c r="TZR232" s="15"/>
      <c r="TZS232" s="15"/>
      <c r="TZT232" s="15"/>
      <c r="TZU232" s="15"/>
      <c r="TZV232" s="15"/>
      <c r="TZW232" s="15"/>
      <c r="TZX232" s="15"/>
      <c r="TZY232" s="15"/>
      <c r="TZZ232" s="15"/>
      <c r="UAA232" s="10"/>
      <c r="UAB232" s="10"/>
      <c r="UAC232" s="21"/>
      <c r="UAD232" s="21"/>
      <c r="UAG232" s="21"/>
      <c r="UAH232" s="15"/>
      <c r="UAI232" s="15"/>
      <c r="UAJ232" s="15"/>
      <c r="UAK232" s="15"/>
      <c r="UAL232" s="15"/>
      <c r="UAM232" s="15"/>
      <c r="UAN232" s="15"/>
      <c r="UAO232" s="15"/>
      <c r="UAP232" s="15"/>
      <c r="UAQ232" s="15"/>
      <c r="UAR232" s="10"/>
      <c r="UAS232" s="10"/>
      <c r="UAT232" s="21"/>
      <c r="UAU232" s="21"/>
      <c r="UAX232" s="21"/>
      <c r="UAY232" s="15"/>
      <c r="UAZ232" s="15"/>
      <c r="UBA232" s="15"/>
      <c r="UBB232" s="15"/>
      <c r="UBC232" s="15"/>
      <c r="UBD232" s="15"/>
      <c r="UBE232" s="15"/>
      <c r="UBF232" s="15"/>
      <c r="UBG232" s="15"/>
      <c r="UBH232" s="15"/>
      <c r="UBI232" s="10"/>
      <c r="UBJ232" s="10"/>
      <c r="UBK232" s="21"/>
      <c r="UBL232" s="21"/>
      <c r="UBO232" s="21"/>
      <c r="UBP232" s="15"/>
      <c r="UBQ232" s="15"/>
      <c r="UBR232" s="15"/>
      <c r="UBS232" s="15"/>
      <c r="UBT232" s="15"/>
      <c r="UBU232" s="15"/>
      <c r="UBV232" s="15"/>
      <c r="UBW232" s="15"/>
      <c r="UBX232" s="15"/>
      <c r="UBY232" s="15"/>
      <c r="UBZ232" s="10"/>
      <c r="UCA232" s="10"/>
      <c r="UCB232" s="21"/>
      <c r="UCC232" s="21"/>
      <c r="UCF232" s="21"/>
      <c r="UCG232" s="15"/>
      <c r="UCH232" s="15"/>
      <c r="UCI232" s="15"/>
      <c r="UCJ232" s="15"/>
      <c r="UCK232" s="15"/>
      <c r="UCL232" s="15"/>
      <c r="UCM232" s="15"/>
      <c r="UCN232" s="15"/>
      <c r="UCO232" s="15"/>
      <c r="UCP232" s="15"/>
      <c r="UCQ232" s="10"/>
      <c r="UCR232" s="10"/>
      <c r="UCS232" s="21"/>
      <c r="UCT232" s="21"/>
      <c r="UCW232" s="21"/>
      <c r="UCX232" s="15"/>
      <c r="UCY232" s="15"/>
      <c r="UCZ232" s="15"/>
      <c r="UDA232" s="15"/>
      <c r="UDB232" s="15"/>
      <c r="UDC232" s="15"/>
      <c r="UDD232" s="15"/>
      <c r="UDE232" s="15"/>
      <c r="UDF232" s="15"/>
      <c r="UDG232" s="15"/>
      <c r="UDH232" s="10"/>
      <c r="UDI232" s="10"/>
      <c r="UDJ232" s="21"/>
      <c r="UDK232" s="21"/>
      <c r="UDN232" s="21"/>
      <c r="UDO232" s="15"/>
      <c r="UDP232" s="15"/>
      <c r="UDQ232" s="15"/>
      <c r="UDR232" s="15"/>
      <c r="UDS232" s="15"/>
      <c r="UDT232" s="15"/>
      <c r="UDU232" s="15"/>
      <c r="UDV232" s="15"/>
      <c r="UDW232" s="15"/>
      <c r="UDX232" s="15"/>
      <c r="UDY232" s="10"/>
      <c r="UDZ232" s="10"/>
      <c r="UEA232" s="21"/>
      <c r="UEB232" s="21"/>
      <c r="UEE232" s="21"/>
      <c r="UEF232" s="15"/>
      <c r="UEG232" s="15"/>
      <c r="UEH232" s="15"/>
      <c r="UEI232" s="15"/>
      <c r="UEJ232" s="15"/>
      <c r="UEK232" s="15"/>
      <c r="UEL232" s="15"/>
      <c r="UEM232" s="15"/>
      <c r="UEN232" s="15"/>
      <c r="UEO232" s="15"/>
      <c r="UEP232" s="10"/>
      <c r="UEQ232" s="10"/>
      <c r="UER232" s="21"/>
      <c r="UES232" s="21"/>
      <c r="UEV232" s="21"/>
      <c r="UEW232" s="15"/>
      <c r="UEX232" s="15"/>
      <c r="UEY232" s="15"/>
      <c r="UEZ232" s="15"/>
      <c r="UFA232" s="15"/>
      <c r="UFB232" s="15"/>
      <c r="UFC232" s="15"/>
      <c r="UFD232" s="15"/>
      <c r="UFE232" s="15"/>
      <c r="UFF232" s="15"/>
      <c r="UFG232" s="10"/>
      <c r="UFH232" s="10"/>
      <c r="UFI232" s="21"/>
      <c r="UFJ232" s="21"/>
      <c r="UFM232" s="21"/>
      <c r="UFN232" s="15"/>
      <c r="UFO232" s="15"/>
      <c r="UFP232" s="15"/>
      <c r="UFQ232" s="15"/>
      <c r="UFR232" s="15"/>
      <c r="UFS232" s="15"/>
      <c r="UFT232" s="15"/>
      <c r="UFU232" s="15"/>
      <c r="UFV232" s="15"/>
      <c r="UFW232" s="15"/>
      <c r="UFX232" s="10"/>
      <c r="UFY232" s="10"/>
      <c r="UFZ232" s="21"/>
      <c r="UGA232" s="21"/>
      <c r="UGD232" s="21"/>
      <c r="UGE232" s="15"/>
      <c r="UGF232" s="15"/>
      <c r="UGG232" s="15"/>
      <c r="UGH232" s="15"/>
      <c r="UGI232" s="15"/>
      <c r="UGJ232" s="15"/>
      <c r="UGK232" s="15"/>
      <c r="UGL232" s="15"/>
      <c r="UGM232" s="15"/>
      <c r="UGN232" s="15"/>
      <c r="UGO232" s="10"/>
      <c r="UGP232" s="10"/>
      <c r="UGQ232" s="21"/>
      <c r="UGR232" s="21"/>
      <c r="UGU232" s="21"/>
      <c r="UGV232" s="15"/>
      <c r="UGW232" s="15"/>
      <c r="UGX232" s="15"/>
      <c r="UGY232" s="15"/>
      <c r="UGZ232" s="15"/>
      <c r="UHA232" s="15"/>
      <c r="UHB232" s="15"/>
      <c r="UHC232" s="15"/>
      <c r="UHD232" s="15"/>
      <c r="UHE232" s="15"/>
      <c r="UHF232" s="10"/>
      <c r="UHG232" s="10"/>
      <c r="UHH232" s="21"/>
      <c r="UHI232" s="21"/>
      <c r="UHL232" s="21"/>
      <c r="UHM232" s="15"/>
      <c r="UHN232" s="15"/>
      <c r="UHO232" s="15"/>
      <c r="UHP232" s="15"/>
      <c r="UHQ232" s="15"/>
      <c r="UHR232" s="15"/>
      <c r="UHS232" s="15"/>
      <c r="UHT232" s="15"/>
      <c r="UHU232" s="15"/>
      <c r="UHV232" s="15"/>
      <c r="UHW232" s="10"/>
      <c r="UHX232" s="10"/>
      <c r="UHY232" s="21"/>
      <c r="UHZ232" s="21"/>
      <c r="UIC232" s="21"/>
      <c r="UID232" s="15"/>
      <c r="UIE232" s="15"/>
      <c r="UIF232" s="15"/>
      <c r="UIG232" s="15"/>
      <c r="UIH232" s="15"/>
      <c r="UII232" s="15"/>
      <c r="UIJ232" s="15"/>
      <c r="UIK232" s="15"/>
      <c r="UIL232" s="15"/>
      <c r="UIM232" s="15"/>
      <c r="UIN232" s="10"/>
      <c r="UIO232" s="10"/>
      <c r="UIP232" s="21"/>
      <c r="UIQ232" s="21"/>
      <c r="UIT232" s="21"/>
      <c r="UIU232" s="15"/>
      <c r="UIV232" s="15"/>
      <c r="UIW232" s="15"/>
      <c r="UIX232" s="15"/>
      <c r="UIY232" s="15"/>
      <c r="UIZ232" s="15"/>
      <c r="UJA232" s="15"/>
      <c r="UJB232" s="15"/>
      <c r="UJC232" s="15"/>
      <c r="UJD232" s="15"/>
      <c r="UJE232" s="10"/>
      <c r="UJF232" s="10"/>
      <c r="UJG232" s="21"/>
      <c r="UJH232" s="21"/>
      <c r="UJK232" s="21"/>
      <c r="UJL232" s="15"/>
      <c r="UJM232" s="15"/>
      <c r="UJN232" s="15"/>
      <c r="UJO232" s="15"/>
      <c r="UJP232" s="15"/>
      <c r="UJQ232" s="15"/>
      <c r="UJR232" s="15"/>
      <c r="UJS232" s="15"/>
      <c r="UJT232" s="15"/>
      <c r="UJU232" s="15"/>
      <c r="UJV232" s="10"/>
      <c r="UJW232" s="10"/>
      <c r="UJX232" s="21"/>
      <c r="UJY232" s="21"/>
      <c r="UKB232" s="21"/>
      <c r="UKC232" s="15"/>
      <c r="UKD232" s="15"/>
      <c r="UKE232" s="15"/>
      <c r="UKF232" s="15"/>
      <c r="UKG232" s="15"/>
      <c r="UKH232" s="15"/>
      <c r="UKI232" s="15"/>
      <c r="UKJ232" s="15"/>
      <c r="UKK232" s="15"/>
      <c r="UKL232" s="15"/>
      <c r="UKM232" s="10"/>
      <c r="UKN232" s="10"/>
      <c r="UKO232" s="21"/>
      <c r="UKP232" s="21"/>
      <c r="UKS232" s="21"/>
      <c r="UKT232" s="15"/>
      <c r="UKU232" s="15"/>
      <c r="UKV232" s="15"/>
      <c r="UKW232" s="15"/>
      <c r="UKX232" s="15"/>
      <c r="UKY232" s="15"/>
      <c r="UKZ232" s="15"/>
      <c r="ULA232" s="15"/>
      <c r="ULB232" s="15"/>
      <c r="ULC232" s="15"/>
      <c r="ULD232" s="10"/>
      <c r="ULE232" s="10"/>
      <c r="ULF232" s="21"/>
      <c r="ULG232" s="21"/>
      <c r="ULJ232" s="21"/>
      <c r="ULK232" s="15"/>
      <c r="ULL232" s="15"/>
      <c r="ULM232" s="15"/>
      <c r="ULN232" s="15"/>
      <c r="ULO232" s="15"/>
      <c r="ULP232" s="15"/>
      <c r="ULQ232" s="15"/>
      <c r="ULR232" s="15"/>
      <c r="ULS232" s="15"/>
      <c r="ULT232" s="15"/>
      <c r="ULU232" s="10"/>
      <c r="ULV232" s="10"/>
      <c r="ULW232" s="21"/>
      <c r="ULX232" s="21"/>
      <c r="UMA232" s="21"/>
      <c r="UMB232" s="15"/>
      <c r="UMC232" s="15"/>
      <c r="UMD232" s="15"/>
      <c r="UME232" s="15"/>
      <c r="UMF232" s="15"/>
      <c r="UMG232" s="15"/>
      <c r="UMH232" s="15"/>
      <c r="UMI232" s="15"/>
      <c r="UMJ232" s="15"/>
      <c r="UMK232" s="15"/>
      <c r="UML232" s="10"/>
      <c r="UMM232" s="10"/>
      <c r="UMN232" s="21"/>
      <c r="UMO232" s="21"/>
      <c r="UMR232" s="21"/>
      <c r="UMS232" s="15"/>
      <c r="UMT232" s="15"/>
      <c r="UMU232" s="15"/>
      <c r="UMV232" s="15"/>
      <c r="UMW232" s="15"/>
      <c r="UMX232" s="15"/>
      <c r="UMY232" s="15"/>
      <c r="UMZ232" s="15"/>
      <c r="UNA232" s="15"/>
      <c r="UNB232" s="15"/>
      <c r="UNC232" s="10"/>
      <c r="UND232" s="10"/>
      <c r="UNE232" s="21"/>
      <c r="UNF232" s="21"/>
      <c r="UNI232" s="21"/>
      <c r="UNJ232" s="15"/>
      <c r="UNK232" s="15"/>
      <c r="UNL232" s="15"/>
      <c r="UNM232" s="15"/>
      <c r="UNN232" s="15"/>
      <c r="UNO232" s="15"/>
      <c r="UNP232" s="15"/>
      <c r="UNQ232" s="15"/>
      <c r="UNR232" s="15"/>
      <c r="UNS232" s="15"/>
      <c r="UNT232" s="10"/>
      <c r="UNU232" s="10"/>
      <c r="UNV232" s="21"/>
      <c r="UNW232" s="21"/>
      <c r="UNZ232" s="21"/>
      <c r="UOA232" s="15"/>
      <c r="UOB232" s="15"/>
      <c r="UOC232" s="15"/>
      <c r="UOD232" s="15"/>
      <c r="UOE232" s="15"/>
      <c r="UOF232" s="15"/>
      <c r="UOG232" s="15"/>
      <c r="UOH232" s="15"/>
      <c r="UOI232" s="15"/>
      <c r="UOJ232" s="15"/>
      <c r="UOK232" s="10"/>
      <c r="UOL232" s="10"/>
      <c r="UOM232" s="21"/>
      <c r="UON232" s="21"/>
      <c r="UOQ232" s="21"/>
      <c r="UOR232" s="15"/>
      <c r="UOS232" s="15"/>
      <c r="UOT232" s="15"/>
      <c r="UOU232" s="15"/>
      <c r="UOV232" s="15"/>
      <c r="UOW232" s="15"/>
      <c r="UOX232" s="15"/>
      <c r="UOY232" s="15"/>
      <c r="UOZ232" s="15"/>
      <c r="UPA232" s="15"/>
      <c r="UPB232" s="10"/>
      <c r="UPC232" s="10"/>
      <c r="UPD232" s="21"/>
      <c r="UPE232" s="21"/>
      <c r="UPH232" s="21"/>
      <c r="UPI232" s="15"/>
      <c r="UPJ232" s="15"/>
      <c r="UPK232" s="15"/>
      <c r="UPL232" s="15"/>
      <c r="UPM232" s="15"/>
      <c r="UPN232" s="15"/>
      <c r="UPO232" s="15"/>
      <c r="UPP232" s="15"/>
      <c r="UPQ232" s="15"/>
      <c r="UPR232" s="15"/>
      <c r="UPS232" s="10"/>
      <c r="UPT232" s="10"/>
      <c r="UPU232" s="21"/>
      <c r="UPV232" s="21"/>
      <c r="UPY232" s="21"/>
      <c r="UPZ232" s="15"/>
      <c r="UQA232" s="15"/>
      <c r="UQB232" s="15"/>
      <c r="UQC232" s="15"/>
      <c r="UQD232" s="15"/>
      <c r="UQE232" s="15"/>
      <c r="UQF232" s="15"/>
      <c r="UQG232" s="15"/>
      <c r="UQH232" s="15"/>
      <c r="UQI232" s="15"/>
      <c r="UQJ232" s="10"/>
      <c r="UQK232" s="10"/>
      <c r="UQL232" s="21"/>
      <c r="UQM232" s="21"/>
      <c r="UQP232" s="21"/>
      <c r="UQQ232" s="15"/>
      <c r="UQR232" s="15"/>
      <c r="UQS232" s="15"/>
      <c r="UQT232" s="15"/>
      <c r="UQU232" s="15"/>
      <c r="UQV232" s="15"/>
      <c r="UQW232" s="15"/>
      <c r="UQX232" s="15"/>
      <c r="UQY232" s="15"/>
      <c r="UQZ232" s="15"/>
      <c r="URA232" s="10"/>
      <c r="URB232" s="10"/>
      <c r="URC232" s="21"/>
      <c r="URD232" s="21"/>
      <c r="URG232" s="21"/>
      <c r="URH232" s="15"/>
      <c r="URI232" s="15"/>
      <c r="URJ232" s="15"/>
      <c r="URK232" s="15"/>
      <c r="URL232" s="15"/>
      <c r="URM232" s="15"/>
      <c r="URN232" s="15"/>
      <c r="URO232" s="15"/>
      <c r="URP232" s="15"/>
      <c r="URQ232" s="15"/>
      <c r="URR232" s="10"/>
      <c r="URS232" s="10"/>
      <c r="URT232" s="21"/>
      <c r="URU232" s="21"/>
      <c r="URX232" s="21"/>
      <c r="URY232" s="15"/>
      <c r="URZ232" s="15"/>
      <c r="USA232" s="15"/>
      <c r="USB232" s="15"/>
      <c r="USC232" s="15"/>
      <c r="USD232" s="15"/>
      <c r="USE232" s="15"/>
      <c r="USF232" s="15"/>
      <c r="USG232" s="15"/>
      <c r="USH232" s="15"/>
      <c r="USI232" s="10"/>
      <c r="USJ232" s="10"/>
      <c r="USK232" s="21"/>
      <c r="USL232" s="21"/>
      <c r="USO232" s="21"/>
      <c r="USP232" s="15"/>
      <c r="USQ232" s="15"/>
      <c r="USR232" s="15"/>
      <c r="USS232" s="15"/>
      <c r="UST232" s="15"/>
      <c r="USU232" s="15"/>
      <c r="USV232" s="15"/>
      <c r="USW232" s="15"/>
      <c r="USX232" s="15"/>
      <c r="USY232" s="15"/>
      <c r="USZ232" s="10"/>
      <c r="UTA232" s="10"/>
      <c r="UTB232" s="21"/>
      <c r="UTC232" s="21"/>
      <c r="UTF232" s="21"/>
      <c r="UTG232" s="15"/>
      <c r="UTH232" s="15"/>
      <c r="UTI232" s="15"/>
      <c r="UTJ232" s="15"/>
      <c r="UTK232" s="15"/>
      <c r="UTL232" s="15"/>
      <c r="UTM232" s="15"/>
      <c r="UTN232" s="15"/>
      <c r="UTO232" s="15"/>
      <c r="UTP232" s="15"/>
      <c r="UTQ232" s="10"/>
      <c r="UTR232" s="10"/>
      <c r="UTS232" s="21"/>
      <c r="UTT232" s="21"/>
      <c r="UTW232" s="21"/>
      <c r="UTX232" s="15"/>
      <c r="UTY232" s="15"/>
      <c r="UTZ232" s="15"/>
      <c r="UUA232" s="15"/>
      <c r="UUB232" s="15"/>
      <c r="UUC232" s="15"/>
      <c r="UUD232" s="15"/>
      <c r="UUE232" s="15"/>
      <c r="UUF232" s="15"/>
      <c r="UUG232" s="15"/>
      <c r="UUH232" s="10"/>
      <c r="UUI232" s="10"/>
      <c r="UUJ232" s="21"/>
      <c r="UUK232" s="21"/>
      <c r="UUN232" s="21"/>
      <c r="UUO232" s="15"/>
      <c r="UUP232" s="15"/>
      <c r="UUQ232" s="15"/>
      <c r="UUR232" s="15"/>
      <c r="UUS232" s="15"/>
      <c r="UUT232" s="15"/>
      <c r="UUU232" s="15"/>
      <c r="UUV232" s="15"/>
      <c r="UUW232" s="15"/>
      <c r="UUX232" s="15"/>
      <c r="UUY232" s="10"/>
      <c r="UUZ232" s="10"/>
      <c r="UVA232" s="21"/>
      <c r="UVB232" s="21"/>
      <c r="UVE232" s="21"/>
      <c r="UVF232" s="15"/>
      <c r="UVG232" s="15"/>
      <c r="UVH232" s="15"/>
      <c r="UVI232" s="15"/>
      <c r="UVJ232" s="15"/>
      <c r="UVK232" s="15"/>
      <c r="UVL232" s="15"/>
      <c r="UVM232" s="15"/>
      <c r="UVN232" s="15"/>
      <c r="UVO232" s="15"/>
      <c r="UVP232" s="10"/>
      <c r="UVQ232" s="10"/>
      <c r="UVR232" s="21"/>
      <c r="UVS232" s="21"/>
      <c r="UVV232" s="21"/>
      <c r="UVW232" s="15"/>
      <c r="UVX232" s="15"/>
      <c r="UVY232" s="15"/>
      <c r="UVZ232" s="15"/>
      <c r="UWA232" s="15"/>
      <c r="UWB232" s="15"/>
      <c r="UWC232" s="15"/>
      <c r="UWD232" s="15"/>
      <c r="UWE232" s="15"/>
      <c r="UWF232" s="15"/>
      <c r="UWG232" s="10"/>
      <c r="UWH232" s="10"/>
      <c r="UWI232" s="21"/>
      <c r="UWJ232" s="21"/>
      <c r="UWM232" s="21"/>
      <c r="UWN232" s="15"/>
      <c r="UWO232" s="15"/>
      <c r="UWP232" s="15"/>
      <c r="UWQ232" s="15"/>
      <c r="UWR232" s="15"/>
      <c r="UWS232" s="15"/>
      <c r="UWT232" s="15"/>
      <c r="UWU232" s="15"/>
      <c r="UWV232" s="15"/>
      <c r="UWW232" s="15"/>
      <c r="UWX232" s="10"/>
      <c r="UWY232" s="10"/>
      <c r="UWZ232" s="21"/>
      <c r="UXA232" s="21"/>
      <c r="UXD232" s="21"/>
      <c r="UXE232" s="15"/>
      <c r="UXF232" s="15"/>
      <c r="UXG232" s="15"/>
      <c r="UXH232" s="15"/>
      <c r="UXI232" s="15"/>
      <c r="UXJ232" s="15"/>
      <c r="UXK232" s="15"/>
      <c r="UXL232" s="15"/>
      <c r="UXM232" s="15"/>
      <c r="UXN232" s="15"/>
      <c r="UXO232" s="10"/>
      <c r="UXP232" s="10"/>
      <c r="UXQ232" s="21"/>
      <c r="UXR232" s="21"/>
      <c r="UXU232" s="21"/>
      <c r="UXV232" s="15"/>
      <c r="UXW232" s="15"/>
      <c r="UXX232" s="15"/>
      <c r="UXY232" s="15"/>
      <c r="UXZ232" s="15"/>
      <c r="UYA232" s="15"/>
      <c r="UYB232" s="15"/>
      <c r="UYC232" s="15"/>
      <c r="UYD232" s="15"/>
      <c r="UYE232" s="15"/>
      <c r="UYF232" s="10"/>
      <c r="UYG232" s="10"/>
      <c r="UYH232" s="21"/>
      <c r="UYI232" s="21"/>
      <c r="UYL232" s="21"/>
      <c r="UYM232" s="15"/>
      <c r="UYN232" s="15"/>
      <c r="UYO232" s="15"/>
      <c r="UYP232" s="15"/>
      <c r="UYQ232" s="15"/>
      <c r="UYR232" s="15"/>
      <c r="UYS232" s="15"/>
      <c r="UYT232" s="15"/>
      <c r="UYU232" s="15"/>
      <c r="UYV232" s="15"/>
      <c r="UYW232" s="10"/>
      <c r="UYX232" s="10"/>
      <c r="UYY232" s="21"/>
      <c r="UYZ232" s="21"/>
      <c r="UZC232" s="21"/>
      <c r="UZD232" s="15"/>
      <c r="UZE232" s="15"/>
      <c r="UZF232" s="15"/>
      <c r="UZG232" s="15"/>
      <c r="UZH232" s="15"/>
      <c r="UZI232" s="15"/>
      <c r="UZJ232" s="15"/>
      <c r="UZK232" s="15"/>
      <c r="UZL232" s="15"/>
      <c r="UZM232" s="15"/>
      <c r="UZN232" s="10"/>
      <c r="UZO232" s="10"/>
      <c r="UZP232" s="21"/>
      <c r="UZQ232" s="21"/>
      <c r="UZT232" s="21"/>
      <c r="UZU232" s="15"/>
      <c r="UZV232" s="15"/>
      <c r="UZW232" s="15"/>
      <c r="UZX232" s="15"/>
      <c r="UZY232" s="15"/>
      <c r="UZZ232" s="15"/>
      <c r="VAA232" s="15"/>
      <c r="VAB232" s="15"/>
      <c r="VAC232" s="15"/>
      <c r="VAD232" s="15"/>
      <c r="VAE232" s="10"/>
      <c r="VAF232" s="10"/>
      <c r="VAG232" s="21"/>
      <c r="VAH232" s="21"/>
      <c r="VAK232" s="21"/>
      <c r="VAL232" s="15"/>
      <c r="VAM232" s="15"/>
      <c r="VAN232" s="15"/>
      <c r="VAO232" s="15"/>
      <c r="VAP232" s="15"/>
      <c r="VAQ232" s="15"/>
      <c r="VAR232" s="15"/>
      <c r="VAS232" s="15"/>
      <c r="VAT232" s="15"/>
      <c r="VAU232" s="15"/>
      <c r="VAV232" s="10"/>
      <c r="VAW232" s="10"/>
      <c r="VAX232" s="21"/>
      <c r="VAY232" s="21"/>
      <c r="VBB232" s="21"/>
      <c r="VBC232" s="15"/>
      <c r="VBD232" s="15"/>
      <c r="VBE232" s="15"/>
      <c r="VBF232" s="15"/>
      <c r="VBG232" s="15"/>
      <c r="VBH232" s="15"/>
      <c r="VBI232" s="15"/>
      <c r="VBJ232" s="15"/>
      <c r="VBK232" s="15"/>
      <c r="VBL232" s="15"/>
      <c r="VBM232" s="10"/>
      <c r="VBN232" s="10"/>
      <c r="VBO232" s="21"/>
      <c r="VBP232" s="21"/>
      <c r="VBS232" s="21"/>
      <c r="VBT232" s="15"/>
      <c r="VBU232" s="15"/>
      <c r="VBV232" s="15"/>
      <c r="VBW232" s="15"/>
      <c r="VBX232" s="15"/>
      <c r="VBY232" s="15"/>
      <c r="VBZ232" s="15"/>
      <c r="VCA232" s="15"/>
      <c r="VCB232" s="15"/>
      <c r="VCC232" s="15"/>
      <c r="VCD232" s="10"/>
      <c r="VCE232" s="10"/>
      <c r="VCF232" s="21"/>
      <c r="VCG232" s="21"/>
      <c r="VCJ232" s="21"/>
      <c r="VCK232" s="15"/>
      <c r="VCL232" s="15"/>
      <c r="VCM232" s="15"/>
      <c r="VCN232" s="15"/>
      <c r="VCO232" s="15"/>
      <c r="VCP232" s="15"/>
      <c r="VCQ232" s="15"/>
      <c r="VCR232" s="15"/>
      <c r="VCS232" s="15"/>
      <c r="VCT232" s="15"/>
      <c r="VCU232" s="10"/>
      <c r="VCV232" s="10"/>
      <c r="VCW232" s="21"/>
      <c r="VCX232" s="21"/>
      <c r="VDA232" s="21"/>
      <c r="VDB232" s="15"/>
      <c r="VDC232" s="15"/>
      <c r="VDD232" s="15"/>
      <c r="VDE232" s="15"/>
      <c r="VDF232" s="15"/>
      <c r="VDG232" s="15"/>
      <c r="VDH232" s="15"/>
      <c r="VDI232" s="15"/>
      <c r="VDJ232" s="15"/>
      <c r="VDK232" s="15"/>
      <c r="VDL232" s="10"/>
      <c r="VDM232" s="10"/>
      <c r="VDN232" s="21"/>
      <c r="VDO232" s="21"/>
      <c r="VDR232" s="21"/>
      <c r="VDS232" s="15"/>
      <c r="VDT232" s="15"/>
      <c r="VDU232" s="15"/>
      <c r="VDV232" s="15"/>
      <c r="VDW232" s="15"/>
      <c r="VDX232" s="15"/>
      <c r="VDY232" s="15"/>
      <c r="VDZ232" s="15"/>
      <c r="VEA232" s="15"/>
      <c r="VEB232" s="15"/>
      <c r="VEC232" s="10"/>
      <c r="VED232" s="10"/>
      <c r="VEE232" s="21"/>
      <c r="VEF232" s="21"/>
      <c r="VEI232" s="21"/>
      <c r="VEJ232" s="15"/>
      <c r="VEK232" s="15"/>
      <c r="VEL232" s="15"/>
      <c r="VEM232" s="15"/>
      <c r="VEN232" s="15"/>
      <c r="VEO232" s="15"/>
      <c r="VEP232" s="15"/>
      <c r="VEQ232" s="15"/>
      <c r="VER232" s="15"/>
      <c r="VES232" s="15"/>
      <c r="VET232" s="10"/>
      <c r="VEU232" s="10"/>
      <c r="VEV232" s="21"/>
      <c r="VEW232" s="21"/>
      <c r="VEZ232" s="21"/>
      <c r="VFA232" s="15"/>
      <c r="VFB232" s="15"/>
      <c r="VFC232" s="15"/>
      <c r="VFD232" s="15"/>
      <c r="VFE232" s="15"/>
      <c r="VFF232" s="15"/>
      <c r="VFG232" s="15"/>
      <c r="VFH232" s="15"/>
      <c r="VFI232" s="15"/>
      <c r="VFJ232" s="15"/>
      <c r="VFK232" s="10"/>
      <c r="VFL232" s="10"/>
      <c r="VFM232" s="21"/>
      <c r="VFN232" s="21"/>
      <c r="VFQ232" s="21"/>
      <c r="VFR232" s="15"/>
      <c r="VFS232" s="15"/>
      <c r="VFT232" s="15"/>
      <c r="VFU232" s="15"/>
      <c r="VFV232" s="15"/>
      <c r="VFW232" s="15"/>
      <c r="VFX232" s="15"/>
      <c r="VFY232" s="15"/>
      <c r="VFZ232" s="15"/>
      <c r="VGA232" s="15"/>
      <c r="VGB232" s="10"/>
      <c r="VGC232" s="10"/>
      <c r="VGD232" s="21"/>
      <c r="VGE232" s="21"/>
      <c r="VGH232" s="21"/>
      <c r="VGI232" s="15"/>
      <c r="VGJ232" s="15"/>
      <c r="VGK232" s="15"/>
      <c r="VGL232" s="15"/>
      <c r="VGM232" s="15"/>
      <c r="VGN232" s="15"/>
      <c r="VGO232" s="15"/>
      <c r="VGP232" s="15"/>
      <c r="VGQ232" s="15"/>
      <c r="VGR232" s="15"/>
      <c r="VGS232" s="10"/>
      <c r="VGT232" s="10"/>
      <c r="VGU232" s="21"/>
      <c r="VGV232" s="21"/>
      <c r="VGY232" s="21"/>
      <c r="VGZ232" s="15"/>
      <c r="VHA232" s="15"/>
      <c r="VHB232" s="15"/>
      <c r="VHC232" s="15"/>
      <c r="VHD232" s="15"/>
      <c r="VHE232" s="15"/>
      <c r="VHF232" s="15"/>
      <c r="VHG232" s="15"/>
      <c r="VHH232" s="15"/>
      <c r="VHI232" s="15"/>
      <c r="VHJ232" s="10"/>
      <c r="VHK232" s="10"/>
      <c r="VHL232" s="21"/>
      <c r="VHM232" s="21"/>
      <c r="VHP232" s="21"/>
      <c r="VHQ232" s="15"/>
      <c r="VHR232" s="15"/>
      <c r="VHS232" s="15"/>
      <c r="VHT232" s="15"/>
      <c r="VHU232" s="15"/>
      <c r="VHV232" s="15"/>
      <c r="VHW232" s="15"/>
      <c r="VHX232" s="15"/>
      <c r="VHY232" s="15"/>
      <c r="VHZ232" s="15"/>
      <c r="VIA232" s="10"/>
      <c r="VIB232" s="10"/>
      <c r="VIC232" s="21"/>
      <c r="VID232" s="21"/>
      <c r="VIG232" s="21"/>
      <c r="VIH232" s="15"/>
      <c r="VII232" s="15"/>
      <c r="VIJ232" s="15"/>
      <c r="VIK232" s="15"/>
      <c r="VIL232" s="15"/>
      <c r="VIM232" s="15"/>
      <c r="VIN232" s="15"/>
      <c r="VIO232" s="15"/>
      <c r="VIP232" s="15"/>
      <c r="VIQ232" s="15"/>
      <c r="VIR232" s="10"/>
      <c r="VIS232" s="10"/>
      <c r="VIT232" s="21"/>
      <c r="VIU232" s="21"/>
      <c r="VIX232" s="21"/>
      <c r="VIY232" s="15"/>
      <c r="VIZ232" s="15"/>
      <c r="VJA232" s="15"/>
      <c r="VJB232" s="15"/>
      <c r="VJC232" s="15"/>
      <c r="VJD232" s="15"/>
      <c r="VJE232" s="15"/>
      <c r="VJF232" s="15"/>
      <c r="VJG232" s="15"/>
      <c r="VJH232" s="15"/>
      <c r="VJI232" s="10"/>
      <c r="VJJ232" s="10"/>
      <c r="VJK232" s="21"/>
      <c r="VJL232" s="21"/>
      <c r="VJO232" s="21"/>
      <c r="VJP232" s="15"/>
      <c r="VJQ232" s="15"/>
      <c r="VJR232" s="15"/>
      <c r="VJS232" s="15"/>
      <c r="VJT232" s="15"/>
      <c r="VJU232" s="15"/>
      <c r="VJV232" s="15"/>
      <c r="VJW232" s="15"/>
      <c r="VJX232" s="15"/>
      <c r="VJY232" s="15"/>
      <c r="VJZ232" s="10"/>
      <c r="VKA232" s="10"/>
      <c r="VKB232" s="21"/>
      <c r="VKC232" s="21"/>
      <c r="VKF232" s="21"/>
      <c r="VKG232" s="15"/>
      <c r="VKH232" s="15"/>
      <c r="VKI232" s="15"/>
      <c r="VKJ232" s="15"/>
      <c r="VKK232" s="15"/>
      <c r="VKL232" s="15"/>
      <c r="VKM232" s="15"/>
      <c r="VKN232" s="15"/>
      <c r="VKO232" s="15"/>
      <c r="VKP232" s="15"/>
      <c r="VKQ232" s="10"/>
      <c r="VKR232" s="10"/>
      <c r="VKS232" s="21"/>
      <c r="VKT232" s="21"/>
      <c r="VKW232" s="21"/>
      <c r="VKX232" s="15"/>
      <c r="VKY232" s="15"/>
      <c r="VKZ232" s="15"/>
      <c r="VLA232" s="15"/>
      <c r="VLB232" s="15"/>
      <c r="VLC232" s="15"/>
      <c r="VLD232" s="15"/>
      <c r="VLE232" s="15"/>
      <c r="VLF232" s="15"/>
      <c r="VLG232" s="15"/>
      <c r="VLH232" s="10"/>
      <c r="VLI232" s="10"/>
      <c r="VLJ232" s="21"/>
      <c r="VLK232" s="21"/>
      <c r="VLN232" s="21"/>
      <c r="VLO232" s="15"/>
      <c r="VLP232" s="15"/>
      <c r="VLQ232" s="15"/>
      <c r="VLR232" s="15"/>
      <c r="VLS232" s="15"/>
      <c r="VLT232" s="15"/>
      <c r="VLU232" s="15"/>
      <c r="VLV232" s="15"/>
      <c r="VLW232" s="15"/>
      <c r="VLX232" s="15"/>
      <c r="VLY232" s="10"/>
      <c r="VLZ232" s="10"/>
      <c r="VMA232" s="21"/>
      <c r="VMB232" s="21"/>
      <c r="VME232" s="21"/>
      <c r="VMF232" s="15"/>
      <c r="VMG232" s="15"/>
      <c r="VMH232" s="15"/>
      <c r="VMI232" s="15"/>
      <c r="VMJ232" s="15"/>
      <c r="VMK232" s="15"/>
      <c r="VML232" s="15"/>
      <c r="VMM232" s="15"/>
      <c r="VMN232" s="15"/>
      <c r="VMO232" s="15"/>
      <c r="VMP232" s="10"/>
      <c r="VMQ232" s="10"/>
      <c r="VMR232" s="21"/>
      <c r="VMS232" s="21"/>
      <c r="VMV232" s="21"/>
      <c r="VMW232" s="15"/>
      <c r="VMX232" s="15"/>
      <c r="VMY232" s="15"/>
      <c r="VMZ232" s="15"/>
      <c r="VNA232" s="15"/>
      <c r="VNB232" s="15"/>
      <c r="VNC232" s="15"/>
      <c r="VND232" s="15"/>
      <c r="VNE232" s="15"/>
      <c r="VNF232" s="15"/>
      <c r="VNG232" s="10"/>
      <c r="VNH232" s="10"/>
      <c r="VNI232" s="21"/>
      <c r="VNJ232" s="21"/>
      <c r="VNM232" s="21"/>
      <c r="VNN232" s="15"/>
      <c r="VNO232" s="15"/>
      <c r="VNP232" s="15"/>
      <c r="VNQ232" s="15"/>
      <c r="VNR232" s="15"/>
      <c r="VNS232" s="15"/>
      <c r="VNT232" s="15"/>
      <c r="VNU232" s="15"/>
      <c r="VNV232" s="15"/>
      <c r="VNW232" s="15"/>
      <c r="VNX232" s="10"/>
      <c r="VNY232" s="10"/>
      <c r="VNZ232" s="21"/>
      <c r="VOA232" s="21"/>
      <c r="VOD232" s="21"/>
      <c r="VOE232" s="15"/>
      <c r="VOF232" s="15"/>
      <c r="VOG232" s="15"/>
      <c r="VOH232" s="15"/>
      <c r="VOI232" s="15"/>
      <c r="VOJ232" s="15"/>
      <c r="VOK232" s="15"/>
      <c r="VOL232" s="15"/>
      <c r="VOM232" s="15"/>
      <c r="VON232" s="15"/>
      <c r="VOO232" s="10"/>
      <c r="VOP232" s="10"/>
      <c r="VOQ232" s="21"/>
      <c r="VOR232" s="21"/>
      <c r="VOU232" s="21"/>
      <c r="VOV232" s="15"/>
      <c r="VOW232" s="15"/>
      <c r="VOX232" s="15"/>
      <c r="VOY232" s="15"/>
      <c r="VOZ232" s="15"/>
      <c r="VPA232" s="15"/>
      <c r="VPB232" s="15"/>
      <c r="VPC232" s="15"/>
      <c r="VPD232" s="15"/>
      <c r="VPE232" s="15"/>
      <c r="VPF232" s="10"/>
      <c r="VPG232" s="10"/>
      <c r="VPH232" s="21"/>
      <c r="VPI232" s="21"/>
      <c r="VPL232" s="21"/>
      <c r="VPM232" s="15"/>
      <c r="VPN232" s="15"/>
      <c r="VPO232" s="15"/>
      <c r="VPP232" s="15"/>
      <c r="VPQ232" s="15"/>
      <c r="VPR232" s="15"/>
      <c r="VPS232" s="15"/>
      <c r="VPT232" s="15"/>
      <c r="VPU232" s="15"/>
      <c r="VPV232" s="15"/>
      <c r="VPW232" s="10"/>
      <c r="VPX232" s="10"/>
      <c r="VPY232" s="21"/>
      <c r="VPZ232" s="21"/>
      <c r="VQC232" s="21"/>
      <c r="VQD232" s="15"/>
      <c r="VQE232" s="15"/>
      <c r="VQF232" s="15"/>
      <c r="VQG232" s="15"/>
      <c r="VQH232" s="15"/>
      <c r="VQI232" s="15"/>
      <c r="VQJ232" s="15"/>
      <c r="VQK232" s="15"/>
      <c r="VQL232" s="15"/>
      <c r="VQM232" s="15"/>
      <c r="VQN232" s="10"/>
      <c r="VQO232" s="10"/>
      <c r="VQP232" s="21"/>
      <c r="VQQ232" s="21"/>
      <c r="VQT232" s="21"/>
      <c r="VQU232" s="15"/>
      <c r="VQV232" s="15"/>
      <c r="VQW232" s="15"/>
      <c r="VQX232" s="15"/>
      <c r="VQY232" s="15"/>
      <c r="VQZ232" s="15"/>
      <c r="VRA232" s="15"/>
      <c r="VRB232" s="15"/>
      <c r="VRC232" s="15"/>
      <c r="VRD232" s="15"/>
      <c r="VRE232" s="10"/>
      <c r="VRF232" s="10"/>
      <c r="VRG232" s="21"/>
      <c r="VRH232" s="21"/>
      <c r="VRK232" s="21"/>
      <c r="VRL232" s="15"/>
      <c r="VRM232" s="15"/>
      <c r="VRN232" s="15"/>
      <c r="VRO232" s="15"/>
      <c r="VRP232" s="15"/>
      <c r="VRQ232" s="15"/>
      <c r="VRR232" s="15"/>
      <c r="VRS232" s="15"/>
      <c r="VRT232" s="15"/>
      <c r="VRU232" s="15"/>
      <c r="VRV232" s="10"/>
      <c r="VRW232" s="10"/>
      <c r="VRX232" s="21"/>
      <c r="VRY232" s="21"/>
      <c r="VSB232" s="21"/>
      <c r="VSC232" s="15"/>
      <c r="VSD232" s="15"/>
      <c r="VSE232" s="15"/>
      <c r="VSF232" s="15"/>
      <c r="VSG232" s="15"/>
      <c r="VSH232" s="15"/>
      <c r="VSI232" s="15"/>
      <c r="VSJ232" s="15"/>
      <c r="VSK232" s="15"/>
      <c r="VSL232" s="15"/>
      <c r="VSM232" s="10"/>
      <c r="VSN232" s="10"/>
      <c r="VSO232" s="21"/>
      <c r="VSP232" s="21"/>
      <c r="VSS232" s="21"/>
      <c r="VST232" s="15"/>
      <c r="VSU232" s="15"/>
      <c r="VSV232" s="15"/>
      <c r="VSW232" s="15"/>
      <c r="VSX232" s="15"/>
      <c r="VSY232" s="15"/>
      <c r="VSZ232" s="15"/>
      <c r="VTA232" s="15"/>
      <c r="VTB232" s="15"/>
      <c r="VTC232" s="15"/>
      <c r="VTD232" s="10"/>
      <c r="VTE232" s="10"/>
      <c r="VTF232" s="21"/>
      <c r="VTG232" s="21"/>
      <c r="VTJ232" s="21"/>
      <c r="VTK232" s="15"/>
      <c r="VTL232" s="15"/>
      <c r="VTM232" s="15"/>
      <c r="VTN232" s="15"/>
      <c r="VTO232" s="15"/>
      <c r="VTP232" s="15"/>
      <c r="VTQ232" s="15"/>
      <c r="VTR232" s="15"/>
      <c r="VTS232" s="15"/>
      <c r="VTT232" s="15"/>
      <c r="VTU232" s="10"/>
      <c r="VTV232" s="10"/>
      <c r="VTW232" s="21"/>
      <c r="VTX232" s="21"/>
      <c r="VUA232" s="21"/>
      <c r="VUB232" s="15"/>
      <c r="VUC232" s="15"/>
      <c r="VUD232" s="15"/>
      <c r="VUE232" s="15"/>
      <c r="VUF232" s="15"/>
      <c r="VUG232" s="15"/>
      <c r="VUH232" s="15"/>
      <c r="VUI232" s="15"/>
      <c r="VUJ232" s="15"/>
      <c r="VUK232" s="15"/>
      <c r="VUL232" s="10"/>
      <c r="VUM232" s="10"/>
      <c r="VUN232" s="21"/>
      <c r="VUO232" s="21"/>
      <c r="VUR232" s="21"/>
      <c r="VUS232" s="15"/>
      <c r="VUT232" s="15"/>
      <c r="VUU232" s="15"/>
      <c r="VUV232" s="15"/>
      <c r="VUW232" s="15"/>
      <c r="VUX232" s="15"/>
      <c r="VUY232" s="15"/>
      <c r="VUZ232" s="15"/>
      <c r="VVA232" s="15"/>
      <c r="VVB232" s="15"/>
      <c r="VVC232" s="10"/>
      <c r="VVD232" s="10"/>
      <c r="VVE232" s="21"/>
      <c r="VVF232" s="21"/>
      <c r="VVI232" s="21"/>
      <c r="VVJ232" s="15"/>
      <c r="VVK232" s="15"/>
      <c r="VVL232" s="15"/>
      <c r="VVM232" s="15"/>
      <c r="VVN232" s="15"/>
      <c r="VVO232" s="15"/>
      <c r="VVP232" s="15"/>
      <c r="VVQ232" s="15"/>
      <c r="VVR232" s="15"/>
      <c r="VVS232" s="15"/>
      <c r="VVT232" s="10"/>
      <c r="VVU232" s="10"/>
      <c r="VVV232" s="21"/>
      <c r="VVW232" s="21"/>
      <c r="VVZ232" s="21"/>
      <c r="VWA232" s="15"/>
      <c r="VWB232" s="15"/>
      <c r="VWC232" s="15"/>
      <c r="VWD232" s="15"/>
      <c r="VWE232" s="15"/>
      <c r="VWF232" s="15"/>
      <c r="VWG232" s="15"/>
      <c r="VWH232" s="15"/>
      <c r="VWI232" s="15"/>
      <c r="VWJ232" s="15"/>
      <c r="VWK232" s="10"/>
      <c r="VWL232" s="10"/>
      <c r="VWM232" s="21"/>
      <c r="VWN232" s="21"/>
      <c r="VWQ232" s="21"/>
      <c r="VWR232" s="15"/>
      <c r="VWS232" s="15"/>
      <c r="VWT232" s="15"/>
      <c r="VWU232" s="15"/>
      <c r="VWV232" s="15"/>
      <c r="VWW232" s="15"/>
      <c r="VWX232" s="15"/>
      <c r="VWY232" s="15"/>
      <c r="VWZ232" s="15"/>
      <c r="VXA232" s="15"/>
      <c r="VXB232" s="10"/>
      <c r="VXC232" s="10"/>
      <c r="VXD232" s="21"/>
      <c r="VXE232" s="21"/>
      <c r="VXH232" s="21"/>
      <c r="VXI232" s="15"/>
      <c r="VXJ232" s="15"/>
      <c r="VXK232" s="15"/>
      <c r="VXL232" s="15"/>
      <c r="VXM232" s="15"/>
      <c r="VXN232" s="15"/>
      <c r="VXO232" s="15"/>
      <c r="VXP232" s="15"/>
      <c r="VXQ232" s="15"/>
      <c r="VXR232" s="15"/>
      <c r="VXS232" s="10"/>
      <c r="VXT232" s="10"/>
      <c r="VXU232" s="21"/>
      <c r="VXV232" s="21"/>
      <c r="VXY232" s="21"/>
      <c r="VXZ232" s="15"/>
      <c r="VYA232" s="15"/>
      <c r="VYB232" s="15"/>
      <c r="VYC232" s="15"/>
      <c r="VYD232" s="15"/>
      <c r="VYE232" s="15"/>
      <c r="VYF232" s="15"/>
      <c r="VYG232" s="15"/>
      <c r="VYH232" s="15"/>
      <c r="VYI232" s="15"/>
      <c r="VYJ232" s="10"/>
      <c r="VYK232" s="10"/>
      <c r="VYL232" s="21"/>
      <c r="VYM232" s="21"/>
      <c r="VYP232" s="21"/>
      <c r="VYQ232" s="15"/>
      <c r="VYR232" s="15"/>
      <c r="VYS232" s="15"/>
      <c r="VYT232" s="15"/>
      <c r="VYU232" s="15"/>
      <c r="VYV232" s="15"/>
      <c r="VYW232" s="15"/>
      <c r="VYX232" s="15"/>
      <c r="VYY232" s="15"/>
      <c r="VYZ232" s="15"/>
      <c r="VZA232" s="10"/>
      <c r="VZB232" s="10"/>
      <c r="VZC232" s="21"/>
      <c r="VZD232" s="21"/>
      <c r="VZG232" s="21"/>
      <c r="VZH232" s="15"/>
      <c r="VZI232" s="15"/>
      <c r="VZJ232" s="15"/>
      <c r="VZK232" s="15"/>
      <c r="VZL232" s="15"/>
      <c r="VZM232" s="15"/>
      <c r="VZN232" s="15"/>
      <c r="VZO232" s="15"/>
      <c r="VZP232" s="15"/>
      <c r="VZQ232" s="15"/>
      <c r="VZR232" s="10"/>
      <c r="VZS232" s="10"/>
      <c r="VZT232" s="21"/>
      <c r="VZU232" s="21"/>
      <c r="VZX232" s="21"/>
      <c r="VZY232" s="15"/>
      <c r="VZZ232" s="15"/>
      <c r="WAA232" s="15"/>
      <c r="WAB232" s="15"/>
      <c r="WAC232" s="15"/>
      <c r="WAD232" s="15"/>
      <c r="WAE232" s="15"/>
      <c r="WAF232" s="15"/>
      <c r="WAG232" s="15"/>
      <c r="WAH232" s="15"/>
      <c r="WAI232" s="10"/>
      <c r="WAJ232" s="10"/>
      <c r="WAK232" s="21"/>
      <c r="WAL232" s="21"/>
      <c r="WAO232" s="21"/>
      <c r="WAP232" s="15"/>
      <c r="WAQ232" s="15"/>
      <c r="WAR232" s="15"/>
      <c r="WAS232" s="15"/>
      <c r="WAT232" s="15"/>
      <c r="WAU232" s="15"/>
      <c r="WAV232" s="15"/>
      <c r="WAW232" s="15"/>
      <c r="WAX232" s="15"/>
      <c r="WAY232" s="15"/>
      <c r="WAZ232" s="10"/>
      <c r="WBA232" s="10"/>
      <c r="WBB232" s="21"/>
      <c r="WBC232" s="21"/>
      <c r="WBF232" s="21"/>
      <c r="WBG232" s="15"/>
      <c r="WBH232" s="15"/>
      <c r="WBI232" s="15"/>
      <c r="WBJ232" s="15"/>
      <c r="WBK232" s="15"/>
      <c r="WBL232" s="15"/>
      <c r="WBM232" s="15"/>
      <c r="WBN232" s="15"/>
      <c r="WBO232" s="15"/>
      <c r="WBP232" s="15"/>
      <c r="WBQ232" s="10"/>
      <c r="WBR232" s="10"/>
      <c r="WBS232" s="21"/>
      <c r="WBT232" s="21"/>
      <c r="WBW232" s="21"/>
      <c r="WBX232" s="15"/>
      <c r="WBY232" s="15"/>
      <c r="WBZ232" s="15"/>
      <c r="WCA232" s="15"/>
      <c r="WCB232" s="15"/>
      <c r="WCC232" s="15"/>
      <c r="WCD232" s="15"/>
      <c r="WCE232" s="15"/>
      <c r="WCF232" s="15"/>
      <c r="WCG232" s="15"/>
      <c r="WCH232" s="10"/>
      <c r="WCI232" s="10"/>
      <c r="WCJ232" s="21"/>
      <c r="WCK232" s="21"/>
      <c r="WCN232" s="21"/>
      <c r="WCO232" s="15"/>
      <c r="WCP232" s="15"/>
      <c r="WCQ232" s="15"/>
      <c r="WCR232" s="15"/>
      <c r="WCS232" s="15"/>
      <c r="WCT232" s="15"/>
      <c r="WCU232" s="15"/>
      <c r="WCV232" s="15"/>
      <c r="WCW232" s="15"/>
      <c r="WCX232" s="15"/>
      <c r="WCY232" s="10"/>
      <c r="WCZ232" s="10"/>
      <c r="WDA232" s="21"/>
      <c r="WDB232" s="21"/>
      <c r="WDE232" s="21"/>
      <c r="WDF232" s="15"/>
      <c r="WDG232" s="15"/>
      <c r="WDH232" s="15"/>
      <c r="WDI232" s="15"/>
      <c r="WDJ232" s="15"/>
      <c r="WDK232" s="15"/>
      <c r="WDL232" s="15"/>
      <c r="WDM232" s="15"/>
      <c r="WDN232" s="15"/>
      <c r="WDO232" s="15"/>
      <c r="WDP232" s="10"/>
      <c r="WDQ232" s="10"/>
      <c r="WDR232" s="21"/>
      <c r="WDS232" s="21"/>
      <c r="WDV232" s="21"/>
      <c r="WDW232" s="15"/>
      <c r="WDX232" s="15"/>
      <c r="WDY232" s="15"/>
      <c r="WDZ232" s="15"/>
      <c r="WEA232" s="15"/>
      <c r="WEB232" s="15"/>
      <c r="WEC232" s="15"/>
      <c r="WED232" s="15"/>
      <c r="WEE232" s="15"/>
      <c r="WEF232" s="15"/>
      <c r="WEG232" s="10"/>
      <c r="WEH232" s="10"/>
      <c r="WEI232" s="21"/>
      <c r="WEJ232" s="21"/>
      <c r="WEM232" s="21"/>
      <c r="WEN232" s="15"/>
      <c r="WEO232" s="15"/>
      <c r="WEP232" s="15"/>
      <c r="WEQ232" s="15"/>
      <c r="WER232" s="15"/>
      <c r="WES232" s="15"/>
      <c r="WET232" s="15"/>
      <c r="WEU232" s="15"/>
      <c r="WEV232" s="15"/>
      <c r="WEW232" s="15"/>
      <c r="WEX232" s="10"/>
      <c r="WEY232" s="10"/>
      <c r="WEZ232" s="21"/>
      <c r="WFA232" s="21"/>
      <c r="WFD232" s="21"/>
      <c r="WFE232" s="15"/>
      <c r="WFF232" s="15"/>
      <c r="WFG232" s="15"/>
      <c r="WFH232" s="15"/>
      <c r="WFI232" s="15"/>
      <c r="WFJ232" s="15"/>
      <c r="WFK232" s="15"/>
      <c r="WFL232" s="15"/>
      <c r="WFM232" s="15"/>
      <c r="WFN232" s="15"/>
      <c r="WFO232" s="10"/>
      <c r="WFP232" s="10"/>
      <c r="WFQ232" s="21"/>
      <c r="WFR232" s="21"/>
      <c r="WFU232" s="21"/>
      <c r="WFV232" s="15"/>
      <c r="WFW232" s="15"/>
      <c r="WFX232" s="15"/>
      <c r="WFY232" s="15"/>
      <c r="WFZ232" s="15"/>
      <c r="WGA232" s="15"/>
      <c r="WGB232" s="15"/>
      <c r="WGC232" s="15"/>
      <c r="WGD232" s="15"/>
      <c r="WGE232" s="15"/>
      <c r="WGF232" s="10"/>
      <c r="WGG232" s="10"/>
      <c r="WGH232" s="21"/>
      <c r="WGI232" s="21"/>
      <c r="WGL232" s="21"/>
      <c r="WGM232" s="15"/>
      <c r="WGN232" s="15"/>
      <c r="WGO232" s="15"/>
      <c r="WGP232" s="15"/>
      <c r="WGQ232" s="15"/>
      <c r="WGR232" s="15"/>
      <c r="WGS232" s="15"/>
      <c r="WGT232" s="15"/>
      <c r="WGU232" s="15"/>
      <c r="WGV232" s="15"/>
      <c r="WGW232" s="10"/>
      <c r="WGX232" s="10"/>
      <c r="WGY232" s="21"/>
      <c r="WGZ232" s="21"/>
      <c r="WHC232" s="21"/>
      <c r="WHD232" s="15"/>
      <c r="WHE232" s="15"/>
      <c r="WHF232" s="15"/>
      <c r="WHG232" s="15"/>
      <c r="WHH232" s="15"/>
      <c r="WHI232" s="15"/>
      <c r="WHJ232" s="15"/>
      <c r="WHK232" s="15"/>
      <c r="WHL232" s="15"/>
      <c r="WHM232" s="15"/>
      <c r="WHN232" s="10"/>
      <c r="WHO232" s="10"/>
      <c r="WHP232" s="21"/>
      <c r="WHQ232" s="21"/>
      <c r="WHT232" s="21"/>
      <c r="WHU232" s="15"/>
      <c r="WHV232" s="15"/>
      <c r="WHW232" s="15"/>
      <c r="WHX232" s="15"/>
      <c r="WHY232" s="15"/>
      <c r="WHZ232" s="15"/>
      <c r="WIA232" s="15"/>
      <c r="WIB232" s="15"/>
      <c r="WIC232" s="15"/>
      <c r="WID232" s="15"/>
      <c r="WIE232" s="10"/>
      <c r="WIF232" s="10"/>
      <c r="WIG232" s="21"/>
      <c r="WIH232" s="21"/>
      <c r="WIK232" s="21"/>
      <c r="WIL232" s="15"/>
      <c r="WIM232" s="15"/>
      <c r="WIN232" s="15"/>
      <c r="WIO232" s="15"/>
      <c r="WIP232" s="15"/>
      <c r="WIQ232" s="15"/>
      <c r="WIR232" s="15"/>
      <c r="WIS232" s="15"/>
      <c r="WIT232" s="15"/>
      <c r="WIU232" s="15"/>
      <c r="WIV232" s="10"/>
      <c r="WIW232" s="10"/>
      <c r="WIX232" s="21"/>
      <c r="WIY232" s="21"/>
      <c r="WJB232" s="21"/>
      <c r="WJC232" s="15"/>
      <c r="WJD232" s="15"/>
      <c r="WJE232" s="15"/>
      <c r="WJF232" s="15"/>
      <c r="WJG232" s="15"/>
      <c r="WJH232" s="15"/>
      <c r="WJI232" s="15"/>
      <c r="WJJ232" s="15"/>
      <c r="WJK232" s="15"/>
      <c r="WJL232" s="15"/>
      <c r="WJM232" s="10"/>
      <c r="WJN232" s="10"/>
      <c r="WJO232" s="21"/>
      <c r="WJP232" s="21"/>
      <c r="WJS232" s="21"/>
      <c r="WJT232" s="15"/>
      <c r="WJU232" s="15"/>
      <c r="WJV232" s="15"/>
      <c r="WJW232" s="15"/>
      <c r="WJX232" s="15"/>
      <c r="WJY232" s="15"/>
      <c r="WJZ232" s="15"/>
      <c r="WKA232" s="15"/>
      <c r="WKB232" s="15"/>
      <c r="WKC232" s="15"/>
      <c r="WKD232" s="10"/>
      <c r="WKE232" s="10"/>
      <c r="WKF232" s="21"/>
      <c r="WKG232" s="21"/>
      <c r="WKJ232" s="21"/>
      <c r="WKK232" s="15"/>
      <c r="WKL232" s="15"/>
      <c r="WKM232" s="15"/>
      <c r="WKN232" s="15"/>
      <c r="WKO232" s="15"/>
      <c r="WKP232" s="15"/>
      <c r="WKQ232" s="15"/>
      <c r="WKR232" s="15"/>
      <c r="WKS232" s="15"/>
      <c r="WKT232" s="15"/>
      <c r="WKU232" s="10"/>
      <c r="WKV232" s="10"/>
      <c r="WKW232" s="21"/>
      <c r="WKX232" s="21"/>
      <c r="WLA232" s="21"/>
      <c r="WLB232" s="15"/>
      <c r="WLC232" s="15"/>
      <c r="WLD232" s="15"/>
      <c r="WLE232" s="15"/>
      <c r="WLF232" s="15"/>
      <c r="WLG232" s="15"/>
      <c r="WLH232" s="15"/>
      <c r="WLI232" s="15"/>
      <c r="WLJ232" s="15"/>
      <c r="WLK232" s="15"/>
      <c r="WLL232" s="10"/>
      <c r="WLM232" s="10"/>
      <c r="WLN232" s="21"/>
      <c r="WLO232" s="21"/>
      <c r="WLR232" s="21"/>
      <c r="WLS232" s="15"/>
      <c r="WLT232" s="15"/>
      <c r="WLU232" s="15"/>
      <c r="WLV232" s="15"/>
      <c r="WLW232" s="15"/>
      <c r="WLX232" s="15"/>
      <c r="WLY232" s="15"/>
      <c r="WLZ232" s="15"/>
      <c r="WMA232" s="15"/>
      <c r="WMB232" s="15"/>
      <c r="WMC232" s="10"/>
      <c r="WMD232" s="10"/>
      <c r="WME232" s="21"/>
      <c r="WMF232" s="21"/>
      <c r="WMI232" s="21"/>
      <c r="WMJ232" s="15"/>
      <c r="WMK232" s="15"/>
      <c r="WML232" s="15"/>
      <c r="WMM232" s="15"/>
      <c r="WMN232" s="15"/>
      <c r="WMO232" s="15"/>
      <c r="WMP232" s="15"/>
      <c r="WMQ232" s="15"/>
      <c r="WMR232" s="15"/>
      <c r="WMS232" s="15"/>
      <c r="WMT232" s="10"/>
      <c r="WMU232" s="10"/>
      <c r="WMV232" s="21"/>
      <c r="WMW232" s="21"/>
      <c r="WMZ232" s="21"/>
      <c r="WNA232" s="15"/>
      <c r="WNB232" s="15"/>
      <c r="WNC232" s="15"/>
      <c r="WND232" s="15"/>
      <c r="WNE232" s="15"/>
      <c r="WNF232" s="15"/>
      <c r="WNG232" s="15"/>
      <c r="WNH232" s="15"/>
      <c r="WNI232" s="15"/>
      <c r="WNJ232" s="15"/>
      <c r="WNK232" s="10"/>
      <c r="WNL232" s="10"/>
      <c r="WNM232" s="21"/>
      <c r="WNN232" s="21"/>
      <c r="WNQ232" s="21"/>
      <c r="WNR232" s="15"/>
      <c r="WNS232" s="15"/>
      <c r="WNT232" s="15"/>
      <c r="WNU232" s="15"/>
      <c r="WNV232" s="15"/>
      <c r="WNW232" s="15"/>
      <c r="WNX232" s="15"/>
      <c r="WNY232" s="15"/>
      <c r="WNZ232" s="15"/>
      <c r="WOA232" s="15"/>
      <c r="WOB232" s="10"/>
      <c r="WOC232" s="10"/>
      <c r="WOD232" s="21"/>
      <c r="WOE232" s="21"/>
      <c r="WOH232" s="21"/>
      <c r="WOI232" s="15"/>
      <c r="WOJ232" s="15"/>
      <c r="WOK232" s="15"/>
      <c r="WOL232" s="15"/>
      <c r="WOM232" s="15"/>
      <c r="WON232" s="15"/>
      <c r="WOO232" s="15"/>
      <c r="WOP232" s="15"/>
      <c r="WOQ232" s="15"/>
      <c r="WOR232" s="15"/>
      <c r="WOS232" s="10"/>
      <c r="WOT232" s="10"/>
      <c r="WOU232" s="21"/>
      <c r="WOV232" s="21"/>
      <c r="WOY232" s="21"/>
      <c r="WOZ232" s="15"/>
      <c r="WPA232" s="15"/>
      <c r="WPB232" s="15"/>
      <c r="WPC232" s="15"/>
      <c r="WPD232" s="15"/>
      <c r="WPE232" s="15"/>
      <c r="WPF232" s="15"/>
      <c r="WPG232" s="15"/>
      <c r="WPH232" s="15"/>
      <c r="WPI232" s="15"/>
      <c r="WPJ232" s="10"/>
      <c r="WPK232" s="10"/>
      <c r="WPL232" s="21"/>
      <c r="WPM232" s="21"/>
      <c r="WPP232" s="21"/>
      <c r="WPQ232" s="15"/>
      <c r="WPR232" s="15"/>
      <c r="WPS232" s="15"/>
      <c r="WPT232" s="15"/>
      <c r="WPU232" s="15"/>
      <c r="WPV232" s="15"/>
      <c r="WPW232" s="15"/>
      <c r="WPX232" s="15"/>
      <c r="WPY232" s="15"/>
      <c r="WPZ232" s="15"/>
      <c r="WQA232" s="10"/>
      <c r="WQB232" s="10"/>
      <c r="WQC232" s="21"/>
      <c r="WQD232" s="21"/>
      <c r="WQG232" s="21"/>
      <c r="WQH232" s="15"/>
      <c r="WQI232" s="15"/>
      <c r="WQJ232" s="15"/>
      <c r="WQK232" s="15"/>
      <c r="WQL232" s="15"/>
      <c r="WQM232" s="15"/>
      <c r="WQN232" s="15"/>
      <c r="WQO232" s="15"/>
      <c r="WQP232" s="15"/>
      <c r="WQQ232" s="15"/>
      <c r="WQR232" s="10"/>
      <c r="WQS232" s="10"/>
      <c r="WQT232" s="21"/>
      <c r="WQU232" s="21"/>
      <c r="WQX232" s="21"/>
      <c r="WQY232" s="15"/>
      <c r="WQZ232" s="15"/>
      <c r="WRA232" s="15"/>
      <c r="WRB232" s="15"/>
      <c r="WRC232" s="15"/>
      <c r="WRD232" s="15"/>
      <c r="WRE232" s="15"/>
      <c r="WRF232" s="15"/>
      <c r="WRG232" s="15"/>
      <c r="WRH232" s="15"/>
      <c r="WRI232" s="10"/>
      <c r="WRJ232" s="10"/>
      <c r="WRK232" s="21"/>
      <c r="WRL232" s="21"/>
      <c r="WRO232" s="21"/>
      <c r="WRP232" s="15"/>
      <c r="WRQ232" s="15"/>
      <c r="WRR232" s="15"/>
      <c r="WRS232" s="15"/>
      <c r="WRT232" s="15"/>
      <c r="WRU232" s="15"/>
      <c r="WRV232" s="15"/>
      <c r="WRW232" s="15"/>
      <c r="WRX232" s="15"/>
      <c r="WRY232" s="15"/>
      <c r="WRZ232" s="10"/>
      <c r="WSA232" s="10"/>
      <c r="WSB232" s="21"/>
      <c r="WSC232" s="21"/>
      <c r="WSF232" s="21"/>
      <c r="WSG232" s="15"/>
      <c r="WSH232" s="15"/>
      <c r="WSI232" s="15"/>
      <c r="WSJ232" s="15"/>
      <c r="WSK232" s="15"/>
      <c r="WSL232" s="15"/>
      <c r="WSM232" s="15"/>
      <c r="WSN232" s="15"/>
      <c r="WSO232" s="15"/>
      <c r="WSP232" s="15"/>
      <c r="WSQ232" s="10"/>
      <c r="WSR232" s="10"/>
      <c r="WSS232" s="21"/>
      <c r="WST232" s="21"/>
      <c r="WSW232" s="21"/>
      <c r="WSX232" s="15"/>
      <c r="WSY232" s="15"/>
      <c r="WSZ232" s="15"/>
      <c r="WTA232" s="15"/>
      <c r="WTB232" s="15"/>
      <c r="WTC232" s="15"/>
      <c r="WTD232" s="15"/>
      <c r="WTE232" s="15"/>
      <c r="WTF232" s="15"/>
      <c r="WTG232" s="15"/>
      <c r="WTH232" s="10"/>
      <c r="WTI232" s="10"/>
      <c r="WTJ232" s="21"/>
      <c r="WTK232" s="21"/>
      <c r="WTN232" s="21"/>
      <c r="WTO232" s="15"/>
      <c r="WTP232" s="15"/>
      <c r="WTQ232" s="15"/>
      <c r="WTR232" s="15"/>
      <c r="WTS232" s="15"/>
      <c r="WTT232" s="15"/>
      <c r="WTU232" s="15"/>
      <c r="WTV232" s="15"/>
      <c r="WTW232" s="15"/>
      <c r="WTX232" s="15"/>
      <c r="WTY232" s="10"/>
      <c r="WTZ232" s="10"/>
      <c r="WUA232" s="21"/>
      <c r="WUB232" s="21"/>
      <c r="WUE232" s="21"/>
      <c r="WUF232" s="15"/>
      <c r="WUG232" s="15"/>
      <c r="WUH232" s="15"/>
      <c r="WUI232" s="15"/>
      <c r="WUJ232" s="15"/>
      <c r="WUK232" s="15"/>
      <c r="WUL232" s="15"/>
      <c r="WUM232" s="15"/>
      <c r="WUN232" s="15"/>
      <c r="WUO232" s="15"/>
      <c r="WUP232" s="10"/>
      <c r="WUQ232" s="10"/>
      <c r="WUR232" s="21"/>
      <c r="WUS232" s="21"/>
      <c r="WUV232" s="21"/>
      <c r="WUW232" s="15"/>
      <c r="WUX232" s="15"/>
      <c r="WUY232" s="15"/>
      <c r="WUZ232" s="15"/>
      <c r="WVA232" s="15"/>
      <c r="WVB232" s="15"/>
      <c r="WVC232" s="15"/>
      <c r="WVD232" s="15"/>
      <c r="WVE232" s="15"/>
      <c r="WVF232" s="15"/>
      <c r="WVG232" s="10"/>
      <c r="WVH232" s="10"/>
      <c r="WVI232" s="21"/>
      <c r="WVJ232" s="21"/>
      <c r="WVM232" s="21"/>
      <c r="WVN232" s="15"/>
      <c r="WVO232" s="15"/>
      <c r="WVP232" s="15"/>
      <c r="WVQ232" s="15"/>
      <c r="WVR232" s="15"/>
      <c r="WVS232" s="15"/>
      <c r="WVT232" s="15"/>
      <c r="WVU232" s="15"/>
      <c r="WVV232" s="15"/>
      <c r="WVW232" s="15"/>
      <c r="WVX232" s="10"/>
      <c r="WVY232" s="10"/>
      <c r="WVZ232" s="21"/>
      <c r="WWA232" s="21"/>
      <c r="WWD232" s="21"/>
      <c r="WWE232" s="15"/>
      <c r="WWF232" s="15"/>
      <c r="WWG232" s="15"/>
      <c r="WWH232" s="15"/>
      <c r="WWI232" s="15"/>
      <c r="WWJ232" s="15"/>
      <c r="WWK232" s="15"/>
      <c r="WWL232" s="15"/>
      <c r="WWM232" s="15"/>
      <c r="WWN232" s="15"/>
      <c r="WWO232" s="10"/>
      <c r="WWP232" s="10"/>
      <c r="WWQ232" s="21"/>
      <c r="WWR232" s="21"/>
      <c r="WWU232" s="21"/>
      <c r="WWV232" s="15"/>
      <c r="WWW232" s="15"/>
      <c r="WWX232" s="15"/>
      <c r="WWY232" s="15"/>
      <c r="WWZ232" s="15"/>
      <c r="WXA232" s="15"/>
      <c r="WXB232" s="15"/>
      <c r="WXC232" s="15"/>
      <c r="WXD232" s="15"/>
      <c r="WXE232" s="15"/>
      <c r="WXF232" s="10"/>
      <c r="WXG232" s="10"/>
      <c r="WXH232" s="21"/>
      <c r="WXI232" s="21"/>
      <c r="WXL232" s="21"/>
      <c r="WXM232" s="15"/>
      <c r="WXN232" s="15"/>
      <c r="WXO232" s="15"/>
      <c r="WXP232" s="15"/>
      <c r="WXQ232" s="15"/>
      <c r="WXR232" s="15"/>
      <c r="WXS232" s="15"/>
      <c r="WXT232" s="15"/>
      <c r="WXU232" s="15"/>
      <c r="WXV232" s="15"/>
      <c r="WXW232" s="10"/>
      <c r="WXX232" s="10"/>
      <c r="WXY232" s="21"/>
      <c r="WXZ232" s="21"/>
      <c r="WYC232" s="21"/>
      <c r="WYD232" s="15"/>
      <c r="WYE232" s="15"/>
      <c r="WYF232" s="15"/>
      <c r="WYG232" s="15"/>
      <c r="WYH232" s="15"/>
      <c r="WYI232" s="15"/>
      <c r="WYJ232" s="15"/>
      <c r="WYK232" s="15"/>
      <c r="WYL232" s="15"/>
      <c r="WYM232" s="15"/>
      <c r="WYN232" s="10"/>
      <c r="WYO232" s="10"/>
      <c r="WYP232" s="21"/>
      <c r="WYQ232" s="21"/>
      <c r="WYT232" s="21"/>
      <c r="WYU232" s="15"/>
      <c r="WYV232" s="15"/>
      <c r="WYW232" s="15"/>
      <c r="WYX232" s="15"/>
      <c r="WYY232" s="15"/>
      <c r="WYZ232" s="15"/>
      <c r="WZA232" s="15"/>
      <c r="WZB232" s="15"/>
      <c r="WZC232" s="15"/>
      <c r="WZD232" s="15"/>
      <c r="WZE232" s="10"/>
      <c r="WZF232" s="10"/>
      <c r="WZG232" s="21"/>
      <c r="WZH232" s="21"/>
      <c r="WZK232" s="21"/>
      <c r="WZL232" s="15"/>
      <c r="WZM232" s="15"/>
      <c r="WZN232" s="15"/>
      <c r="WZO232" s="15"/>
      <c r="WZP232" s="15"/>
      <c r="WZQ232" s="15"/>
      <c r="WZR232" s="15"/>
      <c r="WZS232" s="15"/>
      <c r="WZT232" s="15"/>
      <c r="WZU232" s="15"/>
      <c r="WZV232" s="10"/>
      <c r="WZW232" s="10"/>
      <c r="WZX232" s="21"/>
      <c r="WZY232" s="21"/>
      <c r="XAB232" s="21"/>
      <c r="XAC232" s="15"/>
      <c r="XAD232" s="15"/>
      <c r="XAE232" s="15"/>
      <c r="XAF232" s="15"/>
      <c r="XAG232" s="15"/>
      <c r="XAH232" s="15"/>
      <c r="XAI232" s="15"/>
      <c r="XAJ232" s="15"/>
      <c r="XAK232" s="15"/>
      <c r="XAL232" s="15"/>
      <c r="XAM232" s="10"/>
      <c r="XAN232" s="10"/>
      <c r="XAO232" s="21"/>
      <c r="XAP232" s="21"/>
      <c r="XAS232" s="21"/>
      <c r="XAT232" s="15"/>
      <c r="XAU232" s="15"/>
      <c r="XAV232" s="15"/>
      <c r="XAW232" s="15"/>
      <c r="XAX232" s="15"/>
      <c r="XAY232" s="15"/>
      <c r="XAZ232" s="15"/>
      <c r="XBA232" s="15"/>
      <c r="XBB232" s="15"/>
      <c r="XBC232" s="15"/>
      <c r="XBD232" s="10"/>
      <c r="XBE232" s="10"/>
      <c r="XBF232" s="21"/>
      <c r="XBG232" s="21"/>
      <c r="XBJ232" s="21"/>
      <c r="XBK232" s="15"/>
      <c r="XBL232" s="15"/>
      <c r="XBM232" s="15"/>
      <c r="XBN232" s="15"/>
      <c r="XBO232" s="15"/>
      <c r="XBP232" s="15"/>
      <c r="XBQ232" s="15"/>
      <c r="XBR232" s="15"/>
      <c r="XBS232" s="15"/>
      <c r="XBT232" s="15"/>
      <c r="XBU232" s="10"/>
      <c r="XBV232" s="10"/>
      <c r="XBW232" s="21"/>
      <c r="XBX232" s="21"/>
      <c r="XCA232" s="21"/>
      <c r="XCB232" s="15"/>
      <c r="XCC232" s="15"/>
      <c r="XCD232" s="15"/>
      <c r="XCE232" s="15"/>
      <c r="XCF232" s="15"/>
      <c r="XCG232" s="15"/>
      <c r="XCH232" s="15"/>
      <c r="XCI232" s="15"/>
      <c r="XCJ232" s="15"/>
      <c r="XCK232" s="15"/>
      <c r="XCL232" s="10"/>
      <c r="XCM232" s="10"/>
      <c r="XCN232" s="21"/>
      <c r="XCO232" s="21"/>
      <c r="XCR232" s="21"/>
      <c r="XCS232" s="15"/>
      <c r="XCT232" s="15"/>
      <c r="XCU232" s="15"/>
      <c r="XCV232" s="15"/>
      <c r="XCW232" s="15"/>
      <c r="XCX232" s="15"/>
      <c r="XCY232" s="15"/>
      <c r="XCZ232" s="15"/>
      <c r="XDA232" s="15"/>
      <c r="XDB232" s="15"/>
      <c r="XDC232" s="10"/>
      <c r="XDD232" s="10"/>
      <c r="XDE232" s="21"/>
      <c r="XDF232" s="21"/>
      <c r="XDI232" s="21"/>
      <c r="XDJ232" s="15"/>
      <c r="XDK232" s="15"/>
      <c r="XDL232" s="15"/>
      <c r="XDM232" s="15"/>
      <c r="XDN232" s="15"/>
      <c r="XDO232" s="15"/>
      <c r="XDP232" s="15"/>
      <c r="XDQ232" s="15"/>
      <c r="XDR232" s="15"/>
      <c r="XDS232" s="15"/>
      <c r="XDT232" s="10"/>
      <c r="XDU232" s="10"/>
      <c r="XDV232" s="21"/>
      <c r="XDW232" s="21"/>
      <c r="XDZ232" s="21"/>
      <c r="XEA232" s="15"/>
      <c r="XEB232" s="15"/>
      <c r="XEC232" s="15"/>
      <c r="XED232" s="15"/>
      <c r="XEE232" s="15"/>
      <c r="XEF232" s="15"/>
      <c r="XEG232" s="15"/>
      <c r="XEH232" s="15"/>
      <c r="XEI232" s="15"/>
      <c r="XEJ232" s="15"/>
      <c r="XEK232" s="10"/>
      <c r="XEL232" s="10"/>
      <c r="XEM232" s="21"/>
      <c r="XEN232" s="21"/>
      <c r="XEQ232" s="21"/>
      <c r="XER232" s="15"/>
      <c r="XES232" s="15"/>
      <c r="XET232" s="15"/>
      <c r="XEU232" s="15"/>
      <c r="XEV232" s="15"/>
      <c r="XEW232" s="15"/>
      <c r="XEX232" s="15"/>
      <c r="XEY232" s="15"/>
      <c r="XEZ232" s="15"/>
      <c r="XFA232" s="15"/>
      <c r="XFB232" s="10"/>
      <c r="XFC232" s="10"/>
      <c r="XFD232" s="21"/>
    </row>
    <row r="233" spans="1:16384" ht="14.25" customHeight="1" x14ac:dyDescent="0.3">
      <c r="A233" s="31">
        <v>0</v>
      </c>
      <c r="B233" s="31">
        <v>1</v>
      </c>
      <c r="C233" s="31">
        <v>6</v>
      </c>
      <c r="D233" s="32" t="s">
        <v>975</v>
      </c>
      <c r="E233" s="32" t="s">
        <v>164</v>
      </c>
      <c r="F233" s="32" t="s">
        <v>973</v>
      </c>
      <c r="G233" s="32" t="s">
        <v>1102</v>
      </c>
      <c r="H233" s="32" t="s">
        <v>352</v>
      </c>
      <c r="I233" s="31" t="s">
        <v>974</v>
      </c>
      <c r="J233" s="31">
        <v>1</v>
      </c>
      <c r="K233" s="33" t="s">
        <v>953</v>
      </c>
      <c r="L233" s="33" t="s">
        <v>686</v>
      </c>
      <c r="M233" s="34" t="s">
        <v>1399</v>
      </c>
      <c r="N233" s="34" t="s">
        <v>1745</v>
      </c>
      <c r="O233" s="35">
        <v>1</v>
      </c>
      <c r="P233" s="35"/>
      <c r="Q233" s="32"/>
      <c r="S233" s="1">
        <f t="shared" si="169"/>
        <v>1</v>
      </c>
      <c r="T233" s="1">
        <f t="shared" si="170"/>
        <v>0</v>
      </c>
      <c r="U233" s="1">
        <f t="shared" si="171"/>
        <v>0</v>
      </c>
      <c r="V233" s="1">
        <f t="shared" si="172"/>
        <v>0</v>
      </c>
      <c r="W233" s="1">
        <f t="shared" si="173"/>
        <v>0</v>
      </c>
      <c r="X233" s="1">
        <f t="shared" si="174"/>
        <v>0</v>
      </c>
      <c r="Y233" s="1">
        <f t="shared" si="175"/>
        <v>0</v>
      </c>
      <c r="Z233" s="1">
        <f t="shared" si="176"/>
        <v>0</v>
      </c>
      <c r="AA233" s="1">
        <f t="shared" si="177"/>
        <v>0</v>
      </c>
      <c r="AB233" s="1">
        <f t="shared" si="178"/>
        <v>0</v>
      </c>
      <c r="AD233" s="1">
        <f t="shared" si="179"/>
        <v>0</v>
      </c>
      <c r="AE233" s="1">
        <f t="shared" si="180"/>
        <v>1</v>
      </c>
      <c r="AF233" s="1">
        <f t="shared" si="165"/>
        <v>0</v>
      </c>
      <c r="AG233" s="1">
        <f t="shared" si="166"/>
        <v>1</v>
      </c>
      <c r="AH233" s="1">
        <f t="shared" si="167"/>
        <v>0</v>
      </c>
      <c r="AI233" s="1">
        <f t="shared" si="168"/>
        <v>1</v>
      </c>
    </row>
    <row r="234" spans="1:16384" ht="14.25" customHeight="1" x14ac:dyDescent="0.3">
      <c r="A234" s="31">
        <v>0</v>
      </c>
      <c r="B234" s="31">
        <v>1</v>
      </c>
      <c r="C234" s="31">
        <v>6</v>
      </c>
      <c r="D234" s="32" t="s">
        <v>518</v>
      </c>
      <c r="E234" s="32" t="s">
        <v>166</v>
      </c>
      <c r="F234" s="32" t="s">
        <v>519</v>
      </c>
      <c r="G234" s="32" t="s">
        <v>520</v>
      </c>
      <c r="H234" s="32" t="s">
        <v>352</v>
      </c>
      <c r="I234" s="31" t="s">
        <v>521</v>
      </c>
      <c r="J234" s="31">
        <v>99</v>
      </c>
      <c r="K234" s="33" t="s">
        <v>699</v>
      </c>
      <c r="L234" s="33">
        <v>40</v>
      </c>
      <c r="M234" s="34" t="s">
        <v>969</v>
      </c>
      <c r="N234" s="34" t="s">
        <v>1846</v>
      </c>
      <c r="O234" s="35">
        <v>1</v>
      </c>
      <c r="P234" s="35"/>
      <c r="Q234" s="32"/>
      <c r="S234" s="1">
        <f t="shared" si="169"/>
        <v>0</v>
      </c>
      <c r="T234" s="1">
        <f t="shared" si="170"/>
        <v>0</v>
      </c>
      <c r="U234" s="1">
        <f t="shared" si="171"/>
        <v>0</v>
      </c>
      <c r="V234" s="1">
        <f t="shared" si="172"/>
        <v>0</v>
      </c>
      <c r="W234" s="1">
        <f t="shared" si="173"/>
        <v>0</v>
      </c>
      <c r="X234" s="1">
        <f t="shared" si="174"/>
        <v>0</v>
      </c>
      <c r="Y234" s="1">
        <f t="shared" si="175"/>
        <v>0</v>
      </c>
      <c r="Z234" s="1">
        <f t="shared" si="176"/>
        <v>0</v>
      </c>
      <c r="AA234" s="1">
        <f t="shared" si="177"/>
        <v>0</v>
      </c>
      <c r="AB234" s="1">
        <f t="shared" si="178"/>
        <v>0</v>
      </c>
      <c r="AD234" s="1">
        <f t="shared" si="179"/>
        <v>0</v>
      </c>
      <c r="AE234" s="1">
        <f t="shared" si="180"/>
        <v>1</v>
      </c>
      <c r="AF234" s="1">
        <f t="shared" si="165"/>
        <v>0</v>
      </c>
      <c r="AG234" s="1">
        <f t="shared" si="166"/>
        <v>1</v>
      </c>
      <c r="AH234" s="1">
        <f t="shared" si="167"/>
        <v>0</v>
      </c>
      <c r="AI234" s="1">
        <f t="shared" si="168"/>
        <v>1</v>
      </c>
    </row>
    <row r="235" spans="1:16384" ht="14.25" customHeight="1" x14ac:dyDescent="0.3">
      <c r="A235" s="38">
        <v>0</v>
      </c>
      <c r="B235" s="38">
        <v>1</v>
      </c>
      <c r="C235" s="38">
        <v>6</v>
      </c>
      <c r="D235" s="39" t="s">
        <v>1834</v>
      </c>
      <c r="E235" s="39" t="s">
        <v>1835</v>
      </c>
      <c r="F235" s="39" t="s">
        <v>1836</v>
      </c>
      <c r="G235" s="39"/>
      <c r="H235" s="39" t="s">
        <v>352</v>
      </c>
      <c r="I235" s="38" t="s">
        <v>1837</v>
      </c>
      <c r="J235" s="38"/>
      <c r="K235" s="40" t="s">
        <v>700</v>
      </c>
      <c r="L235" s="40"/>
      <c r="M235" s="41"/>
      <c r="N235" s="42"/>
      <c r="O235" s="43"/>
      <c r="P235" s="43">
        <v>1</v>
      </c>
      <c r="Q235" s="39"/>
      <c r="S235" s="1">
        <f t="shared" si="169"/>
        <v>0</v>
      </c>
      <c r="T235" s="1">
        <f t="shared" si="170"/>
        <v>0</v>
      </c>
      <c r="U235" s="1">
        <f t="shared" si="171"/>
        <v>0</v>
      </c>
      <c r="V235" s="1">
        <f t="shared" si="172"/>
        <v>0</v>
      </c>
      <c r="W235" s="1">
        <f t="shared" si="173"/>
        <v>0</v>
      </c>
      <c r="X235" s="1">
        <f t="shared" si="174"/>
        <v>0</v>
      </c>
      <c r="Y235" s="1">
        <f t="shared" si="175"/>
        <v>0</v>
      </c>
      <c r="Z235" s="1">
        <f t="shared" si="176"/>
        <v>0</v>
      </c>
      <c r="AA235" s="1">
        <f t="shared" si="177"/>
        <v>0</v>
      </c>
      <c r="AB235" s="1">
        <f t="shared" si="178"/>
        <v>0</v>
      </c>
      <c r="AD235" s="1">
        <f t="shared" si="179"/>
        <v>0</v>
      </c>
      <c r="AE235" s="1">
        <f t="shared" si="180"/>
        <v>0</v>
      </c>
      <c r="AF235" s="1">
        <f t="shared" si="165"/>
        <v>0</v>
      </c>
      <c r="AG235" s="1">
        <f t="shared" si="166"/>
        <v>0</v>
      </c>
      <c r="AH235" s="1">
        <f t="shared" si="167"/>
        <v>1</v>
      </c>
      <c r="AI235" s="1">
        <f t="shared" si="168"/>
        <v>0</v>
      </c>
    </row>
    <row r="236" spans="1:16384" ht="14.25" customHeight="1" x14ac:dyDescent="0.3">
      <c r="A236" s="31">
        <v>0</v>
      </c>
      <c r="B236" s="31">
        <v>1</v>
      </c>
      <c r="C236" s="31">
        <v>6</v>
      </c>
      <c r="D236" s="32" t="s">
        <v>1477</v>
      </c>
      <c r="E236" s="32" t="s">
        <v>166</v>
      </c>
      <c r="F236" s="32" t="s">
        <v>1479</v>
      </c>
      <c r="G236" s="32" t="s">
        <v>1480</v>
      </c>
      <c r="H236" s="32" t="s">
        <v>352</v>
      </c>
      <c r="I236" s="31" t="s">
        <v>1478</v>
      </c>
      <c r="J236" s="31">
        <v>99</v>
      </c>
      <c r="K236" s="33" t="s">
        <v>700</v>
      </c>
      <c r="L236" s="33">
        <v>62</v>
      </c>
      <c r="M236" s="34"/>
      <c r="N236" s="34" t="s">
        <v>1746</v>
      </c>
      <c r="O236" s="35">
        <v>1</v>
      </c>
      <c r="P236" s="35"/>
      <c r="Q236" s="32"/>
      <c r="S236" s="1">
        <f t="shared" si="169"/>
        <v>0</v>
      </c>
      <c r="T236" s="1">
        <f t="shared" si="170"/>
        <v>0</v>
      </c>
      <c r="U236" s="1">
        <f t="shared" si="171"/>
        <v>0</v>
      </c>
      <c r="V236" s="1">
        <f t="shared" si="172"/>
        <v>0</v>
      </c>
      <c r="W236" s="1">
        <f t="shared" si="173"/>
        <v>0</v>
      </c>
      <c r="X236" s="1">
        <f t="shared" si="174"/>
        <v>0</v>
      </c>
      <c r="Y236" s="1">
        <f t="shared" si="175"/>
        <v>0</v>
      </c>
      <c r="Z236" s="1">
        <f t="shared" si="176"/>
        <v>0</v>
      </c>
      <c r="AA236" s="1">
        <f t="shared" si="177"/>
        <v>0</v>
      </c>
      <c r="AB236" s="1">
        <f t="shared" si="178"/>
        <v>0</v>
      </c>
      <c r="AD236" s="1">
        <f t="shared" si="179"/>
        <v>0</v>
      </c>
      <c r="AE236" s="1">
        <f t="shared" si="180"/>
        <v>1</v>
      </c>
      <c r="AF236" s="1">
        <f t="shared" si="165"/>
        <v>0</v>
      </c>
      <c r="AG236" s="1">
        <f t="shared" si="166"/>
        <v>1</v>
      </c>
      <c r="AH236" s="1">
        <f t="shared" si="167"/>
        <v>0</v>
      </c>
      <c r="AI236" s="1">
        <f t="shared" si="168"/>
        <v>1</v>
      </c>
    </row>
    <row r="237" spans="1:16384" ht="14.25" customHeight="1" x14ac:dyDescent="0.3">
      <c r="A237" s="31">
        <v>0</v>
      </c>
      <c r="B237" s="31">
        <v>1</v>
      </c>
      <c r="C237" s="31">
        <v>6</v>
      </c>
      <c r="D237" s="32" t="s">
        <v>1193</v>
      </c>
      <c r="E237" s="32" t="s">
        <v>164</v>
      </c>
      <c r="F237" s="32" t="s">
        <v>1667</v>
      </c>
      <c r="G237" s="32" t="s">
        <v>212</v>
      </c>
      <c r="H237" s="32" t="s">
        <v>352</v>
      </c>
      <c r="I237" s="31" t="s">
        <v>1194</v>
      </c>
      <c r="J237" s="31">
        <v>1</v>
      </c>
      <c r="K237" s="33" t="s">
        <v>959</v>
      </c>
      <c r="L237" s="33" t="s">
        <v>684</v>
      </c>
      <c r="M237" s="34" t="s">
        <v>1569</v>
      </c>
      <c r="N237" s="34" t="s">
        <v>1752</v>
      </c>
      <c r="O237" s="35">
        <v>1</v>
      </c>
      <c r="P237" s="35"/>
      <c r="Q237" s="32"/>
      <c r="S237" s="1">
        <f t="shared" si="169"/>
        <v>1</v>
      </c>
      <c r="T237" s="1">
        <f t="shared" si="170"/>
        <v>0</v>
      </c>
      <c r="U237" s="1">
        <f t="shared" si="171"/>
        <v>0</v>
      </c>
      <c r="V237" s="1">
        <f t="shared" si="172"/>
        <v>0</v>
      </c>
      <c r="W237" s="1">
        <f t="shared" si="173"/>
        <v>0</v>
      </c>
      <c r="X237" s="1">
        <f t="shared" si="174"/>
        <v>0</v>
      </c>
      <c r="Y237" s="1">
        <f t="shared" si="175"/>
        <v>0</v>
      </c>
      <c r="Z237" s="1">
        <f t="shared" si="176"/>
        <v>0</v>
      </c>
      <c r="AA237" s="1">
        <f t="shared" si="177"/>
        <v>0</v>
      </c>
      <c r="AB237" s="1">
        <f t="shared" si="178"/>
        <v>0</v>
      </c>
      <c r="AD237" s="1">
        <f t="shared" si="179"/>
        <v>0</v>
      </c>
      <c r="AE237" s="1">
        <f t="shared" si="180"/>
        <v>1</v>
      </c>
      <c r="AF237" s="1">
        <f t="shared" si="165"/>
        <v>0</v>
      </c>
      <c r="AG237" s="1">
        <f t="shared" si="166"/>
        <v>1</v>
      </c>
      <c r="AH237" s="1">
        <f t="shared" si="167"/>
        <v>0</v>
      </c>
      <c r="AI237" s="1">
        <f t="shared" si="168"/>
        <v>1</v>
      </c>
    </row>
    <row r="238" spans="1:16384" ht="14.25" customHeight="1" x14ac:dyDescent="0.3">
      <c r="A238" s="44">
        <v>0</v>
      </c>
      <c r="B238" s="44">
        <v>1</v>
      </c>
      <c r="C238" s="44">
        <v>6</v>
      </c>
      <c r="D238" s="45" t="s">
        <v>2070</v>
      </c>
      <c r="E238" s="45" t="s">
        <v>2071</v>
      </c>
      <c r="F238" s="45" t="s">
        <v>2072</v>
      </c>
      <c r="G238" s="45" t="s">
        <v>207</v>
      </c>
      <c r="H238" s="45" t="s">
        <v>352</v>
      </c>
      <c r="I238" s="44" t="s">
        <v>2073</v>
      </c>
      <c r="J238" s="44">
        <v>3</v>
      </c>
      <c r="K238" s="46" t="s">
        <v>700</v>
      </c>
      <c r="L238" s="46">
        <v>30</v>
      </c>
      <c r="M238" s="47" t="s">
        <v>2074</v>
      </c>
      <c r="N238" s="47" t="s">
        <v>1806</v>
      </c>
      <c r="O238" s="48"/>
      <c r="P238" s="48"/>
      <c r="Q238" s="45"/>
      <c r="S238" s="1">
        <f t="shared" si="169"/>
        <v>0</v>
      </c>
      <c r="T238" s="1">
        <f t="shared" si="170"/>
        <v>0</v>
      </c>
      <c r="U238" s="1">
        <f t="shared" si="171"/>
        <v>1</v>
      </c>
      <c r="V238" s="1">
        <f t="shared" si="172"/>
        <v>0</v>
      </c>
      <c r="W238" s="1">
        <f t="shared" si="173"/>
        <v>0</v>
      </c>
      <c r="X238" s="1">
        <f t="shared" si="174"/>
        <v>0</v>
      </c>
      <c r="Y238" s="1">
        <f t="shared" si="175"/>
        <v>0</v>
      </c>
      <c r="Z238" s="1">
        <f t="shared" si="176"/>
        <v>0</v>
      </c>
      <c r="AA238" s="1">
        <f t="shared" si="177"/>
        <v>0</v>
      </c>
      <c r="AB238" s="1">
        <f t="shared" si="178"/>
        <v>0</v>
      </c>
      <c r="AD238" s="1">
        <f t="shared" ref="AD238:AD241" si="181">+O238*P238</f>
        <v>0</v>
      </c>
      <c r="AE238" s="1">
        <f t="shared" ref="AE238:AE241" si="182">O238*(1-P238)</f>
        <v>0</v>
      </c>
      <c r="AF238" s="1">
        <f t="shared" ref="AF238:AF241" si="183">+O238*P238*(1-A238)</f>
        <v>0</v>
      </c>
      <c r="AG238" s="1">
        <f t="shared" ref="AG238:AG241" si="184">O238*(1-P238)*(1-A238)</f>
        <v>0</v>
      </c>
      <c r="AH238" s="1">
        <f t="shared" ref="AH238:AH241" si="185">+P238*(1-A238)</f>
        <v>0</v>
      </c>
      <c r="AI238" s="1">
        <f t="shared" ref="AI238:AI241" si="186">+(1-A238)*(1-P238)</f>
        <v>1</v>
      </c>
    </row>
    <row r="239" spans="1:16384" ht="14.25" customHeight="1" x14ac:dyDescent="0.3">
      <c r="A239" s="31">
        <v>0</v>
      </c>
      <c r="B239" s="31">
        <v>1</v>
      </c>
      <c r="C239" s="31">
        <v>6</v>
      </c>
      <c r="D239" s="32" t="s">
        <v>97</v>
      </c>
      <c r="E239" s="32" t="s">
        <v>166</v>
      </c>
      <c r="F239" s="32" t="s">
        <v>294</v>
      </c>
      <c r="G239" s="32" t="s">
        <v>283</v>
      </c>
      <c r="H239" s="32" t="s">
        <v>352</v>
      </c>
      <c r="I239" s="31" t="s">
        <v>1115</v>
      </c>
      <c r="J239" s="31">
        <v>10</v>
      </c>
      <c r="K239" s="33" t="s">
        <v>953</v>
      </c>
      <c r="L239" s="33" t="s">
        <v>691</v>
      </c>
      <c r="M239" s="34" t="s">
        <v>702</v>
      </c>
      <c r="N239" s="34" t="s">
        <v>1746</v>
      </c>
      <c r="O239" s="35">
        <v>1</v>
      </c>
      <c r="P239" s="35"/>
      <c r="Q239" s="32"/>
      <c r="S239" s="1">
        <f t="shared" si="169"/>
        <v>0</v>
      </c>
      <c r="T239" s="1">
        <f t="shared" si="170"/>
        <v>0</v>
      </c>
      <c r="U239" s="1">
        <f t="shared" si="171"/>
        <v>0</v>
      </c>
      <c r="V239" s="1">
        <f t="shared" si="172"/>
        <v>0</v>
      </c>
      <c r="W239" s="1">
        <f t="shared" si="173"/>
        <v>0</v>
      </c>
      <c r="X239" s="1">
        <f t="shared" si="174"/>
        <v>0</v>
      </c>
      <c r="Y239" s="1">
        <f t="shared" si="175"/>
        <v>0</v>
      </c>
      <c r="Z239" s="1">
        <f t="shared" si="176"/>
        <v>0</v>
      </c>
      <c r="AA239" s="1">
        <f t="shared" si="177"/>
        <v>0</v>
      </c>
      <c r="AB239" s="1">
        <f t="shared" si="178"/>
        <v>1</v>
      </c>
      <c r="AD239" s="1">
        <f t="shared" si="181"/>
        <v>0</v>
      </c>
      <c r="AE239" s="1">
        <f t="shared" si="182"/>
        <v>1</v>
      </c>
      <c r="AF239" s="1">
        <f t="shared" si="183"/>
        <v>0</v>
      </c>
      <c r="AG239" s="1">
        <f t="shared" si="184"/>
        <v>1</v>
      </c>
      <c r="AH239" s="1">
        <f t="shared" si="185"/>
        <v>0</v>
      </c>
      <c r="AI239" s="1">
        <f t="shared" si="186"/>
        <v>1</v>
      </c>
    </row>
    <row r="240" spans="1:16384" ht="14.25" customHeight="1" x14ac:dyDescent="0.3">
      <c r="A240" s="31">
        <v>0</v>
      </c>
      <c r="B240" s="31">
        <v>1</v>
      </c>
      <c r="C240" s="31">
        <v>6</v>
      </c>
      <c r="D240" s="32" t="s">
        <v>600</v>
      </c>
      <c r="E240" s="32" t="s">
        <v>164</v>
      </c>
      <c r="F240" s="32" t="s">
        <v>602</v>
      </c>
      <c r="G240" s="32" t="s">
        <v>39</v>
      </c>
      <c r="H240" s="32" t="s">
        <v>352</v>
      </c>
      <c r="I240" s="31" t="s">
        <v>601</v>
      </c>
      <c r="J240" s="31">
        <v>99</v>
      </c>
      <c r="K240" s="33" t="s">
        <v>953</v>
      </c>
      <c r="L240" s="33" t="s">
        <v>690</v>
      </c>
      <c r="M240" s="34" t="s">
        <v>967</v>
      </c>
      <c r="N240" s="34" t="s">
        <v>1746</v>
      </c>
      <c r="O240" s="35">
        <v>1</v>
      </c>
      <c r="P240" s="35"/>
      <c r="Q240" s="32"/>
      <c r="S240" s="1">
        <f t="shared" si="169"/>
        <v>0</v>
      </c>
      <c r="T240" s="1">
        <f t="shared" si="170"/>
        <v>0</v>
      </c>
      <c r="U240" s="1">
        <f t="shared" si="171"/>
        <v>0</v>
      </c>
      <c r="V240" s="1">
        <f t="shared" si="172"/>
        <v>0</v>
      </c>
      <c r="W240" s="1">
        <f t="shared" si="173"/>
        <v>0</v>
      </c>
      <c r="X240" s="1">
        <f t="shared" si="174"/>
        <v>0</v>
      </c>
      <c r="Y240" s="1">
        <f t="shared" si="175"/>
        <v>0</v>
      </c>
      <c r="Z240" s="1">
        <f t="shared" si="176"/>
        <v>0</v>
      </c>
      <c r="AA240" s="1">
        <f t="shared" si="177"/>
        <v>0</v>
      </c>
      <c r="AB240" s="1">
        <f t="shared" si="178"/>
        <v>0</v>
      </c>
      <c r="AD240" s="1">
        <f t="shared" si="181"/>
        <v>0</v>
      </c>
      <c r="AE240" s="1">
        <f t="shared" si="182"/>
        <v>1</v>
      </c>
      <c r="AF240" s="1">
        <f t="shared" si="183"/>
        <v>0</v>
      </c>
      <c r="AG240" s="1">
        <f t="shared" si="184"/>
        <v>1</v>
      </c>
      <c r="AH240" s="1">
        <f t="shared" si="185"/>
        <v>0</v>
      </c>
      <c r="AI240" s="1">
        <f t="shared" si="186"/>
        <v>1</v>
      </c>
    </row>
    <row r="241" spans="1:35" ht="14.25" customHeight="1" x14ac:dyDescent="0.3">
      <c r="A241" s="31">
        <v>0</v>
      </c>
      <c r="B241" s="31">
        <v>1</v>
      </c>
      <c r="C241" s="31">
        <v>6</v>
      </c>
      <c r="D241" s="32" t="s">
        <v>1159</v>
      </c>
      <c r="E241" s="32" t="s">
        <v>164</v>
      </c>
      <c r="F241" s="32" t="s">
        <v>1161</v>
      </c>
      <c r="G241" s="32" t="s">
        <v>219</v>
      </c>
      <c r="H241" s="32" t="s">
        <v>352</v>
      </c>
      <c r="I241" s="31" t="s">
        <v>1160</v>
      </c>
      <c r="J241" s="31">
        <v>8</v>
      </c>
      <c r="K241" s="33" t="s">
        <v>699</v>
      </c>
      <c r="L241" s="33" t="s">
        <v>1710</v>
      </c>
      <c r="M241" s="34" t="s">
        <v>1400</v>
      </c>
      <c r="N241" s="34" t="s">
        <v>1745</v>
      </c>
      <c r="O241" s="35">
        <v>1</v>
      </c>
      <c r="P241" s="35"/>
      <c r="Q241" s="32"/>
      <c r="S241" s="1">
        <f t="shared" si="169"/>
        <v>0</v>
      </c>
      <c r="T241" s="1">
        <f t="shared" si="170"/>
        <v>0</v>
      </c>
      <c r="U241" s="1">
        <f t="shared" si="171"/>
        <v>0</v>
      </c>
      <c r="V241" s="1">
        <f t="shared" si="172"/>
        <v>0</v>
      </c>
      <c r="W241" s="1">
        <f t="shared" si="173"/>
        <v>0</v>
      </c>
      <c r="X241" s="1">
        <f t="shared" si="174"/>
        <v>0</v>
      </c>
      <c r="Y241" s="1">
        <f t="shared" si="175"/>
        <v>0</v>
      </c>
      <c r="Z241" s="1">
        <f t="shared" si="176"/>
        <v>1</v>
      </c>
      <c r="AA241" s="1">
        <f t="shared" si="177"/>
        <v>0</v>
      </c>
      <c r="AB241" s="1">
        <f t="shared" si="178"/>
        <v>0</v>
      </c>
      <c r="AD241" s="1">
        <f t="shared" si="181"/>
        <v>0</v>
      </c>
      <c r="AE241" s="1">
        <f t="shared" si="182"/>
        <v>1</v>
      </c>
      <c r="AF241" s="1">
        <f t="shared" si="183"/>
        <v>0</v>
      </c>
      <c r="AG241" s="1">
        <f t="shared" si="184"/>
        <v>1</v>
      </c>
      <c r="AH241" s="1">
        <f t="shared" si="185"/>
        <v>0</v>
      </c>
      <c r="AI241" s="1">
        <f t="shared" si="186"/>
        <v>1</v>
      </c>
    </row>
    <row r="242" spans="1:35" ht="14.25" customHeight="1" x14ac:dyDescent="0.3">
      <c r="A242" s="31">
        <v>0</v>
      </c>
      <c r="B242" s="31">
        <v>1</v>
      </c>
      <c r="C242" s="31">
        <v>6</v>
      </c>
      <c r="D242" s="32" t="s">
        <v>561</v>
      </c>
      <c r="E242" s="32" t="s">
        <v>166</v>
      </c>
      <c r="F242" s="32" t="s">
        <v>658</v>
      </c>
      <c r="G242" s="32" t="s">
        <v>201</v>
      </c>
      <c r="H242" s="32" t="s">
        <v>352</v>
      </c>
      <c r="I242" s="31" t="s">
        <v>580</v>
      </c>
      <c r="J242" s="31">
        <v>10</v>
      </c>
      <c r="K242" s="33" t="s">
        <v>959</v>
      </c>
      <c r="L242" s="33" t="s">
        <v>690</v>
      </c>
      <c r="M242" s="34" t="s">
        <v>702</v>
      </c>
      <c r="N242" s="34" t="s">
        <v>1745</v>
      </c>
      <c r="O242" s="35">
        <v>1</v>
      </c>
      <c r="P242" s="35"/>
      <c r="Q242" s="36"/>
      <c r="S242" s="1">
        <f t="shared" si="169"/>
        <v>0</v>
      </c>
      <c r="T242" s="1">
        <f t="shared" si="170"/>
        <v>0</v>
      </c>
      <c r="U242" s="1">
        <f t="shared" si="171"/>
        <v>0</v>
      </c>
      <c r="V242" s="1">
        <f t="shared" si="172"/>
        <v>0</v>
      </c>
      <c r="W242" s="1">
        <f t="shared" si="173"/>
        <v>0</v>
      </c>
      <c r="X242" s="1">
        <f t="shared" si="174"/>
        <v>0</v>
      </c>
      <c r="Y242" s="1">
        <f t="shared" si="175"/>
        <v>0</v>
      </c>
      <c r="Z242" s="1">
        <f t="shared" si="176"/>
        <v>0</v>
      </c>
      <c r="AA242" s="1">
        <f t="shared" si="177"/>
        <v>0</v>
      </c>
      <c r="AB242" s="1">
        <f t="shared" si="178"/>
        <v>1</v>
      </c>
      <c r="AD242" s="1">
        <f t="shared" si="179"/>
        <v>0</v>
      </c>
      <c r="AE242" s="1">
        <f t="shared" si="180"/>
        <v>1</v>
      </c>
      <c r="AF242" s="1">
        <f t="shared" si="165"/>
        <v>0</v>
      </c>
      <c r="AG242" s="1">
        <f t="shared" si="166"/>
        <v>1</v>
      </c>
      <c r="AH242" s="1">
        <f t="shared" si="167"/>
        <v>0</v>
      </c>
      <c r="AI242" s="1">
        <f t="shared" si="168"/>
        <v>1</v>
      </c>
    </row>
    <row r="243" spans="1:35" ht="14.25" customHeight="1" x14ac:dyDescent="0.3">
      <c r="A243" s="44">
        <v>0</v>
      </c>
      <c r="B243" s="44">
        <v>1</v>
      </c>
      <c r="C243" s="44">
        <v>6</v>
      </c>
      <c r="D243" s="45" t="s">
        <v>894</v>
      </c>
      <c r="E243" s="45" t="s">
        <v>166</v>
      </c>
      <c r="F243" s="45" t="s">
        <v>935</v>
      </c>
      <c r="G243" s="45" t="s">
        <v>936</v>
      </c>
      <c r="H243" s="45" t="s">
        <v>352</v>
      </c>
      <c r="I243" s="44" t="s">
        <v>950</v>
      </c>
      <c r="J243" s="44">
        <v>99</v>
      </c>
      <c r="K243" s="46" t="s">
        <v>699</v>
      </c>
      <c r="L243" s="46" t="s">
        <v>686</v>
      </c>
      <c r="M243" s="47" t="s">
        <v>1401</v>
      </c>
      <c r="N243" s="47" t="s">
        <v>1735</v>
      </c>
      <c r="O243" s="48"/>
      <c r="P243" s="48"/>
      <c r="Q243" s="45"/>
      <c r="S243" s="1">
        <f t="shared" si="169"/>
        <v>0</v>
      </c>
      <c r="T243" s="1">
        <f t="shared" si="170"/>
        <v>0</v>
      </c>
      <c r="U243" s="1">
        <f t="shared" si="171"/>
        <v>0</v>
      </c>
      <c r="V243" s="1">
        <f t="shared" si="172"/>
        <v>0</v>
      </c>
      <c r="W243" s="1">
        <f t="shared" si="173"/>
        <v>0</v>
      </c>
      <c r="X243" s="1">
        <f t="shared" si="174"/>
        <v>0</v>
      </c>
      <c r="Y243" s="1">
        <f t="shared" si="175"/>
        <v>0</v>
      </c>
      <c r="Z243" s="1">
        <f t="shared" si="176"/>
        <v>0</v>
      </c>
      <c r="AA243" s="1">
        <f t="shared" si="177"/>
        <v>0</v>
      </c>
      <c r="AB243" s="1">
        <f t="shared" si="178"/>
        <v>0</v>
      </c>
      <c r="AD243" s="1">
        <f t="shared" si="179"/>
        <v>0</v>
      </c>
      <c r="AE243" s="1">
        <f t="shared" si="180"/>
        <v>0</v>
      </c>
      <c r="AF243" s="1">
        <f t="shared" si="165"/>
        <v>0</v>
      </c>
      <c r="AG243" s="1">
        <f t="shared" si="166"/>
        <v>0</v>
      </c>
      <c r="AH243" s="1">
        <f t="shared" si="167"/>
        <v>0</v>
      </c>
      <c r="AI243" s="1">
        <f t="shared" si="168"/>
        <v>1</v>
      </c>
    </row>
    <row r="244" spans="1:35" ht="14.25" customHeight="1" x14ac:dyDescent="0.3">
      <c r="A244" s="31">
        <v>0</v>
      </c>
      <c r="B244" s="31">
        <v>1</v>
      </c>
      <c r="C244" s="31">
        <v>6</v>
      </c>
      <c r="D244" s="32" t="s">
        <v>99</v>
      </c>
      <c r="E244" s="32" t="s">
        <v>166</v>
      </c>
      <c r="F244" s="32" t="s">
        <v>659</v>
      </c>
      <c r="G244" s="32" t="s">
        <v>661</v>
      </c>
      <c r="H244" s="32" t="s">
        <v>352</v>
      </c>
      <c r="I244" s="31" t="s">
        <v>444</v>
      </c>
      <c r="J244" s="31">
        <v>99</v>
      </c>
      <c r="K244" s="33" t="s">
        <v>719</v>
      </c>
      <c r="L244" s="33" t="s">
        <v>693</v>
      </c>
      <c r="M244" s="34" t="s">
        <v>704</v>
      </c>
      <c r="N244" s="34" t="s">
        <v>1746</v>
      </c>
      <c r="O244" s="35">
        <v>1</v>
      </c>
      <c r="P244" s="35"/>
      <c r="Q244" s="32"/>
      <c r="S244" s="1">
        <f t="shared" si="169"/>
        <v>0</v>
      </c>
      <c r="T244" s="1">
        <f t="shared" si="170"/>
        <v>0</v>
      </c>
      <c r="U244" s="1">
        <f t="shared" si="171"/>
        <v>0</v>
      </c>
      <c r="V244" s="1">
        <f t="shared" si="172"/>
        <v>0</v>
      </c>
      <c r="W244" s="1">
        <f t="shared" si="173"/>
        <v>0</v>
      </c>
      <c r="X244" s="1">
        <f t="shared" si="174"/>
        <v>0</v>
      </c>
      <c r="Y244" s="1">
        <f t="shared" si="175"/>
        <v>0</v>
      </c>
      <c r="Z244" s="1">
        <f t="shared" si="176"/>
        <v>0</v>
      </c>
      <c r="AA244" s="1">
        <f t="shared" si="177"/>
        <v>0</v>
      </c>
      <c r="AB244" s="1">
        <f t="shared" si="178"/>
        <v>0</v>
      </c>
      <c r="AD244" s="1">
        <f t="shared" si="179"/>
        <v>0</v>
      </c>
      <c r="AE244" s="1">
        <f t="shared" si="180"/>
        <v>1</v>
      </c>
      <c r="AF244" s="1">
        <f t="shared" si="165"/>
        <v>0</v>
      </c>
      <c r="AG244" s="1">
        <f t="shared" si="166"/>
        <v>1</v>
      </c>
      <c r="AH244" s="1">
        <f t="shared" si="167"/>
        <v>0</v>
      </c>
      <c r="AI244" s="1">
        <f t="shared" si="168"/>
        <v>1</v>
      </c>
    </row>
    <row r="245" spans="1:35" ht="14.25" customHeight="1" x14ac:dyDescent="0.3">
      <c r="A245" s="38">
        <v>0</v>
      </c>
      <c r="B245" s="38">
        <v>1</v>
      </c>
      <c r="C245" s="38">
        <v>7</v>
      </c>
      <c r="D245" s="39" t="s">
        <v>86</v>
      </c>
      <c r="E245" s="39" t="s">
        <v>29</v>
      </c>
      <c r="F245" s="39" t="s">
        <v>660</v>
      </c>
      <c r="G245" s="39" t="s">
        <v>661</v>
      </c>
      <c r="H245" s="39" t="s">
        <v>352</v>
      </c>
      <c r="I245" s="38" t="s">
        <v>628</v>
      </c>
      <c r="J245" s="38">
        <v>99</v>
      </c>
      <c r="K245" s="40" t="s">
        <v>951</v>
      </c>
      <c r="L245" s="40" t="s">
        <v>690</v>
      </c>
      <c r="M245" s="41" t="s">
        <v>1402</v>
      </c>
      <c r="N245" s="42"/>
      <c r="O245" s="43"/>
      <c r="P245" s="43">
        <v>1</v>
      </c>
      <c r="Q245" s="39"/>
      <c r="S245" s="1">
        <f t="shared" si="169"/>
        <v>0</v>
      </c>
      <c r="T245" s="1">
        <f t="shared" si="170"/>
        <v>0</v>
      </c>
      <c r="U245" s="1">
        <f t="shared" si="171"/>
        <v>0</v>
      </c>
      <c r="V245" s="1">
        <f t="shared" si="172"/>
        <v>0</v>
      </c>
      <c r="W245" s="1">
        <f t="shared" si="173"/>
        <v>0</v>
      </c>
      <c r="X245" s="1">
        <f t="shared" si="174"/>
        <v>0</v>
      </c>
      <c r="Y245" s="1">
        <f t="shared" si="175"/>
        <v>0</v>
      </c>
      <c r="Z245" s="1">
        <f t="shared" si="176"/>
        <v>0</v>
      </c>
      <c r="AA245" s="1">
        <f t="shared" si="177"/>
        <v>0</v>
      </c>
      <c r="AB245" s="1">
        <f t="shared" si="178"/>
        <v>0</v>
      </c>
      <c r="AD245" s="1">
        <f t="shared" si="179"/>
        <v>0</v>
      </c>
      <c r="AE245" s="1">
        <f t="shared" si="180"/>
        <v>0</v>
      </c>
      <c r="AF245" s="1">
        <f t="shared" si="165"/>
        <v>0</v>
      </c>
      <c r="AG245" s="1">
        <f t="shared" si="166"/>
        <v>0</v>
      </c>
      <c r="AH245" s="1">
        <f t="shared" si="167"/>
        <v>1</v>
      </c>
      <c r="AI245" s="1">
        <f t="shared" si="168"/>
        <v>0</v>
      </c>
    </row>
    <row r="246" spans="1:35" ht="14.25" customHeight="1" x14ac:dyDescent="0.3">
      <c r="A246" s="31">
        <v>0</v>
      </c>
      <c r="B246" s="31">
        <v>1</v>
      </c>
      <c r="C246" s="31">
        <v>7</v>
      </c>
      <c r="D246" s="32" t="s">
        <v>647</v>
      </c>
      <c r="E246" s="32" t="s">
        <v>29</v>
      </c>
      <c r="F246" s="32" t="s">
        <v>623</v>
      </c>
      <c r="G246" s="32" t="s">
        <v>231</v>
      </c>
      <c r="H246" s="32" t="s">
        <v>352</v>
      </c>
      <c r="I246" s="31" t="s">
        <v>624</v>
      </c>
      <c r="J246" s="31">
        <v>99</v>
      </c>
      <c r="K246" s="33" t="s">
        <v>710</v>
      </c>
      <c r="L246" s="33" t="s">
        <v>693</v>
      </c>
      <c r="M246" s="34" t="s">
        <v>970</v>
      </c>
      <c r="N246" s="34" t="s">
        <v>1846</v>
      </c>
      <c r="O246" s="35">
        <v>1</v>
      </c>
      <c r="P246" s="35"/>
      <c r="Q246" s="32"/>
      <c r="S246" s="1">
        <f t="shared" si="169"/>
        <v>0</v>
      </c>
      <c r="T246" s="1">
        <f t="shared" si="170"/>
        <v>0</v>
      </c>
      <c r="U246" s="1">
        <f t="shared" si="171"/>
        <v>0</v>
      </c>
      <c r="V246" s="1">
        <f t="shared" si="172"/>
        <v>0</v>
      </c>
      <c r="W246" s="1">
        <f t="shared" si="173"/>
        <v>0</v>
      </c>
      <c r="X246" s="1">
        <f t="shared" si="174"/>
        <v>0</v>
      </c>
      <c r="Y246" s="1">
        <f t="shared" si="175"/>
        <v>0</v>
      </c>
      <c r="Z246" s="1">
        <f t="shared" si="176"/>
        <v>0</v>
      </c>
      <c r="AA246" s="1">
        <f t="shared" si="177"/>
        <v>0</v>
      </c>
      <c r="AB246" s="1">
        <f t="shared" si="178"/>
        <v>0</v>
      </c>
      <c r="AD246" s="1">
        <f t="shared" si="179"/>
        <v>0</v>
      </c>
      <c r="AE246" s="1">
        <f t="shared" si="180"/>
        <v>1</v>
      </c>
      <c r="AF246" s="1">
        <f t="shared" si="165"/>
        <v>0</v>
      </c>
      <c r="AG246" s="1">
        <f t="shared" si="166"/>
        <v>1</v>
      </c>
      <c r="AH246" s="1">
        <f t="shared" si="167"/>
        <v>0</v>
      </c>
      <c r="AI246" s="1">
        <f t="shared" si="168"/>
        <v>1</v>
      </c>
    </row>
    <row r="247" spans="1:35" ht="14.25" customHeight="1" x14ac:dyDescent="0.3">
      <c r="A247" s="15">
        <v>0</v>
      </c>
      <c r="B247" s="15">
        <v>1</v>
      </c>
      <c r="C247" s="15">
        <v>7</v>
      </c>
      <c r="D247" s="16" t="s">
        <v>980</v>
      </c>
      <c r="E247" s="16" t="s">
        <v>29</v>
      </c>
      <c r="F247" s="16" t="s">
        <v>981</v>
      </c>
      <c r="G247" s="16" t="s">
        <v>982</v>
      </c>
      <c r="H247" s="16" t="s">
        <v>352</v>
      </c>
      <c r="I247" s="15" t="s">
        <v>979</v>
      </c>
      <c r="J247" s="15">
        <v>99</v>
      </c>
      <c r="K247" s="10" t="s">
        <v>700</v>
      </c>
      <c r="L247" s="10">
        <v>20</v>
      </c>
      <c r="M247" s="19" t="s">
        <v>970</v>
      </c>
      <c r="N247" s="19"/>
      <c r="Q247" s="16"/>
      <c r="S247" s="1">
        <f t="shared" si="169"/>
        <v>0</v>
      </c>
      <c r="T247" s="1">
        <f t="shared" si="170"/>
        <v>0</v>
      </c>
      <c r="U247" s="1">
        <f t="shared" si="171"/>
        <v>0</v>
      </c>
      <c r="V247" s="1">
        <f t="shared" si="172"/>
        <v>0</v>
      </c>
      <c r="W247" s="1">
        <f t="shared" si="173"/>
        <v>0</v>
      </c>
      <c r="X247" s="1">
        <f t="shared" si="174"/>
        <v>0</v>
      </c>
      <c r="Y247" s="1">
        <f t="shared" si="175"/>
        <v>0</v>
      </c>
      <c r="Z247" s="1">
        <f t="shared" si="176"/>
        <v>0</v>
      </c>
      <c r="AA247" s="1">
        <f t="shared" si="177"/>
        <v>0</v>
      </c>
      <c r="AB247" s="1">
        <f t="shared" si="178"/>
        <v>0</v>
      </c>
      <c r="AD247" s="1">
        <f t="shared" si="179"/>
        <v>0</v>
      </c>
      <c r="AE247" s="1">
        <f t="shared" si="180"/>
        <v>0</v>
      </c>
      <c r="AF247" s="1">
        <f t="shared" si="165"/>
        <v>0</v>
      </c>
      <c r="AG247" s="1">
        <f t="shared" si="166"/>
        <v>0</v>
      </c>
      <c r="AH247" s="1">
        <f t="shared" si="167"/>
        <v>0</v>
      </c>
      <c r="AI247" s="1">
        <f t="shared" si="168"/>
        <v>1</v>
      </c>
    </row>
    <row r="248" spans="1:35" ht="14.25" customHeight="1" x14ac:dyDescent="0.3">
      <c r="A248" s="38">
        <v>0</v>
      </c>
      <c r="B248" s="38">
        <v>1</v>
      </c>
      <c r="C248" s="38">
        <v>7</v>
      </c>
      <c r="D248" s="39" t="s">
        <v>588</v>
      </c>
      <c r="E248" s="39" t="s">
        <v>29</v>
      </c>
      <c r="F248" s="39" t="s">
        <v>589</v>
      </c>
      <c r="G248" s="39" t="s">
        <v>1070</v>
      </c>
      <c r="H248" s="39" t="s">
        <v>352</v>
      </c>
      <c r="I248" s="38" t="s">
        <v>590</v>
      </c>
      <c r="J248" s="38">
        <v>99</v>
      </c>
      <c r="K248" s="40" t="s">
        <v>700</v>
      </c>
      <c r="L248" s="40">
        <v>35</v>
      </c>
      <c r="M248" s="41" t="s">
        <v>1402</v>
      </c>
      <c r="N248" s="41"/>
      <c r="O248" s="43"/>
      <c r="P248" s="43">
        <v>1</v>
      </c>
      <c r="Q248" s="39"/>
      <c r="S248" s="1">
        <f t="shared" si="169"/>
        <v>0</v>
      </c>
      <c r="T248" s="1">
        <f t="shared" si="170"/>
        <v>0</v>
      </c>
      <c r="U248" s="1">
        <f t="shared" si="171"/>
        <v>0</v>
      </c>
      <c r="V248" s="1">
        <f t="shared" si="172"/>
        <v>0</v>
      </c>
      <c r="W248" s="1">
        <f t="shared" si="173"/>
        <v>0</v>
      </c>
      <c r="X248" s="1">
        <f t="shared" si="174"/>
        <v>0</v>
      </c>
      <c r="Y248" s="1">
        <f t="shared" si="175"/>
        <v>0</v>
      </c>
      <c r="Z248" s="1">
        <f t="shared" si="176"/>
        <v>0</v>
      </c>
      <c r="AA248" s="1">
        <f t="shared" si="177"/>
        <v>0</v>
      </c>
      <c r="AB248" s="1">
        <f t="shared" si="178"/>
        <v>0</v>
      </c>
      <c r="AD248" s="1">
        <f t="shared" si="179"/>
        <v>0</v>
      </c>
      <c r="AE248" s="1">
        <f t="shared" si="180"/>
        <v>0</v>
      </c>
      <c r="AF248" s="1">
        <f t="shared" si="165"/>
        <v>0</v>
      </c>
      <c r="AG248" s="1">
        <f t="shared" si="166"/>
        <v>0</v>
      </c>
      <c r="AH248" s="1">
        <f t="shared" si="167"/>
        <v>1</v>
      </c>
      <c r="AI248" s="1">
        <f t="shared" si="168"/>
        <v>0</v>
      </c>
    </row>
    <row r="249" spans="1:35" ht="14.25" customHeight="1" x14ac:dyDescent="0.3">
      <c r="A249" s="31">
        <v>0</v>
      </c>
      <c r="B249" s="31">
        <v>1</v>
      </c>
      <c r="C249" s="31">
        <v>7</v>
      </c>
      <c r="D249" s="32" t="s">
        <v>1624</v>
      </c>
      <c r="E249" s="32" t="s">
        <v>29</v>
      </c>
      <c r="F249" s="32" t="s">
        <v>1679</v>
      </c>
      <c r="G249" s="32" t="s">
        <v>310</v>
      </c>
      <c r="H249" s="32" t="s">
        <v>352</v>
      </c>
      <c r="I249" s="31" t="s">
        <v>1625</v>
      </c>
      <c r="J249" s="31"/>
      <c r="K249" s="33" t="s">
        <v>710</v>
      </c>
      <c r="L249" s="33">
        <v>45</v>
      </c>
      <c r="M249" s="34" t="s">
        <v>1797</v>
      </c>
      <c r="N249" s="34" t="s">
        <v>1730</v>
      </c>
      <c r="O249" s="35">
        <v>1</v>
      </c>
      <c r="P249" s="35">
        <v>1</v>
      </c>
      <c r="Q249" s="32"/>
      <c r="S249" s="1">
        <f t="shared" si="169"/>
        <v>0</v>
      </c>
      <c r="T249" s="1">
        <f t="shared" si="170"/>
        <v>0</v>
      </c>
      <c r="U249" s="1">
        <f t="shared" si="171"/>
        <v>0</v>
      </c>
      <c r="V249" s="1">
        <f t="shared" si="172"/>
        <v>0</v>
      </c>
      <c r="W249" s="1">
        <f t="shared" si="173"/>
        <v>0</v>
      </c>
      <c r="X249" s="1">
        <f t="shared" si="174"/>
        <v>0</v>
      </c>
      <c r="Y249" s="1">
        <f t="shared" si="175"/>
        <v>0</v>
      </c>
      <c r="Z249" s="1">
        <f t="shared" si="176"/>
        <v>0</v>
      </c>
      <c r="AA249" s="1">
        <f t="shared" si="177"/>
        <v>0</v>
      </c>
      <c r="AB249" s="1">
        <f t="shared" si="178"/>
        <v>0</v>
      </c>
      <c r="AD249" s="1">
        <f t="shared" si="179"/>
        <v>1</v>
      </c>
      <c r="AE249" s="1">
        <f t="shared" si="180"/>
        <v>0</v>
      </c>
      <c r="AF249" s="1">
        <f t="shared" si="165"/>
        <v>1</v>
      </c>
      <c r="AG249" s="1">
        <f t="shared" si="166"/>
        <v>0</v>
      </c>
      <c r="AH249" s="1">
        <f t="shared" si="167"/>
        <v>1</v>
      </c>
      <c r="AI249" s="1">
        <f t="shared" si="168"/>
        <v>0</v>
      </c>
    </row>
    <row r="250" spans="1:35" ht="14.25" customHeight="1" x14ac:dyDescent="0.3">
      <c r="A250" s="31">
        <v>0</v>
      </c>
      <c r="B250" s="31">
        <v>1</v>
      </c>
      <c r="C250" s="31">
        <v>7</v>
      </c>
      <c r="D250" s="32" t="s">
        <v>856</v>
      </c>
      <c r="E250" s="32" t="s">
        <v>29</v>
      </c>
      <c r="F250" s="32" t="s">
        <v>857</v>
      </c>
      <c r="G250" s="32" t="s">
        <v>201</v>
      </c>
      <c r="H250" s="32" t="s">
        <v>352</v>
      </c>
      <c r="I250" s="31" t="s">
        <v>858</v>
      </c>
      <c r="J250" s="31">
        <v>10</v>
      </c>
      <c r="K250" s="33" t="s">
        <v>710</v>
      </c>
      <c r="L250" s="33" t="s">
        <v>690</v>
      </c>
      <c r="M250" s="34" t="s">
        <v>1402</v>
      </c>
      <c r="N250" s="34" t="s">
        <v>1752</v>
      </c>
      <c r="O250" s="35">
        <v>1</v>
      </c>
      <c r="P250" s="35"/>
      <c r="Q250" s="32"/>
      <c r="S250" s="1">
        <f t="shared" si="169"/>
        <v>0</v>
      </c>
      <c r="T250" s="1">
        <f t="shared" si="170"/>
        <v>0</v>
      </c>
      <c r="U250" s="1">
        <f t="shared" si="171"/>
        <v>0</v>
      </c>
      <c r="V250" s="1">
        <f t="shared" si="172"/>
        <v>0</v>
      </c>
      <c r="W250" s="1">
        <f t="shared" si="173"/>
        <v>0</v>
      </c>
      <c r="X250" s="1">
        <f t="shared" si="174"/>
        <v>0</v>
      </c>
      <c r="Y250" s="1">
        <f t="shared" si="175"/>
        <v>0</v>
      </c>
      <c r="Z250" s="1">
        <f t="shared" si="176"/>
        <v>0</v>
      </c>
      <c r="AA250" s="1">
        <f t="shared" si="177"/>
        <v>0</v>
      </c>
      <c r="AB250" s="1">
        <f t="shared" si="178"/>
        <v>1</v>
      </c>
      <c r="AD250" s="1">
        <f t="shared" si="179"/>
        <v>0</v>
      </c>
      <c r="AE250" s="1">
        <f t="shared" si="180"/>
        <v>1</v>
      </c>
      <c r="AF250" s="1">
        <f t="shared" si="165"/>
        <v>0</v>
      </c>
      <c r="AG250" s="1">
        <f t="shared" si="166"/>
        <v>1</v>
      </c>
      <c r="AH250" s="1">
        <f t="shared" si="167"/>
        <v>0</v>
      </c>
      <c r="AI250" s="1">
        <f t="shared" si="168"/>
        <v>1</v>
      </c>
    </row>
    <row r="251" spans="1:35" ht="14.25" customHeight="1" x14ac:dyDescent="0.3">
      <c r="A251" s="31">
        <v>0</v>
      </c>
      <c r="B251" s="31">
        <v>1</v>
      </c>
      <c r="C251" s="31">
        <v>7</v>
      </c>
      <c r="D251" s="32" t="s">
        <v>40</v>
      </c>
      <c r="E251" s="32" t="s">
        <v>29</v>
      </c>
      <c r="F251" s="32" t="s">
        <v>279</v>
      </c>
      <c r="G251" s="32" t="s">
        <v>229</v>
      </c>
      <c r="H251" s="32" t="s">
        <v>352</v>
      </c>
      <c r="I251" s="31" t="s">
        <v>433</v>
      </c>
      <c r="J251" s="31">
        <v>7</v>
      </c>
      <c r="K251" s="33" t="s">
        <v>710</v>
      </c>
      <c r="L251" s="33" t="s">
        <v>693</v>
      </c>
      <c r="M251" s="34" t="s">
        <v>970</v>
      </c>
      <c r="N251" s="34" t="s">
        <v>1724</v>
      </c>
      <c r="O251" s="35">
        <v>1</v>
      </c>
      <c r="P251" s="35">
        <v>1</v>
      </c>
      <c r="Q251" s="32"/>
      <c r="S251" s="1">
        <f t="shared" si="169"/>
        <v>0</v>
      </c>
      <c r="T251" s="1">
        <f t="shared" si="170"/>
        <v>0</v>
      </c>
      <c r="U251" s="1">
        <f t="shared" si="171"/>
        <v>0</v>
      </c>
      <c r="V251" s="1">
        <f t="shared" si="172"/>
        <v>0</v>
      </c>
      <c r="W251" s="1">
        <f t="shared" si="173"/>
        <v>0</v>
      </c>
      <c r="X251" s="1">
        <f t="shared" si="174"/>
        <v>0</v>
      </c>
      <c r="Y251" s="1">
        <f t="shared" si="175"/>
        <v>1</v>
      </c>
      <c r="Z251" s="1">
        <f t="shared" si="176"/>
        <v>0</v>
      </c>
      <c r="AA251" s="1">
        <f t="shared" si="177"/>
        <v>0</v>
      </c>
      <c r="AB251" s="1">
        <f t="shared" si="178"/>
        <v>0</v>
      </c>
      <c r="AD251" s="1">
        <f t="shared" si="179"/>
        <v>1</v>
      </c>
      <c r="AE251" s="1">
        <f t="shared" si="180"/>
        <v>0</v>
      </c>
      <c r="AF251" s="1">
        <f t="shared" si="165"/>
        <v>1</v>
      </c>
      <c r="AG251" s="1">
        <f t="shared" si="166"/>
        <v>0</v>
      </c>
      <c r="AH251" s="1">
        <f t="shared" si="167"/>
        <v>1</v>
      </c>
      <c r="AI251" s="1">
        <f t="shared" si="168"/>
        <v>0</v>
      </c>
    </row>
    <row r="252" spans="1:35" ht="14.25" customHeight="1" x14ac:dyDescent="0.3">
      <c r="A252" s="31">
        <v>1</v>
      </c>
      <c r="B252" s="31">
        <v>1</v>
      </c>
      <c r="C252" s="31">
        <v>7</v>
      </c>
      <c r="D252" s="32" t="s">
        <v>40</v>
      </c>
      <c r="E252" s="32" t="s">
        <v>29</v>
      </c>
      <c r="F252" s="32" t="s">
        <v>1598</v>
      </c>
      <c r="G252" s="32" t="s">
        <v>39</v>
      </c>
      <c r="H252" s="32" t="s">
        <v>352</v>
      </c>
      <c r="I252" s="31" t="s">
        <v>1599</v>
      </c>
      <c r="J252" s="31">
        <v>99</v>
      </c>
      <c r="K252" s="33" t="s">
        <v>710</v>
      </c>
      <c r="L252" s="33" t="s">
        <v>693</v>
      </c>
      <c r="M252" s="34" t="s">
        <v>970</v>
      </c>
      <c r="N252" s="34" t="s">
        <v>1724</v>
      </c>
      <c r="O252" s="35">
        <v>1</v>
      </c>
      <c r="P252" s="35">
        <v>1</v>
      </c>
      <c r="Q252" s="32"/>
      <c r="S252" s="1">
        <f t="shared" si="169"/>
        <v>0</v>
      </c>
      <c r="T252" s="1">
        <f t="shared" si="170"/>
        <v>0</v>
      </c>
      <c r="U252" s="1">
        <f t="shared" si="171"/>
        <v>0</v>
      </c>
      <c r="V252" s="1">
        <f t="shared" si="172"/>
        <v>0</v>
      </c>
      <c r="W252" s="1">
        <f t="shared" si="173"/>
        <v>0</v>
      </c>
      <c r="X252" s="1">
        <f t="shared" si="174"/>
        <v>0</v>
      </c>
      <c r="Y252" s="1">
        <f t="shared" si="175"/>
        <v>0</v>
      </c>
      <c r="Z252" s="1">
        <f t="shared" si="176"/>
        <v>0</v>
      </c>
      <c r="AA252" s="1">
        <f t="shared" si="177"/>
        <v>0</v>
      </c>
      <c r="AB252" s="1">
        <f t="shared" si="178"/>
        <v>0</v>
      </c>
      <c r="AD252" s="1">
        <f t="shared" si="179"/>
        <v>1</v>
      </c>
      <c r="AE252" s="1">
        <f t="shared" si="180"/>
        <v>0</v>
      </c>
      <c r="AF252" s="1">
        <f t="shared" si="165"/>
        <v>0</v>
      </c>
      <c r="AG252" s="1">
        <f t="shared" si="166"/>
        <v>0</v>
      </c>
      <c r="AH252" s="1">
        <f t="shared" si="167"/>
        <v>0</v>
      </c>
      <c r="AI252" s="1">
        <f t="shared" si="168"/>
        <v>0</v>
      </c>
    </row>
    <row r="253" spans="1:35" ht="14.25" customHeight="1" x14ac:dyDescent="0.3">
      <c r="A253" s="49">
        <v>0</v>
      </c>
      <c r="B253" s="49">
        <v>1</v>
      </c>
      <c r="C253" s="49">
        <v>7</v>
      </c>
      <c r="D253" s="55" t="s">
        <v>1481</v>
      </c>
      <c r="E253" s="50" t="s">
        <v>29</v>
      </c>
      <c r="F253" s="55" t="s">
        <v>1001</v>
      </c>
      <c r="G253" s="55" t="s">
        <v>1099</v>
      </c>
      <c r="H253" s="55" t="s">
        <v>352</v>
      </c>
      <c r="I253" s="63" t="s">
        <v>1107</v>
      </c>
      <c r="J253" s="49">
        <v>10</v>
      </c>
      <c r="K253" s="51" t="s">
        <v>710</v>
      </c>
      <c r="L253" s="51" t="s">
        <v>691</v>
      </c>
      <c r="M253" s="52" t="s">
        <v>970</v>
      </c>
      <c r="N253" s="52" t="s">
        <v>1740</v>
      </c>
      <c r="O253" s="53">
        <v>1</v>
      </c>
      <c r="P253" s="53"/>
      <c r="Q253" s="55"/>
      <c r="S253" s="1">
        <f t="shared" si="169"/>
        <v>0</v>
      </c>
      <c r="T253" s="1">
        <f t="shared" si="170"/>
        <v>0</v>
      </c>
      <c r="U253" s="1">
        <f t="shared" si="171"/>
        <v>0</v>
      </c>
      <c r="V253" s="1">
        <f t="shared" si="172"/>
        <v>0</v>
      </c>
      <c r="W253" s="1">
        <f t="shared" si="173"/>
        <v>0</v>
      </c>
      <c r="X253" s="1">
        <f t="shared" si="174"/>
        <v>0</v>
      </c>
      <c r="Y253" s="1">
        <f t="shared" si="175"/>
        <v>0</v>
      </c>
      <c r="Z253" s="1">
        <f t="shared" si="176"/>
        <v>0</v>
      </c>
      <c r="AA253" s="1">
        <f t="shared" si="177"/>
        <v>0</v>
      </c>
      <c r="AB253" s="1">
        <f t="shared" si="178"/>
        <v>1</v>
      </c>
      <c r="AD253" s="1">
        <f t="shared" si="179"/>
        <v>0</v>
      </c>
      <c r="AE253" s="1">
        <f t="shared" si="180"/>
        <v>1</v>
      </c>
      <c r="AF253" s="1">
        <f t="shared" si="165"/>
        <v>0</v>
      </c>
      <c r="AG253" s="1">
        <f t="shared" si="166"/>
        <v>1</v>
      </c>
      <c r="AH253" s="1">
        <f t="shared" si="167"/>
        <v>0</v>
      </c>
      <c r="AI253" s="1">
        <f t="shared" si="168"/>
        <v>1</v>
      </c>
    </row>
    <row r="254" spans="1:35" ht="14.25" customHeight="1" x14ac:dyDescent="0.3">
      <c r="A254" s="31">
        <v>0</v>
      </c>
      <c r="B254" s="31">
        <v>1</v>
      </c>
      <c r="C254" s="31">
        <v>7</v>
      </c>
      <c r="D254" s="36" t="s">
        <v>1482</v>
      </c>
      <c r="E254" s="32" t="s">
        <v>29</v>
      </c>
      <c r="F254" s="36" t="s">
        <v>999</v>
      </c>
      <c r="G254" s="36" t="s">
        <v>239</v>
      </c>
      <c r="H254" s="36" t="s">
        <v>352</v>
      </c>
      <c r="I254" s="37" t="s">
        <v>1000</v>
      </c>
      <c r="J254" s="31">
        <v>1</v>
      </c>
      <c r="K254" s="33" t="s">
        <v>958</v>
      </c>
      <c r="L254" s="33" t="s">
        <v>691</v>
      </c>
      <c r="M254" s="34" t="s">
        <v>970</v>
      </c>
      <c r="N254" s="34" t="s">
        <v>1798</v>
      </c>
      <c r="O254" s="35">
        <v>1</v>
      </c>
      <c r="P254" s="35"/>
      <c r="Q254" s="36"/>
      <c r="S254" s="1">
        <f t="shared" si="169"/>
        <v>1</v>
      </c>
      <c r="T254" s="1">
        <f t="shared" si="170"/>
        <v>0</v>
      </c>
      <c r="U254" s="1">
        <f t="shared" si="171"/>
        <v>0</v>
      </c>
      <c r="V254" s="1">
        <f t="shared" si="172"/>
        <v>0</v>
      </c>
      <c r="W254" s="1">
        <f t="shared" si="173"/>
        <v>0</v>
      </c>
      <c r="X254" s="1">
        <f t="shared" si="174"/>
        <v>0</v>
      </c>
      <c r="Y254" s="1">
        <f t="shared" si="175"/>
        <v>0</v>
      </c>
      <c r="Z254" s="1">
        <f t="shared" si="176"/>
        <v>0</v>
      </c>
      <c r="AA254" s="1">
        <f t="shared" si="177"/>
        <v>0</v>
      </c>
      <c r="AB254" s="1">
        <f t="shared" si="178"/>
        <v>0</v>
      </c>
      <c r="AD254" s="1">
        <f t="shared" si="179"/>
        <v>0</v>
      </c>
      <c r="AE254" s="1">
        <f t="shared" si="180"/>
        <v>1</v>
      </c>
      <c r="AF254" s="1">
        <f t="shared" si="165"/>
        <v>0</v>
      </c>
      <c r="AG254" s="1">
        <f t="shared" si="166"/>
        <v>1</v>
      </c>
      <c r="AH254" s="1">
        <f t="shared" si="167"/>
        <v>0</v>
      </c>
      <c r="AI254" s="1">
        <f t="shared" si="168"/>
        <v>1</v>
      </c>
    </row>
    <row r="255" spans="1:35" ht="14.25" customHeight="1" x14ac:dyDescent="0.3">
      <c r="A255" s="44">
        <v>0</v>
      </c>
      <c r="B255" s="44">
        <v>1</v>
      </c>
      <c r="C255" s="44">
        <v>7</v>
      </c>
      <c r="D255" s="45" t="s">
        <v>895</v>
      </c>
      <c r="E255" s="45" t="s">
        <v>29</v>
      </c>
      <c r="F255" s="45" t="s">
        <v>896</v>
      </c>
      <c r="G255" s="45" t="s">
        <v>39</v>
      </c>
      <c r="H255" s="45" t="s">
        <v>353</v>
      </c>
      <c r="I255" s="44" t="s">
        <v>897</v>
      </c>
      <c r="J255" s="44">
        <v>11</v>
      </c>
      <c r="K255" s="46" t="s">
        <v>700</v>
      </c>
      <c r="L255" s="46">
        <v>35</v>
      </c>
      <c r="M255" s="47" t="s">
        <v>1402</v>
      </c>
      <c r="N255" s="47" t="s">
        <v>1744</v>
      </c>
      <c r="O255" s="48"/>
      <c r="P255" s="48"/>
      <c r="Q255" s="65" t="s">
        <v>1900</v>
      </c>
      <c r="S255" s="1">
        <f t="shared" si="169"/>
        <v>0</v>
      </c>
      <c r="T255" s="1">
        <f t="shared" si="170"/>
        <v>0</v>
      </c>
      <c r="U255" s="1">
        <f t="shared" si="171"/>
        <v>0</v>
      </c>
      <c r="V255" s="1">
        <f t="shared" si="172"/>
        <v>0</v>
      </c>
      <c r="W255" s="1">
        <f t="shared" si="173"/>
        <v>0</v>
      </c>
      <c r="X255" s="1">
        <f t="shared" si="174"/>
        <v>0</v>
      </c>
      <c r="Y255" s="1">
        <f t="shared" si="175"/>
        <v>0</v>
      </c>
      <c r="Z255" s="1">
        <f t="shared" si="176"/>
        <v>0</v>
      </c>
      <c r="AA255" s="1">
        <f t="shared" si="177"/>
        <v>0</v>
      </c>
      <c r="AB255" s="1">
        <f t="shared" si="178"/>
        <v>0</v>
      </c>
      <c r="AD255" s="1">
        <f t="shared" si="179"/>
        <v>0</v>
      </c>
      <c r="AE255" s="1">
        <f t="shared" si="180"/>
        <v>0</v>
      </c>
      <c r="AF255" s="1">
        <f t="shared" si="165"/>
        <v>0</v>
      </c>
      <c r="AG255" s="1">
        <f t="shared" si="166"/>
        <v>0</v>
      </c>
      <c r="AH255" s="1">
        <f t="shared" si="167"/>
        <v>0</v>
      </c>
      <c r="AI255" s="1">
        <f t="shared" si="168"/>
        <v>1</v>
      </c>
    </row>
    <row r="256" spans="1:35" ht="14.25" customHeight="1" x14ac:dyDescent="0.3">
      <c r="A256" s="31">
        <v>0</v>
      </c>
      <c r="B256" s="31">
        <v>1</v>
      </c>
      <c r="C256" s="31">
        <v>7</v>
      </c>
      <c r="D256" s="36" t="s">
        <v>1081</v>
      </c>
      <c r="E256" s="32" t="s">
        <v>29</v>
      </c>
      <c r="F256" s="36" t="s">
        <v>983</v>
      </c>
      <c r="G256" s="36" t="s">
        <v>202</v>
      </c>
      <c r="H256" s="36" t="s">
        <v>352</v>
      </c>
      <c r="I256" s="37" t="s">
        <v>984</v>
      </c>
      <c r="J256" s="31">
        <v>99</v>
      </c>
      <c r="K256" s="33" t="s">
        <v>710</v>
      </c>
      <c r="L256" s="33" t="s">
        <v>691</v>
      </c>
      <c r="M256" s="34" t="s">
        <v>1439</v>
      </c>
      <c r="N256" s="34" t="s">
        <v>1724</v>
      </c>
      <c r="O256" s="35">
        <v>1</v>
      </c>
      <c r="P256" s="35">
        <v>1</v>
      </c>
      <c r="Q256" s="36"/>
      <c r="S256" s="1">
        <f t="shared" si="169"/>
        <v>0</v>
      </c>
      <c r="T256" s="1">
        <f t="shared" si="170"/>
        <v>0</v>
      </c>
      <c r="U256" s="1">
        <f t="shared" si="171"/>
        <v>0</v>
      </c>
      <c r="V256" s="1">
        <f t="shared" si="172"/>
        <v>0</v>
      </c>
      <c r="W256" s="1">
        <f t="shared" si="173"/>
        <v>0</v>
      </c>
      <c r="X256" s="1">
        <f t="shared" si="174"/>
        <v>0</v>
      </c>
      <c r="Y256" s="1">
        <f t="shared" si="175"/>
        <v>0</v>
      </c>
      <c r="Z256" s="1">
        <f t="shared" si="176"/>
        <v>0</v>
      </c>
      <c r="AA256" s="1">
        <f t="shared" si="177"/>
        <v>0</v>
      </c>
      <c r="AB256" s="1">
        <f t="shared" si="178"/>
        <v>0</v>
      </c>
      <c r="AD256" s="1">
        <f t="shared" si="179"/>
        <v>1</v>
      </c>
      <c r="AE256" s="1">
        <f t="shared" si="180"/>
        <v>0</v>
      </c>
      <c r="AF256" s="1">
        <f t="shared" si="165"/>
        <v>1</v>
      </c>
      <c r="AG256" s="1">
        <f t="shared" si="166"/>
        <v>0</v>
      </c>
      <c r="AH256" s="1">
        <f t="shared" si="167"/>
        <v>1</v>
      </c>
      <c r="AI256" s="1">
        <f t="shared" si="168"/>
        <v>0</v>
      </c>
    </row>
    <row r="257" spans="1:35" ht="14.25" customHeight="1" x14ac:dyDescent="0.3">
      <c r="A257" s="15">
        <v>0</v>
      </c>
      <c r="B257" s="15">
        <v>1</v>
      </c>
      <c r="C257" s="15">
        <v>7</v>
      </c>
      <c r="D257" s="16" t="s">
        <v>748</v>
      </c>
      <c r="E257" s="16" t="s">
        <v>29</v>
      </c>
      <c r="F257" s="16" t="s">
        <v>749</v>
      </c>
      <c r="G257" s="16" t="s">
        <v>750</v>
      </c>
      <c r="H257" s="16" t="s">
        <v>352</v>
      </c>
      <c r="I257" s="15" t="s">
        <v>751</v>
      </c>
      <c r="J257" s="15">
        <v>99</v>
      </c>
      <c r="K257" s="10" t="s">
        <v>700</v>
      </c>
      <c r="L257" s="10">
        <v>20</v>
      </c>
      <c r="M257" s="19" t="s">
        <v>1117</v>
      </c>
      <c r="N257" s="17"/>
      <c r="Q257" s="16"/>
      <c r="S257" s="1">
        <f t="shared" si="169"/>
        <v>0</v>
      </c>
      <c r="T257" s="1">
        <f t="shared" si="170"/>
        <v>0</v>
      </c>
      <c r="U257" s="1">
        <f t="shared" si="171"/>
        <v>0</v>
      </c>
      <c r="V257" s="1">
        <f t="shared" si="172"/>
        <v>0</v>
      </c>
      <c r="W257" s="1">
        <f t="shared" si="173"/>
        <v>0</v>
      </c>
      <c r="X257" s="1">
        <f t="shared" si="174"/>
        <v>0</v>
      </c>
      <c r="Y257" s="1">
        <f t="shared" si="175"/>
        <v>0</v>
      </c>
      <c r="Z257" s="1">
        <f t="shared" si="176"/>
        <v>0</v>
      </c>
      <c r="AA257" s="1">
        <f t="shared" si="177"/>
        <v>0</v>
      </c>
      <c r="AB257" s="1">
        <f t="shared" si="178"/>
        <v>0</v>
      </c>
      <c r="AD257" s="1">
        <f t="shared" si="179"/>
        <v>0</v>
      </c>
      <c r="AE257" s="1">
        <f t="shared" si="180"/>
        <v>0</v>
      </c>
      <c r="AF257" s="1">
        <f t="shared" si="165"/>
        <v>0</v>
      </c>
      <c r="AG257" s="1">
        <f t="shared" si="166"/>
        <v>0</v>
      </c>
      <c r="AH257" s="1">
        <f t="shared" si="167"/>
        <v>0</v>
      </c>
      <c r="AI257" s="1">
        <f t="shared" si="168"/>
        <v>1</v>
      </c>
    </row>
    <row r="258" spans="1:35" ht="14.25" customHeight="1" x14ac:dyDescent="0.3">
      <c r="A258" s="31">
        <v>0</v>
      </c>
      <c r="B258" s="31">
        <v>1</v>
      </c>
      <c r="C258" s="31">
        <v>7</v>
      </c>
      <c r="D258" s="36" t="s">
        <v>825</v>
      </c>
      <c r="E258" s="32" t="s">
        <v>29</v>
      </c>
      <c r="F258" s="36" t="s">
        <v>826</v>
      </c>
      <c r="G258" s="36" t="s">
        <v>925</v>
      </c>
      <c r="H258" s="36" t="s">
        <v>352</v>
      </c>
      <c r="I258" s="37" t="s">
        <v>827</v>
      </c>
      <c r="J258" s="31">
        <v>99</v>
      </c>
      <c r="K258" s="33" t="s">
        <v>952</v>
      </c>
      <c r="L258" s="33" t="s">
        <v>691</v>
      </c>
      <c r="M258" s="34" t="s">
        <v>970</v>
      </c>
      <c r="N258" s="34" t="s">
        <v>1822</v>
      </c>
      <c r="O258" s="35">
        <v>1</v>
      </c>
      <c r="P258" s="35"/>
      <c r="Q258" s="36"/>
      <c r="S258" s="1">
        <f t="shared" si="169"/>
        <v>0</v>
      </c>
      <c r="T258" s="1">
        <f t="shared" si="170"/>
        <v>0</v>
      </c>
      <c r="U258" s="1">
        <f t="shared" si="171"/>
        <v>0</v>
      </c>
      <c r="V258" s="1">
        <f t="shared" si="172"/>
        <v>0</v>
      </c>
      <c r="W258" s="1">
        <f t="shared" si="173"/>
        <v>0</v>
      </c>
      <c r="X258" s="1">
        <f t="shared" si="174"/>
        <v>0</v>
      </c>
      <c r="Y258" s="1">
        <f t="shared" si="175"/>
        <v>0</v>
      </c>
      <c r="Z258" s="1">
        <f t="shared" si="176"/>
        <v>0</v>
      </c>
      <c r="AA258" s="1">
        <f t="shared" si="177"/>
        <v>0</v>
      </c>
      <c r="AB258" s="1">
        <f t="shared" si="178"/>
        <v>0</v>
      </c>
      <c r="AD258" s="1">
        <f t="shared" si="179"/>
        <v>0</v>
      </c>
      <c r="AE258" s="1">
        <f t="shared" si="180"/>
        <v>1</v>
      </c>
      <c r="AF258" s="1">
        <f t="shared" si="165"/>
        <v>0</v>
      </c>
      <c r="AG258" s="1">
        <f t="shared" si="166"/>
        <v>1</v>
      </c>
      <c r="AH258" s="1">
        <f t="shared" si="167"/>
        <v>0</v>
      </c>
      <c r="AI258" s="1">
        <f t="shared" si="168"/>
        <v>1</v>
      </c>
    </row>
    <row r="259" spans="1:35" ht="14.25" customHeight="1" x14ac:dyDescent="0.3">
      <c r="A259" s="31">
        <v>0</v>
      </c>
      <c r="B259" s="31">
        <v>1</v>
      </c>
      <c r="C259" s="31">
        <v>7</v>
      </c>
      <c r="D259" s="36" t="s">
        <v>1717</v>
      </c>
      <c r="E259" s="32" t="s">
        <v>29</v>
      </c>
      <c r="F259" s="36" t="s">
        <v>1718</v>
      </c>
      <c r="G259" s="36" t="s">
        <v>248</v>
      </c>
      <c r="H259" s="36" t="s">
        <v>352</v>
      </c>
      <c r="I259" s="37" t="s">
        <v>1719</v>
      </c>
      <c r="J259" s="31"/>
      <c r="K259" s="33" t="s">
        <v>700</v>
      </c>
      <c r="L259" s="33"/>
      <c r="M259" s="34"/>
      <c r="N259" s="34" t="s">
        <v>1724</v>
      </c>
      <c r="O259" s="35">
        <v>1</v>
      </c>
      <c r="P259" s="35">
        <v>1</v>
      </c>
      <c r="Q259" s="36"/>
      <c r="S259" s="1">
        <f t="shared" si="169"/>
        <v>0</v>
      </c>
      <c r="T259" s="1">
        <f t="shared" si="170"/>
        <v>0</v>
      </c>
      <c r="U259" s="1">
        <f t="shared" si="171"/>
        <v>0</v>
      </c>
      <c r="V259" s="1">
        <f t="shared" si="172"/>
        <v>0</v>
      </c>
      <c r="W259" s="1">
        <f t="shared" si="173"/>
        <v>0</v>
      </c>
      <c r="X259" s="1">
        <f t="shared" si="174"/>
        <v>0</v>
      </c>
      <c r="Y259" s="1">
        <f t="shared" si="175"/>
        <v>0</v>
      </c>
      <c r="Z259" s="1">
        <f t="shared" si="176"/>
        <v>0</v>
      </c>
      <c r="AA259" s="1">
        <f t="shared" si="177"/>
        <v>0</v>
      </c>
      <c r="AB259" s="1">
        <f t="shared" si="178"/>
        <v>0</v>
      </c>
      <c r="AD259" s="1">
        <f t="shared" si="179"/>
        <v>1</v>
      </c>
      <c r="AE259" s="1">
        <f t="shared" si="180"/>
        <v>0</v>
      </c>
      <c r="AF259" s="1">
        <f t="shared" si="165"/>
        <v>1</v>
      </c>
      <c r="AG259" s="1">
        <f t="shared" si="166"/>
        <v>0</v>
      </c>
      <c r="AH259" s="1">
        <f t="shared" si="167"/>
        <v>1</v>
      </c>
      <c r="AI259" s="1">
        <f t="shared" si="168"/>
        <v>0</v>
      </c>
    </row>
    <row r="260" spans="1:35" ht="14.25" customHeight="1" x14ac:dyDescent="0.3">
      <c r="A260" s="31">
        <v>0</v>
      </c>
      <c r="B260" s="31">
        <v>1</v>
      </c>
      <c r="C260" s="31">
        <v>7</v>
      </c>
      <c r="D260" s="32" t="s">
        <v>898</v>
      </c>
      <c r="E260" s="32" t="s">
        <v>29</v>
      </c>
      <c r="F260" s="32" t="s">
        <v>899</v>
      </c>
      <c r="G260" s="32" t="s">
        <v>227</v>
      </c>
      <c r="H260" s="32" t="s">
        <v>352</v>
      </c>
      <c r="I260" s="31" t="s">
        <v>900</v>
      </c>
      <c r="J260" s="31">
        <v>99</v>
      </c>
      <c r="K260" s="33" t="s">
        <v>710</v>
      </c>
      <c r="L260" s="33" t="s">
        <v>691</v>
      </c>
      <c r="M260" s="34" t="s">
        <v>1403</v>
      </c>
      <c r="N260" s="34" t="s">
        <v>1745</v>
      </c>
      <c r="O260" s="35">
        <v>1</v>
      </c>
      <c r="P260" s="35"/>
      <c r="Q260" s="32"/>
      <c r="S260" s="1">
        <f t="shared" si="169"/>
        <v>0</v>
      </c>
      <c r="T260" s="1">
        <f t="shared" si="170"/>
        <v>0</v>
      </c>
      <c r="U260" s="1">
        <f t="shared" si="171"/>
        <v>0</v>
      </c>
      <c r="V260" s="1">
        <f t="shared" si="172"/>
        <v>0</v>
      </c>
      <c r="W260" s="1">
        <f t="shared" si="173"/>
        <v>0</v>
      </c>
      <c r="X260" s="1">
        <f t="shared" si="174"/>
        <v>0</v>
      </c>
      <c r="Y260" s="1">
        <f t="shared" si="175"/>
        <v>0</v>
      </c>
      <c r="Z260" s="1">
        <f t="shared" si="176"/>
        <v>0</v>
      </c>
      <c r="AA260" s="1">
        <f t="shared" si="177"/>
        <v>0</v>
      </c>
      <c r="AB260" s="1">
        <f t="shared" si="178"/>
        <v>0</v>
      </c>
      <c r="AD260" s="1">
        <f t="shared" si="179"/>
        <v>0</v>
      </c>
      <c r="AE260" s="1">
        <f t="shared" si="180"/>
        <v>1</v>
      </c>
      <c r="AF260" s="1">
        <f t="shared" si="165"/>
        <v>0</v>
      </c>
      <c r="AG260" s="1">
        <f t="shared" si="166"/>
        <v>1</v>
      </c>
      <c r="AH260" s="1">
        <f t="shared" si="167"/>
        <v>0</v>
      </c>
      <c r="AI260" s="1">
        <f t="shared" si="168"/>
        <v>1</v>
      </c>
    </row>
    <row r="261" spans="1:35" s="1" customFormat="1" ht="14.25" customHeight="1" x14ac:dyDescent="0.3">
      <c r="A261" s="31">
        <v>0</v>
      </c>
      <c r="B261" s="31">
        <v>1</v>
      </c>
      <c r="C261" s="31">
        <v>7</v>
      </c>
      <c r="D261" s="32" t="s">
        <v>88</v>
      </c>
      <c r="E261" s="32" t="s">
        <v>29</v>
      </c>
      <c r="F261" s="32" t="s">
        <v>280</v>
      </c>
      <c r="G261" s="32" t="s">
        <v>281</v>
      </c>
      <c r="H261" s="32" t="s">
        <v>352</v>
      </c>
      <c r="I261" s="31" t="s">
        <v>940</v>
      </c>
      <c r="J261" s="31">
        <v>99</v>
      </c>
      <c r="K261" s="33" t="s">
        <v>952</v>
      </c>
      <c r="L261" s="33" t="s">
        <v>691</v>
      </c>
      <c r="M261" s="34" t="s">
        <v>970</v>
      </c>
      <c r="N261" s="34" t="s">
        <v>1846</v>
      </c>
      <c r="O261" s="35">
        <v>1</v>
      </c>
      <c r="P261" s="35"/>
      <c r="Q261" s="32"/>
      <c r="S261" s="1">
        <f t="shared" si="169"/>
        <v>0</v>
      </c>
      <c r="T261" s="1">
        <f t="shared" si="170"/>
        <v>0</v>
      </c>
      <c r="U261" s="1">
        <f t="shared" si="171"/>
        <v>0</v>
      </c>
      <c r="V261" s="1">
        <f t="shared" si="172"/>
        <v>0</v>
      </c>
      <c r="W261" s="1">
        <f t="shared" si="173"/>
        <v>0</v>
      </c>
      <c r="X261" s="1">
        <f t="shared" si="174"/>
        <v>0</v>
      </c>
      <c r="Y261" s="1">
        <f t="shared" si="175"/>
        <v>0</v>
      </c>
      <c r="Z261" s="1">
        <f t="shared" si="176"/>
        <v>0</v>
      </c>
      <c r="AA261" s="1">
        <f t="shared" si="177"/>
        <v>0</v>
      </c>
      <c r="AB261" s="1">
        <f t="shared" si="178"/>
        <v>0</v>
      </c>
      <c r="AD261" s="1">
        <f t="shared" si="179"/>
        <v>0</v>
      </c>
      <c r="AE261" s="1">
        <f t="shared" si="180"/>
        <v>1</v>
      </c>
      <c r="AF261" s="1">
        <f t="shared" si="165"/>
        <v>0</v>
      </c>
      <c r="AG261" s="1">
        <f t="shared" si="166"/>
        <v>1</v>
      </c>
      <c r="AH261" s="1">
        <f t="shared" si="167"/>
        <v>0</v>
      </c>
      <c r="AI261" s="1">
        <f t="shared" si="168"/>
        <v>1</v>
      </c>
    </row>
    <row r="262" spans="1:35" s="1" customFormat="1" ht="14.25" customHeight="1" x14ac:dyDescent="0.3">
      <c r="A262" s="31">
        <v>0</v>
      </c>
      <c r="B262" s="31">
        <v>1</v>
      </c>
      <c r="C262" s="31">
        <v>7</v>
      </c>
      <c r="D262" s="36" t="s">
        <v>1633</v>
      </c>
      <c r="E262" s="32" t="s">
        <v>29</v>
      </c>
      <c r="F262" s="36" t="s">
        <v>1532</v>
      </c>
      <c r="G262" s="36" t="s">
        <v>39</v>
      </c>
      <c r="H262" s="36" t="s">
        <v>883</v>
      </c>
      <c r="I262" s="37" t="s">
        <v>1533</v>
      </c>
      <c r="J262" s="31">
        <v>17</v>
      </c>
      <c r="K262" s="33" t="s">
        <v>710</v>
      </c>
      <c r="L262" s="33" t="s">
        <v>694</v>
      </c>
      <c r="M262" s="34" t="s">
        <v>1454</v>
      </c>
      <c r="N262" s="34" t="s">
        <v>1724</v>
      </c>
      <c r="O262" s="35">
        <v>1</v>
      </c>
      <c r="P262" s="35">
        <v>1</v>
      </c>
      <c r="Q262" s="36"/>
      <c r="S262" s="1">
        <f t="shared" si="169"/>
        <v>0</v>
      </c>
      <c r="T262" s="1">
        <f t="shared" si="170"/>
        <v>0</v>
      </c>
      <c r="U262" s="1">
        <f t="shared" si="171"/>
        <v>0</v>
      </c>
      <c r="V262" s="1">
        <f t="shared" si="172"/>
        <v>0</v>
      </c>
      <c r="W262" s="1">
        <f t="shared" si="173"/>
        <v>0</v>
      </c>
      <c r="X262" s="1">
        <f t="shared" si="174"/>
        <v>0</v>
      </c>
      <c r="Y262" s="1">
        <f t="shared" si="175"/>
        <v>0</v>
      </c>
      <c r="Z262" s="1">
        <f t="shared" si="176"/>
        <v>0</v>
      </c>
      <c r="AA262" s="1">
        <f t="shared" si="177"/>
        <v>0</v>
      </c>
      <c r="AB262" s="1">
        <f t="shared" si="178"/>
        <v>0</v>
      </c>
      <c r="AD262" s="1">
        <f t="shared" si="179"/>
        <v>1</v>
      </c>
      <c r="AE262" s="1">
        <f t="shared" si="180"/>
        <v>0</v>
      </c>
      <c r="AF262" s="1">
        <f t="shared" si="165"/>
        <v>1</v>
      </c>
      <c r="AG262" s="1">
        <f t="shared" si="166"/>
        <v>0</v>
      </c>
      <c r="AH262" s="1">
        <f t="shared" si="167"/>
        <v>1</v>
      </c>
      <c r="AI262" s="1">
        <f t="shared" si="168"/>
        <v>0</v>
      </c>
    </row>
    <row r="263" spans="1:35" s="1" customFormat="1" ht="14.25" customHeight="1" x14ac:dyDescent="0.3">
      <c r="A263" s="44">
        <v>0</v>
      </c>
      <c r="B263" s="44">
        <v>1</v>
      </c>
      <c r="C263" s="44">
        <v>7</v>
      </c>
      <c r="D263" s="45" t="s">
        <v>1451</v>
      </c>
      <c r="E263" s="45" t="s">
        <v>29</v>
      </c>
      <c r="F263" s="45" t="s">
        <v>1452</v>
      </c>
      <c r="G263" s="45" t="s">
        <v>319</v>
      </c>
      <c r="H263" s="45" t="s">
        <v>352</v>
      </c>
      <c r="I263" s="44" t="s">
        <v>1453</v>
      </c>
      <c r="J263" s="44">
        <v>99</v>
      </c>
      <c r="K263" s="46" t="s">
        <v>700</v>
      </c>
      <c r="L263" s="46">
        <v>30</v>
      </c>
      <c r="M263" s="47" t="s">
        <v>1454</v>
      </c>
      <c r="N263" s="47" t="s">
        <v>1799</v>
      </c>
      <c r="O263" s="48"/>
      <c r="P263" s="48"/>
      <c r="Q263" s="45"/>
      <c r="S263" s="1">
        <f t="shared" si="169"/>
        <v>0</v>
      </c>
      <c r="T263" s="1">
        <f t="shared" si="170"/>
        <v>0</v>
      </c>
      <c r="U263" s="1">
        <f t="shared" si="171"/>
        <v>0</v>
      </c>
      <c r="V263" s="1">
        <f t="shared" si="172"/>
        <v>0</v>
      </c>
      <c r="W263" s="1">
        <f t="shared" si="173"/>
        <v>0</v>
      </c>
      <c r="X263" s="1">
        <f t="shared" si="174"/>
        <v>0</v>
      </c>
      <c r="Y263" s="1">
        <f t="shared" si="175"/>
        <v>0</v>
      </c>
      <c r="Z263" s="1">
        <f t="shared" si="176"/>
        <v>0</v>
      </c>
      <c r="AA263" s="1">
        <f t="shared" si="177"/>
        <v>0</v>
      </c>
      <c r="AB263" s="1">
        <f t="shared" si="178"/>
        <v>0</v>
      </c>
      <c r="AD263" s="1">
        <f t="shared" si="179"/>
        <v>0</v>
      </c>
      <c r="AE263" s="1">
        <f t="shared" si="180"/>
        <v>0</v>
      </c>
      <c r="AF263" s="1">
        <f t="shared" si="165"/>
        <v>0</v>
      </c>
      <c r="AG263" s="1">
        <f t="shared" si="166"/>
        <v>0</v>
      </c>
      <c r="AH263" s="1">
        <f t="shared" si="167"/>
        <v>0</v>
      </c>
      <c r="AI263" s="1">
        <f t="shared" si="168"/>
        <v>1</v>
      </c>
    </row>
    <row r="264" spans="1:35" s="1" customFormat="1" ht="14.25" customHeight="1" x14ac:dyDescent="0.3">
      <c r="A264" s="31">
        <v>0</v>
      </c>
      <c r="B264" s="31">
        <v>1</v>
      </c>
      <c r="C264" s="31">
        <v>7</v>
      </c>
      <c r="D264" s="36" t="s">
        <v>843</v>
      </c>
      <c r="E264" s="32" t="s">
        <v>29</v>
      </c>
      <c r="F264" s="36" t="s">
        <v>844</v>
      </c>
      <c r="G264" s="36" t="s">
        <v>221</v>
      </c>
      <c r="H264" s="36" t="s">
        <v>352</v>
      </c>
      <c r="I264" s="37" t="s">
        <v>845</v>
      </c>
      <c r="J264" s="31">
        <v>99</v>
      </c>
      <c r="K264" s="33" t="s">
        <v>952</v>
      </c>
      <c r="L264" s="33" t="s">
        <v>691</v>
      </c>
      <c r="M264" s="34" t="s">
        <v>970</v>
      </c>
      <c r="N264" s="34" t="s">
        <v>1846</v>
      </c>
      <c r="O264" s="35">
        <v>1</v>
      </c>
      <c r="P264" s="35"/>
      <c r="Q264" s="36"/>
      <c r="S264" s="1">
        <f t="shared" si="169"/>
        <v>0</v>
      </c>
      <c r="T264" s="1">
        <f t="shared" si="170"/>
        <v>0</v>
      </c>
      <c r="U264" s="1">
        <f t="shared" si="171"/>
        <v>0</v>
      </c>
      <c r="V264" s="1">
        <f t="shared" si="172"/>
        <v>0</v>
      </c>
      <c r="W264" s="1">
        <f t="shared" si="173"/>
        <v>0</v>
      </c>
      <c r="X264" s="1">
        <f t="shared" si="174"/>
        <v>0</v>
      </c>
      <c r="Y264" s="1">
        <f t="shared" si="175"/>
        <v>0</v>
      </c>
      <c r="Z264" s="1">
        <f t="shared" si="176"/>
        <v>0</v>
      </c>
      <c r="AA264" s="1">
        <f t="shared" si="177"/>
        <v>0</v>
      </c>
      <c r="AB264" s="1">
        <f t="shared" si="178"/>
        <v>0</v>
      </c>
      <c r="AD264" s="1">
        <f t="shared" si="179"/>
        <v>0</v>
      </c>
      <c r="AE264" s="1">
        <f t="shared" si="180"/>
        <v>1</v>
      </c>
      <c r="AF264" s="1">
        <f t="shared" si="165"/>
        <v>0</v>
      </c>
      <c r="AG264" s="1">
        <f t="shared" si="166"/>
        <v>1</v>
      </c>
      <c r="AH264" s="1">
        <f t="shared" si="167"/>
        <v>0</v>
      </c>
      <c r="AI264" s="1">
        <f t="shared" si="168"/>
        <v>1</v>
      </c>
    </row>
    <row r="265" spans="1:35" s="1" customFormat="1" ht="14.25" customHeight="1" x14ac:dyDescent="0.3">
      <c r="A265" s="31">
        <v>1</v>
      </c>
      <c r="B265" s="31">
        <v>1</v>
      </c>
      <c r="C265" s="31">
        <v>7</v>
      </c>
      <c r="D265" s="36" t="s">
        <v>843</v>
      </c>
      <c r="E265" s="32" t="s">
        <v>29</v>
      </c>
      <c r="F265" s="36" t="s">
        <v>927</v>
      </c>
      <c r="G265" s="36" t="s">
        <v>278</v>
      </c>
      <c r="H265" s="36" t="s">
        <v>352</v>
      </c>
      <c r="I265" s="37" t="s">
        <v>846</v>
      </c>
      <c r="J265" s="31">
        <v>99</v>
      </c>
      <c r="K265" s="33" t="s">
        <v>952</v>
      </c>
      <c r="L265" s="33" t="s">
        <v>691</v>
      </c>
      <c r="M265" s="34" t="s">
        <v>970</v>
      </c>
      <c r="N265" s="34" t="s">
        <v>1846</v>
      </c>
      <c r="O265" s="35">
        <v>1</v>
      </c>
      <c r="P265" s="35"/>
      <c r="Q265" s="36"/>
      <c r="S265" s="1">
        <f t="shared" si="169"/>
        <v>0</v>
      </c>
      <c r="T265" s="1">
        <f t="shared" si="170"/>
        <v>0</v>
      </c>
      <c r="U265" s="1">
        <f t="shared" si="171"/>
        <v>0</v>
      </c>
      <c r="V265" s="1">
        <f t="shared" si="172"/>
        <v>0</v>
      </c>
      <c r="W265" s="1">
        <f t="shared" si="173"/>
        <v>0</v>
      </c>
      <c r="X265" s="1">
        <f t="shared" si="174"/>
        <v>0</v>
      </c>
      <c r="Y265" s="1">
        <f t="shared" si="175"/>
        <v>0</v>
      </c>
      <c r="Z265" s="1">
        <f t="shared" si="176"/>
        <v>0</v>
      </c>
      <c r="AA265" s="1">
        <f t="shared" si="177"/>
        <v>0</v>
      </c>
      <c r="AB265" s="1">
        <f t="shared" si="178"/>
        <v>0</v>
      </c>
      <c r="AD265" s="1">
        <f t="shared" si="179"/>
        <v>0</v>
      </c>
      <c r="AE265" s="1">
        <f t="shared" si="180"/>
        <v>1</v>
      </c>
      <c r="AF265" s="1">
        <f t="shared" si="165"/>
        <v>0</v>
      </c>
      <c r="AG265" s="1">
        <f t="shared" si="166"/>
        <v>0</v>
      </c>
      <c r="AH265" s="1">
        <f t="shared" si="167"/>
        <v>0</v>
      </c>
      <c r="AI265" s="1">
        <f t="shared" si="168"/>
        <v>0</v>
      </c>
    </row>
    <row r="266" spans="1:35" s="1" customFormat="1" ht="14.25" customHeight="1" x14ac:dyDescent="0.3">
      <c r="A266" s="31">
        <v>0</v>
      </c>
      <c r="B266" s="31">
        <v>1</v>
      </c>
      <c r="C266" s="31">
        <v>7</v>
      </c>
      <c r="D266" s="32" t="s">
        <v>1213</v>
      </c>
      <c r="E266" s="32" t="s">
        <v>29</v>
      </c>
      <c r="F266" s="32" t="s">
        <v>1214</v>
      </c>
      <c r="G266" s="32" t="s">
        <v>237</v>
      </c>
      <c r="H266" s="32" t="s">
        <v>352</v>
      </c>
      <c r="I266" s="31" t="s">
        <v>1358</v>
      </c>
      <c r="J266" s="31">
        <v>99</v>
      </c>
      <c r="K266" s="33" t="s">
        <v>710</v>
      </c>
      <c r="L266" s="33" t="s">
        <v>691</v>
      </c>
      <c r="M266" s="34" t="s">
        <v>1404</v>
      </c>
      <c r="N266" s="34" t="s">
        <v>1752</v>
      </c>
      <c r="O266" s="35">
        <v>1</v>
      </c>
      <c r="P266" s="35"/>
      <c r="Q266" s="32"/>
      <c r="S266" s="1">
        <f t="shared" si="169"/>
        <v>0</v>
      </c>
      <c r="T266" s="1">
        <f t="shared" si="170"/>
        <v>0</v>
      </c>
      <c r="U266" s="1">
        <f t="shared" si="171"/>
        <v>0</v>
      </c>
      <c r="V266" s="1">
        <f t="shared" si="172"/>
        <v>0</v>
      </c>
      <c r="W266" s="1">
        <f t="shared" si="173"/>
        <v>0</v>
      </c>
      <c r="X266" s="1">
        <f t="shared" si="174"/>
        <v>0</v>
      </c>
      <c r="Y266" s="1">
        <f t="shared" si="175"/>
        <v>0</v>
      </c>
      <c r="Z266" s="1">
        <f t="shared" si="176"/>
        <v>0</v>
      </c>
      <c r="AA266" s="1">
        <f t="shared" si="177"/>
        <v>0</v>
      </c>
      <c r="AB266" s="1">
        <f t="shared" si="178"/>
        <v>0</v>
      </c>
      <c r="AD266" s="1">
        <f t="shared" ref="AD266:AD267" si="187">+O266*P266</f>
        <v>0</v>
      </c>
      <c r="AE266" s="1">
        <f t="shared" ref="AE266:AE267" si="188">O266*(1-P266)</f>
        <v>1</v>
      </c>
      <c r="AF266" s="1">
        <f t="shared" ref="AF266:AF267" si="189">+O266*P266*(1-A266)</f>
        <v>0</v>
      </c>
      <c r="AG266" s="1">
        <f t="shared" ref="AG266:AG267" si="190">O266*(1-P266)*(1-A266)</f>
        <v>1</v>
      </c>
      <c r="AH266" s="1">
        <f t="shared" ref="AH266:AH267" si="191">+P266*(1-A266)</f>
        <v>0</v>
      </c>
      <c r="AI266" s="1">
        <f t="shared" ref="AI266:AI267" si="192">+(1-A266)*(1-P266)</f>
        <v>1</v>
      </c>
    </row>
    <row r="267" spans="1:35" s="1" customFormat="1" ht="14.25" customHeight="1" x14ac:dyDescent="0.3">
      <c r="A267" s="31">
        <v>0</v>
      </c>
      <c r="B267" s="31">
        <v>1</v>
      </c>
      <c r="C267" s="31">
        <v>7</v>
      </c>
      <c r="D267" s="36" t="s">
        <v>1230</v>
      </c>
      <c r="E267" s="32" t="s">
        <v>29</v>
      </c>
      <c r="F267" s="36" t="s">
        <v>1231</v>
      </c>
      <c r="G267" s="36" t="s">
        <v>237</v>
      </c>
      <c r="H267" s="36" t="s">
        <v>352</v>
      </c>
      <c r="I267" s="37" t="s">
        <v>1232</v>
      </c>
      <c r="J267" s="31">
        <v>99</v>
      </c>
      <c r="K267" s="33" t="s">
        <v>710</v>
      </c>
      <c r="L267" s="33" t="s">
        <v>690</v>
      </c>
      <c r="M267" s="34" t="s">
        <v>1404</v>
      </c>
      <c r="N267" s="34" t="s">
        <v>1822</v>
      </c>
      <c r="O267" s="35">
        <v>1</v>
      </c>
      <c r="P267" s="35"/>
      <c r="Q267" s="36"/>
      <c r="S267" s="1">
        <f t="shared" si="169"/>
        <v>0</v>
      </c>
      <c r="T267" s="1">
        <f t="shared" si="170"/>
        <v>0</v>
      </c>
      <c r="U267" s="1">
        <f t="shared" si="171"/>
        <v>0</v>
      </c>
      <c r="V267" s="1">
        <f t="shared" si="172"/>
        <v>0</v>
      </c>
      <c r="W267" s="1">
        <f t="shared" si="173"/>
        <v>0</v>
      </c>
      <c r="X267" s="1">
        <f t="shared" si="174"/>
        <v>0</v>
      </c>
      <c r="Y267" s="1">
        <f t="shared" si="175"/>
        <v>0</v>
      </c>
      <c r="Z267" s="1">
        <f t="shared" si="176"/>
        <v>0</v>
      </c>
      <c r="AA267" s="1">
        <f t="shared" si="177"/>
        <v>0</v>
      </c>
      <c r="AB267" s="1">
        <f t="shared" si="178"/>
        <v>0</v>
      </c>
      <c r="AD267" s="1">
        <f t="shared" si="187"/>
        <v>0</v>
      </c>
      <c r="AE267" s="1">
        <f t="shared" si="188"/>
        <v>1</v>
      </c>
      <c r="AF267" s="1">
        <f t="shared" si="189"/>
        <v>0</v>
      </c>
      <c r="AG267" s="1">
        <f t="shared" si="190"/>
        <v>1</v>
      </c>
      <c r="AH267" s="1">
        <f t="shared" si="191"/>
        <v>0</v>
      </c>
      <c r="AI267" s="1">
        <f t="shared" si="192"/>
        <v>1</v>
      </c>
    </row>
    <row r="268" spans="1:35" s="1" customFormat="1" ht="14.25" customHeight="1" x14ac:dyDescent="0.3">
      <c r="A268" s="31">
        <v>0</v>
      </c>
      <c r="B268" s="31">
        <v>1</v>
      </c>
      <c r="C268" s="31">
        <v>7</v>
      </c>
      <c r="D268" s="36" t="s">
        <v>92</v>
      </c>
      <c r="E268" s="32" t="s">
        <v>29</v>
      </c>
      <c r="F268" s="36" t="s">
        <v>286</v>
      </c>
      <c r="G268" s="36" t="s">
        <v>189</v>
      </c>
      <c r="H268" s="36" t="s">
        <v>352</v>
      </c>
      <c r="I268" s="37" t="s">
        <v>438</v>
      </c>
      <c r="J268" s="31">
        <v>99</v>
      </c>
      <c r="K268" s="33" t="s">
        <v>710</v>
      </c>
      <c r="L268" s="33" t="s">
        <v>691</v>
      </c>
      <c r="M268" s="34" t="s">
        <v>1405</v>
      </c>
      <c r="N268" s="34" t="s">
        <v>1747</v>
      </c>
      <c r="O268" s="35">
        <v>1</v>
      </c>
      <c r="P268" s="35"/>
      <c r="Q268" s="36"/>
      <c r="S268" s="1">
        <f t="shared" si="169"/>
        <v>0</v>
      </c>
      <c r="T268" s="1">
        <f t="shared" si="170"/>
        <v>0</v>
      </c>
      <c r="U268" s="1">
        <f t="shared" si="171"/>
        <v>0</v>
      </c>
      <c r="V268" s="1">
        <f t="shared" si="172"/>
        <v>0</v>
      </c>
      <c r="W268" s="1">
        <f t="shared" si="173"/>
        <v>0</v>
      </c>
      <c r="X268" s="1">
        <f t="shared" si="174"/>
        <v>0</v>
      </c>
      <c r="Y268" s="1">
        <f t="shared" si="175"/>
        <v>0</v>
      </c>
      <c r="Z268" s="1">
        <f t="shared" si="176"/>
        <v>0</v>
      </c>
      <c r="AA268" s="1">
        <f t="shared" si="177"/>
        <v>0</v>
      </c>
      <c r="AB268" s="1">
        <f t="shared" si="178"/>
        <v>0</v>
      </c>
      <c r="AD268" s="1">
        <f t="shared" si="179"/>
        <v>0</v>
      </c>
      <c r="AE268" s="1">
        <f t="shared" si="180"/>
        <v>1</v>
      </c>
      <c r="AF268" s="1">
        <f t="shared" si="165"/>
        <v>0</v>
      </c>
      <c r="AG268" s="1">
        <f t="shared" si="166"/>
        <v>1</v>
      </c>
      <c r="AH268" s="1">
        <f t="shared" si="167"/>
        <v>0</v>
      </c>
      <c r="AI268" s="1">
        <f t="shared" si="168"/>
        <v>1</v>
      </c>
    </row>
    <row r="269" spans="1:35" s="1" customFormat="1" ht="14.25" customHeight="1" x14ac:dyDescent="0.3">
      <c r="A269" s="44">
        <v>0</v>
      </c>
      <c r="B269" s="44">
        <v>1</v>
      </c>
      <c r="C269" s="44">
        <v>7</v>
      </c>
      <c r="D269" s="45" t="s">
        <v>867</v>
      </c>
      <c r="E269" s="45" t="s">
        <v>29</v>
      </c>
      <c r="F269" s="45" t="s">
        <v>868</v>
      </c>
      <c r="G269" s="45" t="s">
        <v>193</v>
      </c>
      <c r="H269" s="45" t="s">
        <v>352</v>
      </c>
      <c r="I269" s="44" t="s">
        <v>869</v>
      </c>
      <c r="J269" s="44">
        <v>9</v>
      </c>
      <c r="K269" s="46" t="s">
        <v>710</v>
      </c>
      <c r="L269" s="46" t="s">
        <v>693</v>
      </c>
      <c r="M269" s="47" t="s">
        <v>705</v>
      </c>
      <c r="N269" s="47" t="s">
        <v>1732</v>
      </c>
      <c r="O269" s="48"/>
      <c r="P269" s="48"/>
      <c r="Q269" s="45"/>
      <c r="S269" s="1">
        <f t="shared" si="169"/>
        <v>0</v>
      </c>
      <c r="T269" s="1">
        <f t="shared" si="170"/>
        <v>0</v>
      </c>
      <c r="U269" s="1">
        <f t="shared" si="171"/>
        <v>0</v>
      </c>
      <c r="V269" s="1">
        <f t="shared" si="172"/>
        <v>0</v>
      </c>
      <c r="W269" s="1">
        <f t="shared" si="173"/>
        <v>0</v>
      </c>
      <c r="X269" s="1">
        <f t="shared" si="174"/>
        <v>0</v>
      </c>
      <c r="Y269" s="1">
        <f t="shared" si="175"/>
        <v>0</v>
      </c>
      <c r="Z269" s="1">
        <f t="shared" si="176"/>
        <v>0</v>
      </c>
      <c r="AA269" s="1">
        <f t="shared" si="177"/>
        <v>1</v>
      </c>
      <c r="AB269" s="1">
        <f t="shared" si="178"/>
        <v>0</v>
      </c>
      <c r="AD269" s="1">
        <f t="shared" si="179"/>
        <v>0</v>
      </c>
      <c r="AE269" s="1">
        <f t="shared" si="180"/>
        <v>0</v>
      </c>
      <c r="AF269" s="1">
        <f t="shared" si="165"/>
        <v>0</v>
      </c>
      <c r="AG269" s="1">
        <f t="shared" si="166"/>
        <v>0</v>
      </c>
      <c r="AH269" s="1">
        <f t="shared" si="167"/>
        <v>0</v>
      </c>
      <c r="AI269" s="1">
        <f t="shared" si="168"/>
        <v>1</v>
      </c>
    </row>
    <row r="270" spans="1:35" s="1" customFormat="1" ht="14.25" customHeight="1" x14ac:dyDescent="0.3">
      <c r="A270" s="44">
        <v>1</v>
      </c>
      <c r="B270" s="44">
        <v>1</v>
      </c>
      <c r="C270" s="44">
        <v>7</v>
      </c>
      <c r="D270" s="45" t="s">
        <v>867</v>
      </c>
      <c r="E270" s="45" t="s">
        <v>29</v>
      </c>
      <c r="F270" s="45" t="s">
        <v>1065</v>
      </c>
      <c r="G270" s="45" t="s">
        <v>319</v>
      </c>
      <c r="H270" s="45" t="s">
        <v>352</v>
      </c>
      <c r="I270" s="44" t="s">
        <v>1066</v>
      </c>
      <c r="J270" s="44">
        <v>99</v>
      </c>
      <c r="K270" s="46" t="s">
        <v>710</v>
      </c>
      <c r="L270" s="46" t="s">
        <v>693</v>
      </c>
      <c r="M270" s="47" t="s">
        <v>705</v>
      </c>
      <c r="N270" s="47" t="s">
        <v>1732</v>
      </c>
      <c r="O270" s="48"/>
      <c r="P270" s="48"/>
      <c r="Q270" s="45"/>
      <c r="S270" s="1">
        <f t="shared" si="169"/>
        <v>0</v>
      </c>
      <c r="T270" s="1">
        <f t="shared" si="170"/>
        <v>0</v>
      </c>
      <c r="U270" s="1">
        <f t="shared" si="171"/>
        <v>0</v>
      </c>
      <c r="V270" s="1">
        <f t="shared" si="172"/>
        <v>0</v>
      </c>
      <c r="W270" s="1">
        <f t="shared" si="173"/>
        <v>0</v>
      </c>
      <c r="X270" s="1">
        <f t="shared" si="174"/>
        <v>0</v>
      </c>
      <c r="Y270" s="1">
        <f t="shared" si="175"/>
        <v>0</v>
      </c>
      <c r="Z270" s="1">
        <f t="shared" si="176"/>
        <v>0</v>
      </c>
      <c r="AA270" s="1">
        <f t="shared" si="177"/>
        <v>0</v>
      </c>
      <c r="AB270" s="1">
        <f t="shared" si="178"/>
        <v>0</v>
      </c>
      <c r="AD270" s="1">
        <f t="shared" si="179"/>
        <v>0</v>
      </c>
      <c r="AE270" s="1">
        <f t="shared" si="180"/>
        <v>0</v>
      </c>
      <c r="AF270" s="1">
        <f t="shared" si="165"/>
        <v>0</v>
      </c>
      <c r="AG270" s="1">
        <f t="shared" si="166"/>
        <v>0</v>
      </c>
      <c r="AH270" s="1">
        <f t="shared" si="167"/>
        <v>0</v>
      </c>
      <c r="AI270" s="1">
        <f t="shared" si="168"/>
        <v>0</v>
      </c>
    </row>
    <row r="271" spans="1:35" s="1" customFormat="1" ht="14.25" customHeight="1" x14ac:dyDescent="0.3">
      <c r="A271" s="44">
        <v>1</v>
      </c>
      <c r="B271" s="44">
        <v>1</v>
      </c>
      <c r="C271" s="44">
        <v>7</v>
      </c>
      <c r="D271" s="45" t="s">
        <v>867</v>
      </c>
      <c r="E271" s="45" t="s">
        <v>29</v>
      </c>
      <c r="F271" s="65" t="s">
        <v>2022</v>
      </c>
      <c r="G271" s="65" t="s">
        <v>193</v>
      </c>
      <c r="H271" s="45" t="s">
        <v>352</v>
      </c>
      <c r="I271" s="64" t="s">
        <v>869</v>
      </c>
      <c r="J271" s="44">
        <v>9</v>
      </c>
      <c r="K271" s="46" t="s">
        <v>710</v>
      </c>
      <c r="L271" s="46" t="s">
        <v>693</v>
      </c>
      <c r="M271" s="47" t="s">
        <v>705</v>
      </c>
      <c r="N271" s="47" t="s">
        <v>1732</v>
      </c>
      <c r="O271" s="48"/>
      <c r="P271" s="48"/>
      <c r="Q271" s="45"/>
      <c r="S271" s="1">
        <f t="shared" ref="S271:S272" si="193">IF(J271=$S$7,1,0)</f>
        <v>0</v>
      </c>
      <c r="T271" s="1">
        <f t="shared" ref="T271:T272" si="194">IF(J271=$T$7,1,0)</f>
        <v>0</v>
      </c>
      <c r="U271" s="1">
        <f t="shared" ref="U271:U272" si="195">IF(J271=$U$7,1,0)</f>
        <v>0</v>
      </c>
      <c r="V271" s="1">
        <f t="shared" ref="V271:V272" si="196">IF(J271=$V$7,1,0)</f>
        <v>0</v>
      </c>
      <c r="W271" s="1">
        <f t="shared" ref="W271:W272" si="197">IF(J271=$W$7,1,0)</f>
        <v>0</v>
      </c>
      <c r="X271" s="1">
        <f t="shared" ref="X271:X272" si="198">IF(J271=$X$7,1,0)</f>
        <v>0</v>
      </c>
      <c r="Y271" s="1">
        <f t="shared" ref="Y271:Y272" si="199">IF(J271=$Y$7,1,0)</f>
        <v>0</v>
      </c>
      <c r="Z271" s="1">
        <f t="shared" ref="Z271:Z272" si="200">IF(J271=$Z$7,1,0)</f>
        <v>0</v>
      </c>
      <c r="AA271" s="1">
        <f t="shared" ref="AA271:AA272" si="201">IF(J271=$AA$7,1,0)</f>
        <v>1</v>
      </c>
      <c r="AB271" s="1">
        <f t="shared" ref="AB271:AB272" si="202">IF(J271=$AB$7,1,0)</f>
        <v>0</v>
      </c>
      <c r="AD271" s="1">
        <f t="shared" ref="AD271:AD272" si="203">+O271*P271</f>
        <v>0</v>
      </c>
      <c r="AE271" s="1">
        <f t="shared" ref="AE271:AE272" si="204">O271*(1-P271)</f>
        <v>0</v>
      </c>
      <c r="AF271" s="1">
        <f t="shared" ref="AF271:AF272" si="205">+O271*P271*(1-A271)</f>
        <v>0</v>
      </c>
      <c r="AG271" s="1">
        <f t="shared" ref="AG271:AG272" si="206">O271*(1-P271)*(1-A271)</f>
        <v>0</v>
      </c>
      <c r="AH271" s="1">
        <f t="shared" ref="AH271:AH272" si="207">+P271*(1-A271)</f>
        <v>0</v>
      </c>
      <c r="AI271" s="1">
        <f t="shared" ref="AI271:AI272" si="208">+(1-A271)*(1-P271)</f>
        <v>0</v>
      </c>
    </row>
    <row r="272" spans="1:35" s="1" customFormat="1" ht="14.25" customHeight="1" x14ac:dyDescent="0.3">
      <c r="A272" s="44">
        <v>1</v>
      </c>
      <c r="B272" s="44">
        <v>1</v>
      </c>
      <c r="C272" s="44">
        <v>7</v>
      </c>
      <c r="D272" s="45" t="s">
        <v>867</v>
      </c>
      <c r="E272" s="45" t="s">
        <v>29</v>
      </c>
      <c r="F272" s="65" t="s">
        <v>2024</v>
      </c>
      <c r="G272" s="65" t="s">
        <v>208</v>
      </c>
      <c r="H272" s="45" t="s">
        <v>352</v>
      </c>
      <c r="I272" s="64" t="s">
        <v>2023</v>
      </c>
      <c r="J272" s="44">
        <v>99</v>
      </c>
      <c r="K272" s="46" t="s">
        <v>710</v>
      </c>
      <c r="L272" s="46" t="s">
        <v>693</v>
      </c>
      <c r="M272" s="47" t="s">
        <v>705</v>
      </c>
      <c r="N272" s="47" t="s">
        <v>1732</v>
      </c>
      <c r="O272" s="48"/>
      <c r="P272" s="48"/>
      <c r="Q272" s="45"/>
      <c r="S272" s="1">
        <f t="shared" si="193"/>
        <v>0</v>
      </c>
      <c r="T272" s="1">
        <f t="shared" si="194"/>
        <v>0</v>
      </c>
      <c r="U272" s="1">
        <f t="shared" si="195"/>
        <v>0</v>
      </c>
      <c r="V272" s="1">
        <f t="shared" si="196"/>
        <v>0</v>
      </c>
      <c r="W272" s="1">
        <f t="shared" si="197"/>
        <v>0</v>
      </c>
      <c r="X272" s="1">
        <f t="shared" si="198"/>
        <v>0</v>
      </c>
      <c r="Y272" s="1">
        <f t="shared" si="199"/>
        <v>0</v>
      </c>
      <c r="Z272" s="1">
        <f t="shared" si="200"/>
        <v>0</v>
      </c>
      <c r="AA272" s="1">
        <f t="shared" si="201"/>
        <v>0</v>
      </c>
      <c r="AB272" s="1">
        <f t="shared" si="202"/>
        <v>0</v>
      </c>
      <c r="AD272" s="1">
        <f t="shared" si="203"/>
        <v>0</v>
      </c>
      <c r="AE272" s="1">
        <f t="shared" si="204"/>
        <v>0</v>
      </c>
      <c r="AF272" s="1">
        <f t="shared" si="205"/>
        <v>0</v>
      </c>
      <c r="AG272" s="1">
        <f t="shared" si="206"/>
        <v>0</v>
      </c>
      <c r="AH272" s="1">
        <f t="shared" si="207"/>
        <v>0</v>
      </c>
      <c r="AI272" s="1">
        <f t="shared" si="208"/>
        <v>0</v>
      </c>
    </row>
    <row r="273" spans="1:35" s="1" customFormat="1" ht="14.25" customHeight="1" x14ac:dyDescent="0.3">
      <c r="A273" s="31">
        <v>0</v>
      </c>
      <c r="B273" s="31">
        <v>1</v>
      </c>
      <c r="C273" s="31">
        <v>7</v>
      </c>
      <c r="D273" s="36" t="s">
        <v>95</v>
      </c>
      <c r="E273" s="32" t="s">
        <v>29</v>
      </c>
      <c r="F273" s="36" t="s">
        <v>290</v>
      </c>
      <c r="G273" s="36" t="s">
        <v>291</v>
      </c>
      <c r="H273" s="36" t="s">
        <v>352</v>
      </c>
      <c r="I273" s="37" t="s">
        <v>1114</v>
      </c>
      <c r="J273" s="31">
        <v>99</v>
      </c>
      <c r="K273" s="33" t="s">
        <v>710</v>
      </c>
      <c r="L273" s="33" t="s">
        <v>693</v>
      </c>
      <c r="M273" s="34" t="s">
        <v>705</v>
      </c>
      <c r="N273" s="34" t="s">
        <v>1745</v>
      </c>
      <c r="O273" s="35">
        <v>1</v>
      </c>
      <c r="P273" s="35"/>
      <c r="Q273" s="36"/>
      <c r="S273" s="1">
        <f t="shared" si="169"/>
        <v>0</v>
      </c>
      <c r="T273" s="1">
        <f t="shared" si="170"/>
        <v>0</v>
      </c>
      <c r="U273" s="1">
        <f t="shared" si="171"/>
        <v>0</v>
      </c>
      <c r="V273" s="1">
        <f t="shared" si="172"/>
        <v>0</v>
      </c>
      <c r="W273" s="1">
        <f t="shared" si="173"/>
        <v>0</v>
      </c>
      <c r="X273" s="1">
        <f t="shared" si="174"/>
        <v>0</v>
      </c>
      <c r="Y273" s="1">
        <f t="shared" si="175"/>
        <v>0</v>
      </c>
      <c r="Z273" s="1">
        <f t="shared" si="176"/>
        <v>0</v>
      </c>
      <c r="AA273" s="1">
        <f t="shared" si="177"/>
        <v>0</v>
      </c>
      <c r="AB273" s="1">
        <f t="shared" si="178"/>
        <v>0</v>
      </c>
      <c r="AD273" s="1">
        <f t="shared" si="179"/>
        <v>0</v>
      </c>
      <c r="AE273" s="1">
        <f t="shared" si="180"/>
        <v>1</v>
      </c>
      <c r="AF273" s="1">
        <f t="shared" si="165"/>
        <v>0</v>
      </c>
      <c r="AG273" s="1">
        <f t="shared" si="166"/>
        <v>1</v>
      </c>
      <c r="AH273" s="1">
        <f t="shared" si="167"/>
        <v>0</v>
      </c>
      <c r="AI273" s="1">
        <f t="shared" si="168"/>
        <v>1</v>
      </c>
    </row>
    <row r="274" spans="1:35" s="1" customFormat="1" ht="14.25" customHeight="1" x14ac:dyDescent="0.3">
      <c r="A274" s="44">
        <v>0</v>
      </c>
      <c r="B274" s="44">
        <v>1</v>
      </c>
      <c r="C274" s="44">
        <v>7</v>
      </c>
      <c r="D274" s="45" t="s">
        <v>529</v>
      </c>
      <c r="E274" s="45" t="s">
        <v>29</v>
      </c>
      <c r="F274" s="45" t="s">
        <v>662</v>
      </c>
      <c r="G274" s="45" t="s">
        <v>39</v>
      </c>
      <c r="H274" s="45" t="s">
        <v>530</v>
      </c>
      <c r="I274" s="44" t="s">
        <v>1687</v>
      </c>
      <c r="J274" s="44">
        <v>14</v>
      </c>
      <c r="K274" s="46" t="s">
        <v>951</v>
      </c>
      <c r="L274" s="46">
        <v>40</v>
      </c>
      <c r="M274" s="47" t="s">
        <v>705</v>
      </c>
      <c r="N274" s="47" t="s">
        <v>1732</v>
      </c>
      <c r="O274" s="48"/>
      <c r="P274" s="48"/>
      <c r="Q274" s="45"/>
      <c r="S274" s="1">
        <f t="shared" si="169"/>
        <v>0</v>
      </c>
      <c r="T274" s="1">
        <f t="shared" si="170"/>
        <v>0</v>
      </c>
      <c r="U274" s="1">
        <f t="shared" si="171"/>
        <v>0</v>
      </c>
      <c r="V274" s="1">
        <f t="shared" si="172"/>
        <v>0</v>
      </c>
      <c r="W274" s="1">
        <f t="shared" si="173"/>
        <v>0</v>
      </c>
      <c r="X274" s="1">
        <f t="shared" si="174"/>
        <v>0</v>
      </c>
      <c r="Y274" s="1">
        <f t="shared" si="175"/>
        <v>0</v>
      </c>
      <c r="Z274" s="1">
        <f t="shared" si="176"/>
        <v>0</v>
      </c>
      <c r="AA274" s="1">
        <f t="shared" si="177"/>
        <v>0</v>
      </c>
      <c r="AB274" s="1">
        <f t="shared" si="178"/>
        <v>0</v>
      </c>
      <c r="AD274" s="1">
        <f t="shared" si="179"/>
        <v>0</v>
      </c>
      <c r="AE274" s="1">
        <f t="shared" si="180"/>
        <v>0</v>
      </c>
      <c r="AF274" s="1">
        <f t="shared" si="165"/>
        <v>0</v>
      </c>
      <c r="AG274" s="1">
        <f t="shared" si="166"/>
        <v>0</v>
      </c>
      <c r="AH274" s="1">
        <f t="shared" si="167"/>
        <v>0</v>
      </c>
      <c r="AI274" s="1">
        <f t="shared" si="168"/>
        <v>1</v>
      </c>
    </row>
    <row r="275" spans="1:35" s="1" customFormat="1" ht="14.25" customHeight="1" x14ac:dyDescent="0.3">
      <c r="A275" s="31">
        <v>0</v>
      </c>
      <c r="B275" s="31">
        <v>1</v>
      </c>
      <c r="C275" s="31">
        <v>7</v>
      </c>
      <c r="D275" s="36" t="s">
        <v>1318</v>
      </c>
      <c r="E275" s="32" t="s">
        <v>29</v>
      </c>
      <c r="F275" s="36" t="s">
        <v>1342</v>
      </c>
      <c r="G275" s="36" t="s">
        <v>39</v>
      </c>
      <c r="H275" s="36" t="s">
        <v>352</v>
      </c>
      <c r="I275" s="37" t="s">
        <v>1147</v>
      </c>
      <c r="J275" s="31">
        <v>99</v>
      </c>
      <c r="K275" s="33" t="s">
        <v>710</v>
      </c>
      <c r="L275" s="33" t="s">
        <v>690</v>
      </c>
      <c r="M275" s="34" t="s">
        <v>1406</v>
      </c>
      <c r="N275" s="34" t="s">
        <v>1730</v>
      </c>
      <c r="O275" s="35">
        <v>1</v>
      </c>
      <c r="P275" s="35">
        <v>1</v>
      </c>
      <c r="Q275" s="36"/>
      <c r="S275" s="1">
        <f t="shared" si="169"/>
        <v>0</v>
      </c>
      <c r="T275" s="1">
        <f t="shared" si="170"/>
        <v>0</v>
      </c>
      <c r="U275" s="1">
        <f t="shared" si="171"/>
        <v>0</v>
      </c>
      <c r="V275" s="1">
        <f t="shared" si="172"/>
        <v>0</v>
      </c>
      <c r="W275" s="1">
        <f t="shared" si="173"/>
        <v>0</v>
      </c>
      <c r="X275" s="1">
        <f t="shared" si="174"/>
        <v>0</v>
      </c>
      <c r="Y275" s="1">
        <f t="shared" si="175"/>
        <v>0</v>
      </c>
      <c r="Z275" s="1">
        <f t="shared" si="176"/>
        <v>0</v>
      </c>
      <c r="AA275" s="1">
        <f t="shared" si="177"/>
        <v>0</v>
      </c>
      <c r="AB275" s="1">
        <f t="shared" si="178"/>
        <v>0</v>
      </c>
      <c r="AD275" s="1">
        <f t="shared" si="179"/>
        <v>1</v>
      </c>
      <c r="AE275" s="1">
        <f t="shared" si="180"/>
        <v>0</v>
      </c>
      <c r="AF275" s="1">
        <f t="shared" si="165"/>
        <v>1</v>
      </c>
      <c r="AG275" s="1">
        <f t="shared" si="166"/>
        <v>0</v>
      </c>
      <c r="AH275" s="1">
        <f t="shared" si="167"/>
        <v>1</v>
      </c>
      <c r="AI275" s="1">
        <f t="shared" si="168"/>
        <v>0</v>
      </c>
    </row>
    <row r="276" spans="1:35" s="1" customFormat="1" ht="14.25" customHeight="1" x14ac:dyDescent="0.3">
      <c r="A276" s="44">
        <v>0</v>
      </c>
      <c r="B276" s="44">
        <v>1</v>
      </c>
      <c r="C276" s="44">
        <v>7</v>
      </c>
      <c r="D276" s="45" t="s">
        <v>96</v>
      </c>
      <c r="E276" s="45" t="s">
        <v>29</v>
      </c>
      <c r="F276" s="45" t="s">
        <v>293</v>
      </c>
      <c r="G276" s="45" t="s">
        <v>262</v>
      </c>
      <c r="H276" s="45" t="s">
        <v>352</v>
      </c>
      <c r="I276" s="44" t="s">
        <v>442</v>
      </c>
      <c r="J276" s="44">
        <v>1</v>
      </c>
      <c r="K276" s="46" t="s">
        <v>710</v>
      </c>
      <c r="L276" s="46" t="s">
        <v>691</v>
      </c>
      <c r="M276" s="47" t="s">
        <v>705</v>
      </c>
      <c r="N276" s="47" t="s">
        <v>1732</v>
      </c>
      <c r="O276" s="48"/>
      <c r="P276" s="48"/>
      <c r="Q276" s="45"/>
      <c r="S276" s="1">
        <f t="shared" si="169"/>
        <v>1</v>
      </c>
      <c r="T276" s="1">
        <f t="shared" si="170"/>
        <v>0</v>
      </c>
      <c r="U276" s="1">
        <f t="shared" si="171"/>
        <v>0</v>
      </c>
      <c r="V276" s="1">
        <f t="shared" si="172"/>
        <v>0</v>
      </c>
      <c r="W276" s="1">
        <f t="shared" si="173"/>
        <v>0</v>
      </c>
      <c r="X276" s="1">
        <f t="shared" si="174"/>
        <v>0</v>
      </c>
      <c r="Y276" s="1">
        <f t="shared" si="175"/>
        <v>0</v>
      </c>
      <c r="Z276" s="1">
        <f t="shared" si="176"/>
        <v>0</v>
      </c>
      <c r="AA276" s="1">
        <f t="shared" si="177"/>
        <v>0</v>
      </c>
      <c r="AB276" s="1">
        <f t="shared" si="178"/>
        <v>0</v>
      </c>
      <c r="AD276" s="1">
        <f t="shared" si="179"/>
        <v>0</v>
      </c>
      <c r="AE276" s="1">
        <f t="shared" si="180"/>
        <v>0</v>
      </c>
      <c r="AF276" s="1">
        <f t="shared" ref="AF276:AF341" si="209">+O276*P276*(1-A276)</f>
        <v>0</v>
      </c>
      <c r="AG276" s="1">
        <f t="shared" ref="AG276:AG341" si="210">O276*(1-P276)*(1-A276)</f>
        <v>0</v>
      </c>
      <c r="AH276" s="1">
        <f t="shared" ref="AH276:AH341" si="211">+P276*(1-A276)</f>
        <v>0</v>
      </c>
      <c r="AI276" s="1">
        <f t="shared" ref="AI276:AI341" si="212">+(1-A276)*(1-P276)</f>
        <v>1</v>
      </c>
    </row>
    <row r="277" spans="1:35" s="1" customFormat="1" ht="14.25" customHeight="1" x14ac:dyDescent="0.3">
      <c r="A277" s="15">
        <v>0</v>
      </c>
      <c r="B277" s="15">
        <v>1</v>
      </c>
      <c r="C277" s="15">
        <v>7</v>
      </c>
      <c r="D277" s="16" t="s">
        <v>752</v>
      </c>
      <c r="E277" s="16" t="s">
        <v>29</v>
      </c>
      <c r="F277" s="16" t="s">
        <v>753</v>
      </c>
      <c r="G277" s="16" t="s">
        <v>39</v>
      </c>
      <c r="H277" s="16" t="s">
        <v>754</v>
      </c>
      <c r="I277" s="15" t="s">
        <v>755</v>
      </c>
      <c r="J277" s="15">
        <v>18</v>
      </c>
      <c r="K277" s="10" t="s">
        <v>700</v>
      </c>
      <c r="L277" s="10" t="s">
        <v>694</v>
      </c>
      <c r="M277" s="19" t="s">
        <v>705</v>
      </c>
      <c r="N277" s="17"/>
      <c r="Q277" s="16"/>
      <c r="S277" s="1">
        <f t="shared" si="169"/>
        <v>0</v>
      </c>
      <c r="T277" s="1">
        <f t="shared" si="170"/>
        <v>0</v>
      </c>
      <c r="U277" s="1">
        <f t="shared" si="171"/>
        <v>0</v>
      </c>
      <c r="V277" s="1">
        <f t="shared" si="172"/>
        <v>0</v>
      </c>
      <c r="W277" s="1">
        <f t="shared" si="173"/>
        <v>0</v>
      </c>
      <c r="X277" s="1">
        <f t="shared" si="174"/>
        <v>0</v>
      </c>
      <c r="Y277" s="1">
        <f t="shared" si="175"/>
        <v>0</v>
      </c>
      <c r="Z277" s="1">
        <f t="shared" si="176"/>
        <v>0</v>
      </c>
      <c r="AA277" s="1">
        <f t="shared" si="177"/>
        <v>0</v>
      </c>
      <c r="AB277" s="1">
        <f t="shared" si="178"/>
        <v>0</v>
      </c>
      <c r="AD277" s="1">
        <f t="shared" si="179"/>
        <v>0</v>
      </c>
      <c r="AE277" s="1">
        <f t="shared" si="180"/>
        <v>0</v>
      </c>
      <c r="AF277" s="1">
        <f t="shared" si="209"/>
        <v>0</v>
      </c>
      <c r="AG277" s="1">
        <f t="shared" si="210"/>
        <v>0</v>
      </c>
      <c r="AH277" s="1">
        <f t="shared" si="211"/>
        <v>0</v>
      </c>
      <c r="AI277" s="1">
        <f t="shared" si="212"/>
        <v>1</v>
      </c>
    </row>
    <row r="278" spans="1:35" s="1" customFormat="1" ht="14.25" customHeight="1" x14ac:dyDescent="0.3">
      <c r="A278" s="15">
        <v>1</v>
      </c>
      <c r="B278" s="15">
        <v>1</v>
      </c>
      <c r="C278" s="15">
        <v>7</v>
      </c>
      <c r="D278" s="16" t="s">
        <v>752</v>
      </c>
      <c r="E278" s="16" t="s">
        <v>29</v>
      </c>
      <c r="F278" s="16" t="s">
        <v>756</v>
      </c>
      <c r="G278" s="16" t="s">
        <v>39</v>
      </c>
      <c r="H278" s="16" t="s">
        <v>742</v>
      </c>
      <c r="I278" s="15" t="s">
        <v>757</v>
      </c>
      <c r="J278" s="15">
        <v>17</v>
      </c>
      <c r="K278" s="10" t="s">
        <v>700</v>
      </c>
      <c r="L278" s="10" t="s">
        <v>694</v>
      </c>
      <c r="M278" s="19" t="s">
        <v>705</v>
      </c>
      <c r="N278" s="17"/>
      <c r="Q278" s="16"/>
      <c r="S278" s="1">
        <f t="shared" si="169"/>
        <v>0</v>
      </c>
      <c r="T278" s="1">
        <f t="shared" si="170"/>
        <v>0</v>
      </c>
      <c r="U278" s="1">
        <f t="shared" si="171"/>
        <v>0</v>
      </c>
      <c r="V278" s="1">
        <f t="shared" si="172"/>
        <v>0</v>
      </c>
      <c r="W278" s="1">
        <f t="shared" si="173"/>
        <v>0</v>
      </c>
      <c r="X278" s="1">
        <f t="shared" si="174"/>
        <v>0</v>
      </c>
      <c r="Y278" s="1">
        <f t="shared" si="175"/>
        <v>0</v>
      </c>
      <c r="Z278" s="1">
        <f t="shared" si="176"/>
        <v>0</v>
      </c>
      <c r="AA278" s="1">
        <f t="shared" si="177"/>
        <v>0</v>
      </c>
      <c r="AB278" s="1">
        <f t="shared" si="178"/>
        <v>0</v>
      </c>
      <c r="AD278" s="1">
        <f t="shared" si="179"/>
        <v>0</v>
      </c>
      <c r="AE278" s="1">
        <f t="shared" si="180"/>
        <v>0</v>
      </c>
      <c r="AF278" s="1">
        <f t="shared" si="209"/>
        <v>0</v>
      </c>
      <c r="AG278" s="1">
        <f t="shared" si="210"/>
        <v>0</v>
      </c>
      <c r="AH278" s="1">
        <f t="shared" si="211"/>
        <v>0</v>
      </c>
      <c r="AI278" s="1">
        <f t="shared" si="212"/>
        <v>0</v>
      </c>
    </row>
    <row r="279" spans="1:35" s="1" customFormat="1" ht="14.25" customHeight="1" x14ac:dyDescent="0.3">
      <c r="A279" s="31">
        <v>0</v>
      </c>
      <c r="B279" s="31">
        <v>1</v>
      </c>
      <c r="C279" s="31">
        <v>7</v>
      </c>
      <c r="D279" s="36" t="s">
        <v>1515</v>
      </c>
      <c r="E279" s="32" t="s">
        <v>29</v>
      </c>
      <c r="F279" s="36" t="s">
        <v>1668</v>
      </c>
      <c r="G279" s="36" t="s">
        <v>1669</v>
      </c>
      <c r="H279" s="36" t="s">
        <v>352</v>
      </c>
      <c r="I279" s="37" t="s">
        <v>1516</v>
      </c>
      <c r="J279" s="31">
        <v>99</v>
      </c>
      <c r="K279" s="33" t="s">
        <v>710</v>
      </c>
      <c r="L279" s="33" t="s">
        <v>39</v>
      </c>
      <c r="M279" s="34" t="s">
        <v>39</v>
      </c>
      <c r="N279" s="34" t="s">
        <v>1724</v>
      </c>
      <c r="O279" s="35">
        <v>1</v>
      </c>
      <c r="P279" s="35">
        <v>1</v>
      </c>
      <c r="Q279" s="36"/>
      <c r="S279" s="1">
        <f t="shared" si="169"/>
        <v>0</v>
      </c>
      <c r="T279" s="1">
        <f t="shared" si="170"/>
        <v>0</v>
      </c>
      <c r="U279" s="1">
        <f t="shared" si="171"/>
        <v>0</v>
      </c>
      <c r="V279" s="1">
        <f t="shared" si="172"/>
        <v>0</v>
      </c>
      <c r="W279" s="1">
        <f t="shared" si="173"/>
        <v>0</v>
      </c>
      <c r="X279" s="1">
        <f t="shared" si="174"/>
        <v>0</v>
      </c>
      <c r="Y279" s="1">
        <f t="shared" si="175"/>
        <v>0</v>
      </c>
      <c r="Z279" s="1">
        <f t="shared" si="176"/>
        <v>0</v>
      </c>
      <c r="AA279" s="1">
        <f t="shared" si="177"/>
        <v>0</v>
      </c>
      <c r="AB279" s="1">
        <f t="shared" si="178"/>
        <v>0</v>
      </c>
      <c r="AD279" s="1">
        <f t="shared" si="179"/>
        <v>1</v>
      </c>
      <c r="AE279" s="1">
        <f t="shared" si="180"/>
        <v>0</v>
      </c>
      <c r="AF279" s="1">
        <f t="shared" si="209"/>
        <v>1</v>
      </c>
      <c r="AG279" s="1">
        <f t="shared" si="210"/>
        <v>0</v>
      </c>
      <c r="AH279" s="1">
        <f t="shared" si="211"/>
        <v>1</v>
      </c>
      <c r="AI279" s="1">
        <f t="shared" si="212"/>
        <v>0</v>
      </c>
    </row>
    <row r="280" spans="1:35" s="1" customFormat="1" ht="14.25" customHeight="1" x14ac:dyDescent="0.3">
      <c r="A280" s="44">
        <v>0</v>
      </c>
      <c r="B280" s="44">
        <v>1</v>
      </c>
      <c r="C280" s="44">
        <v>7</v>
      </c>
      <c r="D280" s="45" t="s">
        <v>1141</v>
      </c>
      <c r="E280" s="45" t="s">
        <v>29</v>
      </c>
      <c r="F280" s="45" t="s">
        <v>1142</v>
      </c>
      <c r="G280" s="45" t="s">
        <v>1144</v>
      </c>
      <c r="H280" s="45" t="s">
        <v>352</v>
      </c>
      <c r="I280" s="44" t="s">
        <v>1143</v>
      </c>
      <c r="J280" s="44">
        <v>99</v>
      </c>
      <c r="K280" s="46" t="s">
        <v>700</v>
      </c>
      <c r="L280" s="46">
        <v>30</v>
      </c>
      <c r="M280" s="47" t="s">
        <v>1407</v>
      </c>
      <c r="N280" s="47" t="s">
        <v>1806</v>
      </c>
      <c r="O280" s="48"/>
      <c r="P280" s="48"/>
      <c r="Q280" s="45"/>
      <c r="S280" s="1">
        <f t="shared" ref="S280:S345" si="213">IF(J280=$S$7,1,0)</f>
        <v>0</v>
      </c>
      <c r="T280" s="1">
        <f t="shared" ref="T280:T345" si="214">IF(J280=$T$7,1,0)</f>
        <v>0</v>
      </c>
      <c r="U280" s="1">
        <f t="shared" ref="U280:U345" si="215">IF(J280=$U$7,1,0)</f>
        <v>0</v>
      </c>
      <c r="V280" s="1">
        <f t="shared" ref="V280:V345" si="216">IF(J280=$V$7,1,0)</f>
        <v>0</v>
      </c>
      <c r="W280" s="1">
        <f t="shared" ref="W280:W345" si="217">IF(J280=$W$7,1,0)</f>
        <v>0</v>
      </c>
      <c r="X280" s="1">
        <f t="shared" ref="X280:X345" si="218">IF(J280=$X$7,1,0)</f>
        <v>0</v>
      </c>
      <c r="Y280" s="1">
        <f t="shared" ref="Y280:Y345" si="219">IF(J280=$Y$7,1,0)</f>
        <v>0</v>
      </c>
      <c r="Z280" s="1">
        <f t="shared" ref="Z280:Z345" si="220">IF(J280=$Z$7,1,0)</f>
        <v>0</v>
      </c>
      <c r="AA280" s="1">
        <f t="shared" ref="AA280:AA345" si="221">IF(J280=$AA$7,1,0)</f>
        <v>0</v>
      </c>
      <c r="AB280" s="1">
        <f t="shared" ref="AB280:AB345" si="222">IF(J280=$AB$7,1,0)</f>
        <v>0</v>
      </c>
      <c r="AD280" s="1">
        <f t="shared" ref="AD280:AD345" si="223">+O280*P280</f>
        <v>0</v>
      </c>
      <c r="AE280" s="1">
        <f t="shared" ref="AE280:AE345" si="224">O280*(1-P280)</f>
        <v>0</v>
      </c>
      <c r="AF280" s="1">
        <f t="shared" si="209"/>
        <v>0</v>
      </c>
      <c r="AG280" s="1">
        <f t="shared" si="210"/>
        <v>0</v>
      </c>
      <c r="AH280" s="1">
        <f t="shared" si="211"/>
        <v>0</v>
      </c>
      <c r="AI280" s="1">
        <f t="shared" si="212"/>
        <v>1</v>
      </c>
    </row>
    <row r="281" spans="1:35" s="1" customFormat="1" ht="14.25" customHeight="1" x14ac:dyDescent="0.3">
      <c r="A281" s="31">
        <v>0</v>
      </c>
      <c r="B281" s="31">
        <v>1</v>
      </c>
      <c r="C281" s="31">
        <v>7</v>
      </c>
      <c r="D281" s="32" t="s">
        <v>98</v>
      </c>
      <c r="E281" s="32" t="s">
        <v>29</v>
      </c>
      <c r="F281" s="32" t="s">
        <v>295</v>
      </c>
      <c r="G281" s="32" t="s">
        <v>196</v>
      </c>
      <c r="H281" s="32" t="s">
        <v>352</v>
      </c>
      <c r="I281" s="31" t="s">
        <v>443</v>
      </c>
      <c r="J281" s="31">
        <v>9</v>
      </c>
      <c r="K281" s="33" t="s">
        <v>700</v>
      </c>
      <c r="L281" s="33">
        <v>30</v>
      </c>
      <c r="M281" s="34" t="s">
        <v>705</v>
      </c>
      <c r="N281" s="34" t="s">
        <v>1740</v>
      </c>
      <c r="O281" s="35">
        <v>1</v>
      </c>
      <c r="P281" s="35"/>
      <c r="Q281" s="32"/>
      <c r="S281" s="1">
        <f t="shared" si="213"/>
        <v>0</v>
      </c>
      <c r="T281" s="1">
        <f t="shared" si="214"/>
        <v>0</v>
      </c>
      <c r="U281" s="1">
        <f t="shared" si="215"/>
        <v>0</v>
      </c>
      <c r="V281" s="1">
        <f t="shared" si="216"/>
        <v>0</v>
      </c>
      <c r="W281" s="1">
        <f t="shared" si="217"/>
        <v>0</v>
      </c>
      <c r="X281" s="1">
        <f t="shared" si="218"/>
        <v>0</v>
      </c>
      <c r="Y281" s="1">
        <f t="shared" si="219"/>
        <v>0</v>
      </c>
      <c r="Z281" s="1">
        <f t="shared" si="220"/>
        <v>0</v>
      </c>
      <c r="AA281" s="1">
        <f t="shared" si="221"/>
        <v>1</v>
      </c>
      <c r="AB281" s="1">
        <f t="shared" si="222"/>
        <v>0</v>
      </c>
      <c r="AD281" s="1">
        <f t="shared" si="223"/>
        <v>0</v>
      </c>
      <c r="AE281" s="1">
        <f t="shared" si="224"/>
        <v>1</v>
      </c>
      <c r="AF281" s="1">
        <f t="shared" si="209"/>
        <v>0</v>
      </c>
      <c r="AG281" s="1">
        <f t="shared" si="210"/>
        <v>1</v>
      </c>
      <c r="AH281" s="1">
        <f t="shared" si="211"/>
        <v>0</v>
      </c>
      <c r="AI281" s="1">
        <f t="shared" si="212"/>
        <v>1</v>
      </c>
    </row>
    <row r="282" spans="1:35" s="1" customFormat="1" ht="14.25" customHeight="1" x14ac:dyDescent="0.3">
      <c r="A282" s="44">
        <v>0</v>
      </c>
      <c r="B282" s="44">
        <v>1</v>
      </c>
      <c r="C282" s="44">
        <v>7</v>
      </c>
      <c r="D282" s="45" t="s">
        <v>800</v>
      </c>
      <c r="E282" s="45" t="s">
        <v>29</v>
      </c>
      <c r="F282" s="45" t="s">
        <v>779</v>
      </c>
      <c r="G282" s="45" t="s">
        <v>801</v>
      </c>
      <c r="H282" s="45" t="s">
        <v>352</v>
      </c>
      <c r="I282" s="44" t="s">
        <v>949</v>
      </c>
      <c r="J282" s="44">
        <v>99</v>
      </c>
      <c r="K282" s="46" t="s">
        <v>710</v>
      </c>
      <c r="L282" s="46" t="s">
        <v>691</v>
      </c>
      <c r="M282" s="47" t="s">
        <v>705</v>
      </c>
      <c r="N282" s="47" t="s">
        <v>1799</v>
      </c>
      <c r="O282" s="48"/>
      <c r="P282" s="48"/>
      <c r="Q282" s="45"/>
      <c r="S282" s="1">
        <f t="shared" si="213"/>
        <v>0</v>
      </c>
      <c r="T282" s="1">
        <f t="shared" si="214"/>
        <v>0</v>
      </c>
      <c r="U282" s="1">
        <f t="shared" si="215"/>
        <v>0</v>
      </c>
      <c r="V282" s="1">
        <f t="shared" si="216"/>
        <v>0</v>
      </c>
      <c r="W282" s="1">
        <f t="shared" si="217"/>
        <v>0</v>
      </c>
      <c r="X282" s="1">
        <f t="shared" si="218"/>
        <v>0</v>
      </c>
      <c r="Y282" s="1">
        <f t="shared" si="219"/>
        <v>0</v>
      </c>
      <c r="Z282" s="1">
        <f t="shared" si="220"/>
        <v>0</v>
      </c>
      <c r="AA282" s="1">
        <f t="shared" si="221"/>
        <v>0</v>
      </c>
      <c r="AB282" s="1">
        <f t="shared" si="222"/>
        <v>0</v>
      </c>
      <c r="AD282" s="1">
        <f t="shared" si="223"/>
        <v>0</v>
      </c>
      <c r="AE282" s="1">
        <f t="shared" si="224"/>
        <v>0</v>
      </c>
      <c r="AF282" s="1">
        <f t="shared" si="209"/>
        <v>0</v>
      </c>
      <c r="AG282" s="1">
        <f t="shared" si="210"/>
        <v>0</v>
      </c>
      <c r="AH282" s="1">
        <f t="shared" si="211"/>
        <v>0</v>
      </c>
      <c r="AI282" s="1">
        <f t="shared" si="212"/>
        <v>1</v>
      </c>
    </row>
    <row r="283" spans="1:35" s="1" customFormat="1" ht="14.25" customHeight="1" x14ac:dyDescent="0.3">
      <c r="A283" s="44">
        <v>0</v>
      </c>
      <c r="B283" s="44">
        <v>1</v>
      </c>
      <c r="C283" s="44">
        <v>7</v>
      </c>
      <c r="D283" s="45" t="s">
        <v>1321</v>
      </c>
      <c r="E283" s="45" t="s">
        <v>29</v>
      </c>
      <c r="F283" s="45" t="s">
        <v>1344</v>
      </c>
      <c r="G283" s="45" t="s">
        <v>1178</v>
      </c>
      <c r="H283" s="45" t="s">
        <v>352</v>
      </c>
      <c r="I283" s="44" t="s">
        <v>1689</v>
      </c>
      <c r="J283" s="44">
        <v>99</v>
      </c>
      <c r="K283" s="46" t="s">
        <v>710</v>
      </c>
      <c r="L283" s="46" t="s">
        <v>691</v>
      </c>
      <c r="M283" s="47" t="s">
        <v>1408</v>
      </c>
      <c r="N283" s="47" t="s">
        <v>1735</v>
      </c>
      <c r="O283" s="48"/>
      <c r="P283" s="48"/>
      <c r="Q283" s="45"/>
      <c r="S283" s="1">
        <f t="shared" si="213"/>
        <v>0</v>
      </c>
      <c r="T283" s="1">
        <f t="shared" si="214"/>
        <v>0</v>
      </c>
      <c r="U283" s="1">
        <f t="shared" si="215"/>
        <v>0</v>
      </c>
      <c r="V283" s="1">
        <f t="shared" si="216"/>
        <v>0</v>
      </c>
      <c r="W283" s="1">
        <f t="shared" si="217"/>
        <v>0</v>
      </c>
      <c r="X283" s="1">
        <f t="shared" si="218"/>
        <v>0</v>
      </c>
      <c r="Y283" s="1">
        <f t="shared" si="219"/>
        <v>0</v>
      </c>
      <c r="Z283" s="1">
        <f t="shared" si="220"/>
        <v>0</v>
      </c>
      <c r="AA283" s="1">
        <f t="shared" si="221"/>
        <v>0</v>
      </c>
      <c r="AB283" s="1">
        <f t="shared" si="222"/>
        <v>0</v>
      </c>
      <c r="AD283" s="1">
        <f t="shared" si="223"/>
        <v>0</v>
      </c>
      <c r="AE283" s="1">
        <f t="shared" si="224"/>
        <v>0</v>
      </c>
      <c r="AF283" s="1">
        <f t="shared" si="209"/>
        <v>0</v>
      </c>
      <c r="AG283" s="1">
        <f t="shared" si="210"/>
        <v>0</v>
      </c>
      <c r="AH283" s="1">
        <f t="shared" si="211"/>
        <v>0</v>
      </c>
      <c r="AI283" s="1">
        <f t="shared" si="212"/>
        <v>1</v>
      </c>
    </row>
    <row r="284" spans="1:35" s="1" customFormat="1" ht="14.25" customHeight="1" x14ac:dyDescent="0.3">
      <c r="A284" s="15">
        <v>0</v>
      </c>
      <c r="B284" s="15">
        <v>1</v>
      </c>
      <c r="C284" s="15">
        <v>7</v>
      </c>
      <c r="D284" s="16" t="s">
        <v>1276</v>
      </c>
      <c r="E284" s="16" t="s">
        <v>29</v>
      </c>
      <c r="F284" s="16" t="s">
        <v>1277</v>
      </c>
      <c r="G284" s="16" t="s">
        <v>1278</v>
      </c>
      <c r="H284" s="16" t="s">
        <v>352</v>
      </c>
      <c r="I284" s="15" t="s">
        <v>1279</v>
      </c>
      <c r="J284" s="15">
        <v>99</v>
      </c>
      <c r="K284" s="10" t="s">
        <v>710</v>
      </c>
      <c r="L284" s="10" t="s">
        <v>691</v>
      </c>
      <c r="M284" s="19" t="s">
        <v>705</v>
      </c>
      <c r="N284" s="17"/>
      <c r="Q284" s="16"/>
      <c r="S284" s="1">
        <f t="shared" si="213"/>
        <v>0</v>
      </c>
      <c r="T284" s="1">
        <f t="shared" si="214"/>
        <v>0</v>
      </c>
      <c r="U284" s="1">
        <f t="shared" si="215"/>
        <v>0</v>
      </c>
      <c r="V284" s="1">
        <f t="shared" si="216"/>
        <v>0</v>
      </c>
      <c r="W284" s="1">
        <f t="shared" si="217"/>
        <v>0</v>
      </c>
      <c r="X284" s="1">
        <f t="shared" si="218"/>
        <v>0</v>
      </c>
      <c r="Y284" s="1">
        <f t="shared" si="219"/>
        <v>0</v>
      </c>
      <c r="Z284" s="1">
        <f t="shared" si="220"/>
        <v>0</v>
      </c>
      <c r="AA284" s="1">
        <f t="shared" si="221"/>
        <v>0</v>
      </c>
      <c r="AB284" s="1">
        <f t="shared" si="222"/>
        <v>0</v>
      </c>
      <c r="AD284" s="1">
        <f t="shared" si="223"/>
        <v>0</v>
      </c>
      <c r="AE284" s="1">
        <f t="shared" si="224"/>
        <v>0</v>
      </c>
      <c r="AF284" s="1">
        <f t="shared" si="209"/>
        <v>0</v>
      </c>
      <c r="AG284" s="1">
        <f t="shared" si="210"/>
        <v>0</v>
      </c>
      <c r="AH284" s="1">
        <f t="shared" si="211"/>
        <v>0</v>
      </c>
      <c r="AI284" s="1">
        <f t="shared" si="212"/>
        <v>1</v>
      </c>
    </row>
    <row r="285" spans="1:35" s="1" customFormat="1" ht="14.25" customHeight="1" x14ac:dyDescent="0.3">
      <c r="A285" s="31">
        <v>0</v>
      </c>
      <c r="B285" s="31">
        <v>1</v>
      </c>
      <c r="C285" s="31">
        <v>7</v>
      </c>
      <c r="D285" s="32" t="s">
        <v>706</v>
      </c>
      <c r="E285" s="32" t="s">
        <v>29</v>
      </c>
      <c r="F285" s="32" t="s">
        <v>707</v>
      </c>
      <c r="G285" s="32" t="s">
        <v>183</v>
      </c>
      <c r="H285" s="32" t="s">
        <v>352</v>
      </c>
      <c r="I285" s="31" t="s">
        <v>708</v>
      </c>
      <c r="J285" s="31">
        <v>99</v>
      </c>
      <c r="K285" s="33" t="s">
        <v>952</v>
      </c>
      <c r="L285" s="33" t="s">
        <v>39</v>
      </c>
      <c r="M285" s="34" t="s">
        <v>39</v>
      </c>
      <c r="N285" s="34" t="s">
        <v>1730</v>
      </c>
      <c r="O285" s="35">
        <v>1</v>
      </c>
      <c r="P285" s="35">
        <v>1</v>
      </c>
      <c r="Q285" s="32"/>
      <c r="S285" s="1">
        <f t="shared" si="213"/>
        <v>0</v>
      </c>
      <c r="T285" s="1">
        <f t="shared" si="214"/>
        <v>0</v>
      </c>
      <c r="U285" s="1">
        <f t="shared" si="215"/>
        <v>0</v>
      </c>
      <c r="V285" s="1">
        <f t="shared" si="216"/>
        <v>0</v>
      </c>
      <c r="W285" s="1">
        <f t="shared" si="217"/>
        <v>0</v>
      </c>
      <c r="X285" s="1">
        <f t="shared" si="218"/>
        <v>0</v>
      </c>
      <c r="Y285" s="1">
        <f t="shared" si="219"/>
        <v>0</v>
      </c>
      <c r="Z285" s="1">
        <f t="shared" si="220"/>
        <v>0</v>
      </c>
      <c r="AA285" s="1">
        <f t="shared" si="221"/>
        <v>0</v>
      </c>
      <c r="AB285" s="1">
        <f t="shared" si="222"/>
        <v>0</v>
      </c>
      <c r="AD285" s="1">
        <f t="shared" si="223"/>
        <v>1</v>
      </c>
      <c r="AE285" s="1">
        <f t="shared" si="224"/>
        <v>0</v>
      </c>
      <c r="AF285" s="1">
        <f t="shared" si="209"/>
        <v>1</v>
      </c>
      <c r="AG285" s="1">
        <f t="shared" si="210"/>
        <v>0</v>
      </c>
      <c r="AH285" s="1">
        <f t="shared" si="211"/>
        <v>1</v>
      </c>
      <c r="AI285" s="1">
        <f t="shared" si="212"/>
        <v>0</v>
      </c>
    </row>
    <row r="286" spans="1:35" s="1" customFormat="1" ht="14.25" customHeight="1" x14ac:dyDescent="0.3">
      <c r="A286" s="31">
        <v>0</v>
      </c>
      <c r="B286" s="31">
        <v>2</v>
      </c>
      <c r="C286" s="31">
        <v>1</v>
      </c>
      <c r="D286" s="32" t="s">
        <v>533</v>
      </c>
      <c r="E286" s="32" t="s">
        <v>34</v>
      </c>
      <c r="F286" s="32" t="s">
        <v>534</v>
      </c>
      <c r="G286" s="32" t="s">
        <v>219</v>
      </c>
      <c r="H286" s="32" t="s">
        <v>352</v>
      </c>
      <c r="I286" s="31" t="s">
        <v>535</v>
      </c>
      <c r="J286" s="31">
        <v>8</v>
      </c>
      <c r="K286" s="33" t="s">
        <v>710</v>
      </c>
      <c r="L286" s="33" t="s">
        <v>710</v>
      </c>
      <c r="M286" s="34" t="s">
        <v>711</v>
      </c>
      <c r="N286" s="34" t="s">
        <v>1745</v>
      </c>
      <c r="O286" s="35">
        <v>1</v>
      </c>
      <c r="P286" s="35"/>
      <c r="Q286" s="32"/>
      <c r="S286" s="1">
        <f t="shared" si="213"/>
        <v>0</v>
      </c>
      <c r="T286" s="1">
        <f t="shared" si="214"/>
        <v>0</v>
      </c>
      <c r="U286" s="1">
        <f t="shared" si="215"/>
        <v>0</v>
      </c>
      <c r="V286" s="1">
        <f t="shared" si="216"/>
        <v>0</v>
      </c>
      <c r="W286" s="1">
        <f t="shared" si="217"/>
        <v>0</v>
      </c>
      <c r="X286" s="1">
        <f t="shared" si="218"/>
        <v>0</v>
      </c>
      <c r="Y286" s="1">
        <f t="shared" si="219"/>
        <v>0</v>
      </c>
      <c r="Z286" s="1">
        <f t="shared" si="220"/>
        <v>1</v>
      </c>
      <c r="AA286" s="1">
        <f t="shared" si="221"/>
        <v>0</v>
      </c>
      <c r="AB286" s="1">
        <f t="shared" si="222"/>
        <v>0</v>
      </c>
      <c r="AD286" s="1">
        <f t="shared" si="223"/>
        <v>0</v>
      </c>
      <c r="AE286" s="1">
        <f t="shared" si="224"/>
        <v>1</v>
      </c>
      <c r="AF286" s="1">
        <f t="shared" si="209"/>
        <v>0</v>
      </c>
      <c r="AG286" s="1">
        <f t="shared" si="210"/>
        <v>1</v>
      </c>
      <c r="AH286" s="1">
        <f t="shared" si="211"/>
        <v>0</v>
      </c>
      <c r="AI286" s="1">
        <f t="shared" si="212"/>
        <v>1</v>
      </c>
    </row>
    <row r="287" spans="1:35" s="1" customFormat="1" ht="14.25" customHeight="1" x14ac:dyDescent="0.3">
      <c r="A287" s="31">
        <v>0</v>
      </c>
      <c r="B287" s="31">
        <v>2</v>
      </c>
      <c r="C287" s="31">
        <v>1</v>
      </c>
      <c r="D287" s="32" t="s">
        <v>1287</v>
      </c>
      <c r="E287" s="32" t="s">
        <v>558</v>
      </c>
      <c r="F287" s="32" t="s">
        <v>1288</v>
      </c>
      <c r="G287" s="32" t="s">
        <v>229</v>
      </c>
      <c r="H287" s="32" t="s">
        <v>352</v>
      </c>
      <c r="I287" s="31" t="s">
        <v>1289</v>
      </c>
      <c r="J287" s="31">
        <v>7</v>
      </c>
      <c r="K287" s="33" t="s">
        <v>710</v>
      </c>
      <c r="L287" s="33" t="s">
        <v>710</v>
      </c>
      <c r="M287" s="34" t="s">
        <v>711</v>
      </c>
      <c r="N287" s="34" t="s">
        <v>1753</v>
      </c>
      <c r="O287" s="35">
        <v>1</v>
      </c>
      <c r="P287" s="35"/>
      <c r="Q287" s="32"/>
      <c r="S287" s="1">
        <f t="shared" si="213"/>
        <v>0</v>
      </c>
      <c r="T287" s="1">
        <f t="shared" si="214"/>
        <v>0</v>
      </c>
      <c r="U287" s="1">
        <f t="shared" si="215"/>
        <v>0</v>
      </c>
      <c r="V287" s="1">
        <f t="shared" si="216"/>
        <v>0</v>
      </c>
      <c r="W287" s="1">
        <f t="shared" si="217"/>
        <v>0</v>
      </c>
      <c r="X287" s="1">
        <f t="shared" si="218"/>
        <v>0</v>
      </c>
      <c r="Y287" s="1">
        <f t="shared" si="219"/>
        <v>1</v>
      </c>
      <c r="Z287" s="1">
        <f t="shared" si="220"/>
        <v>0</v>
      </c>
      <c r="AA287" s="1">
        <f t="shared" si="221"/>
        <v>0</v>
      </c>
      <c r="AB287" s="1">
        <f t="shared" si="222"/>
        <v>0</v>
      </c>
      <c r="AD287" s="1">
        <f t="shared" si="223"/>
        <v>0</v>
      </c>
      <c r="AE287" s="1">
        <f t="shared" si="224"/>
        <v>1</v>
      </c>
      <c r="AF287" s="1">
        <f t="shared" si="209"/>
        <v>0</v>
      </c>
      <c r="AG287" s="1">
        <f t="shared" si="210"/>
        <v>1</v>
      </c>
      <c r="AH287" s="1">
        <f t="shared" si="211"/>
        <v>0</v>
      </c>
      <c r="AI287" s="1">
        <f t="shared" si="212"/>
        <v>1</v>
      </c>
    </row>
    <row r="288" spans="1:35" s="1" customFormat="1" ht="14.25" customHeight="1" x14ac:dyDescent="0.3">
      <c r="A288" s="31">
        <v>0</v>
      </c>
      <c r="B288" s="31">
        <v>2</v>
      </c>
      <c r="C288" s="31">
        <v>1</v>
      </c>
      <c r="D288" s="32" t="s">
        <v>1323</v>
      </c>
      <c r="E288" s="32" t="s">
        <v>558</v>
      </c>
      <c r="F288" s="32" t="s">
        <v>1985</v>
      </c>
      <c r="G288" s="32" t="s">
        <v>212</v>
      </c>
      <c r="H288" s="32" t="s">
        <v>352</v>
      </c>
      <c r="I288" s="31" t="s">
        <v>1153</v>
      </c>
      <c r="J288" s="31">
        <v>1</v>
      </c>
      <c r="K288" s="33" t="s">
        <v>951</v>
      </c>
      <c r="L288" s="33" t="s">
        <v>710</v>
      </c>
      <c r="M288" s="34" t="s">
        <v>711</v>
      </c>
      <c r="N288" s="34" t="s">
        <v>1758</v>
      </c>
      <c r="O288" s="35">
        <v>1</v>
      </c>
      <c r="P288" s="35"/>
      <c r="Q288" s="32"/>
      <c r="S288" s="1">
        <f t="shared" si="213"/>
        <v>1</v>
      </c>
      <c r="T288" s="1">
        <f t="shared" si="214"/>
        <v>0</v>
      </c>
      <c r="U288" s="1">
        <f t="shared" si="215"/>
        <v>0</v>
      </c>
      <c r="V288" s="1">
        <f t="shared" si="216"/>
        <v>0</v>
      </c>
      <c r="W288" s="1">
        <f t="shared" si="217"/>
        <v>0</v>
      </c>
      <c r="X288" s="1">
        <f t="shared" si="218"/>
        <v>0</v>
      </c>
      <c r="Y288" s="1">
        <f t="shared" si="219"/>
        <v>0</v>
      </c>
      <c r="Z288" s="1">
        <f t="shared" si="220"/>
        <v>0</v>
      </c>
      <c r="AA288" s="1">
        <f t="shared" si="221"/>
        <v>0</v>
      </c>
      <c r="AB288" s="1">
        <f t="shared" si="222"/>
        <v>0</v>
      </c>
      <c r="AD288" s="1">
        <f t="shared" si="223"/>
        <v>0</v>
      </c>
      <c r="AE288" s="1">
        <f t="shared" si="224"/>
        <v>1</v>
      </c>
      <c r="AF288" s="1">
        <f t="shared" si="209"/>
        <v>0</v>
      </c>
      <c r="AG288" s="1">
        <f t="shared" si="210"/>
        <v>1</v>
      </c>
      <c r="AH288" s="1">
        <f t="shared" si="211"/>
        <v>0</v>
      </c>
      <c r="AI288" s="1">
        <f t="shared" si="212"/>
        <v>1</v>
      </c>
    </row>
    <row r="289" spans="1:35" s="1" customFormat="1" ht="14.25" customHeight="1" x14ac:dyDescent="0.3">
      <c r="A289" s="31">
        <v>0</v>
      </c>
      <c r="B289" s="31">
        <v>2</v>
      </c>
      <c r="C289" s="31">
        <v>1</v>
      </c>
      <c r="D289" s="32" t="s">
        <v>1324</v>
      </c>
      <c r="E289" s="32" t="s">
        <v>558</v>
      </c>
      <c r="F289" s="32" t="s">
        <v>1148</v>
      </c>
      <c r="G289" s="32" t="s">
        <v>283</v>
      </c>
      <c r="H289" s="32" t="s">
        <v>352</v>
      </c>
      <c r="I289" s="31" t="s">
        <v>1149</v>
      </c>
      <c r="J289" s="31">
        <v>10</v>
      </c>
      <c r="K289" s="33" t="s">
        <v>951</v>
      </c>
      <c r="L289" s="33" t="s">
        <v>710</v>
      </c>
      <c r="M289" s="34" t="s">
        <v>711</v>
      </c>
      <c r="N289" s="34" t="s">
        <v>1758</v>
      </c>
      <c r="O289" s="35">
        <v>1</v>
      </c>
      <c r="P289" s="35"/>
      <c r="Q289" s="32"/>
      <c r="S289" s="1">
        <f t="shared" si="213"/>
        <v>0</v>
      </c>
      <c r="T289" s="1">
        <f t="shared" si="214"/>
        <v>0</v>
      </c>
      <c r="U289" s="1">
        <f t="shared" si="215"/>
        <v>0</v>
      </c>
      <c r="V289" s="1">
        <f t="shared" si="216"/>
        <v>0</v>
      </c>
      <c r="W289" s="1">
        <f t="shared" si="217"/>
        <v>0</v>
      </c>
      <c r="X289" s="1">
        <f t="shared" si="218"/>
        <v>0</v>
      </c>
      <c r="Y289" s="1">
        <f t="shared" si="219"/>
        <v>0</v>
      </c>
      <c r="Z289" s="1">
        <f t="shared" si="220"/>
        <v>0</v>
      </c>
      <c r="AA289" s="1">
        <f t="shared" si="221"/>
        <v>0</v>
      </c>
      <c r="AB289" s="1">
        <f t="shared" si="222"/>
        <v>1</v>
      </c>
      <c r="AD289" s="1">
        <f t="shared" si="223"/>
        <v>0</v>
      </c>
      <c r="AE289" s="1">
        <f t="shared" si="224"/>
        <v>1</v>
      </c>
      <c r="AF289" s="1">
        <f t="shared" si="209"/>
        <v>0</v>
      </c>
      <c r="AG289" s="1">
        <f t="shared" si="210"/>
        <v>1</v>
      </c>
      <c r="AH289" s="1">
        <f t="shared" si="211"/>
        <v>0</v>
      </c>
      <c r="AI289" s="1">
        <f t="shared" si="212"/>
        <v>1</v>
      </c>
    </row>
    <row r="290" spans="1:35" s="1" customFormat="1" ht="14.25" customHeight="1" x14ac:dyDescent="0.3">
      <c r="A290" s="15">
        <v>0</v>
      </c>
      <c r="B290" s="15">
        <v>2</v>
      </c>
      <c r="C290" s="15">
        <v>1</v>
      </c>
      <c r="D290" s="20" t="s">
        <v>2065</v>
      </c>
      <c r="E290" s="20" t="s">
        <v>36</v>
      </c>
      <c r="F290" s="20" t="s">
        <v>2066</v>
      </c>
      <c r="G290" s="20" t="s">
        <v>1480</v>
      </c>
      <c r="H290" s="20" t="s">
        <v>352</v>
      </c>
      <c r="I290" s="21" t="s">
        <v>2068</v>
      </c>
      <c r="J290" s="15">
        <v>99</v>
      </c>
      <c r="K290" s="10" t="s">
        <v>700</v>
      </c>
      <c r="L290" s="10">
        <v>7</v>
      </c>
      <c r="M290" s="19" t="s">
        <v>2067</v>
      </c>
      <c r="N290" s="19"/>
      <c r="Q290" s="20" t="s">
        <v>2069</v>
      </c>
      <c r="S290" s="1">
        <f t="shared" si="213"/>
        <v>0</v>
      </c>
      <c r="T290" s="1">
        <f t="shared" si="214"/>
        <v>0</v>
      </c>
      <c r="U290" s="1">
        <f t="shared" si="215"/>
        <v>0</v>
      </c>
      <c r="V290" s="1">
        <f t="shared" si="216"/>
        <v>0</v>
      </c>
      <c r="W290" s="1">
        <f t="shared" si="217"/>
        <v>0</v>
      </c>
      <c r="X290" s="1">
        <f t="shared" si="218"/>
        <v>0</v>
      </c>
      <c r="Y290" s="1">
        <f t="shared" si="219"/>
        <v>0</v>
      </c>
      <c r="Z290" s="1">
        <f t="shared" si="220"/>
        <v>0</v>
      </c>
      <c r="AA290" s="1">
        <f t="shared" si="221"/>
        <v>0</v>
      </c>
      <c r="AB290" s="1">
        <f t="shared" si="222"/>
        <v>0</v>
      </c>
      <c r="AD290" s="1">
        <f t="shared" ref="AD290:AD294" si="225">+O290*P290</f>
        <v>0</v>
      </c>
      <c r="AE290" s="1">
        <f t="shared" ref="AE290:AE294" si="226">O290*(1-P290)</f>
        <v>0</v>
      </c>
      <c r="AF290" s="1">
        <f t="shared" ref="AF290:AF294" si="227">+O290*P290*(1-A290)</f>
        <v>0</v>
      </c>
      <c r="AG290" s="1">
        <f t="shared" ref="AG290:AG294" si="228">O290*(1-P290)*(1-A290)</f>
        <v>0</v>
      </c>
      <c r="AH290" s="1">
        <f t="shared" ref="AH290:AH294" si="229">+P290*(1-A290)</f>
        <v>0</v>
      </c>
      <c r="AI290" s="1">
        <f t="shared" ref="AI290:AI294" si="230">+(1-A290)*(1-P290)</f>
        <v>1</v>
      </c>
    </row>
    <row r="291" spans="1:35" s="1" customFormat="1" ht="14.25" customHeight="1" x14ac:dyDescent="0.3">
      <c r="A291" s="15">
        <v>0</v>
      </c>
      <c r="B291" s="15">
        <v>2</v>
      </c>
      <c r="C291" s="15">
        <v>1</v>
      </c>
      <c r="D291" s="16" t="s">
        <v>509</v>
      </c>
      <c r="E291" s="16" t="s">
        <v>34</v>
      </c>
      <c r="F291" s="16" t="s">
        <v>508</v>
      </c>
      <c r="G291" s="16" t="s">
        <v>543</v>
      </c>
      <c r="H291" s="16" t="s">
        <v>352</v>
      </c>
      <c r="I291" s="15" t="s">
        <v>1361</v>
      </c>
      <c r="J291" s="15">
        <v>99</v>
      </c>
      <c r="K291" s="10" t="s">
        <v>952</v>
      </c>
      <c r="L291" s="10" t="s">
        <v>710</v>
      </c>
      <c r="M291" s="19" t="s">
        <v>711</v>
      </c>
      <c r="N291" s="19"/>
      <c r="Q291" s="20" t="s">
        <v>2009</v>
      </c>
      <c r="S291" s="1">
        <f t="shared" si="213"/>
        <v>0</v>
      </c>
      <c r="T291" s="1">
        <f t="shared" si="214"/>
        <v>0</v>
      </c>
      <c r="U291" s="1">
        <f t="shared" si="215"/>
        <v>0</v>
      </c>
      <c r="V291" s="1">
        <f t="shared" si="216"/>
        <v>0</v>
      </c>
      <c r="W291" s="1">
        <f t="shared" si="217"/>
        <v>0</v>
      </c>
      <c r="X291" s="1">
        <f t="shared" si="218"/>
        <v>0</v>
      </c>
      <c r="Y291" s="1">
        <f t="shared" si="219"/>
        <v>0</v>
      </c>
      <c r="Z291" s="1">
        <f t="shared" si="220"/>
        <v>0</v>
      </c>
      <c r="AA291" s="1">
        <f t="shared" si="221"/>
        <v>0</v>
      </c>
      <c r="AB291" s="1">
        <f t="shared" si="222"/>
        <v>0</v>
      </c>
      <c r="AD291" s="1">
        <f t="shared" si="225"/>
        <v>0</v>
      </c>
      <c r="AE291" s="1">
        <f t="shared" si="226"/>
        <v>0</v>
      </c>
      <c r="AF291" s="1">
        <f t="shared" si="227"/>
        <v>0</v>
      </c>
      <c r="AG291" s="1">
        <f t="shared" si="228"/>
        <v>0</v>
      </c>
      <c r="AH291" s="1">
        <f t="shared" si="229"/>
        <v>0</v>
      </c>
      <c r="AI291" s="1">
        <f t="shared" si="230"/>
        <v>1</v>
      </c>
    </row>
    <row r="292" spans="1:35" s="1" customFormat="1" ht="14.25" customHeight="1" x14ac:dyDescent="0.3">
      <c r="A292" s="31">
        <v>0</v>
      </c>
      <c r="B292" s="31">
        <v>2</v>
      </c>
      <c r="C292" s="31">
        <v>1</v>
      </c>
      <c r="D292" s="32" t="s">
        <v>1039</v>
      </c>
      <c r="E292" s="32" t="s">
        <v>36</v>
      </c>
      <c r="F292" s="32" t="s">
        <v>1656</v>
      </c>
      <c r="G292" s="32" t="s">
        <v>625</v>
      </c>
      <c r="H292" s="32" t="s">
        <v>352</v>
      </c>
      <c r="I292" s="31" t="s">
        <v>1040</v>
      </c>
      <c r="J292" s="31">
        <v>99</v>
      </c>
      <c r="K292" s="33" t="s">
        <v>956</v>
      </c>
      <c r="L292" s="33" t="s">
        <v>710</v>
      </c>
      <c r="M292" s="34" t="s">
        <v>711</v>
      </c>
      <c r="N292" s="34" t="s">
        <v>1730</v>
      </c>
      <c r="O292" s="35">
        <v>1</v>
      </c>
      <c r="P292" s="35">
        <v>1</v>
      </c>
      <c r="Q292" s="32" t="s">
        <v>1896</v>
      </c>
      <c r="S292" s="1">
        <f t="shared" si="213"/>
        <v>0</v>
      </c>
      <c r="T292" s="1">
        <f t="shared" si="214"/>
        <v>0</v>
      </c>
      <c r="U292" s="1">
        <f t="shared" si="215"/>
        <v>0</v>
      </c>
      <c r="V292" s="1">
        <f t="shared" si="216"/>
        <v>0</v>
      </c>
      <c r="W292" s="1">
        <f t="shared" si="217"/>
        <v>0</v>
      </c>
      <c r="X292" s="1">
        <f t="shared" si="218"/>
        <v>0</v>
      </c>
      <c r="Y292" s="1">
        <f t="shared" si="219"/>
        <v>0</v>
      </c>
      <c r="Z292" s="1">
        <f t="shared" si="220"/>
        <v>0</v>
      </c>
      <c r="AA292" s="1">
        <f t="shared" si="221"/>
        <v>0</v>
      </c>
      <c r="AB292" s="1">
        <f t="shared" si="222"/>
        <v>0</v>
      </c>
      <c r="AD292" s="1">
        <f t="shared" si="225"/>
        <v>1</v>
      </c>
      <c r="AE292" s="1">
        <f t="shared" si="226"/>
        <v>0</v>
      </c>
      <c r="AF292" s="1">
        <f t="shared" si="227"/>
        <v>1</v>
      </c>
      <c r="AG292" s="1">
        <f t="shared" si="228"/>
        <v>0</v>
      </c>
      <c r="AH292" s="1">
        <f t="shared" si="229"/>
        <v>1</v>
      </c>
      <c r="AI292" s="1">
        <f t="shared" si="230"/>
        <v>0</v>
      </c>
    </row>
    <row r="293" spans="1:35" s="1" customFormat="1" ht="14.25" customHeight="1" x14ac:dyDescent="0.3">
      <c r="A293" s="31">
        <v>1</v>
      </c>
      <c r="B293" s="31">
        <v>2</v>
      </c>
      <c r="C293" s="31">
        <v>1</v>
      </c>
      <c r="D293" s="32" t="s">
        <v>49</v>
      </c>
      <c r="E293" s="32" t="s">
        <v>1311</v>
      </c>
      <c r="F293" s="32" t="s">
        <v>190</v>
      </c>
      <c r="G293" s="32" t="s">
        <v>191</v>
      </c>
      <c r="H293" s="32" t="s">
        <v>352</v>
      </c>
      <c r="I293" s="31" t="s">
        <v>384</v>
      </c>
      <c r="J293" s="31">
        <v>99</v>
      </c>
      <c r="K293" s="33" t="s">
        <v>709</v>
      </c>
      <c r="L293" s="33" t="s">
        <v>710</v>
      </c>
      <c r="M293" s="34" t="s">
        <v>711</v>
      </c>
      <c r="N293" s="34" t="s">
        <v>1753</v>
      </c>
      <c r="O293" s="35">
        <v>1</v>
      </c>
      <c r="P293" s="35"/>
      <c r="Q293" s="32"/>
      <c r="S293" s="1">
        <f t="shared" si="213"/>
        <v>0</v>
      </c>
      <c r="T293" s="1">
        <f t="shared" si="214"/>
        <v>0</v>
      </c>
      <c r="U293" s="1">
        <f t="shared" si="215"/>
        <v>0</v>
      </c>
      <c r="V293" s="1">
        <f t="shared" si="216"/>
        <v>0</v>
      </c>
      <c r="W293" s="1">
        <f t="shared" si="217"/>
        <v>0</v>
      </c>
      <c r="X293" s="1">
        <f t="shared" si="218"/>
        <v>0</v>
      </c>
      <c r="Y293" s="1">
        <f t="shared" si="219"/>
        <v>0</v>
      </c>
      <c r="Z293" s="1">
        <f t="shared" si="220"/>
        <v>0</v>
      </c>
      <c r="AA293" s="1">
        <f t="shared" si="221"/>
        <v>0</v>
      </c>
      <c r="AB293" s="1">
        <f t="shared" si="222"/>
        <v>0</v>
      </c>
      <c r="AD293" s="1">
        <f t="shared" si="225"/>
        <v>0</v>
      </c>
      <c r="AE293" s="1">
        <f t="shared" si="226"/>
        <v>1</v>
      </c>
      <c r="AF293" s="1">
        <f t="shared" si="227"/>
        <v>0</v>
      </c>
      <c r="AG293" s="1">
        <f t="shared" si="228"/>
        <v>0</v>
      </c>
      <c r="AH293" s="1">
        <f t="shared" si="229"/>
        <v>0</v>
      </c>
      <c r="AI293" s="1">
        <f t="shared" si="230"/>
        <v>0</v>
      </c>
    </row>
    <row r="294" spans="1:35" s="1" customFormat="1" ht="14.25" customHeight="1" x14ac:dyDescent="0.3">
      <c r="A294" s="31">
        <v>0</v>
      </c>
      <c r="B294" s="31">
        <v>2</v>
      </c>
      <c r="C294" s="31">
        <v>1</v>
      </c>
      <c r="D294" s="32" t="s">
        <v>1071</v>
      </c>
      <c r="E294" s="32" t="s">
        <v>1311</v>
      </c>
      <c r="F294" s="32" t="s">
        <v>1086</v>
      </c>
      <c r="G294" s="32" t="s">
        <v>201</v>
      </c>
      <c r="H294" s="32" t="s">
        <v>352</v>
      </c>
      <c r="I294" s="31" t="s">
        <v>384</v>
      </c>
      <c r="J294" s="31">
        <v>10</v>
      </c>
      <c r="K294" s="33" t="s">
        <v>709</v>
      </c>
      <c r="L294" s="33" t="s">
        <v>710</v>
      </c>
      <c r="M294" s="34" t="s">
        <v>711</v>
      </c>
      <c r="N294" s="34" t="s">
        <v>1753</v>
      </c>
      <c r="O294" s="35">
        <v>1</v>
      </c>
      <c r="P294" s="35"/>
      <c r="Q294" s="32"/>
      <c r="S294" s="1">
        <f t="shared" si="213"/>
        <v>0</v>
      </c>
      <c r="T294" s="1">
        <f t="shared" si="214"/>
        <v>0</v>
      </c>
      <c r="U294" s="1">
        <f t="shared" si="215"/>
        <v>0</v>
      </c>
      <c r="V294" s="1">
        <f t="shared" si="216"/>
        <v>0</v>
      </c>
      <c r="W294" s="1">
        <f t="shared" si="217"/>
        <v>0</v>
      </c>
      <c r="X294" s="1">
        <f t="shared" si="218"/>
        <v>0</v>
      </c>
      <c r="Y294" s="1">
        <f t="shared" si="219"/>
        <v>0</v>
      </c>
      <c r="Z294" s="1">
        <f t="shared" si="220"/>
        <v>0</v>
      </c>
      <c r="AA294" s="1">
        <f t="shared" si="221"/>
        <v>0</v>
      </c>
      <c r="AB294" s="1">
        <f t="shared" si="222"/>
        <v>1</v>
      </c>
      <c r="AD294" s="1">
        <f t="shared" si="225"/>
        <v>0</v>
      </c>
      <c r="AE294" s="1">
        <f t="shared" si="226"/>
        <v>1</v>
      </c>
      <c r="AF294" s="1">
        <f t="shared" si="227"/>
        <v>0</v>
      </c>
      <c r="AG294" s="1">
        <f t="shared" si="228"/>
        <v>1</v>
      </c>
      <c r="AH294" s="1">
        <f t="shared" si="229"/>
        <v>0</v>
      </c>
      <c r="AI294" s="1">
        <f t="shared" si="230"/>
        <v>1</v>
      </c>
    </row>
    <row r="295" spans="1:35" s="1" customFormat="1" ht="14.25" customHeight="1" x14ac:dyDescent="0.3">
      <c r="A295" s="31">
        <v>0</v>
      </c>
      <c r="B295" s="31">
        <v>2</v>
      </c>
      <c r="C295" s="31">
        <v>1</v>
      </c>
      <c r="D295" s="32" t="s">
        <v>1270</v>
      </c>
      <c r="E295" s="32" t="s">
        <v>558</v>
      </c>
      <c r="F295" s="32" t="s">
        <v>1271</v>
      </c>
      <c r="G295" s="32" t="s">
        <v>257</v>
      </c>
      <c r="H295" s="32" t="s">
        <v>352</v>
      </c>
      <c r="I295" s="31" t="s">
        <v>1272</v>
      </c>
      <c r="J295" s="31">
        <v>8</v>
      </c>
      <c r="K295" s="33" t="s">
        <v>951</v>
      </c>
      <c r="L295" s="33" t="s">
        <v>710</v>
      </c>
      <c r="M295" s="34" t="s">
        <v>711</v>
      </c>
      <c r="N295" s="34" t="s">
        <v>1745</v>
      </c>
      <c r="O295" s="35">
        <v>1</v>
      </c>
      <c r="P295" s="35"/>
      <c r="Q295" s="32"/>
      <c r="S295" s="1">
        <f t="shared" si="213"/>
        <v>0</v>
      </c>
      <c r="T295" s="1">
        <f t="shared" si="214"/>
        <v>0</v>
      </c>
      <c r="U295" s="1">
        <f t="shared" si="215"/>
        <v>0</v>
      </c>
      <c r="V295" s="1">
        <f t="shared" si="216"/>
        <v>0</v>
      </c>
      <c r="W295" s="1">
        <f t="shared" si="217"/>
        <v>0</v>
      </c>
      <c r="X295" s="1">
        <f t="shared" si="218"/>
        <v>0</v>
      </c>
      <c r="Y295" s="1">
        <f t="shared" si="219"/>
        <v>0</v>
      </c>
      <c r="Z295" s="1">
        <f t="shared" si="220"/>
        <v>1</v>
      </c>
      <c r="AA295" s="1">
        <f t="shared" si="221"/>
        <v>0</v>
      </c>
      <c r="AB295" s="1">
        <f t="shared" si="222"/>
        <v>0</v>
      </c>
      <c r="AD295" s="1">
        <f t="shared" si="223"/>
        <v>0</v>
      </c>
      <c r="AE295" s="1">
        <f t="shared" si="224"/>
        <v>1</v>
      </c>
      <c r="AF295" s="1">
        <f t="shared" si="209"/>
        <v>0</v>
      </c>
      <c r="AG295" s="1">
        <f t="shared" si="210"/>
        <v>1</v>
      </c>
      <c r="AH295" s="1">
        <f t="shared" si="211"/>
        <v>0</v>
      </c>
      <c r="AI295" s="1">
        <f t="shared" si="212"/>
        <v>1</v>
      </c>
    </row>
    <row r="296" spans="1:35" s="1" customFormat="1" ht="14.25" customHeight="1" x14ac:dyDescent="0.3">
      <c r="A296" s="44">
        <v>0</v>
      </c>
      <c r="B296" s="44">
        <v>2</v>
      </c>
      <c r="C296" s="44">
        <v>1</v>
      </c>
      <c r="D296" s="45" t="s">
        <v>48</v>
      </c>
      <c r="E296" s="45" t="s">
        <v>575</v>
      </c>
      <c r="F296" s="45" t="s">
        <v>188</v>
      </c>
      <c r="G296" s="45" t="s">
        <v>298</v>
      </c>
      <c r="H296" s="45" t="s">
        <v>352</v>
      </c>
      <c r="I296" s="44" t="s">
        <v>383</v>
      </c>
      <c r="J296" s="44">
        <v>99</v>
      </c>
      <c r="K296" s="46" t="s">
        <v>710</v>
      </c>
      <c r="L296" s="46" t="s">
        <v>710</v>
      </c>
      <c r="M296" s="47" t="s">
        <v>711</v>
      </c>
      <c r="N296" s="47" t="s">
        <v>1744</v>
      </c>
      <c r="O296" s="48"/>
      <c r="P296" s="48"/>
      <c r="Q296" s="45"/>
      <c r="S296" s="1">
        <f t="shared" si="213"/>
        <v>0</v>
      </c>
      <c r="T296" s="1">
        <f t="shared" si="214"/>
        <v>0</v>
      </c>
      <c r="U296" s="1">
        <f t="shared" si="215"/>
        <v>0</v>
      </c>
      <c r="V296" s="1">
        <f t="shared" si="216"/>
        <v>0</v>
      </c>
      <c r="W296" s="1">
        <f t="shared" si="217"/>
        <v>0</v>
      </c>
      <c r="X296" s="1">
        <f t="shared" si="218"/>
        <v>0</v>
      </c>
      <c r="Y296" s="1">
        <f t="shared" si="219"/>
        <v>0</v>
      </c>
      <c r="Z296" s="1">
        <f t="shared" si="220"/>
        <v>0</v>
      </c>
      <c r="AA296" s="1">
        <f t="shared" si="221"/>
        <v>0</v>
      </c>
      <c r="AB296" s="1">
        <f t="shared" si="222"/>
        <v>0</v>
      </c>
      <c r="AD296" s="1">
        <f t="shared" si="223"/>
        <v>0</v>
      </c>
      <c r="AE296" s="1">
        <f t="shared" si="224"/>
        <v>0</v>
      </c>
      <c r="AF296" s="1">
        <f t="shared" si="209"/>
        <v>0</v>
      </c>
      <c r="AG296" s="1">
        <f t="shared" si="210"/>
        <v>0</v>
      </c>
      <c r="AH296" s="1">
        <f t="shared" si="211"/>
        <v>0</v>
      </c>
      <c r="AI296" s="1">
        <f t="shared" si="212"/>
        <v>1</v>
      </c>
    </row>
    <row r="297" spans="1:35" s="1" customFormat="1" ht="14.25" customHeight="1" x14ac:dyDescent="0.3">
      <c r="A297" s="31">
        <v>0</v>
      </c>
      <c r="B297" s="31">
        <v>2</v>
      </c>
      <c r="C297" s="31">
        <v>1</v>
      </c>
      <c r="D297" s="32" t="s">
        <v>57</v>
      </c>
      <c r="E297" s="32" t="s">
        <v>161</v>
      </c>
      <c r="F297" s="32" t="s">
        <v>663</v>
      </c>
      <c r="G297" s="32" t="s">
        <v>220</v>
      </c>
      <c r="H297" s="32" t="s">
        <v>352</v>
      </c>
      <c r="I297" s="31" t="s">
        <v>394</v>
      </c>
      <c r="J297" s="31">
        <v>99</v>
      </c>
      <c r="K297" s="33" t="s">
        <v>958</v>
      </c>
      <c r="L297" s="33" t="s">
        <v>710</v>
      </c>
      <c r="M297" s="34" t="s">
        <v>711</v>
      </c>
      <c r="N297" s="34" t="s">
        <v>1740</v>
      </c>
      <c r="O297" s="35">
        <v>1</v>
      </c>
      <c r="P297" s="35"/>
      <c r="Q297" s="32"/>
      <c r="S297" s="1">
        <f t="shared" si="213"/>
        <v>0</v>
      </c>
      <c r="T297" s="1">
        <f t="shared" si="214"/>
        <v>0</v>
      </c>
      <c r="U297" s="1">
        <f t="shared" si="215"/>
        <v>0</v>
      </c>
      <c r="V297" s="1">
        <f t="shared" si="216"/>
        <v>0</v>
      </c>
      <c r="W297" s="1">
        <f t="shared" si="217"/>
        <v>0</v>
      </c>
      <c r="X297" s="1">
        <f t="shared" si="218"/>
        <v>0</v>
      </c>
      <c r="Y297" s="1">
        <f t="shared" si="219"/>
        <v>0</v>
      </c>
      <c r="Z297" s="1">
        <f t="shared" si="220"/>
        <v>0</v>
      </c>
      <c r="AA297" s="1">
        <f t="shared" si="221"/>
        <v>0</v>
      </c>
      <c r="AB297" s="1">
        <f t="shared" si="222"/>
        <v>0</v>
      </c>
      <c r="AD297" s="1">
        <f t="shared" si="223"/>
        <v>0</v>
      </c>
      <c r="AE297" s="1">
        <f t="shared" si="224"/>
        <v>1</v>
      </c>
      <c r="AF297" s="1">
        <f t="shared" si="209"/>
        <v>0</v>
      </c>
      <c r="AG297" s="1">
        <f t="shared" si="210"/>
        <v>1</v>
      </c>
      <c r="AH297" s="1">
        <f t="shared" si="211"/>
        <v>0</v>
      </c>
      <c r="AI297" s="1">
        <f t="shared" si="212"/>
        <v>1</v>
      </c>
    </row>
    <row r="298" spans="1:35" s="1" customFormat="1" ht="14.25" customHeight="1" x14ac:dyDescent="0.3">
      <c r="A298" s="31">
        <v>0</v>
      </c>
      <c r="B298" s="31">
        <v>2</v>
      </c>
      <c r="C298" s="31">
        <v>1</v>
      </c>
      <c r="D298" s="32" t="s">
        <v>512</v>
      </c>
      <c r="E298" s="32" t="s">
        <v>558</v>
      </c>
      <c r="F298" s="32" t="s">
        <v>228</v>
      </c>
      <c r="G298" s="32" t="s">
        <v>229</v>
      </c>
      <c r="H298" s="32" t="s">
        <v>352</v>
      </c>
      <c r="I298" s="31" t="s">
        <v>398</v>
      </c>
      <c r="J298" s="31">
        <v>7</v>
      </c>
      <c r="K298" s="33" t="s">
        <v>951</v>
      </c>
      <c r="L298" s="33" t="s">
        <v>710</v>
      </c>
      <c r="M298" s="34" t="s">
        <v>711</v>
      </c>
      <c r="N298" s="34" t="s">
        <v>1746</v>
      </c>
      <c r="O298" s="35">
        <v>1</v>
      </c>
      <c r="P298" s="35"/>
      <c r="Q298" s="32"/>
      <c r="S298" s="1">
        <f t="shared" si="213"/>
        <v>0</v>
      </c>
      <c r="T298" s="1">
        <f t="shared" si="214"/>
        <v>0</v>
      </c>
      <c r="U298" s="1">
        <f t="shared" si="215"/>
        <v>0</v>
      </c>
      <c r="V298" s="1">
        <f t="shared" si="216"/>
        <v>0</v>
      </c>
      <c r="W298" s="1">
        <f t="shared" si="217"/>
        <v>0</v>
      </c>
      <c r="X298" s="1">
        <f t="shared" si="218"/>
        <v>0</v>
      </c>
      <c r="Y298" s="1">
        <f t="shared" si="219"/>
        <v>1</v>
      </c>
      <c r="Z298" s="1">
        <f t="shared" si="220"/>
        <v>0</v>
      </c>
      <c r="AA298" s="1">
        <f t="shared" si="221"/>
        <v>0</v>
      </c>
      <c r="AB298" s="1">
        <f t="shared" si="222"/>
        <v>0</v>
      </c>
      <c r="AD298" s="1">
        <f t="shared" si="223"/>
        <v>0</v>
      </c>
      <c r="AE298" s="1">
        <f t="shared" si="224"/>
        <v>1</v>
      </c>
      <c r="AF298" s="1">
        <f t="shared" si="209"/>
        <v>0</v>
      </c>
      <c r="AG298" s="1">
        <f t="shared" si="210"/>
        <v>1</v>
      </c>
      <c r="AH298" s="1">
        <f t="shared" si="211"/>
        <v>0</v>
      </c>
      <c r="AI298" s="1">
        <f t="shared" si="212"/>
        <v>1</v>
      </c>
    </row>
    <row r="299" spans="1:35" s="1" customFormat="1" ht="14.25" customHeight="1" x14ac:dyDescent="0.3">
      <c r="A299" s="44">
        <v>0</v>
      </c>
      <c r="B299" s="44">
        <v>2</v>
      </c>
      <c r="C299" s="44">
        <v>1</v>
      </c>
      <c r="D299" s="45" t="s">
        <v>557</v>
      </c>
      <c r="E299" s="45" t="s">
        <v>558</v>
      </c>
      <c r="F299" s="45" t="s">
        <v>559</v>
      </c>
      <c r="G299" s="45" t="s">
        <v>207</v>
      </c>
      <c r="H299" s="45" t="s">
        <v>352</v>
      </c>
      <c r="I299" s="44" t="s">
        <v>560</v>
      </c>
      <c r="J299" s="44">
        <v>3</v>
      </c>
      <c r="K299" s="46" t="s">
        <v>709</v>
      </c>
      <c r="L299" s="46" t="s">
        <v>710</v>
      </c>
      <c r="M299" s="47" t="s">
        <v>711</v>
      </c>
      <c r="N299" s="47" t="s">
        <v>1744</v>
      </c>
      <c r="O299" s="48"/>
      <c r="P299" s="48"/>
      <c r="Q299" s="45"/>
      <c r="S299" s="1">
        <f t="shared" si="213"/>
        <v>0</v>
      </c>
      <c r="T299" s="1">
        <f t="shared" si="214"/>
        <v>0</v>
      </c>
      <c r="U299" s="1">
        <f t="shared" si="215"/>
        <v>1</v>
      </c>
      <c r="V299" s="1">
        <f t="shared" si="216"/>
        <v>0</v>
      </c>
      <c r="W299" s="1">
        <f t="shared" si="217"/>
        <v>0</v>
      </c>
      <c r="X299" s="1">
        <f t="shared" si="218"/>
        <v>0</v>
      </c>
      <c r="Y299" s="1">
        <f t="shared" si="219"/>
        <v>0</v>
      </c>
      <c r="Z299" s="1">
        <f t="shared" si="220"/>
        <v>0</v>
      </c>
      <c r="AA299" s="1">
        <f t="shared" si="221"/>
        <v>0</v>
      </c>
      <c r="AB299" s="1">
        <f t="shared" si="222"/>
        <v>0</v>
      </c>
      <c r="AD299" s="1">
        <f t="shared" si="223"/>
        <v>0</v>
      </c>
      <c r="AE299" s="1">
        <f t="shared" si="224"/>
        <v>0</v>
      </c>
      <c r="AF299" s="1">
        <f t="shared" si="209"/>
        <v>0</v>
      </c>
      <c r="AG299" s="1">
        <f t="shared" si="210"/>
        <v>0</v>
      </c>
      <c r="AH299" s="1">
        <f t="shared" si="211"/>
        <v>0</v>
      </c>
      <c r="AI299" s="1">
        <f t="shared" si="212"/>
        <v>1</v>
      </c>
    </row>
    <row r="300" spans="1:35" s="1" customFormat="1" ht="14.25" customHeight="1" x14ac:dyDescent="0.3">
      <c r="A300" s="37">
        <v>0</v>
      </c>
      <c r="B300" s="37">
        <v>2</v>
      </c>
      <c r="C300" s="37">
        <v>1</v>
      </c>
      <c r="D300" s="36" t="s">
        <v>1050</v>
      </c>
      <c r="E300" s="36" t="s">
        <v>32</v>
      </c>
      <c r="F300" s="36" t="s">
        <v>1274</v>
      </c>
      <c r="G300" s="36" t="s">
        <v>532</v>
      </c>
      <c r="H300" s="36" t="s">
        <v>352</v>
      </c>
      <c r="I300" s="37" t="s">
        <v>1275</v>
      </c>
      <c r="J300" s="37">
        <v>6</v>
      </c>
      <c r="K300" s="56" t="s">
        <v>710</v>
      </c>
      <c r="L300" s="33" t="s">
        <v>710</v>
      </c>
      <c r="M300" s="34" t="s">
        <v>711</v>
      </c>
      <c r="N300" s="34" t="s">
        <v>1745</v>
      </c>
      <c r="O300" s="35">
        <v>1</v>
      </c>
      <c r="P300" s="35"/>
      <c r="Q300" s="36"/>
      <c r="S300" s="1">
        <f t="shared" si="213"/>
        <v>0</v>
      </c>
      <c r="T300" s="1">
        <f t="shared" si="214"/>
        <v>0</v>
      </c>
      <c r="U300" s="1">
        <f t="shared" si="215"/>
        <v>0</v>
      </c>
      <c r="V300" s="1">
        <f t="shared" si="216"/>
        <v>0</v>
      </c>
      <c r="W300" s="1">
        <f t="shared" si="217"/>
        <v>0</v>
      </c>
      <c r="X300" s="1">
        <f t="shared" si="218"/>
        <v>1</v>
      </c>
      <c r="Y300" s="1">
        <f t="shared" si="219"/>
        <v>0</v>
      </c>
      <c r="Z300" s="1">
        <f t="shared" si="220"/>
        <v>0</v>
      </c>
      <c r="AA300" s="1">
        <f t="shared" si="221"/>
        <v>0</v>
      </c>
      <c r="AB300" s="1">
        <f t="shared" si="222"/>
        <v>0</v>
      </c>
      <c r="AD300" s="1">
        <f t="shared" si="223"/>
        <v>0</v>
      </c>
      <c r="AE300" s="1">
        <f t="shared" si="224"/>
        <v>1</v>
      </c>
      <c r="AF300" s="1">
        <f t="shared" si="209"/>
        <v>0</v>
      </c>
      <c r="AG300" s="1">
        <f t="shared" si="210"/>
        <v>1</v>
      </c>
      <c r="AH300" s="1">
        <f t="shared" si="211"/>
        <v>0</v>
      </c>
      <c r="AI300" s="1">
        <f t="shared" si="212"/>
        <v>1</v>
      </c>
    </row>
    <row r="301" spans="1:35" s="1" customFormat="1" ht="14.25" customHeight="1" x14ac:dyDescent="0.3">
      <c r="A301" s="44">
        <v>0</v>
      </c>
      <c r="B301" s="44">
        <v>2</v>
      </c>
      <c r="C301" s="44">
        <v>1</v>
      </c>
      <c r="D301" s="45" t="s">
        <v>914</v>
      </c>
      <c r="E301" s="45" t="s">
        <v>1330</v>
      </c>
      <c r="F301" s="45" t="s">
        <v>786</v>
      </c>
      <c r="G301" s="45" t="s">
        <v>256</v>
      </c>
      <c r="H301" s="45" t="s">
        <v>352</v>
      </c>
      <c r="I301" s="44" t="s">
        <v>941</v>
      </c>
      <c r="J301" s="44">
        <v>99</v>
      </c>
      <c r="K301" s="46" t="s">
        <v>709</v>
      </c>
      <c r="L301" s="46" t="s">
        <v>710</v>
      </c>
      <c r="M301" s="47" t="s">
        <v>711</v>
      </c>
      <c r="N301" s="47" t="s">
        <v>1731</v>
      </c>
      <c r="O301" s="48"/>
      <c r="P301" s="48"/>
      <c r="Q301" s="45"/>
      <c r="S301" s="1">
        <f t="shared" si="213"/>
        <v>0</v>
      </c>
      <c r="T301" s="1">
        <f t="shared" si="214"/>
        <v>0</v>
      </c>
      <c r="U301" s="1">
        <f t="shared" si="215"/>
        <v>0</v>
      </c>
      <c r="V301" s="1">
        <f t="shared" si="216"/>
        <v>0</v>
      </c>
      <c r="W301" s="1">
        <f t="shared" si="217"/>
        <v>0</v>
      </c>
      <c r="X301" s="1">
        <f t="shared" si="218"/>
        <v>0</v>
      </c>
      <c r="Y301" s="1">
        <f t="shared" si="219"/>
        <v>0</v>
      </c>
      <c r="Z301" s="1">
        <f t="shared" si="220"/>
        <v>0</v>
      </c>
      <c r="AA301" s="1">
        <f t="shared" si="221"/>
        <v>0</v>
      </c>
      <c r="AB301" s="1">
        <f t="shared" si="222"/>
        <v>0</v>
      </c>
      <c r="AD301" s="1">
        <f t="shared" si="223"/>
        <v>0</v>
      </c>
      <c r="AE301" s="1">
        <f t="shared" si="224"/>
        <v>0</v>
      </c>
      <c r="AF301" s="1">
        <f t="shared" si="209"/>
        <v>0</v>
      </c>
      <c r="AG301" s="1">
        <f t="shared" si="210"/>
        <v>0</v>
      </c>
      <c r="AH301" s="1">
        <f t="shared" si="211"/>
        <v>0</v>
      </c>
      <c r="AI301" s="1">
        <f t="shared" si="212"/>
        <v>1</v>
      </c>
    </row>
    <row r="302" spans="1:35" s="1" customFormat="1" ht="14.25" customHeight="1" x14ac:dyDescent="0.3">
      <c r="A302" s="37">
        <v>0</v>
      </c>
      <c r="B302" s="37">
        <v>2</v>
      </c>
      <c r="C302" s="37">
        <v>1</v>
      </c>
      <c r="D302" s="36" t="s">
        <v>1768</v>
      </c>
      <c r="E302" s="36" t="s">
        <v>1769</v>
      </c>
      <c r="F302" s="36" t="s">
        <v>1770</v>
      </c>
      <c r="G302" s="36" t="s">
        <v>179</v>
      </c>
      <c r="H302" s="36" t="s">
        <v>352</v>
      </c>
      <c r="I302" s="37" t="s">
        <v>1771</v>
      </c>
      <c r="J302" s="37"/>
      <c r="K302" s="56" t="s">
        <v>700</v>
      </c>
      <c r="L302" s="33">
        <v>4</v>
      </c>
      <c r="M302" s="34" t="s">
        <v>711</v>
      </c>
      <c r="N302" s="34" t="s">
        <v>1740</v>
      </c>
      <c r="O302" s="35">
        <v>1</v>
      </c>
      <c r="P302" s="35"/>
      <c r="Q302" s="36"/>
      <c r="S302" s="1">
        <f t="shared" si="213"/>
        <v>0</v>
      </c>
      <c r="T302" s="1">
        <f t="shared" si="214"/>
        <v>0</v>
      </c>
      <c r="U302" s="1">
        <f t="shared" si="215"/>
        <v>0</v>
      </c>
      <c r="V302" s="1">
        <f t="shared" si="216"/>
        <v>0</v>
      </c>
      <c r="W302" s="1">
        <f t="shared" si="217"/>
        <v>0</v>
      </c>
      <c r="X302" s="1">
        <f t="shared" si="218"/>
        <v>0</v>
      </c>
      <c r="Y302" s="1">
        <f t="shared" si="219"/>
        <v>0</v>
      </c>
      <c r="Z302" s="1">
        <f t="shared" si="220"/>
        <v>0</v>
      </c>
      <c r="AA302" s="1">
        <f t="shared" si="221"/>
        <v>0</v>
      </c>
      <c r="AB302" s="1">
        <f t="shared" si="222"/>
        <v>0</v>
      </c>
      <c r="AD302" s="1">
        <f t="shared" si="223"/>
        <v>0</v>
      </c>
      <c r="AE302" s="1">
        <f t="shared" si="224"/>
        <v>1</v>
      </c>
      <c r="AF302" s="1">
        <f t="shared" si="209"/>
        <v>0</v>
      </c>
      <c r="AG302" s="1">
        <f t="shared" si="210"/>
        <v>1</v>
      </c>
      <c r="AH302" s="1">
        <f t="shared" si="211"/>
        <v>0</v>
      </c>
      <c r="AI302" s="1">
        <f t="shared" si="212"/>
        <v>1</v>
      </c>
    </row>
    <row r="303" spans="1:35" s="1" customFormat="1" ht="14.25" customHeight="1" x14ac:dyDescent="0.3">
      <c r="A303" s="31">
        <v>0</v>
      </c>
      <c r="B303" s="31">
        <v>2</v>
      </c>
      <c r="C303" s="31">
        <v>1</v>
      </c>
      <c r="D303" s="32" t="s">
        <v>616</v>
      </c>
      <c r="E303" s="32" t="s">
        <v>617</v>
      </c>
      <c r="F303" s="32" t="s">
        <v>618</v>
      </c>
      <c r="G303" s="32" t="s">
        <v>619</v>
      </c>
      <c r="H303" s="32" t="s">
        <v>352</v>
      </c>
      <c r="I303" s="31" t="s">
        <v>620</v>
      </c>
      <c r="J303" s="31">
        <v>99</v>
      </c>
      <c r="K303" s="33" t="s">
        <v>709</v>
      </c>
      <c r="L303" s="33" t="s">
        <v>710</v>
      </c>
      <c r="M303" s="34" t="s">
        <v>711</v>
      </c>
      <c r="N303" s="34" t="s">
        <v>1753</v>
      </c>
      <c r="O303" s="35">
        <v>1</v>
      </c>
      <c r="P303" s="35"/>
      <c r="Q303" s="32"/>
      <c r="S303" s="1">
        <f t="shared" si="213"/>
        <v>0</v>
      </c>
      <c r="T303" s="1">
        <f t="shared" si="214"/>
        <v>0</v>
      </c>
      <c r="U303" s="1">
        <f t="shared" si="215"/>
        <v>0</v>
      </c>
      <c r="V303" s="1">
        <f t="shared" si="216"/>
        <v>0</v>
      </c>
      <c r="W303" s="1">
        <f t="shared" si="217"/>
        <v>0</v>
      </c>
      <c r="X303" s="1">
        <f t="shared" si="218"/>
        <v>0</v>
      </c>
      <c r="Y303" s="1">
        <f t="shared" si="219"/>
        <v>0</v>
      </c>
      <c r="Z303" s="1">
        <f t="shared" si="220"/>
        <v>0</v>
      </c>
      <c r="AA303" s="1">
        <f t="shared" si="221"/>
        <v>0</v>
      </c>
      <c r="AB303" s="1">
        <f t="shared" si="222"/>
        <v>0</v>
      </c>
      <c r="AD303" s="1">
        <f t="shared" si="223"/>
        <v>0</v>
      </c>
      <c r="AE303" s="1">
        <f t="shared" si="224"/>
        <v>1</v>
      </c>
      <c r="AF303" s="1">
        <f t="shared" si="209"/>
        <v>0</v>
      </c>
      <c r="AG303" s="1">
        <f t="shared" si="210"/>
        <v>1</v>
      </c>
      <c r="AH303" s="1">
        <f t="shared" si="211"/>
        <v>0</v>
      </c>
      <c r="AI303" s="1">
        <f t="shared" si="212"/>
        <v>1</v>
      </c>
    </row>
    <row r="304" spans="1:35" s="1" customFormat="1" ht="14.25" customHeight="1" x14ac:dyDescent="0.3">
      <c r="A304" s="31">
        <v>0</v>
      </c>
      <c r="B304" s="31">
        <v>2</v>
      </c>
      <c r="C304" s="31">
        <v>1</v>
      </c>
      <c r="D304" s="32" t="s">
        <v>1077</v>
      </c>
      <c r="E304" s="32" t="s">
        <v>1331</v>
      </c>
      <c r="F304" s="32" t="s">
        <v>1660</v>
      </c>
      <c r="G304" s="32" t="s">
        <v>189</v>
      </c>
      <c r="H304" s="32" t="s">
        <v>352</v>
      </c>
      <c r="I304" s="31" t="s">
        <v>1858</v>
      </c>
      <c r="J304" s="31">
        <v>99</v>
      </c>
      <c r="K304" s="33" t="s">
        <v>709</v>
      </c>
      <c r="L304" s="33" t="s">
        <v>710</v>
      </c>
      <c r="M304" s="34" t="s">
        <v>711</v>
      </c>
      <c r="N304" s="34" t="s">
        <v>1740</v>
      </c>
      <c r="O304" s="35">
        <v>1</v>
      </c>
      <c r="P304" s="35"/>
      <c r="Q304" s="32"/>
      <c r="S304" s="1">
        <f t="shared" si="213"/>
        <v>0</v>
      </c>
      <c r="T304" s="1">
        <f t="shared" si="214"/>
        <v>0</v>
      </c>
      <c r="U304" s="1">
        <f t="shared" si="215"/>
        <v>0</v>
      </c>
      <c r="V304" s="1">
        <f t="shared" si="216"/>
        <v>0</v>
      </c>
      <c r="W304" s="1">
        <f t="shared" si="217"/>
        <v>0</v>
      </c>
      <c r="X304" s="1">
        <f t="shared" si="218"/>
        <v>0</v>
      </c>
      <c r="Y304" s="1">
        <f t="shared" si="219"/>
        <v>0</v>
      </c>
      <c r="Z304" s="1">
        <f t="shared" si="220"/>
        <v>0</v>
      </c>
      <c r="AA304" s="1">
        <f t="shared" si="221"/>
        <v>0</v>
      </c>
      <c r="AB304" s="1">
        <f t="shared" si="222"/>
        <v>0</v>
      </c>
      <c r="AD304" s="1">
        <f t="shared" si="223"/>
        <v>0</v>
      </c>
      <c r="AE304" s="1">
        <f t="shared" si="224"/>
        <v>1</v>
      </c>
      <c r="AF304" s="1">
        <f t="shared" si="209"/>
        <v>0</v>
      </c>
      <c r="AG304" s="1">
        <f t="shared" si="210"/>
        <v>1</v>
      </c>
      <c r="AH304" s="1">
        <f t="shared" si="211"/>
        <v>0</v>
      </c>
      <c r="AI304" s="1">
        <f t="shared" si="212"/>
        <v>1</v>
      </c>
    </row>
    <row r="305" spans="1:35" s="1" customFormat="1" ht="14.25" customHeight="1" x14ac:dyDescent="0.3">
      <c r="A305" s="15">
        <v>0</v>
      </c>
      <c r="B305" s="15">
        <v>2</v>
      </c>
      <c r="C305" s="15">
        <v>1</v>
      </c>
      <c r="D305" s="16" t="s">
        <v>648</v>
      </c>
      <c r="E305" s="16" t="s">
        <v>36</v>
      </c>
      <c r="F305" s="16" t="s">
        <v>664</v>
      </c>
      <c r="G305" s="16" t="s">
        <v>200</v>
      </c>
      <c r="H305" s="16" t="s">
        <v>352</v>
      </c>
      <c r="I305" s="15" t="s">
        <v>1002</v>
      </c>
      <c r="J305" s="15">
        <v>99</v>
      </c>
      <c r="K305" s="10" t="s">
        <v>700</v>
      </c>
      <c r="L305" s="10">
        <v>4</v>
      </c>
      <c r="M305" s="19" t="s">
        <v>711</v>
      </c>
      <c r="N305" s="17"/>
      <c r="Q305" s="16"/>
      <c r="S305" s="1">
        <f t="shared" si="213"/>
        <v>0</v>
      </c>
      <c r="T305" s="1">
        <f t="shared" si="214"/>
        <v>0</v>
      </c>
      <c r="U305" s="1">
        <f t="shared" si="215"/>
        <v>0</v>
      </c>
      <c r="V305" s="1">
        <f t="shared" si="216"/>
        <v>0</v>
      </c>
      <c r="W305" s="1">
        <f t="shared" si="217"/>
        <v>0</v>
      </c>
      <c r="X305" s="1">
        <f t="shared" si="218"/>
        <v>0</v>
      </c>
      <c r="Y305" s="1">
        <f t="shared" si="219"/>
        <v>0</v>
      </c>
      <c r="Z305" s="1">
        <f t="shared" si="220"/>
        <v>0</v>
      </c>
      <c r="AA305" s="1">
        <f t="shared" si="221"/>
        <v>0</v>
      </c>
      <c r="AB305" s="1">
        <f t="shared" si="222"/>
        <v>0</v>
      </c>
      <c r="AD305" s="1">
        <f t="shared" si="223"/>
        <v>0</v>
      </c>
      <c r="AE305" s="1">
        <f t="shared" si="224"/>
        <v>0</v>
      </c>
      <c r="AF305" s="1">
        <f t="shared" si="209"/>
        <v>0</v>
      </c>
      <c r="AG305" s="1">
        <f t="shared" si="210"/>
        <v>0</v>
      </c>
      <c r="AH305" s="1">
        <f t="shared" si="211"/>
        <v>0</v>
      </c>
      <c r="AI305" s="1">
        <f t="shared" si="212"/>
        <v>1</v>
      </c>
    </row>
    <row r="306" spans="1:35" s="1" customFormat="1" ht="14.25" customHeight="1" x14ac:dyDescent="0.3">
      <c r="A306" s="44">
        <v>0</v>
      </c>
      <c r="B306" s="44">
        <v>2</v>
      </c>
      <c r="C306" s="44">
        <v>1</v>
      </c>
      <c r="D306" s="45" t="s">
        <v>1261</v>
      </c>
      <c r="E306" s="45" t="s">
        <v>1262</v>
      </c>
      <c r="F306" s="45" t="s">
        <v>1263</v>
      </c>
      <c r="G306" s="45" t="s">
        <v>1162</v>
      </c>
      <c r="H306" s="45" t="s">
        <v>352</v>
      </c>
      <c r="I306" s="44" t="s">
        <v>1264</v>
      </c>
      <c r="J306" s="44">
        <v>11</v>
      </c>
      <c r="K306" s="46" t="s">
        <v>700</v>
      </c>
      <c r="L306" s="46">
        <v>6</v>
      </c>
      <c r="M306" s="47" t="s">
        <v>1725</v>
      </c>
      <c r="N306" s="47" t="s">
        <v>1806</v>
      </c>
      <c r="O306" s="48"/>
      <c r="P306" s="48"/>
      <c r="Q306" s="45"/>
      <c r="S306" s="1">
        <f t="shared" si="213"/>
        <v>0</v>
      </c>
      <c r="T306" s="1">
        <f t="shared" si="214"/>
        <v>0</v>
      </c>
      <c r="U306" s="1">
        <f t="shared" si="215"/>
        <v>0</v>
      </c>
      <c r="V306" s="1">
        <f t="shared" si="216"/>
        <v>0</v>
      </c>
      <c r="W306" s="1">
        <f t="shared" si="217"/>
        <v>0</v>
      </c>
      <c r="X306" s="1">
        <f t="shared" si="218"/>
        <v>0</v>
      </c>
      <c r="Y306" s="1">
        <f t="shared" si="219"/>
        <v>0</v>
      </c>
      <c r="Z306" s="1">
        <f t="shared" si="220"/>
        <v>0</v>
      </c>
      <c r="AA306" s="1">
        <f t="shared" si="221"/>
        <v>0</v>
      </c>
      <c r="AB306" s="1">
        <f t="shared" si="222"/>
        <v>0</v>
      </c>
      <c r="AD306" s="1">
        <f t="shared" si="223"/>
        <v>0</v>
      </c>
      <c r="AE306" s="1">
        <f t="shared" si="224"/>
        <v>0</v>
      </c>
      <c r="AF306" s="1">
        <f t="shared" si="209"/>
        <v>0</v>
      </c>
      <c r="AG306" s="1">
        <f t="shared" si="210"/>
        <v>0</v>
      </c>
      <c r="AH306" s="1">
        <f t="shared" si="211"/>
        <v>0</v>
      </c>
      <c r="AI306" s="1">
        <f t="shared" si="212"/>
        <v>1</v>
      </c>
    </row>
    <row r="307" spans="1:35" s="1" customFormat="1" ht="14.25" customHeight="1" x14ac:dyDescent="0.3">
      <c r="A307" s="31">
        <v>0</v>
      </c>
      <c r="B307" s="31">
        <v>2</v>
      </c>
      <c r="C307" s="31">
        <v>1</v>
      </c>
      <c r="D307" s="32" t="s">
        <v>1120</v>
      </c>
      <c r="E307" s="32" t="s">
        <v>1311</v>
      </c>
      <c r="F307" s="32" t="s">
        <v>1118</v>
      </c>
      <c r="G307" s="32" t="s">
        <v>229</v>
      </c>
      <c r="H307" s="32" t="s">
        <v>352</v>
      </c>
      <c r="I307" s="31" t="s">
        <v>1119</v>
      </c>
      <c r="J307" s="31">
        <v>7</v>
      </c>
      <c r="K307" s="33" t="s">
        <v>710</v>
      </c>
      <c r="L307" s="33" t="s">
        <v>1706</v>
      </c>
      <c r="M307" s="34" t="s">
        <v>711</v>
      </c>
      <c r="N307" s="34" t="s">
        <v>1753</v>
      </c>
      <c r="O307" s="35">
        <v>1</v>
      </c>
      <c r="P307" s="35"/>
      <c r="Q307" s="32"/>
      <c r="S307" s="1">
        <f t="shared" si="213"/>
        <v>0</v>
      </c>
      <c r="T307" s="1">
        <f t="shared" si="214"/>
        <v>0</v>
      </c>
      <c r="U307" s="1">
        <f t="shared" si="215"/>
        <v>0</v>
      </c>
      <c r="V307" s="1">
        <f t="shared" si="216"/>
        <v>0</v>
      </c>
      <c r="W307" s="1">
        <f t="shared" si="217"/>
        <v>0</v>
      </c>
      <c r="X307" s="1">
        <f t="shared" si="218"/>
        <v>0</v>
      </c>
      <c r="Y307" s="1">
        <f t="shared" si="219"/>
        <v>1</v>
      </c>
      <c r="Z307" s="1">
        <f t="shared" si="220"/>
        <v>0</v>
      </c>
      <c r="AA307" s="1">
        <f t="shared" si="221"/>
        <v>0</v>
      </c>
      <c r="AB307" s="1">
        <f t="shared" si="222"/>
        <v>0</v>
      </c>
      <c r="AD307" s="1">
        <f t="shared" si="223"/>
        <v>0</v>
      </c>
      <c r="AE307" s="1">
        <f t="shared" si="224"/>
        <v>1</v>
      </c>
      <c r="AF307" s="1">
        <f t="shared" si="209"/>
        <v>0</v>
      </c>
      <c r="AG307" s="1">
        <f t="shared" si="210"/>
        <v>1</v>
      </c>
      <c r="AH307" s="1">
        <f t="shared" si="211"/>
        <v>0</v>
      </c>
      <c r="AI307" s="1">
        <f t="shared" si="212"/>
        <v>1</v>
      </c>
    </row>
    <row r="308" spans="1:35" s="1" customFormat="1" ht="14.25" customHeight="1" x14ac:dyDescent="0.3">
      <c r="A308" s="31">
        <v>0</v>
      </c>
      <c r="B308" s="31">
        <v>2</v>
      </c>
      <c r="C308" s="31">
        <v>1</v>
      </c>
      <c r="D308" s="32" t="s">
        <v>1005</v>
      </c>
      <c r="E308" s="32" t="s">
        <v>1333</v>
      </c>
      <c r="F308" s="32" t="s">
        <v>1006</v>
      </c>
      <c r="G308" s="32" t="s">
        <v>1097</v>
      </c>
      <c r="H308" s="32" t="s">
        <v>352</v>
      </c>
      <c r="I308" s="31" t="s">
        <v>406</v>
      </c>
      <c r="J308" s="31">
        <v>99</v>
      </c>
      <c r="K308" s="33" t="s">
        <v>710</v>
      </c>
      <c r="L308" s="33" t="s">
        <v>710</v>
      </c>
      <c r="M308" s="34" t="s">
        <v>711</v>
      </c>
      <c r="N308" s="34" t="s">
        <v>1740</v>
      </c>
      <c r="O308" s="35">
        <v>1</v>
      </c>
      <c r="P308" s="35"/>
      <c r="Q308" s="32"/>
      <c r="S308" s="1">
        <f t="shared" si="213"/>
        <v>0</v>
      </c>
      <c r="T308" s="1">
        <f t="shared" si="214"/>
        <v>0</v>
      </c>
      <c r="U308" s="1">
        <f t="shared" si="215"/>
        <v>0</v>
      </c>
      <c r="V308" s="1">
        <f t="shared" si="216"/>
        <v>0</v>
      </c>
      <c r="W308" s="1">
        <f t="shared" si="217"/>
        <v>0</v>
      </c>
      <c r="X308" s="1">
        <f t="shared" si="218"/>
        <v>0</v>
      </c>
      <c r="Y308" s="1">
        <f t="shared" si="219"/>
        <v>0</v>
      </c>
      <c r="Z308" s="1">
        <f t="shared" si="220"/>
        <v>0</v>
      </c>
      <c r="AA308" s="1">
        <f t="shared" si="221"/>
        <v>0</v>
      </c>
      <c r="AB308" s="1">
        <f t="shared" si="222"/>
        <v>0</v>
      </c>
      <c r="AD308" s="1">
        <f t="shared" si="223"/>
        <v>0</v>
      </c>
      <c r="AE308" s="1">
        <f t="shared" si="224"/>
        <v>1</v>
      </c>
      <c r="AF308" s="1">
        <f t="shared" si="209"/>
        <v>0</v>
      </c>
      <c r="AG308" s="1">
        <f t="shared" si="210"/>
        <v>1</v>
      </c>
      <c r="AH308" s="1">
        <f t="shared" si="211"/>
        <v>0</v>
      </c>
      <c r="AI308" s="1">
        <f t="shared" si="212"/>
        <v>1</v>
      </c>
    </row>
    <row r="309" spans="1:35" s="1" customFormat="1" ht="14.25" customHeight="1" x14ac:dyDescent="0.3">
      <c r="A309" s="31">
        <v>0</v>
      </c>
      <c r="B309" s="31">
        <v>2</v>
      </c>
      <c r="C309" s="31">
        <v>1</v>
      </c>
      <c r="D309" s="32" t="s">
        <v>1127</v>
      </c>
      <c r="E309" s="32" t="s">
        <v>558</v>
      </c>
      <c r="F309" s="32" t="s">
        <v>1351</v>
      </c>
      <c r="G309" s="32" t="s">
        <v>264</v>
      </c>
      <c r="H309" s="32" t="s">
        <v>352</v>
      </c>
      <c r="I309" s="31" t="s">
        <v>1128</v>
      </c>
      <c r="J309" s="31">
        <v>8</v>
      </c>
      <c r="K309" s="33" t="s">
        <v>709</v>
      </c>
      <c r="L309" s="33" t="s">
        <v>1706</v>
      </c>
      <c r="M309" s="34" t="s">
        <v>711</v>
      </c>
      <c r="N309" s="34" t="s">
        <v>1745</v>
      </c>
      <c r="O309" s="35">
        <v>1</v>
      </c>
      <c r="P309" s="35"/>
      <c r="Q309" s="32"/>
      <c r="S309" s="1">
        <f t="shared" si="213"/>
        <v>0</v>
      </c>
      <c r="T309" s="1">
        <f t="shared" si="214"/>
        <v>0</v>
      </c>
      <c r="U309" s="1">
        <f t="shared" si="215"/>
        <v>0</v>
      </c>
      <c r="V309" s="1">
        <f t="shared" si="216"/>
        <v>0</v>
      </c>
      <c r="W309" s="1">
        <f t="shared" si="217"/>
        <v>0</v>
      </c>
      <c r="X309" s="1">
        <f t="shared" si="218"/>
        <v>0</v>
      </c>
      <c r="Y309" s="1">
        <f t="shared" si="219"/>
        <v>0</v>
      </c>
      <c r="Z309" s="1">
        <f t="shared" si="220"/>
        <v>1</v>
      </c>
      <c r="AA309" s="1">
        <f t="shared" si="221"/>
        <v>0</v>
      </c>
      <c r="AB309" s="1">
        <f t="shared" si="222"/>
        <v>0</v>
      </c>
      <c r="AD309" s="1">
        <f t="shared" si="223"/>
        <v>0</v>
      </c>
      <c r="AE309" s="1">
        <f t="shared" si="224"/>
        <v>1</v>
      </c>
      <c r="AF309" s="1">
        <f t="shared" si="209"/>
        <v>0</v>
      </c>
      <c r="AG309" s="1">
        <f t="shared" si="210"/>
        <v>1</v>
      </c>
      <c r="AH309" s="1">
        <f t="shared" si="211"/>
        <v>0</v>
      </c>
      <c r="AI309" s="1">
        <f t="shared" si="212"/>
        <v>1</v>
      </c>
    </row>
    <row r="310" spans="1:35" s="1" customFormat="1" ht="14.25" customHeight="1" x14ac:dyDescent="0.3">
      <c r="A310" s="31">
        <v>0</v>
      </c>
      <c r="B310" s="31">
        <v>2</v>
      </c>
      <c r="C310" s="31">
        <v>1</v>
      </c>
      <c r="D310" s="32" t="s">
        <v>1283</v>
      </c>
      <c r="E310" s="32" t="s">
        <v>1331</v>
      </c>
      <c r="F310" s="32" t="s">
        <v>1280</v>
      </c>
      <c r="G310" s="32" t="s">
        <v>1281</v>
      </c>
      <c r="H310" s="32" t="s">
        <v>352</v>
      </c>
      <c r="I310" s="31" t="s">
        <v>1282</v>
      </c>
      <c r="J310" s="31">
        <v>1</v>
      </c>
      <c r="K310" s="33" t="s">
        <v>709</v>
      </c>
      <c r="L310" s="33" t="s">
        <v>710</v>
      </c>
      <c r="M310" s="34" t="s">
        <v>711</v>
      </c>
      <c r="N310" s="34" t="s">
        <v>1758</v>
      </c>
      <c r="O310" s="35">
        <v>1</v>
      </c>
      <c r="P310" s="35"/>
      <c r="Q310" s="32" t="s">
        <v>1899</v>
      </c>
      <c r="S310" s="1">
        <f t="shared" si="213"/>
        <v>1</v>
      </c>
      <c r="T310" s="1">
        <f t="shared" si="214"/>
        <v>0</v>
      </c>
      <c r="U310" s="1">
        <f t="shared" si="215"/>
        <v>0</v>
      </c>
      <c r="V310" s="1">
        <f t="shared" si="216"/>
        <v>0</v>
      </c>
      <c r="W310" s="1">
        <f t="shared" si="217"/>
        <v>0</v>
      </c>
      <c r="X310" s="1">
        <f t="shared" si="218"/>
        <v>0</v>
      </c>
      <c r="Y310" s="1">
        <f t="shared" si="219"/>
        <v>0</v>
      </c>
      <c r="Z310" s="1">
        <f t="shared" si="220"/>
        <v>0</v>
      </c>
      <c r="AA310" s="1">
        <f t="shared" si="221"/>
        <v>0</v>
      </c>
      <c r="AB310" s="1">
        <f t="shared" si="222"/>
        <v>0</v>
      </c>
      <c r="AD310" s="1">
        <f t="shared" si="223"/>
        <v>0</v>
      </c>
      <c r="AE310" s="1">
        <f t="shared" si="224"/>
        <v>1</v>
      </c>
      <c r="AF310" s="1">
        <f t="shared" si="209"/>
        <v>0</v>
      </c>
      <c r="AG310" s="1">
        <f t="shared" si="210"/>
        <v>1</v>
      </c>
      <c r="AH310" s="1">
        <f t="shared" si="211"/>
        <v>0</v>
      </c>
      <c r="AI310" s="1">
        <f t="shared" si="212"/>
        <v>1</v>
      </c>
    </row>
    <row r="311" spans="1:35" s="1" customFormat="1" ht="14.25" customHeight="1" x14ac:dyDescent="0.3">
      <c r="A311" s="44">
        <v>0</v>
      </c>
      <c r="B311" s="44">
        <v>2</v>
      </c>
      <c r="C311" s="44">
        <v>1</v>
      </c>
      <c r="D311" s="45" t="s">
        <v>52</v>
      </c>
      <c r="E311" s="45" t="s">
        <v>32</v>
      </c>
      <c r="F311" s="45" t="s">
        <v>205</v>
      </c>
      <c r="G311" s="45" t="s">
        <v>206</v>
      </c>
      <c r="H311" s="45" t="s">
        <v>352</v>
      </c>
      <c r="I311" s="44" t="s">
        <v>389</v>
      </c>
      <c r="J311" s="44">
        <v>99</v>
      </c>
      <c r="K311" s="46" t="s">
        <v>709</v>
      </c>
      <c r="L311" s="46" t="s">
        <v>710</v>
      </c>
      <c r="M311" s="47" t="s">
        <v>711</v>
      </c>
      <c r="N311" s="47" t="s">
        <v>1744</v>
      </c>
      <c r="O311" s="48"/>
      <c r="P311" s="48"/>
      <c r="Q311" s="45"/>
      <c r="S311" s="1">
        <f t="shared" si="213"/>
        <v>0</v>
      </c>
      <c r="T311" s="1">
        <f t="shared" si="214"/>
        <v>0</v>
      </c>
      <c r="U311" s="1">
        <f t="shared" si="215"/>
        <v>0</v>
      </c>
      <c r="V311" s="1">
        <f t="shared" si="216"/>
        <v>0</v>
      </c>
      <c r="W311" s="1">
        <f t="shared" si="217"/>
        <v>0</v>
      </c>
      <c r="X311" s="1">
        <f t="shared" si="218"/>
        <v>0</v>
      </c>
      <c r="Y311" s="1">
        <f t="shared" si="219"/>
        <v>0</v>
      </c>
      <c r="Z311" s="1">
        <f t="shared" si="220"/>
        <v>0</v>
      </c>
      <c r="AA311" s="1">
        <f t="shared" si="221"/>
        <v>0</v>
      </c>
      <c r="AB311" s="1">
        <f t="shared" si="222"/>
        <v>0</v>
      </c>
      <c r="AD311" s="1">
        <f t="shared" si="223"/>
        <v>0</v>
      </c>
      <c r="AE311" s="1">
        <f t="shared" si="224"/>
        <v>0</v>
      </c>
      <c r="AF311" s="1">
        <f t="shared" si="209"/>
        <v>0</v>
      </c>
      <c r="AG311" s="1">
        <f t="shared" si="210"/>
        <v>0</v>
      </c>
      <c r="AH311" s="1">
        <f t="shared" si="211"/>
        <v>0</v>
      </c>
      <c r="AI311" s="1">
        <f t="shared" si="212"/>
        <v>1</v>
      </c>
    </row>
    <row r="312" spans="1:35" s="1" customFormat="1" ht="14.25" customHeight="1" x14ac:dyDescent="0.3">
      <c r="A312" s="31">
        <v>0</v>
      </c>
      <c r="B312" s="31">
        <v>2</v>
      </c>
      <c r="C312" s="31">
        <v>1</v>
      </c>
      <c r="D312" s="32" t="s">
        <v>73</v>
      </c>
      <c r="E312" s="32" t="s">
        <v>558</v>
      </c>
      <c r="F312" s="32" t="s">
        <v>1047</v>
      </c>
      <c r="G312" s="32" t="s">
        <v>189</v>
      </c>
      <c r="H312" s="32" t="s">
        <v>352</v>
      </c>
      <c r="I312" s="31" t="s">
        <v>419</v>
      </c>
      <c r="J312" s="31">
        <v>99</v>
      </c>
      <c r="K312" s="33" t="s">
        <v>951</v>
      </c>
      <c r="L312" s="33" t="s">
        <v>710</v>
      </c>
      <c r="M312" s="34" t="s">
        <v>711</v>
      </c>
      <c r="N312" s="34" t="s">
        <v>1740</v>
      </c>
      <c r="O312" s="35">
        <v>1</v>
      </c>
      <c r="P312" s="35"/>
      <c r="Q312" s="32"/>
      <c r="S312" s="1">
        <f t="shared" si="213"/>
        <v>0</v>
      </c>
      <c r="T312" s="1">
        <f t="shared" si="214"/>
        <v>0</v>
      </c>
      <c r="U312" s="1">
        <f t="shared" si="215"/>
        <v>0</v>
      </c>
      <c r="V312" s="1">
        <f t="shared" si="216"/>
        <v>0</v>
      </c>
      <c r="W312" s="1">
        <f t="shared" si="217"/>
        <v>0</v>
      </c>
      <c r="X312" s="1">
        <f t="shared" si="218"/>
        <v>0</v>
      </c>
      <c r="Y312" s="1">
        <f t="shared" si="219"/>
        <v>0</v>
      </c>
      <c r="Z312" s="1">
        <f t="shared" si="220"/>
        <v>0</v>
      </c>
      <c r="AA312" s="1">
        <f t="shared" si="221"/>
        <v>0</v>
      </c>
      <c r="AB312" s="1">
        <f t="shared" si="222"/>
        <v>0</v>
      </c>
      <c r="AD312" s="1">
        <f t="shared" si="223"/>
        <v>0</v>
      </c>
      <c r="AE312" s="1">
        <f t="shared" si="224"/>
        <v>1</v>
      </c>
      <c r="AF312" s="1">
        <f t="shared" si="209"/>
        <v>0</v>
      </c>
      <c r="AG312" s="1">
        <f t="shared" si="210"/>
        <v>1</v>
      </c>
      <c r="AH312" s="1">
        <f t="shared" si="211"/>
        <v>0</v>
      </c>
      <c r="AI312" s="1">
        <f t="shared" si="212"/>
        <v>1</v>
      </c>
    </row>
    <row r="313" spans="1:35" s="1" customFormat="1" ht="14.25" customHeight="1" x14ac:dyDescent="0.3">
      <c r="A313" s="31">
        <v>0</v>
      </c>
      <c r="B313" s="31">
        <v>2</v>
      </c>
      <c r="C313" s="31">
        <v>1</v>
      </c>
      <c r="D313" s="32" t="s">
        <v>47</v>
      </c>
      <c r="E313" s="32" t="s">
        <v>32</v>
      </c>
      <c r="F313" s="32" t="s">
        <v>186</v>
      </c>
      <c r="G313" s="32" t="s">
        <v>179</v>
      </c>
      <c r="H313" s="32" t="s">
        <v>352</v>
      </c>
      <c r="I313" s="31" t="s">
        <v>381</v>
      </c>
      <c r="J313" s="31">
        <v>10</v>
      </c>
      <c r="K313" s="33" t="s">
        <v>952</v>
      </c>
      <c r="L313" s="33" t="s">
        <v>710</v>
      </c>
      <c r="M313" s="34" t="s">
        <v>711</v>
      </c>
      <c r="N313" s="34" t="s">
        <v>1740</v>
      </c>
      <c r="O313" s="35">
        <v>1</v>
      </c>
      <c r="P313" s="35"/>
      <c r="Q313" s="32"/>
      <c r="S313" s="1">
        <f t="shared" si="213"/>
        <v>0</v>
      </c>
      <c r="T313" s="1">
        <f t="shared" si="214"/>
        <v>0</v>
      </c>
      <c r="U313" s="1">
        <f t="shared" si="215"/>
        <v>0</v>
      </c>
      <c r="V313" s="1">
        <f t="shared" si="216"/>
        <v>0</v>
      </c>
      <c r="W313" s="1">
        <f t="shared" si="217"/>
        <v>0</v>
      </c>
      <c r="X313" s="1">
        <f t="shared" si="218"/>
        <v>0</v>
      </c>
      <c r="Y313" s="1">
        <f t="shared" si="219"/>
        <v>0</v>
      </c>
      <c r="Z313" s="1">
        <f t="shared" si="220"/>
        <v>0</v>
      </c>
      <c r="AA313" s="1">
        <f t="shared" si="221"/>
        <v>0</v>
      </c>
      <c r="AB313" s="1">
        <f t="shared" si="222"/>
        <v>1</v>
      </c>
      <c r="AD313" s="1">
        <f t="shared" si="223"/>
        <v>0</v>
      </c>
      <c r="AE313" s="1">
        <f t="shared" si="224"/>
        <v>1</v>
      </c>
      <c r="AF313" s="1">
        <f t="shared" si="209"/>
        <v>0</v>
      </c>
      <c r="AG313" s="1">
        <f t="shared" si="210"/>
        <v>1</v>
      </c>
      <c r="AH313" s="1">
        <f t="shared" si="211"/>
        <v>0</v>
      </c>
      <c r="AI313" s="1">
        <f t="shared" si="212"/>
        <v>1</v>
      </c>
    </row>
    <row r="314" spans="1:35" s="1" customFormat="1" ht="14.25" customHeight="1" x14ac:dyDescent="0.3">
      <c r="A314" s="44">
        <v>0</v>
      </c>
      <c r="B314" s="44">
        <v>2</v>
      </c>
      <c r="C314" s="44">
        <v>1</v>
      </c>
      <c r="D314" s="45" t="s">
        <v>649</v>
      </c>
      <c r="E314" s="45" t="s">
        <v>159</v>
      </c>
      <c r="F314" s="45" t="s">
        <v>187</v>
      </c>
      <c r="G314" s="45" t="s">
        <v>665</v>
      </c>
      <c r="H314" s="45" t="s">
        <v>352</v>
      </c>
      <c r="I314" s="44" t="s">
        <v>382</v>
      </c>
      <c r="J314" s="44">
        <v>99</v>
      </c>
      <c r="K314" s="46" t="s">
        <v>709</v>
      </c>
      <c r="L314" s="46" t="s">
        <v>710</v>
      </c>
      <c r="M314" s="47" t="s">
        <v>711</v>
      </c>
      <c r="N314" s="47" t="s">
        <v>1734</v>
      </c>
      <c r="O314" s="48"/>
      <c r="P314" s="48"/>
      <c r="Q314" s="45"/>
      <c r="S314" s="1">
        <f t="shared" si="213"/>
        <v>0</v>
      </c>
      <c r="T314" s="1">
        <f t="shared" si="214"/>
        <v>0</v>
      </c>
      <c r="U314" s="1">
        <f t="shared" si="215"/>
        <v>0</v>
      </c>
      <c r="V314" s="1">
        <f t="shared" si="216"/>
        <v>0</v>
      </c>
      <c r="W314" s="1">
        <f t="shared" si="217"/>
        <v>0</v>
      </c>
      <c r="X314" s="1">
        <f t="shared" si="218"/>
        <v>0</v>
      </c>
      <c r="Y314" s="1">
        <f t="shared" si="219"/>
        <v>0</v>
      </c>
      <c r="Z314" s="1">
        <f t="shared" si="220"/>
        <v>0</v>
      </c>
      <c r="AA314" s="1">
        <f t="shared" si="221"/>
        <v>0</v>
      </c>
      <c r="AB314" s="1">
        <f t="shared" si="222"/>
        <v>0</v>
      </c>
      <c r="AD314" s="1">
        <f t="shared" si="223"/>
        <v>0</v>
      </c>
      <c r="AE314" s="1">
        <f t="shared" si="224"/>
        <v>0</v>
      </c>
      <c r="AF314" s="1">
        <f t="shared" si="209"/>
        <v>0</v>
      </c>
      <c r="AG314" s="1">
        <f t="shared" si="210"/>
        <v>0</v>
      </c>
      <c r="AH314" s="1">
        <f t="shared" si="211"/>
        <v>0</v>
      </c>
      <c r="AI314" s="1">
        <f t="shared" si="212"/>
        <v>1</v>
      </c>
    </row>
    <row r="315" spans="1:35" s="1" customFormat="1" ht="14.25" customHeight="1" x14ac:dyDescent="0.3">
      <c r="A315" s="38">
        <v>0</v>
      </c>
      <c r="B315" s="38">
        <v>2</v>
      </c>
      <c r="C315" s="38">
        <v>1</v>
      </c>
      <c r="D315" s="39" t="s">
        <v>1301</v>
      </c>
      <c r="E315" s="39" t="s">
        <v>36</v>
      </c>
      <c r="F315" s="39" t="s">
        <v>1302</v>
      </c>
      <c r="G315" s="39" t="s">
        <v>257</v>
      </c>
      <c r="H315" s="39" t="s">
        <v>352</v>
      </c>
      <c r="I315" s="38" t="s">
        <v>1303</v>
      </c>
      <c r="J315" s="38">
        <v>8</v>
      </c>
      <c r="K315" s="40" t="s">
        <v>956</v>
      </c>
      <c r="L315" s="40" t="s">
        <v>710</v>
      </c>
      <c r="M315" s="41" t="s">
        <v>711</v>
      </c>
      <c r="N315" s="42"/>
      <c r="O315" s="43"/>
      <c r="P315" s="43">
        <v>1</v>
      </c>
      <c r="Q315" s="39"/>
      <c r="S315" s="1">
        <f t="shared" si="213"/>
        <v>0</v>
      </c>
      <c r="T315" s="1">
        <f t="shared" si="214"/>
        <v>0</v>
      </c>
      <c r="U315" s="1">
        <f t="shared" si="215"/>
        <v>0</v>
      </c>
      <c r="V315" s="1">
        <f t="shared" si="216"/>
        <v>0</v>
      </c>
      <c r="W315" s="1">
        <f t="shared" si="217"/>
        <v>0</v>
      </c>
      <c r="X315" s="1">
        <f t="shared" si="218"/>
        <v>0</v>
      </c>
      <c r="Y315" s="1">
        <f t="shared" si="219"/>
        <v>0</v>
      </c>
      <c r="Z315" s="1">
        <f t="shared" si="220"/>
        <v>1</v>
      </c>
      <c r="AA315" s="1">
        <f t="shared" si="221"/>
        <v>0</v>
      </c>
      <c r="AB315" s="1">
        <f t="shared" si="222"/>
        <v>0</v>
      </c>
      <c r="AD315" s="1">
        <f t="shared" si="223"/>
        <v>0</v>
      </c>
      <c r="AE315" s="1">
        <f t="shared" si="224"/>
        <v>0</v>
      </c>
      <c r="AF315" s="1">
        <f t="shared" si="209"/>
        <v>0</v>
      </c>
      <c r="AG315" s="1">
        <f t="shared" si="210"/>
        <v>0</v>
      </c>
      <c r="AH315" s="1">
        <f t="shared" si="211"/>
        <v>1</v>
      </c>
      <c r="AI315" s="1">
        <f t="shared" si="212"/>
        <v>0</v>
      </c>
    </row>
    <row r="316" spans="1:35" s="1" customFormat="1" ht="14.25" customHeight="1" x14ac:dyDescent="0.3">
      <c r="A316" s="31">
        <v>0</v>
      </c>
      <c r="B316" s="31">
        <v>2</v>
      </c>
      <c r="C316" s="31">
        <v>1</v>
      </c>
      <c r="D316" s="32" t="s">
        <v>54</v>
      </c>
      <c r="E316" s="32" t="s">
        <v>558</v>
      </c>
      <c r="F316" s="32" t="s">
        <v>211</v>
      </c>
      <c r="G316" s="32" t="s">
        <v>212</v>
      </c>
      <c r="H316" s="32" t="s">
        <v>352</v>
      </c>
      <c r="I316" s="31" t="s">
        <v>391</v>
      </c>
      <c r="J316" s="31">
        <v>1</v>
      </c>
      <c r="K316" s="33" t="s">
        <v>952</v>
      </c>
      <c r="L316" s="33" t="s">
        <v>710</v>
      </c>
      <c r="M316" s="34" t="s">
        <v>39</v>
      </c>
      <c r="N316" s="34" t="s">
        <v>1740</v>
      </c>
      <c r="O316" s="35">
        <v>1</v>
      </c>
      <c r="P316" s="35"/>
      <c r="Q316" s="32"/>
      <c r="S316" s="1">
        <f t="shared" si="213"/>
        <v>1</v>
      </c>
      <c r="T316" s="1">
        <f t="shared" si="214"/>
        <v>0</v>
      </c>
      <c r="U316" s="1">
        <f t="shared" si="215"/>
        <v>0</v>
      </c>
      <c r="V316" s="1">
        <f t="shared" si="216"/>
        <v>0</v>
      </c>
      <c r="W316" s="1">
        <f t="shared" si="217"/>
        <v>0</v>
      </c>
      <c r="X316" s="1">
        <f t="shared" si="218"/>
        <v>0</v>
      </c>
      <c r="Y316" s="1">
        <f t="shared" si="219"/>
        <v>0</v>
      </c>
      <c r="Z316" s="1">
        <f t="shared" si="220"/>
        <v>0</v>
      </c>
      <c r="AA316" s="1">
        <f t="shared" si="221"/>
        <v>0</v>
      </c>
      <c r="AB316" s="1">
        <f t="shared" si="222"/>
        <v>0</v>
      </c>
      <c r="AD316" s="1">
        <f t="shared" si="223"/>
        <v>0</v>
      </c>
      <c r="AE316" s="1">
        <f t="shared" si="224"/>
        <v>1</v>
      </c>
      <c r="AF316" s="1">
        <f t="shared" si="209"/>
        <v>0</v>
      </c>
      <c r="AG316" s="1">
        <f t="shared" si="210"/>
        <v>1</v>
      </c>
      <c r="AH316" s="1">
        <f t="shared" si="211"/>
        <v>0</v>
      </c>
      <c r="AI316" s="1">
        <f t="shared" si="212"/>
        <v>1</v>
      </c>
    </row>
    <row r="317" spans="1:35" s="1" customFormat="1" ht="14.25" customHeight="1" x14ac:dyDescent="0.3">
      <c r="A317" s="44">
        <v>0</v>
      </c>
      <c r="B317" s="44">
        <v>2</v>
      </c>
      <c r="C317" s="44">
        <v>1</v>
      </c>
      <c r="D317" s="45" t="s">
        <v>61</v>
      </c>
      <c r="E317" s="45" t="s">
        <v>540</v>
      </c>
      <c r="F317" s="45" t="s">
        <v>232</v>
      </c>
      <c r="G317" s="45" t="s">
        <v>203</v>
      </c>
      <c r="H317" s="45" t="s">
        <v>352</v>
      </c>
      <c r="I317" s="44" t="s">
        <v>399</v>
      </c>
      <c r="J317" s="44">
        <v>7</v>
      </c>
      <c r="K317" s="46" t="s">
        <v>709</v>
      </c>
      <c r="L317" s="46" t="s">
        <v>710</v>
      </c>
      <c r="M317" s="47" t="s">
        <v>711</v>
      </c>
      <c r="N317" s="47" t="s">
        <v>1735</v>
      </c>
      <c r="O317" s="48"/>
      <c r="P317" s="48"/>
      <c r="Q317" s="45"/>
      <c r="S317" s="1">
        <f t="shared" si="213"/>
        <v>0</v>
      </c>
      <c r="T317" s="1">
        <f t="shared" si="214"/>
        <v>0</v>
      </c>
      <c r="U317" s="1">
        <f t="shared" si="215"/>
        <v>0</v>
      </c>
      <c r="V317" s="1">
        <f t="shared" si="216"/>
        <v>0</v>
      </c>
      <c r="W317" s="1">
        <f t="shared" si="217"/>
        <v>0</v>
      </c>
      <c r="X317" s="1">
        <f t="shared" si="218"/>
        <v>0</v>
      </c>
      <c r="Y317" s="1">
        <f t="shared" si="219"/>
        <v>1</v>
      </c>
      <c r="Z317" s="1">
        <f t="shared" si="220"/>
        <v>0</v>
      </c>
      <c r="AA317" s="1">
        <f t="shared" si="221"/>
        <v>0</v>
      </c>
      <c r="AB317" s="1">
        <f t="shared" si="222"/>
        <v>0</v>
      </c>
      <c r="AD317" s="1">
        <f t="shared" si="223"/>
        <v>0</v>
      </c>
      <c r="AE317" s="1">
        <f t="shared" si="224"/>
        <v>0</v>
      </c>
      <c r="AF317" s="1">
        <f t="shared" si="209"/>
        <v>0</v>
      </c>
      <c r="AG317" s="1">
        <f t="shared" si="210"/>
        <v>0</v>
      </c>
      <c r="AH317" s="1">
        <f t="shared" si="211"/>
        <v>0</v>
      </c>
      <c r="AI317" s="1">
        <f t="shared" si="212"/>
        <v>1</v>
      </c>
    </row>
    <row r="318" spans="1:35" s="1" customFormat="1" ht="14.25" customHeight="1" x14ac:dyDescent="0.3">
      <c r="A318" s="31">
        <v>0</v>
      </c>
      <c r="B318" s="31">
        <v>2</v>
      </c>
      <c r="C318" s="31">
        <v>1</v>
      </c>
      <c r="D318" s="32" t="s">
        <v>1644</v>
      </c>
      <c r="E318" s="32" t="s">
        <v>558</v>
      </c>
      <c r="F318" s="32" t="s">
        <v>1355</v>
      </c>
      <c r="G318" s="32" t="s">
        <v>1281</v>
      </c>
      <c r="H318" s="32" t="s">
        <v>352</v>
      </c>
      <c r="I318" s="31" t="s">
        <v>1164</v>
      </c>
      <c r="J318" s="31">
        <v>99</v>
      </c>
      <c r="K318" s="33" t="s">
        <v>709</v>
      </c>
      <c r="L318" s="33" t="s">
        <v>710</v>
      </c>
      <c r="M318" s="34" t="s">
        <v>711</v>
      </c>
      <c r="N318" s="34" t="s">
        <v>1745</v>
      </c>
      <c r="O318" s="35">
        <v>1</v>
      </c>
      <c r="P318" s="35"/>
      <c r="Q318" s="32" t="s">
        <v>1898</v>
      </c>
      <c r="S318" s="1">
        <f t="shared" si="213"/>
        <v>0</v>
      </c>
      <c r="T318" s="1">
        <f t="shared" si="214"/>
        <v>0</v>
      </c>
      <c r="U318" s="1">
        <f t="shared" si="215"/>
        <v>0</v>
      </c>
      <c r="V318" s="1">
        <f t="shared" si="216"/>
        <v>0</v>
      </c>
      <c r="W318" s="1">
        <f t="shared" si="217"/>
        <v>0</v>
      </c>
      <c r="X318" s="1">
        <f t="shared" si="218"/>
        <v>0</v>
      </c>
      <c r="Y318" s="1">
        <f t="shared" si="219"/>
        <v>0</v>
      </c>
      <c r="Z318" s="1">
        <f t="shared" si="220"/>
        <v>0</v>
      </c>
      <c r="AA318" s="1">
        <f t="shared" si="221"/>
        <v>0</v>
      </c>
      <c r="AB318" s="1">
        <f t="shared" si="222"/>
        <v>0</v>
      </c>
      <c r="AD318" s="1">
        <f t="shared" si="223"/>
        <v>0</v>
      </c>
      <c r="AE318" s="1">
        <f t="shared" si="224"/>
        <v>1</v>
      </c>
      <c r="AF318" s="1">
        <f t="shared" si="209"/>
        <v>0</v>
      </c>
      <c r="AG318" s="1">
        <f t="shared" si="210"/>
        <v>1</v>
      </c>
      <c r="AH318" s="1">
        <f t="shared" si="211"/>
        <v>0</v>
      </c>
      <c r="AI318" s="1">
        <f t="shared" si="212"/>
        <v>1</v>
      </c>
    </row>
    <row r="319" spans="1:35" s="1" customFormat="1" ht="14.25" customHeight="1" x14ac:dyDescent="0.3">
      <c r="A319" s="49">
        <v>0</v>
      </c>
      <c r="B319" s="49">
        <v>2</v>
      </c>
      <c r="C319" s="49">
        <v>1</v>
      </c>
      <c r="D319" s="50" t="s">
        <v>1779</v>
      </c>
      <c r="E319" s="50" t="s">
        <v>1780</v>
      </c>
      <c r="F319" s="50" t="s">
        <v>1781</v>
      </c>
      <c r="G319" s="50" t="s">
        <v>1782</v>
      </c>
      <c r="H319" s="50" t="s">
        <v>352</v>
      </c>
      <c r="I319" s="49"/>
      <c r="J319" s="49">
        <v>1</v>
      </c>
      <c r="K319" s="51" t="s">
        <v>700</v>
      </c>
      <c r="L319" s="51"/>
      <c r="M319" s="52"/>
      <c r="N319" s="52" t="s">
        <v>1740</v>
      </c>
      <c r="O319" s="53">
        <v>1</v>
      </c>
      <c r="P319" s="53"/>
      <c r="Q319" s="55" t="s">
        <v>1906</v>
      </c>
      <c r="S319" s="1">
        <f t="shared" si="213"/>
        <v>1</v>
      </c>
      <c r="T319" s="1">
        <f t="shared" si="214"/>
        <v>0</v>
      </c>
      <c r="U319" s="1">
        <f t="shared" si="215"/>
        <v>0</v>
      </c>
      <c r="V319" s="1">
        <f t="shared" si="216"/>
        <v>0</v>
      </c>
      <c r="W319" s="1">
        <f t="shared" si="217"/>
        <v>0</v>
      </c>
      <c r="X319" s="1">
        <f t="shared" si="218"/>
        <v>0</v>
      </c>
      <c r="Y319" s="1">
        <f t="shared" si="219"/>
        <v>0</v>
      </c>
      <c r="Z319" s="1">
        <f t="shared" si="220"/>
        <v>0</v>
      </c>
      <c r="AA319" s="1">
        <f t="shared" si="221"/>
        <v>0</v>
      </c>
      <c r="AB319" s="1">
        <f t="shared" si="222"/>
        <v>0</v>
      </c>
      <c r="AD319" s="1">
        <f t="shared" si="223"/>
        <v>0</v>
      </c>
      <c r="AE319" s="1">
        <f t="shared" si="224"/>
        <v>1</v>
      </c>
      <c r="AF319" s="1">
        <f t="shared" si="209"/>
        <v>0</v>
      </c>
      <c r="AG319" s="1">
        <f t="shared" si="210"/>
        <v>1</v>
      </c>
      <c r="AH319" s="1">
        <f t="shared" si="211"/>
        <v>0</v>
      </c>
      <c r="AI319" s="1">
        <f t="shared" si="212"/>
        <v>1</v>
      </c>
    </row>
    <row r="320" spans="1:35" s="1" customFormat="1" ht="14.25" customHeight="1" x14ac:dyDescent="0.3">
      <c r="A320" s="31">
        <v>0</v>
      </c>
      <c r="B320" s="31">
        <v>2</v>
      </c>
      <c r="C320" s="31">
        <v>1</v>
      </c>
      <c r="D320" s="32" t="s">
        <v>1315</v>
      </c>
      <c r="E320" s="32" t="s">
        <v>1335</v>
      </c>
      <c r="F320" s="32" t="s">
        <v>1298</v>
      </c>
      <c r="G320" s="32" t="s">
        <v>1299</v>
      </c>
      <c r="H320" s="32" t="s">
        <v>352</v>
      </c>
      <c r="I320" s="31" t="s">
        <v>1300</v>
      </c>
      <c r="J320" s="31">
        <v>99</v>
      </c>
      <c r="K320" s="33" t="s">
        <v>952</v>
      </c>
      <c r="L320" s="33" t="s">
        <v>710</v>
      </c>
      <c r="M320" s="34" t="s">
        <v>711</v>
      </c>
      <c r="N320" s="34" t="s">
        <v>1916</v>
      </c>
      <c r="O320" s="35">
        <v>1</v>
      </c>
      <c r="P320" s="35"/>
      <c r="Q320" s="32"/>
      <c r="S320" s="1">
        <f t="shared" si="213"/>
        <v>0</v>
      </c>
      <c r="T320" s="1">
        <f t="shared" si="214"/>
        <v>0</v>
      </c>
      <c r="U320" s="1">
        <f t="shared" si="215"/>
        <v>0</v>
      </c>
      <c r="V320" s="1">
        <f t="shared" si="216"/>
        <v>0</v>
      </c>
      <c r="W320" s="1">
        <f t="shared" si="217"/>
        <v>0</v>
      </c>
      <c r="X320" s="1">
        <f t="shared" si="218"/>
        <v>0</v>
      </c>
      <c r="Y320" s="1">
        <f t="shared" si="219"/>
        <v>0</v>
      </c>
      <c r="Z320" s="1">
        <f t="shared" si="220"/>
        <v>0</v>
      </c>
      <c r="AA320" s="1">
        <f t="shared" si="221"/>
        <v>0</v>
      </c>
      <c r="AB320" s="1">
        <f t="shared" si="222"/>
        <v>0</v>
      </c>
      <c r="AD320" s="1">
        <f t="shared" si="223"/>
        <v>0</v>
      </c>
      <c r="AE320" s="1">
        <f t="shared" si="224"/>
        <v>1</v>
      </c>
      <c r="AF320" s="1">
        <f t="shared" si="209"/>
        <v>0</v>
      </c>
      <c r="AG320" s="1">
        <f t="shared" si="210"/>
        <v>1</v>
      </c>
      <c r="AH320" s="1">
        <f t="shared" si="211"/>
        <v>0</v>
      </c>
      <c r="AI320" s="1">
        <f t="shared" si="212"/>
        <v>1</v>
      </c>
    </row>
    <row r="321" spans="1:35" s="1" customFormat="1" ht="14.25" customHeight="1" x14ac:dyDescent="0.3">
      <c r="A321" s="44">
        <v>0</v>
      </c>
      <c r="B321" s="44">
        <v>2</v>
      </c>
      <c r="C321" s="44">
        <v>1</v>
      </c>
      <c r="D321" s="45" t="s">
        <v>1310</v>
      </c>
      <c r="E321" s="45" t="s">
        <v>159</v>
      </c>
      <c r="F321" s="45" t="s">
        <v>1312</v>
      </c>
      <c r="G321" s="45" t="s">
        <v>1313</v>
      </c>
      <c r="H321" s="45" t="s">
        <v>352</v>
      </c>
      <c r="I321" s="44" t="s">
        <v>1314</v>
      </c>
      <c r="J321" s="44">
        <v>8</v>
      </c>
      <c r="K321" s="46" t="s">
        <v>710</v>
      </c>
      <c r="L321" s="46" t="s">
        <v>710</v>
      </c>
      <c r="M321" s="47" t="s">
        <v>711</v>
      </c>
      <c r="N321" s="47" t="s">
        <v>1744</v>
      </c>
      <c r="O321" s="48"/>
      <c r="P321" s="48"/>
      <c r="Q321" s="45"/>
      <c r="S321" s="1">
        <f t="shared" si="213"/>
        <v>0</v>
      </c>
      <c r="T321" s="1">
        <f t="shared" si="214"/>
        <v>0</v>
      </c>
      <c r="U321" s="1">
        <f t="shared" si="215"/>
        <v>0</v>
      </c>
      <c r="V321" s="1">
        <f t="shared" si="216"/>
        <v>0</v>
      </c>
      <c r="W321" s="1">
        <f t="shared" si="217"/>
        <v>0</v>
      </c>
      <c r="X321" s="1">
        <f t="shared" si="218"/>
        <v>0</v>
      </c>
      <c r="Y321" s="1">
        <f t="shared" si="219"/>
        <v>0</v>
      </c>
      <c r="Z321" s="1">
        <f t="shared" si="220"/>
        <v>1</v>
      </c>
      <c r="AA321" s="1">
        <f t="shared" si="221"/>
        <v>0</v>
      </c>
      <c r="AB321" s="1">
        <f t="shared" si="222"/>
        <v>0</v>
      </c>
      <c r="AD321" s="1">
        <f t="shared" si="223"/>
        <v>0</v>
      </c>
      <c r="AE321" s="1">
        <f t="shared" si="224"/>
        <v>0</v>
      </c>
      <c r="AF321" s="1">
        <f t="shared" si="209"/>
        <v>0</v>
      </c>
      <c r="AG321" s="1">
        <f t="shared" si="210"/>
        <v>0</v>
      </c>
      <c r="AH321" s="1">
        <f t="shared" si="211"/>
        <v>0</v>
      </c>
      <c r="AI321" s="1">
        <f t="shared" si="212"/>
        <v>1</v>
      </c>
    </row>
    <row r="322" spans="1:35" s="1" customFormat="1" ht="14.25" customHeight="1" x14ac:dyDescent="0.3">
      <c r="A322" s="44">
        <v>0</v>
      </c>
      <c r="B322" s="44">
        <v>2</v>
      </c>
      <c r="C322" s="44">
        <v>2</v>
      </c>
      <c r="D322" s="45" t="s">
        <v>1643</v>
      </c>
      <c r="E322" s="45" t="s">
        <v>1165</v>
      </c>
      <c r="F322" s="45" t="s">
        <v>1677</v>
      </c>
      <c r="G322" s="45" t="s">
        <v>189</v>
      </c>
      <c r="H322" s="45" t="s">
        <v>352</v>
      </c>
      <c r="I322" s="44" t="s">
        <v>1604</v>
      </c>
      <c r="J322" s="44">
        <v>99</v>
      </c>
      <c r="K322" s="46" t="s">
        <v>710</v>
      </c>
      <c r="L322" s="46" t="s">
        <v>693</v>
      </c>
      <c r="M322" s="47" t="s">
        <v>1605</v>
      </c>
      <c r="N322" s="47" t="s">
        <v>1735</v>
      </c>
      <c r="O322" s="48"/>
      <c r="P322" s="48"/>
      <c r="Q322" s="45"/>
      <c r="S322" s="1">
        <f t="shared" si="213"/>
        <v>0</v>
      </c>
      <c r="T322" s="1">
        <f t="shared" si="214"/>
        <v>0</v>
      </c>
      <c r="U322" s="1">
        <f t="shared" si="215"/>
        <v>0</v>
      </c>
      <c r="V322" s="1">
        <f t="shared" si="216"/>
        <v>0</v>
      </c>
      <c r="W322" s="1">
        <f t="shared" si="217"/>
        <v>0</v>
      </c>
      <c r="X322" s="1">
        <f t="shared" si="218"/>
        <v>0</v>
      </c>
      <c r="Y322" s="1">
        <f t="shared" si="219"/>
        <v>0</v>
      </c>
      <c r="Z322" s="1">
        <f t="shared" si="220"/>
        <v>0</v>
      </c>
      <c r="AA322" s="1">
        <f t="shared" si="221"/>
        <v>0</v>
      </c>
      <c r="AB322" s="1">
        <f t="shared" si="222"/>
        <v>0</v>
      </c>
      <c r="AD322" s="1">
        <f t="shared" si="223"/>
        <v>0</v>
      </c>
      <c r="AE322" s="1">
        <f t="shared" si="224"/>
        <v>0</v>
      </c>
      <c r="AF322" s="1">
        <f t="shared" si="209"/>
        <v>0</v>
      </c>
      <c r="AG322" s="1">
        <f t="shared" si="210"/>
        <v>0</v>
      </c>
      <c r="AH322" s="1">
        <f t="shared" si="211"/>
        <v>0</v>
      </c>
      <c r="AI322" s="1">
        <f t="shared" si="212"/>
        <v>1</v>
      </c>
    </row>
    <row r="323" spans="1:35" s="1" customFormat="1" ht="14.25" customHeight="1" x14ac:dyDescent="0.3">
      <c r="A323" s="49">
        <v>0</v>
      </c>
      <c r="B323" s="49">
        <v>2</v>
      </c>
      <c r="C323" s="49">
        <v>2</v>
      </c>
      <c r="D323" s="50" t="s">
        <v>65</v>
      </c>
      <c r="E323" s="50" t="s">
        <v>163</v>
      </c>
      <c r="F323" s="50" t="s">
        <v>242</v>
      </c>
      <c r="G323" s="50" t="s">
        <v>199</v>
      </c>
      <c r="H323" s="50" t="s">
        <v>352</v>
      </c>
      <c r="I323" s="49" t="s">
        <v>405</v>
      </c>
      <c r="J323" s="49">
        <v>2</v>
      </c>
      <c r="K323" s="51" t="s">
        <v>952</v>
      </c>
      <c r="L323" s="51" t="s">
        <v>693</v>
      </c>
      <c r="M323" s="52" t="s">
        <v>712</v>
      </c>
      <c r="N323" s="52" t="s">
        <v>1740</v>
      </c>
      <c r="O323" s="53">
        <v>1</v>
      </c>
      <c r="P323" s="53"/>
      <c r="Q323" s="50"/>
      <c r="S323" s="1">
        <f t="shared" si="213"/>
        <v>0</v>
      </c>
      <c r="T323" s="1">
        <f t="shared" si="214"/>
        <v>1</v>
      </c>
      <c r="U323" s="1">
        <f t="shared" si="215"/>
        <v>0</v>
      </c>
      <c r="V323" s="1">
        <f t="shared" si="216"/>
        <v>0</v>
      </c>
      <c r="W323" s="1">
        <f t="shared" si="217"/>
        <v>0</v>
      </c>
      <c r="X323" s="1">
        <f t="shared" si="218"/>
        <v>0</v>
      </c>
      <c r="Y323" s="1">
        <f t="shared" si="219"/>
        <v>0</v>
      </c>
      <c r="Z323" s="1">
        <f t="shared" si="220"/>
        <v>0</v>
      </c>
      <c r="AA323" s="1">
        <f t="shared" si="221"/>
        <v>0</v>
      </c>
      <c r="AB323" s="1">
        <f t="shared" si="222"/>
        <v>0</v>
      </c>
      <c r="AD323" s="1">
        <f t="shared" si="223"/>
        <v>0</v>
      </c>
      <c r="AE323" s="1">
        <f t="shared" si="224"/>
        <v>1</v>
      </c>
      <c r="AF323" s="1">
        <f t="shared" si="209"/>
        <v>0</v>
      </c>
      <c r="AG323" s="1">
        <f t="shared" si="210"/>
        <v>1</v>
      </c>
      <c r="AH323" s="1">
        <f t="shared" si="211"/>
        <v>0</v>
      </c>
      <c r="AI323" s="1">
        <f t="shared" si="212"/>
        <v>1</v>
      </c>
    </row>
    <row r="324" spans="1:35" s="1" customFormat="1" ht="14.25" customHeight="1" x14ac:dyDescent="0.3">
      <c r="A324" s="44">
        <v>0</v>
      </c>
      <c r="B324" s="44">
        <v>2</v>
      </c>
      <c r="C324" s="44">
        <v>2</v>
      </c>
      <c r="D324" s="45" t="s">
        <v>1179</v>
      </c>
      <c r="E324" s="45" t="s">
        <v>1180</v>
      </c>
      <c r="F324" s="45" t="s">
        <v>1345</v>
      </c>
      <c r="G324" s="45" t="s">
        <v>1053</v>
      </c>
      <c r="H324" s="45" t="s">
        <v>352</v>
      </c>
      <c r="I324" s="44" t="s">
        <v>1181</v>
      </c>
      <c r="J324" s="44">
        <v>1</v>
      </c>
      <c r="K324" s="46" t="s">
        <v>709</v>
      </c>
      <c r="L324" s="46" t="s">
        <v>701</v>
      </c>
      <c r="M324" s="47" t="s">
        <v>1409</v>
      </c>
      <c r="N324" s="47" t="s">
        <v>1732</v>
      </c>
      <c r="O324" s="48"/>
      <c r="P324" s="48"/>
      <c r="Q324" s="45"/>
      <c r="S324" s="1">
        <f t="shared" si="213"/>
        <v>1</v>
      </c>
      <c r="T324" s="1">
        <f t="shared" si="214"/>
        <v>0</v>
      </c>
      <c r="U324" s="1">
        <f t="shared" si="215"/>
        <v>0</v>
      </c>
      <c r="V324" s="1">
        <f t="shared" si="216"/>
        <v>0</v>
      </c>
      <c r="W324" s="1">
        <f t="shared" si="217"/>
        <v>0</v>
      </c>
      <c r="X324" s="1">
        <f t="shared" si="218"/>
        <v>0</v>
      </c>
      <c r="Y324" s="1">
        <f t="shared" si="219"/>
        <v>0</v>
      </c>
      <c r="Z324" s="1">
        <f t="shared" si="220"/>
        <v>0</v>
      </c>
      <c r="AA324" s="1">
        <f t="shared" si="221"/>
        <v>0</v>
      </c>
      <c r="AB324" s="1">
        <f t="shared" si="222"/>
        <v>0</v>
      </c>
      <c r="AD324" s="1">
        <f t="shared" si="223"/>
        <v>0</v>
      </c>
      <c r="AE324" s="1">
        <f t="shared" si="224"/>
        <v>0</v>
      </c>
      <c r="AF324" s="1">
        <f t="shared" si="209"/>
        <v>0</v>
      </c>
      <c r="AG324" s="1">
        <f t="shared" si="210"/>
        <v>0</v>
      </c>
      <c r="AH324" s="1">
        <f t="shared" si="211"/>
        <v>0</v>
      </c>
      <c r="AI324" s="1">
        <f t="shared" si="212"/>
        <v>1</v>
      </c>
    </row>
    <row r="325" spans="1:35" s="1" customFormat="1" ht="14.25" customHeight="1" x14ac:dyDescent="0.3">
      <c r="A325" s="31">
        <v>0</v>
      </c>
      <c r="B325" s="31">
        <v>2</v>
      </c>
      <c r="C325" s="31">
        <v>2</v>
      </c>
      <c r="D325" s="32" t="s">
        <v>1825</v>
      </c>
      <c r="E325" s="32" t="s">
        <v>1826</v>
      </c>
      <c r="F325" s="32" t="s">
        <v>1827</v>
      </c>
      <c r="G325" s="32" t="s">
        <v>195</v>
      </c>
      <c r="H325" s="32" t="s">
        <v>352</v>
      </c>
      <c r="I325" s="31" t="s">
        <v>1828</v>
      </c>
      <c r="J325" s="31"/>
      <c r="K325" s="33" t="s">
        <v>700</v>
      </c>
      <c r="L325" s="33">
        <v>20</v>
      </c>
      <c r="M325" s="34" t="s">
        <v>1829</v>
      </c>
      <c r="N325" s="34" t="s">
        <v>1745</v>
      </c>
      <c r="O325" s="35">
        <v>1</v>
      </c>
      <c r="P325" s="35"/>
      <c r="Q325" s="32"/>
      <c r="S325" s="1">
        <f t="shared" si="213"/>
        <v>0</v>
      </c>
      <c r="T325" s="1">
        <f t="shared" si="214"/>
        <v>0</v>
      </c>
      <c r="U325" s="1">
        <f t="shared" si="215"/>
        <v>0</v>
      </c>
      <c r="V325" s="1">
        <f t="shared" si="216"/>
        <v>0</v>
      </c>
      <c r="W325" s="1">
        <f t="shared" si="217"/>
        <v>0</v>
      </c>
      <c r="X325" s="1">
        <f t="shared" si="218"/>
        <v>0</v>
      </c>
      <c r="Y325" s="1">
        <f t="shared" si="219"/>
        <v>0</v>
      </c>
      <c r="Z325" s="1">
        <f t="shared" si="220"/>
        <v>0</v>
      </c>
      <c r="AA325" s="1">
        <f t="shared" si="221"/>
        <v>0</v>
      </c>
      <c r="AB325" s="1">
        <f t="shared" si="222"/>
        <v>0</v>
      </c>
      <c r="AD325" s="1">
        <f t="shared" si="223"/>
        <v>0</v>
      </c>
      <c r="AE325" s="1">
        <f t="shared" si="224"/>
        <v>1</v>
      </c>
      <c r="AF325" s="1">
        <f t="shared" si="209"/>
        <v>0</v>
      </c>
      <c r="AG325" s="1">
        <f t="shared" si="210"/>
        <v>1</v>
      </c>
      <c r="AH325" s="1">
        <f t="shared" si="211"/>
        <v>0</v>
      </c>
      <c r="AI325" s="1">
        <f t="shared" si="212"/>
        <v>1</v>
      </c>
    </row>
    <row r="326" spans="1:35" s="1" customFormat="1" ht="14.25" customHeight="1" x14ac:dyDescent="0.3">
      <c r="A326" s="31">
        <v>0</v>
      </c>
      <c r="B326" s="31">
        <v>2</v>
      </c>
      <c r="C326" s="31">
        <v>2</v>
      </c>
      <c r="D326" s="32" t="s">
        <v>1573</v>
      </c>
      <c r="E326" s="32" t="s">
        <v>1574</v>
      </c>
      <c r="F326" s="32" t="s">
        <v>1576</v>
      </c>
      <c r="G326" s="32" t="s">
        <v>1577</v>
      </c>
      <c r="H326" s="32" t="s">
        <v>352</v>
      </c>
      <c r="I326" s="31" t="s">
        <v>1575</v>
      </c>
      <c r="J326" s="31">
        <v>99</v>
      </c>
      <c r="K326" s="33" t="s">
        <v>700</v>
      </c>
      <c r="L326" s="33">
        <v>18</v>
      </c>
      <c r="M326" s="34" t="s">
        <v>1578</v>
      </c>
      <c r="N326" s="34" t="s">
        <v>1745</v>
      </c>
      <c r="O326" s="35">
        <v>1</v>
      </c>
      <c r="P326" s="35"/>
      <c r="Q326" s="32"/>
      <c r="S326" s="1">
        <f t="shared" si="213"/>
        <v>0</v>
      </c>
      <c r="T326" s="1">
        <f t="shared" si="214"/>
        <v>0</v>
      </c>
      <c r="U326" s="1">
        <f t="shared" si="215"/>
        <v>0</v>
      </c>
      <c r="V326" s="1">
        <f t="shared" si="216"/>
        <v>0</v>
      </c>
      <c r="W326" s="1">
        <f t="shared" si="217"/>
        <v>0</v>
      </c>
      <c r="X326" s="1">
        <f t="shared" si="218"/>
        <v>0</v>
      </c>
      <c r="Y326" s="1">
        <f t="shared" si="219"/>
        <v>0</v>
      </c>
      <c r="Z326" s="1">
        <f t="shared" si="220"/>
        <v>0</v>
      </c>
      <c r="AA326" s="1">
        <f t="shared" si="221"/>
        <v>0</v>
      </c>
      <c r="AB326" s="1">
        <f t="shared" si="222"/>
        <v>0</v>
      </c>
      <c r="AD326" s="1">
        <f t="shared" si="223"/>
        <v>0</v>
      </c>
      <c r="AE326" s="1">
        <f t="shared" si="224"/>
        <v>1</v>
      </c>
      <c r="AF326" s="1">
        <f t="shared" si="209"/>
        <v>0</v>
      </c>
      <c r="AG326" s="1">
        <f t="shared" si="210"/>
        <v>1</v>
      </c>
      <c r="AH326" s="1">
        <f t="shared" si="211"/>
        <v>0</v>
      </c>
      <c r="AI326" s="1">
        <f t="shared" si="212"/>
        <v>1</v>
      </c>
    </row>
    <row r="327" spans="1:35" s="1" customFormat="1" ht="14.25" customHeight="1" x14ac:dyDescent="0.3">
      <c r="A327" s="49">
        <v>0</v>
      </c>
      <c r="B327" s="49">
        <v>2</v>
      </c>
      <c r="C327" s="49">
        <v>2</v>
      </c>
      <c r="D327" s="50" t="s">
        <v>64</v>
      </c>
      <c r="E327" s="50" t="s">
        <v>33</v>
      </c>
      <c r="F327" s="50" t="s">
        <v>240</v>
      </c>
      <c r="G327" s="50" t="s">
        <v>241</v>
      </c>
      <c r="H327" s="50" t="s">
        <v>352</v>
      </c>
      <c r="I327" s="49" t="s">
        <v>404</v>
      </c>
      <c r="J327" s="49">
        <v>1</v>
      </c>
      <c r="K327" s="51" t="s">
        <v>958</v>
      </c>
      <c r="L327" s="51" t="s">
        <v>713</v>
      </c>
      <c r="M327" s="52" t="s">
        <v>714</v>
      </c>
      <c r="N327" s="52" t="s">
        <v>1740</v>
      </c>
      <c r="O327" s="53">
        <v>1</v>
      </c>
      <c r="P327" s="53"/>
      <c r="Q327" s="50"/>
      <c r="S327" s="1">
        <f t="shared" si="213"/>
        <v>1</v>
      </c>
      <c r="T327" s="1">
        <f t="shared" si="214"/>
        <v>0</v>
      </c>
      <c r="U327" s="1">
        <f t="shared" si="215"/>
        <v>0</v>
      </c>
      <c r="V327" s="1">
        <f t="shared" si="216"/>
        <v>0</v>
      </c>
      <c r="W327" s="1">
        <f t="shared" si="217"/>
        <v>0</v>
      </c>
      <c r="X327" s="1">
        <f t="shared" si="218"/>
        <v>0</v>
      </c>
      <c r="Y327" s="1">
        <f t="shared" si="219"/>
        <v>0</v>
      </c>
      <c r="Z327" s="1">
        <f t="shared" si="220"/>
        <v>0</v>
      </c>
      <c r="AA327" s="1">
        <f t="shared" si="221"/>
        <v>0</v>
      </c>
      <c r="AB327" s="1">
        <f t="shared" si="222"/>
        <v>0</v>
      </c>
      <c r="AD327" s="1">
        <f t="shared" si="223"/>
        <v>0</v>
      </c>
      <c r="AE327" s="1">
        <f t="shared" si="224"/>
        <v>1</v>
      </c>
      <c r="AF327" s="1">
        <f t="shared" si="209"/>
        <v>0</v>
      </c>
      <c r="AG327" s="1">
        <f t="shared" si="210"/>
        <v>1</v>
      </c>
      <c r="AH327" s="1">
        <f t="shared" si="211"/>
        <v>0</v>
      </c>
      <c r="AI327" s="1">
        <f t="shared" si="212"/>
        <v>1</v>
      </c>
    </row>
    <row r="328" spans="1:35" s="1" customFormat="1" ht="14.25" customHeight="1" x14ac:dyDescent="0.3">
      <c r="A328" s="49">
        <v>0</v>
      </c>
      <c r="B328" s="49">
        <v>2</v>
      </c>
      <c r="C328" s="49">
        <v>2</v>
      </c>
      <c r="D328" s="50" t="s">
        <v>62</v>
      </c>
      <c r="E328" s="50" t="s">
        <v>1083</v>
      </c>
      <c r="F328" s="50" t="s">
        <v>233</v>
      </c>
      <c r="G328" s="50" t="s">
        <v>234</v>
      </c>
      <c r="H328" s="50" t="s">
        <v>352</v>
      </c>
      <c r="I328" s="49" t="s">
        <v>1362</v>
      </c>
      <c r="J328" s="49">
        <v>99</v>
      </c>
      <c r="K328" s="51" t="s">
        <v>952</v>
      </c>
      <c r="L328" s="51" t="s">
        <v>713</v>
      </c>
      <c r="M328" s="52" t="s">
        <v>715</v>
      </c>
      <c r="N328" s="52" t="s">
        <v>1740</v>
      </c>
      <c r="O328" s="53">
        <v>1</v>
      </c>
      <c r="P328" s="53"/>
      <c r="Q328" s="50"/>
      <c r="S328" s="1">
        <f t="shared" si="213"/>
        <v>0</v>
      </c>
      <c r="T328" s="1">
        <f t="shared" si="214"/>
        <v>0</v>
      </c>
      <c r="U328" s="1">
        <f t="shared" si="215"/>
        <v>0</v>
      </c>
      <c r="V328" s="1">
        <f t="shared" si="216"/>
        <v>0</v>
      </c>
      <c r="W328" s="1">
        <f t="shared" si="217"/>
        <v>0</v>
      </c>
      <c r="X328" s="1">
        <f t="shared" si="218"/>
        <v>0</v>
      </c>
      <c r="Y328" s="1">
        <f t="shared" si="219"/>
        <v>0</v>
      </c>
      <c r="Z328" s="1">
        <f t="shared" si="220"/>
        <v>0</v>
      </c>
      <c r="AA328" s="1">
        <f t="shared" si="221"/>
        <v>0</v>
      </c>
      <c r="AB328" s="1">
        <f t="shared" si="222"/>
        <v>0</v>
      </c>
      <c r="AD328" s="1">
        <f t="shared" si="223"/>
        <v>0</v>
      </c>
      <c r="AE328" s="1">
        <f t="shared" si="224"/>
        <v>1</v>
      </c>
      <c r="AF328" s="1">
        <f t="shared" si="209"/>
        <v>0</v>
      </c>
      <c r="AG328" s="1">
        <f t="shared" si="210"/>
        <v>1</v>
      </c>
      <c r="AH328" s="1">
        <f t="shared" si="211"/>
        <v>0</v>
      </c>
      <c r="AI328" s="1">
        <f t="shared" si="212"/>
        <v>1</v>
      </c>
    </row>
    <row r="329" spans="1:35" s="1" customFormat="1" ht="14.25" customHeight="1" x14ac:dyDescent="0.3">
      <c r="A329" s="31">
        <v>0</v>
      </c>
      <c r="B329" s="31">
        <v>2</v>
      </c>
      <c r="C329" s="31">
        <v>2</v>
      </c>
      <c r="D329" s="32" t="s">
        <v>1713</v>
      </c>
      <c r="E329" s="32" t="s">
        <v>1715</v>
      </c>
      <c r="F329" s="32" t="s">
        <v>1714</v>
      </c>
      <c r="G329" s="32"/>
      <c r="H329" s="32" t="s">
        <v>352</v>
      </c>
      <c r="I329" s="31" t="s">
        <v>1716</v>
      </c>
      <c r="J329" s="31"/>
      <c r="K329" s="33" t="s">
        <v>700</v>
      </c>
      <c r="L329" s="33"/>
      <c r="M329" s="34"/>
      <c r="N329" s="34" t="s">
        <v>1724</v>
      </c>
      <c r="O329" s="35">
        <v>1</v>
      </c>
      <c r="P329" s="35">
        <v>1</v>
      </c>
      <c r="Q329" s="32"/>
      <c r="S329" s="1">
        <f t="shared" si="213"/>
        <v>0</v>
      </c>
      <c r="T329" s="1">
        <f t="shared" si="214"/>
        <v>0</v>
      </c>
      <c r="U329" s="1">
        <f t="shared" si="215"/>
        <v>0</v>
      </c>
      <c r="V329" s="1">
        <f t="shared" si="216"/>
        <v>0</v>
      </c>
      <c r="W329" s="1">
        <f t="shared" si="217"/>
        <v>0</v>
      </c>
      <c r="X329" s="1">
        <f t="shared" si="218"/>
        <v>0</v>
      </c>
      <c r="Y329" s="1">
        <f t="shared" si="219"/>
        <v>0</v>
      </c>
      <c r="Z329" s="1">
        <f t="shared" si="220"/>
        <v>0</v>
      </c>
      <c r="AA329" s="1">
        <f t="shared" si="221"/>
        <v>0</v>
      </c>
      <c r="AB329" s="1">
        <f t="shared" si="222"/>
        <v>0</v>
      </c>
      <c r="AD329" s="1">
        <f t="shared" si="223"/>
        <v>1</v>
      </c>
      <c r="AE329" s="1">
        <f t="shared" si="224"/>
        <v>0</v>
      </c>
      <c r="AF329" s="1">
        <f t="shared" si="209"/>
        <v>1</v>
      </c>
      <c r="AG329" s="1">
        <f t="shared" si="210"/>
        <v>0</v>
      </c>
      <c r="AH329" s="1">
        <f t="shared" si="211"/>
        <v>1</v>
      </c>
      <c r="AI329" s="1">
        <f t="shared" si="212"/>
        <v>0</v>
      </c>
    </row>
    <row r="330" spans="1:35" s="1" customFormat="1" ht="14.25" customHeight="1" x14ac:dyDescent="0.3">
      <c r="A330" s="44">
        <v>0</v>
      </c>
      <c r="B330" s="44">
        <v>2</v>
      </c>
      <c r="C330" s="44">
        <v>2</v>
      </c>
      <c r="D330" s="45" t="s">
        <v>784</v>
      </c>
      <c r="E330" s="45" t="s">
        <v>906</v>
      </c>
      <c r="F330" s="45" t="s">
        <v>1568</v>
      </c>
      <c r="G330" s="45" t="s">
        <v>229</v>
      </c>
      <c r="H330" s="45" t="s">
        <v>352</v>
      </c>
      <c r="I330" s="44" t="s">
        <v>1691</v>
      </c>
      <c r="J330" s="44">
        <v>7</v>
      </c>
      <c r="K330" s="46" t="s">
        <v>710</v>
      </c>
      <c r="L330" s="46">
        <v>20</v>
      </c>
      <c r="M330" s="47" t="s">
        <v>39</v>
      </c>
      <c r="N330" s="47" t="s">
        <v>1731</v>
      </c>
      <c r="O330" s="48"/>
      <c r="P330" s="48"/>
      <c r="Q330" s="45"/>
      <c r="S330" s="1">
        <f t="shared" si="213"/>
        <v>0</v>
      </c>
      <c r="T330" s="1">
        <f t="shared" si="214"/>
        <v>0</v>
      </c>
      <c r="U330" s="1">
        <f t="shared" si="215"/>
        <v>0</v>
      </c>
      <c r="V330" s="1">
        <f t="shared" si="216"/>
        <v>0</v>
      </c>
      <c r="W330" s="1">
        <f t="shared" si="217"/>
        <v>0</v>
      </c>
      <c r="X330" s="1">
        <f t="shared" si="218"/>
        <v>0</v>
      </c>
      <c r="Y330" s="1">
        <f t="shared" si="219"/>
        <v>1</v>
      </c>
      <c r="Z330" s="1">
        <f t="shared" si="220"/>
        <v>0</v>
      </c>
      <c r="AA330" s="1">
        <f t="shared" si="221"/>
        <v>0</v>
      </c>
      <c r="AB330" s="1">
        <f t="shared" si="222"/>
        <v>0</v>
      </c>
      <c r="AD330" s="1">
        <f t="shared" si="223"/>
        <v>0</v>
      </c>
      <c r="AE330" s="1">
        <f t="shared" si="224"/>
        <v>0</v>
      </c>
      <c r="AF330" s="1">
        <f t="shared" si="209"/>
        <v>0</v>
      </c>
      <c r="AG330" s="1">
        <f t="shared" si="210"/>
        <v>0</v>
      </c>
      <c r="AH330" s="1">
        <f t="shared" si="211"/>
        <v>0</v>
      </c>
      <c r="AI330" s="1">
        <f t="shared" si="212"/>
        <v>1</v>
      </c>
    </row>
    <row r="331" spans="1:35" s="1" customFormat="1" ht="14.25" customHeight="1" x14ac:dyDescent="0.3">
      <c r="A331" s="31">
        <v>0</v>
      </c>
      <c r="B331" s="31">
        <v>2</v>
      </c>
      <c r="C331" s="31">
        <v>2</v>
      </c>
      <c r="D331" s="32" t="s">
        <v>849</v>
      </c>
      <c r="E331" s="32" t="s">
        <v>538</v>
      </c>
      <c r="F331" s="32" t="s">
        <v>851</v>
      </c>
      <c r="G331" s="32" t="s">
        <v>219</v>
      </c>
      <c r="H331" s="32" t="s">
        <v>352</v>
      </c>
      <c r="I331" s="31" t="s">
        <v>852</v>
      </c>
      <c r="J331" s="31">
        <v>8</v>
      </c>
      <c r="K331" s="33" t="s">
        <v>710</v>
      </c>
      <c r="L331" s="33" t="s">
        <v>713</v>
      </c>
      <c r="M331" s="34" t="s">
        <v>1410</v>
      </c>
      <c r="N331" s="34" t="s">
        <v>1740</v>
      </c>
      <c r="O331" s="35">
        <v>1</v>
      </c>
      <c r="P331" s="35"/>
      <c r="Q331" s="32"/>
      <c r="S331" s="1">
        <f t="shared" si="213"/>
        <v>0</v>
      </c>
      <c r="T331" s="1">
        <f t="shared" si="214"/>
        <v>0</v>
      </c>
      <c r="U331" s="1">
        <f t="shared" si="215"/>
        <v>0</v>
      </c>
      <c r="V331" s="1">
        <f t="shared" si="216"/>
        <v>0</v>
      </c>
      <c r="W331" s="1">
        <f t="shared" si="217"/>
        <v>0</v>
      </c>
      <c r="X331" s="1">
        <f t="shared" si="218"/>
        <v>0</v>
      </c>
      <c r="Y331" s="1">
        <f t="shared" si="219"/>
        <v>0</v>
      </c>
      <c r="Z331" s="1">
        <f t="shared" si="220"/>
        <v>1</v>
      </c>
      <c r="AA331" s="1">
        <f t="shared" si="221"/>
        <v>0</v>
      </c>
      <c r="AB331" s="1">
        <f t="shared" si="222"/>
        <v>0</v>
      </c>
      <c r="AD331" s="1">
        <f t="shared" si="223"/>
        <v>0</v>
      </c>
      <c r="AE331" s="1">
        <f t="shared" si="224"/>
        <v>1</v>
      </c>
      <c r="AF331" s="1">
        <f t="shared" si="209"/>
        <v>0</v>
      </c>
      <c r="AG331" s="1">
        <f t="shared" si="210"/>
        <v>1</v>
      </c>
      <c r="AH331" s="1">
        <f t="shared" si="211"/>
        <v>0</v>
      </c>
      <c r="AI331" s="1">
        <f t="shared" si="212"/>
        <v>1</v>
      </c>
    </row>
    <row r="332" spans="1:35" s="1" customFormat="1" ht="14.25" customHeight="1" x14ac:dyDescent="0.3">
      <c r="A332" s="31">
        <v>1</v>
      </c>
      <c r="B332" s="31">
        <v>2</v>
      </c>
      <c r="C332" s="31">
        <v>2</v>
      </c>
      <c r="D332" s="32" t="s">
        <v>849</v>
      </c>
      <c r="E332" s="32" t="s">
        <v>538</v>
      </c>
      <c r="F332" s="32" t="s">
        <v>1350</v>
      </c>
      <c r="G332" s="32" t="s">
        <v>193</v>
      </c>
      <c r="H332" s="32" t="s">
        <v>352</v>
      </c>
      <c r="I332" s="31" t="s">
        <v>850</v>
      </c>
      <c r="J332" s="31">
        <v>9</v>
      </c>
      <c r="K332" s="33" t="s">
        <v>710</v>
      </c>
      <c r="L332" s="33" t="s">
        <v>713</v>
      </c>
      <c r="M332" s="34" t="s">
        <v>1410</v>
      </c>
      <c r="N332" s="34" t="s">
        <v>1740</v>
      </c>
      <c r="O332" s="35">
        <v>1</v>
      </c>
      <c r="P332" s="35"/>
      <c r="Q332" s="32"/>
      <c r="S332" s="1">
        <f t="shared" si="213"/>
        <v>0</v>
      </c>
      <c r="T332" s="1">
        <f t="shared" si="214"/>
        <v>0</v>
      </c>
      <c r="U332" s="1">
        <f t="shared" si="215"/>
        <v>0</v>
      </c>
      <c r="V332" s="1">
        <f t="shared" si="216"/>
        <v>0</v>
      </c>
      <c r="W332" s="1">
        <f t="shared" si="217"/>
        <v>0</v>
      </c>
      <c r="X332" s="1">
        <f t="shared" si="218"/>
        <v>0</v>
      </c>
      <c r="Y332" s="1">
        <f t="shared" si="219"/>
        <v>0</v>
      </c>
      <c r="Z332" s="1">
        <f t="shared" si="220"/>
        <v>0</v>
      </c>
      <c r="AA332" s="1">
        <f t="shared" si="221"/>
        <v>1</v>
      </c>
      <c r="AB332" s="1">
        <f t="shared" si="222"/>
        <v>0</v>
      </c>
      <c r="AD332" s="1">
        <f t="shared" si="223"/>
        <v>0</v>
      </c>
      <c r="AE332" s="1">
        <f t="shared" si="224"/>
        <v>1</v>
      </c>
      <c r="AF332" s="1">
        <f t="shared" si="209"/>
        <v>0</v>
      </c>
      <c r="AG332" s="1">
        <f t="shared" si="210"/>
        <v>0</v>
      </c>
      <c r="AH332" s="1">
        <f t="shared" si="211"/>
        <v>0</v>
      </c>
      <c r="AI332" s="1">
        <f t="shared" si="212"/>
        <v>0</v>
      </c>
    </row>
    <row r="333" spans="1:35" s="1" customFormat="1" ht="14.25" customHeight="1" x14ac:dyDescent="0.3">
      <c r="A333" s="44">
        <v>0</v>
      </c>
      <c r="B333" s="44">
        <v>2</v>
      </c>
      <c r="C333" s="44">
        <v>2</v>
      </c>
      <c r="D333" s="45" t="s">
        <v>915</v>
      </c>
      <c r="E333" s="45" t="s">
        <v>782</v>
      </c>
      <c r="F333" s="45" t="s">
        <v>783</v>
      </c>
      <c r="G333" s="45" t="s">
        <v>229</v>
      </c>
      <c r="H333" s="45" t="s">
        <v>352</v>
      </c>
      <c r="I333" s="44" t="s">
        <v>785</v>
      </c>
      <c r="J333" s="44">
        <v>7</v>
      </c>
      <c r="K333" s="46" t="s">
        <v>709</v>
      </c>
      <c r="L333" s="46">
        <v>15</v>
      </c>
      <c r="M333" s="47" t="s">
        <v>39</v>
      </c>
      <c r="N333" s="47" t="s">
        <v>1732</v>
      </c>
      <c r="O333" s="48"/>
      <c r="P333" s="48"/>
      <c r="Q333" s="45"/>
      <c r="S333" s="1">
        <f t="shared" si="213"/>
        <v>0</v>
      </c>
      <c r="T333" s="1">
        <f t="shared" si="214"/>
        <v>0</v>
      </c>
      <c r="U333" s="1">
        <f t="shared" si="215"/>
        <v>0</v>
      </c>
      <c r="V333" s="1">
        <f t="shared" si="216"/>
        <v>0</v>
      </c>
      <c r="W333" s="1">
        <f t="shared" si="217"/>
        <v>0</v>
      </c>
      <c r="X333" s="1">
        <f t="shared" si="218"/>
        <v>0</v>
      </c>
      <c r="Y333" s="1">
        <f t="shared" si="219"/>
        <v>1</v>
      </c>
      <c r="Z333" s="1">
        <f t="shared" si="220"/>
        <v>0</v>
      </c>
      <c r="AA333" s="1">
        <f t="shared" si="221"/>
        <v>0</v>
      </c>
      <c r="AB333" s="1">
        <f t="shared" si="222"/>
        <v>0</v>
      </c>
      <c r="AD333" s="1">
        <f t="shared" si="223"/>
        <v>0</v>
      </c>
      <c r="AE333" s="1">
        <f t="shared" si="224"/>
        <v>0</v>
      </c>
      <c r="AF333" s="1">
        <f t="shared" si="209"/>
        <v>0</v>
      </c>
      <c r="AG333" s="1">
        <f t="shared" si="210"/>
        <v>0</v>
      </c>
      <c r="AH333" s="1">
        <f t="shared" si="211"/>
        <v>0</v>
      </c>
      <c r="AI333" s="1">
        <f t="shared" si="212"/>
        <v>1</v>
      </c>
    </row>
    <row r="334" spans="1:35" s="1" customFormat="1" ht="14.25" customHeight="1" x14ac:dyDescent="0.3">
      <c r="A334" s="44">
        <v>0</v>
      </c>
      <c r="B334" s="44">
        <v>2</v>
      </c>
      <c r="C334" s="44">
        <v>2</v>
      </c>
      <c r="D334" s="45" t="s">
        <v>83</v>
      </c>
      <c r="E334" s="45" t="s">
        <v>156</v>
      </c>
      <c r="F334" s="65" t="s">
        <v>1869</v>
      </c>
      <c r="G334" s="45" t="s">
        <v>208</v>
      </c>
      <c r="H334" s="45" t="s">
        <v>352</v>
      </c>
      <c r="I334" s="44" t="s">
        <v>430</v>
      </c>
      <c r="J334" s="44">
        <v>99</v>
      </c>
      <c r="K334" s="46" t="s">
        <v>951</v>
      </c>
      <c r="L334" s="46" t="s">
        <v>701</v>
      </c>
      <c r="M334" s="47" t="s">
        <v>716</v>
      </c>
      <c r="N334" s="47" t="s">
        <v>1732</v>
      </c>
      <c r="O334" s="48"/>
      <c r="P334" s="48"/>
      <c r="Q334" s="45"/>
      <c r="S334" s="1">
        <f t="shared" si="213"/>
        <v>0</v>
      </c>
      <c r="T334" s="1">
        <f t="shared" si="214"/>
        <v>0</v>
      </c>
      <c r="U334" s="1">
        <f t="shared" si="215"/>
        <v>0</v>
      </c>
      <c r="V334" s="1">
        <f t="shared" si="216"/>
        <v>0</v>
      </c>
      <c r="W334" s="1">
        <f t="shared" si="217"/>
        <v>0</v>
      </c>
      <c r="X334" s="1">
        <f t="shared" si="218"/>
        <v>0</v>
      </c>
      <c r="Y334" s="1">
        <f t="shared" si="219"/>
        <v>0</v>
      </c>
      <c r="Z334" s="1">
        <f t="shared" si="220"/>
        <v>0</v>
      </c>
      <c r="AA334" s="1">
        <f t="shared" si="221"/>
        <v>0</v>
      </c>
      <c r="AB334" s="1">
        <f t="shared" si="222"/>
        <v>0</v>
      </c>
      <c r="AD334" s="1">
        <f t="shared" si="223"/>
        <v>0</v>
      </c>
      <c r="AE334" s="1">
        <f t="shared" si="224"/>
        <v>0</v>
      </c>
      <c r="AF334" s="1">
        <f t="shared" si="209"/>
        <v>0</v>
      </c>
      <c r="AG334" s="1">
        <f t="shared" si="210"/>
        <v>0</v>
      </c>
      <c r="AH334" s="1">
        <f t="shared" si="211"/>
        <v>0</v>
      </c>
      <c r="AI334" s="1">
        <f t="shared" si="212"/>
        <v>1</v>
      </c>
    </row>
    <row r="335" spans="1:35" s="1" customFormat="1" ht="14.25" customHeight="1" x14ac:dyDescent="0.3">
      <c r="A335" s="31">
        <v>0</v>
      </c>
      <c r="B335" s="31">
        <v>2</v>
      </c>
      <c r="C335" s="31">
        <v>2</v>
      </c>
      <c r="D335" s="32" t="s">
        <v>1561</v>
      </c>
      <c r="E335" s="32" t="s">
        <v>1331</v>
      </c>
      <c r="F335" s="32" t="s">
        <v>1562</v>
      </c>
      <c r="G335" s="32" t="s">
        <v>1163</v>
      </c>
      <c r="H335" s="32" t="s">
        <v>352</v>
      </c>
      <c r="I335" s="31" t="s">
        <v>1563</v>
      </c>
      <c r="J335" s="31">
        <v>1</v>
      </c>
      <c r="K335" s="33" t="s">
        <v>710</v>
      </c>
      <c r="L335" s="33" t="s">
        <v>39</v>
      </c>
      <c r="M335" s="34" t="s">
        <v>39</v>
      </c>
      <c r="N335" s="34" t="s">
        <v>1724</v>
      </c>
      <c r="O335" s="35">
        <v>1</v>
      </c>
      <c r="P335" s="35">
        <v>1</v>
      </c>
      <c r="Q335" s="32"/>
      <c r="S335" s="1">
        <f t="shared" si="213"/>
        <v>1</v>
      </c>
      <c r="T335" s="1">
        <f t="shared" si="214"/>
        <v>0</v>
      </c>
      <c r="U335" s="1">
        <f t="shared" si="215"/>
        <v>0</v>
      </c>
      <c r="V335" s="1">
        <f t="shared" si="216"/>
        <v>0</v>
      </c>
      <c r="W335" s="1">
        <f t="shared" si="217"/>
        <v>0</v>
      </c>
      <c r="X335" s="1">
        <f t="shared" si="218"/>
        <v>0</v>
      </c>
      <c r="Y335" s="1">
        <f t="shared" si="219"/>
        <v>0</v>
      </c>
      <c r="Z335" s="1">
        <f t="shared" si="220"/>
        <v>0</v>
      </c>
      <c r="AA335" s="1">
        <f t="shared" si="221"/>
        <v>0</v>
      </c>
      <c r="AB335" s="1">
        <f t="shared" si="222"/>
        <v>0</v>
      </c>
      <c r="AD335" s="1">
        <f t="shared" si="223"/>
        <v>1</v>
      </c>
      <c r="AE335" s="1">
        <f t="shared" si="224"/>
        <v>0</v>
      </c>
      <c r="AF335" s="1">
        <f t="shared" si="209"/>
        <v>1</v>
      </c>
      <c r="AG335" s="1">
        <f t="shared" si="210"/>
        <v>0</v>
      </c>
      <c r="AH335" s="1">
        <f t="shared" si="211"/>
        <v>1</v>
      </c>
      <c r="AI335" s="1">
        <f t="shared" si="212"/>
        <v>0</v>
      </c>
    </row>
    <row r="336" spans="1:35" s="1" customFormat="1" ht="14.25" customHeight="1" x14ac:dyDescent="0.3">
      <c r="A336" s="31">
        <v>0</v>
      </c>
      <c r="B336" s="31">
        <v>2</v>
      </c>
      <c r="C336" s="31">
        <v>2</v>
      </c>
      <c r="D336" s="32" t="s">
        <v>1741</v>
      </c>
      <c r="E336" s="32" t="s">
        <v>27</v>
      </c>
      <c r="F336" s="32" t="s">
        <v>1041</v>
      </c>
      <c r="G336" s="32" t="s">
        <v>219</v>
      </c>
      <c r="H336" s="32" t="s">
        <v>352</v>
      </c>
      <c r="I336" s="31" t="s">
        <v>1042</v>
      </c>
      <c r="J336" s="31">
        <v>8</v>
      </c>
      <c r="K336" s="33" t="s">
        <v>710</v>
      </c>
      <c r="L336" s="33">
        <v>25</v>
      </c>
      <c r="M336" s="34" t="s">
        <v>1742</v>
      </c>
      <c r="N336" s="34" t="s">
        <v>1724</v>
      </c>
      <c r="O336" s="35">
        <v>1</v>
      </c>
      <c r="P336" s="35">
        <v>1</v>
      </c>
      <c r="Q336" s="32"/>
      <c r="S336" s="1">
        <f t="shared" si="213"/>
        <v>0</v>
      </c>
      <c r="T336" s="1">
        <f t="shared" si="214"/>
        <v>0</v>
      </c>
      <c r="U336" s="1">
        <f t="shared" si="215"/>
        <v>0</v>
      </c>
      <c r="V336" s="1">
        <f t="shared" si="216"/>
        <v>0</v>
      </c>
      <c r="W336" s="1">
        <f t="shared" si="217"/>
        <v>0</v>
      </c>
      <c r="X336" s="1">
        <f t="shared" si="218"/>
        <v>0</v>
      </c>
      <c r="Y336" s="1">
        <f t="shared" si="219"/>
        <v>0</v>
      </c>
      <c r="Z336" s="1">
        <f t="shared" si="220"/>
        <v>1</v>
      </c>
      <c r="AA336" s="1">
        <f t="shared" si="221"/>
        <v>0</v>
      </c>
      <c r="AB336" s="1">
        <f t="shared" si="222"/>
        <v>0</v>
      </c>
      <c r="AD336" s="1">
        <f t="shared" si="223"/>
        <v>1</v>
      </c>
      <c r="AE336" s="1">
        <f t="shared" si="224"/>
        <v>0</v>
      </c>
      <c r="AF336" s="1">
        <f t="shared" si="209"/>
        <v>1</v>
      </c>
      <c r="AG336" s="1">
        <f t="shared" si="210"/>
        <v>0</v>
      </c>
      <c r="AH336" s="1">
        <f t="shared" si="211"/>
        <v>1</v>
      </c>
      <c r="AI336" s="1">
        <f t="shared" si="212"/>
        <v>0</v>
      </c>
    </row>
    <row r="337" spans="1:35" s="1" customFormat="1" ht="14.25" customHeight="1" x14ac:dyDescent="0.3">
      <c r="A337" s="31">
        <v>0</v>
      </c>
      <c r="B337" s="31">
        <v>2</v>
      </c>
      <c r="C337" s="31">
        <v>2</v>
      </c>
      <c r="D337" s="32" t="s">
        <v>45</v>
      </c>
      <c r="E337" s="32" t="s">
        <v>44</v>
      </c>
      <c r="F337" s="32" t="s">
        <v>666</v>
      </c>
      <c r="G337" s="32" t="s">
        <v>179</v>
      </c>
      <c r="H337" s="32" t="s">
        <v>352</v>
      </c>
      <c r="I337" s="31" t="s">
        <v>946</v>
      </c>
      <c r="J337" s="31">
        <v>10</v>
      </c>
      <c r="K337" s="33" t="s">
        <v>710</v>
      </c>
      <c r="L337" s="33" t="s">
        <v>717</v>
      </c>
      <c r="M337" s="34" t="s">
        <v>718</v>
      </c>
      <c r="N337" s="34" t="s">
        <v>1724</v>
      </c>
      <c r="O337" s="35">
        <v>1</v>
      </c>
      <c r="P337" s="35">
        <v>1</v>
      </c>
      <c r="Q337" s="32"/>
      <c r="S337" s="1">
        <f t="shared" si="213"/>
        <v>0</v>
      </c>
      <c r="T337" s="1">
        <f t="shared" si="214"/>
        <v>0</v>
      </c>
      <c r="U337" s="1">
        <f t="shared" si="215"/>
        <v>0</v>
      </c>
      <c r="V337" s="1">
        <f t="shared" si="216"/>
        <v>0</v>
      </c>
      <c r="W337" s="1">
        <f t="shared" si="217"/>
        <v>0</v>
      </c>
      <c r="X337" s="1">
        <f t="shared" si="218"/>
        <v>0</v>
      </c>
      <c r="Y337" s="1">
        <f t="shared" si="219"/>
        <v>0</v>
      </c>
      <c r="Z337" s="1">
        <f t="shared" si="220"/>
        <v>0</v>
      </c>
      <c r="AA337" s="1">
        <f t="shared" si="221"/>
        <v>0</v>
      </c>
      <c r="AB337" s="1">
        <f t="shared" si="222"/>
        <v>1</v>
      </c>
      <c r="AD337" s="1">
        <f t="shared" si="223"/>
        <v>1</v>
      </c>
      <c r="AE337" s="1">
        <f t="shared" si="224"/>
        <v>0</v>
      </c>
      <c r="AF337" s="1">
        <f t="shared" si="209"/>
        <v>1</v>
      </c>
      <c r="AG337" s="1">
        <f t="shared" si="210"/>
        <v>0</v>
      </c>
      <c r="AH337" s="1">
        <f t="shared" si="211"/>
        <v>1</v>
      </c>
      <c r="AI337" s="1">
        <f t="shared" si="212"/>
        <v>0</v>
      </c>
    </row>
    <row r="338" spans="1:35" s="1" customFormat="1" ht="14.25" customHeight="1" x14ac:dyDescent="0.3">
      <c r="A338" s="31">
        <v>0</v>
      </c>
      <c r="B338" s="31">
        <v>2</v>
      </c>
      <c r="C338" s="31">
        <v>2</v>
      </c>
      <c r="D338" s="32" t="s">
        <v>1445</v>
      </c>
      <c r="E338" s="32" t="s">
        <v>1650</v>
      </c>
      <c r="F338" s="32" t="s">
        <v>1665</v>
      </c>
      <c r="G338" s="32" t="s">
        <v>229</v>
      </c>
      <c r="H338" s="32" t="s">
        <v>352</v>
      </c>
      <c r="I338" s="31" t="s">
        <v>1446</v>
      </c>
      <c r="J338" s="31">
        <v>99</v>
      </c>
      <c r="K338" s="33" t="s">
        <v>952</v>
      </c>
      <c r="L338" s="33">
        <v>20</v>
      </c>
      <c r="M338" s="34" t="s">
        <v>39</v>
      </c>
      <c r="N338" s="34" t="s">
        <v>1724</v>
      </c>
      <c r="O338" s="35">
        <v>1</v>
      </c>
      <c r="P338" s="35">
        <v>1</v>
      </c>
      <c r="Q338" s="32"/>
      <c r="S338" s="1">
        <f t="shared" si="213"/>
        <v>0</v>
      </c>
      <c r="T338" s="1">
        <f t="shared" si="214"/>
        <v>0</v>
      </c>
      <c r="U338" s="1">
        <f t="shared" si="215"/>
        <v>0</v>
      </c>
      <c r="V338" s="1">
        <f t="shared" si="216"/>
        <v>0</v>
      </c>
      <c r="W338" s="1">
        <f t="shared" si="217"/>
        <v>0</v>
      </c>
      <c r="X338" s="1">
        <f t="shared" si="218"/>
        <v>0</v>
      </c>
      <c r="Y338" s="1">
        <f t="shared" si="219"/>
        <v>0</v>
      </c>
      <c r="Z338" s="1">
        <f t="shared" si="220"/>
        <v>0</v>
      </c>
      <c r="AA338" s="1">
        <f t="shared" si="221"/>
        <v>0</v>
      </c>
      <c r="AB338" s="1">
        <f t="shared" si="222"/>
        <v>0</v>
      </c>
      <c r="AD338" s="1">
        <f t="shared" si="223"/>
        <v>1</v>
      </c>
      <c r="AE338" s="1">
        <f t="shared" si="224"/>
        <v>0</v>
      </c>
      <c r="AF338" s="1">
        <f t="shared" si="209"/>
        <v>1</v>
      </c>
      <c r="AG338" s="1">
        <f t="shared" si="210"/>
        <v>0</v>
      </c>
      <c r="AH338" s="1">
        <f t="shared" si="211"/>
        <v>1</v>
      </c>
      <c r="AI338" s="1">
        <f t="shared" si="212"/>
        <v>0</v>
      </c>
    </row>
    <row r="339" spans="1:35" s="1" customFormat="1" ht="14.25" customHeight="1" x14ac:dyDescent="0.3">
      <c r="A339" s="67">
        <v>0</v>
      </c>
      <c r="B339" s="67">
        <v>2</v>
      </c>
      <c r="C339" s="67">
        <v>2</v>
      </c>
      <c r="D339" s="54" t="s">
        <v>1990</v>
      </c>
      <c r="E339" s="54" t="s">
        <v>2075</v>
      </c>
      <c r="F339" s="54" t="s">
        <v>1991</v>
      </c>
      <c r="G339" s="54" t="s">
        <v>178</v>
      </c>
      <c r="H339" s="54" t="s">
        <v>352</v>
      </c>
      <c r="I339" s="67" t="s">
        <v>1992</v>
      </c>
      <c r="J339" s="67"/>
      <c r="K339" s="67" t="s">
        <v>700</v>
      </c>
      <c r="L339" s="67"/>
      <c r="M339" s="54"/>
      <c r="N339" s="54"/>
      <c r="O339" s="68"/>
      <c r="P339" s="68">
        <v>1</v>
      </c>
      <c r="Q339" s="54"/>
      <c r="S339" s="1">
        <f t="shared" si="213"/>
        <v>0</v>
      </c>
      <c r="T339" s="1">
        <f t="shared" si="214"/>
        <v>0</v>
      </c>
      <c r="U339" s="1">
        <f t="shared" si="215"/>
        <v>0</v>
      </c>
      <c r="V339" s="1">
        <f t="shared" si="216"/>
        <v>0</v>
      </c>
      <c r="W339" s="1">
        <f t="shared" si="217"/>
        <v>0</v>
      </c>
      <c r="X339" s="1">
        <f t="shared" si="218"/>
        <v>0</v>
      </c>
      <c r="Y339" s="1">
        <f t="shared" si="219"/>
        <v>0</v>
      </c>
      <c r="Z339" s="1">
        <f t="shared" si="220"/>
        <v>0</v>
      </c>
      <c r="AA339" s="1">
        <f t="shared" si="221"/>
        <v>0</v>
      </c>
      <c r="AB339" s="1">
        <f t="shared" si="222"/>
        <v>0</v>
      </c>
      <c r="AD339" s="1">
        <f t="shared" si="223"/>
        <v>0</v>
      </c>
      <c r="AE339" s="1">
        <f t="shared" si="224"/>
        <v>0</v>
      </c>
      <c r="AF339" s="1">
        <f t="shared" si="209"/>
        <v>0</v>
      </c>
      <c r="AG339" s="1">
        <f t="shared" si="210"/>
        <v>0</v>
      </c>
      <c r="AH339" s="1">
        <f t="shared" si="211"/>
        <v>1</v>
      </c>
      <c r="AI339" s="1">
        <f t="shared" si="212"/>
        <v>0</v>
      </c>
    </row>
    <row r="340" spans="1:35" s="1" customFormat="1" ht="14.25" customHeight="1" x14ac:dyDescent="0.3">
      <c r="A340" s="49">
        <v>0</v>
      </c>
      <c r="B340" s="49">
        <v>2</v>
      </c>
      <c r="C340" s="49">
        <v>2</v>
      </c>
      <c r="D340" s="50" t="s">
        <v>603</v>
      </c>
      <c r="E340" s="50" t="s">
        <v>604</v>
      </c>
      <c r="F340" s="50" t="s">
        <v>605</v>
      </c>
      <c r="G340" s="50" t="s">
        <v>256</v>
      </c>
      <c r="H340" s="50" t="s">
        <v>352</v>
      </c>
      <c r="I340" s="49" t="s">
        <v>606</v>
      </c>
      <c r="J340" s="49">
        <v>99</v>
      </c>
      <c r="K340" s="51" t="s">
        <v>952</v>
      </c>
      <c r="L340" s="51" t="s">
        <v>701</v>
      </c>
      <c r="M340" s="52" t="s">
        <v>1411</v>
      </c>
      <c r="N340" s="52" t="s">
        <v>1740</v>
      </c>
      <c r="O340" s="53">
        <v>1</v>
      </c>
      <c r="P340" s="53"/>
      <c r="Q340" s="50"/>
      <c r="S340" s="1">
        <f t="shared" si="213"/>
        <v>0</v>
      </c>
      <c r="T340" s="1">
        <f t="shared" si="214"/>
        <v>0</v>
      </c>
      <c r="U340" s="1">
        <f t="shared" si="215"/>
        <v>0</v>
      </c>
      <c r="V340" s="1">
        <f t="shared" si="216"/>
        <v>0</v>
      </c>
      <c r="W340" s="1">
        <f t="shared" si="217"/>
        <v>0</v>
      </c>
      <c r="X340" s="1">
        <f t="shared" si="218"/>
        <v>0</v>
      </c>
      <c r="Y340" s="1">
        <f t="shared" si="219"/>
        <v>0</v>
      </c>
      <c r="Z340" s="1">
        <f t="shared" si="220"/>
        <v>0</v>
      </c>
      <c r="AA340" s="1">
        <f t="shared" si="221"/>
        <v>0</v>
      </c>
      <c r="AB340" s="1">
        <f t="shared" si="222"/>
        <v>0</v>
      </c>
      <c r="AD340" s="1">
        <f t="shared" si="223"/>
        <v>0</v>
      </c>
      <c r="AE340" s="1">
        <f t="shared" si="224"/>
        <v>1</v>
      </c>
      <c r="AF340" s="1">
        <f t="shared" si="209"/>
        <v>0</v>
      </c>
      <c r="AG340" s="1">
        <f t="shared" si="210"/>
        <v>1</v>
      </c>
      <c r="AH340" s="1">
        <f t="shared" si="211"/>
        <v>0</v>
      </c>
      <c r="AI340" s="1">
        <f t="shared" si="212"/>
        <v>1</v>
      </c>
    </row>
    <row r="341" spans="1:35" s="1" customFormat="1" ht="14.25" customHeight="1" x14ac:dyDescent="0.3">
      <c r="A341" s="31">
        <v>0</v>
      </c>
      <c r="B341" s="31">
        <v>2</v>
      </c>
      <c r="C341" s="31">
        <v>2</v>
      </c>
      <c r="D341" s="32" t="s">
        <v>1922</v>
      </c>
      <c r="E341" s="32" t="s">
        <v>1923</v>
      </c>
      <c r="F341" s="32" t="s">
        <v>1924</v>
      </c>
      <c r="G341" s="32" t="s">
        <v>183</v>
      </c>
      <c r="H341" s="32" t="s">
        <v>352</v>
      </c>
      <c r="I341" s="31" t="s">
        <v>1926</v>
      </c>
      <c r="J341" s="31">
        <v>99</v>
      </c>
      <c r="K341" s="33" t="s">
        <v>700</v>
      </c>
      <c r="L341" s="33"/>
      <c r="M341" s="34"/>
      <c r="N341" s="34" t="s">
        <v>1724</v>
      </c>
      <c r="O341" s="35">
        <v>1</v>
      </c>
      <c r="P341" s="35">
        <v>1</v>
      </c>
      <c r="Q341" s="32" t="s">
        <v>1925</v>
      </c>
      <c r="S341" s="1">
        <f t="shared" si="213"/>
        <v>0</v>
      </c>
      <c r="T341" s="1">
        <f t="shared" si="214"/>
        <v>0</v>
      </c>
      <c r="U341" s="1">
        <f t="shared" si="215"/>
        <v>0</v>
      </c>
      <c r="V341" s="1">
        <f t="shared" si="216"/>
        <v>0</v>
      </c>
      <c r="W341" s="1">
        <f t="shared" si="217"/>
        <v>0</v>
      </c>
      <c r="X341" s="1">
        <f t="shared" si="218"/>
        <v>0</v>
      </c>
      <c r="Y341" s="1">
        <f t="shared" si="219"/>
        <v>0</v>
      </c>
      <c r="Z341" s="1">
        <f t="shared" si="220"/>
        <v>0</v>
      </c>
      <c r="AA341" s="1">
        <f t="shared" si="221"/>
        <v>0</v>
      </c>
      <c r="AB341" s="1">
        <f t="shared" si="222"/>
        <v>0</v>
      </c>
      <c r="AD341" s="1">
        <f t="shared" si="223"/>
        <v>1</v>
      </c>
      <c r="AE341" s="1">
        <f t="shared" si="224"/>
        <v>0</v>
      </c>
      <c r="AF341" s="1">
        <f t="shared" si="209"/>
        <v>1</v>
      </c>
      <c r="AG341" s="1">
        <f t="shared" si="210"/>
        <v>0</v>
      </c>
      <c r="AH341" s="1">
        <f t="shared" si="211"/>
        <v>1</v>
      </c>
      <c r="AI341" s="1">
        <f t="shared" si="212"/>
        <v>0</v>
      </c>
    </row>
    <row r="342" spans="1:35" s="1" customFormat="1" ht="14.25" customHeight="1" x14ac:dyDescent="0.3">
      <c r="A342" s="44">
        <v>0</v>
      </c>
      <c r="B342" s="44">
        <v>2</v>
      </c>
      <c r="C342" s="44">
        <v>2</v>
      </c>
      <c r="D342" s="45" t="s">
        <v>1640</v>
      </c>
      <c r="E342" s="45" t="s">
        <v>1165</v>
      </c>
      <c r="F342" s="45" t="s">
        <v>1671</v>
      </c>
      <c r="G342" s="45" t="s">
        <v>179</v>
      </c>
      <c r="H342" s="45" t="s">
        <v>352</v>
      </c>
      <c r="I342" s="44" t="s">
        <v>1491</v>
      </c>
      <c r="J342" s="44">
        <v>10</v>
      </c>
      <c r="K342" s="46" t="s">
        <v>709</v>
      </c>
      <c r="L342" s="46">
        <v>15</v>
      </c>
      <c r="M342" s="47" t="s">
        <v>39</v>
      </c>
      <c r="N342" s="47" t="s">
        <v>1737</v>
      </c>
      <c r="O342" s="48"/>
      <c r="P342" s="48"/>
      <c r="Q342" s="45"/>
      <c r="S342" s="1">
        <f t="shared" si="213"/>
        <v>0</v>
      </c>
      <c r="T342" s="1">
        <f t="shared" si="214"/>
        <v>0</v>
      </c>
      <c r="U342" s="1">
        <f t="shared" si="215"/>
        <v>0</v>
      </c>
      <c r="V342" s="1">
        <f t="shared" si="216"/>
        <v>0</v>
      </c>
      <c r="W342" s="1">
        <f t="shared" si="217"/>
        <v>0</v>
      </c>
      <c r="X342" s="1">
        <f t="shared" si="218"/>
        <v>0</v>
      </c>
      <c r="Y342" s="1">
        <f t="shared" si="219"/>
        <v>0</v>
      </c>
      <c r="Z342" s="1">
        <f t="shared" si="220"/>
        <v>0</v>
      </c>
      <c r="AA342" s="1">
        <f t="shared" si="221"/>
        <v>0</v>
      </c>
      <c r="AB342" s="1">
        <f t="shared" si="222"/>
        <v>1</v>
      </c>
      <c r="AD342" s="1">
        <f t="shared" si="223"/>
        <v>0</v>
      </c>
      <c r="AE342" s="1">
        <f t="shared" si="224"/>
        <v>0</v>
      </c>
      <c r="AF342" s="1">
        <f t="shared" ref="AF342:AF406" si="231">+O342*P342*(1-A342)</f>
        <v>0</v>
      </c>
      <c r="AG342" s="1">
        <f t="shared" ref="AG342:AG406" si="232">O342*(1-P342)*(1-A342)</f>
        <v>0</v>
      </c>
      <c r="AH342" s="1">
        <f t="shared" ref="AH342:AH406" si="233">+P342*(1-A342)</f>
        <v>0</v>
      </c>
      <c r="AI342" s="1">
        <f t="shared" ref="AI342:AI406" si="234">+(1-A342)*(1-P342)</f>
        <v>1</v>
      </c>
    </row>
    <row r="343" spans="1:35" s="1" customFormat="1" ht="14.25" customHeight="1" x14ac:dyDescent="0.3">
      <c r="A343" s="44">
        <v>0</v>
      </c>
      <c r="B343" s="44">
        <v>2</v>
      </c>
      <c r="C343" s="44">
        <v>2</v>
      </c>
      <c r="D343" s="45" t="s">
        <v>859</v>
      </c>
      <c r="E343" s="45" t="s">
        <v>541</v>
      </c>
      <c r="F343" s="45" t="s">
        <v>860</v>
      </c>
      <c r="G343" s="45" t="s">
        <v>312</v>
      </c>
      <c r="H343" s="45" t="s">
        <v>352</v>
      </c>
      <c r="I343" s="44" t="s">
        <v>861</v>
      </c>
      <c r="J343" s="44">
        <v>1</v>
      </c>
      <c r="K343" s="46" t="s">
        <v>709</v>
      </c>
      <c r="L343" s="46">
        <v>25</v>
      </c>
      <c r="M343" s="47" t="s">
        <v>39</v>
      </c>
      <c r="N343" s="47" t="s">
        <v>1732</v>
      </c>
      <c r="O343" s="48"/>
      <c r="P343" s="48"/>
      <c r="Q343" s="45"/>
      <c r="S343" s="1">
        <f t="shared" si="213"/>
        <v>1</v>
      </c>
      <c r="T343" s="1">
        <f t="shared" si="214"/>
        <v>0</v>
      </c>
      <c r="U343" s="1">
        <f t="shared" si="215"/>
        <v>0</v>
      </c>
      <c r="V343" s="1">
        <f t="shared" si="216"/>
        <v>0</v>
      </c>
      <c r="W343" s="1">
        <f t="shared" si="217"/>
        <v>0</v>
      </c>
      <c r="X343" s="1">
        <f t="shared" si="218"/>
        <v>0</v>
      </c>
      <c r="Y343" s="1">
        <f t="shared" si="219"/>
        <v>0</v>
      </c>
      <c r="Z343" s="1">
        <f t="shared" si="220"/>
        <v>0</v>
      </c>
      <c r="AA343" s="1">
        <f t="shared" si="221"/>
        <v>0</v>
      </c>
      <c r="AB343" s="1">
        <f t="shared" si="222"/>
        <v>0</v>
      </c>
      <c r="AD343" s="1">
        <f t="shared" si="223"/>
        <v>0</v>
      </c>
      <c r="AE343" s="1">
        <f t="shared" si="224"/>
        <v>0</v>
      </c>
      <c r="AF343" s="1">
        <f t="shared" si="231"/>
        <v>0</v>
      </c>
      <c r="AG343" s="1">
        <f t="shared" si="232"/>
        <v>0</v>
      </c>
      <c r="AH343" s="1">
        <f t="shared" si="233"/>
        <v>0</v>
      </c>
      <c r="AI343" s="1">
        <f t="shared" si="234"/>
        <v>1</v>
      </c>
    </row>
    <row r="344" spans="1:35" s="1" customFormat="1" ht="14.25" customHeight="1" x14ac:dyDescent="0.3">
      <c r="A344" s="31">
        <v>0</v>
      </c>
      <c r="B344" s="31">
        <v>2</v>
      </c>
      <c r="C344" s="31">
        <v>3</v>
      </c>
      <c r="D344" s="32" t="s">
        <v>565</v>
      </c>
      <c r="E344" s="32" t="s">
        <v>38</v>
      </c>
      <c r="F344" s="32" t="s">
        <v>236</v>
      </c>
      <c r="G344" s="32" t="s">
        <v>536</v>
      </c>
      <c r="H344" s="32" t="s">
        <v>352</v>
      </c>
      <c r="I344" s="31" t="s">
        <v>401</v>
      </c>
      <c r="J344" s="31">
        <v>1</v>
      </c>
      <c r="K344" s="33" t="s">
        <v>709</v>
      </c>
      <c r="L344" s="33" t="s">
        <v>721</v>
      </c>
      <c r="M344" s="34" t="s">
        <v>722</v>
      </c>
      <c r="N344" s="34" t="s">
        <v>1724</v>
      </c>
      <c r="O344" s="35">
        <v>1</v>
      </c>
      <c r="P344" s="35">
        <v>1</v>
      </c>
      <c r="Q344" s="32"/>
      <c r="S344" s="1">
        <f t="shared" si="213"/>
        <v>1</v>
      </c>
      <c r="T344" s="1">
        <f t="shared" si="214"/>
        <v>0</v>
      </c>
      <c r="U344" s="1">
        <f t="shared" si="215"/>
        <v>0</v>
      </c>
      <c r="V344" s="1">
        <f t="shared" si="216"/>
        <v>0</v>
      </c>
      <c r="W344" s="1">
        <f t="shared" si="217"/>
        <v>0</v>
      </c>
      <c r="X344" s="1">
        <f t="shared" si="218"/>
        <v>0</v>
      </c>
      <c r="Y344" s="1">
        <f t="shared" si="219"/>
        <v>0</v>
      </c>
      <c r="Z344" s="1">
        <f t="shared" si="220"/>
        <v>0</v>
      </c>
      <c r="AA344" s="1">
        <f t="shared" si="221"/>
        <v>0</v>
      </c>
      <c r="AB344" s="1">
        <f t="shared" si="222"/>
        <v>0</v>
      </c>
      <c r="AD344" s="1">
        <f t="shared" si="223"/>
        <v>1</v>
      </c>
      <c r="AE344" s="1">
        <f t="shared" si="224"/>
        <v>0</v>
      </c>
      <c r="AF344" s="1">
        <f t="shared" si="231"/>
        <v>1</v>
      </c>
      <c r="AG344" s="1">
        <f t="shared" si="232"/>
        <v>0</v>
      </c>
      <c r="AH344" s="1">
        <f t="shared" si="233"/>
        <v>1</v>
      </c>
      <c r="AI344" s="1">
        <f t="shared" si="234"/>
        <v>0</v>
      </c>
    </row>
    <row r="345" spans="1:35" s="1" customFormat="1" ht="14.25" customHeight="1" x14ac:dyDescent="0.3">
      <c r="A345" s="44">
        <v>0</v>
      </c>
      <c r="B345" s="44">
        <v>2</v>
      </c>
      <c r="C345" s="44">
        <v>3</v>
      </c>
      <c r="D345" s="45" t="s">
        <v>847</v>
      </c>
      <c r="E345" s="45" t="s">
        <v>34</v>
      </c>
      <c r="F345" s="45" t="s">
        <v>923</v>
      </c>
      <c r="G345" s="45" t="s">
        <v>635</v>
      </c>
      <c r="H345" s="45" t="s">
        <v>352</v>
      </c>
      <c r="I345" s="44" t="s">
        <v>848</v>
      </c>
      <c r="J345" s="44">
        <v>1</v>
      </c>
      <c r="K345" s="46" t="s">
        <v>951</v>
      </c>
      <c r="L345" s="46" t="s">
        <v>726</v>
      </c>
      <c r="M345" s="47" t="s">
        <v>720</v>
      </c>
      <c r="N345" s="47" t="s">
        <v>1732</v>
      </c>
      <c r="O345" s="48"/>
      <c r="P345" s="48"/>
      <c r="Q345" s="45"/>
      <c r="S345" s="1">
        <f t="shared" si="213"/>
        <v>1</v>
      </c>
      <c r="T345" s="1">
        <f t="shared" si="214"/>
        <v>0</v>
      </c>
      <c r="U345" s="1">
        <f t="shared" si="215"/>
        <v>0</v>
      </c>
      <c r="V345" s="1">
        <f t="shared" si="216"/>
        <v>0</v>
      </c>
      <c r="W345" s="1">
        <f t="shared" si="217"/>
        <v>0</v>
      </c>
      <c r="X345" s="1">
        <f t="shared" si="218"/>
        <v>0</v>
      </c>
      <c r="Y345" s="1">
        <f t="shared" si="219"/>
        <v>0</v>
      </c>
      <c r="Z345" s="1">
        <f t="shared" si="220"/>
        <v>0</v>
      </c>
      <c r="AA345" s="1">
        <f t="shared" si="221"/>
        <v>0</v>
      </c>
      <c r="AB345" s="1">
        <f t="shared" si="222"/>
        <v>0</v>
      </c>
      <c r="AD345" s="1">
        <f t="shared" si="223"/>
        <v>0</v>
      </c>
      <c r="AE345" s="1">
        <f t="shared" si="224"/>
        <v>0</v>
      </c>
      <c r="AF345" s="1">
        <f t="shared" si="231"/>
        <v>0</v>
      </c>
      <c r="AG345" s="1">
        <f t="shared" si="232"/>
        <v>0</v>
      </c>
      <c r="AH345" s="1">
        <f t="shared" si="233"/>
        <v>0</v>
      </c>
      <c r="AI345" s="1">
        <f t="shared" si="234"/>
        <v>1</v>
      </c>
    </row>
    <row r="346" spans="1:35" s="1" customFormat="1" ht="14.25" customHeight="1" x14ac:dyDescent="0.3">
      <c r="A346" s="44">
        <v>0</v>
      </c>
      <c r="B346" s="44">
        <v>2</v>
      </c>
      <c r="C346" s="44">
        <v>3</v>
      </c>
      <c r="D346" s="45" t="s">
        <v>790</v>
      </c>
      <c r="E346" s="45" t="s">
        <v>32</v>
      </c>
      <c r="F346" s="45" t="s">
        <v>791</v>
      </c>
      <c r="G346" s="45" t="s">
        <v>250</v>
      </c>
      <c r="H346" s="45" t="s">
        <v>352</v>
      </c>
      <c r="I346" s="44" t="s">
        <v>792</v>
      </c>
      <c r="J346" s="44">
        <v>99</v>
      </c>
      <c r="K346" s="46" t="s">
        <v>710</v>
      </c>
      <c r="L346" s="46" t="s">
        <v>719</v>
      </c>
      <c r="M346" s="47" t="s">
        <v>720</v>
      </c>
      <c r="N346" s="47" t="s">
        <v>1806</v>
      </c>
      <c r="O346" s="48"/>
      <c r="P346" s="48"/>
      <c r="Q346" s="45"/>
      <c r="S346" s="1">
        <f t="shared" ref="S346:S410" si="235">IF(J346=$S$7,1,0)</f>
        <v>0</v>
      </c>
      <c r="T346" s="1">
        <f t="shared" ref="T346:T410" si="236">IF(J346=$T$7,1,0)</f>
        <v>0</v>
      </c>
      <c r="U346" s="1">
        <f t="shared" ref="U346:U410" si="237">IF(J346=$U$7,1,0)</f>
        <v>0</v>
      </c>
      <c r="V346" s="1">
        <f t="shared" ref="V346:V410" si="238">IF(J346=$V$7,1,0)</f>
        <v>0</v>
      </c>
      <c r="W346" s="1">
        <f t="shared" ref="W346:W410" si="239">IF(J346=$W$7,1,0)</f>
        <v>0</v>
      </c>
      <c r="X346" s="1">
        <f t="shared" ref="X346:X410" si="240">IF(J346=$X$7,1,0)</f>
        <v>0</v>
      </c>
      <c r="Y346" s="1">
        <f t="shared" ref="Y346:Y410" si="241">IF(J346=$Y$7,1,0)</f>
        <v>0</v>
      </c>
      <c r="Z346" s="1">
        <f t="shared" ref="Z346:Z410" si="242">IF(J346=$Z$7,1,0)</f>
        <v>0</v>
      </c>
      <c r="AA346" s="1">
        <f t="shared" ref="AA346:AA410" si="243">IF(J346=$AA$7,1,0)</f>
        <v>0</v>
      </c>
      <c r="AB346" s="1">
        <f t="shared" ref="AB346:AB410" si="244">IF(J346=$AB$7,1,0)</f>
        <v>0</v>
      </c>
      <c r="AD346" s="1">
        <f t="shared" ref="AD346:AD410" si="245">+O346*P346</f>
        <v>0</v>
      </c>
      <c r="AE346" s="1">
        <f t="shared" ref="AE346:AE410" si="246">O346*(1-P346)</f>
        <v>0</v>
      </c>
      <c r="AF346" s="1">
        <f t="shared" si="231"/>
        <v>0</v>
      </c>
      <c r="AG346" s="1">
        <f t="shared" si="232"/>
        <v>0</v>
      </c>
      <c r="AH346" s="1">
        <f t="shared" si="233"/>
        <v>0</v>
      </c>
      <c r="AI346" s="1">
        <f t="shared" si="234"/>
        <v>1</v>
      </c>
    </row>
    <row r="347" spans="1:35" s="1" customFormat="1" ht="14.25" customHeight="1" x14ac:dyDescent="0.3">
      <c r="A347" s="44">
        <v>0</v>
      </c>
      <c r="B347" s="44">
        <v>2</v>
      </c>
      <c r="C347" s="44">
        <v>3</v>
      </c>
      <c r="D347" s="45" t="s">
        <v>56</v>
      </c>
      <c r="E347" s="45" t="s">
        <v>160</v>
      </c>
      <c r="F347" s="45" t="s">
        <v>218</v>
      </c>
      <c r="G347" s="45" t="s">
        <v>195</v>
      </c>
      <c r="H347" s="45" t="s">
        <v>352</v>
      </c>
      <c r="I347" s="44" t="s">
        <v>548</v>
      </c>
      <c r="J347" s="44">
        <v>99</v>
      </c>
      <c r="K347" s="46" t="s">
        <v>710</v>
      </c>
      <c r="L347" s="46" t="s">
        <v>719</v>
      </c>
      <c r="M347" s="47" t="s">
        <v>720</v>
      </c>
      <c r="N347" s="47" t="s">
        <v>1799</v>
      </c>
      <c r="O347" s="48"/>
      <c r="P347" s="48"/>
      <c r="Q347" s="45"/>
      <c r="S347" s="1">
        <f t="shared" si="235"/>
        <v>0</v>
      </c>
      <c r="T347" s="1">
        <f t="shared" si="236"/>
        <v>0</v>
      </c>
      <c r="U347" s="1">
        <f t="shared" si="237"/>
        <v>0</v>
      </c>
      <c r="V347" s="1">
        <f t="shared" si="238"/>
        <v>0</v>
      </c>
      <c r="W347" s="1">
        <f t="shared" si="239"/>
        <v>0</v>
      </c>
      <c r="X347" s="1">
        <f t="shared" si="240"/>
        <v>0</v>
      </c>
      <c r="Y347" s="1">
        <f t="shared" si="241"/>
        <v>0</v>
      </c>
      <c r="Z347" s="1">
        <f t="shared" si="242"/>
        <v>0</v>
      </c>
      <c r="AA347" s="1">
        <f t="shared" si="243"/>
        <v>0</v>
      </c>
      <c r="AB347" s="1">
        <f t="shared" si="244"/>
        <v>0</v>
      </c>
      <c r="AD347" s="1">
        <f t="shared" si="245"/>
        <v>0</v>
      </c>
      <c r="AE347" s="1">
        <f t="shared" si="246"/>
        <v>0</v>
      </c>
      <c r="AF347" s="1">
        <f t="shared" si="231"/>
        <v>0</v>
      </c>
      <c r="AG347" s="1">
        <f t="shared" si="232"/>
        <v>0</v>
      </c>
      <c r="AH347" s="1">
        <f t="shared" si="233"/>
        <v>0</v>
      </c>
      <c r="AI347" s="1">
        <f t="shared" si="234"/>
        <v>1</v>
      </c>
    </row>
    <row r="348" spans="1:35" s="1" customFormat="1" ht="14.25" customHeight="1" x14ac:dyDescent="0.3">
      <c r="A348" s="31">
        <v>0</v>
      </c>
      <c r="B348" s="31">
        <v>2</v>
      </c>
      <c r="C348" s="31">
        <v>3</v>
      </c>
      <c r="D348" s="32" t="s">
        <v>1172</v>
      </c>
      <c r="E348" s="32" t="s">
        <v>1332</v>
      </c>
      <c r="F348" s="32" t="s">
        <v>1173</v>
      </c>
      <c r="G348" s="32" t="s">
        <v>300</v>
      </c>
      <c r="H348" s="32" t="s">
        <v>352</v>
      </c>
      <c r="I348" s="31" t="s">
        <v>1174</v>
      </c>
      <c r="J348" s="31">
        <v>1</v>
      </c>
      <c r="K348" s="33" t="s">
        <v>952</v>
      </c>
      <c r="L348" s="33" t="s">
        <v>690</v>
      </c>
      <c r="M348" s="34" t="s">
        <v>1412</v>
      </c>
      <c r="N348" s="34" t="s">
        <v>1740</v>
      </c>
      <c r="O348" s="35">
        <v>1</v>
      </c>
      <c r="P348" s="35"/>
      <c r="Q348" s="32"/>
      <c r="S348" s="1">
        <f t="shared" si="235"/>
        <v>1</v>
      </c>
      <c r="T348" s="1">
        <f t="shared" si="236"/>
        <v>0</v>
      </c>
      <c r="U348" s="1">
        <f t="shared" si="237"/>
        <v>0</v>
      </c>
      <c r="V348" s="1">
        <f t="shared" si="238"/>
        <v>0</v>
      </c>
      <c r="W348" s="1">
        <f t="shared" si="239"/>
        <v>0</v>
      </c>
      <c r="X348" s="1">
        <f t="shared" si="240"/>
        <v>0</v>
      </c>
      <c r="Y348" s="1">
        <f t="shared" si="241"/>
        <v>0</v>
      </c>
      <c r="Z348" s="1">
        <f t="shared" si="242"/>
        <v>0</v>
      </c>
      <c r="AA348" s="1">
        <f t="shared" si="243"/>
        <v>0</v>
      </c>
      <c r="AB348" s="1">
        <f t="shared" si="244"/>
        <v>0</v>
      </c>
      <c r="AD348" s="1">
        <f t="shared" si="245"/>
        <v>0</v>
      </c>
      <c r="AE348" s="1">
        <f t="shared" si="246"/>
        <v>1</v>
      </c>
      <c r="AF348" s="1">
        <f t="shared" si="231"/>
        <v>0</v>
      </c>
      <c r="AG348" s="1">
        <f t="shared" si="232"/>
        <v>1</v>
      </c>
      <c r="AH348" s="1">
        <f t="shared" si="233"/>
        <v>0</v>
      </c>
      <c r="AI348" s="1">
        <f t="shared" si="234"/>
        <v>1</v>
      </c>
    </row>
    <row r="349" spans="1:35" s="1" customFormat="1" ht="14.25" customHeight="1" x14ac:dyDescent="0.3">
      <c r="A349" s="31">
        <v>0</v>
      </c>
      <c r="B349" s="31">
        <v>2</v>
      </c>
      <c r="C349" s="31">
        <v>3</v>
      </c>
      <c r="D349" s="32" t="s">
        <v>1169</v>
      </c>
      <c r="E349" s="32" t="s">
        <v>1332</v>
      </c>
      <c r="F349" s="32" t="s">
        <v>1170</v>
      </c>
      <c r="G349" s="32" t="s">
        <v>1053</v>
      </c>
      <c r="H349" s="32" t="s">
        <v>352</v>
      </c>
      <c r="I349" s="31" t="s">
        <v>1171</v>
      </c>
      <c r="J349" s="31">
        <v>1</v>
      </c>
      <c r="K349" s="33" t="s">
        <v>710</v>
      </c>
      <c r="L349" s="33" t="s">
        <v>690</v>
      </c>
      <c r="M349" s="34" t="s">
        <v>1412</v>
      </c>
      <c r="N349" s="34" t="s">
        <v>1740</v>
      </c>
      <c r="O349" s="35">
        <v>1</v>
      </c>
      <c r="P349" s="35"/>
      <c r="Q349" s="32"/>
      <c r="S349" s="1">
        <f t="shared" si="235"/>
        <v>1</v>
      </c>
      <c r="T349" s="1">
        <f t="shared" si="236"/>
        <v>0</v>
      </c>
      <c r="U349" s="1">
        <f t="shared" si="237"/>
        <v>0</v>
      </c>
      <c r="V349" s="1">
        <f t="shared" si="238"/>
        <v>0</v>
      </c>
      <c r="W349" s="1">
        <f t="shared" si="239"/>
        <v>0</v>
      </c>
      <c r="X349" s="1">
        <f t="shared" si="240"/>
        <v>0</v>
      </c>
      <c r="Y349" s="1">
        <f t="shared" si="241"/>
        <v>0</v>
      </c>
      <c r="Z349" s="1">
        <f t="shared" si="242"/>
        <v>0</v>
      </c>
      <c r="AA349" s="1">
        <f t="shared" si="243"/>
        <v>0</v>
      </c>
      <c r="AB349" s="1">
        <f t="shared" si="244"/>
        <v>0</v>
      </c>
      <c r="AD349" s="1">
        <f t="shared" si="245"/>
        <v>0</v>
      </c>
      <c r="AE349" s="1">
        <f t="shared" si="246"/>
        <v>1</v>
      </c>
      <c r="AF349" s="1">
        <f t="shared" si="231"/>
        <v>0</v>
      </c>
      <c r="AG349" s="1">
        <f t="shared" si="232"/>
        <v>1</v>
      </c>
      <c r="AH349" s="1">
        <f t="shared" si="233"/>
        <v>0</v>
      </c>
      <c r="AI349" s="1">
        <f t="shared" si="234"/>
        <v>1</v>
      </c>
    </row>
    <row r="350" spans="1:35" s="1" customFormat="1" ht="14.25" customHeight="1" x14ac:dyDescent="0.3">
      <c r="A350" s="31">
        <v>0</v>
      </c>
      <c r="B350" s="31">
        <v>2</v>
      </c>
      <c r="C350" s="31">
        <v>3</v>
      </c>
      <c r="D350" s="32" t="s">
        <v>1291</v>
      </c>
      <c r="E350" s="32" t="s">
        <v>32</v>
      </c>
      <c r="F350" s="32" t="s">
        <v>1292</v>
      </c>
      <c r="G350" s="32" t="s">
        <v>221</v>
      </c>
      <c r="H350" s="32" t="s">
        <v>352</v>
      </c>
      <c r="I350" s="31" t="s">
        <v>1686</v>
      </c>
      <c r="J350" s="31">
        <v>99</v>
      </c>
      <c r="K350" s="33" t="s">
        <v>710</v>
      </c>
      <c r="L350" s="33" t="s">
        <v>713</v>
      </c>
      <c r="M350" s="34" t="s">
        <v>1293</v>
      </c>
      <c r="N350" s="34" t="s">
        <v>1724</v>
      </c>
      <c r="O350" s="35">
        <v>1</v>
      </c>
      <c r="P350" s="35">
        <v>1</v>
      </c>
      <c r="Q350" s="32"/>
      <c r="S350" s="1">
        <f t="shared" si="235"/>
        <v>0</v>
      </c>
      <c r="T350" s="1">
        <f t="shared" si="236"/>
        <v>0</v>
      </c>
      <c r="U350" s="1">
        <f t="shared" si="237"/>
        <v>0</v>
      </c>
      <c r="V350" s="1">
        <f t="shared" si="238"/>
        <v>0</v>
      </c>
      <c r="W350" s="1">
        <f t="shared" si="239"/>
        <v>0</v>
      </c>
      <c r="X350" s="1">
        <f t="shared" si="240"/>
        <v>0</v>
      </c>
      <c r="Y350" s="1">
        <f t="shared" si="241"/>
        <v>0</v>
      </c>
      <c r="Z350" s="1">
        <f t="shared" si="242"/>
        <v>0</v>
      </c>
      <c r="AA350" s="1">
        <f t="shared" si="243"/>
        <v>0</v>
      </c>
      <c r="AB350" s="1">
        <f t="shared" si="244"/>
        <v>0</v>
      </c>
      <c r="AD350" s="1">
        <f t="shared" si="245"/>
        <v>1</v>
      </c>
      <c r="AE350" s="1">
        <f t="shared" si="246"/>
        <v>0</v>
      </c>
      <c r="AF350" s="1">
        <f t="shared" si="231"/>
        <v>1</v>
      </c>
      <c r="AG350" s="1">
        <f t="shared" si="232"/>
        <v>0</v>
      </c>
      <c r="AH350" s="1">
        <f t="shared" si="233"/>
        <v>1</v>
      </c>
      <c r="AI350" s="1">
        <f t="shared" si="234"/>
        <v>0</v>
      </c>
    </row>
    <row r="351" spans="1:35" s="1" customFormat="1" ht="14.25" customHeight="1" x14ac:dyDescent="0.3">
      <c r="A351" s="31">
        <v>0</v>
      </c>
      <c r="B351" s="31">
        <v>2</v>
      </c>
      <c r="C351" s="31">
        <v>3</v>
      </c>
      <c r="D351" s="32" t="s">
        <v>758</v>
      </c>
      <c r="E351" s="32" t="s">
        <v>910</v>
      </c>
      <c r="F351" s="32" t="s">
        <v>759</v>
      </c>
      <c r="G351" s="32" t="s">
        <v>219</v>
      </c>
      <c r="H351" s="32" t="s">
        <v>352</v>
      </c>
      <c r="I351" s="31" t="s">
        <v>760</v>
      </c>
      <c r="J351" s="31">
        <v>8</v>
      </c>
      <c r="K351" s="33" t="s">
        <v>952</v>
      </c>
      <c r="L351" s="33" t="s">
        <v>726</v>
      </c>
      <c r="M351" s="34" t="s">
        <v>720</v>
      </c>
      <c r="N351" s="34" t="s">
        <v>1745</v>
      </c>
      <c r="O351" s="35">
        <v>1</v>
      </c>
      <c r="P351" s="35"/>
      <c r="Q351" s="32"/>
      <c r="S351" s="1">
        <f t="shared" si="235"/>
        <v>0</v>
      </c>
      <c r="T351" s="1">
        <f t="shared" si="236"/>
        <v>0</v>
      </c>
      <c r="U351" s="1">
        <f t="shared" si="237"/>
        <v>0</v>
      </c>
      <c r="V351" s="1">
        <f t="shared" si="238"/>
        <v>0</v>
      </c>
      <c r="W351" s="1">
        <f t="shared" si="239"/>
        <v>0</v>
      </c>
      <c r="X351" s="1">
        <f t="shared" si="240"/>
        <v>0</v>
      </c>
      <c r="Y351" s="1">
        <f t="shared" si="241"/>
        <v>0</v>
      </c>
      <c r="Z351" s="1">
        <f t="shared" si="242"/>
        <v>1</v>
      </c>
      <c r="AA351" s="1">
        <f t="shared" si="243"/>
        <v>0</v>
      </c>
      <c r="AB351" s="1">
        <f t="shared" si="244"/>
        <v>0</v>
      </c>
      <c r="AD351" s="1">
        <f t="shared" si="245"/>
        <v>0</v>
      </c>
      <c r="AE351" s="1">
        <f t="shared" si="246"/>
        <v>1</v>
      </c>
      <c r="AF351" s="1">
        <f t="shared" si="231"/>
        <v>0</v>
      </c>
      <c r="AG351" s="1">
        <f t="shared" si="232"/>
        <v>1</v>
      </c>
      <c r="AH351" s="1">
        <f t="shared" si="233"/>
        <v>0</v>
      </c>
      <c r="AI351" s="1">
        <f t="shared" si="234"/>
        <v>1</v>
      </c>
    </row>
    <row r="352" spans="1:35" s="1" customFormat="1" ht="14.25" customHeight="1" x14ac:dyDescent="0.3">
      <c r="A352" s="44">
        <v>0</v>
      </c>
      <c r="B352" s="44">
        <v>2</v>
      </c>
      <c r="C352" s="44">
        <v>3</v>
      </c>
      <c r="D352" s="45" t="s">
        <v>1492</v>
      </c>
      <c r="E352" s="45" t="s">
        <v>1493</v>
      </c>
      <c r="F352" s="45" t="s">
        <v>1494</v>
      </c>
      <c r="G352" s="45" t="s">
        <v>237</v>
      </c>
      <c r="H352" s="45" t="s">
        <v>352</v>
      </c>
      <c r="I352" s="44" t="s">
        <v>1495</v>
      </c>
      <c r="J352" s="44">
        <v>4</v>
      </c>
      <c r="K352" s="46" t="s">
        <v>709</v>
      </c>
      <c r="L352" s="46">
        <v>15</v>
      </c>
      <c r="M352" s="47" t="s">
        <v>39</v>
      </c>
      <c r="N352" s="47" t="s">
        <v>1799</v>
      </c>
      <c r="O352" s="48"/>
      <c r="P352" s="48"/>
      <c r="Q352" s="45"/>
      <c r="S352" s="1">
        <f t="shared" si="235"/>
        <v>0</v>
      </c>
      <c r="T352" s="1">
        <f t="shared" si="236"/>
        <v>0</v>
      </c>
      <c r="U352" s="1">
        <f t="shared" si="237"/>
        <v>0</v>
      </c>
      <c r="V352" s="1">
        <f t="shared" si="238"/>
        <v>1</v>
      </c>
      <c r="W352" s="1">
        <f t="shared" si="239"/>
        <v>0</v>
      </c>
      <c r="X352" s="1">
        <f t="shared" si="240"/>
        <v>0</v>
      </c>
      <c r="Y352" s="1">
        <f t="shared" si="241"/>
        <v>0</v>
      </c>
      <c r="Z352" s="1">
        <f t="shared" si="242"/>
        <v>0</v>
      </c>
      <c r="AA352" s="1">
        <f t="shared" si="243"/>
        <v>0</v>
      </c>
      <c r="AB352" s="1">
        <f t="shared" si="244"/>
        <v>0</v>
      </c>
      <c r="AD352" s="1">
        <f t="shared" si="245"/>
        <v>0</v>
      </c>
      <c r="AE352" s="1">
        <f t="shared" si="246"/>
        <v>0</v>
      </c>
      <c r="AF352" s="1">
        <f t="shared" si="231"/>
        <v>0</v>
      </c>
      <c r="AG352" s="1">
        <f t="shared" si="232"/>
        <v>0</v>
      </c>
      <c r="AH352" s="1">
        <f t="shared" si="233"/>
        <v>0</v>
      </c>
      <c r="AI352" s="1">
        <f t="shared" si="234"/>
        <v>1</v>
      </c>
    </row>
    <row r="353" spans="1:35" s="1" customFormat="1" ht="14.25" customHeight="1" x14ac:dyDescent="0.3">
      <c r="A353" s="31">
        <v>0</v>
      </c>
      <c r="B353" s="31">
        <v>2</v>
      </c>
      <c r="C353" s="31">
        <v>3</v>
      </c>
      <c r="D353" s="32" t="s">
        <v>1550</v>
      </c>
      <c r="E353" s="32" t="s">
        <v>1551</v>
      </c>
      <c r="F353" s="32" t="s">
        <v>1552</v>
      </c>
      <c r="G353" s="32" t="s">
        <v>1553</v>
      </c>
      <c r="H353" s="32" t="s">
        <v>352</v>
      </c>
      <c r="I353" s="31" t="s">
        <v>1554</v>
      </c>
      <c r="J353" s="31">
        <v>7</v>
      </c>
      <c r="K353" s="33" t="s">
        <v>952</v>
      </c>
      <c r="L353" s="33">
        <v>10</v>
      </c>
      <c r="M353" s="34" t="s">
        <v>39</v>
      </c>
      <c r="N353" s="34" t="s">
        <v>1740</v>
      </c>
      <c r="O353" s="35">
        <v>1</v>
      </c>
      <c r="P353" s="35"/>
      <c r="Q353" s="32"/>
      <c r="S353" s="1">
        <f t="shared" si="235"/>
        <v>0</v>
      </c>
      <c r="T353" s="1">
        <f t="shared" si="236"/>
        <v>0</v>
      </c>
      <c r="U353" s="1">
        <f t="shared" si="237"/>
        <v>0</v>
      </c>
      <c r="V353" s="1">
        <f t="shared" si="238"/>
        <v>0</v>
      </c>
      <c r="W353" s="1">
        <f t="shared" si="239"/>
        <v>0</v>
      </c>
      <c r="X353" s="1">
        <f t="shared" si="240"/>
        <v>0</v>
      </c>
      <c r="Y353" s="1">
        <f t="shared" si="241"/>
        <v>1</v>
      </c>
      <c r="Z353" s="1">
        <f t="shared" si="242"/>
        <v>0</v>
      </c>
      <c r="AA353" s="1">
        <f t="shared" si="243"/>
        <v>0</v>
      </c>
      <c r="AB353" s="1">
        <f t="shared" si="244"/>
        <v>0</v>
      </c>
      <c r="AD353" s="1">
        <f t="shared" si="245"/>
        <v>0</v>
      </c>
      <c r="AE353" s="1">
        <f t="shared" si="246"/>
        <v>1</v>
      </c>
      <c r="AF353" s="1">
        <f t="shared" si="231"/>
        <v>0</v>
      </c>
      <c r="AG353" s="1">
        <f t="shared" si="232"/>
        <v>1</v>
      </c>
      <c r="AH353" s="1">
        <f t="shared" si="233"/>
        <v>0</v>
      </c>
      <c r="AI353" s="1">
        <f t="shared" si="234"/>
        <v>1</v>
      </c>
    </row>
    <row r="354" spans="1:35" s="1" customFormat="1" ht="14.25" customHeight="1" x14ac:dyDescent="0.3">
      <c r="A354" s="44">
        <v>0</v>
      </c>
      <c r="B354" s="44">
        <v>2</v>
      </c>
      <c r="C354" s="44">
        <v>3</v>
      </c>
      <c r="D354" s="45" t="s">
        <v>838</v>
      </c>
      <c r="E354" s="45" t="s">
        <v>32</v>
      </c>
      <c r="F354" s="45" t="s">
        <v>840</v>
      </c>
      <c r="G354" s="45" t="s">
        <v>39</v>
      </c>
      <c r="H354" s="45" t="s">
        <v>352</v>
      </c>
      <c r="I354" s="44" t="s">
        <v>839</v>
      </c>
      <c r="J354" s="44">
        <v>1</v>
      </c>
      <c r="K354" s="46" t="s">
        <v>710</v>
      </c>
      <c r="L354" s="46" t="s">
        <v>691</v>
      </c>
      <c r="M354" s="47" t="s">
        <v>1412</v>
      </c>
      <c r="N354" s="47" t="s">
        <v>1732</v>
      </c>
      <c r="O354" s="48"/>
      <c r="P354" s="48"/>
      <c r="Q354" s="45"/>
      <c r="S354" s="1">
        <f t="shared" si="235"/>
        <v>1</v>
      </c>
      <c r="T354" s="1">
        <f t="shared" si="236"/>
        <v>0</v>
      </c>
      <c r="U354" s="1">
        <f t="shared" si="237"/>
        <v>0</v>
      </c>
      <c r="V354" s="1">
        <f t="shared" si="238"/>
        <v>0</v>
      </c>
      <c r="W354" s="1">
        <f t="shared" si="239"/>
        <v>0</v>
      </c>
      <c r="X354" s="1">
        <f t="shared" si="240"/>
        <v>0</v>
      </c>
      <c r="Y354" s="1">
        <f t="shared" si="241"/>
        <v>0</v>
      </c>
      <c r="Z354" s="1">
        <f t="shared" si="242"/>
        <v>0</v>
      </c>
      <c r="AA354" s="1">
        <f t="shared" si="243"/>
        <v>0</v>
      </c>
      <c r="AB354" s="1">
        <f t="shared" si="244"/>
        <v>0</v>
      </c>
      <c r="AD354" s="1">
        <f t="shared" si="245"/>
        <v>0</v>
      </c>
      <c r="AE354" s="1">
        <f t="shared" si="246"/>
        <v>0</v>
      </c>
      <c r="AF354" s="1">
        <f t="shared" si="231"/>
        <v>0</v>
      </c>
      <c r="AG354" s="1">
        <f t="shared" si="232"/>
        <v>0</v>
      </c>
      <c r="AH354" s="1">
        <f t="shared" si="233"/>
        <v>0</v>
      </c>
      <c r="AI354" s="1">
        <f t="shared" si="234"/>
        <v>1</v>
      </c>
    </row>
    <row r="355" spans="1:35" s="1" customFormat="1" ht="14.25" customHeight="1" x14ac:dyDescent="0.3">
      <c r="A355" s="15">
        <v>0</v>
      </c>
      <c r="B355" s="15">
        <v>2</v>
      </c>
      <c r="C355" s="15">
        <v>4</v>
      </c>
      <c r="D355" s="16" t="s">
        <v>761</v>
      </c>
      <c r="E355" s="16" t="s">
        <v>762</v>
      </c>
      <c r="F355" s="16" t="s">
        <v>763</v>
      </c>
      <c r="G355" s="16" t="s">
        <v>764</v>
      </c>
      <c r="H355" s="16" t="s">
        <v>352</v>
      </c>
      <c r="I355" s="15" t="s">
        <v>765</v>
      </c>
      <c r="J355" s="15">
        <v>99</v>
      </c>
      <c r="K355" s="10" t="s">
        <v>700</v>
      </c>
      <c r="L355" s="10">
        <v>15</v>
      </c>
      <c r="M355" s="19" t="s">
        <v>766</v>
      </c>
      <c r="N355" s="19"/>
      <c r="Q355" s="16"/>
      <c r="S355" s="1">
        <f t="shared" si="235"/>
        <v>0</v>
      </c>
      <c r="T355" s="1">
        <f t="shared" si="236"/>
        <v>0</v>
      </c>
      <c r="U355" s="1">
        <f t="shared" si="237"/>
        <v>0</v>
      </c>
      <c r="V355" s="1">
        <f t="shared" si="238"/>
        <v>0</v>
      </c>
      <c r="W355" s="1">
        <f t="shared" si="239"/>
        <v>0</v>
      </c>
      <c r="X355" s="1">
        <f t="shared" si="240"/>
        <v>0</v>
      </c>
      <c r="Y355" s="1">
        <f t="shared" si="241"/>
        <v>0</v>
      </c>
      <c r="Z355" s="1">
        <f t="shared" si="242"/>
        <v>0</v>
      </c>
      <c r="AA355" s="1">
        <f t="shared" si="243"/>
        <v>0</v>
      </c>
      <c r="AB355" s="1">
        <f t="shared" si="244"/>
        <v>0</v>
      </c>
      <c r="AD355" s="1">
        <f t="shared" si="245"/>
        <v>0</v>
      </c>
      <c r="AE355" s="1">
        <f t="shared" si="246"/>
        <v>0</v>
      </c>
      <c r="AF355" s="1">
        <f t="shared" si="231"/>
        <v>0</v>
      </c>
      <c r="AG355" s="1">
        <f t="shared" si="232"/>
        <v>0</v>
      </c>
      <c r="AH355" s="1">
        <f t="shared" si="233"/>
        <v>0</v>
      </c>
      <c r="AI355" s="1">
        <f t="shared" si="234"/>
        <v>1</v>
      </c>
    </row>
    <row r="356" spans="1:35" s="1" customFormat="1" ht="14.25" customHeight="1" x14ac:dyDescent="0.3">
      <c r="A356" s="31">
        <v>0</v>
      </c>
      <c r="B356" s="31">
        <v>2</v>
      </c>
      <c r="C356" s="31">
        <v>4</v>
      </c>
      <c r="D356" s="32" t="s">
        <v>795</v>
      </c>
      <c r="E356" s="32" t="s">
        <v>905</v>
      </c>
      <c r="F356" s="32" t="s">
        <v>922</v>
      </c>
      <c r="G356" s="32" t="s">
        <v>207</v>
      </c>
      <c r="H356" s="32" t="s">
        <v>352</v>
      </c>
      <c r="I356" s="31" t="s">
        <v>1360</v>
      </c>
      <c r="J356" s="31">
        <v>3</v>
      </c>
      <c r="K356" s="33" t="s">
        <v>700</v>
      </c>
      <c r="L356" s="33">
        <v>20</v>
      </c>
      <c r="M356" s="34" t="s">
        <v>1414</v>
      </c>
      <c r="N356" s="34" t="s">
        <v>1822</v>
      </c>
      <c r="O356" s="35">
        <v>1</v>
      </c>
      <c r="P356" s="35"/>
      <c r="Q356" s="32"/>
      <c r="S356" s="1">
        <f t="shared" si="235"/>
        <v>0</v>
      </c>
      <c r="T356" s="1">
        <f t="shared" si="236"/>
        <v>0</v>
      </c>
      <c r="U356" s="1">
        <f t="shared" si="237"/>
        <v>1</v>
      </c>
      <c r="V356" s="1">
        <f t="shared" si="238"/>
        <v>0</v>
      </c>
      <c r="W356" s="1">
        <f t="shared" si="239"/>
        <v>0</v>
      </c>
      <c r="X356" s="1">
        <f t="shared" si="240"/>
        <v>0</v>
      </c>
      <c r="Y356" s="1">
        <f t="shared" si="241"/>
        <v>0</v>
      </c>
      <c r="Z356" s="1">
        <f t="shared" si="242"/>
        <v>0</v>
      </c>
      <c r="AA356" s="1">
        <f t="shared" si="243"/>
        <v>0</v>
      </c>
      <c r="AB356" s="1">
        <f t="shared" si="244"/>
        <v>0</v>
      </c>
      <c r="AD356" s="1">
        <f t="shared" si="245"/>
        <v>0</v>
      </c>
      <c r="AE356" s="1">
        <f t="shared" si="246"/>
        <v>1</v>
      </c>
      <c r="AF356" s="1">
        <f t="shared" si="231"/>
        <v>0</v>
      </c>
      <c r="AG356" s="1">
        <f t="shared" si="232"/>
        <v>1</v>
      </c>
      <c r="AH356" s="1">
        <f t="shared" si="233"/>
        <v>0</v>
      </c>
      <c r="AI356" s="1">
        <f t="shared" si="234"/>
        <v>1</v>
      </c>
    </row>
    <row r="357" spans="1:35" s="1" customFormat="1" ht="14.25" customHeight="1" x14ac:dyDescent="0.3">
      <c r="A357" s="57">
        <v>0</v>
      </c>
      <c r="B357" s="57">
        <v>2</v>
      </c>
      <c r="C357" s="57">
        <v>4</v>
      </c>
      <c r="D357" s="58" t="s">
        <v>564</v>
      </c>
      <c r="E357" s="58" t="s">
        <v>37</v>
      </c>
      <c r="F357" s="58" t="s">
        <v>204</v>
      </c>
      <c r="G357" s="58" t="s">
        <v>39</v>
      </c>
      <c r="H357" s="58" t="s">
        <v>352</v>
      </c>
      <c r="I357" s="57" t="s">
        <v>387</v>
      </c>
      <c r="J357" s="57">
        <v>6</v>
      </c>
      <c r="K357" s="59" t="s">
        <v>700</v>
      </c>
      <c r="L357" s="59" t="s">
        <v>39</v>
      </c>
      <c r="M357" s="60" t="s">
        <v>39</v>
      </c>
      <c r="N357" s="61"/>
      <c r="O357" s="62"/>
      <c r="P357" s="62"/>
      <c r="Q357" s="58"/>
      <c r="S357" s="1">
        <f t="shared" si="235"/>
        <v>0</v>
      </c>
      <c r="T357" s="1">
        <f t="shared" si="236"/>
        <v>0</v>
      </c>
      <c r="U357" s="1">
        <f t="shared" si="237"/>
        <v>0</v>
      </c>
      <c r="V357" s="1">
        <f t="shared" si="238"/>
        <v>0</v>
      </c>
      <c r="W357" s="1">
        <f t="shared" si="239"/>
        <v>0</v>
      </c>
      <c r="X357" s="1">
        <f t="shared" si="240"/>
        <v>1</v>
      </c>
      <c r="Y357" s="1">
        <f t="shared" si="241"/>
        <v>0</v>
      </c>
      <c r="Z357" s="1">
        <f t="shared" si="242"/>
        <v>0</v>
      </c>
      <c r="AA357" s="1">
        <f t="shared" si="243"/>
        <v>0</v>
      </c>
      <c r="AB357" s="1">
        <f t="shared" si="244"/>
        <v>0</v>
      </c>
      <c r="AD357" s="1">
        <f t="shared" si="245"/>
        <v>0</v>
      </c>
      <c r="AE357" s="1">
        <f t="shared" si="246"/>
        <v>0</v>
      </c>
      <c r="AF357" s="1">
        <f t="shared" si="231"/>
        <v>0</v>
      </c>
      <c r="AG357" s="1">
        <f t="shared" si="232"/>
        <v>0</v>
      </c>
      <c r="AH357" s="1">
        <f t="shared" si="233"/>
        <v>0</v>
      </c>
      <c r="AI357" s="1">
        <f t="shared" si="234"/>
        <v>1</v>
      </c>
    </row>
    <row r="358" spans="1:35" s="1" customFormat="1" ht="14.25" customHeight="1" x14ac:dyDescent="0.3">
      <c r="A358" s="44">
        <v>0</v>
      </c>
      <c r="B358" s="44">
        <v>2</v>
      </c>
      <c r="C358" s="44">
        <v>4</v>
      </c>
      <c r="D358" s="45" t="s">
        <v>650</v>
      </c>
      <c r="E358" s="45" t="s">
        <v>907</v>
      </c>
      <c r="F358" s="45" t="s">
        <v>621</v>
      </c>
      <c r="G358" s="45" t="s">
        <v>339</v>
      </c>
      <c r="H358" s="45" t="s">
        <v>352</v>
      </c>
      <c r="I358" s="44" t="s">
        <v>622</v>
      </c>
      <c r="J358" s="44">
        <v>10</v>
      </c>
      <c r="K358" s="46" t="s">
        <v>951</v>
      </c>
      <c r="L358" s="46" t="s">
        <v>701</v>
      </c>
      <c r="M358" s="47" t="s">
        <v>1415</v>
      </c>
      <c r="N358" s="47" t="s">
        <v>1731</v>
      </c>
      <c r="O358" s="48"/>
      <c r="P358" s="48"/>
      <c r="Q358" s="45"/>
      <c r="S358" s="1">
        <f t="shared" si="235"/>
        <v>0</v>
      </c>
      <c r="T358" s="1">
        <f t="shared" si="236"/>
        <v>0</v>
      </c>
      <c r="U358" s="1">
        <f t="shared" si="237"/>
        <v>0</v>
      </c>
      <c r="V358" s="1">
        <f t="shared" si="238"/>
        <v>0</v>
      </c>
      <c r="W358" s="1">
        <f t="shared" si="239"/>
        <v>0</v>
      </c>
      <c r="X358" s="1">
        <f t="shared" si="240"/>
        <v>0</v>
      </c>
      <c r="Y358" s="1">
        <f t="shared" si="241"/>
        <v>0</v>
      </c>
      <c r="Z358" s="1">
        <f t="shared" si="242"/>
        <v>0</v>
      </c>
      <c r="AA358" s="1">
        <f t="shared" si="243"/>
        <v>0</v>
      </c>
      <c r="AB358" s="1">
        <f t="shared" si="244"/>
        <v>1</v>
      </c>
      <c r="AD358" s="1">
        <f t="shared" si="245"/>
        <v>0</v>
      </c>
      <c r="AE358" s="1">
        <f t="shared" si="246"/>
        <v>0</v>
      </c>
      <c r="AF358" s="1">
        <f t="shared" si="231"/>
        <v>0</v>
      </c>
      <c r="AG358" s="1">
        <f t="shared" si="232"/>
        <v>0</v>
      </c>
      <c r="AH358" s="1">
        <f t="shared" si="233"/>
        <v>0</v>
      </c>
      <c r="AI358" s="1">
        <f t="shared" si="234"/>
        <v>1</v>
      </c>
    </row>
    <row r="359" spans="1:35" s="1" customFormat="1" ht="14.25" customHeight="1" x14ac:dyDescent="0.3">
      <c r="A359" s="31">
        <v>0</v>
      </c>
      <c r="B359" s="31">
        <v>2</v>
      </c>
      <c r="C359" s="31">
        <v>4</v>
      </c>
      <c r="D359" s="32" t="s">
        <v>75</v>
      </c>
      <c r="E359" s="32" t="s">
        <v>35</v>
      </c>
      <c r="F359" s="32" t="s">
        <v>265</v>
      </c>
      <c r="G359" s="32" t="s">
        <v>212</v>
      </c>
      <c r="H359" s="32" t="s">
        <v>352</v>
      </c>
      <c r="I359" s="31" t="s">
        <v>942</v>
      </c>
      <c r="J359" s="31">
        <v>1</v>
      </c>
      <c r="K359" s="33" t="s">
        <v>710</v>
      </c>
      <c r="L359" s="33" t="s">
        <v>701</v>
      </c>
      <c r="M359" s="34" t="s">
        <v>1416</v>
      </c>
      <c r="N359" s="34" t="s">
        <v>1740</v>
      </c>
      <c r="O359" s="35">
        <v>1</v>
      </c>
      <c r="P359" s="35"/>
      <c r="Q359" s="32"/>
      <c r="S359" s="1">
        <f t="shared" si="235"/>
        <v>1</v>
      </c>
      <c r="T359" s="1">
        <f t="shared" si="236"/>
        <v>0</v>
      </c>
      <c r="U359" s="1">
        <f t="shared" si="237"/>
        <v>0</v>
      </c>
      <c r="V359" s="1">
        <f t="shared" si="238"/>
        <v>0</v>
      </c>
      <c r="W359" s="1">
        <f t="shared" si="239"/>
        <v>0</v>
      </c>
      <c r="X359" s="1">
        <f t="shared" si="240"/>
        <v>0</v>
      </c>
      <c r="Y359" s="1">
        <f t="shared" si="241"/>
        <v>0</v>
      </c>
      <c r="Z359" s="1">
        <f t="shared" si="242"/>
        <v>0</v>
      </c>
      <c r="AA359" s="1">
        <f t="shared" si="243"/>
        <v>0</v>
      </c>
      <c r="AB359" s="1">
        <f t="shared" si="244"/>
        <v>0</v>
      </c>
      <c r="AD359" s="1">
        <f t="shared" si="245"/>
        <v>0</v>
      </c>
      <c r="AE359" s="1">
        <f t="shared" si="246"/>
        <v>1</v>
      </c>
      <c r="AF359" s="1">
        <f t="shared" si="231"/>
        <v>0</v>
      </c>
      <c r="AG359" s="1">
        <f t="shared" si="232"/>
        <v>1</v>
      </c>
      <c r="AH359" s="1">
        <f t="shared" si="233"/>
        <v>0</v>
      </c>
      <c r="AI359" s="1">
        <f t="shared" si="234"/>
        <v>1</v>
      </c>
    </row>
    <row r="360" spans="1:35" s="1" customFormat="1" ht="14.25" customHeight="1" x14ac:dyDescent="0.3">
      <c r="A360" s="31">
        <v>0</v>
      </c>
      <c r="B360" s="31">
        <v>2</v>
      </c>
      <c r="C360" s="31">
        <v>4</v>
      </c>
      <c r="D360" s="32" t="s">
        <v>916</v>
      </c>
      <c r="E360" s="32" t="s">
        <v>909</v>
      </c>
      <c r="F360" s="32" t="s">
        <v>779</v>
      </c>
      <c r="G360" s="32" t="s">
        <v>283</v>
      </c>
      <c r="H360" s="32" t="s">
        <v>352</v>
      </c>
      <c r="I360" s="31" t="s">
        <v>943</v>
      </c>
      <c r="J360" s="31">
        <v>4</v>
      </c>
      <c r="K360" s="33" t="s">
        <v>710</v>
      </c>
      <c r="L360" s="33" t="s">
        <v>693</v>
      </c>
      <c r="M360" s="34" t="s">
        <v>1417</v>
      </c>
      <c r="N360" s="34" t="s">
        <v>1746</v>
      </c>
      <c r="O360" s="35">
        <v>1</v>
      </c>
      <c r="P360" s="35"/>
      <c r="Q360" s="32"/>
      <c r="S360" s="1">
        <f t="shared" si="235"/>
        <v>0</v>
      </c>
      <c r="T360" s="1">
        <f t="shared" si="236"/>
        <v>0</v>
      </c>
      <c r="U360" s="1">
        <f t="shared" si="237"/>
        <v>0</v>
      </c>
      <c r="V360" s="1">
        <f t="shared" si="238"/>
        <v>1</v>
      </c>
      <c r="W360" s="1">
        <f t="shared" si="239"/>
        <v>0</v>
      </c>
      <c r="X360" s="1">
        <f t="shared" si="240"/>
        <v>0</v>
      </c>
      <c r="Y360" s="1">
        <f t="shared" si="241"/>
        <v>0</v>
      </c>
      <c r="Z360" s="1">
        <f t="shared" si="242"/>
        <v>0</v>
      </c>
      <c r="AA360" s="1">
        <f t="shared" si="243"/>
        <v>0</v>
      </c>
      <c r="AB360" s="1">
        <f t="shared" si="244"/>
        <v>0</v>
      </c>
      <c r="AD360" s="1">
        <f t="shared" si="245"/>
        <v>0</v>
      </c>
      <c r="AE360" s="1">
        <f t="shared" si="246"/>
        <v>1</v>
      </c>
      <c r="AF360" s="1">
        <f t="shared" si="231"/>
        <v>0</v>
      </c>
      <c r="AG360" s="1">
        <f t="shared" si="232"/>
        <v>1</v>
      </c>
      <c r="AH360" s="1">
        <f t="shared" si="233"/>
        <v>0</v>
      </c>
      <c r="AI360" s="1">
        <f t="shared" si="234"/>
        <v>1</v>
      </c>
    </row>
    <row r="361" spans="1:35" s="1" customFormat="1" ht="14.25" customHeight="1" x14ac:dyDescent="0.3">
      <c r="A361" s="15">
        <v>0</v>
      </c>
      <c r="B361" s="15">
        <v>2</v>
      </c>
      <c r="C361" s="15">
        <v>4</v>
      </c>
      <c r="D361" s="16" t="s">
        <v>626</v>
      </c>
      <c r="E361" s="16" t="s">
        <v>682</v>
      </c>
      <c r="F361" s="16" t="s">
        <v>667</v>
      </c>
      <c r="G361" s="16" t="s">
        <v>625</v>
      </c>
      <c r="H361" s="16" t="s">
        <v>352</v>
      </c>
      <c r="I361" s="15" t="s">
        <v>627</v>
      </c>
      <c r="J361" s="15">
        <v>99</v>
      </c>
      <c r="K361" s="10" t="s">
        <v>952</v>
      </c>
      <c r="L361" s="10" t="s">
        <v>39</v>
      </c>
      <c r="M361" s="19" t="s">
        <v>39</v>
      </c>
      <c r="N361" s="17"/>
      <c r="Q361" s="20" t="s">
        <v>1894</v>
      </c>
      <c r="S361" s="1">
        <f t="shared" si="235"/>
        <v>0</v>
      </c>
      <c r="T361" s="1">
        <f t="shared" si="236"/>
        <v>0</v>
      </c>
      <c r="U361" s="1">
        <f t="shared" si="237"/>
        <v>0</v>
      </c>
      <c r="V361" s="1">
        <f t="shared" si="238"/>
        <v>0</v>
      </c>
      <c r="W361" s="1">
        <f t="shared" si="239"/>
        <v>0</v>
      </c>
      <c r="X361" s="1">
        <f t="shared" si="240"/>
        <v>0</v>
      </c>
      <c r="Y361" s="1">
        <f t="shared" si="241"/>
        <v>0</v>
      </c>
      <c r="Z361" s="1">
        <f t="shared" si="242"/>
        <v>0</v>
      </c>
      <c r="AA361" s="1">
        <f t="shared" si="243"/>
        <v>0</v>
      </c>
      <c r="AB361" s="1">
        <f t="shared" si="244"/>
        <v>0</v>
      </c>
      <c r="AD361" s="1">
        <f t="shared" si="245"/>
        <v>0</v>
      </c>
      <c r="AE361" s="1">
        <f t="shared" si="246"/>
        <v>0</v>
      </c>
      <c r="AF361" s="1">
        <f t="shared" si="231"/>
        <v>0</v>
      </c>
      <c r="AG361" s="1">
        <f t="shared" si="232"/>
        <v>0</v>
      </c>
      <c r="AH361" s="1">
        <f t="shared" si="233"/>
        <v>0</v>
      </c>
      <c r="AI361" s="1">
        <f t="shared" si="234"/>
        <v>1</v>
      </c>
    </row>
    <row r="362" spans="1:35" s="1" customFormat="1" ht="14.25" customHeight="1" x14ac:dyDescent="0.3">
      <c r="A362" s="31">
        <v>0</v>
      </c>
      <c r="B362" s="31">
        <v>2</v>
      </c>
      <c r="C362" s="31">
        <v>4</v>
      </c>
      <c r="D362" s="32" t="s">
        <v>84</v>
      </c>
      <c r="E362" s="32" t="s">
        <v>35</v>
      </c>
      <c r="F362" s="32" t="s">
        <v>276</v>
      </c>
      <c r="G362" s="32" t="s">
        <v>223</v>
      </c>
      <c r="H362" s="32" t="s">
        <v>352</v>
      </c>
      <c r="I362" s="31" t="s">
        <v>431</v>
      </c>
      <c r="J362" s="31">
        <v>99</v>
      </c>
      <c r="K362" s="33" t="s">
        <v>951</v>
      </c>
      <c r="L362" s="33" t="s">
        <v>701</v>
      </c>
      <c r="M362" s="34" t="s">
        <v>723</v>
      </c>
      <c r="N362" s="34" t="s">
        <v>1758</v>
      </c>
      <c r="O362" s="35">
        <v>1</v>
      </c>
      <c r="P362" s="35"/>
      <c r="Q362" s="32"/>
      <c r="S362" s="1">
        <f t="shared" si="235"/>
        <v>0</v>
      </c>
      <c r="T362" s="1">
        <f t="shared" si="236"/>
        <v>0</v>
      </c>
      <c r="U362" s="1">
        <f t="shared" si="237"/>
        <v>0</v>
      </c>
      <c r="V362" s="1">
        <f t="shared" si="238"/>
        <v>0</v>
      </c>
      <c r="W362" s="1">
        <f t="shared" si="239"/>
        <v>0</v>
      </c>
      <c r="X362" s="1">
        <f t="shared" si="240"/>
        <v>0</v>
      </c>
      <c r="Y362" s="1">
        <f t="shared" si="241"/>
        <v>0</v>
      </c>
      <c r="Z362" s="1">
        <f t="shared" si="242"/>
        <v>0</v>
      </c>
      <c r="AA362" s="1">
        <f t="shared" si="243"/>
        <v>0</v>
      </c>
      <c r="AB362" s="1">
        <f t="shared" si="244"/>
        <v>0</v>
      </c>
      <c r="AD362" s="1">
        <f t="shared" si="245"/>
        <v>0</v>
      </c>
      <c r="AE362" s="1">
        <f t="shared" si="246"/>
        <v>1</v>
      </c>
      <c r="AF362" s="1">
        <f t="shared" si="231"/>
        <v>0</v>
      </c>
      <c r="AG362" s="1">
        <f t="shared" si="232"/>
        <v>1</v>
      </c>
      <c r="AH362" s="1">
        <f t="shared" si="233"/>
        <v>0</v>
      </c>
      <c r="AI362" s="1">
        <f t="shared" si="234"/>
        <v>1</v>
      </c>
    </row>
    <row r="363" spans="1:35" s="1" customFormat="1" ht="14.25" customHeight="1" x14ac:dyDescent="0.3">
      <c r="A363" s="15">
        <v>0</v>
      </c>
      <c r="B363" s="15">
        <v>2</v>
      </c>
      <c r="C363" s="15">
        <v>4</v>
      </c>
      <c r="D363" s="16" t="s">
        <v>876</v>
      </c>
      <c r="E363" s="16" t="s">
        <v>769</v>
      </c>
      <c r="F363" s="16" t="s">
        <v>874</v>
      </c>
      <c r="G363" s="16" t="s">
        <v>278</v>
      </c>
      <c r="H363" s="16" t="s">
        <v>352</v>
      </c>
      <c r="I363" s="15" t="s">
        <v>875</v>
      </c>
      <c r="J363" s="15">
        <v>99</v>
      </c>
      <c r="K363" s="10" t="s">
        <v>700</v>
      </c>
      <c r="L363" s="10">
        <v>25</v>
      </c>
      <c r="M363" s="19" t="s">
        <v>1418</v>
      </c>
      <c r="N363" s="19"/>
      <c r="Q363" s="16"/>
      <c r="S363" s="1">
        <f t="shared" si="235"/>
        <v>0</v>
      </c>
      <c r="T363" s="1">
        <f t="shared" si="236"/>
        <v>0</v>
      </c>
      <c r="U363" s="1">
        <f t="shared" si="237"/>
        <v>0</v>
      </c>
      <c r="V363" s="1">
        <f t="shared" si="238"/>
        <v>0</v>
      </c>
      <c r="W363" s="1">
        <f t="shared" si="239"/>
        <v>0</v>
      </c>
      <c r="X363" s="1">
        <f t="shared" si="240"/>
        <v>0</v>
      </c>
      <c r="Y363" s="1">
        <f t="shared" si="241"/>
        <v>0</v>
      </c>
      <c r="Z363" s="1">
        <f t="shared" si="242"/>
        <v>0</v>
      </c>
      <c r="AA363" s="1">
        <f t="shared" si="243"/>
        <v>0</v>
      </c>
      <c r="AB363" s="1">
        <f t="shared" si="244"/>
        <v>0</v>
      </c>
      <c r="AD363" s="1">
        <f t="shared" si="245"/>
        <v>0</v>
      </c>
      <c r="AE363" s="1">
        <f t="shared" si="246"/>
        <v>0</v>
      </c>
      <c r="AF363" s="1">
        <f t="shared" si="231"/>
        <v>0</v>
      </c>
      <c r="AG363" s="1">
        <f t="shared" si="232"/>
        <v>0</v>
      </c>
      <c r="AH363" s="1">
        <f t="shared" si="233"/>
        <v>0</v>
      </c>
      <c r="AI363" s="1">
        <f t="shared" si="234"/>
        <v>1</v>
      </c>
    </row>
    <row r="364" spans="1:35" s="1" customFormat="1" ht="14.25" customHeight="1" x14ac:dyDescent="0.3">
      <c r="A364" s="31">
        <v>0</v>
      </c>
      <c r="B364" s="31">
        <v>2</v>
      </c>
      <c r="C364" s="31">
        <v>4</v>
      </c>
      <c r="D364" s="32" t="s">
        <v>919</v>
      </c>
      <c r="E364" s="32" t="s">
        <v>769</v>
      </c>
      <c r="F364" s="32" t="s">
        <v>841</v>
      </c>
      <c r="G364" s="32" t="s">
        <v>208</v>
      </c>
      <c r="H364" s="32" t="s">
        <v>352</v>
      </c>
      <c r="I364" s="31" t="s">
        <v>842</v>
      </c>
      <c r="J364" s="31">
        <v>99</v>
      </c>
      <c r="K364" s="33" t="s">
        <v>709</v>
      </c>
      <c r="L364" s="33" t="s">
        <v>701</v>
      </c>
      <c r="M364" s="34" t="s">
        <v>723</v>
      </c>
      <c r="N364" s="34" t="s">
        <v>1753</v>
      </c>
      <c r="O364" s="35">
        <v>1</v>
      </c>
      <c r="P364" s="35"/>
      <c r="Q364" s="32"/>
      <c r="S364" s="1">
        <f t="shared" si="235"/>
        <v>0</v>
      </c>
      <c r="T364" s="1">
        <f t="shared" si="236"/>
        <v>0</v>
      </c>
      <c r="U364" s="1">
        <f t="shared" si="237"/>
        <v>0</v>
      </c>
      <c r="V364" s="1">
        <f t="shared" si="238"/>
        <v>0</v>
      </c>
      <c r="W364" s="1">
        <f t="shared" si="239"/>
        <v>0</v>
      </c>
      <c r="X364" s="1">
        <f t="shared" si="240"/>
        <v>0</v>
      </c>
      <c r="Y364" s="1">
        <f t="shared" si="241"/>
        <v>0</v>
      </c>
      <c r="Z364" s="1">
        <f t="shared" si="242"/>
        <v>0</v>
      </c>
      <c r="AA364" s="1">
        <f t="shared" si="243"/>
        <v>0</v>
      </c>
      <c r="AB364" s="1">
        <f t="shared" si="244"/>
        <v>0</v>
      </c>
      <c r="AD364" s="1">
        <f t="shared" ref="AD364:AD366" si="247">+O364*P364</f>
        <v>0</v>
      </c>
      <c r="AE364" s="1">
        <f t="shared" ref="AE364:AE366" si="248">O364*(1-P364)</f>
        <v>1</v>
      </c>
      <c r="AF364" s="1">
        <f t="shared" ref="AF364:AF366" si="249">+O364*P364*(1-A364)</f>
        <v>0</v>
      </c>
      <c r="AG364" s="1">
        <f t="shared" ref="AG364:AG366" si="250">O364*(1-P364)*(1-A364)</f>
        <v>1</v>
      </c>
      <c r="AH364" s="1">
        <f t="shared" ref="AH364:AH366" si="251">+P364*(1-A364)</f>
        <v>0</v>
      </c>
      <c r="AI364" s="1">
        <f t="shared" ref="AI364:AI366" si="252">+(1-A364)*(1-P364)</f>
        <v>1</v>
      </c>
    </row>
    <row r="365" spans="1:35" s="1" customFormat="1" ht="14.25" customHeight="1" x14ac:dyDescent="0.3">
      <c r="A365" s="31">
        <v>0</v>
      </c>
      <c r="B365" s="31">
        <v>2</v>
      </c>
      <c r="C365" s="31">
        <v>4</v>
      </c>
      <c r="D365" s="32" t="s">
        <v>2025</v>
      </c>
      <c r="E365" s="32" t="s">
        <v>35</v>
      </c>
      <c r="F365" s="32" t="s">
        <v>2026</v>
      </c>
      <c r="G365" s="32" t="s">
        <v>208</v>
      </c>
      <c r="H365" s="32" t="s">
        <v>352</v>
      </c>
      <c r="I365" s="31" t="s">
        <v>2027</v>
      </c>
      <c r="J365" s="31">
        <v>99</v>
      </c>
      <c r="K365" s="33" t="s">
        <v>700</v>
      </c>
      <c r="L365" s="33">
        <v>25</v>
      </c>
      <c r="M365" s="34" t="s">
        <v>2029</v>
      </c>
      <c r="N365" s="34" t="s">
        <v>1846</v>
      </c>
      <c r="O365" s="35">
        <v>1</v>
      </c>
      <c r="P365" s="35"/>
      <c r="Q365" s="32" t="s">
        <v>2028</v>
      </c>
      <c r="S365" s="1">
        <f t="shared" si="235"/>
        <v>0</v>
      </c>
      <c r="T365" s="1">
        <f t="shared" si="236"/>
        <v>0</v>
      </c>
      <c r="U365" s="1">
        <f t="shared" si="237"/>
        <v>0</v>
      </c>
      <c r="V365" s="1">
        <f t="shared" si="238"/>
        <v>0</v>
      </c>
      <c r="W365" s="1">
        <f t="shared" si="239"/>
        <v>0</v>
      </c>
      <c r="X365" s="1">
        <f t="shared" si="240"/>
        <v>0</v>
      </c>
      <c r="Y365" s="1">
        <f t="shared" si="241"/>
        <v>0</v>
      </c>
      <c r="Z365" s="1">
        <f t="shared" si="242"/>
        <v>0</v>
      </c>
      <c r="AA365" s="1">
        <f t="shared" si="243"/>
        <v>0</v>
      </c>
      <c r="AB365" s="1">
        <f t="shared" si="244"/>
        <v>0</v>
      </c>
      <c r="AD365" s="1">
        <f t="shared" si="247"/>
        <v>0</v>
      </c>
      <c r="AE365" s="1">
        <f t="shared" si="248"/>
        <v>1</v>
      </c>
      <c r="AF365" s="1">
        <f t="shared" si="249"/>
        <v>0</v>
      </c>
      <c r="AG365" s="1">
        <f t="shared" si="250"/>
        <v>1</v>
      </c>
      <c r="AH365" s="1">
        <f t="shared" si="251"/>
        <v>0</v>
      </c>
      <c r="AI365" s="1">
        <f t="shared" si="252"/>
        <v>1</v>
      </c>
    </row>
    <row r="366" spans="1:35" s="1" customFormat="1" ht="14.25" customHeight="1" x14ac:dyDescent="0.3">
      <c r="A366" s="44">
        <v>0</v>
      </c>
      <c r="B366" s="44">
        <v>2</v>
      </c>
      <c r="C366" s="44">
        <v>4</v>
      </c>
      <c r="D366" s="45" t="s">
        <v>1220</v>
      </c>
      <c r="E366" s="45" t="s">
        <v>1219</v>
      </c>
      <c r="F366" s="45" t="s">
        <v>1221</v>
      </c>
      <c r="G366" s="45" t="s">
        <v>532</v>
      </c>
      <c r="H366" s="45" t="s">
        <v>352</v>
      </c>
      <c r="I366" s="44" t="s">
        <v>1222</v>
      </c>
      <c r="J366" s="44">
        <v>99</v>
      </c>
      <c r="K366" s="46" t="s">
        <v>710</v>
      </c>
      <c r="L366" s="46" t="s">
        <v>691</v>
      </c>
      <c r="M366" s="47" t="s">
        <v>1419</v>
      </c>
      <c r="N366" s="47" t="s">
        <v>1744</v>
      </c>
      <c r="O366" s="48"/>
      <c r="P366" s="48"/>
      <c r="Q366" s="45"/>
      <c r="S366" s="1">
        <f t="shared" si="235"/>
        <v>0</v>
      </c>
      <c r="T366" s="1">
        <f t="shared" si="236"/>
        <v>0</v>
      </c>
      <c r="U366" s="1">
        <f t="shared" si="237"/>
        <v>0</v>
      </c>
      <c r="V366" s="1">
        <f t="shared" si="238"/>
        <v>0</v>
      </c>
      <c r="W366" s="1">
        <f t="shared" si="239"/>
        <v>0</v>
      </c>
      <c r="X366" s="1">
        <f t="shared" si="240"/>
        <v>0</v>
      </c>
      <c r="Y366" s="1">
        <f t="shared" si="241"/>
        <v>0</v>
      </c>
      <c r="Z366" s="1">
        <f t="shared" si="242"/>
        <v>0</v>
      </c>
      <c r="AA366" s="1">
        <f t="shared" si="243"/>
        <v>0</v>
      </c>
      <c r="AB366" s="1">
        <f t="shared" si="244"/>
        <v>0</v>
      </c>
      <c r="AD366" s="1">
        <f t="shared" si="247"/>
        <v>0</v>
      </c>
      <c r="AE366" s="1">
        <f t="shared" si="248"/>
        <v>0</v>
      </c>
      <c r="AF366" s="1">
        <f t="shared" si="249"/>
        <v>0</v>
      </c>
      <c r="AG366" s="1">
        <f t="shared" si="250"/>
        <v>0</v>
      </c>
      <c r="AH366" s="1">
        <f t="shared" si="251"/>
        <v>0</v>
      </c>
      <c r="AI366" s="1">
        <f t="shared" si="252"/>
        <v>1</v>
      </c>
    </row>
    <row r="367" spans="1:35" s="1" customFormat="1" ht="14.25" customHeight="1" x14ac:dyDescent="0.3">
      <c r="A367" s="31">
        <v>0</v>
      </c>
      <c r="B367" s="31">
        <v>2</v>
      </c>
      <c r="C367" s="31">
        <v>4</v>
      </c>
      <c r="D367" s="32" t="s">
        <v>820</v>
      </c>
      <c r="E367" s="32" t="s">
        <v>587</v>
      </c>
      <c r="F367" s="32" t="s">
        <v>821</v>
      </c>
      <c r="G367" s="32" t="s">
        <v>934</v>
      </c>
      <c r="H367" s="32" t="s">
        <v>352</v>
      </c>
      <c r="I367" s="31" t="s">
        <v>948</v>
      </c>
      <c r="J367" s="31">
        <v>7</v>
      </c>
      <c r="K367" s="33" t="s">
        <v>709</v>
      </c>
      <c r="L367" s="33" t="s">
        <v>39</v>
      </c>
      <c r="M367" s="34" t="s">
        <v>39</v>
      </c>
      <c r="N367" s="34" t="s">
        <v>1724</v>
      </c>
      <c r="O367" s="35">
        <v>1</v>
      </c>
      <c r="P367" s="35">
        <v>1</v>
      </c>
      <c r="Q367" s="32"/>
      <c r="S367" s="1">
        <f t="shared" si="235"/>
        <v>0</v>
      </c>
      <c r="T367" s="1">
        <f t="shared" si="236"/>
        <v>0</v>
      </c>
      <c r="U367" s="1">
        <f t="shared" si="237"/>
        <v>0</v>
      </c>
      <c r="V367" s="1">
        <f t="shared" si="238"/>
        <v>0</v>
      </c>
      <c r="W367" s="1">
        <f t="shared" si="239"/>
        <v>0</v>
      </c>
      <c r="X367" s="1">
        <f t="shared" si="240"/>
        <v>0</v>
      </c>
      <c r="Y367" s="1">
        <f t="shared" si="241"/>
        <v>1</v>
      </c>
      <c r="Z367" s="1">
        <f t="shared" si="242"/>
        <v>0</v>
      </c>
      <c r="AA367" s="1">
        <f t="shared" si="243"/>
        <v>0</v>
      </c>
      <c r="AB367" s="1">
        <f t="shared" si="244"/>
        <v>0</v>
      </c>
      <c r="AD367" s="1">
        <f t="shared" si="245"/>
        <v>1</v>
      </c>
      <c r="AE367" s="1">
        <f t="shared" si="246"/>
        <v>0</v>
      </c>
      <c r="AF367" s="1">
        <f t="shared" si="231"/>
        <v>1</v>
      </c>
      <c r="AG367" s="1">
        <f t="shared" si="232"/>
        <v>0</v>
      </c>
      <c r="AH367" s="1">
        <f t="shared" si="233"/>
        <v>1</v>
      </c>
      <c r="AI367" s="1">
        <f t="shared" si="234"/>
        <v>0</v>
      </c>
    </row>
    <row r="368" spans="1:35" s="1" customFormat="1" ht="14.25" customHeight="1" x14ac:dyDescent="0.3">
      <c r="A368" s="44">
        <v>0</v>
      </c>
      <c r="B368" s="44">
        <v>2</v>
      </c>
      <c r="C368" s="44">
        <v>4</v>
      </c>
      <c r="D368" s="45" t="s">
        <v>1602</v>
      </c>
      <c r="E368" s="45" t="s">
        <v>1652</v>
      </c>
      <c r="F368" s="45" t="s">
        <v>1603</v>
      </c>
      <c r="G368" s="45" t="s">
        <v>331</v>
      </c>
      <c r="H368" s="45" t="s">
        <v>352</v>
      </c>
      <c r="I368" s="44" t="s">
        <v>30</v>
      </c>
      <c r="J368" s="44">
        <v>99</v>
      </c>
      <c r="K368" s="46" t="s">
        <v>710</v>
      </c>
      <c r="L368" s="46">
        <v>20</v>
      </c>
      <c r="M368" s="47" t="s">
        <v>39</v>
      </c>
      <c r="N368" s="47" t="s">
        <v>1738</v>
      </c>
      <c r="O368" s="48"/>
      <c r="P368" s="48"/>
      <c r="Q368" s="45"/>
      <c r="S368" s="1">
        <f t="shared" si="235"/>
        <v>0</v>
      </c>
      <c r="T368" s="1">
        <f t="shared" si="236"/>
        <v>0</v>
      </c>
      <c r="U368" s="1">
        <f t="shared" si="237"/>
        <v>0</v>
      </c>
      <c r="V368" s="1">
        <f t="shared" si="238"/>
        <v>0</v>
      </c>
      <c r="W368" s="1">
        <f t="shared" si="239"/>
        <v>0</v>
      </c>
      <c r="X368" s="1">
        <f t="shared" si="240"/>
        <v>0</v>
      </c>
      <c r="Y368" s="1">
        <f t="shared" si="241"/>
        <v>0</v>
      </c>
      <c r="Z368" s="1">
        <f t="shared" si="242"/>
        <v>0</v>
      </c>
      <c r="AA368" s="1">
        <f t="shared" si="243"/>
        <v>0</v>
      </c>
      <c r="AB368" s="1">
        <f t="shared" si="244"/>
        <v>0</v>
      </c>
      <c r="AD368" s="1">
        <f t="shared" ref="AD368:AD371" si="253">+O368*P368</f>
        <v>0</v>
      </c>
      <c r="AE368" s="1">
        <f t="shared" ref="AE368:AE371" si="254">O368*(1-P368)</f>
        <v>0</v>
      </c>
      <c r="AF368" s="1">
        <f t="shared" ref="AF368:AF371" si="255">+O368*P368*(1-A368)</f>
        <v>0</v>
      </c>
      <c r="AG368" s="1">
        <f t="shared" ref="AG368:AG371" si="256">O368*(1-P368)*(1-A368)</f>
        <v>0</v>
      </c>
      <c r="AH368" s="1">
        <f t="shared" ref="AH368:AH371" si="257">+P368*(1-A368)</f>
        <v>0</v>
      </c>
      <c r="AI368" s="1">
        <f t="shared" ref="AI368:AI371" si="258">+(1-A368)*(1-P368)</f>
        <v>1</v>
      </c>
    </row>
    <row r="369" spans="1:4094 4097:8191 8194:12288 12291:16384" s="1" customFormat="1" ht="14.25" customHeight="1" x14ac:dyDescent="0.3">
      <c r="A369" s="31">
        <v>0</v>
      </c>
      <c r="B369" s="31">
        <v>2</v>
      </c>
      <c r="C369" s="31">
        <v>5</v>
      </c>
      <c r="D369" s="32" t="s">
        <v>58</v>
      </c>
      <c r="E369" s="32" t="s">
        <v>44</v>
      </c>
      <c r="F369" s="32" t="s">
        <v>668</v>
      </c>
      <c r="G369" s="32" t="s">
        <v>222</v>
      </c>
      <c r="H369" s="32" t="s">
        <v>352</v>
      </c>
      <c r="I369" s="31" t="s">
        <v>395</v>
      </c>
      <c r="J369" s="31">
        <v>8</v>
      </c>
      <c r="K369" s="33" t="s">
        <v>710</v>
      </c>
      <c r="L369" s="33" t="s">
        <v>713</v>
      </c>
      <c r="M369" s="34" t="s">
        <v>1420</v>
      </c>
      <c r="N369" s="34" t="s">
        <v>1745</v>
      </c>
      <c r="O369" s="35">
        <v>1</v>
      </c>
      <c r="P369" s="35"/>
      <c r="Q369" s="32"/>
      <c r="S369" s="1">
        <f t="shared" si="235"/>
        <v>0</v>
      </c>
      <c r="T369" s="1">
        <f t="shared" si="236"/>
        <v>0</v>
      </c>
      <c r="U369" s="1">
        <f t="shared" si="237"/>
        <v>0</v>
      </c>
      <c r="V369" s="1">
        <f t="shared" si="238"/>
        <v>0</v>
      </c>
      <c r="W369" s="1">
        <f t="shared" si="239"/>
        <v>0</v>
      </c>
      <c r="X369" s="1">
        <f t="shared" si="240"/>
        <v>0</v>
      </c>
      <c r="Y369" s="1">
        <f t="shared" si="241"/>
        <v>0</v>
      </c>
      <c r="Z369" s="1">
        <f t="shared" si="242"/>
        <v>1</v>
      </c>
      <c r="AA369" s="1">
        <f t="shared" si="243"/>
        <v>0</v>
      </c>
      <c r="AB369" s="1">
        <f t="shared" si="244"/>
        <v>0</v>
      </c>
      <c r="AD369" s="1">
        <f t="shared" si="253"/>
        <v>0</v>
      </c>
      <c r="AE369" s="1">
        <f t="shared" si="254"/>
        <v>1</v>
      </c>
      <c r="AF369" s="1">
        <f t="shared" si="255"/>
        <v>0</v>
      </c>
      <c r="AG369" s="1">
        <f t="shared" si="256"/>
        <v>1</v>
      </c>
      <c r="AH369" s="1">
        <f t="shared" si="257"/>
        <v>0</v>
      </c>
      <c r="AI369" s="1">
        <f t="shared" si="258"/>
        <v>1</v>
      </c>
    </row>
    <row r="370" spans="1:4094 4097:8191 8194:12288 12291:16384" s="1" customFormat="1" ht="14.25" customHeight="1" x14ac:dyDescent="0.3">
      <c r="A370" s="44">
        <v>0</v>
      </c>
      <c r="B370" s="44">
        <v>2</v>
      </c>
      <c r="C370" s="44">
        <v>5</v>
      </c>
      <c r="D370" s="45" t="s">
        <v>829</v>
      </c>
      <c r="E370" s="45" t="s">
        <v>828</v>
      </c>
      <c r="F370" s="45" t="s">
        <v>921</v>
      </c>
      <c r="G370" s="45" t="s">
        <v>212</v>
      </c>
      <c r="H370" s="45" t="s">
        <v>352</v>
      </c>
      <c r="I370" s="44" t="s">
        <v>830</v>
      </c>
      <c r="J370" s="44">
        <v>1</v>
      </c>
      <c r="K370" s="46" t="s">
        <v>709</v>
      </c>
      <c r="L370" s="46" t="s">
        <v>690</v>
      </c>
      <c r="M370" s="47" t="s">
        <v>1421</v>
      </c>
      <c r="N370" s="47" t="s">
        <v>1732</v>
      </c>
      <c r="O370" s="48"/>
      <c r="P370" s="48"/>
      <c r="Q370" s="45"/>
      <c r="S370" s="1">
        <f t="shared" si="235"/>
        <v>1</v>
      </c>
      <c r="T370" s="1">
        <f t="shared" si="236"/>
        <v>0</v>
      </c>
      <c r="U370" s="1">
        <f t="shared" si="237"/>
        <v>0</v>
      </c>
      <c r="V370" s="1">
        <f t="shared" si="238"/>
        <v>0</v>
      </c>
      <c r="W370" s="1">
        <f t="shared" si="239"/>
        <v>0</v>
      </c>
      <c r="X370" s="1">
        <f t="shared" si="240"/>
        <v>0</v>
      </c>
      <c r="Y370" s="1">
        <f t="shared" si="241"/>
        <v>0</v>
      </c>
      <c r="Z370" s="1">
        <f t="shared" si="242"/>
        <v>0</v>
      </c>
      <c r="AA370" s="1">
        <f t="shared" si="243"/>
        <v>0</v>
      </c>
      <c r="AB370" s="1">
        <f t="shared" si="244"/>
        <v>0</v>
      </c>
      <c r="AD370" s="1">
        <f t="shared" si="253"/>
        <v>0</v>
      </c>
      <c r="AE370" s="1">
        <f t="shared" si="254"/>
        <v>0</v>
      </c>
      <c r="AF370" s="1">
        <f t="shared" si="255"/>
        <v>0</v>
      </c>
      <c r="AG370" s="1">
        <f t="shared" si="256"/>
        <v>0</v>
      </c>
      <c r="AH370" s="1">
        <f t="shared" si="257"/>
        <v>0</v>
      </c>
      <c r="AI370" s="1">
        <f t="shared" si="258"/>
        <v>1</v>
      </c>
    </row>
    <row r="371" spans="1:4094 4097:8191 8194:12288 12291:16384" s="1" customFormat="1" ht="14.25" customHeight="1" x14ac:dyDescent="0.3">
      <c r="A371" s="31">
        <v>0</v>
      </c>
      <c r="B371" s="31">
        <v>2</v>
      </c>
      <c r="C371" s="31">
        <v>5</v>
      </c>
      <c r="D371" s="36" t="s">
        <v>2058</v>
      </c>
      <c r="E371" s="36" t="s">
        <v>169</v>
      </c>
      <c r="F371" s="36" t="s">
        <v>2059</v>
      </c>
      <c r="G371" s="36" t="s">
        <v>1531</v>
      </c>
      <c r="H371" s="36" t="s">
        <v>352</v>
      </c>
      <c r="I371" s="37" t="s">
        <v>2060</v>
      </c>
      <c r="J371" s="31">
        <v>5</v>
      </c>
      <c r="K371" s="33" t="s">
        <v>700</v>
      </c>
      <c r="L371" s="33"/>
      <c r="M371" s="34"/>
      <c r="N371" s="34" t="s">
        <v>1724</v>
      </c>
      <c r="O371" s="35">
        <v>1</v>
      </c>
      <c r="P371" s="35">
        <v>1</v>
      </c>
      <c r="Q371" s="36" t="s">
        <v>2061</v>
      </c>
      <c r="S371" s="1">
        <f t="shared" si="235"/>
        <v>0</v>
      </c>
      <c r="T371" s="1">
        <f t="shared" si="236"/>
        <v>0</v>
      </c>
      <c r="U371" s="1">
        <f t="shared" si="237"/>
        <v>0</v>
      </c>
      <c r="V371" s="1">
        <f t="shared" si="238"/>
        <v>0</v>
      </c>
      <c r="W371" s="1">
        <f t="shared" si="239"/>
        <v>1</v>
      </c>
      <c r="X371" s="1">
        <f t="shared" si="240"/>
        <v>0</v>
      </c>
      <c r="Y371" s="1">
        <f t="shared" si="241"/>
        <v>0</v>
      </c>
      <c r="Z371" s="1">
        <f t="shared" si="242"/>
        <v>0</v>
      </c>
      <c r="AA371" s="1">
        <f t="shared" si="243"/>
        <v>0</v>
      </c>
      <c r="AB371" s="1">
        <f t="shared" si="244"/>
        <v>0</v>
      </c>
      <c r="AD371" s="1">
        <f t="shared" si="253"/>
        <v>1</v>
      </c>
      <c r="AE371" s="1">
        <f t="shared" si="254"/>
        <v>0</v>
      </c>
      <c r="AF371" s="1">
        <f t="shared" si="255"/>
        <v>1</v>
      </c>
      <c r="AG371" s="1">
        <f t="shared" si="256"/>
        <v>0</v>
      </c>
      <c r="AH371" s="1">
        <f t="shared" si="257"/>
        <v>1</v>
      </c>
      <c r="AI371" s="1">
        <f t="shared" si="258"/>
        <v>0</v>
      </c>
    </row>
    <row r="372" spans="1:4094 4097:8191 8194:12288 12291:16384" s="1" customFormat="1" ht="14.25" customHeight="1" x14ac:dyDescent="0.3">
      <c r="A372" s="31">
        <v>0</v>
      </c>
      <c r="B372" s="31">
        <v>2</v>
      </c>
      <c r="C372" s="31">
        <v>5</v>
      </c>
      <c r="D372" s="32" t="s">
        <v>65</v>
      </c>
      <c r="E372" s="32" t="s">
        <v>163</v>
      </c>
      <c r="F372" s="32" t="s">
        <v>544</v>
      </c>
      <c r="G372" s="32" t="s">
        <v>193</v>
      </c>
      <c r="H372" s="32" t="s">
        <v>352</v>
      </c>
      <c r="I372" s="31" t="s">
        <v>549</v>
      </c>
      <c r="J372" s="31">
        <v>9</v>
      </c>
      <c r="K372" s="33" t="s">
        <v>710</v>
      </c>
      <c r="L372" s="33" t="s">
        <v>684</v>
      </c>
      <c r="M372" s="34" t="s">
        <v>1440</v>
      </c>
      <c r="N372" s="34" t="s">
        <v>1758</v>
      </c>
      <c r="O372" s="35">
        <v>1</v>
      </c>
      <c r="P372" s="35"/>
      <c r="Q372" s="32"/>
      <c r="S372" s="1">
        <f t="shared" si="235"/>
        <v>0</v>
      </c>
      <c r="T372" s="1">
        <f t="shared" si="236"/>
        <v>0</v>
      </c>
      <c r="U372" s="1">
        <f t="shared" si="237"/>
        <v>0</v>
      </c>
      <c r="V372" s="1">
        <f t="shared" si="238"/>
        <v>0</v>
      </c>
      <c r="W372" s="1">
        <f t="shared" si="239"/>
        <v>0</v>
      </c>
      <c r="X372" s="1">
        <f t="shared" si="240"/>
        <v>0</v>
      </c>
      <c r="Y372" s="1">
        <f t="shared" si="241"/>
        <v>0</v>
      </c>
      <c r="Z372" s="1">
        <f t="shared" si="242"/>
        <v>0</v>
      </c>
      <c r="AA372" s="1">
        <f t="shared" si="243"/>
        <v>1</v>
      </c>
      <c r="AB372" s="1">
        <f t="shared" si="244"/>
        <v>0</v>
      </c>
      <c r="AD372" s="1">
        <f t="shared" si="245"/>
        <v>0</v>
      </c>
      <c r="AE372" s="1">
        <f t="shared" si="246"/>
        <v>1</v>
      </c>
      <c r="AF372" s="1">
        <f t="shared" si="231"/>
        <v>0</v>
      </c>
      <c r="AG372" s="1">
        <f t="shared" si="232"/>
        <v>1</v>
      </c>
      <c r="AH372" s="1">
        <f t="shared" si="233"/>
        <v>0</v>
      </c>
      <c r="AI372" s="1">
        <f t="shared" si="234"/>
        <v>1</v>
      </c>
    </row>
    <row r="373" spans="1:4094 4097:8191 8194:12288 12291:16384" s="1" customFormat="1" ht="14.25" customHeight="1" x14ac:dyDescent="0.3">
      <c r="A373" s="44">
        <v>0</v>
      </c>
      <c r="B373" s="44">
        <v>2</v>
      </c>
      <c r="C373" s="44">
        <v>5</v>
      </c>
      <c r="D373" s="45" t="s">
        <v>1483</v>
      </c>
      <c r="E373" s="45" t="s">
        <v>35</v>
      </c>
      <c r="F373" s="65" t="s">
        <v>1870</v>
      </c>
      <c r="G373" s="45" t="s">
        <v>221</v>
      </c>
      <c r="H373" s="45" t="s">
        <v>352</v>
      </c>
      <c r="I373" s="44" t="s">
        <v>1683</v>
      </c>
      <c r="J373" s="44">
        <v>99</v>
      </c>
      <c r="K373" s="46" t="s">
        <v>710</v>
      </c>
      <c r="L373" s="46">
        <v>25</v>
      </c>
      <c r="M373" s="47" t="s">
        <v>39</v>
      </c>
      <c r="N373" s="47" t="s">
        <v>1734</v>
      </c>
      <c r="O373" s="48"/>
      <c r="P373" s="48"/>
      <c r="Q373" s="45"/>
      <c r="S373" s="1">
        <f t="shared" si="235"/>
        <v>0</v>
      </c>
      <c r="T373" s="1">
        <f t="shared" si="236"/>
        <v>0</v>
      </c>
      <c r="U373" s="1">
        <f t="shared" si="237"/>
        <v>0</v>
      </c>
      <c r="V373" s="1">
        <f t="shared" si="238"/>
        <v>0</v>
      </c>
      <c r="W373" s="1">
        <f t="shared" si="239"/>
        <v>0</v>
      </c>
      <c r="X373" s="1">
        <f t="shared" si="240"/>
        <v>0</v>
      </c>
      <c r="Y373" s="1">
        <f t="shared" si="241"/>
        <v>0</v>
      </c>
      <c r="Z373" s="1">
        <f t="shared" si="242"/>
        <v>0</v>
      </c>
      <c r="AA373" s="1">
        <f t="shared" si="243"/>
        <v>0</v>
      </c>
      <c r="AB373" s="1">
        <f t="shared" si="244"/>
        <v>0</v>
      </c>
      <c r="AD373" s="1">
        <f t="shared" si="245"/>
        <v>0</v>
      </c>
      <c r="AE373" s="1">
        <f t="shared" si="246"/>
        <v>0</v>
      </c>
      <c r="AF373" s="1">
        <f t="shared" si="231"/>
        <v>0</v>
      </c>
      <c r="AG373" s="1">
        <f t="shared" si="232"/>
        <v>0</v>
      </c>
      <c r="AH373" s="1">
        <f t="shared" si="233"/>
        <v>0</v>
      </c>
      <c r="AI373" s="1">
        <f t="shared" si="234"/>
        <v>1</v>
      </c>
    </row>
    <row r="374" spans="1:4094 4097:8191 8194:12288 12291:16384" s="1" customFormat="1" ht="14.25" customHeight="1" x14ac:dyDescent="0.3">
      <c r="A374" s="31">
        <v>0</v>
      </c>
      <c r="B374" s="31">
        <v>2</v>
      </c>
      <c r="C374" s="31">
        <v>5</v>
      </c>
      <c r="D374" s="32" t="s">
        <v>1816</v>
      </c>
      <c r="E374" s="32" t="s">
        <v>769</v>
      </c>
      <c r="F374" s="32" t="s">
        <v>1817</v>
      </c>
      <c r="G374" s="32" t="s">
        <v>223</v>
      </c>
      <c r="H374" s="32" t="s">
        <v>352</v>
      </c>
      <c r="I374" s="31" t="s">
        <v>1818</v>
      </c>
      <c r="J374" s="31">
        <v>99</v>
      </c>
      <c r="K374" s="33" t="s">
        <v>1819</v>
      </c>
      <c r="L374" s="33">
        <v>40</v>
      </c>
      <c r="M374" s="34" t="s">
        <v>1820</v>
      </c>
      <c r="N374" s="34" t="s">
        <v>1846</v>
      </c>
      <c r="O374" s="35">
        <v>1</v>
      </c>
      <c r="P374" s="35"/>
      <c r="Q374" s="32"/>
      <c r="S374" s="1">
        <f t="shared" si="235"/>
        <v>0</v>
      </c>
      <c r="T374" s="1">
        <f t="shared" si="236"/>
        <v>0</v>
      </c>
      <c r="U374" s="1">
        <f t="shared" si="237"/>
        <v>0</v>
      </c>
      <c r="V374" s="1">
        <f t="shared" si="238"/>
        <v>0</v>
      </c>
      <c r="W374" s="1">
        <f t="shared" si="239"/>
        <v>0</v>
      </c>
      <c r="X374" s="1">
        <f t="shared" si="240"/>
        <v>0</v>
      </c>
      <c r="Y374" s="1">
        <f t="shared" si="241"/>
        <v>0</v>
      </c>
      <c r="Z374" s="1">
        <f t="shared" si="242"/>
        <v>0</v>
      </c>
      <c r="AA374" s="1">
        <f t="shared" si="243"/>
        <v>0</v>
      </c>
      <c r="AB374" s="1">
        <f t="shared" si="244"/>
        <v>0</v>
      </c>
      <c r="AD374" s="1">
        <f t="shared" si="245"/>
        <v>0</v>
      </c>
      <c r="AE374" s="1">
        <f t="shared" si="246"/>
        <v>1</v>
      </c>
      <c r="AF374" s="1">
        <f t="shared" si="231"/>
        <v>0</v>
      </c>
      <c r="AG374" s="1">
        <f t="shared" si="232"/>
        <v>1</v>
      </c>
      <c r="AH374" s="1">
        <f t="shared" si="233"/>
        <v>0</v>
      </c>
      <c r="AI374" s="1">
        <f t="shared" si="234"/>
        <v>1</v>
      </c>
    </row>
    <row r="375" spans="1:4094 4097:8191 8194:12288 12291:16384" s="1" customFormat="1" ht="14.25" customHeight="1" x14ac:dyDescent="0.3">
      <c r="A375" s="31">
        <v>0</v>
      </c>
      <c r="B375" s="31">
        <v>2</v>
      </c>
      <c r="C375" s="31">
        <v>5</v>
      </c>
      <c r="D375" s="32" t="s">
        <v>613</v>
      </c>
      <c r="E375" s="32" t="s">
        <v>683</v>
      </c>
      <c r="F375" s="32" t="s">
        <v>614</v>
      </c>
      <c r="G375" s="32" t="s">
        <v>285</v>
      </c>
      <c r="H375" s="32" t="s">
        <v>352</v>
      </c>
      <c r="I375" s="31" t="s">
        <v>615</v>
      </c>
      <c r="J375" s="31">
        <v>99</v>
      </c>
      <c r="K375" s="33" t="s">
        <v>709</v>
      </c>
      <c r="L375" s="33" t="s">
        <v>701</v>
      </c>
      <c r="M375" s="34" t="s">
        <v>1422</v>
      </c>
      <c r="N375" s="34" t="s">
        <v>1740</v>
      </c>
      <c r="O375" s="35">
        <v>1</v>
      </c>
      <c r="P375" s="35"/>
      <c r="Q375" s="32"/>
      <c r="S375" s="1">
        <f t="shared" si="235"/>
        <v>0</v>
      </c>
      <c r="T375" s="1">
        <f t="shared" si="236"/>
        <v>0</v>
      </c>
      <c r="U375" s="1">
        <f t="shared" si="237"/>
        <v>0</v>
      </c>
      <c r="V375" s="1">
        <f t="shared" si="238"/>
        <v>0</v>
      </c>
      <c r="W375" s="1">
        <f t="shared" si="239"/>
        <v>0</v>
      </c>
      <c r="X375" s="1">
        <f t="shared" si="240"/>
        <v>0</v>
      </c>
      <c r="Y375" s="1">
        <f t="shared" si="241"/>
        <v>0</v>
      </c>
      <c r="Z375" s="1">
        <f t="shared" si="242"/>
        <v>0</v>
      </c>
      <c r="AA375" s="1">
        <f t="shared" si="243"/>
        <v>0</v>
      </c>
      <c r="AB375" s="1">
        <f t="shared" si="244"/>
        <v>0</v>
      </c>
      <c r="AD375" s="1">
        <f t="shared" si="245"/>
        <v>0</v>
      </c>
      <c r="AE375" s="1">
        <f t="shared" si="246"/>
        <v>1</v>
      </c>
      <c r="AF375" s="1">
        <f t="shared" si="231"/>
        <v>0</v>
      </c>
      <c r="AG375" s="1">
        <f t="shared" si="232"/>
        <v>1</v>
      </c>
      <c r="AH375" s="1">
        <f t="shared" si="233"/>
        <v>0</v>
      </c>
      <c r="AI375" s="1">
        <f t="shared" si="234"/>
        <v>1</v>
      </c>
    </row>
    <row r="376" spans="1:4094 4097:8191 8194:12288 12291:16384" s="1" customFormat="1" ht="14.25" customHeight="1" x14ac:dyDescent="0.3">
      <c r="A376" s="44">
        <v>0</v>
      </c>
      <c r="B376" s="44">
        <v>2</v>
      </c>
      <c r="C376" s="44">
        <v>5</v>
      </c>
      <c r="D376" s="45" t="s">
        <v>1485</v>
      </c>
      <c r="E376" s="45" t="s">
        <v>769</v>
      </c>
      <c r="F376" s="45" t="s">
        <v>1486</v>
      </c>
      <c r="G376" s="45" t="s">
        <v>195</v>
      </c>
      <c r="H376" s="45" t="s">
        <v>352</v>
      </c>
      <c r="I376" s="44" t="s">
        <v>1487</v>
      </c>
      <c r="J376" s="44">
        <v>99</v>
      </c>
      <c r="K376" s="46" t="s">
        <v>951</v>
      </c>
      <c r="L376" s="46" t="s">
        <v>690</v>
      </c>
      <c r="M376" s="47" t="s">
        <v>1413</v>
      </c>
      <c r="N376" s="47" t="s">
        <v>1732</v>
      </c>
      <c r="O376" s="48"/>
      <c r="P376" s="48"/>
      <c r="Q376" s="45"/>
      <c r="R376" s="15"/>
      <c r="S376" s="15">
        <f t="shared" si="235"/>
        <v>0</v>
      </c>
      <c r="T376" s="15">
        <f t="shared" si="236"/>
        <v>0</v>
      </c>
      <c r="U376" s="15">
        <f t="shared" si="237"/>
        <v>0</v>
      </c>
      <c r="V376" s="15">
        <f t="shared" si="238"/>
        <v>0</v>
      </c>
      <c r="W376" s="15">
        <f t="shared" si="239"/>
        <v>0</v>
      </c>
      <c r="X376" s="15">
        <f t="shared" si="240"/>
        <v>0</v>
      </c>
      <c r="Y376" s="15">
        <f t="shared" si="241"/>
        <v>0</v>
      </c>
      <c r="Z376" s="15">
        <f t="shared" si="242"/>
        <v>0</v>
      </c>
      <c r="AA376" s="15">
        <f t="shared" si="243"/>
        <v>0</v>
      </c>
      <c r="AB376" s="10">
        <f t="shared" si="244"/>
        <v>0</v>
      </c>
      <c r="AC376" s="10"/>
      <c r="AD376" s="21">
        <f t="shared" si="245"/>
        <v>0</v>
      </c>
      <c r="AE376" s="21">
        <f t="shared" si="246"/>
        <v>0</v>
      </c>
      <c r="AF376" s="1">
        <f t="shared" si="231"/>
        <v>0</v>
      </c>
      <c r="AG376" s="1">
        <f t="shared" si="232"/>
        <v>0</v>
      </c>
      <c r="AH376" s="21">
        <f t="shared" si="233"/>
        <v>0</v>
      </c>
      <c r="AI376" s="15">
        <f t="shared" si="234"/>
        <v>1</v>
      </c>
      <c r="AJ376" s="15"/>
      <c r="AK376" s="15"/>
      <c r="AL376" s="15"/>
      <c r="AM376" s="15"/>
      <c r="AN376" s="15"/>
      <c r="AO376" s="15"/>
      <c r="AP376" s="15"/>
      <c r="AQ376" s="15"/>
      <c r="AR376" s="15"/>
      <c r="AS376" s="10"/>
      <c r="AT376" s="10"/>
      <c r="AU376" s="21"/>
      <c r="AV376" s="21"/>
      <c r="AY376" s="21"/>
      <c r="AZ376" s="15"/>
      <c r="BA376" s="15"/>
      <c r="BB376" s="15"/>
      <c r="BC376" s="15"/>
      <c r="BD376" s="15"/>
      <c r="BE376" s="15"/>
      <c r="BF376" s="15"/>
      <c r="BG376" s="15"/>
      <c r="BH376" s="15"/>
      <c r="BI376" s="15"/>
      <c r="BJ376" s="10"/>
      <c r="BK376" s="10"/>
      <c r="BL376" s="21"/>
      <c r="BM376" s="21"/>
      <c r="BP376" s="21"/>
      <c r="BQ376" s="15"/>
      <c r="BR376" s="15"/>
      <c r="BS376" s="15"/>
      <c r="BT376" s="15"/>
      <c r="BU376" s="15"/>
      <c r="BV376" s="15"/>
      <c r="BW376" s="15"/>
      <c r="BX376" s="15"/>
      <c r="BY376" s="15"/>
      <c r="BZ376" s="15"/>
      <c r="CA376" s="10"/>
      <c r="CB376" s="10"/>
      <c r="CC376" s="21"/>
      <c r="CD376" s="21"/>
      <c r="CG376" s="21"/>
      <c r="CH376" s="15"/>
      <c r="CI376" s="15"/>
      <c r="CJ376" s="15"/>
      <c r="CK376" s="15"/>
      <c r="CL376" s="15"/>
      <c r="CM376" s="15"/>
      <c r="CN376" s="15"/>
      <c r="CO376" s="15"/>
      <c r="CP376" s="15"/>
      <c r="CQ376" s="15"/>
      <c r="CR376" s="10"/>
      <c r="CS376" s="10"/>
      <c r="CT376" s="21"/>
      <c r="CU376" s="21"/>
      <c r="CX376" s="21"/>
      <c r="CY376" s="15"/>
      <c r="CZ376" s="15"/>
      <c r="DA376" s="15"/>
      <c r="DB376" s="15"/>
      <c r="DC376" s="15"/>
      <c r="DD376" s="15"/>
      <c r="DE376" s="15"/>
      <c r="DF376" s="15"/>
      <c r="DG376" s="15"/>
      <c r="DH376" s="15"/>
      <c r="DI376" s="10"/>
      <c r="DJ376" s="10"/>
      <c r="DK376" s="21"/>
      <c r="DL376" s="21"/>
      <c r="DO376" s="21"/>
      <c r="DP376" s="15"/>
      <c r="DQ376" s="15"/>
      <c r="DR376" s="15"/>
      <c r="DS376" s="15"/>
      <c r="DT376" s="15"/>
      <c r="DU376" s="15"/>
      <c r="DV376" s="15"/>
      <c r="DW376" s="15"/>
      <c r="DX376" s="15"/>
      <c r="DY376" s="15"/>
      <c r="DZ376" s="10"/>
      <c r="EA376" s="10"/>
      <c r="EB376" s="21"/>
      <c r="EC376" s="21"/>
      <c r="EF376" s="21"/>
      <c r="EG376" s="15"/>
      <c r="EH376" s="15"/>
      <c r="EI376" s="15"/>
      <c r="EJ376" s="15"/>
      <c r="EK376" s="15"/>
      <c r="EL376" s="15"/>
      <c r="EM376" s="15"/>
      <c r="EN376" s="15"/>
      <c r="EO376" s="15"/>
      <c r="EP376" s="15"/>
      <c r="EQ376" s="10"/>
      <c r="ER376" s="10"/>
      <c r="ES376" s="21"/>
      <c r="ET376" s="21"/>
      <c r="EW376" s="21"/>
      <c r="EX376" s="15"/>
      <c r="EY376" s="15"/>
      <c r="EZ376" s="15"/>
      <c r="FA376" s="15"/>
      <c r="FB376" s="15"/>
      <c r="FC376" s="15"/>
      <c r="FD376" s="15"/>
      <c r="FE376" s="15"/>
      <c r="FF376" s="15"/>
      <c r="FG376" s="15"/>
      <c r="FH376" s="10"/>
      <c r="FI376" s="10"/>
      <c r="FJ376" s="21"/>
      <c r="FK376" s="21"/>
      <c r="FN376" s="21"/>
      <c r="FO376" s="15"/>
      <c r="FP376" s="15"/>
      <c r="FQ376" s="15"/>
      <c r="FR376" s="15"/>
      <c r="FS376" s="15"/>
      <c r="FT376" s="15"/>
      <c r="FU376" s="15"/>
      <c r="FV376" s="15"/>
      <c r="FW376" s="15"/>
      <c r="FX376" s="15"/>
      <c r="FY376" s="10"/>
      <c r="FZ376" s="10"/>
      <c r="GA376" s="21"/>
      <c r="GB376" s="21"/>
      <c r="GE376" s="21"/>
      <c r="GF376" s="15"/>
      <c r="GG376" s="15"/>
      <c r="GH376" s="15"/>
      <c r="GI376" s="15"/>
      <c r="GJ376" s="15"/>
      <c r="GK376" s="15"/>
      <c r="GL376" s="15"/>
      <c r="GM376" s="15"/>
      <c r="GN376" s="15"/>
      <c r="GO376" s="15"/>
      <c r="GP376" s="10"/>
      <c r="GQ376" s="10"/>
      <c r="GR376" s="21"/>
      <c r="GS376" s="21"/>
      <c r="GV376" s="21"/>
      <c r="GW376" s="15"/>
      <c r="GX376" s="15"/>
      <c r="GY376" s="15"/>
      <c r="GZ376" s="15"/>
      <c r="HA376" s="15"/>
      <c r="HB376" s="15"/>
      <c r="HC376" s="15"/>
      <c r="HD376" s="15"/>
      <c r="HE376" s="15"/>
      <c r="HF376" s="15"/>
      <c r="HG376" s="10"/>
      <c r="HH376" s="10"/>
      <c r="HI376" s="21"/>
      <c r="HJ376" s="21"/>
      <c r="HM376" s="21"/>
      <c r="HN376" s="15"/>
      <c r="HO376" s="15"/>
      <c r="HP376" s="15"/>
      <c r="HQ376" s="15"/>
      <c r="HR376" s="15"/>
      <c r="HS376" s="15"/>
      <c r="HT376" s="15"/>
      <c r="HU376" s="15"/>
      <c r="HV376" s="15"/>
      <c r="HW376" s="15"/>
      <c r="HX376" s="10"/>
      <c r="HY376" s="10"/>
      <c r="HZ376" s="21"/>
      <c r="IA376" s="21"/>
      <c r="ID376" s="21"/>
      <c r="IE376" s="15"/>
      <c r="IF376" s="15"/>
      <c r="IG376" s="15"/>
      <c r="IH376" s="15"/>
      <c r="II376" s="15"/>
      <c r="IJ376" s="15"/>
      <c r="IK376" s="15"/>
      <c r="IL376" s="15"/>
      <c r="IM376" s="15"/>
      <c r="IN376" s="15"/>
      <c r="IO376" s="10"/>
      <c r="IP376" s="10"/>
      <c r="IQ376" s="21"/>
      <c r="IR376" s="21"/>
      <c r="IU376" s="21"/>
      <c r="IV376" s="15"/>
      <c r="IW376" s="15"/>
      <c r="IX376" s="15"/>
      <c r="IY376" s="15"/>
      <c r="IZ376" s="15"/>
      <c r="JA376" s="15"/>
      <c r="JB376" s="15"/>
      <c r="JC376" s="15"/>
      <c r="JD376" s="15"/>
      <c r="JE376" s="15"/>
      <c r="JF376" s="10"/>
      <c r="JG376" s="10"/>
      <c r="JH376" s="21"/>
      <c r="JI376" s="21"/>
      <c r="JL376" s="21"/>
      <c r="JM376" s="15"/>
      <c r="JN376" s="15"/>
      <c r="JO376" s="15"/>
      <c r="JP376" s="15"/>
      <c r="JQ376" s="15"/>
      <c r="JR376" s="15"/>
      <c r="JS376" s="15"/>
      <c r="JT376" s="15"/>
      <c r="JU376" s="15"/>
      <c r="JV376" s="15"/>
      <c r="JW376" s="10"/>
      <c r="JX376" s="10"/>
      <c r="JY376" s="21"/>
      <c r="JZ376" s="21"/>
      <c r="KC376" s="21"/>
      <c r="KD376" s="15"/>
      <c r="KE376" s="15"/>
      <c r="KF376" s="15"/>
      <c r="KG376" s="15"/>
      <c r="KH376" s="15"/>
      <c r="KI376" s="15"/>
      <c r="KJ376" s="15"/>
      <c r="KK376" s="15"/>
      <c r="KL376" s="15"/>
      <c r="KM376" s="15"/>
      <c r="KN376" s="10"/>
      <c r="KO376" s="10"/>
      <c r="KP376" s="21"/>
      <c r="KQ376" s="21"/>
      <c r="KT376" s="21"/>
      <c r="KU376" s="15"/>
      <c r="KV376" s="15"/>
      <c r="KW376" s="15"/>
      <c r="KX376" s="15"/>
      <c r="KY376" s="15"/>
      <c r="KZ376" s="15"/>
      <c r="LA376" s="15"/>
      <c r="LB376" s="15"/>
      <c r="LC376" s="15"/>
      <c r="LD376" s="15"/>
      <c r="LE376" s="10"/>
      <c r="LF376" s="10"/>
      <c r="LG376" s="21"/>
      <c r="LH376" s="21"/>
      <c r="LK376" s="21"/>
      <c r="LL376" s="15"/>
      <c r="LM376" s="15"/>
      <c r="LN376" s="15"/>
      <c r="LO376" s="15"/>
      <c r="LP376" s="15"/>
      <c r="LQ376" s="15"/>
      <c r="LR376" s="15"/>
      <c r="LS376" s="15"/>
      <c r="LT376" s="15"/>
      <c r="LU376" s="15"/>
      <c r="LV376" s="10"/>
      <c r="LW376" s="10"/>
      <c r="LX376" s="21"/>
      <c r="LY376" s="21"/>
      <c r="MB376" s="21"/>
      <c r="MC376" s="15"/>
      <c r="MD376" s="15"/>
      <c r="ME376" s="15"/>
      <c r="MF376" s="15"/>
      <c r="MG376" s="15"/>
      <c r="MH376" s="15"/>
      <c r="MI376" s="15"/>
      <c r="MJ376" s="15"/>
      <c r="MK376" s="15"/>
      <c r="ML376" s="15"/>
      <c r="MM376" s="10"/>
      <c r="MN376" s="10"/>
      <c r="MO376" s="21"/>
      <c r="MP376" s="21"/>
      <c r="MS376" s="21"/>
      <c r="MT376" s="15"/>
      <c r="MU376" s="15"/>
      <c r="MV376" s="15"/>
      <c r="MW376" s="15"/>
      <c r="MX376" s="15"/>
      <c r="MY376" s="15"/>
      <c r="MZ376" s="15"/>
      <c r="NA376" s="15"/>
      <c r="NB376" s="15"/>
      <c r="NC376" s="15"/>
      <c r="ND376" s="10"/>
      <c r="NE376" s="10"/>
      <c r="NF376" s="21"/>
      <c r="NG376" s="21"/>
      <c r="NJ376" s="21"/>
      <c r="NK376" s="15"/>
      <c r="NL376" s="15"/>
      <c r="NM376" s="15"/>
      <c r="NN376" s="15"/>
      <c r="NO376" s="15"/>
      <c r="NP376" s="15"/>
      <c r="NQ376" s="15"/>
      <c r="NR376" s="15"/>
      <c r="NS376" s="15"/>
      <c r="NT376" s="15"/>
      <c r="NU376" s="10"/>
      <c r="NV376" s="10"/>
      <c r="NW376" s="21"/>
      <c r="NX376" s="21"/>
      <c r="OA376" s="21"/>
      <c r="OB376" s="15"/>
      <c r="OC376" s="15"/>
      <c r="OD376" s="15"/>
      <c r="OE376" s="15"/>
      <c r="OF376" s="15"/>
      <c r="OG376" s="15"/>
      <c r="OH376" s="15"/>
      <c r="OI376" s="15"/>
      <c r="OJ376" s="15"/>
      <c r="OK376" s="15"/>
      <c r="OL376" s="10"/>
      <c r="OM376" s="10"/>
      <c r="ON376" s="21"/>
      <c r="OO376" s="21"/>
      <c r="OR376" s="21"/>
      <c r="OS376" s="15"/>
      <c r="OT376" s="15"/>
      <c r="OU376" s="15"/>
      <c r="OV376" s="15"/>
      <c r="OW376" s="15"/>
      <c r="OX376" s="15"/>
      <c r="OY376" s="15"/>
      <c r="OZ376" s="15"/>
      <c r="PA376" s="15"/>
      <c r="PB376" s="15"/>
      <c r="PC376" s="10"/>
      <c r="PD376" s="10"/>
      <c r="PE376" s="21"/>
      <c r="PF376" s="21"/>
      <c r="PI376" s="21"/>
      <c r="PJ376" s="15"/>
      <c r="PK376" s="15"/>
      <c r="PL376" s="15"/>
      <c r="PM376" s="15"/>
      <c r="PN376" s="15"/>
      <c r="PO376" s="15"/>
      <c r="PP376" s="15"/>
      <c r="PQ376" s="15"/>
      <c r="PR376" s="15"/>
      <c r="PS376" s="15"/>
      <c r="PT376" s="10"/>
      <c r="PU376" s="10"/>
      <c r="PV376" s="21"/>
      <c r="PW376" s="21"/>
      <c r="PZ376" s="21"/>
      <c r="QA376" s="15"/>
      <c r="QB376" s="15"/>
      <c r="QC376" s="15"/>
      <c r="QD376" s="15"/>
      <c r="QE376" s="15"/>
      <c r="QF376" s="15"/>
      <c r="QG376" s="15"/>
      <c r="QH376" s="15"/>
      <c r="QI376" s="15"/>
      <c r="QJ376" s="15"/>
      <c r="QK376" s="10"/>
      <c r="QL376" s="10"/>
      <c r="QM376" s="21"/>
      <c r="QN376" s="21"/>
      <c r="QQ376" s="21"/>
      <c r="QR376" s="15"/>
      <c r="QS376" s="15"/>
      <c r="QT376" s="15"/>
      <c r="QU376" s="15"/>
      <c r="QV376" s="15"/>
      <c r="QW376" s="15"/>
      <c r="QX376" s="15"/>
      <c r="QY376" s="15"/>
      <c r="QZ376" s="15"/>
      <c r="RA376" s="15"/>
      <c r="RB376" s="10"/>
      <c r="RC376" s="10"/>
      <c r="RD376" s="21"/>
      <c r="RE376" s="21"/>
      <c r="RH376" s="21"/>
      <c r="RI376" s="15"/>
      <c r="RJ376" s="15"/>
      <c r="RK376" s="15"/>
      <c r="RL376" s="15"/>
      <c r="RM376" s="15"/>
      <c r="RN376" s="15"/>
      <c r="RO376" s="15"/>
      <c r="RP376" s="15"/>
      <c r="RQ376" s="15"/>
      <c r="RR376" s="15"/>
      <c r="RS376" s="10"/>
      <c r="RT376" s="10"/>
      <c r="RU376" s="21"/>
      <c r="RV376" s="21"/>
      <c r="RY376" s="21"/>
      <c r="RZ376" s="15"/>
      <c r="SA376" s="15"/>
      <c r="SB376" s="15"/>
      <c r="SC376" s="15"/>
      <c r="SD376" s="15"/>
      <c r="SE376" s="15"/>
      <c r="SF376" s="15"/>
      <c r="SG376" s="15"/>
      <c r="SH376" s="15"/>
      <c r="SI376" s="15"/>
      <c r="SJ376" s="10"/>
      <c r="SK376" s="10"/>
      <c r="SL376" s="21"/>
      <c r="SM376" s="21"/>
      <c r="SP376" s="21"/>
      <c r="SQ376" s="15"/>
      <c r="SR376" s="15"/>
      <c r="SS376" s="15"/>
      <c r="ST376" s="15"/>
      <c r="SU376" s="15"/>
      <c r="SV376" s="15"/>
      <c r="SW376" s="15"/>
      <c r="SX376" s="15"/>
      <c r="SY376" s="15"/>
      <c r="SZ376" s="15"/>
      <c r="TA376" s="10"/>
      <c r="TB376" s="10"/>
      <c r="TC376" s="21"/>
      <c r="TD376" s="21"/>
      <c r="TG376" s="21"/>
      <c r="TH376" s="15"/>
      <c r="TI376" s="15"/>
      <c r="TJ376" s="15"/>
      <c r="TK376" s="15"/>
      <c r="TL376" s="15"/>
      <c r="TM376" s="15"/>
      <c r="TN376" s="15"/>
      <c r="TO376" s="15"/>
      <c r="TP376" s="15"/>
      <c r="TQ376" s="15"/>
      <c r="TR376" s="10"/>
      <c r="TS376" s="10"/>
      <c r="TT376" s="21"/>
      <c r="TU376" s="21"/>
      <c r="TX376" s="21"/>
      <c r="TY376" s="15"/>
      <c r="TZ376" s="15"/>
      <c r="UA376" s="15"/>
      <c r="UB376" s="15"/>
      <c r="UC376" s="15"/>
      <c r="UD376" s="15"/>
      <c r="UE376" s="15"/>
      <c r="UF376" s="15"/>
      <c r="UG376" s="15"/>
      <c r="UH376" s="15"/>
      <c r="UI376" s="10"/>
      <c r="UJ376" s="10"/>
      <c r="UK376" s="21"/>
      <c r="UL376" s="21"/>
      <c r="UO376" s="21"/>
      <c r="UP376" s="15"/>
      <c r="UQ376" s="15"/>
      <c r="UR376" s="15"/>
      <c r="US376" s="15"/>
      <c r="UT376" s="15"/>
      <c r="UU376" s="15"/>
      <c r="UV376" s="15"/>
      <c r="UW376" s="15"/>
      <c r="UX376" s="15"/>
      <c r="UY376" s="15"/>
      <c r="UZ376" s="10"/>
      <c r="VA376" s="10"/>
      <c r="VB376" s="21"/>
      <c r="VC376" s="21"/>
      <c r="VF376" s="21"/>
      <c r="VG376" s="15"/>
      <c r="VH376" s="15"/>
      <c r="VI376" s="15"/>
      <c r="VJ376" s="15"/>
      <c r="VK376" s="15"/>
      <c r="VL376" s="15"/>
      <c r="VM376" s="15"/>
      <c r="VN376" s="15"/>
      <c r="VO376" s="15"/>
      <c r="VP376" s="15"/>
      <c r="VQ376" s="10"/>
      <c r="VR376" s="10"/>
      <c r="VS376" s="21"/>
      <c r="VT376" s="21"/>
      <c r="VW376" s="21"/>
      <c r="VX376" s="15"/>
      <c r="VY376" s="15"/>
      <c r="VZ376" s="15"/>
      <c r="WA376" s="15"/>
      <c r="WB376" s="15"/>
      <c r="WC376" s="15"/>
      <c r="WD376" s="15"/>
      <c r="WE376" s="15"/>
      <c r="WF376" s="15"/>
      <c r="WG376" s="15"/>
      <c r="WH376" s="10"/>
      <c r="WI376" s="10"/>
      <c r="WJ376" s="21"/>
      <c r="WK376" s="21"/>
      <c r="WN376" s="21"/>
      <c r="WO376" s="15"/>
      <c r="WP376" s="15"/>
      <c r="WQ376" s="15"/>
      <c r="WR376" s="15"/>
      <c r="WS376" s="15"/>
      <c r="WT376" s="15"/>
      <c r="WU376" s="15"/>
      <c r="WV376" s="15"/>
      <c r="WW376" s="15"/>
      <c r="WX376" s="15"/>
      <c r="WY376" s="10"/>
      <c r="WZ376" s="10"/>
      <c r="XA376" s="21"/>
      <c r="XB376" s="21"/>
      <c r="XE376" s="21"/>
      <c r="XF376" s="15"/>
      <c r="XG376" s="15"/>
      <c r="XH376" s="15"/>
      <c r="XI376" s="15"/>
      <c r="XJ376" s="15"/>
      <c r="XK376" s="15"/>
      <c r="XL376" s="15"/>
      <c r="XM376" s="15"/>
      <c r="XN376" s="15"/>
      <c r="XO376" s="15"/>
      <c r="XP376" s="10"/>
      <c r="XQ376" s="10"/>
      <c r="XR376" s="21"/>
      <c r="XS376" s="21"/>
      <c r="XV376" s="21"/>
      <c r="XW376" s="15"/>
      <c r="XX376" s="15"/>
      <c r="XY376" s="15"/>
      <c r="XZ376" s="15"/>
      <c r="YA376" s="15"/>
      <c r="YB376" s="15"/>
      <c r="YC376" s="15"/>
      <c r="YD376" s="15"/>
      <c r="YE376" s="15"/>
      <c r="YF376" s="15"/>
      <c r="YG376" s="10"/>
      <c r="YH376" s="10"/>
      <c r="YI376" s="21"/>
      <c r="YJ376" s="21"/>
      <c r="YM376" s="21"/>
      <c r="YN376" s="15"/>
      <c r="YO376" s="15"/>
      <c r="YP376" s="15"/>
      <c r="YQ376" s="15"/>
      <c r="YR376" s="15"/>
      <c r="YS376" s="15"/>
      <c r="YT376" s="15"/>
      <c r="YU376" s="15"/>
      <c r="YV376" s="15"/>
      <c r="YW376" s="15"/>
      <c r="YX376" s="10"/>
      <c r="YY376" s="10"/>
      <c r="YZ376" s="21"/>
      <c r="ZA376" s="21"/>
      <c r="ZD376" s="21"/>
      <c r="ZE376" s="15"/>
      <c r="ZF376" s="15"/>
      <c r="ZG376" s="15"/>
      <c r="ZH376" s="15"/>
      <c r="ZI376" s="15"/>
      <c r="ZJ376" s="15"/>
      <c r="ZK376" s="15"/>
      <c r="ZL376" s="15"/>
      <c r="ZM376" s="15"/>
      <c r="ZN376" s="15"/>
      <c r="ZO376" s="10"/>
      <c r="ZP376" s="10"/>
      <c r="ZQ376" s="21"/>
      <c r="ZR376" s="21"/>
      <c r="ZU376" s="21"/>
      <c r="ZV376" s="15"/>
      <c r="ZW376" s="15"/>
      <c r="ZX376" s="15"/>
      <c r="ZY376" s="15"/>
      <c r="ZZ376" s="15"/>
      <c r="AAA376" s="15"/>
      <c r="AAB376" s="15"/>
      <c r="AAC376" s="15"/>
      <c r="AAD376" s="15"/>
      <c r="AAE376" s="15"/>
      <c r="AAF376" s="10"/>
      <c r="AAG376" s="10"/>
      <c r="AAH376" s="21"/>
      <c r="AAI376" s="21"/>
      <c r="AAL376" s="21"/>
      <c r="AAM376" s="15"/>
      <c r="AAN376" s="15"/>
      <c r="AAO376" s="15"/>
      <c r="AAP376" s="15"/>
      <c r="AAQ376" s="15"/>
      <c r="AAR376" s="15"/>
      <c r="AAS376" s="15"/>
      <c r="AAT376" s="15"/>
      <c r="AAU376" s="15"/>
      <c r="AAV376" s="15"/>
      <c r="AAW376" s="10"/>
      <c r="AAX376" s="10"/>
      <c r="AAY376" s="21"/>
      <c r="AAZ376" s="21"/>
      <c r="ABC376" s="21"/>
      <c r="ABD376" s="15"/>
      <c r="ABE376" s="15"/>
      <c r="ABF376" s="15"/>
      <c r="ABG376" s="15"/>
      <c r="ABH376" s="15"/>
      <c r="ABI376" s="15"/>
      <c r="ABJ376" s="15"/>
      <c r="ABK376" s="15"/>
      <c r="ABL376" s="15"/>
      <c r="ABM376" s="15"/>
      <c r="ABN376" s="10"/>
      <c r="ABO376" s="10"/>
      <c r="ABP376" s="21"/>
      <c r="ABQ376" s="21"/>
      <c r="ABT376" s="21"/>
      <c r="ABU376" s="15"/>
      <c r="ABV376" s="15"/>
      <c r="ABW376" s="15"/>
      <c r="ABX376" s="15"/>
      <c r="ABY376" s="15"/>
      <c r="ABZ376" s="15"/>
      <c r="ACA376" s="15"/>
      <c r="ACB376" s="15"/>
      <c r="ACC376" s="15"/>
      <c r="ACD376" s="15"/>
      <c r="ACE376" s="10"/>
      <c r="ACF376" s="10"/>
      <c r="ACG376" s="21"/>
      <c r="ACH376" s="21"/>
      <c r="ACK376" s="21"/>
      <c r="ACL376" s="15"/>
      <c r="ACM376" s="15"/>
      <c r="ACN376" s="15"/>
      <c r="ACO376" s="15"/>
      <c r="ACP376" s="15"/>
      <c r="ACQ376" s="15"/>
      <c r="ACR376" s="15"/>
      <c r="ACS376" s="15"/>
      <c r="ACT376" s="15"/>
      <c r="ACU376" s="15"/>
      <c r="ACV376" s="10"/>
      <c r="ACW376" s="10"/>
      <c r="ACX376" s="21"/>
      <c r="ACY376" s="21"/>
      <c r="ADB376" s="21"/>
      <c r="ADC376" s="15"/>
      <c r="ADD376" s="15"/>
      <c r="ADE376" s="15"/>
      <c r="ADF376" s="15"/>
      <c r="ADG376" s="15"/>
      <c r="ADH376" s="15"/>
      <c r="ADI376" s="15"/>
      <c r="ADJ376" s="15"/>
      <c r="ADK376" s="15"/>
      <c r="ADL376" s="15"/>
      <c r="ADM376" s="10"/>
      <c r="ADN376" s="10"/>
      <c r="ADO376" s="21"/>
      <c r="ADP376" s="21"/>
      <c r="ADS376" s="21"/>
      <c r="ADT376" s="15"/>
      <c r="ADU376" s="15"/>
      <c r="ADV376" s="15"/>
      <c r="ADW376" s="15"/>
      <c r="ADX376" s="15"/>
      <c r="ADY376" s="15"/>
      <c r="ADZ376" s="15"/>
      <c r="AEA376" s="15"/>
      <c r="AEB376" s="15"/>
      <c r="AEC376" s="15"/>
      <c r="AED376" s="10"/>
      <c r="AEE376" s="10"/>
      <c r="AEF376" s="21"/>
      <c r="AEG376" s="21"/>
      <c r="AEJ376" s="21"/>
      <c r="AEK376" s="15"/>
      <c r="AEL376" s="15"/>
      <c r="AEM376" s="15"/>
      <c r="AEN376" s="15"/>
      <c r="AEO376" s="15"/>
      <c r="AEP376" s="15"/>
      <c r="AEQ376" s="15"/>
      <c r="AER376" s="15"/>
      <c r="AES376" s="15"/>
      <c r="AET376" s="15"/>
      <c r="AEU376" s="10"/>
      <c r="AEV376" s="10"/>
      <c r="AEW376" s="21"/>
      <c r="AEX376" s="21"/>
      <c r="AFA376" s="21"/>
      <c r="AFB376" s="15"/>
      <c r="AFC376" s="15"/>
      <c r="AFD376" s="15"/>
      <c r="AFE376" s="15"/>
      <c r="AFF376" s="15"/>
      <c r="AFG376" s="15"/>
      <c r="AFH376" s="15"/>
      <c r="AFI376" s="15"/>
      <c r="AFJ376" s="15"/>
      <c r="AFK376" s="15"/>
      <c r="AFL376" s="10"/>
      <c r="AFM376" s="10"/>
      <c r="AFN376" s="21"/>
      <c r="AFO376" s="21"/>
      <c r="AFR376" s="21"/>
      <c r="AFS376" s="15"/>
      <c r="AFT376" s="15"/>
      <c r="AFU376" s="15"/>
      <c r="AFV376" s="15"/>
      <c r="AFW376" s="15"/>
      <c r="AFX376" s="15"/>
      <c r="AFY376" s="15"/>
      <c r="AFZ376" s="15"/>
      <c r="AGA376" s="15"/>
      <c r="AGB376" s="15"/>
      <c r="AGC376" s="10"/>
      <c r="AGD376" s="10"/>
      <c r="AGE376" s="21"/>
      <c r="AGF376" s="21"/>
      <c r="AGI376" s="21"/>
      <c r="AGJ376" s="15"/>
      <c r="AGK376" s="15"/>
      <c r="AGL376" s="15"/>
      <c r="AGM376" s="15"/>
      <c r="AGN376" s="15"/>
      <c r="AGO376" s="15"/>
      <c r="AGP376" s="15"/>
      <c r="AGQ376" s="15"/>
      <c r="AGR376" s="15"/>
      <c r="AGS376" s="15"/>
      <c r="AGT376" s="10"/>
      <c r="AGU376" s="10"/>
      <c r="AGV376" s="21"/>
      <c r="AGW376" s="21"/>
      <c r="AGZ376" s="21"/>
      <c r="AHA376" s="15"/>
      <c r="AHB376" s="15"/>
      <c r="AHC376" s="15"/>
      <c r="AHD376" s="15"/>
      <c r="AHE376" s="15"/>
      <c r="AHF376" s="15"/>
      <c r="AHG376" s="15"/>
      <c r="AHH376" s="15"/>
      <c r="AHI376" s="15"/>
      <c r="AHJ376" s="15"/>
      <c r="AHK376" s="10"/>
      <c r="AHL376" s="10"/>
      <c r="AHM376" s="21"/>
      <c r="AHN376" s="21"/>
      <c r="AHQ376" s="21"/>
      <c r="AHR376" s="15"/>
      <c r="AHS376" s="15"/>
      <c r="AHT376" s="15"/>
      <c r="AHU376" s="15"/>
      <c r="AHV376" s="15"/>
      <c r="AHW376" s="15"/>
      <c r="AHX376" s="15"/>
      <c r="AHY376" s="15"/>
      <c r="AHZ376" s="15"/>
      <c r="AIA376" s="15"/>
      <c r="AIB376" s="10"/>
      <c r="AIC376" s="10"/>
      <c r="AID376" s="21"/>
      <c r="AIE376" s="21"/>
      <c r="AIH376" s="21"/>
      <c r="AII376" s="15"/>
      <c r="AIJ376" s="15"/>
      <c r="AIK376" s="15"/>
      <c r="AIL376" s="15"/>
      <c r="AIM376" s="15"/>
      <c r="AIN376" s="15"/>
      <c r="AIO376" s="15"/>
      <c r="AIP376" s="15"/>
      <c r="AIQ376" s="15"/>
      <c r="AIR376" s="15"/>
      <c r="AIS376" s="10"/>
      <c r="AIT376" s="10"/>
      <c r="AIU376" s="21"/>
      <c r="AIV376" s="21"/>
      <c r="AIY376" s="21"/>
      <c r="AIZ376" s="15"/>
      <c r="AJA376" s="15"/>
      <c r="AJB376" s="15"/>
      <c r="AJC376" s="15"/>
      <c r="AJD376" s="15"/>
      <c r="AJE376" s="15"/>
      <c r="AJF376" s="15"/>
      <c r="AJG376" s="15"/>
      <c r="AJH376" s="15"/>
      <c r="AJI376" s="15"/>
      <c r="AJJ376" s="10"/>
      <c r="AJK376" s="10"/>
      <c r="AJL376" s="21"/>
      <c r="AJM376" s="21"/>
      <c r="AJP376" s="21"/>
      <c r="AJQ376" s="15"/>
      <c r="AJR376" s="15"/>
      <c r="AJS376" s="15"/>
      <c r="AJT376" s="15"/>
      <c r="AJU376" s="15"/>
      <c r="AJV376" s="15"/>
      <c r="AJW376" s="15"/>
      <c r="AJX376" s="15"/>
      <c r="AJY376" s="15"/>
      <c r="AJZ376" s="15"/>
      <c r="AKA376" s="10"/>
      <c r="AKB376" s="10"/>
      <c r="AKC376" s="21"/>
      <c r="AKD376" s="21"/>
      <c r="AKG376" s="21"/>
      <c r="AKH376" s="15"/>
      <c r="AKI376" s="15"/>
      <c r="AKJ376" s="15"/>
      <c r="AKK376" s="15"/>
      <c r="AKL376" s="15"/>
      <c r="AKM376" s="15"/>
      <c r="AKN376" s="15"/>
      <c r="AKO376" s="15"/>
      <c r="AKP376" s="15"/>
      <c r="AKQ376" s="15"/>
      <c r="AKR376" s="10"/>
      <c r="AKS376" s="10"/>
      <c r="AKT376" s="21"/>
      <c r="AKU376" s="21"/>
      <c r="AKX376" s="21"/>
      <c r="AKY376" s="15"/>
      <c r="AKZ376" s="15"/>
      <c r="ALA376" s="15"/>
      <c r="ALB376" s="15"/>
      <c r="ALC376" s="15"/>
      <c r="ALD376" s="15"/>
      <c r="ALE376" s="15"/>
      <c r="ALF376" s="15"/>
      <c r="ALG376" s="15"/>
      <c r="ALH376" s="15"/>
      <c r="ALI376" s="10"/>
      <c r="ALJ376" s="10"/>
      <c r="ALK376" s="21"/>
      <c r="ALL376" s="21"/>
      <c r="ALO376" s="21"/>
      <c r="ALP376" s="15"/>
      <c r="ALQ376" s="15"/>
      <c r="ALR376" s="15"/>
      <c r="ALS376" s="15"/>
      <c r="ALT376" s="15"/>
      <c r="ALU376" s="15"/>
      <c r="ALV376" s="15"/>
      <c r="ALW376" s="15"/>
      <c r="ALX376" s="15"/>
      <c r="ALY376" s="15"/>
      <c r="ALZ376" s="10"/>
      <c r="AMA376" s="10"/>
      <c r="AMB376" s="21"/>
      <c r="AMC376" s="21"/>
      <c r="AMF376" s="21"/>
      <c r="AMG376" s="15"/>
      <c r="AMH376" s="15"/>
      <c r="AMI376" s="15"/>
      <c r="AMJ376" s="15"/>
      <c r="AMK376" s="15"/>
      <c r="AML376" s="15"/>
      <c r="AMM376" s="15"/>
      <c r="AMN376" s="15"/>
      <c r="AMO376" s="15"/>
      <c r="AMP376" s="15"/>
      <c r="AMQ376" s="10"/>
      <c r="AMR376" s="10"/>
      <c r="AMS376" s="21"/>
      <c r="AMT376" s="21"/>
      <c r="AMW376" s="21"/>
      <c r="AMX376" s="15"/>
      <c r="AMY376" s="15"/>
      <c r="AMZ376" s="15"/>
      <c r="ANA376" s="15"/>
      <c r="ANB376" s="15"/>
      <c r="ANC376" s="15"/>
      <c r="AND376" s="15"/>
      <c r="ANE376" s="15"/>
      <c r="ANF376" s="15"/>
      <c r="ANG376" s="15"/>
      <c r="ANH376" s="10"/>
      <c r="ANI376" s="10"/>
      <c r="ANJ376" s="21"/>
      <c r="ANK376" s="21"/>
      <c r="ANN376" s="21"/>
      <c r="ANO376" s="15"/>
      <c r="ANP376" s="15"/>
      <c r="ANQ376" s="15"/>
      <c r="ANR376" s="15"/>
      <c r="ANS376" s="15"/>
      <c r="ANT376" s="15"/>
      <c r="ANU376" s="15"/>
      <c r="ANV376" s="15"/>
      <c r="ANW376" s="15"/>
      <c r="ANX376" s="15"/>
      <c r="ANY376" s="10"/>
      <c r="ANZ376" s="10"/>
      <c r="AOA376" s="21"/>
      <c r="AOB376" s="21"/>
      <c r="AOE376" s="21"/>
      <c r="AOF376" s="15"/>
      <c r="AOG376" s="15"/>
      <c r="AOH376" s="15"/>
      <c r="AOI376" s="15"/>
      <c r="AOJ376" s="15"/>
      <c r="AOK376" s="15"/>
      <c r="AOL376" s="15"/>
      <c r="AOM376" s="15"/>
      <c r="AON376" s="15"/>
      <c r="AOO376" s="15"/>
      <c r="AOP376" s="10"/>
      <c r="AOQ376" s="10"/>
      <c r="AOR376" s="21"/>
      <c r="AOS376" s="21"/>
      <c r="AOV376" s="21"/>
      <c r="AOW376" s="15"/>
      <c r="AOX376" s="15"/>
      <c r="AOY376" s="15"/>
      <c r="AOZ376" s="15"/>
      <c r="APA376" s="15"/>
      <c r="APB376" s="15"/>
      <c r="APC376" s="15"/>
      <c r="APD376" s="15"/>
      <c r="APE376" s="15"/>
      <c r="APF376" s="15"/>
      <c r="APG376" s="10"/>
      <c r="APH376" s="10"/>
      <c r="API376" s="21"/>
      <c r="APJ376" s="21"/>
      <c r="APM376" s="21"/>
      <c r="APN376" s="15"/>
      <c r="APO376" s="15"/>
      <c r="APP376" s="15"/>
      <c r="APQ376" s="15"/>
      <c r="APR376" s="15"/>
      <c r="APS376" s="15"/>
      <c r="APT376" s="15"/>
      <c r="APU376" s="15"/>
      <c r="APV376" s="15"/>
      <c r="APW376" s="15"/>
      <c r="APX376" s="10"/>
      <c r="APY376" s="10"/>
      <c r="APZ376" s="21"/>
      <c r="AQA376" s="21"/>
      <c r="AQD376" s="21"/>
      <c r="AQE376" s="15"/>
      <c r="AQF376" s="15"/>
      <c r="AQG376" s="15"/>
      <c r="AQH376" s="15"/>
      <c r="AQI376" s="15"/>
      <c r="AQJ376" s="15"/>
      <c r="AQK376" s="15"/>
      <c r="AQL376" s="15"/>
      <c r="AQM376" s="15"/>
      <c r="AQN376" s="15"/>
      <c r="AQO376" s="10"/>
      <c r="AQP376" s="10"/>
      <c r="AQQ376" s="21"/>
      <c r="AQR376" s="21"/>
      <c r="AQU376" s="21"/>
      <c r="AQV376" s="15"/>
      <c r="AQW376" s="15"/>
      <c r="AQX376" s="15"/>
      <c r="AQY376" s="15"/>
      <c r="AQZ376" s="15"/>
      <c r="ARA376" s="15"/>
      <c r="ARB376" s="15"/>
      <c r="ARC376" s="15"/>
      <c r="ARD376" s="15"/>
      <c r="ARE376" s="15"/>
      <c r="ARF376" s="10"/>
      <c r="ARG376" s="10"/>
      <c r="ARH376" s="21"/>
      <c r="ARI376" s="21"/>
      <c r="ARL376" s="21"/>
      <c r="ARM376" s="15"/>
      <c r="ARN376" s="15"/>
      <c r="ARO376" s="15"/>
      <c r="ARP376" s="15"/>
      <c r="ARQ376" s="15"/>
      <c r="ARR376" s="15"/>
      <c r="ARS376" s="15"/>
      <c r="ART376" s="15"/>
      <c r="ARU376" s="15"/>
      <c r="ARV376" s="15"/>
      <c r="ARW376" s="10"/>
      <c r="ARX376" s="10"/>
      <c r="ARY376" s="21"/>
      <c r="ARZ376" s="21"/>
      <c r="ASC376" s="21"/>
      <c r="ASD376" s="15"/>
      <c r="ASE376" s="15"/>
      <c r="ASF376" s="15"/>
      <c r="ASG376" s="15"/>
      <c r="ASH376" s="15"/>
      <c r="ASI376" s="15"/>
      <c r="ASJ376" s="15"/>
      <c r="ASK376" s="15"/>
      <c r="ASL376" s="15"/>
      <c r="ASM376" s="15"/>
      <c r="ASN376" s="10"/>
      <c r="ASO376" s="10"/>
      <c r="ASP376" s="21"/>
      <c r="ASQ376" s="21"/>
      <c r="AST376" s="21"/>
      <c r="ASU376" s="15"/>
      <c r="ASV376" s="15"/>
      <c r="ASW376" s="15"/>
      <c r="ASX376" s="15"/>
      <c r="ASY376" s="15"/>
      <c r="ASZ376" s="15"/>
      <c r="ATA376" s="15"/>
      <c r="ATB376" s="15"/>
      <c r="ATC376" s="15"/>
      <c r="ATD376" s="15"/>
      <c r="ATE376" s="10"/>
      <c r="ATF376" s="10"/>
      <c r="ATG376" s="21"/>
      <c r="ATH376" s="21"/>
      <c r="ATK376" s="21"/>
      <c r="ATL376" s="15"/>
      <c r="ATM376" s="15"/>
      <c r="ATN376" s="15"/>
      <c r="ATO376" s="15"/>
      <c r="ATP376" s="15"/>
      <c r="ATQ376" s="15"/>
      <c r="ATR376" s="15"/>
      <c r="ATS376" s="15"/>
      <c r="ATT376" s="15"/>
      <c r="ATU376" s="15"/>
      <c r="ATV376" s="10"/>
      <c r="ATW376" s="10"/>
      <c r="ATX376" s="21"/>
      <c r="ATY376" s="21"/>
      <c r="AUB376" s="21"/>
      <c r="AUC376" s="15"/>
      <c r="AUD376" s="15"/>
      <c r="AUE376" s="15"/>
      <c r="AUF376" s="15"/>
      <c r="AUG376" s="15"/>
      <c r="AUH376" s="15"/>
      <c r="AUI376" s="15"/>
      <c r="AUJ376" s="15"/>
      <c r="AUK376" s="15"/>
      <c r="AUL376" s="15"/>
      <c r="AUM376" s="10"/>
      <c r="AUN376" s="10"/>
      <c r="AUO376" s="21"/>
      <c r="AUP376" s="21"/>
      <c r="AUS376" s="21"/>
      <c r="AUT376" s="15"/>
      <c r="AUU376" s="15"/>
      <c r="AUV376" s="15"/>
      <c r="AUW376" s="15"/>
      <c r="AUX376" s="15"/>
      <c r="AUY376" s="15"/>
      <c r="AUZ376" s="15"/>
      <c r="AVA376" s="15"/>
      <c r="AVB376" s="15"/>
      <c r="AVC376" s="15"/>
      <c r="AVD376" s="10"/>
      <c r="AVE376" s="10"/>
      <c r="AVF376" s="21"/>
      <c r="AVG376" s="21"/>
      <c r="AVJ376" s="21"/>
      <c r="AVK376" s="15"/>
      <c r="AVL376" s="15"/>
      <c r="AVM376" s="15"/>
      <c r="AVN376" s="15"/>
      <c r="AVO376" s="15"/>
      <c r="AVP376" s="15"/>
      <c r="AVQ376" s="15"/>
      <c r="AVR376" s="15"/>
      <c r="AVS376" s="15"/>
      <c r="AVT376" s="15"/>
      <c r="AVU376" s="10"/>
      <c r="AVV376" s="10"/>
      <c r="AVW376" s="21"/>
      <c r="AVX376" s="21"/>
      <c r="AWA376" s="21"/>
      <c r="AWB376" s="15"/>
      <c r="AWC376" s="15"/>
      <c r="AWD376" s="15"/>
      <c r="AWE376" s="15"/>
      <c r="AWF376" s="15"/>
      <c r="AWG376" s="15"/>
      <c r="AWH376" s="15"/>
      <c r="AWI376" s="15"/>
      <c r="AWJ376" s="15"/>
      <c r="AWK376" s="15"/>
      <c r="AWL376" s="10"/>
      <c r="AWM376" s="10"/>
      <c r="AWN376" s="21"/>
      <c r="AWO376" s="21"/>
      <c r="AWR376" s="21"/>
      <c r="AWS376" s="15"/>
      <c r="AWT376" s="15"/>
      <c r="AWU376" s="15"/>
      <c r="AWV376" s="15"/>
      <c r="AWW376" s="15"/>
      <c r="AWX376" s="15"/>
      <c r="AWY376" s="15"/>
      <c r="AWZ376" s="15"/>
      <c r="AXA376" s="15"/>
      <c r="AXB376" s="15"/>
      <c r="AXC376" s="10"/>
      <c r="AXD376" s="10"/>
      <c r="AXE376" s="21"/>
      <c r="AXF376" s="21"/>
      <c r="AXI376" s="21"/>
      <c r="AXJ376" s="15"/>
      <c r="AXK376" s="15"/>
      <c r="AXL376" s="15"/>
      <c r="AXM376" s="15"/>
      <c r="AXN376" s="15"/>
      <c r="AXO376" s="15"/>
      <c r="AXP376" s="15"/>
      <c r="AXQ376" s="15"/>
      <c r="AXR376" s="15"/>
      <c r="AXS376" s="15"/>
      <c r="AXT376" s="10"/>
      <c r="AXU376" s="10"/>
      <c r="AXV376" s="21"/>
      <c r="AXW376" s="21"/>
      <c r="AXZ376" s="21"/>
      <c r="AYA376" s="15"/>
      <c r="AYB376" s="15"/>
      <c r="AYC376" s="15"/>
      <c r="AYD376" s="15"/>
      <c r="AYE376" s="15"/>
      <c r="AYF376" s="15"/>
      <c r="AYG376" s="15"/>
      <c r="AYH376" s="15"/>
      <c r="AYI376" s="15"/>
      <c r="AYJ376" s="15"/>
      <c r="AYK376" s="10"/>
      <c r="AYL376" s="10"/>
      <c r="AYM376" s="21"/>
      <c r="AYN376" s="21"/>
      <c r="AYQ376" s="21"/>
      <c r="AYR376" s="15"/>
      <c r="AYS376" s="15"/>
      <c r="AYT376" s="15"/>
      <c r="AYU376" s="15"/>
      <c r="AYV376" s="15"/>
      <c r="AYW376" s="15"/>
      <c r="AYX376" s="15"/>
      <c r="AYY376" s="15"/>
      <c r="AYZ376" s="15"/>
      <c r="AZA376" s="15"/>
      <c r="AZB376" s="10"/>
      <c r="AZC376" s="10"/>
      <c r="AZD376" s="21"/>
      <c r="AZE376" s="21"/>
      <c r="AZH376" s="21"/>
      <c r="AZI376" s="15"/>
      <c r="AZJ376" s="15"/>
      <c r="AZK376" s="15"/>
      <c r="AZL376" s="15"/>
      <c r="AZM376" s="15"/>
      <c r="AZN376" s="15"/>
      <c r="AZO376" s="15"/>
      <c r="AZP376" s="15"/>
      <c r="AZQ376" s="15"/>
      <c r="AZR376" s="15"/>
      <c r="AZS376" s="10"/>
      <c r="AZT376" s="10"/>
      <c r="AZU376" s="21"/>
      <c r="AZV376" s="21"/>
      <c r="AZY376" s="21"/>
      <c r="AZZ376" s="15"/>
      <c r="BAA376" s="15"/>
      <c r="BAB376" s="15"/>
      <c r="BAC376" s="15"/>
      <c r="BAD376" s="15"/>
      <c r="BAE376" s="15"/>
      <c r="BAF376" s="15"/>
      <c r="BAG376" s="15"/>
      <c r="BAH376" s="15"/>
      <c r="BAI376" s="15"/>
      <c r="BAJ376" s="10"/>
      <c r="BAK376" s="10"/>
      <c r="BAL376" s="21"/>
      <c r="BAM376" s="21"/>
      <c r="BAP376" s="21"/>
      <c r="BAQ376" s="15"/>
      <c r="BAR376" s="15"/>
      <c r="BAS376" s="15"/>
      <c r="BAT376" s="15"/>
      <c r="BAU376" s="15"/>
      <c r="BAV376" s="15"/>
      <c r="BAW376" s="15"/>
      <c r="BAX376" s="15"/>
      <c r="BAY376" s="15"/>
      <c r="BAZ376" s="15"/>
      <c r="BBA376" s="10"/>
      <c r="BBB376" s="10"/>
      <c r="BBC376" s="21"/>
      <c r="BBD376" s="21"/>
      <c r="BBG376" s="21"/>
      <c r="BBH376" s="15"/>
      <c r="BBI376" s="15"/>
      <c r="BBJ376" s="15"/>
      <c r="BBK376" s="15"/>
      <c r="BBL376" s="15"/>
      <c r="BBM376" s="15"/>
      <c r="BBN376" s="15"/>
      <c r="BBO376" s="15"/>
      <c r="BBP376" s="15"/>
      <c r="BBQ376" s="15"/>
      <c r="BBR376" s="10"/>
      <c r="BBS376" s="10"/>
      <c r="BBT376" s="21"/>
      <c r="BBU376" s="21"/>
      <c r="BBX376" s="21"/>
      <c r="BBY376" s="15"/>
      <c r="BBZ376" s="15"/>
      <c r="BCA376" s="15"/>
      <c r="BCB376" s="15"/>
      <c r="BCC376" s="15"/>
      <c r="BCD376" s="15"/>
      <c r="BCE376" s="15"/>
      <c r="BCF376" s="15"/>
      <c r="BCG376" s="15"/>
      <c r="BCH376" s="15"/>
      <c r="BCI376" s="10"/>
      <c r="BCJ376" s="10"/>
      <c r="BCK376" s="21"/>
      <c r="BCL376" s="21"/>
      <c r="BCO376" s="21"/>
      <c r="BCP376" s="15"/>
      <c r="BCQ376" s="15"/>
      <c r="BCR376" s="15"/>
      <c r="BCS376" s="15"/>
      <c r="BCT376" s="15"/>
      <c r="BCU376" s="15"/>
      <c r="BCV376" s="15"/>
      <c r="BCW376" s="15"/>
      <c r="BCX376" s="15"/>
      <c r="BCY376" s="15"/>
      <c r="BCZ376" s="10"/>
      <c r="BDA376" s="10"/>
      <c r="BDB376" s="21"/>
      <c r="BDC376" s="21"/>
      <c r="BDF376" s="21"/>
      <c r="BDG376" s="15"/>
      <c r="BDH376" s="15"/>
      <c r="BDI376" s="15"/>
      <c r="BDJ376" s="15"/>
      <c r="BDK376" s="15"/>
      <c r="BDL376" s="15"/>
      <c r="BDM376" s="15"/>
      <c r="BDN376" s="15"/>
      <c r="BDO376" s="15"/>
      <c r="BDP376" s="15"/>
      <c r="BDQ376" s="10"/>
      <c r="BDR376" s="10"/>
      <c r="BDS376" s="21"/>
      <c r="BDT376" s="21"/>
      <c r="BDW376" s="21"/>
      <c r="BDX376" s="15"/>
      <c r="BDY376" s="15"/>
      <c r="BDZ376" s="15"/>
      <c r="BEA376" s="15"/>
      <c r="BEB376" s="15"/>
      <c r="BEC376" s="15"/>
      <c r="BED376" s="15"/>
      <c r="BEE376" s="15"/>
      <c r="BEF376" s="15"/>
      <c r="BEG376" s="15"/>
      <c r="BEH376" s="10"/>
      <c r="BEI376" s="10"/>
      <c r="BEJ376" s="21"/>
      <c r="BEK376" s="21"/>
      <c r="BEN376" s="21"/>
      <c r="BEO376" s="15"/>
      <c r="BEP376" s="15"/>
      <c r="BEQ376" s="15"/>
      <c r="BER376" s="15"/>
      <c r="BES376" s="15"/>
      <c r="BET376" s="15"/>
      <c r="BEU376" s="15"/>
      <c r="BEV376" s="15"/>
      <c r="BEW376" s="15"/>
      <c r="BEX376" s="15"/>
      <c r="BEY376" s="10"/>
      <c r="BEZ376" s="10"/>
      <c r="BFA376" s="21"/>
      <c r="BFB376" s="21"/>
      <c r="BFE376" s="21"/>
      <c r="BFF376" s="15"/>
      <c r="BFG376" s="15"/>
      <c r="BFH376" s="15"/>
      <c r="BFI376" s="15"/>
      <c r="BFJ376" s="15"/>
      <c r="BFK376" s="15"/>
      <c r="BFL376" s="15"/>
      <c r="BFM376" s="15"/>
      <c r="BFN376" s="15"/>
      <c r="BFO376" s="15"/>
      <c r="BFP376" s="10"/>
      <c r="BFQ376" s="10"/>
      <c r="BFR376" s="21"/>
      <c r="BFS376" s="21"/>
      <c r="BFV376" s="21"/>
      <c r="BFW376" s="15"/>
      <c r="BFX376" s="15"/>
      <c r="BFY376" s="15"/>
      <c r="BFZ376" s="15"/>
      <c r="BGA376" s="15"/>
      <c r="BGB376" s="15"/>
      <c r="BGC376" s="15"/>
      <c r="BGD376" s="15"/>
      <c r="BGE376" s="15"/>
      <c r="BGF376" s="15"/>
      <c r="BGG376" s="10"/>
      <c r="BGH376" s="10"/>
      <c r="BGI376" s="21"/>
      <c r="BGJ376" s="21"/>
      <c r="BGM376" s="21"/>
      <c r="BGN376" s="15"/>
      <c r="BGO376" s="15"/>
      <c r="BGP376" s="15"/>
      <c r="BGQ376" s="15"/>
      <c r="BGR376" s="15"/>
      <c r="BGS376" s="15"/>
      <c r="BGT376" s="15"/>
      <c r="BGU376" s="15"/>
      <c r="BGV376" s="15"/>
      <c r="BGW376" s="15"/>
      <c r="BGX376" s="10"/>
      <c r="BGY376" s="10"/>
      <c r="BGZ376" s="21"/>
      <c r="BHA376" s="21"/>
      <c r="BHD376" s="21"/>
      <c r="BHE376" s="15"/>
      <c r="BHF376" s="15"/>
      <c r="BHG376" s="15"/>
      <c r="BHH376" s="15"/>
      <c r="BHI376" s="15"/>
      <c r="BHJ376" s="15"/>
      <c r="BHK376" s="15"/>
      <c r="BHL376" s="15"/>
      <c r="BHM376" s="15"/>
      <c r="BHN376" s="15"/>
      <c r="BHO376" s="10"/>
      <c r="BHP376" s="10"/>
      <c r="BHQ376" s="21"/>
      <c r="BHR376" s="21"/>
      <c r="BHU376" s="21"/>
      <c r="BHV376" s="15"/>
      <c r="BHW376" s="15"/>
      <c r="BHX376" s="15"/>
      <c r="BHY376" s="15"/>
      <c r="BHZ376" s="15"/>
      <c r="BIA376" s="15"/>
      <c r="BIB376" s="15"/>
      <c r="BIC376" s="15"/>
      <c r="BID376" s="15"/>
      <c r="BIE376" s="15"/>
      <c r="BIF376" s="10"/>
      <c r="BIG376" s="10"/>
      <c r="BIH376" s="21"/>
      <c r="BII376" s="21"/>
      <c r="BIL376" s="21"/>
      <c r="BIM376" s="15"/>
      <c r="BIN376" s="15"/>
      <c r="BIO376" s="15"/>
      <c r="BIP376" s="15"/>
      <c r="BIQ376" s="15"/>
      <c r="BIR376" s="15"/>
      <c r="BIS376" s="15"/>
      <c r="BIT376" s="15"/>
      <c r="BIU376" s="15"/>
      <c r="BIV376" s="15"/>
      <c r="BIW376" s="10"/>
      <c r="BIX376" s="10"/>
      <c r="BIY376" s="21"/>
      <c r="BIZ376" s="21"/>
      <c r="BJC376" s="21"/>
      <c r="BJD376" s="15"/>
      <c r="BJE376" s="15"/>
      <c r="BJF376" s="15"/>
      <c r="BJG376" s="15"/>
      <c r="BJH376" s="15"/>
      <c r="BJI376" s="15"/>
      <c r="BJJ376" s="15"/>
      <c r="BJK376" s="15"/>
      <c r="BJL376" s="15"/>
      <c r="BJM376" s="15"/>
      <c r="BJN376" s="10"/>
      <c r="BJO376" s="10"/>
      <c r="BJP376" s="21"/>
      <c r="BJQ376" s="21"/>
      <c r="BJT376" s="21"/>
      <c r="BJU376" s="15"/>
      <c r="BJV376" s="15"/>
      <c r="BJW376" s="15"/>
      <c r="BJX376" s="15"/>
      <c r="BJY376" s="15"/>
      <c r="BJZ376" s="15"/>
      <c r="BKA376" s="15"/>
      <c r="BKB376" s="15"/>
      <c r="BKC376" s="15"/>
      <c r="BKD376" s="15"/>
      <c r="BKE376" s="10"/>
      <c r="BKF376" s="10"/>
      <c r="BKG376" s="21"/>
      <c r="BKH376" s="21"/>
      <c r="BKK376" s="21"/>
      <c r="BKL376" s="15"/>
      <c r="BKM376" s="15"/>
      <c r="BKN376" s="15"/>
      <c r="BKO376" s="15"/>
      <c r="BKP376" s="15"/>
      <c r="BKQ376" s="15"/>
      <c r="BKR376" s="15"/>
      <c r="BKS376" s="15"/>
      <c r="BKT376" s="15"/>
      <c r="BKU376" s="15"/>
      <c r="BKV376" s="10"/>
      <c r="BKW376" s="10"/>
      <c r="BKX376" s="21"/>
      <c r="BKY376" s="21"/>
      <c r="BLB376" s="21"/>
      <c r="BLC376" s="15"/>
      <c r="BLD376" s="15"/>
      <c r="BLE376" s="15"/>
      <c r="BLF376" s="15"/>
      <c r="BLG376" s="15"/>
      <c r="BLH376" s="15"/>
      <c r="BLI376" s="15"/>
      <c r="BLJ376" s="15"/>
      <c r="BLK376" s="15"/>
      <c r="BLL376" s="15"/>
      <c r="BLM376" s="10"/>
      <c r="BLN376" s="10"/>
      <c r="BLO376" s="21"/>
      <c r="BLP376" s="21"/>
      <c r="BLS376" s="21"/>
      <c r="BLT376" s="15"/>
      <c r="BLU376" s="15"/>
      <c r="BLV376" s="15"/>
      <c r="BLW376" s="15"/>
      <c r="BLX376" s="15"/>
      <c r="BLY376" s="15"/>
      <c r="BLZ376" s="15"/>
      <c r="BMA376" s="15"/>
      <c r="BMB376" s="15"/>
      <c r="BMC376" s="15"/>
      <c r="BMD376" s="10"/>
      <c r="BME376" s="10"/>
      <c r="BMF376" s="21"/>
      <c r="BMG376" s="21"/>
      <c r="BMJ376" s="21"/>
      <c r="BMK376" s="15"/>
      <c r="BML376" s="15"/>
      <c r="BMM376" s="15"/>
      <c r="BMN376" s="15"/>
      <c r="BMO376" s="15"/>
      <c r="BMP376" s="15"/>
      <c r="BMQ376" s="15"/>
      <c r="BMR376" s="15"/>
      <c r="BMS376" s="15"/>
      <c r="BMT376" s="15"/>
      <c r="BMU376" s="10"/>
      <c r="BMV376" s="10"/>
      <c r="BMW376" s="21"/>
      <c r="BMX376" s="21"/>
      <c r="BNA376" s="21"/>
      <c r="BNB376" s="15"/>
      <c r="BNC376" s="15"/>
      <c r="BND376" s="15"/>
      <c r="BNE376" s="15"/>
      <c r="BNF376" s="15"/>
      <c r="BNG376" s="15"/>
      <c r="BNH376" s="15"/>
      <c r="BNI376" s="15"/>
      <c r="BNJ376" s="15"/>
      <c r="BNK376" s="15"/>
      <c r="BNL376" s="10"/>
      <c r="BNM376" s="10"/>
      <c r="BNN376" s="21"/>
      <c r="BNO376" s="21"/>
      <c r="BNR376" s="21"/>
      <c r="BNS376" s="15"/>
      <c r="BNT376" s="15"/>
      <c r="BNU376" s="15"/>
      <c r="BNV376" s="15"/>
      <c r="BNW376" s="15"/>
      <c r="BNX376" s="15"/>
      <c r="BNY376" s="15"/>
      <c r="BNZ376" s="15"/>
      <c r="BOA376" s="15"/>
      <c r="BOB376" s="15"/>
      <c r="BOC376" s="10"/>
      <c r="BOD376" s="10"/>
      <c r="BOE376" s="21"/>
      <c r="BOF376" s="21"/>
      <c r="BOI376" s="21"/>
      <c r="BOJ376" s="15"/>
      <c r="BOK376" s="15"/>
      <c r="BOL376" s="15"/>
      <c r="BOM376" s="15"/>
      <c r="BON376" s="15"/>
      <c r="BOO376" s="15"/>
      <c r="BOP376" s="15"/>
      <c r="BOQ376" s="15"/>
      <c r="BOR376" s="15"/>
      <c r="BOS376" s="15"/>
      <c r="BOT376" s="10"/>
      <c r="BOU376" s="10"/>
      <c r="BOV376" s="21"/>
      <c r="BOW376" s="21"/>
      <c r="BOZ376" s="21"/>
      <c r="BPA376" s="15"/>
      <c r="BPB376" s="15"/>
      <c r="BPC376" s="15"/>
      <c r="BPD376" s="15"/>
      <c r="BPE376" s="15"/>
      <c r="BPF376" s="15"/>
      <c r="BPG376" s="15"/>
      <c r="BPH376" s="15"/>
      <c r="BPI376" s="15"/>
      <c r="BPJ376" s="15"/>
      <c r="BPK376" s="10"/>
      <c r="BPL376" s="10"/>
      <c r="BPM376" s="21"/>
      <c r="BPN376" s="21"/>
      <c r="BPQ376" s="21"/>
      <c r="BPR376" s="15"/>
      <c r="BPS376" s="15"/>
      <c r="BPT376" s="15"/>
      <c r="BPU376" s="15"/>
      <c r="BPV376" s="15"/>
      <c r="BPW376" s="15"/>
      <c r="BPX376" s="15"/>
      <c r="BPY376" s="15"/>
      <c r="BPZ376" s="15"/>
      <c r="BQA376" s="15"/>
      <c r="BQB376" s="10"/>
      <c r="BQC376" s="10"/>
      <c r="BQD376" s="21"/>
      <c r="BQE376" s="21"/>
      <c r="BQH376" s="21"/>
      <c r="BQI376" s="15"/>
      <c r="BQJ376" s="15"/>
      <c r="BQK376" s="15"/>
      <c r="BQL376" s="15"/>
      <c r="BQM376" s="15"/>
      <c r="BQN376" s="15"/>
      <c r="BQO376" s="15"/>
      <c r="BQP376" s="15"/>
      <c r="BQQ376" s="15"/>
      <c r="BQR376" s="15"/>
      <c r="BQS376" s="10"/>
      <c r="BQT376" s="10"/>
      <c r="BQU376" s="21"/>
      <c r="BQV376" s="21"/>
      <c r="BQY376" s="21"/>
      <c r="BQZ376" s="15"/>
      <c r="BRA376" s="15"/>
      <c r="BRB376" s="15"/>
      <c r="BRC376" s="15"/>
      <c r="BRD376" s="15"/>
      <c r="BRE376" s="15"/>
      <c r="BRF376" s="15"/>
      <c r="BRG376" s="15"/>
      <c r="BRH376" s="15"/>
      <c r="BRI376" s="15"/>
      <c r="BRJ376" s="10"/>
      <c r="BRK376" s="10"/>
      <c r="BRL376" s="21"/>
      <c r="BRM376" s="21"/>
      <c r="BRP376" s="21"/>
      <c r="BRQ376" s="15"/>
      <c r="BRR376" s="15"/>
      <c r="BRS376" s="15"/>
      <c r="BRT376" s="15"/>
      <c r="BRU376" s="15"/>
      <c r="BRV376" s="15"/>
      <c r="BRW376" s="15"/>
      <c r="BRX376" s="15"/>
      <c r="BRY376" s="15"/>
      <c r="BRZ376" s="15"/>
      <c r="BSA376" s="10"/>
      <c r="BSB376" s="10"/>
      <c r="BSC376" s="21"/>
      <c r="BSD376" s="21"/>
      <c r="BSG376" s="21"/>
      <c r="BSH376" s="15"/>
      <c r="BSI376" s="15"/>
      <c r="BSJ376" s="15"/>
      <c r="BSK376" s="15"/>
      <c r="BSL376" s="15"/>
      <c r="BSM376" s="15"/>
      <c r="BSN376" s="15"/>
      <c r="BSO376" s="15"/>
      <c r="BSP376" s="15"/>
      <c r="BSQ376" s="15"/>
      <c r="BSR376" s="10"/>
      <c r="BSS376" s="10"/>
      <c r="BST376" s="21"/>
      <c r="BSU376" s="21"/>
      <c r="BSX376" s="21"/>
      <c r="BSY376" s="15"/>
      <c r="BSZ376" s="15"/>
      <c r="BTA376" s="15"/>
      <c r="BTB376" s="15"/>
      <c r="BTC376" s="15"/>
      <c r="BTD376" s="15"/>
      <c r="BTE376" s="15"/>
      <c r="BTF376" s="15"/>
      <c r="BTG376" s="15"/>
      <c r="BTH376" s="15"/>
      <c r="BTI376" s="10"/>
      <c r="BTJ376" s="10"/>
      <c r="BTK376" s="21"/>
      <c r="BTL376" s="21"/>
      <c r="BTO376" s="21"/>
      <c r="BTP376" s="15"/>
      <c r="BTQ376" s="15"/>
      <c r="BTR376" s="15"/>
      <c r="BTS376" s="15"/>
      <c r="BTT376" s="15"/>
      <c r="BTU376" s="15"/>
      <c r="BTV376" s="15"/>
      <c r="BTW376" s="15"/>
      <c r="BTX376" s="15"/>
      <c r="BTY376" s="15"/>
      <c r="BTZ376" s="10"/>
      <c r="BUA376" s="10"/>
      <c r="BUB376" s="21"/>
      <c r="BUC376" s="21"/>
      <c r="BUF376" s="21"/>
      <c r="BUG376" s="15"/>
      <c r="BUH376" s="15"/>
      <c r="BUI376" s="15"/>
      <c r="BUJ376" s="15"/>
      <c r="BUK376" s="15"/>
      <c r="BUL376" s="15"/>
      <c r="BUM376" s="15"/>
      <c r="BUN376" s="15"/>
      <c r="BUO376" s="15"/>
      <c r="BUP376" s="15"/>
      <c r="BUQ376" s="10"/>
      <c r="BUR376" s="10"/>
      <c r="BUS376" s="21"/>
      <c r="BUT376" s="21"/>
      <c r="BUW376" s="21"/>
      <c r="BUX376" s="15"/>
      <c r="BUY376" s="15"/>
      <c r="BUZ376" s="15"/>
      <c r="BVA376" s="15"/>
      <c r="BVB376" s="15"/>
      <c r="BVC376" s="15"/>
      <c r="BVD376" s="15"/>
      <c r="BVE376" s="15"/>
      <c r="BVF376" s="15"/>
      <c r="BVG376" s="15"/>
      <c r="BVH376" s="10"/>
      <c r="BVI376" s="10"/>
      <c r="BVJ376" s="21"/>
      <c r="BVK376" s="21"/>
      <c r="BVN376" s="21"/>
      <c r="BVO376" s="15"/>
      <c r="BVP376" s="15"/>
      <c r="BVQ376" s="15"/>
      <c r="BVR376" s="15"/>
      <c r="BVS376" s="15"/>
      <c r="BVT376" s="15"/>
      <c r="BVU376" s="15"/>
      <c r="BVV376" s="15"/>
      <c r="BVW376" s="15"/>
      <c r="BVX376" s="15"/>
      <c r="BVY376" s="10"/>
      <c r="BVZ376" s="10"/>
      <c r="BWA376" s="21"/>
      <c r="BWB376" s="21"/>
      <c r="BWE376" s="21"/>
      <c r="BWF376" s="15"/>
      <c r="BWG376" s="15"/>
      <c r="BWH376" s="15"/>
      <c r="BWI376" s="15"/>
      <c r="BWJ376" s="15"/>
      <c r="BWK376" s="15"/>
      <c r="BWL376" s="15"/>
      <c r="BWM376" s="15"/>
      <c r="BWN376" s="15"/>
      <c r="BWO376" s="15"/>
      <c r="BWP376" s="10"/>
      <c r="BWQ376" s="10"/>
      <c r="BWR376" s="21"/>
      <c r="BWS376" s="21"/>
      <c r="BWV376" s="21"/>
      <c r="BWW376" s="15"/>
      <c r="BWX376" s="15"/>
      <c r="BWY376" s="15"/>
      <c r="BWZ376" s="15"/>
      <c r="BXA376" s="15"/>
      <c r="BXB376" s="15"/>
      <c r="BXC376" s="15"/>
      <c r="BXD376" s="15"/>
      <c r="BXE376" s="15"/>
      <c r="BXF376" s="15"/>
      <c r="BXG376" s="10"/>
      <c r="BXH376" s="10"/>
      <c r="BXI376" s="21"/>
      <c r="BXJ376" s="21"/>
      <c r="BXM376" s="21"/>
      <c r="BXN376" s="15"/>
      <c r="BXO376" s="15"/>
      <c r="BXP376" s="15"/>
      <c r="BXQ376" s="15"/>
      <c r="BXR376" s="15"/>
      <c r="BXS376" s="15"/>
      <c r="BXT376" s="15"/>
      <c r="BXU376" s="15"/>
      <c r="BXV376" s="15"/>
      <c r="BXW376" s="15"/>
      <c r="BXX376" s="10"/>
      <c r="BXY376" s="10"/>
      <c r="BXZ376" s="21"/>
      <c r="BYA376" s="21"/>
      <c r="BYD376" s="21"/>
      <c r="BYE376" s="15"/>
      <c r="BYF376" s="15"/>
      <c r="BYG376" s="15"/>
      <c r="BYH376" s="15"/>
      <c r="BYI376" s="15"/>
      <c r="BYJ376" s="15"/>
      <c r="BYK376" s="15"/>
      <c r="BYL376" s="15"/>
      <c r="BYM376" s="15"/>
      <c r="BYN376" s="15"/>
      <c r="BYO376" s="10"/>
      <c r="BYP376" s="10"/>
      <c r="BYQ376" s="21"/>
      <c r="BYR376" s="21"/>
      <c r="BYU376" s="21"/>
      <c r="BYV376" s="15"/>
      <c r="BYW376" s="15"/>
      <c r="BYX376" s="15"/>
      <c r="BYY376" s="15"/>
      <c r="BYZ376" s="15"/>
      <c r="BZA376" s="15"/>
      <c r="BZB376" s="15"/>
      <c r="BZC376" s="15"/>
      <c r="BZD376" s="15"/>
      <c r="BZE376" s="15"/>
      <c r="BZF376" s="10"/>
      <c r="BZG376" s="10"/>
      <c r="BZH376" s="21"/>
      <c r="BZI376" s="21"/>
      <c r="BZL376" s="21"/>
      <c r="BZM376" s="15"/>
      <c r="BZN376" s="15"/>
      <c r="BZO376" s="15"/>
      <c r="BZP376" s="15"/>
      <c r="BZQ376" s="15"/>
      <c r="BZR376" s="15"/>
      <c r="BZS376" s="15"/>
      <c r="BZT376" s="15"/>
      <c r="BZU376" s="15"/>
      <c r="BZV376" s="15"/>
      <c r="BZW376" s="10"/>
      <c r="BZX376" s="10"/>
      <c r="BZY376" s="21"/>
      <c r="BZZ376" s="21"/>
      <c r="CAC376" s="21"/>
      <c r="CAD376" s="15"/>
      <c r="CAE376" s="15"/>
      <c r="CAF376" s="15"/>
      <c r="CAG376" s="15"/>
      <c r="CAH376" s="15"/>
      <c r="CAI376" s="15"/>
      <c r="CAJ376" s="15"/>
      <c r="CAK376" s="15"/>
      <c r="CAL376" s="15"/>
      <c r="CAM376" s="15"/>
      <c r="CAN376" s="10"/>
      <c r="CAO376" s="10"/>
      <c r="CAP376" s="21"/>
      <c r="CAQ376" s="21"/>
      <c r="CAT376" s="21"/>
      <c r="CAU376" s="15"/>
      <c r="CAV376" s="15"/>
      <c r="CAW376" s="15"/>
      <c r="CAX376" s="15"/>
      <c r="CAY376" s="15"/>
      <c r="CAZ376" s="15"/>
      <c r="CBA376" s="15"/>
      <c r="CBB376" s="15"/>
      <c r="CBC376" s="15"/>
      <c r="CBD376" s="15"/>
      <c r="CBE376" s="10"/>
      <c r="CBF376" s="10"/>
      <c r="CBG376" s="21"/>
      <c r="CBH376" s="21"/>
      <c r="CBK376" s="21"/>
      <c r="CBL376" s="15"/>
      <c r="CBM376" s="15"/>
      <c r="CBN376" s="15"/>
      <c r="CBO376" s="15"/>
      <c r="CBP376" s="15"/>
      <c r="CBQ376" s="15"/>
      <c r="CBR376" s="15"/>
      <c r="CBS376" s="15"/>
      <c r="CBT376" s="15"/>
      <c r="CBU376" s="15"/>
      <c r="CBV376" s="10"/>
      <c r="CBW376" s="10"/>
      <c r="CBX376" s="21"/>
      <c r="CBY376" s="21"/>
      <c r="CCB376" s="21"/>
      <c r="CCC376" s="15"/>
      <c r="CCD376" s="15"/>
      <c r="CCE376" s="15"/>
      <c r="CCF376" s="15"/>
      <c r="CCG376" s="15"/>
      <c r="CCH376" s="15"/>
      <c r="CCI376" s="15"/>
      <c r="CCJ376" s="15"/>
      <c r="CCK376" s="15"/>
      <c r="CCL376" s="15"/>
      <c r="CCM376" s="10"/>
      <c r="CCN376" s="10"/>
      <c r="CCO376" s="21"/>
      <c r="CCP376" s="21"/>
      <c r="CCS376" s="21"/>
      <c r="CCT376" s="15"/>
      <c r="CCU376" s="15"/>
      <c r="CCV376" s="15"/>
      <c r="CCW376" s="15"/>
      <c r="CCX376" s="15"/>
      <c r="CCY376" s="15"/>
      <c r="CCZ376" s="15"/>
      <c r="CDA376" s="15"/>
      <c r="CDB376" s="15"/>
      <c r="CDC376" s="15"/>
      <c r="CDD376" s="10"/>
      <c r="CDE376" s="10"/>
      <c r="CDF376" s="21"/>
      <c r="CDG376" s="21"/>
      <c r="CDJ376" s="21"/>
      <c r="CDK376" s="15"/>
      <c r="CDL376" s="15"/>
      <c r="CDM376" s="15"/>
      <c r="CDN376" s="15"/>
      <c r="CDO376" s="15"/>
      <c r="CDP376" s="15"/>
      <c r="CDQ376" s="15"/>
      <c r="CDR376" s="15"/>
      <c r="CDS376" s="15"/>
      <c r="CDT376" s="15"/>
      <c r="CDU376" s="10"/>
      <c r="CDV376" s="10"/>
      <c r="CDW376" s="21"/>
      <c r="CDX376" s="21"/>
      <c r="CEA376" s="21"/>
      <c r="CEB376" s="15"/>
      <c r="CEC376" s="15"/>
      <c r="CED376" s="15"/>
      <c r="CEE376" s="15"/>
      <c r="CEF376" s="15"/>
      <c r="CEG376" s="15"/>
      <c r="CEH376" s="15"/>
      <c r="CEI376" s="15"/>
      <c r="CEJ376" s="15"/>
      <c r="CEK376" s="15"/>
      <c r="CEL376" s="10"/>
      <c r="CEM376" s="10"/>
      <c r="CEN376" s="21"/>
      <c r="CEO376" s="21"/>
      <c r="CER376" s="21"/>
      <c r="CES376" s="15"/>
      <c r="CET376" s="15"/>
      <c r="CEU376" s="15"/>
      <c r="CEV376" s="15"/>
      <c r="CEW376" s="15"/>
      <c r="CEX376" s="15"/>
      <c r="CEY376" s="15"/>
      <c r="CEZ376" s="15"/>
      <c r="CFA376" s="15"/>
      <c r="CFB376" s="15"/>
      <c r="CFC376" s="10"/>
      <c r="CFD376" s="10"/>
      <c r="CFE376" s="21"/>
      <c r="CFF376" s="21"/>
      <c r="CFI376" s="21"/>
      <c r="CFJ376" s="15"/>
      <c r="CFK376" s="15"/>
      <c r="CFL376" s="15"/>
      <c r="CFM376" s="15"/>
      <c r="CFN376" s="15"/>
      <c r="CFO376" s="15"/>
      <c r="CFP376" s="15"/>
      <c r="CFQ376" s="15"/>
      <c r="CFR376" s="15"/>
      <c r="CFS376" s="15"/>
      <c r="CFT376" s="10"/>
      <c r="CFU376" s="10"/>
      <c r="CFV376" s="21"/>
      <c r="CFW376" s="21"/>
      <c r="CFZ376" s="21"/>
      <c r="CGA376" s="15"/>
      <c r="CGB376" s="15"/>
      <c r="CGC376" s="15"/>
      <c r="CGD376" s="15"/>
      <c r="CGE376" s="15"/>
      <c r="CGF376" s="15"/>
      <c r="CGG376" s="15"/>
      <c r="CGH376" s="15"/>
      <c r="CGI376" s="15"/>
      <c r="CGJ376" s="15"/>
      <c r="CGK376" s="10"/>
      <c r="CGL376" s="10"/>
      <c r="CGM376" s="21"/>
      <c r="CGN376" s="21"/>
      <c r="CGQ376" s="21"/>
      <c r="CGR376" s="15"/>
      <c r="CGS376" s="15"/>
      <c r="CGT376" s="15"/>
      <c r="CGU376" s="15"/>
      <c r="CGV376" s="15"/>
      <c r="CGW376" s="15"/>
      <c r="CGX376" s="15"/>
      <c r="CGY376" s="15"/>
      <c r="CGZ376" s="15"/>
      <c r="CHA376" s="15"/>
      <c r="CHB376" s="10"/>
      <c r="CHC376" s="10"/>
      <c r="CHD376" s="21"/>
      <c r="CHE376" s="21"/>
      <c r="CHH376" s="21"/>
      <c r="CHI376" s="15"/>
      <c r="CHJ376" s="15"/>
      <c r="CHK376" s="15"/>
      <c r="CHL376" s="15"/>
      <c r="CHM376" s="15"/>
      <c r="CHN376" s="15"/>
      <c r="CHO376" s="15"/>
      <c r="CHP376" s="15"/>
      <c r="CHQ376" s="15"/>
      <c r="CHR376" s="15"/>
      <c r="CHS376" s="10"/>
      <c r="CHT376" s="10"/>
      <c r="CHU376" s="21"/>
      <c r="CHV376" s="21"/>
      <c r="CHY376" s="21"/>
      <c r="CHZ376" s="15"/>
      <c r="CIA376" s="15"/>
      <c r="CIB376" s="15"/>
      <c r="CIC376" s="15"/>
      <c r="CID376" s="15"/>
      <c r="CIE376" s="15"/>
      <c r="CIF376" s="15"/>
      <c r="CIG376" s="15"/>
      <c r="CIH376" s="15"/>
      <c r="CII376" s="15"/>
      <c r="CIJ376" s="10"/>
      <c r="CIK376" s="10"/>
      <c r="CIL376" s="21"/>
      <c r="CIM376" s="21"/>
      <c r="CIP376" s="21"/>
      <c r="CIQ376" s="15"/>
      <c r="CIR376" s="15"/>
      <c r="CIS376" s="15"/>
      <c r="CIT376" s="15"/>
      <c r="CIU376" s="15"/>
      <c r="CIV376" s="15"/>
      <c r="CIW376" s="15"/>
      <c r="CIX376" s="15"/>
      <c r="CIY376" s="15"/>
      <c r="CIZ376" s="15"/>
      <c r="CJA376" s="10"/>
      <c r="CJB376" s="10"/>
      <c r="CJC376" s="21"/>
      <c r="CJD376" s="21"/>
      <c r="CJG376" s="21"/>
      <c r="CJH376" s="15"/>
      <c r="CJI376" s="15"/>
      <c r="CJJ376" s="15"/>
      <c r="CJK376" s="15"/>
      <c r="CJL376" s="15"/>
      <c r="CJM376" s="15"/>
      <c r="CJN376" s="15"/>
      <c r="CJO376" s="15"/>
      <c r="CJP376" s="15"/>
      <c r="CJQ376" s="15"/>
      <c r="CJR376" s="10"/>
      <c r="CJS376" s="10"/>
      <c r="CJT376" s="21"/>
      <c r="CJU376" s="21"/>
      <c r="CJX376" s="21"/>
      <c r="CJY376" s="15"/>
      <c r="CJZ376" s="15"/>
      <c r="CKA376" s="15"/>
      <c r="CKB376" s="15"/>
      <c r="CKC376" s="15"/>
      <c r="CKD376" s="15"/>
      <c r="CKE376" s="15"/>
      <c r="CKF376" s="15"/>
      <c r="CKG376" s="15"/>
      <c r="CKH376" s="15"/>
      <c r="CKI376" s="10"/>
      <c r="CKJ376" s="10"/>
      <c r="CKK376" s="21"/>
      <c r="CKL376" s="21"/>
      <c r="CKO376" s="21"/>
      <c r="CKP376" s="15"/>
      <c r="CKQ376" s="15"/>
      <c r="CKR376" s="15"/>
      <c r="CKS376" s="15"/>
      <c r="CKT376" s="15"/>
      <c r="CKU376" s="15"/>
      <c r="CKV376" s="15"/>
      <c r="CKW376" s="15"/>
      <c r="CKX376" s="15"/>
      <c r="CKY376" s="15"/>
      <c r="CKZ376" s="10"/>
      <c r="CLA376" s="10"/>
      <c r="CLB376" s="21"/>
      <c r="CLC376" s="21"/>
      <c r="CLF376" s="21"/>
      <c r="CLG376" s="15"/>
      <c r="CLH376" s="15"/>
      <c r="CLI376" s="15"/>
      <c r="CLJ376" s="15"/>
      <c r="CLK376" s="15"/>
      <c r="CLL376" s="15"/>
      <c r="CLM376" s="15"/>
      <c r="CLN376" s="15"/>
      <c r="CLO376" s="15"/>
      <c r="CLP376" s="15"/>
      <c r="CLQ376" s="10"/>
      <c r="CLR376" s="10"/>
      <c r="CLS376" s="21"/>
      <c r="CLT376" s="21"/>
      <c r="CLW376" s="21"/>
      <c r="CLX376" s="15"/>
      <c r="CLY376" s="15"/>
      <c r="CLZ376" s="15"/>
      <c r="CMA376" s="15"/>
      <c r="CMB376" s="15"/>
      <c r="CMC376" s="15"/>
      <c r="CMD376" s="15"/>
      <c r="CME376" s="15"/>
      <c r="CMF376" s="15"/>
      <c r="CMG376" s="15"/>
      <c r="CMH376" s="10"/>
      <c r="CMI376" s="10"/>
      <c r="CMJ376" s="21"/>
      <c r="CMK376" s="21"/>
      <c r="CMN376" s="21"/>
      <c r="CMO376" s="15"/>
      <c r="CMP376" s="15"/>
      <c r="CMQ376" s="15"/>
      <c r="CMR376" s="15"/>
      <c r="CMS376" s="15"/>
      <c r="CMT376" s="15"/>
      <c r="CMU376" s="15"/>
      <c r="CMV376" s="15"/>
      <c r="CMW376" s="15"/>
      <c r="CMX376" s="15"/>
      <c r="CMY376" s="10"/>
      <c r="CMZ376" s="10"/>
      <c r="CNA376" s="21"/>
      <c r="CNB376" s="21"/>
      <c r="CNE376" s="21"/>
      <c r="CNF376" s="15"/>
      <c r="CNG376" s="15"/>
      <c r="CNH376" s="15"/>
      <c r="CNI376" s="15"/>
      <c r="CNJ376" s="15"/>
      <c r="CNK376" s="15"/>
      <c r="CNL376" s="15"/>
      <c r="CNM376" s="15"/>
      <c r="CNN376" s="15"/>
      <c r="CNO376" s="15"/>
      <c r="CNP376" s="10"/>
      <c r="CNQ376" s="10"/>
      <c r="CNR376" s="21"/>
      <c r="CNS376" s="21"/>
      <c r="CNV376" s="21"/>
      <c r="CNW376" s="15"/>
      <c r="CNX376" s="15"/>
      <c r="CNY376" s="15"/>
      <c r="CNZ376" s="15"/>
      <c r="COA376" s="15"/>
      <c r="COB376" s="15"/>
      <c r="COC376" s="15"/>
      <c r="COD376" s="15"/>
      <c r="COE376" s="15"/>
      <c r="COF376" s="15"/>
      <c r="COG376" s="10"/>
      <c r="COH376" s="10"/>
      <c r="COI376" s="21"/>
      <c r="COJ376" s="21"/>
      <c r="COM376" s="21"/>
      <c r="CON376" s="15"/>
      <c r="COO376" s="15"/>
      <c r="COP376" s="15"/>
      <c r="COQ376" s="15"/>
      <c r="COR376" s="15"/>
      <c r="COS376" s="15"/>
      <c r="COT376" s="15"/>
      <c r="COU376" s="15"/>
      <c r="COV376" s="15"/>
      <c r="COW376" s="15"/>
      <c r="COX376" s="10"/>
      <c r="COY376" s="10"/>
      <c r="COZ376" s="21"/>
      <c r="CPA376" s="21"/>
      <c r="CPD376" s="21"/>
      <c r="CPE376" s="15"/>
      <c r="CPF376" s="15"/>
      <c r="CPG376" s="15"/>
      <c r="CPH376" s="15"/>
      <c r="CPI376" s="15"/>
      <c r="CPJ376" s="15"/>
      <c r="CPK376" s="15"/>
      <c r="CPL376" s="15"/>
      <c r="CPM376" s="15"/>
      <c r="CPN376" s="15"/>
      <c r="CPO376" s="10"/>
      <c r="CPP376" s="10"/>
      <c r="CPQ376" s="21"/>
      <c r="CPR376" s="21"/>
      <c r="CPU376" s="21"/>
      <c r="CPV376" s="15"/>
      <c r="CPW376" s="15"/>
      <c r="CPX376" s="15"/>
      <c r="CPY376" s="15"/>
      <c r="CPZ376" s="15"/>
      <c r="CQA376" s="15"/>
      <c r="CQB376" s="15"/>
      <c r="CQC376" s="15"/>
      <c r="CQD376" s="15"/>
      <c r="CQE376" s="15"/>
      <c r="CQF376" s="10"/>
      <c r="CQG376" s="10"/>
      <c r="CQH376" s="21"/>
      <c r="CQI376" s="21"/>
      <c r="CQL376" s="21"/>
      <c r="CQM376" s="15"/>
      <c r="CQN376" s="15"/>
      <c r="CQO376" s="15"/>
      <c r="CQP376" s="15"/>
      <c r="CQQ376" s="15"/>
      <c r="CQR376" s="15"/>
      <c r="CQS376" s="15"/>
      <c r="CQT376" s="15"/>
      <c r="CQU376" s="15"/>
      <c r="CQV376" s="15"/>
      <c r="CQW376" s="10"/>
      <c r="CQX376" s="10"/>
      <c r="CQY376" s="21"/>
      <c r="CQZ376" s="21"/>
      <c r="CRC376" s="21"/>
      <c r="CRD376" s="15"/>
      <c r="CRE376" s="15"/>
      <c r="CRF376" s="15"/>
      <c r="CRG376" s="15"/>
      <c r="CRH376" s="15"/>
      <c r="CRI376" s="15"/>
      <c r="CRJ376" s="15"/>
      <c r="CRK376" s="15"/>
      <c r="CRL376" s="15"/>
      <c r="CRM376" s="15"/>
      <c r="CRN376" s="10"/>
      <c r="CRO376" s="10"/>
      <c r="CRP376" s="21"/>
      <c r="CRQ376" s="21"/>
      <c r="CRT376" s="21"/>
      <c r="CRU376" s="15"/>
      <c r="CRV376" s="15"/>
      <c r="CRW376" s="15"/>
      <c r="CRX376" s="15"/>
      <c r="CRY376" s="15"/>
      <c r="CRZ376" s="15"/>
      <c r="CSA376" s="15"/>
      <c r="CSB376" s="15"/>
      <c r="CSC376" s="15"/>
      <c r="CSD376" s="15"/>
      <c r="CSE376" s="10"/>
      <c r="CSF376" s="10"/>
      <c r="CSG376" s="21"/>
      <c r="CSH376" s="21"/>
      <c r="CSK376" s="21"/>
      <c r="CSL376" s="15"/>
      <c r="CSM376" s="15"/>
      <c r="CSN376" s="15"/>
      <c r="CSO376" s="15"/>
      <c r="CSP376" s="15"/>
      <c r="CSQ376" s="15"/>
      <c r="CSR376" s="15"/>
      <c r="CSS376" s="15"/>
      <c r="CST376" s="15"/>
      <c r="CSU376" s="15"/>
      <c r="CSV376" s="10"/>
      <c r="CSW376" s="10"/>
      <c r="CSX376" s="21"/>
      <c r="CSY376" s="21"/>
      <c r="CTB376" s="21"/>
      <c r="CTC376" s="15"/>
      <c r="CTD376" s="15"/>
      <c r="CTE376" s="15"/>
      <c r="CTF376" s="15"/>
      <c r="CTG376" s="15"/>
      <c r="CTH376" s="15"/>
      <c r="CTI376" s="15"/>
      <c r="CTJ376" s="15"/>
      <c r="CTK376" s="15"/>
      <c r="CTL376" s="15"/>
      <c r="CTM376" s="10"/>
      <c r="CTN376" s="10"/>
      <c r="CTO376" s="21"/>
      <c r="CTP376" s="21"/>
      <c r="CTS376" s="21"/>
      <c r="CTT376" s="15"/>
      <c r="CTU376" s="15"/>
      <c r="CTV376" s="15"/>
      <c r="CTW376" s="15"/>
      <c r="CTX376" s="15"/>
      <c r="CTY376" s="15"/>
      <c r="CTZ376" s="15"/>
      <c r="CUA376" s="15"/>
      <c r="CUB376" s="15"/>
      <c r="CUC376" s="15"/>
      <c r="CUD376" s="10"/>
      <c r="CUE376" s="10"/>
      <c r="CUF376" s="21"/>
      <c r="CUG376" s="21"/>
      <c r="CUJ376" s="21"/>
      <c r="CUK376" s="15"/>
      <c r="CUL376" s="15"/>
      <c r="CUM376" s="15"/>
      <c r="CUN376" s="15"/>
      <c r="CUO376" s="15"/>
      <c r="CUP376" s="15"/>
      <c r="CUQ376" s="15"/>
      <c r="CUR376" s="15"/>
      <c r="CUS376" s="15"/>
      <c r="CUT376" s="15"/>
      <c r="CUU376" s="10"/>
      <c r="CUV376" s="10"/>
      <c r="CUW376" s="21"/>
      <c r="CUX376" s="21"/>
      <c r="CVA376" s="21"/>
      <c r="CVB376" s="15"/>
      <c r="CVC376" s="15"/>
      <c r="CVD376" s="15"/>
      <c r="CVE376" s="15"/>
      <c r="CVF376" s="15"/>
      <c r="CVG376" s="15"/>
      <c r="CVH376" s="15"/>
      <c r="CVI376" s="15"/>
      <c r="CVJ376" s="15"/>
      <c r="CVK376" s="15"/>
      <c r="CVL376" s="10"/>
      <c r="CVM376" s="10"/>
      <c r="CVN376" s="21"/>
      <c r="CVO376" s="21"/>
      <c r="CVR376" s="21"/>
      <c r="CVS376" s="15"/>
      <c r="CVT376" s="15"/>
      <c r="CVU376" s="15"/>
      <c r="CVV376" s="15"/>
      <c r="CVW376" s="15"/>
      <c r="CVX376" s="15"/>
      <c r="CVY376" s="15"/>
      <c r="CVZ376" s="15"/>
      <c r="CWA376" s="15"/>
      <c r="CWB376" s="15"/>
      <c r="CWC376" s="10"/>
      <c r="CWD376" s="10"/>
      <c r="CWE376" s="21"/>
      <c r="CWF376" s="21"/>
      <c r="CWI376" s="21"/>
      <c r="CWJ376" s="15"/>
      <c r="CWK376" s="15"/>
      <c r="CWL376" s="15"/>
      <c r="CWM376" s="15"/>
      <c r="CWN376" s="15"/>
      <c r="CWO376" s="15"/>
      <c r="CWP376" s="15"/>
      <c r="CWQ376" s="15"/>
      <c r="CWR376" s="15"/>
      <c r="CWS376" s="15"/>
      <c r="CWT376" s="10"/>
      <c r="CWU376" s="10"/>
      <c r="CWV376" s="21"/>
      <c r="CWW376" s="21"/>
      <c r="CWZ376" s="21"/>
      <c r="CXA376" s="15"/>
      <c r="CXB376" s="15"/>
      <c r="CXC376" s="15"/>
      <c r="CXD376" s="15"/>
      <c r="CXE376" s="15"/>
      <c r="CXF376" s="15"/>
      <c r="CXG376" s="15"/>
      <c r="CXH376" s="15"/>
      <c r="CXI376" s="15"/>
      <c r="CXJ376" s="15"/>
      <c r="CXK376" s="10"/>
      <c r="CXL376" s="10"/>
      <c r="CXM376" s="21"/>
      <c r="CXN376" s="21"/>
      <c r="CXQ376" s="21"/>
      <c r="CXR376" s="15"/>
      <c r="CXS376" s="15"/>
      <c r="CXT376" s="15"/>
      <c r="CXU376" s="15"/>
      <c r="CXV376" s="15"/>
      <c r="CXW376" s="15"/>
      <c r="CXX376" s="15"/>
      <c r="CXY376" s="15"/>
      <c r="CXZ376" s="15"/>
      <c r="CYA376" s="15"/>
      <c r="CYB376" s="10"/>
      <c r="CYC376" s="10"/>
      <c r="CYD376" s="21"/>
      <c r="CYE376" s="21"/>
      <c r="CYH376" s="21"/>
      <c r="CYI376" s="15"/>
      <c r="CYJ376" s="15"/>
      <c r="CYK376" s="15"/>
      <c r="CYL376" s="15"/>
      <c r="CYM376" s="15"/>
      <c r="CYN376" s="15"/>
      <c r="CYO376" s="15"/>
      <c r="CYP376" s="15"/>
      <c r="CYQ376" s="15"/>
      <c r="CYR376" s="15"/>
      <c r="CYS376" s="10"/>
      <c r="CYT376" s="10"/>
      <c r="CYU376" s="21"/>
      <c r="CYV376" s="21"/>
      <c r="CYY376" s="21"/>
      <c r="CYZ376" s="15"/>
      <c r="CZA376" s="15"/>
      <c r="CZB376" s="15"/>
      <c r="CZC376" s="15"/>
      <c r="CZD376" s="15"/>
      <c r="CZE376" s="15"/>
      <c r="CZF376" s="15"/>
      <c r="CZG376" s="15"/>
      <c r="CZH376" s="15"/>
      <c r="CZI376" s="15"/>
      <c r="CZJ376" s="10"/>
      <c r="CZK376" s="10"/>
      <c r="CZL376" s="21"/>
      <c r="CZM376" s="21"/>
      <c r="CZP376" s="21"/>
      <c r="CZQ376" s="15"/>
      <c r="CZR376" s="15"/>
      <c r="CZS376" s="15"/>
      <c r="CZT376" s="15"/>
      <c r="CZU376" s="15"/>
      <c r="CZV376" s="15"/>
      <c r="CZW376" s="15"/>
      <c r="CZX376" s="15"/>
      <c r="CZY376" s="15"/>
      <c r="CZZ376" s="15"/>
      <c r="DAA376" s="10"/>
      <c r="DAB376" s="10"/>
      <c r="DAC376" s="21"/>
      <c r="DAD376" s="21"/>
      <c r="DAG376" s="21"/>
      <c r="DAH376" s="15"/>
      <c r="DAI376" s="15"/>
      <c r="DAJ376" s="15"/>
      <c r="DAK376" s="15"/>
      <c r="DAL376" s="15"/>
      <c r="DAM376" s="15"/>
      <c r="DAN376" s="15"/>
      <c r="DAO376" s="15"/>
      <c r="DAP376" s="15"/>
      <c r="DAQ376" s="15"/>
      <c r="DAR376" s="10"/>
      <c r="DAS376" s="10"/>
      <c r="DAT376" s="21"/>
      <c r="DAU376" s="21"/>
      <c r="DAX376" s="21"/>
      <c r="DAY376" s="15"/>
      <c r="DAZ376" s="15"/>
      <c r="DBA376" s="15"/>
      <c r="DBB376" s="15"/>
      <c r="DBC376" s="15"/>
      <c r="DBD376" s="15"/>
      <c r="DBE376" s="15"/>
      <c r="DBF376" s="15"/>
      <c r="DBG376" s="15"/>
      <c r="DBH376" s="15"/>
      <c r="DBI376" s="10"/>
      <c r="DBJ376" s="10"/>
      <c r="DBK376" s="21"/>
      <c r="DBL376" s="21"/>
      <c r="DBO376" s="21"/>
      <c r="DBP376" s="15"/>
      <c r="DBQ376" s="15"/>
      <c r="DBR376" s="15"/>
      <c r="DBS376" s="15"/>
      <c r="DBT376" s="15"/>
      <c r="DBU376" s="15"/>
      <c r="DBV376" s="15"/>
      <c r="DBW376" s="15"/>
      <c r="DBX376" s="15"/>
      <c r="DBY376" s="15"/>
      <c r="DBZ376" s="10"/>
      <c r="DCA376" s="10"/>
      <c r="DCB376" s="21"/>
      <c r="DCC376" s="21"/>
      <c r="DCF376" s="21"/>
      <c r="DCG376" s="15"/>
      <c r="DCH376" s="15"/>
      <c r="DCI376" s="15"/>
      <c r="DCJ376" s="15"/>
      <c r="DCK376" s="15"/>
      <c r="DCL376" s="15"/>
      <c r="DCM376" s="15"/>
      <c r="DCN376" s="15"/>
      <c r="DCO376" s="15"/>
      <c r="DCP376" s="15"/>
      <c r="DCQ376" s="10"/>
      <c r="DCR376" s="10"/>
      <c r="DCS376" s="21"/>
      <c r="DCT376" s="21"/>
      <c r="DCW376" s="21"/>
      <c r="DCX376" s="15"/>
      <c r="DCY376" s="15"/>
      <c r="DCZ376" s="15"/>
      <c r="DDA376" s="15"/>
      <c r="DDB376" s="15"/>
      <c r="DDC376" s="15"/>
      <c r="DDD376" s="15"/>
      <c r="DDE376" s="15"/>
      <c r="DDF376" s="15"/>
      <c r="DDG376" s="15"/>
      <c r="DDH376" s="10"/>
      <c r="DDI376" s="10"/>
      <c r="DDJ376" s="21"/>
      <c r="DDK376" s="21"/>
      <c r="DDN376" s="21"/>
      <c r="DDO376" s="15"/>
      <c r="DDP376" s="15"/>
      <c r="DDQ376" s="15"/>
      <c r="DDR376" s="15"/>
      <c r="DDS376" s="15"/>
      <c r="DDT376" s="15"/>
      <c r="DDU376" s="15"/>
      <c r="DDV376" s="15"/>
      <c r="DDW376" s="15"/>
      <c r="DDX376" s="15"/>
      <c r="DDY376" s="10"/>
      <c r="DDZ376" s="10"/>
      <c r="DEA376" s="21"/>
      <c r="DEB376" s="21"/>
      <c r="DEE376" s="21"/>
      <c r="DEF376" s="15"/>
      <c r="DEG376" s="15"/>
      <c r="DEH376" s="15"/>
      <c r="DEI376" s="15"/>
      <c r="DEJ376" s="15"/>
      <c r="DEK376" s="15"/>
      <c r="DEL376" s="15"/>
      <c r="DEM376" s="15"/>
      <c r="DEN376" s="15"/>
      <c r="DEO376" s="15"/>
      <c r="DEP376" s="10"/>
      <c r="DEQ376" s="10"/>
      <c r="DER376" s="21"/>
      <c r="DES376" s="21"/>
      <c r="DEV376" s="21"/>
      <c r="DEW376" s="15"/>
      <c r="DEX376" s="15"/>
      <c r="DEY376" s="15"/>
      <c r="DEZ376" s="15"/>
      <c r="DFA376" s="15"/>
      <c r="DFB376" s="15"/>
      <c r="DFC376" s="15"/>
      <c r="DFD376" s="15"/>
      <c r="DFE376" s="15"/>
      <c r="DFF376" s="15"/>
      <c r="DFG376" s="10"/>
      <c r="DFH376" s="10"/>
      <c r="DFI376" s="21"/>
      <c r="DFJ376" s="21"/>
      <c r="DFM376" s="21"/>
      <c r="DFN376" s="15"/>
      <c r="DFO376" s="15"/>
      <c r="DFP376" s="15"/>
      <c r="DFQ376" s="15"/>
      <c r="DFR376" s="15"/>
      <c r="DFS376" s="15"/>
      <c r="DFT376" s="15"/>
      <c r="DFU376" s="15"/>
      <c r="DFV376" s="15"/>
      <c r="DFW376" s="15"/>
      <c r="DFX376" s="10"/>
      <c r="DFY376" s="10"/>
      <c r="DFZ376" s="21"/>
      <c r="DGA376" s="21"/>
      <c r="DGD376" s="21"/>
      <c r="DGE376" s="15"/>
      <c r="DGF376" s="15"/>
      <c r="DGG376" s="15"/>
      <c r="DGH376" s="15"/>
      <c r="DGI376" s="15"/>
      <c r="DGJ376" s="15"/>
      <c r="DGK376" s="15"/>
      <c r="DGL376" s="15"/>
      <c r="DGM376" s="15"/>
      <c r="DGN376" s="15"/>
      <c r="DGO376" s="10"/>
      <c r="DGP376" s="10"/>
      <c r="DGQ376" s="21"/>
      <c r="DGR376" s="21"/>
      <c r="DGU376" s="21"/>
      <c r="DGV376" s="15"/>
      <c r="DGW376" s="15"/>
      <c r="DGX376" s="15"/>
      <c r="DGY376" s="15"/>
      <c r="DGZ376" s="15"/>
      <c r="DHA376" s="15"/>
      <c r="DHB376" s="15"/>
      <c r="DHC376" s="15"/>
      <c r="DHD376" s="15"/>
      <c r="DHE376" s="15"/>
      <c r="DHF376" s="10"/>
      <c r="DHG376" s="10"/>
      <c r="DHH376" s="21"/>
      <c r="DHI376" s="21"/>
      <c r="DHL376" s="21"/>
      <c r="DHM376" s="15"/>
      <c r="DHN376" s="15"/>
      <c r="DHO376" s="15"/>
      <c r="DHP376" s="15"/>
      <c r="DHQ376" s="15"/>
      <c r="DHR376" s="15"/>
      <c r="DHS376" s="15"/>
      <c r="DHT376" s="15"/>
      <c r="DHU376" s="15"/>
      <c r="DHV376" s="15"/>
      <c r="DHW376" s="10"/>
      <c r="DHX376" s="10"/>
      <c r="DHY376" s="21"/>
      <c r="DHZ376" s="21"/>
      <c r="DIC376" s="21"/>
      <c r="DID376" s="15"/>
      <c r="DIE376" s="15"/>
      <c r="DIF376" s="15"/>
      <c r="DIG376" s="15"/>
      <c r="DIH376" s="15"/>
      <c r="DII376" s="15"/>
      <c r="DIJ376" s="15"/>
      <c r="DIK376" s="15"/>
      <c r="DIL376" s="15"/>
      <c r="DIM376" s="15"/>
      <c r="DIN376" s="10"/>
      <c r="DIO376" s="10"/>
      <c r="DIP376" s="21"/>
      <c r="DIQ376" s="21"/>
      <c r="DIT376" s="21"/>
      <c r="DIU376" s="15"/>
      <c r="DIV376" s="15"/>
      <c r="DIW376" s="15"/>
      <c r="DIX376" s="15"/>
      <c r="DIY376" s="15"/>
      <c r="DIZ376" s="15"/>
      <c r="DJA376" s="15"/>
      <c r="DJB376" s="15"/>
      <c r="DJC376" s="15"/>
      <c r="DJD376" s="15"/>
      <c r="DJE376" s="10"/>
      <c r="DJF376" s="10"/>
      <c r="DJG376" s="21"/>
      <c r="DJH376" s="21"/>
      <c r="DJK376" s="21"/>
      <c r="DJL376" s="15"/>
      <c r="DJM376" s="15"/>
      <c r="DJN376" s="15"/>
      <c r="DJO376" s="15"/>
      <c r="DJP376" s="15"/>
      <c r="DJQ376" s="15"/>
      <c r="DJR376" s="15"/>
      <c r="DJS376" s="15"/>
      <c r="DJT376" s="15"/>
      <c r="DJU376" s="15"/>
      <c r="DJV376" s="10"/>
      <c r="DJW376" s="10"/>
      <c r="DJX376" s="21"/>
      <c r="DJY376" s="21"/>
      <c r="DKB376" s="21"/>
      <c r="DKC376" s="15"/>
      <c r="DKD376" s="15"/>
      <c r="DKE376" s="15"/>
      <c r="DKF376" s="15"/>
      <c r="DKG376" s="15"/>
      <c r="DKH376" s="15"/>
      <c r="DKI376" s="15"/>
      <c r="DKJ376" s="15"/>
      <c r="DKK376" s="15"/>
      <c r="DKL376" s="15"/>
      <c r="DKM376" s="10"/>
      <c r="DKN376" s="10"/>
      <c r="DKO376" s="21"/>
      <c r="DKP376" s="21"/>
      <c r="DKS376" s="21"/>
      <c r="DKT376" s="15"/>
      <c r="DKU376" s="15"/>
      <c r="DKV376" s="15"/>
      <c r="DKW376" s="15"/>
      <c r="DKX376" s="15"/>
      <c r="DKY376" s="15"/>
      <c r="DKZ376" s="15"/>
      <c r="DLA376" s="15"/>
      <c r="DLB376" s="15"/>
      <c r="DLC376" s="15"/>
      <c r="DLD376" s="10"/>
      <c r="DLE376" s="10"/>
      <c r="DLF376" s="21"/>
      <c r="DLG376" s="21"/>
      <c r="DLJ376" s="21"/>
      <c r="DLK376" s="15"/>
      <c r="DLL376" s="15"/>
      <c r="DLM376" s="15"/>
      <c r="DLN376" s="15"/>
      <c r="DLO376" s="15"/>
      <c r="DLP376" s="15"/>
      <c r="DLQ376" s="15"/>
      <c r="DLR376" s="15"/>
      <c r="DLS376" s="15"/>
      <c r="DLT376" s="15"/>
      <c r="DLU376" s="10"/>
      <c r="DLV376" s="10"/>
      <c r="DLW376" s="21"/>
      <c r="DLX376" s="21"/>
      <c r="DMA376" s="21"/>
      <c r="DMB376" s="15"/>
      <c r="DMC376" s="15"/>
      <c r="DMD376" s="15"/>
      <c r="DME376" s="15"/>
      <c r="DMF376" s="15"/>
      <c r="DMG376" s="15"/>
      <c r="DMH376" s="15"/>
      <c r="DMI376" s="15"/>
      <c r="DMJ376" s="15"/>
      <c r="DMK376" s="15"/>
      <c r="DML376" s="10"/>
      <c r="DMM376" s="10"/>
      <c r="DMN376" s="21"/>
      <c r="DMO376" s="21"/>
      <c r="DMR376" s="21"/>
      <c r="DMS376" s="15"/>
      <c r="DMT376" s="15"/>
      <c r="DMU376" s="15"/>
      <c r="DMV376" s="15"/>
      <c r="DMW376" s="15"/>
      <c r="DMX376" s="15"/>
      <c r="DMY376" s="15"/>
      <c r="DMZ376" s="15"/>
      <c r="DNA376" s="15"/>
      <c r="DNB376" s="15"/>
      <c r="DNC376" s="10"/>
      <c r="DND376" s="10"/>
      <c r="DNE376" s="21"/>
      <c r="DNF376" s="21"/>
      <c r="DNI376" s="21"/>
      <c r="DNJ376" s="15"/>
      <c r="DNK376" s="15"/>
      <c r="DNL376" s="15"/>
      <c r="DNM376" s="15"/>
      <c r="DNN376" s="15"/>
      <c r="DNO376" s="15"/>
      <c r="DNP376" s="15"/>
      <c r="DNQ376" s="15"/>
      <c r="DNR376" s="15"/>
      <c r="DNS376" s="15"/>
      <c r="DNT376" s="10"/>
      <c r="DNU376" s="10"/>
      <c r="DNV376" s="21"/>
      <c r="DNW376" s="21"/>
      <c r="DNZ376" s="21"/>
      <c r="DOA376" s="15"/>
      <c r="DOB376" s="15"/>
      <c r="DOC376" s="15"/>
      <c r="DOD376" s="15"/>
      <c r="DOE376" s="15"/>
      <c r="DOF376" s="15"/>
      <c r="DOG376" s="15"/>
      <c r="DOH376" s="15"/>
      <c r="DOI376" s="15"/>
      <c r="DOJ376" s="15"/>
      <c r="DOK376" s="10"/>
      <c r="DOL376" s="10"/>
      <c r="DOM376" s="21"/>
      <c r="DON376" s="21"/>
      <c r="DOQ376" s="21"/>
      <c r="DOR376" s="15"/>
      <c r="DOS376" s="15"/>
      <c r="DOT376" s="15"/>
      <c r="DOU376" s="15"/>
      <c r="DOV376" s="15"/>
      <c r="DOW376" s="15"/>
      <c r="DOX376" s="15"/>
      <c r="DOY376" s="15"/>
      <c r="DOZ376" s="15"/>
      <c r="DPA376" s="15"/>
      <c r="DPB376" s="10"/>
      <c r="DPC376" s="10"/>
      <c r="DPD376" s="21"/>
      <c r="DPE376" s="21"/>
      <c r="DPH376" s="21"/>
      <c r="DPI376" s="15"/>
      <c r="DPJ376" s="15"/>
      <c r="DPK376" s="15"/>
      <c r="DPL376" s="15"/>
      <c r="DPM376" s="15"/>
      <c r="DPN376" s="15"/>
      <c r="DPO376" s="15"/>
      <c r="DPP376" s="15"/>
      <c r="DPQ376" s="15"/>
      <c r="DPR376" s="15"/>
      <c r="DPS376" s="10"/>
      <c r="DPT376" s="10"/>
      <c r="DPU376" s="21"/>
      <c r="DPV376" s="21"/>
      <c r="DPY376" s="21"/>
      <c r="DPZ376" s="15"/>
      <c r="DQA376" s="15"/>
      <c r="DQB376" s="15"/>
      <c r="DQC376" s="15"/>
      <c r="DQD376" s="15"/>
      <c r="DQE376" s="15"/>
      <c r="DQF376" s="15"/>
      <c r="DQG376" s="15"/>
      <c r="DQH376" s="15"/>
      <c r="DQI376" s="15"/>
      <c r="DQJ376" s="10"/>
      <c r="DQK376" s="10"/>
      <c r="DQL376" s="21"/>
      <c r="DQM376" s="21"/>
      <c r="DQP376" s="21"/>
      <c r="DQQ376" s="15"/>
      <c r="DQR376" s="15"/>
      <c r="DQS376" s="15"/>
      <c r="DQT376" s="15"/>
      <c r="DQU376" s="15"/>
      <c r="DQV376" s="15"/>
      <c r="DQW376" s="15"/>
      <c r="DQX376" s="15"/>
      <c r="DQY376" s="15"/>
      <c r="DQZ376" s="15"/>
      <c r="DRA376" s="10"/>
      <c r="DRB376" s="10"/>
      <c r="DRC376" s="21"/>
      <c r="DRD376" s="21"/>
      <c r="DRG376" s="21"/>
      <c r="DRH376" s="15"/>
      <c r="DRI376" s="15"/>
      <c r="DRJ376" s="15"/>
      <c r="DRK376" s="15"/>
      <c r="DRL376" s="15"/>
      <c r="DRM376" s="15"/>
      <c r="DRN376" s="15"/>
      <c r="DRO376" s="15"/>
      <c r="DRP376" s="15"/>
      <c r="DRQ376" s="15"/>
      <c r="DRR376" s="10"/>
      <c r="DRS376" s="10"/>
      <c r="DRT376" s="21"/>
      <c r="DRU376" s="21"/>
      <c r="DRX376" s="21"/>
      <c r="DRY376" s="15"/>
      <c r="DRZ376" s="15"/>
      <c r="DSA376" s="15"/>
      <c r="DSB376" s="15"/>
      <c r="DSC376" s="15"/>
      <c r="DSD376" s="15"/>
      <c r="DSE376" s="15"/>
      <c r="DSF376" s="15"/>
      <c r="DSG376" s="15"/>
      <c r="DSH376" s="15"/>
      <c r="DSI376" s="10"/>
      <c r="DSJ376" s="10"/>
      <c r="DSK376" s="21"/>
      <c r="DSL376" s="21"/>
      <c r="DSO376" s="21"/>
      <c r="DSP376" s="15"/>
      <c r="DSQ376" s="15"/>
      <c r="DSR376" s="15"/>
      <c r="DSS376" s="15"/>
      <c r="DST376" s="15"/>
      <c r="DSU376" s="15"/>
      <c r="DSV376" s="15"/>
      <c r="DSW376" s="15"/>
      <c r="DSX376" s="15"/>
      <c r="DSY376" s="15"/>
      <c r="DSZ376" s="10"/>
      <c r="DTA376" s="10"/>
      <c r="DTB376" s="21"/>
      <c r="DTC376" s="21"/>
      <c r="DTF376" s="21"/>
      <c r="DTG376" s="15"/>
      <c r="DTH376" s="15"/>
      <c r="DTI376" s="15"/>
      <c r="DTJ376" s="15"/>
      <c r="DTK376" s="15"/>
      <c r="DTL376" s="15"/>
      <c r="DTM376" s="15"/>
      <c r="DTN376" s="15"/>
      <c r="DTO376" s="15"/>
      <c r="DTP376" s="15"/>
      <c r="DTQ376" s="10"/>
      <c r="DTR376" s="10"/>
      <c r="DTS376" s="21"/>
      <c r="DTT376" s="21"/>
      <c r="DTW376" s="21"/>
      <c r="DTX376" s="15"/>
      <c r="DTY376" s="15"/>
      <c r="DTZ376" s="15"/>
      <c r="DUA376" s="15"/>
      <c r="DUB376" s="15"/>
      <c r="DUC376" s="15"/>
      <c r="DUD376" s="15"/>
      <c r="DUE376" s="15"/>
      <c r="DUF376" s="15"/>
      <c r="DUG376" s="15"/>
      <c r="DUH376" s="10"/>
      <c r="DUI376" s="10"/>
      <c r="DUJ376" s="21"/>
      <c r="DUK376" s="21"/>
      <c r="DUN376" s="21"/>
      <c r="DUO376" s="15"/>
      <c r="DUP376" s="15"/>
      <c r="DUQ376" s="15"/>
      <c r="DUR376" s="15"/>
      <c r="DUS376" s="15"/>
      <c r="DUT376" s="15"/>
      <c r="DUU376" s="15"/>
      <c r="DUV376" s="15"/>
      <c r="DUW376" s="15"/>
      <c r="DUX376" s="15"/>
      <c r="DUY376" s="10"/>
      <c r="DUZ376" s="10"/>
      <c r="DVA376" s="21"/>
      <c r="DVB376" s="21"/>
      <c r="DVE376" s="21"/>
      <c r="DVF376" s="15"/>
      <c r="DVG376" s="15"/>
      <c r="DVH376" s="15"/>
      <c r="DVI376" s="15"/>
      <c r="DVJ376" s="15"/>
      <c r="DVK376" s="15"/>
      <c r="DVL376" s="15"/>
      <c r="DVM376" s="15"/>
      <c r="DVN376" s="15"/>
      <c r="DVO376" s="15"/>
      <c r="DVP376" s="10"/>
      <c r="DVQ376" s="10"/>
      <c r="DVR376" s="21"/>
      <c r="DVS376" s="21"/>
      <c r="DVV376" s="21"/>
      <c r="DVW376" s="15"/>
      <c r="DVX376" s="15"/>
      <c r="DVY376" s="15"/>
      <c r="DVZ376" s="15"/>
      <c r="DWA376" s="15"/>
      <c r="DWB376" s="15"/>
      <c r="DWC376" s="15"/>
      <c r="DWD376" s="15"/>
      <c r="DWE376" s="15"/>
      <c r="DWF376" s="15"/>
      <c r="DWG376" s="10"/>
      <c r="DWH376" s="10"/>
      <c r="DWI376" s="21"/>
      <c r="DWJ376" s="21"/>
      <c r="DWM376" s="21"/>
      <c r="DWN376" s="15"/>
      <c r="DWO376" s="15"/>
      <c r="DWP376" s="15"/>
      <c r="DWQ376" s="15"/>
      <c r="DWR376" s="15"/>
      <c r="DWS376" s="15"/>
      <c r="DWT376" s="15"/>
      <c r="DWU376" s="15"/>
      <c r="DWV376" s="15"/>
      <c r="DWW376" s="15"/>
      <c r="DWX376" s="10"/>
      <c r="DWY376" s="10"/>
      <c r="DWZ376" s="21"/>
      <c r="DXA376" s="21"/>
      <c r="DXD376" s="21"/>
      <c r="DXE376" s="15"/>
      <c r="DXF376" s="15"/>
      <c r="DXG376" s="15"/>
      <c r="DXH376" s="15"/>
      <c r="DXI376" s="15"/>
      <c r="DXJ376" s="15"/>
      <c r="DXK376" s="15"/>
      <c r="DXL376" s="15"/>
      <c r="DXM376" s="15"/>
      <c r="DXN376" s="15"/>
      <c r="DXO376" s="10"/>
      <c r="DXP376" s="10"/>
      <c r="DXQ376" s="21"/>
      <c r="DXR376" s="21"/>
      <c r="DXU376" s="21"/>
      <c r="DXV376" s="15"/>
      <c r="DXW376" s="15"/>
      <c r="DXX376" s="15"/>
      <c r="DXY376" s="15"/>
      <c r="DXZ376" s="15"/>
      <c r="DYA376" s="15"/>
      <c r="DYB376" s="15"/>
      <c r="DYC376" s="15"/>
      <c r="DYD376" s="15"/>
      <c r="DYE376" s="15"/>
      <c r="DYF376" s="10"/>
      <c r="DYG376" s="10"/>
      <c r="DYH376" s="21"/>
      <c r="DYI376" s="21"/>
      <c r="DYL376" s="21"/>
      <c r="DYM376" s="15"/>
      <c r="DYN376" s="15"/>
      <c r="DYO376" s="15"/>
      <c r="DYP376" s="15"/>
      <c r="DYQ376" s="15"/>
      <c r="DYR376" s="15"/>
      <c r="DYS376" s="15"/>
      <c r="DYT376" s="15"/>
      <c r="DYU376" s="15"/>
      <c r="DYV376" s="15"/>
      <c r="DYW376" s="10"/>
      <c r="DYX376" s="10"/>
      <c r="DYY376" s="21"/>
      <c r="DYZ376" s="21"/>
      <c r="DZC376" s="21"/>
      <c r="DZD376" s="15"/>
      <c r="DZE376" s="15"/>
      <c r="DZF376" s="15"/>
      <c r="DZG376" s="15"/>
      <c r="DZH376" s="15"/>
      <c r="DZI376" s="15"/>
      <c r="DZJ376" s="15"/>
      <c r="DZK376" s="15"/>
      <c r="DZL376" s="15"/>
      <c r="DZM376" s="15"/>
      <c r="DZN376" s="10"/>
      <c r="DZO376" s="10"/>
      <c r="DZP376" s="21"/>
      <c r="DZQ376" s="21"/>
      <c r="DZT376" s="21"/>
      <c r="DZU376" s="15"/>
      <c r="DZV376" s="15"/>
      <c r="DZW376" s="15"/>
      <c r="DZX376" s="15"/>
      <c r="DZY376" s="15"/>
      <c r="DZZ376" s="15"/>
      <c r="EAA376" s="15"/>
      <c r="EAB376" s="15"/>
      <c r="EAC376" s="15"/>
      <c r="EAD376" s="15"/>
      <c r="EAE376" s="10"/>
      <c r="EAF376" s="10"/>
      <c r="EAG376" s="21"/>
      <c r="EAH376" s="21"/>
      <c r="EAK376" s="21"/>
      <c r="EAL376" s="15"/>
      <c r="EAM376" s="15"/>
      <c r="EAN376" s="15"/>
      <c r="EAO376" s="15"/>
      <c r="EAP376" s="15"/>
      <c r="EAQ376" s="15"/>
      <c r="EAR376" s="15"/>
      <c r="EAS376" s="15"/>
      <c r="EAT376" s="15"/>
      <c r="EAU376" s="15"/>
      <c r="EAV376" s="10"/>
      <c r="EAW376" s="10"/>
      <c r="EAX376" s="21"/>
      <c r="EAY376" s="21"/>
      <c r="EBB376" s="21"/>
      <c r="EBC376" s="15"/>
      <c r="EBD376" s="15"/>
      <c r="EBE376" s="15"/>
      <c r="EBF376" s="15"/>
      <c r="EBG376" s="15"/>
      <c r="EBH376" s="15"/>
      <c r="EBI376" s="15"/>
      <c r="EBJ376" s="15"/>
      <c r="EBK376" s="15"/>
      <c r="EBL376" s="15"/>
      <c r="EBM376" s="10"/>
      <c r="EBN376" s="10"/>
      <c r="EBO376" s="21"/>
      <c r="EBP376" s="21"/>
      <c r="EBS376" s="21"/>
      <c r="EBT376" s="15"/>
      <c r="EBU376" s="15"/>
      <c r="EBV376" s="15"/>
      <c r="EBW376" s="15"/>
      <c r="EBX376" s="15"/>
      <c r="EBY376" s="15"/>
      <c r="EBZ376" s="15"/>
      <c r="ECA376" s="15"/>
      <c r="ECB376" s="15"/>
      <c r="ECC376" s="15"/>
      <c r="ECD376" s="10"/>
      <c r="ECE376" s="10"/>
      <c r="ECF376" s="21"/>
      <c r="ECG376" s="21"/>
      <c r="ECJ376" s="21"/>
      <c r="ECK376" s="15"/>
      <c r="ECL376" s="15"/>
      <c r="ECM376" s="15"/>
      <c r="ECN376" s="15"/>
      <c r="ECO376" s="15"/>
      <c r="ECP376" s="15"/>
      <c r="ECQ376" s="15"/>
      <c r="ECR376" s="15"/>
      <c r="ECS376" s="15"/>
      <c r="ECT376" s="15"/>
      <c r="ECU376" s="10"/>
      <c r="ECV376" s="10"/>
      <c r="ECW376" s="21"/>
      <c r="ECX376" s="21"/>
      <c r="EDA376" s="21"/>
      <c r="EDB376" s="15"/>
      <c r="EDC376" s="15"/>
      <c r="EDD376" s="15"/>
      <c r="EDE376" s="15"/>
      <c r="EDF376" s="15"/>
      <c r="EDG376" s="15"/>
      <c r="EDH376" s="15"/>
      <c r="EDI376" s="15"/>
      <c r="EDJ376" s="15"/>
      <c r="EDK376" s="15"/>
      <c r="EDL376" s="10"/>
      <c r="EDM376" s="10"/>
      <c r="EDN376" s="21"/>
      <c r="EDO376" s="21"/>
      <c r="EDR376" s="21"/>
      <c r="EDS376" s="15"/>
      <c r="EDT376" s="15"/>
      <c r="EDU376" s="15"/>
      <c r="EDV376" s="15"/>
      <c r="EDW376" s="15"/>
      <c r="EDX376" s="15"/>
      <c r="EDY376" s="15"/>
      <c r="EDZ376" s="15"/>
      <c r="EEA376" s="15"/>
      <c r="EEB376" s="15"/>
      <c r="EEC376" s="10"/>
      <c r="EED376" s="10"/>
      <c r="EEE376" s="21"/>
      <c r="EEF376" s="21"/>
      <c r="EEI376" s="21"/>
      <c r="EEJ376" s="15"/>
      <c r="EEK376" s="15"/>
      <c r="EEL376" s="15"/>
      <c r="EEM376" s="15"/>
      <c r="EEN376" s="15"/>
      <c r="EEO376" s="15"/>
      <c r="EEP376" s="15"/>
      <c r="EEQ376" s="15"/>
      <c r="EER376" s="15"/>
      <c r="EES376" s="15"/>
      <c r="EET376" s="10"/>
      <c r="EEU376" s="10"/>
      <c r="EEV376" s="21"/>
      <c r="EEW376" s="21"/>
      <c r="EEZ376" s="21"/>
      <c r="EFA376" s="15"/>
      <c r="EFB376" s="15"/>
      <c r="EFC376" s="15"/>
      <c r="EFD376" s="15"/>
      <c r="EFE376" s="15"/>
      <c r="EFF376" s="15"/>
      <c r="EFG376" s="15"/>
      <c r="EFH376" s="15"/>
      <c r="EFI376" s="15"/>
      <c r="EFJ376" s="15"/>
      <c r="EFK376" s="10"/>
      <c r="EFL376" s="10"/>
      <c r="EFM376" s="21"/>
      <c r="EFN376" s="21"/>
      <c r="EFQ376" s="21"/>
      <c r="EFR376" s="15"/>
      <c r="EFS376" s="15"/>
      <c r="EFT376" s="15"/>
      <c r="EFU376" s="15"/>
      <c r="EFV376" s="15"/>
      <c r="EFW376" s="15"/>
      <c r="EFX376" s="15"/>
      <c r="EFY376" s="15"/>
      <c r="EFZ376" s="15"/>
      <c r="EGA376" s="15"/>
      <c r="EGB376" s="10"/>
      <c r="EGC376" s="10"/>
      <c r="EGD376" s="21"/>
      <c r="EGE376" s="21"/>
      <c r="EGH376" s="21"/>
      <c r="EGI376" s="15"/>
      <c r="EGJ376" s="15"/>
      <c r="EGK376" s="15"/>
      <c r="EGL376" s="15"/>
      <c r="EGM376" s="15"/>
      <c r="EGN376" s="15"/>
      <c r="EGO376" s="15"/>
      <c r="EGP376" s="15"/>
      <c r="EGQ376" s="15"/>
      <c r="EGR376" s="15"/>
      <c r="EGS376" s="10"/>
      <c r="EGT376" s="10"/>
      <c r="EGU376" s="21"/>
      <c r="EGV376" s="21"/>
      <c r="EGY376" s="21"/>
      <c r="EGZ376" s="15"/>
      <c r="EHA376" s="15"/>
      <c r="EHB376" s="15"/>
      <c r="EHC376" s="15"/>
      <c r="EHD376" s="15"/>
      <c r="EHE376" s="15"/>
      <c r="EHF376" s="15"/>
      <c r="EHG376" s="15"/>
      <c r="EHH376" s="15"/>
      <c r="EHI376" s="15"/>
      <c r="EHJ376" s="10"/>
      <c r="EHK376" s="10"/>
      <c r="EHL376" s="21"/>
      <c r="EHM376" s="21"/>
      <c r="EHP376" s="21"/>
      <c r="EHQ376" s="15"/>
      <c r="EHR376" s="15"/>
      <c r="EHS376" s="15"/>
      <c r="EHT376" s="15"/>
      <c r="EHU376" s="15"/>
      <c r="EHV376" s="15"/>
      <c r="EHW376" s="15"/>
      <c r="EHX376" s="15"/>
      <c r="EHY376" s="15"/>
      <c r="EHZ376" s="15"/>
      <c r="EIA376" s="10"/>
      <c r="EIB376" s="10"/>
      <c r="EIC376" s="21"/>
      <c r="EID376" s="21"/>
      <c r="EIG376" s="21"/>
      <c r="EIH376" s="15"/>
      <c r="EII376" s="15"/>
      <c r="EIJ376" s="15"/>
      <c r="EIK376" s="15"/>
      <c r="EIL376" s="15"/>
      <c r="EIM376" s="15"/>
      <c r="EIN376" s="15"/>
      <c r="EIO376" s="15"/>
      <c r="EIP376" s="15"/>
      <c r="EIQ376" s="15"/>
      <c r="EIR376" s="10"/>
      <c r="EIS376" s="10"/>
      <c r="EIT376" s="21"/>
      <c r="EIU376" s="21"/>
      <c r="EIX376" s="21"/>
      <c r="EIY376" s="15"/>
      <c r="EIZ376" s="15"/>
      <c r="EJA376" s="15"/>
      <c r="EJB376" s="15"/>
      <c r="EJC376" s="15"/>
      <c r="EJD376" s="15"/>
      <c r="EJE376" s="15"/>
      <c r="EJF376" s="15"/>
      <c r="EJG376" s="15"/>
      <c r="EJH376" s="15"/>
      <c r="EJI376" s="10"/>
      <c r="EJJ376" s="10"/>
      <c r="EJK376" s="21"/>
      <c r="EJL376" s="21"/>
      <c r="EJO376" s="21"/>
      <c r="EJP376" s="15"/>
      <c r="EJQ376" s="15"/>
      <c r="EJR376" s="15"/>
      <c r="EJS376" s="15"/>
      <c r="EJT376" s="15"/>
      <c r="EJU376" s="15"/>
      <c r="EJV376" s="15"/>
      <c r="EJW376" s="15"/>
      <c r="EJX376" s="15"/>
      <c r="EJY376" s="15"/>
      <c r="EJZ376" s="10"/>
      <c r="EKA376" s="10"/>
      <c r="EKB376" s="21"/>
      <c r="EKC376" s="21"/>
      <c r="EKF376" s="21"/>
      <c r="EKG376" s="15"/>
      <c r="EKH376" s="15"/>
      <c r="EKI376" s="15"/>
      <c r="EKJ376" s="15"/>
      <c r="EKK376" s="15"/>
      <c r="EKL376" s="15"/>
      <c r="EKM376" s="15"/>
      <c r="EKN376" s="15"/>
      <c r="EKO376" s="15"/>
      <c r="EKP376" s="15"/>
      <c r="EKQ376" s="10"/>
      <c r="EKR376" s="10"/>
      <c r="EKS376" s="21"/>
      <c r="EKT376" s="21"/>
      <c r="EKW376" s="21"/>
      <c r="EKX376" s="15"/>
      <c r="EKY376" s="15"/>
      <c r="EKZ376" s="15"/>
      <c r="ELA376" s="15"/>
      <c r="ELB376" s="15"/>
      <c r="ELC376" s="15"/>
      <c r="ELD376" s="15"/>
      <c r="ELE376" s="15"/>
      <c r="ELF376" s="15"/>
      <c r="ELG376" s="15"/>
      <c r="ELH376" s="10"/>
      <c r="ELI376" s="10"/>
      <c r="ELJ376" s="21"/>
      <c r="ELK376" s="21"/>
      <c r="ELN376" s="21"/>
      <c r="ELO376" s="15"/>
      <c r="ELP376" s="15"/>
      <c r="ELQ376" s="15"/>
      <c r="ELR376" s="15"/>
      <c r="ELS376" s="15"/>
      <c r="ELT376" s="15"/>
      <c r="ELU376" s="15"/>
      <c r="ELV376" s="15"/>
      <c r="ELW376" s="15"/>
      <c r="ELX376" s="15"/>
      <c r="ELY376" s="10"/>
      <c r="ELZ376" s="10"/>
      <c r="EMA376" s="21"/>
      <c r="EMB376" s="21"/>
      <c r="EME376" s="21"/>
      <c r="EMF376" s="15"/>
      <c r="EMG376" s="15"/>
      <c r="EMH376" s="15"/>
      <c r="EMI376" s="15"/>
      <c r="EMJ376" s="15"/>
      <c r="EMK376" s="15"/>
      <c r="EML376" s="15"/>
      <c r="EMM376" s="15"/>
      <c r="EMN376" s="15"/>
      <c r="EMO376" s="15"/>
      <c r="EMP376" s="10"/>
      <c r="EMQ376" s="10"/>
      <c r="EMR376" s="21"/>
      <c r="EMS376" s="21"/>
      <c r="EMV376" s="21"/>
      <c r="EMW376" s="15"/>
      <c r="EMX376" s="15"/>
      <c r="EMY376" s="15"/>
      <c r="EMZ376" s="15"/>
      <c r="ENA376" s="15"/>
      <c r="ENB376" s="15"/>
      <c r="ENC376" s="15"/>
      <c r="END376" s="15"/>
      <c r="ENE376" s="15"/>
      <c r="ENF376" s="15"/>
      <c r="ENG376" s="10"/>
      <c r="ENH376" s="10"/>
      <c r="ENI376" s="21"/>
      <c r="ENJ376" s="21"/>
      <c r="ENM376" s="21"/>
      <c r="ENN376" s="15"/>
      <c r="ENO376" s="15"/>
      <c r="ENP376" s="15"/>
      <c r="ENQ376" s="15"/>
      <c r="ENR376" s="15"/>
      <c r="ENS376" s="15"/>
      <c r="ENT376" s="15"/>
      <c r="ENU376" s="15"/>
      <c r="ENV376" s="15"/>
      <c r="ENW376" s="15"/>
      <c r="ENX376" s="10"/>
      <c r="ENY376" s="10"/>
      <c r="ENZ376" s="21"/>
      <c r="EOA376" s="21"/>
      <c r="EOD376" s="21"/>
      <c r="EOE376" s="15"/>
      <c r="EOF376" s="15"/>
      <c r="EOG376" s="15"/>
      <c r="EOH376" s="15"/>
      <c r="EOI376" s="15"/>
      <c r="EOJ376" s="15"/>
      <c r="EOK376" s="15"/>
      <c r="EOL376" s="15"/>
      <c r="EOM376" s="15"/>
      <c r="EON376" s="15"/>
      <c r="EOO376" s="10"/>
      <c r="EOP376" s="10"/>
      <c r="EOQ376" s="21"/>
      <c r="EOR376" s="21"/>
      <c r="EOU376" s="21"/>
      <c r="EOV376" s="15"/>
      <c r="EOW376" s="15"/>
      <c r="EOX376" s="15"/>
      <c r="EOY376" s="15"/>
      <c r="EOZ376" s="15"/>
      <c r="EPA376" s="15"/>
      <c r="EPB376" s="15"/>
      <c r="EPC376" s="15"/>
      <c r="EPD376" s="15"/>
      <c r="EPE376" s="15"/>
      <c r="EPF376" s="10"/>
      <c r="EPG376" s="10"/>
      <c r="EPH376" s="21"/>
      <c r="EPI376" s="21"/>
      <c r="EPL376" s="21"/>
      <c r="EPM376" s="15"/>
      <c r="EPN376" s="15"/>
      <c r="EPO376" s="15"/>
      <c r="EPP376" s="15"/>
      <c r="EPQ376" s="15"/>
      <c r="EPR376" s="15"/>
      <c r="EPS376" s="15"/>
      <c r="EPT376" s="15"/>
      <c r="EPU376" s="15"/>
      <c r="EPV376" s="15"/>
      <c r="EPW376" s="10"/>
      <c r="EPX376" s="10"/>
      <c r="EPY376" s="21"/>
      <c r="EPZ376" s="21"/>
      <c r="EQC376" s="21"/>
      <c r="EQD376" s="15"/>
      <c r="EQE376" s="15"/>
      <c r="EQF376" s="15"/>
      <c r="EQG376" s="15"/>
      <c r="EQH376" s="15"/>
      <c r="EQI376" s="15"/>
      <c r="EQJ376" s="15"/>
      <c r="EQK376" s="15"/>
      <c r="EQL376" s="15"/>
      <c r="EQM376" s="15"/>
      <c r="EQN376" s="10"/>
      <c r="EQO376" s="10"/>
      <c r="EQP376" s="21"/>
      <c r="EQQ376" s="21"/>
      <c r="EQT376" s="21"/>
      <c r="EQU376" s="15"/>
      <c r="EQV376" s="15"/>
      <c r="EQW376" s="15"/>
      <c r="EQX376" s="15"/>
      <c r="EQY376" s="15"/>
      <c r="EQZ376" s="15"/>
      <c r="ERA376" s="15"/>
      <c r="ERB376" s="15"/>
      <c r="ERC376" s="15"/>
      <c r="ERD376" s="15"/>
      <c r="ERE376" s="10"/>
      <c r="ERF376" s="10"/>
      <c r="ERG376" s="21"/>
      <c r="ERH376" s="21"/>
      <c r="ERK376" s="21"/>
      <c r="ERL376" s="15"/>
      <c r="ERM376" s="15"/>
      <c r="ERN376" s="15"/>
      <c r="ERO376" s="15"/>
      <c r="ERP376" s="15"/>
      <c r="ERQ376" s="15"/>
      <c r="ERR376" s="15"/>
      <c r="ERS376" s="15"/>
      <c r="ERT376" s="15"/>
      <c r="ERU376" s="15"/>
      <c r="ERV376" s="10"/>
      <c r="ERW376" s="10"/>
      <c r="ERX376" s="21"/>
      <c r="ERY376" s="21"/>
      <c r="ESB376" s="21"/>
      <c r="ESC376" s="15"/>
      <c r="ESD376" s="15"/>
      <c r="ESE376" s="15"/>
      <c r="ESF376" s="15"/>
      <c r="ESG376" s="15"/>
      <c r="ESH376" s="15"/>
      <c r="ESI376" s="15"/>
      <c r="ESJ376" s="15"/>
      <c r="ESK376" s="15"/>
      <c r="ESL376" s="15"/>
      <c r="ESM376" s="10"/>
      <c r="ESN376" s="10"/>
      <c r="ESO376" s="21"/>
      <c r="ESP376" s="21"/>
      <c r="ESS376" s="21"/>
      <c r="EST376" s="15"/>
      <c r="ESU376" s="15"/>
      <c r="ESV376" s="15"/>
      <c r="ESW376" s="15"/>
      <c r="ESX376" s="15"/>
      <c r="ESY376" s="15"/>
      <c r="ESZ376" s="15"/>
      <c r="ETA376" s="15"/>
      <c r="ETB376" s="15"/>
      <c r="ETC376" s="15"/>
      <c r="ETD376" s="10"/>
      <c r="ETE376" s="10"/>
      <c r="ETF376" s="21"/>
      <c r="ETG376" s="21"/>
      <c r="ETJ376" s="21"/>
      <c r="ETK376" s="15"/>
      <c r="ETL376" s="15"/>
      <c r="ETM376" s="15"/>
      <c r="ETN376" s="15"/>
      <c r="ETO376" s="15"/>
      <c r="ETP376" s="15"/>
      <c r="ETQ376" s="15"/>
      <c r="ETR376" s="15"/>
      <c r="ETS376" s="15"/>
      <c r="ETT376" s="15"/>
      <c r="ETU376" s="10"/>
      <c r="ETV376" s="10"/>
      <c r="ETW376" s="21"/>
      <c r="ETX376" s="21"/>
      <c r="EUA376" s="21"/>
      <c r="EUB376" s="15"/>
      <c r="EUC376" s="15"/>
      <c r="EUD376" s="15"/>
      <c r="EUE376" s="15"/>
      <c r="EUF376" s="15"/>
      <c r="EUG376" s="15"/>
      <c r="EUH376" s="15"/>
      <c r="EUI376" s="15"/>
      <c r="EUJ376" s="15"/>
      <c r="EUK376" s="15"/>
      <c r="EUL376" s="10"/>
      <c r="EUM376" s="10"/>
      <c r="EUN376" s="21"/>
      <c r="EUO376" s="21"/>
      <c r="EUR376" s="21"/>
      <c r="EUS376" s="15"/>
      <c r="EUT376" s="15"/>
      <c r="EUU376" s="15"/>
      <c r="EUV376" s="15"/>
      <c r="EUW376" s="15"/>
      <c r="EUX376" s="15"/>
      <c r="EUY376" s="15"/>
      <c r="EUZ376" s="15"/>
      <c r="EVA376" s="15"/>
      <c r="EVB376" s="15"/>
      <c r="EVC376" s="10"/>
      <c r="EVD376" s="10"/>
      <c r="EVE376" s="21"/>
      <c r="EVF376" s="21"/>
      <c r="EVI376" s="21"/>
      <c r="EVJ376" s="15"/>
      <c r="EVK376" s="15"/>
      <c r="EVL376" s="15"/>
      <c r="EVM376" s="15"/>
      <c r="EVN376" s="15"/>
      <c r="EVO376" s="15"/>
      <c r="EVP376" s="15"/>
      <c r="EVQ376" s="15"/>
      <c r="EVR376" s="15"/>
      <c r="EVS376" s="15"/>
      <c r="EVT376" s="10"/>
      <c r="EVU376" s="10"/>
      <c r="EVV376" s="21"/>
      <c r="EVW376" s="21"/>
      <c r="EVZ376" s="21"/>
      <c r="EWA376" s="15"/>
      <c r="EWB376" s="15"/>
      <c r="EWC376" s="15"/>
      <c r="EWD376" s="15"/>
      <c r="EWE376" s="15"/>
      <c r="EWF376" s="15"/>
      <c r="EWG376" s="15"/>
      <c r="EWH376" s="15"/>
      <c r="EWI376" s="15"/>
      <c r="EWJ376" s="15"/>
      <c r="EWK376" s="10"/>
      <c r="EWL376" s="10"/>
      <c r="EWM376" s="21"/>
      <c r="EWN376" s="21"/>
      <c r="EWQ376" s="21"/>
      <c r="EWR376" s="15"/>
      <c r="EWS376" s="15"/>
      <c r="EWT376" s="15"/>
      <c r="EWU376" s="15"/>
      <c r="EWV376" s="15"/>
      <c r="EWW376" s="15"/>
      <c r="EWX376" s="15"/>
      <c r="EWY376" s="15"/>
      <c r="EWZ376" s="15"/>
      <c r="EXA376" s="15"/>
      <c r="EXB376" s="10"/>
      <c r="EXC376" s="10"/>
      <c r="EXD376" s="21"/>
      <c r="EXE376" s="21"/>
      <c r="EXH376" s="21"/>
      <c r="EXI376" s="15"/>
      <c r="EXJ376" s="15"/>
      <c r="EXK376" s="15"/>
      <c r="EXL376" s="15"/>
      <c r="EXM376" s="15"/>
      <c r="EXN376" s="15"/>
      <c r="EXO376" s="15"/>
      <c r="EXP376" s="15"/>
      <c r="EXQ376" s="15"/>
      <c r="EXR376" s="15"/>
      <c r="EXS376" s="10"/>
      <c r="EXT376" s="10"/>
      <c r="EXU376" s="21"/>
      <c r="EXV376" s="21"/>
      <c r="EXY376" s="21"/>
      <c r="EXZ376" s="15"/>
      <c r="EYA376" s="15"/>
      <c r="EYB376" s="15"/>
      <c r="EYC376" s="15"/>
      <c r="EYD376" s="15"/>
      <c r="EYE376" s="15"/>
      <c r="EYF376" s="15"/>
      <c r="EYG376" s="15"/>
      <c r="EYH376" s="15"/>
      <c r="EYI376" s="15"/>
      <c r="EYJ376" s="10"/>
      <c r="EYK376" s="10"/>
      <c r="EYL376" s="21"/>
      <c r="EYM376" s="21"/>
      <c r="EYP376" s="21"/>
      <c r="EYQ376" s="15"/>
      <c r="EYR376" s="15"/>
      <c r="EYS376" s="15"/>
      <c r="EYT376" s="15"/>
      <c r="EYU376" s="15"/>
      <c r="EYV376" s="15"/>
      <c r="EYW376" s="15"/>
      <c r="EYX376" s="15"/>
      <c r="EYY376" s="15"/>
      <c r="EYZ376" s="15"/>
      <c r="EZA376" s="10"/>
      <c r="EZB376" s="10"/>
      <c r="EZC376" s="21"/>
      <c r="EZD376" s="21"/>
      <c r="EZG376" s="21"/>
      <c r="EZH376" s="15"/>
      <c r="EZI376" s="15"/>
      <c r="EZJ376" s="15"/>
      <c r="EZK376" s="15"/>
      <c r="EZL376" s="15"/>
      <c r="EZM376" s="15"/>
      <c r="EZN376" s="15"/>
      <c r="EZO376" s="15"/>
      <c r="EZP376" s="15"/>
      <c r="EZQ376" s="15"/>
      <c r="EZR376" s="10"/>
      <c r="EZS376" s="10"/>
      <c r="EZT376" s="21"/>
      <c r="EZU376" s="21"/>
      <c r="EZX376" s="21"/>
      <c r="EZY376" s="15"/>
      <c r="EZZ376" s="15"/>
      <c r="FAA376" s="15"/>
      <c r="FAB376" s="15"/>
      <c r="FAC376" s="15"/>
      <c r="FAD376" s="15"/>
      <c r="FAE376" s="15"/>
      <c r="FAF376" s="15"/>
      <c r="FAG376" s="15"/>
      <c r="FAH376" s="15"/>
      <c r="FAI376" s="10"/>
      <c r="FAJ376" s="10"/>
      <c r="FAK376" s="21"/>
      <c r="FAL376" s="21"/>
      <c r="FAO376" s="21"/>
      <c r="FAP376" s="15"/>
      <c r="FAQ376" s="15"/>
      <c r="FAR376" s="15"/>
      <c r="FAS376" s="15"/>
      <c r="FAT376" s="15"/>
      <c r="FAU376" s="15"/>
      <c r="FAV376" s="15"/>
      <c r="FAW376" s="15"/>
      <c r="FAX376" s="15"/>
      <c r="FAY376" s="15"/>
      <c r="FAZ376" s="10"/>
      <c r="FBA376" s="10"/>
      <c r="FBB376" s="21"/>
      <c r="FBC376" s="21"/>
      <c r="FBF376" s="21"/>
      <c r="FBG376" s="15"/>
      <c r="FBH376" s="15"/>
      <c r="FBI376" s="15"/>
      <c r="FBJ376" s="15"/>
      <c r="FBK376" s="15"/>
      <c r="FBL376" s="15"/>
      <c r="FBM376" s="15"/>
      <c r="FBN376" s="15"/>
      <c r="FBO376" s="15"/>
      <c r="FBP376" s="15"/>
      <c r="FBQ376" s="10"/>
      <c r="FBR376" s="10"/>
      <c r="FBS376" s="21"/>
      <c r="FBT376" s="21"/>
      <c r="FBW376" s="21"/>
      <c r="FBX376" s="15"/>
      <c r="FBY376" s="15"/>
      <c r="FBZ376" s="15"/>
      <c r="FCA376" s="15"/>
      <c r="FCB376" s="15"/>
      <c r="FCC376" s="15"/>
      <c r="FCD376" s="15"/>
      <c r="FCE376" s="15"/>
      <c r="FCF376" s="15"/>
      <c r="FCG376" s="15"/>
      <c r="FCH376" s="10"/>
      <c r="FCI376" s="10"/>
      <c r="FCJ376" s="21"/>
      <c r="FCK376" s="21"/>
      <c r="FCN376" s="21"/>
      <c r="FCO376" s="15"/>
      <c r="FCP376" s="15"/>
      <c r="FCQ376" s="15"/>
      <c r="FCR376" s="15"/>
      <c r="FCS376" s="15"/>
      <c r="FCT376" s="15"/>
      <c r="FCU376" s="15"/>
      <c r="FCV376" s="15"/>
      <c r="FCW376" s="15"/>
      <c r="FCX376" s="15"/>
      <c r="FCY376" s="10"/>
      <c r="FCZ376" s="10"/>
      <c r="FDA376" s="21"/>
      <c r="FDB376" s="21"/>
      <c r="FDE376" s="21"/>
      <c r="FDF376" s="15"/>
      <c r="FDG376" s="15"/>
      <c r="FDH376" s="15"/>
      <c r="FDI376" s="15"/>
      <c r="FDJ376" s="15"/>
      <c r="FDK376" s="15"/>
      <c r="FDL376" s="15"/>
      <c r="FDM376" s="15"/>
      <c r="FDN376" s="15"/>
      <c r="FDO376" s="15"/>
      <c r="FDP376" s="10"/>
      <c r="FDQ376" s="10"/>
      <c r="FDR376" s="21"/>
      <c r="FDS376" s="21"/>
      <c r="FDV376" s="21"/>
      <c r="FDW376" s="15"/>
      <c r="FDX376" s="15"/>
      <c r="FDY376" s="15"/>
      <c r="FDZ376" s="15"/>
      <c r="FEA376" s="15"/>
      <c r="FEB376" s="15"/>
      <c r="FEC376" s="15"/>
      <c r="FED376" s="15"/>
      <c r="FEE376" s="15"/>
      <c r="FEF376" s="15"/>
      <c r="FEG376" s="10"/>
      <c r="FEH376" s="10"/>
      <c r="FEI376" s="21"/>
      <c r="FEJ376" s="21"/>
      <c r="FEM376" s="21"/>
      <c r="FEN376" s="15"/>
      <c r="FEO376" s="15"/>
      <c r="FEP376" s="15"/>
      <c r="FEQ376" s="15"/>
      <c r="FER376" s="15"/>
      <c r="FES376" s="15"/>
      <c r="FET376" s="15"/>
      <c r="FEU376" s="15"/>
      <c r="FEV376" s="15"/>
      <c r="FEW376" s="15"/>
      <c r="FEX376" s="10"/>
      <c r="FEY376" s="10"/>
      <c r="FEZ376" s="21"/>
      <c r="FFA376" s="21"/>
      <c r="FFD376" s="21"/>
      <c r="FFE376" s="15"/>
      <c r="FFF376" s="15"/>
      <c r="FFG376" s="15"/>
      <c r="FFH376" s="15"/>
      <c r="FFI376" s="15"/>
      <c r="FFJ376" s="15"/>
      <c r="FFK376" s="15"/>
      <c r="FFL376" s="15"/>
      <c r="FFM376" s="15"/>
      <c r="FFN376" s="15"/>
      <c r="FFO376" s="10"/>
      <c r="FFP376" s="10"/>
      <c r="FFQ376" s="21"/>
      <c r="FFR376" s="21"/>
      <c r="FFU376" s="21"/>
      <c r="FFV376" s="15"/>
      <c r="FFW376" s="15"/>
      <c r="FFX376" s="15"/>
      <c r="FFY376" s="15"/>
      <c r="FFZ376" s="15"/>
      <c r="FGA376" s="15"/>
      <c r="FGB376" s="15"/>
      <c r="FGC376" s="15"/>
      <c r="FGD376" s="15"/>
      <c r="FGE376" s="15"/>
      <c r="FGF376" s="10"/>
      <c r="FGG376" s="10"/>
      <c r="FGH376" s="21"/>
      <c r="FGI376" s="21"/>
      <c r="FGL376" s="21"/>
      <c r="FGM376" s="15"/>
      <c r="FGN376" s="15"/>
      <c r="FGO376" s="15"/>
      <c r="FGP376" s="15"/>
      <c r="FGQ376" s="15"/>
      <c r="FGR376" s="15"/>
      <c r="FGS376" s="15"/>
      <c r="FGT376" s="15"/>
      <c r="FGU376" s="15"/>
      <c r="FGV376" s="15"/>
      <c r="FGW376" s="10"/>
      <c r="FGX376" s="10"/>
      <c r="FGY376" s="21"/>
      <c r="FGZ376" s="21"/>
      <c r="FHC376" s="21"/>
      <c r="FHD376" s="15"/>
      <c r="FHE376" s="15"/>
      <c r="FHF376" s="15"/>
      <c r="FHG376" s="15"/>
      <c r="FHH376" s="15"/>
      <c r="FHI376" s="15"/>
      <c r="FHJ376" s="15"/>
      <c r="FHK376" s="15"/>
      <c r="FHL376" s="15"/>
      <c r="FHM376" s="15"/>
      <c r="FHN376" s="10"/>
      <c r="FHO376" s="10"/>
      <c r="FHP376" s="21"/>
      <c r="FHQ376" s="21"/>
      <c r="FHT376" s="21"/>
      <c r="FHU376" s="15"/>
      <c r="FHV376" s="15"/>
      <c r="FHW376" s="15"/>
      <c r="FHX376" s="15"/>
      <c r="FHY376" s="15"/>
      <c r="FHZ376" s="15"/>
      <c r="FIA376" s="15"/>
      <c r="FIB376" s="15"/>
      <c r="FIC376" s="15"/>
      <c r="FID376" s="15"/>
      <c r="FIE376" s="10"/>
      <c r="FIF376" s="10"/>
      <c r="FIG376" s="21"/>
      <c r="FIH376" s="21"/>
      <c r="FIK376" s="21"/>
      <c r="FIL376" s="15"/>
      <c r="FIM376" s="15"/>
      <c r="FIN376" s="15"/>
      <c r="FIO376" s="15"/>
      <c r="FIP376" s="15"/>
      <c r="FIQ376" s="15"/>
      <c r="FIR376" s="15"/>
      <c r="FIS376" s="15"/>
      <c r="FIT376" s="15"/>
      <c r="FIU376" s="15"/>
      <c r="FIV376" s="10"/>
      <c r="FIW376" s="10"/>
      <c r="FIX376" s="21"/>
      <c r="FIY376" s="21"/>
      <c r="FJB376" s="21"/>
      <c r="FJC376" s="15"/>
      <c r="FJD376" s="15"/>
      <c r="FJE376" s="15"/>
      <c r="FJF376" s="15"/>
      <c r="FJG376" s="15"/>
      <c r="FJH376" s="15"/>
      <c r="FJI376" s="15"/>
      <c r="FJJ376" s="15"/>
      <c r="FJK376" s="15"/>
      <c r="FJL376" s="15"/>
      <c r="FJM376" s="10"/>
      <c r="FJN376" s="10"/>
      <c r="FJO376" s="21"/>
      <c r="FJP376" s="21"/>
      <c r="FJS376" s="21"/>
      <c r="FJT376" s="15"/>
      <c r="FJU376" s="15"/>
      <c r="FJV376" s="15"/>
      <c r="FJW376" s="15"/>
      <c r="FJX376" s="15"/>
      <c r="FJY376" s="15"/>
      <c r="FJZ376" s="15"/>
      <c r="FKA376" s="15"/>
      <c r="FKB376" s="15"/>
      <c r="FKC376" s="15"/>
      <c r="FKD376" s="10"/>
      <c r="FKE376" s="10"/>
      <c r="FKF376" s="21"/>
      <c r="FKG376" s="21"/>
      <c r="FKJ376" s="21"/>
      <c r="FKK376" s="15"/>
      <c r="FKL376" s="15"/>
      <c r="FKM376" s="15"/>
      <c r="FKN376" s="15"/>
      <c r="FKO376" s="15"/>
      <c r="FKP376" s="15"/>
      <c r="FKQ376" s="15"/>
      <c r="FKR376" s="15"/>
      <c r="FKS376" s="15"/>
      <c r="FKT376" s="15"/>
      <c r="FKU376" s="10"/>
      <c r="FKV376" s="10"/>
      <c r="FKW376" s="21"/>
      <c r="FKX376" s="21"/>
      <c r="FLA376" s="21"/>
      <c r="FLB376" s="15"/>
      <c r="FLC376" s="15"/>
      <c r="FLD376" s="15"/>
      <c r="FLE376" s="15"/>
      <c r="FLF376" s="15"/>
      <c r="FLG376" s="15"/>
      <c r="FLH376" s="15"/>
      <c r="FLI376" s="15"/>
      <c r="FLJ376" s="15"/>
      <c r="FLK376" s="15"/>
      <c r="FLL376" s="10"/>
      <c r="FLM376" s="10"/>
      <c r="FLN376" s="21"/>
      <c r="FLO376" s="21"/>
      <c r="FLR376" s="21"/>
      <c r="FLS376" s="15"/>
      <c r="FLT376" s="15"/>
      <c r="FLU376" s="15"/>
      <c r="FLV376" s="15"/>
      <c r="FLW376" s="15"/>
      <c r="FLX376" s="15"/>
      <c r="FLY376" s="15"/>
      <c r="FLZ376" s="15"/>
      <c r="FMA376" s="15"/>
      <c r="FMB376" s="15"/>
      <c r="FMC376" s="10"/>
      <c r="FMD376" s="10"/>
      <c r="FME376" s="21"/>
      <c r="FMF376" s="21"/>
      <c r="FMI376" s="21"/>
      <c r="FMJ376" s="15"/>
      <c r="FMK376" s="15"/>
      <c r="FML376" s="15"/>
      <c r="FMM376" s="15"/>
      <c r="FMN376" s="15"/>
      <c r="FMO376" s="15"/>
      <c r="FMP376" s="15"/>
      <c r="FMQ376" s="15"/>
      <c r="FMR376" s="15"/>
      <c r="FMS376" s="15"/>
      <c r="FMT376" s="10"/>
      <c r="FMU376" s="10"/>
      <c r="FMV376" s="21"/>
      <c r="FMW376" s="21"/>
      <c r="FMZ376" s="21"/>
      <c r="FNA376" s="15"/>
      <c r="FNB376" s="15"/>
      <c r="FNC376" s="15"/>
      <c r="FND376" s="15"/>
      <c r="FNE376" s="15"/>
      <c r="FNF376" s="15"/>
      <c r="FNG376" s="15"/>
      <c r="FNH376" s="15"/>
      <c r="FNI376" s="15"/>
      <c r="FNJ376" s="15"/>
      <c r="FNK376" s="10"/>
      <c r="FNL376" s="10"/>
      <c r="FNM376" s="21"/>
      <c r="FNN376" s="21"/>
      <c r="FNQ376" s="21"/>
      <c r="FNR376" s="15"/>
      <c r="FNS376" s="15"/>
      <c r="FNT376" s="15"/>
      <c r="FNU376" s="15"/>
      <c r="FNV376" s="15"/>
      <c r="FNW376" s="15"/>
      <c r="FNX376" s="15"/>
      <c r="FNY376" s="15"/>
      <c r="FNZ376" s="15"/>
      <c r="FOA376" s="15"/>
      <c r="FOB376" s="10"/>
      <c r="FOC376" s="10"/>
      <c r="FOD376" s="21"/>
      <c r="FOE376" s="21"/>
      <c r="FOH376" s="21"/>
      <c r="FOI376" s="15"/>
      <c r="FOJ376" s="15"/>
      <c r="FOK376" s="15"/>
      <c r="FOL376" s="15"/>
      <c r="FOM376" s="15"/>
      <c r="FON376" s="15"/>
      <c r="FOO376" s="15"/>
      <c r="FOP376" s="15"/>
      <c r="FOQ376" s="15"/>
      <c r="FOR376" s="15"/>
      <c r="FOS376" s="10"/>
      <c r="FOT376" s="10"/>
      <c r="FOU376" s="21"/>
      <c r="FOV376" s="21"/>
      <c r="FOY376" s="21"/>
      <c r="FOZ376" s="15"/>
      <c r="FPA376" s="15"/>
      <c r="FPB376" s="15"/>
      <c r="FPC376" s="15"/>
      <c r="FPD376" s="15"/>
      <c r="FPE376" s="15"/>
      <c r="FPF376" s="15"/>
      <c r="FPG376" s="15"/>
      <c r="FPH376" s="15"/>
      <c r="FPI376" s="15"/>
      <c r="FPJ376" s="10"/>
      <c r="FPK376" s="10"/>
      <c r="FPL376" s="21"/>
      <c r="FPM376" s="21"/>
      <c r="FPP376" s="21"/>
      <c r="FPQ376" s="15"/>
      <c r="FPR376" s="15"/>
      <c r="FPS376" s="15"/>
      <c r="FPT376" s="15"/>
      <c r="FPU376" s="15"/>
      <c r="FPV376" s="15"/>
      <c r="FPW376" s="15"/>
      <c r="FPX376" s="15"/>
      <c r="FPY376" s="15"/>
      <c r="FPZ376" s="15"/>
      <c r="FQA376" s="10"/>
      <c r="FQB376" s="10"/>
      <c r="FQC376" s="21"/>
      <c r="FQD376" s="21"/>
      <c r="FQG376" s="21"/>
      <c r="FQH376" s="15"/>
      <c r="FQI376" s="15"/>
      <c r="FQJ376" s="15"/>
      <c r="FQK376" s="15"/>
      <c r="FQL376" s="15"/>
      <c r="FQM376" s="15"/>
      <c r="FQN376" s="15"/>
      <c r="FQO376" s="15"/>
      <c r="FQP376" s="15"/>
      <c r="FQQ376" s="15"/>
      <c r="FQR376" s="10"/>
      <c r="FQS376" s="10"/>
      <c r="FQT376" s="21"/>
      <c r="FQU376" s="21"/>
      <c r="FQX376" s="21"/>
      <c r="FQY376" s="15"/>
      <c r="FQZ376" s="15"/>
      <c r="FRA376" s="15"/>
      <c r="FRB376" s="15"/>
      <c r="FRC376" s="15"/>
      <c r="FRD376" s="15"/>
      <c r="FRE376" s="15"/>
      <c r="FRF376" s="15"/>
      <c r="FRG376" s="15"/>
      <c r="FRH376" s="15"/>
      <c r="FRI376" s="10"/>
      <c r="FRJ376" s="10"/>
      <c r="FRK376" s="21"/>
      <c r="FRL376" s="21"/>
      <c r="FRO376" s="21"/>
      <c r="FRP376" s="15"/>
      <c r="FRQ376" s="15"/>
      <c r="FRR376" s="15"/>
      <c r="FRS376" s="15"/>
      <c r="FRT376" s="15"/>
      <c r="FRU376" s="15"/>
      <c r="FRV376" s="15"/>
      <c r="FRW376" s="15"/>
      <c r="FRX376" s="15"/>
      <c r="FRY376" s="15"/>
      <c r="FRZ376" s="10"/>
      <c r="FSA376" s="10"/>
      <c r="FSB376" s="21"/>
      <c r="FSC376" s="21"/>
      <c r="FSF376" s="21"/>
      <c r="FSG376" s="15"/>
      <c r="FSH376" s="15"/>
      <c r="FSI376" s="15"/>
      <c r="FSJ376" s="15"/>
      <c r="FSK376" s="15"/>
      <c r="FSL376" s="15"/>
      <c r="FSM376" s="15"/>
      <c r="FSN376" s="15"/>
      <c r="FSO376" s="15"/>
      <c r="FSP376" s="15"/>
      <c r="FSQ376" s="10"/>
      <c r="FSR376" s="10"/>
      <c r="FSS376" s="21"/>
      <c r="FST376" s="21"/>
      <c r="FSW376" s="21"/>
      <c r="FSX376" s="15"/>
      <c r="FSY376" s="15"/>
      <c r="FSZ376" s="15"/>
      <c r="FTA376" s="15"/>
      <c r="FTB376" s="15"/>
      <c r="FTC376" s="15"/>
      <c r="FTD376" s="15"/>
      <c r="FTE376" s="15"/>
      <c r="FTF376" s="15"/>
      <c r="FTG376" s="15"/>
      <c r="FTH376" s="10"/>
      <c r="FTI376" s="10"/>
      <c r="FTJ376" s="21"/>
      <c r="FTK376" s="21"/>
      <c r="FTN376" s="21"/>
      <c r="FTO376" s="15"/>
      <c r="FTP376" s="15"/>
      <c r="FTQ376" s="15"/>
      <c r="FTR376" s="15"/>
      <c r="FTS376" s="15"/>
      <c r="FTT376" s="15"/>
      <c r="FTU376" s="15"/>
      <c r="FTV376" s="15"/>
      <c r="FTW376" s="15"/>
      <c r="FTX376" s="15"/>
      <c r="FTY376" s="10"/>
      <c r="FTZ376" s="10"/>
      <c r="FUA376" s="21"/>
      <c r="FUB376" s="21"/>
      <c r="FUE376" s="21"/>
      <c r="FUF376" s="15"/>
      <c r="FUG376" s="15"/>
      <c r="FUH376" s="15"/>
      <c r="FUI376" s="15"/>
      <c r="FUJ376" s="15"/>
      <c r="FUK376" s="15"/>
      <c r="FUL376" s="15"/>
      <c r="FUM376" s="15"/>
      <c r="FUN376" s="15"/>
      <c r="FUO376" s="15"/>
      <c r="FUP376" s="10"/>
      <c r="FUQ376" s="10"/>
      <c r="FUR376" s="21"/>
      <c r="FUS376" s="21"/>
      <c r="FUV376" s="21"/>
      <c r="FUW376" s="15"/>
      <c r="FUX376" s="15"/>
      <c r="FUY376" s="15"/>
      <c r="FUZ376" s="15"/>
      <c r="FVA376" s="15"/>
      <c r="FVB376" s="15"/>
      <c r="FVC376" s="15"/>
      <c r="FVD376" s="15"/>
      <c r="FVE376" s="15"/>
      <c r="FVF376" s="15"/>
      <c r="FVG376" s="10"/>
      <c r="FVH376" s="10"/>
      <c r="FVI376" s="21"/>
      <c r="FVJ376" s="21"/>
      <c r="FVM376" s="21"/>
      <c r="FVN376" s="15"/>
      <c r="FVO376" s="15"/>
      <c r="FVP376" s="15"/>
      <c r="FVQ376" s="15"/>
      <c r="FVR376" s="15"/>
      <c r="FVS376" s="15"/>
      <c r="FVT376" s="15"/>
      <c r="FVU376" s="15"/>
      <c r="FVV376" s="15"/>
      <c r="FVW376" s="15"/>
      <c r="FVX376" s="10"/>
      <c r="FVY376" s="10"/>
      <c r="FVZ376" s="21"/>
      <c r="FWA376" s="21"/>
      <c r="FWD376" s="21"/>
      <c r="FWE376" s="15"/>
      <c r="FWF376" s="15"/>
      <c r="FWG376" s="15"/>
      <c r="FWH376" s="15"/>
      <c r="FWI376" s="15"/>
      <c r="FWJ376" s="15"/>
      <c r="FWK376" s="15"/>
      <c r="FWL376" s="15"/>
      <c r="FWM376" s="15"/>
      <c r="FWN376" s="15"/>
      <c r="FWO376" s="10"/>
      <c r="FWP376" s="10"/>
      <c r="FWQ376" s="21"/>
      <c r="FWR376" s="21"/>
      <c r="FWU376" s="21"/>
      <c r="FWV376" s="15"/>
      <c r="FWW376" s="15"/>
      <c r="FWX376" s="15"/>
      <c r="FWY376" s="15"/>
      <c r="FWZ376" s="15"/>
      <c r="FXA376" s="15"/>
      <c r="FXB376" s="15"/>
      <c r="FXC376" s="15"/>
      <c r="FXD376" s="15"/>
      <c r="FXE376" s="15"/>
      <c r="FXF376" s="10"/>
      <c r="FXG376" s="10"/>
      <c r="FXH376" s="21"/>
      <c r="FXI376" s="21"/>
      <c r="FXL376" s="21"/>
      <c r="FXM376" s="15"/>
      <c r="FXN376" s="15"/>
      <c r="FXO376" s="15"/>
      <c r="FXP376" s="15"/>
      <c r="FXQ376" s="15"/>
      <c r="FXR376" s="15"/>
      <c r="FXS376" s="15"/>
      <c r="FXT376" s="15"/>
      <c r="FXU376" s="15"/>
      <c r="FXV376" s="15"/>
      <c r="FXW376" s="10"/>
      <c r="FXX376" s="10"/>
      <c r="FXY376" s="21"/>
      <c r="FXZ376" s="21"/>
      <c r="FYC376" s="21"/>
      <c r="FYD376" s="15"/>
      <c r="FYE376" s="15"/>
      <c r="FYF376" s="15"/>
      <c r="FYG376" s="15"/>
      <c r="FYH376" s="15"/>
      <c r="FYI376" s="15"/>
      <c r="FYJ376" s="15"/>
      <c r="FYK376" s="15"/>
      <c r="FYL376" s="15"/>
      <c r="FYM376" s="15"/>
      <c r="FYN376" s="10"/>
      <c r="FYO376" s="10"/>
      <c r="FYP376" s="21"/>
      <c r="FYQ376" s="21"/>
      <c r="FYT376" s="21"/>
      <c r="FYU376" s="15"/>
      <c r="FYV376" s="15"/>
      <c r="FYW376" s="15"/>
      <c r="FYX376" s="15"/>
      <c r="FYY376" s="15"/>
      <c r="FYZ376" s="15"/>
      <c r="FZA376" s="15"/>
      <c r="FZB376" s="15"/>
      <c r="FZC376" s="15"/>
      <c r="FZD376" s="15"/>
      <c r="FZE376" s="10"/>
      <c r="FZF376" s="10"/>
      <c r="FZG376" s="21"/>
      <c r="FZH376" s="21"/>
      <c r="FZK376" s="21"/>
      <c r="FZL376" s="15"/>
      <c r="FZM376" s="15"/>
      <c r="FZN376" s="15"/>
      <c r="FZO376" s="15"/>
      <c r="FZP376" s="15"/>
      <c r="FZQ376" s="15"/>
      <c r="FZR376" s="15"/>
      <c r="FZS376" s="15"/>
      <c r="FZT376" s="15"/>
      <c r="FZU376" s="15"/>
      <c r="FZV376" s="10"/>
      <c r="FZW376" s="10"/>
      <c r="FZX376" s="21"/>
      <c r="FZY376" s="21"/>
      <c r="GAB376" s="21"/>
      <c r="GAC376" s="15"/>
      <c r="GAD376" s="15"/>
      <c r="GAE376" s="15"/>
      <c r="GAF376" s="15"/>
      <c r="GAG376" s="15"/>
      <c r="GAH376" s="15"/>
      <c r="GAI376" s="15"/>
      <c r="GAJ376" s="15"/>
      <c r="GAK376" s="15"/>
      <c r="GAL376" s="15"/>
      <c r="GAM376" s="10"/>
      <c r="GAN376" s="10"/>
      <c r="GAO376" s="21"/>
      <c r="GAP376" s="21"/>
      <c r="GAS376" s="21"/>
      <c r="GAT376" s="15"/>
      <c r="GAU376" s="15"/>
      <c r="GAV376" s="15"/>
      <c r="GAW376" s="15"/>
      <c r="GAX376" s="15"/>
      <c r="GAY376" s="15"/>
      <c r="GAZ376" s="15"/>
      <c r="GBA376" s="15"/>
      <c r="GBB376" s="15"/>
      <c r="GBC376" s="15"/>
      <c r="GBD376" s="10"/>
      <c r="GBE376" s="10"/>
      <c r="GBF376" s="21"/>
      <c r="GBG376" s="21"/>
      <c r="GBJ376" s="21"/>
      <c r="GBK376" s="15"/>
      <c r="GBL376" s="15"/>
      <c r="GBM376" s="15"/>
      <c r="GBN376" s="15"/>
      <c r="GBO376" s="15"/>
      <c r="GBP376" s="15"/>
      <c r="GBQ376" s="15"/>
      <c r="GBR376" s="15"/>
      <c r="GBS376" s="15"/>
      <c r="GBT376" s="15"/>
      <c r="GBU376" s="10"/>
      <c r="GBV376" s="10"/>
      <c r="GBW376" s="21"/>
      <c r="GBX376" s="21"/>
      <c r="GCA376" s="21"/>
      <c r="GCB376" s="15"/>
      <c r="GCC376" s="15"/>
      <c r="GCD376" s="15"/>
      <c r="GCE376" s="15"/>
      <c r="GCF376" s="15"/>
      <c r="GCG376" s="15"/>
      <c r="GCH376" s="15"/>
      <c r="GCI376" s="15"/>
      <c r="GCJ376" s="15"/>
      <c r="GCK376" s="15"/>
      <c r="GCL376" s="10"/>
      <c r="GCM376" s="10"/>
      <c r="GCN376" s="21"/>
      <c r="GCO376" s="21"/>
      <c r="GCR376" s="21"/>
      <c r="GCS376" s="15"/>
      <c r="GCT376" s="15"/>
      <c r="GCU376" s="15"/>
      <c r="GCV376" s="15"/>
      <c r="GCW376" s="15"/>
      <c r="GCX376" s="15"/>
      <c r="GCY376" s="15"/>
      <c r="GCZ376" s="15"/>
      <c r="GDA376" s="15"/>
      <c r="GDB376" s="15"/>
      <c r="GDC376" s="10"/>
      <c r="GDD376" s="10"/>
      <c r="GDE376" s="21"/>
      <c r="GDF376" s="21"/>
      <c r="GDI376" s="21"/>
      <c r="GDJ376" s="15"/>
      <c r="GDK376" s="15"/>
      <c r="GDL376" s="15"/>
      <c r="GDM376" s="15"/>
      <c r="GDN376" s="15"/>
      <c r="GDO376" s="15"/>
      <c r="GDP376" s="15"/>
      <c r="GDQ376" s="15"/>
      <c r="GDR376" s="15"/>
      <c r="GDS376" s="15"/>
      <c r="GDT376" s="10"/>
      <c r="GDU376" s="10"/>
      <c r="GDV376" s="21"/>
      <c r="GDW376" s="21"/>
      <c r="GDZ376" s="21"/>
      <c r="GEA376" s="15"/>
      <c r="GEB376" s="15"/>
      <c r="GEC376" s="15"/>
      <c r="GED376" s="15"/>
      <c r="GEE376" s="15"/>
      <c r="GEF376" s="15"/>
      <c r="GEG376" s="15"/>
      <c r="GEH376" s="15"/>
      <c r="GEI376" s="15"/>
      <c r="GEJ376" s="15"/>
      <c r="GEK376" s="10"/>
      <c r="GEL376" s="10"/>
      <c r="GEM376" s="21"/>
      <c r="GEN376" s="21"/>
      <c r="GEQ376" s="21"/>
      <c r="GER376" s="15"/>
      <c r="GES376" s="15"/>
      <c r="GET376" s="15"/>
      <c r="GEU376" s="15"/>
      <c r="GEV376" s="15"/>
      <c r="GEW376" s="15"/>
      <c r="GEX376" s="15"/>
      <c r="GEY376" s="15"/>
      <c r="GEZ376" s="15"/>
      <c r="GFA376" s="15"/>
      <c r="GFB376" s="10"/>
      <c r="GFC376" s="10"/>
      <c r="GFD376" s="21"/>
      <c r="GFE376" s="21"/>
      <c r="GFH376" s="21"/>
      <c r="GFI376" s="15"/>
      <c r="GFJ376" s="15"/>
      <c r="GFK376" s="15"/>
      <c r="GFL376" s="15"/>
      <c r="GFM376" s="15"/>
      <c r="GFN376" s="15"/>
      <c r="GFO376" s="15"/>
      <c r="GFP376" s="15"/>
      <c r="GFQ376" s="15"/>
      <c r="GFR376" s="15"/>
      <c r="GFS376" s="10"/>
      <c r="GFT376" s="10"/>
      <c r="GFU376" s="21"/>
      <c r="GFV376" s="21"/>
      <c r="GFY376" s="21"/>
      <c r="GFZ376" s="15"/>
      <c r="GGA376" s="15"/>
      <c r="GGB376" s="15"/>
      <c r="GGC376" s="15"/>
      <c r="GGD376" s="15"/>
      <c r="GGE376" s="15"/>
      <c r="GGF376" s="15"/>
      <c r="GGG376" s="15"/>
      <c r="GGH376" s="15"/>
      <c r="GGI376" s="15"/>
      <c r="GGJ376" s="10"/>
      <c r="GGK376" s="10"/>
      <c r="GGL376" s="21"/>
      <c r="GGM376" s="21"/>
      <c r="GGP376" s="21"/>
      <c r="GGQ376" s="15"/>
      <c r="GGR376" s="15"/>
      <c r="GGS376" s="15"/>
      <c r="GGT376" s="15"/>
      <c r="GGU376" s="15"/>
      <c r="GGV376" s="15"/>
      <c r="GGW376" s="15"/>
      <c r="GGX376" s="15"/>
      <c r="GGY376" s="15"/>
      <c r="GGZ376" s="15"/>
      <c r="GHA376" s="10"/>
      <c r="GHB376" s="10"/>
      <c r="GHC376" s="21"/>
      <c r="GHD376" s="21"/>
      <c r="GHG376" s="21"/>
      <c r="GHH376" s="15"/>
      <c r="GHI376" s="15"/>
      <c r="GHJ376" s="15"/>
      <c r="GHK376" s="15"/>
      <c r="GHL376" s="15"/>
      <c r="GHM376" s="15"/>
      <c r="GHN376" s="15"/>
      <c r="GHO376" s="15"/>
      <c r="GHP376" s="15"/>
      <c r="GHQ376" s="15"/>
      <c r="GHR376" s="10"/>
      <c r="GHS376" s="10"/>
      <c r="GHT376" s="21"/>
      <c r="GHU376" s="21"/>
      <c r="GHX376" s="21"/>
      <c r="GHY376" s="15"/>
      <c r="GHZ376" s="15"/>
      <c r="GIA376" s="15"/>
      <c r="GIB376" s="15"/>
      <c r="GIC376" s="15"/>
      <c r="GID376" s="15"/>
      <c r="GIE376" s="15"/>
      <c r="GIF376" s="15"/>
      <c r="GIG376" s="15"/>
      <c r="GIH376" s="15"/>
      <c r="GII376" s="10"/>
      <c r="GIJ376" s="10"/>
      <c r="GIK376" s="21"/>
      <c r="GIL376" s="21"/>
      <c r="GIO376" s="21"/>
      <c r="GIP376" s="15"/>
      <c r="GIQ376" s="15"/>
      <c r="GIR376" s="15"/>
      <c r="GIS376" s="15"/>
      <c r="GIT376" s="15"/>
      <c r="GIU376" s="15"/>
      <c r="GIV376" s="15"/>
      <c r="GIW376" s="15"/>
      <c r="GIX376" s="15"/>
      <c r="GIY376" s="15"/>
      <c r="GIZ376" s="10"/>
      <c r="GJA376" s="10"/>
      <c r="GJB376" s="21"/>
      <c r="GJC376" s="21"/>
      <c r="GJF376" s="21"/>
      <c r="GJG376" s="15"/>
      <c r="GJH376" s="15"/>
      <c r="GJI376" s="15"/>
      <c r="GJJ376" s="15"/>
      <c r="GJK376" s="15"/>
      <c r="GJL376" s="15"/>
      <c r="GJM376" s="15"/>
      <c r="GJN376" s="15"/>
      <c r="GJO376" s="15"/>
      <c r="GJP376" s="15"/>
      <c r="GJQ376" s="10"/>
      <c r="GJR376" s="10"/>
      <c r="GJS376" s="21"/>
      <c r="GJT376" s="21"/>
      <c r="GJW376" s="21"/>
      <c r="GJX376" s="15"/>
      <c r="GJY376" s="15"/>
      <c r="GJZ376" s="15"/>
      <c r="GKA376" s="15"/>
      <c r="GKB376" s="15"/>
      <c r="GKC376" s="15"/>
      <c r="GKD376" s="15"/>
      <c r="GKE376" s="15"/>
      <c r="GKF376" s="15"/>
      <c r="GKG376" s="15"/>
      <c r="GKH376" s="10"/>
      <c r="GKI376" s="10"/>
      <c r="GKJ376" s="21"/>
      <c r="GKK376" s="21"/>
      <c r="GKN376" s="21"/>
      <c r="GKO376" s="15"/>
      <c r="GKP376" s="15"/>
      <c r="GKQ376" s="15"/>
      <c r="GKR376" s="15"/>
      <c r="GKS376" s="15"/>
      <c r="GKT376" s="15"/>
      <c r="GKU376" s="15"/>
      <c r="GKV376" s="15"/>
      <c r="GKW376" s="15"/>
      <c r="GKX376" s="15"/>
      <c r="GKY376" s="10"/>
      <c r="GKZ376" s="10"/>
      <c r="GLA376" s="21"/>
      <c r="GLB376" s="21"/>
      <c r="GLE376" s="21"/>
      <c r="GLF376" s="15"/>
      <c r="GLG376" s="15"/>
      <c r="GLH376" s="15"/>
      <c r="GLI376" s="15"/>
      <c r="GLJ376" s="15"/>
      <c r="GLK376" s="15"/>
      <c r="GLL376" s="15"/>
      <c r="GLM376" s="15"/>
      <c r="GLN376" s="15"/>
      <c r="GLO376" s="15"/>
      <c r="GLP376" s="10"/>
      <c r="GLQ376" s="10"/>
      <c r="GLR376" s="21"/>
      <c r="GLS376" s="21"/>
      <c r="GLV376" s="21"/>
      <c r="GLW376" s="15"/>
      <c r="GLX376" s="15"/>
      <c r="GLY376" s="15"/>
      <c r="GLZ376" s="15"/>
      <c r="GMA376" s="15"/>
      <c r="GMB376" s="15"/>
      <c r="GMC376" s="15"/>
      <c r="GMD376" s="15"/>
      <c r="GME376" s="15"/>
      <c r="GMF376" s="15"/>
      <c r="GMG376" s="10"/>
      <c r="GMH376" s="10"/>
      <c r="GMI376" s="21"/>
      <c r="GMJ376" s="21"/>
      <c r="GMM376" s="21"/>
      <c r="GMN376" s="15"/>
      <c r="GMO376" s="15"/>
      <c r="GMP376" s="15"/>
      <c r="GMQ376" s="15"/>
      <c r="GMR376" s="15"/>
      <c r="GMS376" s="15"/>
      <c r="GMT376" s="15"/>
      <c r="GMU376" s="15"/>
      <c r="GMV376" s="15"/>
      <c r="GMW376" s="15"/>
      <c r="GMX376" s="10"/>
      <c r="GMY376" s="10"/>
      <c r="GMZ376" s="21"/>
      <c r="GNA376" s="21"/>
      <c r="GND376" s="21"/>
      <c r="GNE376" s="15"/>
      <c r="GNF376" s="15"/>
      <c r="GNG376" s="15"/>
      <c r="GNH376" s="15"/>
      <c r="GNI376" s="15"/>
      <c r="GNJ376" s="15"/>
      <c r="GNK376" s="15"/>
      <c r="GNL376" s="15"/>
      <c r="GNM376" s="15"/>
      <c r="GNN376" s="15"/>
      <c r="GNO376" s="10"/>
      <c r="GNP376" s="10"/>
      <c r="GNQ376" s="21"/>
      <c r="GNR376" s="21"/>
      <c r="GNU376" s="21"/>
      <c r="GNV376" s="15"/>
      <c r="GNW376" s="15"/>
      <c r="GNX376" s="15"/>
      <c r="GNY376" s="15"/>
      <c r="GNZ376" s="15"/>
      <c r="GOA376" s="15"/>
      <c r="GOB376" s="15"/>
      <c r="GOC376" s="15"/>
      <c r="GOD376" s="15"/>
      <c r="GOE376" s="15"/>
      <c r="GOF376" s="10"/>
      <c r="GOG376" s="10"/>
      <c r="GOH376" s="21"/>
      <c r="GOI376" s="21"/>
      <c r="GOL376" s="21"/>
      <c r="GOM376" s="15"/>
      <c r="GON376" s="15"/>
      <c r="GOO376" s="15"/>
      <c r="GOP376" s="15"/>
      <c r="GOQ376" s="15"/>
      <c r="GOR376" s="15"/>
      <c r="GOS376" s="15"/>
      <c r="GOT376" s="15"/>
      <c r="GOU376" s="15"/>
      <c r="GOV376" s="15"/>
      <c r="GOW376" s="10"/>
      <c r="GOX376" s="10"/>
      <c r="GOY376" s="21"/>
      <c r="GOZ376" s="21"/>
      <c r="GPC376" s="21"/>
      <c r="GPD376" s="15"/>
      <c r="GPE376" s="15"/>
      <c r="GPF376" s="15"/>
      <c r="GPG376" s="15"/>
      <c r="GPH376" s="15"/>
      <c r="GPI376" s="15"/>
      <c r="GPJ376" s="15"/>
      <c r="GPK376" s="15"/>
      <c r="GPL376" s="15"/>
      <c r="GPM376" s="15"/>
      <c r="GPN376" s="10"/>
      <c r="GPO376" s="10"/>
      <c r="GPP376" s="21"/>
      <c r="GPQ376" s="21"/>
      <c r="GPT376" s="21"/>
      <c r="GPU376" s="15"/>
      <c r="GPV376" s="15"/>
      <c r="GPW376" s="15"/>
      <c r="GPX376" s="15"/>
      <c r="GPY376" s="15"/>
      <c r="GPZ376" s="15"/>
      <c r="GQA376" s="15"/>
      <c r="GQB376" s="15"/>
      <c r="GQC376" s="15"/>
      <c r="GQD376" s="15"/>
      <c r="GQE376" s="10"/>
      <c r="GQF376" s="10"/>
      <c r="GQG376" s="21"/>
      <c r="GQH376" s="21"/>
      <c r="GQK376" s="21"/>
      <c r="GQL376" s="15"/>
      <c r="GQM376" s="15"/>
      <c r="GQN376" s="15"/>
      <c r="GQO376" s="15"/>
      <c r="GQP376" s="15"/>
      <c r="GQQ376" s="15"/>
      <c r="GQR376" s="15"/>
      <c r="GQS376" s="15"/>
      <c r="GQT376" s="15"/>
      <c r="GQU376" s="15"/>
      <c r="GQV376" s="10"/>
      <c r="GQW376" s="10"/>
      <c r="GQX376" s="21"/>
      <c r="GQY376" s="21"/>
      <c r="GRB376" s="21"/>
      <c r="GRC376" s="15"/>
      <c r="GRD376" s="15"/>
      <c r="GRE376" s="15"/>
      <c r="GRF376" s="15"/>
      <c r="GRG376" s="15"/>
      <c r="GRH376" s="15"/>
      <c r="GRI376" s="15"/>
      <c r="GRJ376" s="15"/>
      <c r="GRK376" s="15"/>
      <c r="GRL376" s="15"/>
      <c r="GRM376" s="10"/>
      <c r="GRN376" s="10"/>
      <c r="GRO376" s="21"/>
      <c r="GRP376" s="21"/>
      <c r="GRS376" s="21"/>
      <c r="GRT376" s="15"/>
      <c r="GRU376" s="15"/>
      <c r="GRV376" s="15"/>
      <c r="GRW376" s="15"/>
      <c r="GRX376" s="15"/>
      <c r="GRY376" s="15"/>
      <c r="GRZ376" s="15"/>
      <c r="GSA376" s="15"/>
      <c r="GSB376" s="15"/>
      <c r="GSC376" s="15"/>
      <c r="GSD376" s="10"/>
      <c r="GSE376" s="10"/>
      <c r="GSF376" s="21"/>
      <c r="GSG376" s="21"/>
      <c r="GSJ376" s="21"/>
      <c r="GSK376" s="15"/>
      <c r="GSL376" s="15"/>
      <c r="GSM376" s="15"/>
      <c r="GSN376" s="15"/>
      <c r="GSO376" s="15"/>
      <c r="GSP376" s="15"/>
      <c r="GSQ376" s="15"/>
      <c r="GSR376" s="15"/>
      <c r="GSS376" s="15"/>
      <c r="GST376" s="15"/>
      <c r="GSU376" s="10"/>
      <c r="GSV376" s="10"/>
      <c r="GSW376" s="21"/>
      <c r="GSX376" s="21"/>
      <c r="GTA376" s="21"/>
      <c r="GTB376" s="15"/>
      <c r="GTC376" s="15"/>
      <c r="GTD376" s="15"/>
      <c r="GTE376" s="15"/>
      <c r="GTF376" s="15"/>
      <c r="GTG376" s="15"/>
      <c r="GTH376" s="15"/>
      <c r="GTI376" s="15"/>
      <c r="GTJ376" s="15"/>
      <c r="GTK376" s="15"/>
      <c r="GTL376" s="10"/>
      <c r="GTM376" s="10"/>
      <c r="GTN376" s="21"/>
      <c r="GTO376" s="21"/>
      <c r="GTR376" s="21"/>
      <c r="GTS376" s="15"/>
      <c r="GTT376" s="15"/>
      <c r="GTU376" s="15"/>
      <c r="GTV376" s="15"/>
      <c r="GTW376" s="15"/>
      <c r="GTX376" s="15"/>
      <c r="GTY376" s="15"/>
      <c r="GTZ376" s="15"/>
      <c r="GUA376" s="15"/>
      <c r="GUB376" s="15"/>
      <c r="GUC376" s="10"/>
      <c r="GUD376" s="10"/>
      <c r="GUE376" s="21"/>
      <c r="GUF376" s="21"/>
      <c r="GUI376" s="21"/>
      <c r="GUJ376" s="15"/>
      <c r="GUK376" s="15"/>
      <c r="GUL376" s="15"/>
      <c r="GUM376" s="15"/>
      <c r="GUN376" s="15"/>
      <c r="GUO376" s="15"/>
      <c r="GUP376" s="15"/>
      <c r="GUQ376" s="15"/>
      <c r="GUR376" s="15"/>
      <c r="GUS376" s="15"/>
      <c r="GUT376" s="10"/>
      <c r="GUU376" s="10"/>
      <c r="GUV376" s="21"/>
      <c r="GUW376" s="21"/>
      <c r="GUZ376" s="21"/>
      <c r="GVA376" s="15"/>
      <c r="GVB376" s="15"/>
      <c r="GVC376" s="15"/>
      <c r="GVD376" s="15"/>
      <c r="GVE376" s="15"/>
      <c r="GVF376" s="15"/>
      <c r="GVG376" s="15"/>
      <c r="GVH376" s="15"/>
      <c r="GVI376" s="15"/>
      <c r="GVJ376" s="15"/>
      <c r="GVK376" s="10"/>
      <c r="GVL376" s="10"/>
      <c r="GVM376" s="21"/>
      <c r="GVN376" s="21"/>
      <c r="GVQ376" s="21"/>
      <c r="GVR376" s="15"/>
      <c r="GVS376" s="15"/>
      <c r="GVT376" s="15"/>
      <c r="GVU376" s="15"/>
      <c r="GVV376" s="15"/>
      <c r="GVW376" s="15"/>
      <c r="GVX376" s="15"/>
      <c r="GVY376" s="15"/>
      <c r="GVZ376" s="15"/>
      <c r="GWA376" s="15"/>
      <c r="GWB376" s="10"/>
      <c r="GWC376" s="10"/>
      <c r="GWD376" s="21"/>
      <c r="GWE376" s="21"/>
      <c r="GWH376" s="21"/>
      <c r="GWI376" s="15"/>
      <c r="GWJ376" s="15"/>
      <c r="GWK376" s="15"/>
      <c r="GWL376" s="15"/>
      <c r="GWM376" s="15"/>
      <c r="GWN376" s="15"/>
      <c r="GWO376" s="15"/>
      <c r="GWP376" s="15"/>
      <c r="GWQ376" s="15"/>
      <c r="GWR376" s="15"/>
      <c r="GWS376" s="10"/>
      <c r="GWT376" s="10"/>
      <c r="GWU376" s="21"/>
      <c r="GWV376" s="21"/>
      <c r="GWY376" s="21"/>
      <c r="GWZ376" s="15"/>
      <c r="GXA376" s="15"/>
      <c r="GXB376" s="15"/>
      <c r="GXC376" s="15"/>
      <c r="GXD376" s="15"/>
      <c r="GXE376" s="15"/>
      <c r="GXF376" s="15"/>
      <c r="GXG376" s="15"/>
      <c r="GXH376" s="15"/>
      <c r="GXI376" s="15"/>
      <c r="GXJ376" s="10"/>
      <c r="GXK376" s="10"/>
      <c r="GXL376" s="21"/>
      <c r="GXM376" s="21"/>
      <c r="GXP376" s="21"/>
      <c r="GXQ376" s="15"/>
      <c r="GXR376" s="15"/>
      <c r="GXS376" s="15"/>
      <c r="GXT376" s="15"/>
      <c r="GXU376" s="15"/>
      <c r="GXV376" s="15"/>
      <c r="GXW376" s="15"/>
      <c r="GXX376" s="15"/>
      <c r="GXY376" s="15"/>
      <c r="GXZ376" s="15"/>
      <c r="GYA376" s="10"/>
      <c r="GYB376" s="10"/>
      <c r="GYC376" s="21"/>
      <c r="GYD376" s="21"/>
      <c r="GYG376" s="21"/>
      <c r="GYH376" s="15"/>
      <c r="GYI376" s="15"/>
      <c r="GYJ376" s="15"/>
      <c r="GYK376" s="15"/>
      <c r="GYL376" s="15"/>
      <c r="GYM376" s="15"/>
      <c r="GYN376" s="15"/>
      <c r="GYO376" s="15"/>
      <c r="GYP376" s="15"/>
      <c r="GYQ376" s="15"/>
      <c r="GYR376" s="10"/>
      <c r="GYS376" s="10"/>
      <c r="GYT376" s="21"/>
      <c r="GYU376" s="21"/>
      <c r="GYX376" s="21"/>
      <c r="GYY376" s="15"/>
      <c r="GYZ376" s="15"/>
      <c r="GZA376" s="15"/>
      <c r="GZB376" s="15"/>
      <c r="GZC376" s="15"/>
      <c r="GZD376" s="15"/>
      <c r="GZE376" s="15"/>
      <c r="GZF376" s="15"/>
      <c r="GZG376" s="15"/>
      <c r="GZH376" s="15"/>
      <c r="GZI376" s="10"/>
      <c r="GZJ376" s="10"/>
      <c r="GZK376" s="21"/>
      <c r="GZL376" s="21"/>
      <c r="GZO376" s="21"/>
      <c r="GZP376" s="15"/>
      <c r="GZQ376" s="15"/>
      <c r="GZR376" s="15"/>
      <c r="GZS376" s="15"/>
      <c r="GZT376" s="15"/>
      <c r="GZU376" s="15"/>
      <c r="GZV376" s="15"/>
      <c r="GZW376" s="15"/>
      <c r="GZX376" s="15"/>
      <c r="GZY376" s="15"/>
      <c r="GZZ376" s="10"/>
      <c r="HAA376" s="10"/>
      <c r="HAB376" s="21"/>
      <c r="HAC376" s="21"/>
      <c r="HAF376" s="21"/>
      <c r="HAG376" s="15"/>
      <c r="HAH376" s="15"/>
      <c r="HAI376" s="15"/>
      <c r="HAJ376" s="15"/>
      <c r="HAK376" s="15"/>
      <c r="HAL376" s="15"/>
      <c r="HAM376" s="15"/>
      <c r="HAN376" s="15"/>
      <c r="HAO376" s="15"/>
      <c r="HAP376" s="15"/>
      <c r="HAQ376" s="10"/>
      <c r="HAR376" s="10"/>
      <c r="HAS376" s="21"/>
      <c r="HAT376" s="21"/>
      <c r="HAW376" s="21"/>
      <c r="HAX376" s="15"/>
      <c r="HAY376" s="15"/>
      <c r="HAZ376" s="15"/>
      <c r="HBA376" s="15"/>
      <c r="HBB376" s="15"/>
      <c r="HBC376" s="15"/>
      <c r="HBD376" s="15"/>
      <c r="HBE376" s="15"/>
      <c r="HBF376" s="15"/>
      <c r="HBG376" s="15"/>
      <c r="HBH376" s="10"/>
      <c r="HBI376" s="10"/>
      <c r="HBJ376" s="21"/>
      <c r="HBK376" s="21"/>
      <c r="HBN376" s="21"/>
      <c r="HBO376" s="15"/>
      <c r="HBP376" s="15"/>
      <c r="HBQ376" s="15"/>
      <c r="HBR376" s="15"/>
      <c r="HBS376" s="15"/>
      <c r="HBT376" s="15"/>
      <c r="HBU376" s="15"/>
      <c r="HBV376" s="15"/>
      <c r="HBW376" s="15"/>
      <c r="HBX376" s="15"/>
      <c r="HBY376" s="10"/>
      <c r="HBZ376" s="10"/>
      <c r="HCA376" s="21"/>
      <c r="HCB376" s="21"/>
      <c r="HCE376" s="21"/>
      <c r="HCF376" s="15"/>
      <c r="HCG376" s="15"/>
      <c r="HCH376" s="15"/>
      <c r="HCI376" s="15"/>
      <c r="HCJ376" s="15"/>
      <c r="HCK376" s="15"/>
      <c r="HCL376" s="15"/>
      <c r="HCM376" s="15"/>
      <c r="HCN376" s="15"/>
      <c r="HCO376" s="15"/>
      <c r="HCP376" s="10"/>
      <c r="HCQ376" s="10"/>
      <c r="HCR376" s="21"/>
      <c r="HCS376" s="21"/>
      <c r="HCV376" s="21"/>
      <c r="HCW376" s="15"/>
      <c r="HCX376" s="15"/>
      <c r="HCY376" s="15"/>
      <c r="HCZ376" s="15"/>
      <c r="HDA376" s="15"/>
      <c r="HDB376" s="15"/>
      <c r="HDC376" s="15"/>
      <c r="HDD376" s="15"/>
      <c r="HDE376" s="15"/>
      <c r="HDF376" s="15"/>
      <c r="HDG376" s="10"/>
      <c r="HDH376" s="10"/>
      <c r="HDI376" s="21"/>
      <c r="HDJ376" s="21"/>
      <c r="HDM376" s="21"/>
      <c r="HDN376" s="15"/>
      <c r="HDO376" s="15"/>
      <c r="HDP376" s="15"/>
      <c r="HDQ376" s="15"/>
      <c r="HDR376" s="15"/>
      <c r="HDS376" s="15"/>
      <c r="HDT376" s="15"/>
      <c r="HDU376" s="15"/>
      <c r="HDV376" s="15"/>
      <c r="HDW376" s="15"/>
      <c r="HDX376" s="10"/>
      <c r="HDY376" s="10"/>
      <c r="HDZ376" s="21"/>
      <c r="HEA376" s="21"/>
      <c r="HED376" s="21"/>
      <c r="HEE376" s="15"/>
      <c r="HEF376" s="15"/>
      <c r="HEG376" s="15"/>
      <c r="HEH376" s="15"/>
      <c r="HEI376" s="15"/>
      <c r="HEJ376" s="15"/>
      <c r="HEK376" s="15"/>
      <c r="HEL376" s="15"/>
      <c r="HEM376" s="15"/>
      <c r="HEN376" s="15"/>
      <c r="HEO376" s="10"/>
      <c r="HEP376" s="10"/>
      <c r="HEQ376" s="21"/>
      <c r="HER376" s="21"/>
      <c r="HEU376" s="21"/>
      <c r="HEV376" s="15"/>
      <c r="HEW376" s="15"/>
      <c r="HEX376" s="15"/>
      <c r="HEY376" s="15"/>
      <c r="HEZ376" s="15"/>
      <c r="HFA376" s="15"/>
      <c r="HFB376" s="15"/>
      <c r="HFC376" s="15"/>
      <c r="HFD376" s="15"/>
      <c r="HFE376" s="15"/>
      <c r="HFF376" s="10"/>
      <c r="HFG376" s="10"/>
      <c r="HFH376" s="21"/>
      <c r="HFI376" s="21"/>
      <c r="HFL376" s="21"/>
      <c r="HFM376" s="15"/>
      <c r="HFN376" s="15"/>
      <c r="HFO376" s="15"/>
      <c r="HFP376" s="15"/>
      <c r="HFQ376" s="15"/>
      <c r="HFR376" s="15"/>
      <c r="HFS376" s="15"/>
      <c r="HFT376" s="15"/>
      <c r="HFU376" s="15"/>
      <c r="HFV376" s="15"/>
      <c r="HFW376" s="10"/>
      <c r="HFX376" s="10"/>
      <c r="HFY376" s="21"/>
      <c r="HFZ376" s="21"/>
      <c r="HGC376" s="21"/>
      <c r="HGD376" s="15"/>
      <c r="HGE376" s="15"/>
      <c r="HGF376" s="15"/>
      <c r="HGG376" s="15"/>
      <c r="HGH376" s="15"/>
      <c r="HGI376" s="15"/>
      <c r="HGJ376" s="15"/>
      <c r="HGK376" s="15"/>
      <c r="HGL376" s="15"/>
      <c r="HGM376" s="15"/>
      <c r="HGN376" s="10"/>
      <c r="HGO376" s="10"/>
      <c r="HGP376" s="21"/>
      <c r="HGQ376" s="21"/>
      <c r="HGT376" s="21"/>
      <c r="HGU376" s="15"/>
      <c r="HGV376" s="15"/>
      <c r="HGW376" s="15"/>
      <c r="HGX376" s="15"/>
      <c r="HGY376" s="15"/>
      <c r="HGZ376" s="15"/>
      <c r="HHA376" s="15"/>
      <c r="HHB376" s="15"/>
      <c r="HHC376" s="15"/>
      <c r="HHD376" s="15"/>
      <c r="HHE376" s="10"/>
      <c r="HHF376" s="10"/>
      <c r="HHG376" s="21"/>
      <c r="HHH376" s="21"/>
      <c r="HHK376" s="21"/>
      <c r="HHL376" s="15"/>
      <c r="HHM376" s="15"/>
      <c r="HHN376" s="15"/>
      <c r="HHO376" s="15"/>
      <c r="HHP376" s="15"/>
      <c r="HHQ376" s="15"/>
      <c r="HHR376" s="15"/>
      <c r="HHS376" s="15"/>
      <c r="HHT376" s="15"/>
      <c r="HHU376" s="15"/>
      <c r="HHV376" s="10"/>
      <c r="HHW376" s="10"/>
      <c r="HHX376" s="21"/>
      <c r="HHY376" s="21"/>
      <c r="HIB376" s="21"/>
      <c r="HIC376" s="15"/>
      <c r="HID376" s="15"/>
      <c r="HIE376" s="15"/>
      <c r="HIF376" s="15"/>
      <c r="HIG376" s="15"/>
      <c r="HIH376" s="15"/>
      <c r="HII376" s="15"/>
      <c r="HIJ376" s="15"/>
      <c r="HIK376" s="15"/>
      <c r="HIL376" s="15"/>
      <c r="HIM376" s="10"/>
      <c r="HIN376" s="10"/>
      <c r="HIO376" s="21"/>
      <c r="HIP376" s="21"/>
      <c r="HIS376" s="21"/>
      <c r="HIT376" s="15"/>
      <c r="HIU376" s="15"/>
      <c r="HIV376" s="15"/>
      <c r="HIW376" s="15"/>
      <c r="HIX376" s="15"/>
      <c r="HIY376" s="15"/>
      <c r="HIZ376" s="15"/>
      <c r="HJA376" s="15"/>
      <c r="HJB376" s="15"/>
      <c r="HJC376" s="15"/>
      <c r="HJD376" s="10"/>
      <c r="HJE376" s="10"/>
      <c r="HJF376" s="21"/>
      <c r="HJG376" s="21"/>
      <c r="HJJ376" s="21"/>
      <c r="HJK376" s="15"/>
      <c r="HJL376" s="15"/>
      <c r="HJM376" s="15"/>
      <c r="HJN376" s="15"/>
      <c r="HJO376" s="15"/>
      <c r="HJP376" s="15"/>
      <c r="HJQ376" s="15"/>
      <c r="HJR376" s="15"/>
      <c r="HJS376" s="15"/>
      <c r="HJT376" s="15"/>
      <c r="HJU376" s="10"/>
      <c r="HJV376" s="10"/>
      <c r="HJW376" s="21"/>
      <c r="HJX376" s="21"/>
      <c r="HKA376" s="21"/>
      <c r="HKB376" s="15"/>
      <c r="HKC376" s="15"/>
      <c r="HKD376" s="15"/>
      <c r="HKE376" s="15"/>
      <c r="HKF376" s="15"/>
      <c r="HKG376" s="15"/>
      <c r="HKH376" s="15"/>
      <c r="HKI376" s="15"/>
      <c r="HKJ376" s="15"/>
      <c r="HKK376" s="15"/>
      <c r="HKL376" s="10"/>
      <c r="HKM376" s="10"/>
      <c r="HKN376" s="21"/>
      <c r="HKO376" s="21"/>
      <c r="HKR376" s="21"/>
      <c r="HKS376" s="15"/>
      <c r="HKT376" s="15"/>
      <c r="HKU376" s="15"/>
      <c r="HKV376" s="15"/>
      <c r="HKW376" s="15"/>
      <c r="HKX376" s="15"/>
      <c r="HKY376" s="15"/>
      <c r="HKZ376" s="15"/>
      <c r="HLA376" s="15"/>
      <c r="HLB376" s="15"/>
      <c r="HLC376" s="10"/>
      <c r="HLD376" s="10"/>
      <c r="HLE376" s="21"/>
      <c r="HLF376" s="21"/>
      <c r="HLI376" s="21"/>
      <c r="HLJ376" s="15"/>
      <c r="HLK376" s="15"/>
      <c r="HLL376" s="15"/>
      <c r="HLM376" s="15"/>
      <c r="HLN376" s="15"/>
      <c r="HLO376" s="15"/>
      <c r="HLP376" s="15"/>
      <c r="HLQ376" s="15"/>
      <c r="HLR376" s="15"/>
      <c r="HLS376" s="15"/>
      <c r="HLT376" s="10"/>
      <c r="HLU376" s="10"/>
      <c r="HLV376" s="21"/>
      <c r="HLW376" s="21"/>
      <c r="HLZ376" s="21"/>
      <c r="HMA376" s="15"/>
      <c r="HMB376" s="15"/>
      <c r="HMC376" s="15"/>
      <c r="HMD376" s="15"/>
      <c r="HME376" s="15"/>
      <c r="HMF376" s="15"/>
      <c r="HMG376" s="15"/>
      <c r="HMH376" s="15"/>
      <c r="HMI376" s="15"/>
      <c r="HMJ376" s="15"/>
      <c r="HMK376" s="10"/>
      <c r="HML376" s="10"/>
      <c r="HMM376" s="21"/>
      <c r="HMN376" s="21"/>
      <c r="HMQ376" s="21"/>
      <c r="HMR376" s="15"/>
      <c r="HMS376" s="15"/>
      <c r="HMT376" s="15"/>
      <c r="HMU376" s="15"/>
      <c r="HMV376" s="15"/>
      <c r="HMW376" s="15"/>
      <c r="HMX376" s="15"/>
      <c r="HMY376" s="15"/>
      <c r="HMZ376" s="15"/>
      <c r="HNA376" s="15"/>
      <c r="HNB376" s="10"/>
      <c r="HNC376" s="10"/>
      <c r="HND376" s="21"/>
      <c r="HNE376" s="21"/>
      <c r="HNH376" s="21"/>
      <c r="HNI376" s="15"/>
      <c r="HNJ376" s="15"/>
      <c r="HNK376" s="15"/>
      <c r="HNL376" s="15"/>
      <c r="HNM376" s="15"/>
      <c r="HNN376" s="15"/>
      <c r="HNO376" s="15"/>
      <c r="HNP376" s="15"/>
      <c r="HNQ376" s="15"/>
      <c r="HNR376" s="15"/>
      <c r="HNS376" s="10"/>
      <c r="HNT376" s="10"/>
      <c r="HNU376" s="21"/>
      <c r="HNV376" s="21"/>
      <c r="HNY376" s="21"/>
      <c r="HNZ376" s="15"/>
      <c r="HOA376" s="15"/>
      <c r="HOB376" s="15"/>
      <c r="HOC376" s="15"/>
      <c r="HOD376" s="15"/>
      <c r="HOE376" s="15"/>
      <c r="HOF376" s="15"/>
      <c r="HOG376" s="15"/>
      <c r="HOH376" s="15"/>
      <c r="HOI376" s="15"/>
      <c r="HOJ376" s="10"/>
      <c r="HOK376" s="10"/>
      <c r="HOL376" s="21"/>
      <c r="HOM376" s="21"/>
      <c r="HOP376" s="21"/>
      <c r="HOQ376" s="15"/>
      <c r="HOR376" s="15"/>
      <c r="HOS376" s="15"/>
      <c r="HOT376" s="15"/>
      <c r="HOU376" s="15"/>
      <c r="HOV376" s="15"/>
      <c r="HOW376" s="15"/>
      <c r="HOX376" s="15"/>
      <c r="HOY376" s="15"/>
      <c r="HOZ376" s="15"/>
      <c r="HPA376" s="10"/>
      <c r="HPB376" s="10"/>
      <c r="HPC376" s="21"/>
      <c r="HPD376" s="21"/>
      <c r="HPG376" s="21"/>
      <c r="HPH376" s="15"/>
      <c r="HPI376" s="15"/>
      <c r="HPJ376" s="15"/>
      <c r="HPK376" s="15"/>
      <c r="HPL376" s="15"/>
      <c r="HPM376" s="15"/>
      <c r="HPN376" s="15"/>
      <c r="HPO376" s="15"/>
      <c r="HPP376" s="15"/>
      <c r="HPQ376" s="15"/>
      <c r="HPR376" s="10"/>
      <c r="HPS376" s="10"/>
      <c r="HPT376" s="21"/>
      <c r="HPU376" s="21"/>
      <c r="HPX376" s="21"/>
      <c r="HPY376" s="15"/>
      <c r="HPZ376" s="15"/>
      <c r="HQA376" s="15"/>
      <c r="HQB376" s="15"/>
      <c r="HQC376" s="15"/>
      <c r="HQD376" s="15"/>
      <c r="HQE376" s="15"/>
      <c r="HQF376" s="15"/>
      <c r="HQG376" s="15"/>
      <c r="HQH376" s="15"/>
      <c r="HQI376" s="10"/>
      <c r="HQJ376" s="10"/>
      <c r="HQK376" s="21"/>
      <c r="HQL376" s="21"/>
      <c r="HQO376" s="21"/>
      <c r="HQP376" s="15"/>
      <c r="HQQ376" s="15"/>
      <c r="HQR376" s="15"/>
      <c r="HQS376" s="15"/>
      <c r="HQT376" s="15"/>
      <c r="HQU376" s="15"/>
      <c r="HQV376" s="15"/>
      <c r="HQW376" s="15"/>
      <c r="HQX376" s="15"/>
      <c r="HQY376" s="15"/>
      <c r="HQZ376" s="10"/>
      <c r="HRA376" s="10"/>
      <c r="HRB376" s="21"/>
      <c r="HRC376" s="21"/>
      <c r="HRF376" s="21"/>
      <c r="HRG376" s="15"/>
      <c r="HRH376" s="15"/>
      <c r="HRI376" s="15"/>
      <c r="HRJ376" s="15"/>
      <c r="HRK376" s="15"/>
      <c r="HRL376" s="15"/>
      <c r="HRM376" s="15"/>
      <c r="HRN376" s="15"/>
      <c r="HRO376" s="15"/>
      <c r="HRP376" s="15"/>
      <c r="HRQ376" s="10"/>
      <c r="HRR376" s="10"/>
      <c r="HRS376" s="21"/>
      <c r="HRT376" s="21"/>
      <c r="HRW376" s="21"/>
      <c r="HRX376" s="15"/>
      <c r="HRY376" s="15"/>
      <c r="HRZ376" s="15"/>
      <c r="HSA376" s="15"/>
      <c r="HSB376" s="15"/>
      <c r="HSC376" s="15"/>
      <c r="HSD376" s="15"/>
      <c r="HSE376" s="15"/>
      <c r="HSF376" s="15"/>
      <c r="HSG376" s="15"/>
      <c r="HSH376" s="10"/>
      <c r="HSI376" s="10"/>
      <c r="HSJ376" s="21"/>
      <c r="HSK376" s="21"/>
      <c r="HSN376" s="21"/>
      <c r="HSO376" s="15"/>
      <c r="HSP376" s="15"/>
      <c r="HSQ376" s="15"/>
      <c r="HSR376" s="15"/>
      <c r="HSS376" s="15"/>
      <c r="HST376" s="15"/>
      <c r="HSU376" s="15"/>
      <c r="HSV376" s="15"/>
      <c r="HSW376" s="15"/>
      <c r="HSX376" s="15"/>
      <c r="HSY376" s="10"/>
      <c r="HSZ376" s="10"/>
      <c r="HTA376" s="21"/>
      <c r="HTB376" s="21"/>
      <c r="HTE376" s="21"/>
      <c r="HTF376" s="15"/>
      <c r="HTG376" s="15"/>
      <c r="HTH376" s="15"/>
      <c r="HTI376" s="15"/>
      <c r="HTJ376" s="15"/>
      <c r="HTK376" s="15"/>
      <c r="HTL376" s="15"/>
      <c r="HTM376" s="15"/>
      <c r="HTN376" s="15"/>
      <c r="HTO376" s="15"/>
      <c r="HTP376" s="10"/>
      <c r="HTQ376" s="10"/>
      <c r="HTR376" s="21"/>
      <c r="HTS376" s="21"/>
      <c r="HTV376" s="21"/>
      <c r="HTW376" s="15"/>
      <c r="HTX376" s="15"/>
      <c r="HTY376" s="15"/>
      <c r="HTZ376" s="15"/>
      <c r="HUA376" s="15"/>
      <c r="HUB376" s="15"/>
      <c r="HUC376" s="15"/>
      <c r="HUD376" s="15"/>
      <c r="HUE376" s="15"/>
      <c r="HUF376" s="15"/>
      <c r="HUG376" s="10"/>
      <c r="HUH376" s="10"/>
      <c r="HUI376" s="21"/>
      <c r="HUJ376" s="21"/>
      <c r="HUM376" s="21"/>
      <c r="HUN376" s="15"/>
      <c r="HUO376" s="15"/>
      <c r="HUP376" s="15"/>
      <c r="HUQ376" s="15"/>
      <c r="HUR376" s="15"/>
      <c r="HUS376" s="15"/>
      <c r="HUT376" s="15"/>
      <c r="HUU376" s="15"/>
      <c r="HUV376" s="15"/>
      <c r="HUW376" s="15"/>
      <c r="HUX376" s="10"/>
      <c r="HUY376" s="10"/>
      <c r="HUZ376" s="21"/>
      <c r="HVA376" s="21"/>
      <c r="HVD376" s="21"/>
      <c r="HVE376" s="15"/>
      <c r="HVF376" s="15"/>
      <c r="HVG376" s="15"/>
      <c r="HVH376" s="15"/>
      <c r="HVI376" s="15"/>
      <c r="HVJ376" s="15"/>
      <c r="HVK376" s="15"/>
      <c r="HVL376" s="15"/>
      <c r="HVM376" s="15"/>
      <c r="HVN376" s="15"/>
      <c r="HVO376" s="10"/>
      <c r="HVP376" s="10"/>
      <c r="HVQ376" s="21"/>
      <c r="HVR376" s="21"/>
      <c r="HVU376" s="21"/>
      <c r="HVV376" s="15"/>
      <c r="HVW376" s="15"/>
      <c r="HVX376" s="15"/>
      <c r="HVY376" s="15"/>
      <c r="HVZ376" s="15"/>
      <c r="HWA376" s="15"/>
      <c r="HWB376" s="15"/>
      <c r="HWC376" s="15"/>
      <c r="HWD376" s="15"/>
      <c r="HWE376" s="15"/>
      <c r="HWF376" s="10"/>
      <c r="HWG376" s="10"/>
      <c r="HWH376" s="21"/>
      <c r="HWI376" s="21"/>
      <c r="HWL376" s="21"/>
      <c r="HWM376" s="15"/>
      <c r="HWN376" s="15"/>
      <c r="HWO376" s="15"/>
      <c r="HWP376" s="15"/>
      <c r="HWQ376" s="15"/>
      <c r="HWR376" s="15"/>
      <c r="HWS376" s="15"/>
      <c r="HWT376" s="15"/>
      <c r="HWU376" s="15"/>
      <c r="HWV376" s="15"/>
      <c r="HWW376" s="10"/>
      <c r="HWX376" s="10"/>
      <c r="HWY376" s="21"/>
      <c r="HWZ376" s="21"/>
      <c r="HXC376" s="21"/>
      <c r="HXD376" s="15"/>
      <c r="HXE376" s="15"/>
      <c r="HXF376" s="15"/>
      <c r="HXG376" s="15"/>
      <c r="HXH376" s="15"/>
      <c r="HXI376" s="15"/>
      <c r="HXJ376" s="15"/>
      <c r="HXK376" s="15"/>
      <c r="HXL376" s="15"/>
      <c r="HXM376" s="15"/>
      <c r="HXN376" s="10"/>
      <c r="HXO376" s="10"/>
      <c r="HXP376" s="21"/>
      <c r="HXQ376" s="21"/>
      <c r="HXT376" s="21"/>
      <c r="HXU376" s="15"/>
      <c r="HXV376" s="15"/>
      <c r="HXW376" s="15"/>
      <c r="HXX376" s="15"/>
      <c r="HXY376" s="15"/>
      <c r="HXZ376" s="15"/>
      <c r="HYA376" s="15"/>
      <c r="HYB376" s="15"/>
      <c r="HYC376" s="15"/>
      <c r="HYD376" s="15"/>
      <c r="HYE376" s="10"/>
      <c r="HYF376" s="10"/>
      <c r="HYG376" s="21"/>
      <c r="HYH376" s="21"/>
      <c r="HYK376" s="21"/>
      <c r="HYL376" s="15"/>
      <c r="HYM376" s="15"/>
      <c r="HYN376" s="15"/>
      <c r="HYO376" s="15"/>
      <c r="HYP376" s="15"/>
      <c r="HYQ376" s="15"/>
      <c r="HYR376" s="15"/>
      <c r="HYS376" s="15"/>
      <c r="HYT376" s="15"/>
      <c r="HYU376" s="15"/>
      <c r="HYV376" s="10"/>
      <c r="HYW376" s="10"/>
      <c r="HYX376" s="21"/>
      <c r="HYY376" s="21"/>
      <c r="HZB376" s="21"/>
      <c r="HZC376" s="15"/>
      <c r="HZD376" s="15"/>
      <c r="HZE376" s="15"/>
      <c r="HZF376" s="15"/>
      <c r="HZG376" s="15"/>
      <c r="HZH376" s="15"/>
      <c r="HZI376" s="15"/>
      <c r="HZJ376" s="15"/>
      <c r="HZK376" s="15"/>
      <c r="HZL376" s="15"/>
      <c r="HZM376" s="10"/>
      <c r="HZN376" s="10"/>
      <c r="HZO376" s="21"/>
      <c r="HZP376" s="21"/>
      <c r="HZS376" s="21"/>
      <c r="HZT376" s="15"/>
      <c r="HZU376" s="15"/>
      <c r="HZV376" s="15"/>
      <c r="HZW376" s="15"/>
      <c r="HZX376" s="15"/>
      <c r="HZY376" s="15"/>
      <c r="HZZ376" s="15"/>
      <c r="IAA376" s="15"/>
      <c r="IAB376" s="15"/>
      <c r="IAC376" s="15"/>
      <c r="IAD376" s="10"/>
      <c r="IAE376" s="10"/>
      <c r="IAF376" s="21"/>
      <c r="IAG376" s="21"/>
      <c r="IAJ376" s="21"/>
      <c r="IAK376" s="15"/>
      <c r="IAL376" s="15"/>
      <c r="IAM376" s="15"/>
      <c r="IAN376" s="15"/>
      <c r="IAO376" s="15"/>
      <c r="IAP376" s="15"/>
      <c r="IAQ376" s="15"/>
      <c r="IAR376" s="15"/>
      <c r="IAS376" s="15"/>
      <c r="IAT376" s="15"/>
      <c r="IAU376" s="10"/>
      <c r="IAV376" s="10"/>
      <c r="IAW376" s="21"/>
      <c r="IAX376" s="21"/>
      <c r="IBA376" s="21"/>
      <c r="IBB376" s="15"/>
      <c r="IBC376" s="15"/>
      <c r="IBD376" s="15"/>
      <c r="IBE376" s="15"/>
      <c r="IBF376" s="15"/>
      <c r="IBG376" s="15"/>
      <c r="IBH376" s="15"/>
      <c r="IBI376" s="15"/>
      <c r="IBJ376" s="15"/>
      <c r="IBK376" s="15"/>
      <c r="IBL376" s="10"/>
      <c r="IBM376" s="10"/>
      <c r="IBN376" s="21"/>
      <c r="IBO376" s="21"/>
      <c r="IBR376" s="21"/>
      <c r="IBS376" s="15"/>
      <c r="IBT376" s="15"/>
      <c r="IBU376" s="15"/>
      <c r="IBV376" s="15"/>
      <c r="IBW376" s="15"/>
      <c r="IBX376" s="15"/>
      <c r="IBY376" s="15"/>
      <c r="IBZ376" s="15"/>
      <c r="ICA376" s="15"/>
      <c r="ICB376" s="15"/>
      <c r="ICC376" s="10"/>
      <c r="ICD376" s="10"/>
      <c r="ICE376" s="21"/>
      <c r="ICF376" s="21"/>
      <c r="ICI376" s="21"/>
      <c r="ICJ376" s="15"/>
      <c r="ICK376" s="15"/>
      <c r="ICL376" s="15"/>
      <c r="ICM376" s="15"/>
      <c r="ICN376" s="15"/>
      <c r="ICO376" s="15"/>
      <c r="ICP376" s="15"/>
      <c r="ICQ376" s="15"/>
      <c r="ICR376" s="15"/>
      <c r="ICS376" s="15"/>
      <c r="ICT376" s="10"/>
      <c r="ICU376" s="10"/>
      <c r="ICV376" s="21"/>
      <c r="ICW376" s="21"/>
      <c r="ICZ376" s="21"/>
      <c r="IDA376" s="15"/>
      <c r="IDB376" s="15"/>
      <c r="IDC376" s="15"/>
      <c r="IDD376" s="15"/>
      <c r="IDE376" s="15"/>
      <c r="IDF376" s="15"/>
      <c r="IDG376" s="15"/>
      <c r="IDH376" s="15"/>
      <c r="IDI376" s="15"/>
      <c r="IDJ376" s="15"/>
      <c r="IDK376" s="10"/>
      <c r="IDL376" s="10"/>
      <c r="IDM376" s="21"/>
      <c r="IDN376" s="21"/>
      <c r="IDQ376" s="21"/>
      <c r="IDR376" s="15"/>
      <c r="IDS376" s="15"/>
      <c r="IDT376" s="15"/>
      <c r="IDU376" s="15"/>
      <c r="IDV376" s="15"/>
      <c r="IDW376" s="15"/>
      <c r="IDX376" s="15"/>
      <c r="IDY376" s="15"/>
      <c r="IDZ376" s="15"/>
      <c r="IEA376" s="15"/>
      <c r="IEB376" s="10"/>
      <c r="IEC376" s="10"/>
      <c r="IED376" s="21"/>
      <c r="IEE376" s="21"/>
      <c r="IEH376" s="21"/>
      <c r="IEI376" s="15"/>
      <c r="IEJ376" s="15"/>
      <c r="IEK376" s="15"/>
      <c r="IEL376" s="15"/>
      <c r="IEM376" s="15"/>
      <c r="IEN376" s="15"/>
      <c r="IEO376" s="15"/>
      <c r="IEP376" s="15"/>
      <c r="IEQ376" s="15"/>
      <c r="IER376" s="15"/>
      <c r="IES376" s="10"/>
      <c r="IET376" s="10"/>
      <c r="IEU376" s="21"/>
      <c r="IEV376" s="21"/>
      <c r="IEY376" s="21"/>
      <c r="IEZ376" s="15"/>
      <c r="IFA376" s="15"/>
      <c r="IFB376" s="15"/>
      <c r="IFC376" s="15"/>
      <c r="IFD376" s="15"/>
      <c r="IFE376" s="15"/>
      <c r="IFF376" s="15"/>
      <c r="IFG376" s="15"/>
      <c r="IFH376" s="15"/>
      <c r="IFI376" s="15"/>
      <c r="IFJ376" s="10"/>
      <c r="IFK376" s="10"/>
      <c r="IFL376" s="21"/>
      <c r="IFM376" s="21"/>
      <c r="IFP376" s="21"/>
      <c r="IFQ376" s="15"/>
      <c r="IFR376" s="15"/>
      <c r="IFS376" s="15"/>
      <c r="IFT376" s="15"/>
      <c r="IFU376" s="15"/>
      <c r="IFV376" s="15"/>
      <c r="IFW376" s="15"/>
      <c r="IFX376" s="15"/>
      <c r="IFY376" s="15"/>
      <c r="IFZ376" s="15"/>
      <c r="IGA376" s="10"/>
      <c r="IGB376" s="10"/>
      <c r="IGC376" s="21"/>
      <c r="IGD376" s="21"/>
      <c r="IGG376" s="21"/>
      <c r="IGH376" s="15"/>
      <c r="IGI376" s="15"/>
      <c r="IGJ376" s="15"/>
      <c r="IGK376" s="15"/>
      <c r="IGL376" s="15"/>
      <c r="IGM376" s="15"/>
      <c r="IGN376" s="15"/>
      <c r="IGO376" s="15"/>
      <c r="IGP376" s="15"/>
      <c r="IGQ376" s="15"/>
      <c r="IGR376" s="10"/>
      <c r="IGS376" s="10"/>
      <c r="IGT376" s="21"/>
      <c r="IGU376" s="21"/>
      <c r="IGX376" s="21"/>
      <c r="IGY376" s="15"/>
      <c r="IGZ376" s="15"/>
      <c r="IHA376" s="15"/>
      <c r="IHB376" s="15"/>
      <c r="IHC376" s="15"/>
      <c r="IHD376" s="15"/>
      <c r="IHE376" s="15"/>
      <c r="IHF376" s="15"/>
      <c r="IHG376" s="15"/>
      <c r="IHH376" s="15"/>
      <c r="IHI376" s="10"/>
      <c r="IHJ376" s="10"/>
      <c r="IHK376" s="21"/>
      <c r="IHL376" s="21"/>
      <c r="IHO376" s="21"/>
      <c r="IHP376" s="15"/>
      <c r="IHQ376" s="15"/>
      <c r="IHR376" s="15"/>
      <c r="IHS376" s="15"/>
      <c r="IHT376" s="15"/>
      <c r="IHU376" s="15"/>
      <c r="IHV376" s="15"/>
      <c r="IHW376" s="15"/>
      <c r="IHX376" s="15"/>
      <c r="IHY376" s="15"/>
      <c r="IHZ376" s="10"/>
      <c r="IIA376" s="10"/>
      <c r="IIB376" s="21"/>
      <c r="IIC376" s="21"/>
      <c r="IIF376" s="21"/>
      <c r="IIG376" s="15"/>
      <c r="IIH376" s="15"/>
      <c r="III376" s="15"/>
      <c r="IIJ376" s="15"/>
      <c r="IIK376" s="15"/>
      <c r="IIL376" s="15"/>
      <c r="IIM376" s="15"/>
      <c r="IIN376" s="15"/>
      <c r="IIO376" s="15"/>
      <c r="IIP376" s="15"/>
      <c r="IIQ376" s="10"/>
      <c r="IIR376" s="10"/>
      <c r="IIS376" s="21"/>
      <c r="IIT376" s="21"/>
      <c r="IIW376" s="21"/>
      <c r="IIX376" s="15"/>
      <c r="IIY376" s="15"/>
      <c r="IIZ376" s="15"/>
      <c r="IJA376" s="15"/>
      <c r="IJB376" s="15"/>
      <c r="IJC376" s="15"/>
      <c r="IJD376" s="15"/>
      <c r="IJE376" s="15"/>
      <c r="IJF376" s="15"/>
      <c r="IJG376" s="15"/>
      <c r="IJH376" s="10"/>
      <c r="IJI376" s="10"/>
      <c r="IJJ376" s="21"/>
      <c r="IJK376" s="21"/>
      <c r="IJN376" s="21"/>
      <c r="IJO376" s="15"/>
      <c r="IJP376" s="15"/>
      <c r="IJQ376" s="15"/>
      <c r="IJR376" s="15"/>
      <c r="IJS376" s="15"/>
      <c r="IJT376" s="15"/>
      <c r="IJU376" s="15"/>
      <c r="IJV376" s="15"/>
      <c r="IJW376" s="15"/>
      <c r="IJX376" s="15"/>
      <c r="IJY376" s="10"/>
      <c r="IJZ376" s="10"/>
      <c r="IKA376" s="21"/>
      <c r="IKB376" s="21"/>
      <c r="IKE376" s="21"/>
      <c r="IKF376" s="15"/>
      <c r="IKG376" s="15"/>
      <c r="IKH376" s="15"/>
      <c r="IKI376" s="15"/>
      <c r="IKJ376" s="15"/>
      <c r="IKK376" s="15"/>
      <c r="IKL376" s="15"/>
      <c r="IKM376" s="15"/>
      <c r="IKN376" s="15"/>
      <c r="IKO376" s="15"/>
      <c r="IKP376" s="10"/>
      <c r="IKQ376" s="10"/>
      <c r="IKR376" s="21"/>
      <c r="IKS376" s="21"/>
      <c r="IKV376" s="21"/>
      <c r="IKW376" s="15"/>
      <c r="IKX376" s="15"/>
      <c r="IKY376" s="15"/>
      <c r="IKZ376" s="15"/>
      <c r="ILA376" s="15"/>
      <c r="ILB376" s="15"/>
      <c r="ILC376" s="15"/>
      <c r="ILD376" s="15"/>
      <c r="ILE376" s="15"/>
      <c r="ILF376" s="15"/>
      <c r="ILG376" s="10"/>
      <c r="ILH376" s="10"/>
      <c r="ILI376" s="21"/>
      <c r="ILJ376" s="21"/>
      <c r="ILM376" s="21"/>
      <c r="ILN376" s="15"/>
      <c r="ILO376" s="15"/>
      <c r="ILP376" s="15"/>
      <c r="ILQ376" s="15"/>
      <c r="ILR376" s="15"/>
      <c r="ILS376" s="15"/>
      <c r="ILT376" s="15"/>
      <c r="ILU376" s="15"/>
      <c r="ILV376" s="15"/>
      <c r="ILW376" s="15"/>
      <c r="ILX376" s="10"/>
      <c r="ILY376" s="10"/>
      <c r="ILZ376" s="21"/>
      <c r="IMA376" s="21"/>
      <c r="IMD376" s="21"/>
      <c r="IME376" s="15"/>
      <c r="IMF376" s="15"/>
      <c r="IMG376" s="15"/>
      <c r="IMH376" s="15"/>
      <c r="IMI376" s="15"/>
      <c r="IMJ376" s="15"/>
      <c r="IMK376" s="15"/>
      <c r="IML376" s="15"/>
      <c r="IMM376" s="15"/>
      <c r="IMN376" s="15"/>
      <c r="IMO376" s="10"/>
      <c r="IMP376" s="10"/>
      <c r="IMQ376" s="21"/>
      <c r="IMR376" s="21"/>
      <c r="IMU376" s="21"/>
      <c r="IMV376" s="15"/>
      <c r="IMW376" s="15"/>
      <c r="IMX376" s="15"/>
      <c r="IMY376" s="15"/>
      <c r="IMZ376" s="15"/>
      <c r="INA376" s="15"/>
      <c r="INB376" s="15"/>
      <c r="INC376" s="15"/>
      <c r="IND376" s="15"/>
      <c r="INE376" s="15"/>
      <c r="INF376" s="10"/>
      <c r="ING376" s="10"/>
      <c r="INH376" s="21"/>
      <c r="INI376" s="21"/>
      <c r="INL376" s="21"/>
      <c r="INM376" s="15"/>
      <c r="INN376" s="15"/>
      <c r="INO376" s="15"/>
      <c r="INP376" s="15"/>
      <c r="INQ376" s="15"/>
      <c r="INR376" s="15"/>
      <c r="INS376" s="15"/>
      <c r="INT376" s="15"/>
      <c r="INU376" s="15"/>
      <c r="INV376" s="15"/>
      <c r="INW376" s="10"/>
      <c r="INX376" s="10"/>
      <c r="INY376" s="21"/>
      <c r="INZ376" s="21"/>
      <c r="IOC376" s="21"/>
      <c r="IOD376" s="15"/>
      <c r="IOE376" s="15"/>
      <c r="IOF376" s="15"/>
      <c r="IOG376" s="15"/>
      <c r="IOH376" s="15"/>
      <c r="IOI376" s="15"/>
      <c r="IOJ376" s="15"/>
      <c r="IOK376" s="15"/>
      <c r="IOL376" s="15"/>
      <c r="IOM376" s="15"/>
      <c r="ION376" s="10"/>
      <c r="IOO376" s="10"/>
      <c r="IOP376" s="21"/>
      <c r="IOQ376" s="21"/>
      <c r="IOT376" s="21"/>
      <c r="IOU376" s="15"/>
      <c r="IOV376" s="15"/>
      <c r="IOW376" s="15"/>
      <c r="IOX376" s="15"/>
      <c r="IOY376" s="15"/>
      <c r="IOZ376" s="15"/>
      <c r="IPA376" s="15"/>
      <c r="IPB376" s="15"/>
      <c r="IPC376" s="15"/>
      <c r="IPD376" s="15"/>
      <c r="IPE376" s="10"/>
      <c r="IPF376" s="10"/>
      <c r="IPG376" s="21"/>
      <c r="IPH376" s="21"/>
      <c r="IPK376" s="21"/>
      <c r="IPL376" s="15"/>
      <c r="IPM376" s="15"/>
      <c r="IPN376" s="15"/>
      <c r="IPO376" s="15"/>
      <c r="IPP376" s="15"/>
      <c r="IPQ376" s="15"/>
      <c r="IPR376" s="15"/>
      <c r="IPS376" s="15"/>
      <c r="IPT376" s="15"/>
      <c r="IPU376" s="15"/>
      <c r="IPV376" s="10"/>
      <c r="IPW376" s="10"/>
      <c r="IPX376" s="21"/>
      <c r="IPY376" s="21"/>
      <c r="IQB376" s="21"/>
      <c r="IQC376" s="15"/>
      <c r="IQD376" s="15"/>
      <c r="IQE376" s="15"/>
      <c r="IQF376" s="15"/>
      <c r="IQG376" s="15"/>
      <c r="IQH376" s="15"/>
      <c r="IQI376" s="15"/>
      <c r="IQJ376" s="15"/>
      <c r="IQK376" s="15"/>
      <c r="IQL376" s="15"/>
      <c r="IQM376" s="10"/>
      <c r="IQN376" s="10"/>
      <c r="IQO376" s="21"/>
      <c r="IQP376" s="21"/>
      <c r="IQS376" s="21"/>
      <c r="IQT376" s="15"/>
      <c r="IQU376" s="15"/>
      <c r="IQV376" s="15"/>
      <c r="IQW376" s="15"/>
      <c r="IQX376" s="15"/>
      <c r="IQY376" s="15"/>
      <c r="IQZ376" s="15"/>
      <c r="IRA376" s="15"/>
      <c r="IRB376" s="15"/>
      <c r="IRC376" s="15"/>
      <c r="IRD376" s="10"/>
      <c r="IRE376" s="10"/>
      <c r="IRF376" s="21"/>
      <c r="IRG376" s="21"/>
      <c r="IRJ376" s="21"/>
      <c r="IRK376" s="15"/>
      <c r="IRL376" s="15"/>
      <c r="IRM376" s="15"/>
      <c r="IRN376" s="15"/>
      <c r="IRO376" s="15"/>
      <c r="IRP376" s="15"/>
      <c r="IRQ376" s="15"/>
      <c r="IRR376" s="15"/>
      <c r="IRS376" s="15"/>
      <c r="IRT376" s="15"/>
      <c r="IRU376" s="10"/>
      <c r="IRV376" s="10"/>
      <c r="IRW376" s="21"/>
      <c r="IRX376" s="21"/>
      <c r="ISA376" s="21"/>
      <c r="ISB376" s="15"/>
      <c r="ISC376" s="15"/>
      <c r="ISD376" s="15"/>
      <c r="ISE376" s="15"/>
      <c r="ISF376" s="15"/>
      <c r="ISG376" s="15"/>
      <c r="ISH376" s="15"/>
      <c r="ISI376" s="15"/>
      <c r="ISJ376" s="15"/>
      <c r="ISK376" s="15"/>
      <c r="ISL376" s="10"/>
      <c r="ISM376" s="10"/>
      <c r="ISN376" s="21"/>
      <c r="ISO376" s="21"/>
      <c r="ISR376" s="21"/>
      <c r="ISS376" s="15"/>
      <c r="IST376" s="15"/>
      <c r="ISU376" s="15"/>
      <c r="ISV376" s="15"/>
      <c r="ISW376" s="15"/>
      <c r="ISX376" s="15"/>
      <c r="ISY376" s="15"/>
      <c r="ISZ376" s="15"/>
      <c r="ITA376" s="15"/>
      <c r="ITB376" s="15"/>
      <c r="ITC376" s="10"/>
      <c r="ITD376" s="10"/>
      <c r="ITE376" s="21"/>
      <c r="ITF376" s="21"/>
      <c r="ITI376" s="21"/>
      <c r="ITJ376" s="15"/>
      <c r="ITK376" s="15"/>
      <c r="ITL376" s="15"/>
      <c r="ITM376" s="15"/>
      <c r="ITN376" s="15"/>
      <c r="ITO376" s="15"/>
      <c r="ITP376" s="15"/>
      <c r="ITQ376" s="15"/>
      <c r="ITR376" s="15"/>
      <c r="ITS376" s="15"/>
      <c r="ITT376" s="10"/>
      <c r="ITU376" s="10"/>
      <c r="ITV376" s="21"/>
      <c r="ITW376" s="21"/>
      <c r="ITZ376" s="21"/>
      <c r="IUA376" s="15"/>
      <c r="IUB376" s="15"/>
      <c r="IUC376" s="15"/>
      <c r="IUD376" s="15"/>
      <c r="IUE376" s="15"/>
      <c r="IUF376" s="15"/>
      <c r="IUG376" s="15"/>
      <c r="IUH376" s="15"/>
      <c r="IUI376" s="15"/>
      <c r="IUJ376" s="15"/>
      <c r="IUK376" s="10"/>
      <c r="IUL376" s="10"/>
      <c r="IUM376" s="21"/>
      <c r="IUN376" s="21"/>
      <c r="IUQ376" s="21"/>
      <c r="IUR376" s="15"/>
      <c r="IUS376" s="15"/>
      <c r="IUT376" s="15"/>
      <c r="IUU376" s="15"/>
      <c r="IUV376" s="15"/>
      <c r="IUW376" s="15"/>
      <c r="IUX376" s="15"/>
      <c r="IUY376" s="15"/>
      <c r="IUZ376" s="15"/>
      <c r="IVA376" s="15"/>
      <c r="IVB376" s="10"/>
      <c r="IVC376" s="10"/>
      <c r="IVD376" s="21"/>
      <c r="IVE376" s="21"/>
      <c r="IVH376" s="21"/>
      <c r="IVI376" s="15"/>
      <c r="IVJ376" s="15"/>
      <c r="IVK376" s="15"/>
      <c r="IVL376" s="15"/>
      <c r="IVM376" s="15"/>
      <c r="IVN376" s="15"/>
      <c r="IVO376" s="15"/>
      <c r="IVP376" s="15"/>
      <c r="IVQ376" s="15"/>
      <c r="IVR376" s="15"/>
      <c r="IVS376" s="10"/>
      <c r="IVT376" s="10"/>
      <c r="IVU376" s="21"/>
      <c r="IVV376" s="21"/>
      <c r="IVY376" s="21"/>
      <c r="IVZ376" s="15"/>
      <c r="IWA376" s="15"/>
      <c r="IWB376" s="15"/>
      <c r="IWC376" s="15"/>
      <c r="IWD376" s="15"/>
      <c r="IWE376" s="15"/>
      <c r="IWF376" s="15"/>
      <c r="IWG376" s="15"/>
      <c r="IWH376" s="15"/>
      <c r="IWI376" s="15"/>
      <c r="IWJ376" s="10"/>
      <c r="IWK376" s="10"/>
      <c r="IWL376" s="21"/>
      <c r="IWM376" s="21"/>
      <c r="IWP376" s="21"/>
      <c r="IWQ376" s="15"/>
      <c r="IWR376" s="15"/>
      <c r="IWS376" s="15"/>
      <c r="IWT376" s="15"/>
      <c r="IWU376" s="15"/>
      <c r="IWV376" s="15"/>
      <c r="IWW376" s="15"/>
      <c r="IWX376" s="15"/>
      <c r="IWY376" s="15"/>
      <c r="IWZ376" s="15"/>
      <c r="IXA376" s="10"/>
      <c r="IXB376" s="10"/>
      <c r="IXC376" s="21"/>
      <c r="IXD376" s="21"/>
      <c r="IXG376" s="21"/>
      <c r="IXH376" s="15"/>
      <c r="IXI376" s="15"/>
      <c r="IXJ376" s="15"/>
      <c r="IXK376" s="15"/>
      <c r="IXL376" s="15"/>
      <c r="IXM376" s="15"/>
      <c r="IXN376" s="15"/>
      <c r="IXO376" s="15"/>
      <c r="IXP376" s="15"/>
      <c r="IXQ376" s="15"/>
      <c r="IXR376" s="10"/>
      <c r="IXS376" s="10"/>
      <c r="IXT376" s="21"/>
      <c r="IXU376" s="21"/>
      <c r="IXX376" s="21"/>
      <c r="IXY376" s="15"/>
      <c r="IXZ376" s="15"/>
      <c r="IYA376" s="15"/>
      <c r="IYB376" s="15"/>
      <c r="IYC376" s="15"/>
      <c r="IYD376" s="15"/>
      <c r="IYE376" s="15"/>
      <c r="IYF376" s="15"/>
      <c r="IYG376" s="15"/>
      <c r="IYH376" s="15"/>
      <c r="IYI376" s="10"/>
      <c r="IYJ376" s="10"/>
      <c r="IYK376" s="21"/>
      <c r="IYL376" s="21"/>
      <c r="IYO376" s="21"/>
      <c r="IYP376" s="15"/>
      <c r="IYQ376" s="15"/>
      <c r="IYR376" s="15"/>
      <c r="IYS376" s="15"/>
      <c r="IYT376" s="15"/>
      <c r="IYU376" s="15"/>
      <c r="IYV376" s="15"/>
      <c r="IYW376" s="15"/>
      <c r="IYX376" s="15"/>
      <c r="IYY376" s="15"/>
      <c r="IYZ376" s="10"/>
      <c r="IZA376" s="10"/>
      <c r="IZB376" s="21"/>
      <c r="IZC376" s="21"/>
      <c r="IZF376" s="21"/>
      <c r="IZG376" s="15"/>
      <c r="IZH376" s="15"/>
      <c r="IZI376" s="15"/>
      <c r="IZJ376" s="15"/>
      <c r="IZK376" s="15"/>
      <c r="IZL376" s="15"/>
      <c r="IZM376" s="15"/>
      <c r="IZN376" s="15"/>
      <c r="IZO376" s="15"/>
      <c r="IZP376" s="15"/>
      <c r="IZQ376" s="10"/>
      <c r="IZR376" s="10"/>
      <c r="IZS376" s="21"/>
      <c r="IZT376" s="21"/>
      <c r="IZW376" s="21"/>
      <c r="IZX376" s="15"/>
      <c r="IZY376" s="15"/>
      <c r="IZZ376" s="15"/>
      <c r="JAA376" s="15"/>
      <c r="JAB376" s="15"/>
      <c r="JAC376" s="15"/>
      <c r="JAD376" s="15"/>
      <c r="JAE376" s="15"/>
      <c r="JAF376" s="15"/>
      <c r="JAG376" s="15"/>
      <c r="JAH376" s="10"/>
      <c r="JAI376" s="10"/>
      <c r="JAJ376" s="21"/>
      <c r="JAK376" s="21"/>
      <c r="JAN376" s="21"/>
      <c r="JAO376" s="15"/>
      <c r="JAP376" s="15"/>
      <c r="JAQ376" s="15"/>
      <c r="JAR376" s="15"/>
      <c r="JAS376" s="15"/>
      <c r="JAT376" s="15"/>
      <c r="JAU376" s="15"/>
      <c r="JAV376" s="15"/>
      <c r="JAW376" s="15"/>
      <c r="JAX376" s="15"/>
      <c r="JAY376" s="10"/>
      <c r="JAZ376" s="10"/>
      <c r="JBA376" s="21"/>
      <c r="JBB376" s="21"/>
      <c r="JBE376" s="21"/>
      <c r="JBF376" s="15"/>
      <c r="JBG376" s="15"/>
      <c r="JBH376" s="15"/>
      <c r="JBI376" s="15"/>
      <c r="JBJ376" s="15"/>
      <c r="JBK376" s="15"/>
      <c r="JBL376" s="15"/>
      <c r="JBM376" s="15"/>
      <c r="JBN376" s="15"/>
      <c r="JBO376" s="15"/>
      <c r="JBP376" s="10"/>
      <c r="JBQ376" s="10"/>
      <c r="JBR376" s="21"/>
      <c r="JBS376" s="21"/>
      <c r="JBV376" s="21"/>
      <c r="JBW376" s="15"/>
      <c r="JBX376" s="15"/>
      <c r="JBY376" s="15"/>
      <c r="JBZ376" s="15"/>
      <c r="JCA376" s="15"/>
      <c r="JCB376" s="15"/>
      <c r="JCC376" s="15"/>
      <c r="JCD376" s="15"/>
      <c r="JCE376" s="15"/>
      <c r="JCF376" s="15"/>
      <c r="JCG376" s="10"/>
      <c r="JCH376" s="10"/>
      <c r="JCI376" s="21"/>
      <c r="JCJ376" s="21"/>
      <c r="JCM376" s="21"/>
      <c r="JCN376" s="15"/>
      <c r="JCO376" s="15"/>
      <c r="JCP376" s="15"/>
      <c r="JCQ376" s="15"/>
      <c r="JCR376" s="15"/>
      <c r="JCS376" s="15"/>
      <c r="JCT376" s="15"/>
      <c r="JCU376" s="15"/>
      <c r="JCV376" s="15"/>
      <c r="JCW376" s="15"/>
      <c r="JCX376" s="10"/>
      <c r="JCY376" s="10"/>
      <c r="JCZ376" s="21"/>
      <c r="JDA376" s="21"/>
      <c r="JDD376" s="21"/>
      <c r="JDE376" s="15"/>
      <c r="JDF376" s="15"/>
      <c r="JDG376" s="15"/>
      <c r="JDH376" s="15"/>
      <c r="JDI376" s="15"/>
      <c r="JDJ376" s="15"/>
      <c r="JDK376" s="15"/>
      <c r="JDL376" s="15"/>
      <c r="JDM376" s="15"/>
      <c r="JDN376" s="15"/>
      <c r="JDO376" s="10"/>
      <c r="JDP376" s="10"/>
      <c r="JDQ376" s="21"/>
      <c r="JDR376" s="21"/>
      <c r="JDU376" s="21"/>
      <c r="JDV376" s="15"/>
      <c r="JDW376" s="15"/>
      <c r="JDX376" s="15"/>
      <c r="JDY376" s="15"/>
      <c r="JDZ376" s="15"/>
      <c r="JEA376" s="15"/>
      <c r="JEB376" s="15"/>
      <c r="JEC376" s="15"/>
      <c r="JED376" s="15"/>
      <c r="JEE376" s="15"/>
      <c r="JEF376" s="10"/>
      <c r="JEG376" s="10"/>
      <c r="JEH376" s="21"/>
      <c r="JEI376" s="21"/>
      <c r="JEL376" s="21"/>
      <c r="JEM376" s="15"/>
      <c r="JEN376" s="15"/>
      <c r="JEO376" s="15"/>
      <c r="JEP376" s="15"/>
      <c r="JEQ376" s="15"/>
      <c r="JER376" s="15"/>
      <c r="JES376" s="15"/>
      <c r="JET376" s="15"/>
      <c r="JEU376" s="15"/>
      <c r="JEV376" s="15"/>
      <c r="JEW376" s="10"/>
      <c r="JEX376" s="10"/>
      <c r="JEY376" s="21"/>
      <c r="JEZ376" s="21"/>
      <c r="JFC376" s="21"/>
      <c r="JFD376" s="15"/>
      <c r="JFE376" s="15"/>
      <c r="JFF376" s="15"/>
      <c r="JFG376" s="15"/>
      <c r="JFH376" s="15"/>
      <c r="JFI376" s="15"/>
      <c r="JFJ376" s="15"/>
      <c r="JFK376" s="15"/>
      <c r="JFL376" s="15"/>
      <c r="JFM376" s="15"/>
      <c r="JFN376" s="10"/>
      <c r="JFO376" s="10"/>
      <c r="JFP376" s="21"/>
      <c r="JFQ376" s="21"/>
      <c r="JFT376" s="21"/>
      <c r="JFU376" s="15"/>
      <c r="JFV376" s="15"/>
      <c r="JFW376" s="15"/>
      <c r="JFX376" s="15"/>
      <c r="JFY376" s="15"/>
      <c r="JFZ376" s="15"/>
      <c r="JGA376" s="15"/>
      <c r="JGB376" s="15"/>
      <c r="JGC376" s="15"/>
      <c r="JGD376" s="15"/>
      <c r="JGE376" s="10"/>
      <c r="JGF376" s="10"/>
      <c r="JGG376" s="21"/>
      <c r="JGH376" s="21"/>
      <c r="JGK376" s="21"/>
      <c r="JGL376" s="15"/>
      <c r="JGM376" s="15"/>
      <c r="JGN376" s="15"/>
      <c r="JGO376" s="15"/>
      <c r="JGP376" s="15"/>
      <c r="JGQ376" s="15"/>
      <c r="JGR376" s="15"/>
      <c r="JGS376" s="15"/>
      <c r="JGT376" s="15"/>
      <c r="JGU376" s="15"/>
      <c r="JGV376" s="10"/>
      <c r="JGW376" s="10"/>
      <c r="JGX376" s="21"/>
      <c r="JGY376" s="21"/>
      <c r="JHB376" s="21"/>
      <c r="JHC376" s="15"/>
      <c r="JHD376" s="15"/>
      <c r="JHE376" s="15"/>
      <c r="JHF376" s="15"/>
      <c r="JHG376" s="15"/>
      <c r="JHH376" s="15"/>
      <c r="JHI376" s="15"/>
      <c r="JHJ376" s="15"/>
      <c r="JHK376" s="15"/>
      <c r="JHL376" s="15"/>
      <c r="JHM376" s="10"/>
      <c r="JHN376" s="10"/>
      <c r="JHO376" s="21"/>
      <c r="JHP376" s="21"/>
      <c r="JHS376" s="21"/>
      <c r="JHT376" s="15"/>
      <c r="JHU376" s="15"/>
      <c r="JHV376" s="15"/>
      <c r="JHW376" s="15"/>
      <c r="JHX376" s="15"/>
      <c r="JHY376" s="15"/>
      <c r="JHZ376" s="15"/>
      <c r="JIA376" s="15"/>
      <c r="JIB376" s="15"/>
      <c r="JIC376" s="15"/>
      <c r="JID376" s="10"/>
      <c r="JIE376" s="10"/>
      <c r="JIF376" s="21"/>
      <c r="JIG376" s="21"/>
      <c r="JIJ376" s="21"/>
      <c r="JIK376" s="15"/>
      <c r="JIL376" s="15"/>
      <c r="JIM376" s="15"/>
      <c r="JIN376" s="15"/>
      <c r="JIO376" s="15"/>
      <c r="JIP376" s="15"/>
      <c r="JIQ376" s="15"/>
      <c r="JIR376" s="15"/>
      <c r="JIS376" s="15"/>
      <c r="JIT376" s="15"/>
      <c r="JIU376" s="10"/>
      <c r="JIV376" s="10"/>
      <c r="JIW376" s="21"/>
      <c r="JIX376" s="21"/>
      <c r="JJA376" s="21"/>
      <c r="JJB376" s="15"/>
      <c r="JJC376" s="15"/>
      <c r="JJD376" s="15"/>
      <c r="JJE376" s="15"/>
      <c r="JJF376" s="15"/>
      <c r="JJG376" s="15"/>
      <c r="JJH376" s="15"/>
      <c r="JJI376" s="15"/>
      <c r="JJJ376" s="15"/>
      <c r="JJK376" s="15"/>
      <c r="JJL376" s="10"/>
      <c r="JJM376" s="10"/>
      <c r="JJN376" s="21"/>
      <c r="JJO376" s="21"/>
      <c r="JJR376" s="21"/>
      <c r="JJS376" s="15"/>
      <c r="JJT376" s="15"/>
      <c r="JJU376" s="15"/>
      <c r="JJV376" s="15"/>
      <c r="JJW376" s="15"/>
      <c r="JJX376" s="15"/>
      <c r="JJY376" s="15"/>
      <c r="JJZ376" s="15"/>
      <c r="JKA376" s="15"/>
      <c r="JKB376" s="15"/>
      <c r="JKC376" s="10"/>
      <c r="JKD376" s="10"/>
      <c r="JKE376" s="21"/>
      <c r="JKF376" s="21"/>
      <c r="JKI376" s="21"/>
      <c r="JKJ376" s="15"/>
      <c r="JKK376" s="15"/>
      <c r="JKL376" s="15"/>
      <c r="JKM376" s="15"/>
      <c r="JKN376" s="15"/>
      <c r="JKO376" s="15"/>
      <c r="JKP376" s="15"/>
      <c r="JKQ376" s="15"/>
      <c r="JKR376" s="15"/>
      <c r="JKS376" s="15"/>
      <c r="JKT376" s="10"/>
      <c r="JKU376" s="10"/>
      <c r="JKV376" s="21"/>
      <c r="JKW376" s="21"/>
      <c r="JKZ376" s="21"/>
      <c r="JLA376" s="15"/>
      <c r="JLB376" s="15"/>
      <c r="JLC376" s="15"/>
      <c r="JLD376" s="15"/>
      <c r="JLE376" s="15"/>
      <c r="JLF376" s="15"/>
      <c r="JLG376" s="15"/>
      <c r="JLH376" s="15"/>
      <c r="JLI376" s="15"/>
      <c r="JLJ376" s="15"/>
      <c r="JLK376" s="10"/>
      <c r="JLL376" s="10"/>
      <c r="JLM376" s="21"/>
      <c r="JLN376" s="21"/>
      <c r="JLQ376" s="21"/>
      <c r="JLR376" s="15"/>
      <c r="JLS376" s="15"/>
      <c r="JLT376" s="15"/>
      <c r="JLU376" s="15"/>
      <c r="JLV376" s="15"/>
      <c r="JLW376" s="15"/>
      <c r="JLX376" s="15"/>
      <c r="JLY376" s="15"/>
      <c r="JLZ376" s="15"/>
      <c r="JMA376" s="15"/>
      <c r="JMB376" s="10"/>
      <c r="JMC376" s="10"/>
      <c r="JMD376" s="21"/>
      <c r="JME376" s="21"/>
      <c r="JMH376" s="21"/>
      <c r="JMI376" s="15"/>
      <c r="JMJ376" s="15"/>
      <c r="JMK376" s="15"/>
      <c r="JML376" s="15"/>
      <c r="JMM376" s="15"/>
      <c r="JMN376" s="15"/>
      <c r="JMO376" s="15"/>
      <c r="JMP376" s="15"/>
      <c r="JMQ376" s="15"/>
      <c r="JMR376" s="15"/>
      <c r="JMS376" s="10"/>
      <c r="JMT376" s="10"/>
      <c r="JMU376" s="21"/>
      <c r="JMV376" s="21"/>
      <c r="JMY376" s="21"/>
      <c r="JMZ376" s="15"/>
      <c r="JNA376" s="15"/>
      <c r="JNB376" s="15"/>
      <c r="JNC376" s="15"/>
      <c r="JND376" s="15"/>
      <c r="JNE376" s="15"/>
      <c r="JNF376" s="15"/>
      <c r="JNG376" s="15"/>
      <c r="JNH376" s="15"/>
      <c r="JNI376" s="15"/>
      <c r="JNJ376" s="10"/>
      <c r="JNK376" s="10"/>
      <c r="JNL376" s="21"/>
      <c r="JNM376" s="21"/>
      <c r="JNP376" s="21"/>
      <c r="JNQ376" s="15"/>
      <c r="JNR376" s="15"/>
      <c r="JNS376" s="15"/>
      <c r="JNT376" s="15"/>
      <c r="JNU376" s="15"/>
      <c r="JNV376" s="15"/>
      <c r="JNW376" s="15"/>
      <c r="JNX376" s="15"/>
      <c r="JNY376" s="15"/>
      <c r="JNZ376" s="15"/>
      <c r="JOA376" s="10"/>
      <c r="JOB376" s="10"/>
      <c r="JOC376" s="21"/>
      <c r="JOD376" s="21"/>
      <c r="JOG376" s="21"/>
      <c r="JOH376" s="15"/>
      <c r="JOI376" s="15"/>
      <c r="JOJ376" s="15"/>
      <c r="JOK376" s="15"/>
      <c r="JOL376" s="15"/>
      <c r="JOM376" s="15"/>
      <c r="JON376" s="15"/>
      <c r="JOO376" s="15"/>
      <c r="JOP376" s="15"/>
      <c r="JOQ376" s="15"/>
      <c r="JOR376" s="10"/>
      <c r="JOS376" s="10"/>
      <c r="JOT376" s="21"/>
      <c r="JOU376" s="21"/>
      <c r="JOX376" s="21"/>
      <c r="JOY376" s="15"/>
      <c r="JOZ376" s="15"/>
      <c r="JPA376" s="15"/>
      <c r="JPB376" s="15"/>
      <c r="JPC376" s="15"/>
      <c r="JPD376" s="15"/>
      <c r="JPE376" s="15"/>
      <c r="JPF376" s="15"/>
      <c r="JPG376" s="15"/>
      <c r="JPH376" s="15"/>
      <c r="JPI376" s="10"/>
      <c r="JPJ376" s="10"/>
      <c r="JPK376" s="21"/>
      <c r="JPL376" s="21"/>
      <c r="JPO376" s="21"/>
      <c r="JPP376" s="15"/>
      <c r="JPQ376" s="15"/>
      <c r="JPR376" s="15"/>
      <c r="JPS376" s="15"/>
      <c r="JPT376" s="15"/>
      <c r="JPU376" s="15"/>
      <c r="JPV376" s="15"/>
      <c r="JPW376" s="15"/>
      <c r="JPX376" s="15"/>
      <c r="JPY376" s="15"/>
      <c r="JPZ376" s="10"/>
      <c r="JQA376" s="10"/>
      <c r="JQB376" s="21"/>
      <c r="JQC376" s="21"/>
      <c r="JQF376" s="21"/>
      <c r="JQG376" s="15"/>
      <c r="JQH376" s="15"/>
      <c r="JQI376" s="15"/>
      <c r="JQJ376" s="15"/>
      <c r="JQK376" s="15"/>
      <c r="JQL376" s="15"/>
      <c r="JQM376" s="15"/>
      <c r="JQN376" s="15"/>
      <c r="JQO376" s="15"/>
      <c r="JQP376" s="15"/>
      <c r="JQQ376" s="10"/>
      <c r="JQR376" s="10"/>
      <c r="JQS376" s="21"/>
      <c r="JQT376" s="21"/>
      <c r="JQW376" s="21"/>
      <c r="JQX376" s="15"/>
      <c r="JQY376" s="15"/>
      <c r="JQZ376" s="15"/>
      <c r="JRA376" s="15"/>
      <c r="JRB376" s="15"/>
      <c r="JRC376" s="15"/>
      <c r="JRD376" s="15"/>
      <c r="JRE376" s="15"/>
      <c r="JRF376" s="15"/>
      <c r="JRG376" s="15"/>
      <c r="JRH376" s="10"/>
      <c r="JRI376" s="10"/>
      <c r="JRJ376" s="21"/>
      <c r="JRK376" s="21"/>
      <c r="JRN376" s="21"/>
      <c r="JRO376" s="15"/>
      <c r="JRP376" s="15"/>
      <c r="JRQ376" s="15"/>
      <c r="JRR376" s="15"/>
      <c r="JRS376" s="15"/>
      <c r="JRT376" s="15"/>
      <c r="JRU376" s="15"/>
      <c r="JRV376" s="15"/>
      <c r="JRW376" s="15"/>
      <c r="JRX376" s="15"/>
      <c r="JRY376" s="10"/>
      <c r="JRZ376" s="10"/>
      <c r="JSA376" s="21"/>
      <c r="JSB376" s="21"/>
      <c r="JSE376" s="21"/>
      <c r="JSF376" s="15"/>
      <c r="JSG376" s="15"/>
      <c r="JSH376" s="15"/>
      <c r="JSI376" s="15"/>
      <c r="JSJ376" s="15"/>
      <c r="JSK376" s="15"/>
      <c r="JSL376" s="15"/>
      <c r="JSM376" s="15"/>
      <c r="JSN376" s="15"/>
      <c r="JSO376" s="15"/>
      <c r="JSP376" s="10"/>
      <c r="JSQ376" s="10"/>
      <c r="JSR376" s="21"/>
      <c r="JSS376" s="21"/>
      <c r="JSV376" s="21"/>
      <c r="JSW376" s="15"/>
      <c r="JSX376" s="15"/>
      <c r="JSY376" s="15"/>
      <c r="JSZ376" s="15"/>
      <c r="JTA376" s="15"/>
      <c r="JTB376" s="15"/>
      <c r="JTC376" s="15"/>
      <c r="JTD376" s="15"/>
      <c r="JTE376" s="15"/>
      <c r="JTF376" s="15"/>
      <c r="JTG376" s="10"/>
      <c r="JTH376" s="10"/>
      <c r="JTI376" s="21"/>
      <c r="JTJ376" s="21"/>
      <c r="JTM376" s="21"/>
      <c r="JTN376" s="15"/>
      <c r="JTO376" s="15"/>
      <c r="JTP376" s="15"/>
      <c r="JTQ376" s="15"/>
      <c r="JTR376" s="15"/>
      <c r="JTS376" s="15"/>
      <c r="JTT376" s="15"/>
      <c r="JTU376" s="15"/>
      <c r="JTV376" s="15"/>
      <c r="JTW376" s="15"/>
      <c r="JTX376" s="10"/>
      <c r="JTY376" s="10"/>
      <c r="JTZ376" s="21"/>
      <c r="JUA376" s="21"/>
      <c r="JUD376" s="21"/>
      <c r="JUE376" s="15"/>
      <c r="JUF376" s="15"/>
      <c r="JUG376" s="15"/>
      <c r="JUH376" s="15"/>
      <c r="JUI376" s="15"/>
      <c r="JUJ376" s="15"/>
      <c r="JUK376" s="15"/>
      <c r="JUL376" s="15"/>
      <c r="JUM376" s="15"/>
      <c r="JUN376" s="15"/>
      <c r="JUO376" s="10"/>
      <c r="JUP376" s="10"/>
      <c r="JUQ376" s="21"/>
      <c r="JUR376" s="21"/>
      <c r="JUU376" s="21"/>
      <c r="JUV376" s="15"/>
      <c r="JUW376" s="15"/>
      <c r="JUX376" s="15"/>
      <c r="JUY376" s="15"/>
      <c r="JUZ376" s="15"/>
      <c r="JVA376" s="15"/>
      <c r="JVB376" s="15"/>
      <c r="JVC376" s="15"/>
      <c r="JVD376" s="15"/>
      <c r="JVE376" s="15"/>
      <c r="JVF376" s="10"/>
      <c r="JVG376" s="10"/>
      <c r="JVH376" s="21"/>
      <c r="JVI376" s="21"/>
      <c r="JVL376" s="21"/>
      <c r="JVM376" s="15"/>
      <c r="JVN376" s="15"/>
      <c r="JVO376" s="15"/>
      <c r="JVP376" s="15"/>
      <c r="JVQ376" s="15"/>
      <c r="JVR376" s="15"/>
      <c r="JVS376" s="15"/>
      <c r="JVT376" s="15"/>
      <c r="JVU376" s="15"/>
      <c r="JVV376" s="15"/>
      <c r="JVW376" s="10"/>
      <c r="JVX376" s="10"/>
      <c r="JVY376" s="21"/>
      <c r="JVZ376" s="21"/>
      <c r="JWC376" s="21"/>
      <c r="JWD376" s="15"/>
      <c r="JWE376" s="15"/>
      <c r="JWF376" s="15"/>
      <c r="JWG376" s="15"/>
      <c r="JWH376" s="15"/>
      <c r="JWI376" s="15"/>
      <c r="JWJ376" s="15"/>
      <c r="JWK376" s="15"/>
      <c r="JWL376" s="15"/>
      <c r="JWM376" s="15"/>
      <c r="JWN376" s="10"/>
      <c r="JWO376" s="10"/>
      <c r="JWP376" s="21"/>
      <c r="JWQ376" s="21"/>
      <c r="JWT376" s="21"/>
      <c r="JWU376" s="15"/>
      <c r="JWV376" s="15"/>
      <c r="JWW376" s="15"/>
      <c r="JWX376" s="15"/>
      <c r="JWY376" s="15"/>
      <c r="JWZ376" s="15"/>
      <c r="JXA376" s="15"/>
      <c r="JXB376" s="15"/>
      <c r="JXC376" s="15"/>
      <c r="JXD376" s="15"/>
      <c r="JXE376" s="10"/>
      <c r="JXF376" s="10"/>
      <c r="JXG376" s="21"/>
      <c r="JXH376" s="21"/>
      <c r="JXK376" s="21"/>
      <c r="JXL376" s="15"/>
      <c r="JXM376" s="15"/>
      <c r="JXN376" s="15"/>
      <c r="JXO376" s="15"/>
      <c r="JXP376" s="15"/>
      <c r="JXQ376" s="15"/>
      <c r="JXR376" s="15"/>
      <c r="JXS376" s="15"/>
      <c r="JXT376" s="15"/>
      <c r="JXU376" s="15"/>
      <c r="JXV376" s="10"/>
      <c r="JXW376" s="10"/>
      <c r="JXX376" s="21"/>
      <c r="JXY376" s="21"/>
      <c r="JYB376" s="21"/>
      <c r="JYC376" s="15"/>
      <c r="JYD376" s="15"/>
      <c r="JYE376" s="15"/>
      <c r="JYF376" s="15"/>
      <c r="JYG376" s="15"/>
      <c r="JYH376" s="15"/>
      <c r="JYI376" s="15"/>
      <c r="JYJ376" s="15"/>
      <c r="JYK376" s="15"/>
      <c r="JYL376" s="15"/>
      <c r="JYM376" s="10"/>
      <c r="JYN376" s="10"/>
      <c r="JYO376" s="21"/>
      <c r="JYP376" s="21"/>
      <c r="JYS376" s="21"/>
      <c r="JYT376" s="15"/>
      <c r="JYU376" s="15"/>
      <c r="JYV376" s="15"/>
      <c r="JYW376" s="15"/>
      <c r="JYX376" s="15"/>
      <c r="JYY376" s="15"/>
      <c r="JYZ376" s="15"/>
      <c r="JZA376" s="15"/>
      <c r="JZB376" s="15"/>
      <c r="JZC376" s="15"/>
      <c r="JZD376" s="10"/>
      <c r="JZE376" s="10"/>
      <c r="JZF376" s="21"/>
      <c r="JZG376" s="21"/>
      <c r="JZJ376" s="21"/>
      <c r="JZK376" s="15"/>
      <c r="JZL376" s="15"/>
      <c r="JZM376" s="15"/>
      <c r="JZN376" s="15"/>
      <c r="JZO376" s="15"/>
      <c r="JZP376" s="15"/>
      <c r="JZQ376" s="15"/>
      <c r="JZR376" s="15"/>
      <c r="JZS376" s="15"/>
      <c r="JZT376" s="15"/>
      <c r="JZU376" s="10"/>
      <c r="JZV376" s="10"/>
      <c r="JZW376" s="21"/>
      <c r="JZX376" s="21"/>
      <c r="KAA376" s="21"/>
      <c r="KAB376" s="15"/>
      <c r="KAC376" s="15"/>
      <c r="KAD376" s="15"/>
      <c r="KAE376" s="15"/>
      <c r="KAF376" s="15"/>
      <c r="KAG376" s="15"/>
      <c r="KAH376" s="15"/>
      <c r="KAI376" s="15"/>
      <c r="KAJ376" s="15"/>
      <c r="KAK376" s="15"/>
      <c r="KAL376" s="10"/>
      <c r="KAM376" s="10"/>
      <c r="KAN376" s="21"/>
      <c r="KAO376" s="21"/>
      <c r="KAR376" s="21"/>
      <c r="KAS376" s="15"/>
      <c r="KAT376" s="15"/>
      <c r="KAU376" s="15"/>
      <c r="KAV376" s="15"/>
      <c r="KAW376" s="15"/>
      <c r="KAX376" s="15"/>
      <c r="KAY376" s="15"/>
      <c r="KAZ376" s="15"/>
      <c r="KBA376" s="15"/>
      <c r="KBB376" s="15"/>
      <c r="KBC376" s="10"/>
      <c r="KBD376" s="10"/>
      <c r="KBE376" s="21"/>
      <c r="KBF376" s="21"/>
      <c r="KBI376" s="21"/>
      <c r="KBJ376" s="15"/>
      <c r="KBK376" s="15"/>
      <c r="KBL376" s="15"/>
      <c r="KBM376" s="15"/>
      <c r="KBN376" s="15"/>
      <c r="KBO376" s="15"/>
      <c r="KBP376" s="15"/>
      <c r="KBQ376" s="15"/>
      <c r="KBR376" s="15"/>
      <c r="KBS376" s="15"/>
      <c r="KBT376" s="10"/>
      <c r="KBU376" s="10"/>
      <c r="KBV376" s="21"/>
      <c r="KBW376" s="21"/>
      <c r="KBZ376" s="21"/>
      <c r="KCA376" s="15"/>
      <c r="KCB376" s="15"/>
      <c r="KCC376" s="15"/>
      <c r="KCD376" s="15"/>
      <c r="KCE376" s="15"/>
      <c r="KCF376" s="15"/>
      <c r="KCG376" s="15"/>
      <c r="KCH376" s="15"/>
      <c r="KCI376" s="15"/>
      <c r="KCJ376" s="15"/>
      <c r="KCK376" s="10"/>
      <c r="KCL376" s="10"/>
      <c r="KCM376" s="21"/>
      <c r="KCN376" s="21"/>
      <c r="KCQ376" s="21"/>
      <c r="KCR376" s="15"/>
      <c r="KCS376" s="15"/>
      <c r="KCT376" s="15"/>
      <c r="KCU376" s="15"/>
      <c r="KCV376" s="15"/>
      <c r="KCW376" s="15"/>
      <c r="KCX376" s="15"/>
      <c r="KCY376" s="15"/>
      <c r="KCZ376" s="15"/>
      <c r="KDA376" s="15"/>
      <c r="KDB376" s="10"/>
      <c r="KDC376" s="10"/>
      <c r="KDD376" s="21"/>
      <c r="KDE376" s="21"/>
      <c r="KDH376" s="21"/>
      <c r="KDI376" s="15"/>
      <c r="KDJ376" s="15"/>
      <c r="KDK376" s="15"/>
      <c r="KDL376" s="15"/>
      <c r="KDM376" s="15"/>
      <c r="KDN376" s="15"/>
      <c r="KDO376" s="15"/>
      <c r="KDP376" s="15"/>
      <c r="KDQ376" s="15"/>
      <c r="KDR376" s="15"/>
      <c r="KDS376" s="10"/>
      <c r="KDT376" s="10"/>
      <c r="KDU376" s="21"/>
      <c r="KDV376" s="21"/>
      <c r="KDY376" s="21"/>
      <c r="KDZ376" s="15"/>
      <c r="KEA376" s="15"/>
      <c r="KEB376" s="15"/>
      <c r="KEC376" s="15"/>
      <c r="KED376" s="15"/>
      <c r="KEE376" s="15"/>
      <c r="KEF376" s="15"/>
      <c r="KEG376" s="15"/>
      <c r="KEH376" s="15"/>
      <c r="KEI376" s="15"/>
      <c r="KEJ376" s="10"/>
      <c r="KEK376" s="10"/>
      <c r="KEL376" s="21"/>
      <c r="KEM376" s="21"/>
      <c r="KEP376" s="21"/>
      <c r="KEQ376" s="15"/>
      <c r="KER376" s="15"/>
      <c r="KES376" s="15"/>
      <c r="KET376" s="15"/>
      <c r="KEU376" s="15"/>
      <c r="KEV376" s="15"/>
      <c r="KEW376" s="15"/>
      <c r="KEX376" s="15"/>
      <c r="KEY376" s="15"/>
      <c r="KEZ376" s="15"/>
      <c r="KFA376" s="10"/>
      <c r="KFB376" s="10"/>
      <c r="KFC376" s="21"/>
      <c r="KFD376" s="21"/>
      <c r="KFG376" s="21"/>
      <c r="KFH376" s="15"/>
      <c r="KFI376" s="15"/>
      <c r="KFJ376" s="15"/>
      <c r="KFK376" s="15"/>
      <c r="KFL376" s="15"/>
      <c r="KFM376" s="15"/>
      <c r="KFN376" s="15"/>
      <c r="KFO376" s="15"/>
      <c r="KFP376" s="15"/>
      <c r="KFQ376" s="15"/>
      <c r="KFR376" s="10"/>
      <c r="KFS376" s="10"/>
      <c r="KFT376" s="21"/>
      <c r="KFU376" s="21"/>
      <c r="KFX376" s="21"/>
      <c r="KFY376" s="15"/>
      <c r="KFZ376" s="15"/>
      <c r="KGA376" s="15"/>
      <c r="KGB376" s="15"/>
      <c r="KGC376" s="15"/>
      <c r="KGD376" s="15"/>
      <c r="KGE376" s="15"/>
      <c r="KGF376" s="15"/>
      <c r="KGG376" s="15"/>
      <c r="KGH376" s="15"/>
      <c r="KGI376" s="10"/>
      <c r="KGJ376" s="10"/>
      <c r="KGK376" s="21"/>
      <c r="KGL376" s="21"/>
      <c r="KGO376" s="21"/>
      <c r="KGP376" s="15"/>
      <c r="KGQ376" s="15"/>
      <c r="KGR376" s="15"/>
      <c r="KGS376" s="15"/>
      <c r="KGT376" s="15"/>
      <c r="KGU376" s="15"/>
      <c r="KGV376" s="15"/>
      <c r="KGW376" s="15"/>
      <c r="KGX376" s="15"/>
      <c r="KGY376" s="15"/>
      <c r="KGZ376" s="10"/>
      <c r="KHA376" s="10"/>
      <c r="KHB376" s="21"/>
      <c r="KHC376" s="21"/>
      <c r="KHF376" s="21"/>
      <c r="KHG376" s="15"/>
      <c r="KHH376" s="15"/>
      <c r="KHI376" s="15"/>
      <c r="KHJ376" s="15"/>
      <c r="KHK376" s="15"/>
      <c r="KHL376" s="15"/>
      <c r="KHM376" s="15"/>
      <c r="KHN376" s="15"/>
      <c r="KHO376" s="15"/>
      <c r="KHP376" s="15"/>
      <c r="KHQ376" s="10"/>
      <c r="KHR376" s="10"/>
      <c r="KHS376" s="21"/>
      <c r="KHT376" s="21"/>
      <c r="KHW376" s="21"/>
      <c r="KHX376" s="15"/>
      <c r="KHY376" s="15"/>
      <c r="KHZ376" s="15"/>
      <c r="KIA376" s="15"/>
      <c r="KIB376" s="15"/>
      <c r="KIC376" s="15"/>
      <c r="KID376" s="15"/>
      <c r="KIE376" s="15"/>
      <c r="KIF376" s="15"/>
      <c r="KIG376" s="15"/>
      <c r="KIH376" s="10"/>
      <c r="KII376" s="10"/>
      <c r="KIJ376" s="21"/>
      <c r="KIK376" s="21"/>
      <c r="KIN376" s="21"/>
      <c r="KIO376" s="15"/>
      <c r="KIP376" s="15"/>
      <c r="KIQ376" s="15"/>
      <c r="KIR376" s="15"/>
      <c r="KIS376" s="15"/>
      <c r="KIT376" s="15"/>
      <c r="KIU376" s="15"/>
      <c r="KIV376" s="15"/>
      <c r="KIW376" s="15"/>
      <c r="KIX376" s="15"/>
      <c r="KIY376" s="10"/>
      <c r="KIZ376" s="10"/>
      <c r="KJA376" s="21"/>
      <c r="KJB376" s="21"/>
      <c r="KJE376" s="21"/>
      <c r="KJF376" s="15"/>
      <c r="KJG376" s="15"/>
      <c r="KJH376" s="15"/>
      <c r="KJI376" s="15"/>
      <c r="KJJ376" s="15"/>
      <c r="KJK376" s="15"/>
      <c r="KJL376" s="15"/>
      <c r="KJM376" s="15"/>
      <c r="KJN376" s="15"/>
      <c r="KJO376" s="15"/>
      <c r="KJP376" s="10"/>
      <c r="KJQ376" s="10"/>
      <c r="KJR376" s="21"/>
      <c r="KJS376" s="21"/>
      <c r="KJV376" s="21"/>
      <c r="KJW376" s="15"/>
      <c r="KJX376" s="15"/>
      <c r="KJY376" s="15"/>
      <c r="KJZ376" s="15"/>
      <c r="KKA376" s="15"/>
      <c r="KKB376" s="15"/>
      <c r="KKC376" s="15"/>
      <c r="KKD376" s="15"/>
      <c r="KKE376" s="15"/>
      <c r="KKF376" s="15"/>
      <c r="KKG376" s="10"/>
      <c r="KKH376" s="10"/>
      <c r="KKI376" s="21"/>
      <c r="KKJ376" s="21"/>
      <c r="KKM376" s="21"/>
      <c r="KKN376" s="15"/>
      <c r="KKO376" s="15"/>
      <c r="KKP376" s="15"/>
      <c r="KKQ376" s="15"/>
      <c r="KKR376" s="15"/>
      <c r="KKS376" s="15"/>
      <c r="KKT376" s="15"/>
      <c r="KKU376" s="15"/>
      <c r="KKV376" s="15"/>
      <c r="KKW376" s="15"/>
      <c r="KKX376" s="10"/>
      <c r="KKY376" s="10"/>
      <c r="KKZ376" s="21"/>
      <c r="KLA376" s="21"/>
      <c r="KLD376" s="21"/>
      <c r="KLE376" s="15"/>
      <c r="KLF376" s="15"/>
      <c r="KLG376" s="15"/>
      <c r="KLH376" s="15"/>
      <c r="KLI376" s="15"/>
      <c r="KLJ376" s="15"/>
      <c r="KLK376" s="15"/>
      <c r="KLL376" s="15"/>
      <c r="KLM376" s="15"/>
      <c r="KLN376" s="15"/>
      <c r="KLO376" s="10"/>
      <c r="KLP376" s="10"/>
      <c r="KLQ376" s="21"/>
      <c r="KLR376" s="21"/>
      <c r="KLU376" s="21"/>
      <c r="KLV376" s="15"/>
      <c r="KLW376" s="15"/>
      <c r="KLX376" s="15"/>
      <c r="KLY376" s="15"/>
      <c r="KLZ376" s="15"/>
      <c r="KMA376" s="15"/>
      <c r="KMB376" s="15"/>
      <c r="KMC376" s="15"/>
      <c r="KMD376" s="15"/>
      <c r="KME376" s="15"/>
      <c r="KMF376" s="10"/>
      <c r="KMG376" s="10"/>
      <c r="KMH376" s="21"/>
      <c r="KMI376" s="21"/>
      <c r="KML376" s="21"/>
      <c r="KMM376" s="15"/>
      <c r="KMN376" s="15"/>
      <c r="KMO376" s="15"/>
      <c r="KMP376" s="15"/>
      <c r="KMQ376" s="15"/>
      <c r="KMR376" s="15"/>
      <c r="KMS376" s="15"/>
      <c r="KMT376" s="15"/>
      <c r="KMU376" s="15"/>
      <c r="KMV376" s="15"/>
      <c r="KMW376" s="10"/>
      <c r="KMX376" s="10"/>
      <c r="KMY376" s="21"/>
      <c r="KMZ376" s="21"/>
      <c r="KNC376" s="21"/>
      <c r="KND376" s="15"/>
      <c r="KNE376" s="15"/>
      <c r="KNF376" s="15"/>
      <c r="KNG376" s="15"/>
      <c r="KNH376" s="15"/>
      <c r="KNI376" s="15"/>
      <c r="KNJ376" s="15"/>
      <c r="KNK376" s="15"/>
      <c r="KNL376" s="15"/>
      <c r="KNM376" s="15"/>
      <c r="KNN376" s="10"/>
      <c r="KNO376" s="10"/>
      <c r="KNP376" s="21"/>
      <c r="KNQ376" s="21"/>
      <c r="KNT376" s="21"/>
      <c r="KNU376" s="15"/>
      <c r="KNV376" s="15"/>
      <c r="KNW376" s="15"/>
      <c r="KNX376" s="15"/>
      <c r="KNY376" s="15"/>
      <c r="KNZ376" s="15"/>
      <c r="KOA376" s="15"/>
      <c r="KOB376" s="15"/>
      <c r="KOC376" s="15"/>
      <c r="KOD376" s="15"/>
      <c r="KOE376" s="10"/>
      <c r="KOF376" s="10"/>
      <c r="KOG376" s="21"/>
      <c r="KOH376" s="21"/>
      <c r="KOK376" s="21"/>
      <c r="KOL376" s="15"/>
      <c r="KOM376" s="15"/>
      <c r="KON376" s="15"/>
      <c r="KOO376" s="15"/>
      <c r="KOP376" s="15"/>
      <c r="KOQ376" s="15"/>
      <c r="KOR376" s="15"/>
      <c r="KOS376" s="15"/>
      <c r="KOT376" s="15"/>
      <c r="KOU376" s="15"/>
      <c r="KOV376" s="10"/>
      <c r="KOW376" s="10"/>
      <c r="KOX376" s="21"/>
      <c r="KOY376" s="21"/>
      <c r="KPB376" s="21"/>
      <c r="KPC376" s="15"/>
      <c r="KPD376" s="15"/>
      <c r="KPE376" s="15"/>
      <c r="KPF376" s="15"/>
      <c r="KPG376" s="15"/>
      <c r="KPH376" s="15"/>
      <c r="KPI376" s="15"/>
      <c r="KPJ376" s="15"/>
      <c r="KPK376" s="15"/>
      <c r="KPL376" s="15"/>
      <c r="KPM376" s="10"/>
      <c r="KPN376" s="10"/>
      <c r="KPO376" s="21"/>
      <c r="KPP376" s="21"/>
      <c r="KPS376" s="21"/>
      <c r="KPT376" s="15"/>
      <c r="KPU376" s="15"/>
      <c r="KPV376" s="15"/>
      <c r="KPW376" s="15"/>
      <c r="KPX376" s="15"/>
      <c r="KPY376" s="15"/>
      <c r="KPZ376" s="15"/>
      <c r="KQA376" s="15"/>
      <c r="KQB376" s="15"/>
      <c r="KQC376" s="15"/>
      <c r="KQD376" s="10"/>
      <c r="KQE376" s="10"/>
      <c r="KQF376" s="21"/>
      <c r="KQG376" s="21"/>
      <c r="KQJ376" s="21"/>
      <c r="KQK376" s="15"/>
      <c r="KQL376" s="15"/>
      <c r="KQM376" s="15"/>
      <c r="KQN376" s="15"/>
      <c r="KQO376" s="15"/>
      <c r="KQP376" s="15"/>
      <c r="KQQ376" s="15"/>
      <c r="KQR376" s="15"/>
      <c r="KQS376" s="15"/>
      <c r="KQT376" s="15"/>
      <c r="KQU376" s="10"/>
      <c r="KQV376" s="10"/>
      <c r="KQW376" s="21"/>
      <c r="KQX376" s="21"/>
      <c r="KRA376" s="21"/>
      <c r="KRB376" s="15"/>
      <c r="KRC376" s="15"/>
      <c r="KRD376" s="15"/>
      <c r="KRE376" s="15"/>
      <c r="KRF376" s="15"/>
      <c r="KRG376" s="15"/>
      <c r="KRH376" s="15"/>
      <c r="KRI376" s="15"/>
      <c r="KRJ376" s="15"/>
      <c r="KRK376" s="15"/>
      <c r="KRL376" s="10"/>
      <c r="KRM376" s="10"/>
      <c r="KRN376" s="21"/>
      <c r="KRO376" s="21"/>
      <c r="KRR376" s="21"/>
      <c r="KRS376" s="15"/>
      <c r="KRT376" s="15"/>
      <c r="KRU376" s="15"/>
      <c r="KRV376" s="15"/>
      <c r="KRW376" s="15"/>
      <c r="KRX376" s="15"/>
      <c r="KRY376" s="15"/>
      <c r="KRZ376" s="15"/>
      <c r="KSA376" s="15"/>
      <c r="KSB376" s="15"/>
      <c r="KSC376" s="10"/>
      <c r="KSD376" s="10"/>
      <c r="KSE376" s="21"/>
      <c r="KSF376" s="21"/>
      <c r="KSI376" s="21"/>
      <c r="KSJ376" s="15"/>
      <c r="KSK376" s="15"/>
      <c r="KSL376" s="15"/>
      <c r="KSM376" s="15"/>
      <c r="KSN376" s="15"/>
      <c r="KSO376" s="15"/>
      <c r="KSP376" s="15"/>
      <c r="KSQ376" s="15"/>
      <c r="KSR376" s="15"/>
      <c r="KSS376" s="15"/>
      <c r="KST376" s="10"/>
      <c r="KSU376" s="10"/>
      <c r="KSV376" s="21"/>
      <c r="KSW376" s="21"/>
      <c r="KSZ376" s="21"/>
      <c r="KTA376" s="15"/>
      <c r="KTB376" s="15"/>
      <c r="KTC376" s="15"/>
      <c r="KTD376" s="15"/>
      <c r="KTE376" s="15"/>
      <c r="KTF376" s="15"/>
      <c r="KTG376" s="15"/>
      <c r="KTH376" s="15"/>
      <c r="KTI376" s="15"/>
      <c r="KTJ376" s="15"/>
      <c r="KTK376" s="10"/>
      <c r="KTL376" s="10"/>
      <c r="KTM376" s="21"/>
      <c r="KTN376" s="21"/>
      <c r="KTQ376" s="21"/>
      <c r="KTR376" s="15"/>
      <c r="KTS376" s="15"/>
      <c r="KTT376" s="15"/>
      <c r="KTU376" s="15"/>
      <c r="KTV376" s="15"/>
      <c r="KTW376" s="15"/>
      <c r="KTX376" s="15"/>
      <c r="KTY376" s="15"/>
      <c r="KTZ376" s="15"/>
      <c r="KUA376" s="15"/>
      <c r="KUB376" s="10"/>
      <c r="KUC376" s="10"/>
      <c r="KUD376" s="21"/>
      <c r="KUE376" s="21"/>
      <c r="KUH376" s="21"/>
      <c r="KUI376" s="15"/>
      <c r="KUJ376" s="15"/>
      <c r="KUK376" s="15"/>
      <c r="KUL376" s="15"/>
      <c r="KUM376" s="15"/>
      <c r="KUN376" s="15"/>
      <c r="KUO376" s="15"/>
      <c r="KUP376" s="15"/>
      <c r="KUQ376" s="15"/>
      <c r="KUR376" s="15"/>
      <c r="KUS376" s="10"/>
      <c r="KUT376" s="10"/>
      <c r="KUU376" s="21"/>
      <c r="KUV376" s="21"/>
      <c r="KUY376" s="21"/>
      <c r="KUZ376" s="15"/>
      <c r="KVA376" s="15"/>
      <c r="KVB376" s="15"/>
      <c r="KVC376" s="15"/>
      <c r="KVD376" s="15"/>
      <c r="KVE376" s="15"/>
      <c r="KVF376" s="15"/>
      <c r="KVG376" s="15"/>
      <c r="KVH376" s="15"/>
      <c r="KVI376" s="15"/>
      <c r="KVJ376" s="10"/>
      <c r="KVK376" s="10"/>
      <c r="KVL376" s="21"/>
      <c r="KVM376" s="21"/>
      <c r="KVP376" s="21"/>
      <c r="KVQ376" s="15"/>
      <c r="KVR376" s="15"/>
      <c r="KVS376" s="15"/>
      <c r="KVT376" s="15"/>
      <c r="KVU376" s="15"/>
      <c r="KVV376" s="15"/>
      <c r="KVW376" s="15"/>
      <c r="KVX376" s="15"/>
      <c r="KVY376" s="15"/>
      <c r="KVZ376" s="15"/>
      <c r="KWA376" s="10"/>
      <c r="KWB376" s="10"/>
      <c r="KWC376" s="21"/>
      <c r="KWD376" s="21"/>
      <c r="KWG376" s="21"/>
      <c r="KWH376" s="15"/>
      <c r="KWI376" s="15"/>
      <c r="KWJ376" s="15"/>
      <c r="KWK376" s="15"/>
      <c r="KWL376" s="15"/>
      <c r="KWM376" s="15"/>
      <c r="KWN376" s="15"/>
      <c r="KWO376" s="15"/>
      <c r="KWP376" s="15"/>
      <c r="KWQ376" s="15"/>
      <c r="KWR376" s="10"/>
      <c r="KWS376" s="10"/>
      <c r="KWT376" s="21"/>
      <c r="KWU376" s="21"/>
      <c r="KWX376" s="21"/>
      <c r="KWY376" s="15"/>
      <c r="KWZ376" s="15"/>
      <c r="KXA376" s="15"/>
      <c r="KXB376" s="15"/>
      <c r="KXC376" s="15"/>
      <c r="KXD376" s="15"/>
      <c r="KXE376" s="15"/>
      <c r="KXF376" s="15"/>
      <c r="KXG376" s="15"/>
      <c r="KXH376" s="15"/>
      <c r="KXI376" s="10"/>
      <c r="KXJ376" s="10"/>
      <c r="KXK376" s="21"/>
      <c r="KXL376" s="21"/>
      <c r="KXO376" s="21"/>
      <c r="KXP376" s="15"/>
      <c r="KXQ376" s="15"/>
      <c r="KXR376" s="15"/>
      <c r="KXS376" s="15"/>
      <c r="KXT376" s="15"/>
      <c r="KXU376" s="15"/>
      <c r="KXV376" s="15"/>
      <c r="KXW376" s="15"/>
      <c r="KXX376" s="15"/>
      <c r="KXY376" s="15"/>
      <c r="KXZ376" s="10"/>
      <c r="KYA376" s="10"/>
      <c r="KYB376" s="21"/>
      <c r="KYC376" s="21"/>
      <c r="KYF376" s="21"/>
      <c r="KYG376" s="15"/>
      <c r="KYH376" s="15"/>
      <c r="KYI376" s="15"/>
      <c r="KYJ376" s="15"/>
      <c r="KYK376" s="15"/>
      <c r="KYL376" s="15"/>
      <c r="KYM376" s="15"/>
      <c r="KYN376" s="15"/>
      <c r="KYO376" s="15"/>
      <c r="KYP376" s="15"/>
      <c r="KYQ376" s="10"/>
      <c r="KYR376" s="10"/>
      <c r="KYS376" s="21"/>
      <c r="KYT376" s="21"/>
      <c r="KYW376" s="21"/>
      <c r="KYX376" s="15"/>
      <c r="KYY376" s="15"/>
      <c r="KYZ376" s="15"/>
      <c r="KZA376" s="15"/>
      <c r="KZB376" s="15"/>
      <c r="KZC376" s="15"/>
      <c r="KZD376" s="15"/>
      <c r="KZE376" s="15"/>
      <c r="KZF376" s="15"/>
      <c r="KZG376" s="15"/>
      <c r="KZH376" s="10"/>
      <c r="KZI376" s="10"/>
      <c r="KZJ376" s="21"/>
      <c r="KZK376" s="21"/>
      <c r="KZN376" s="21"/>
      <c r="KZO376" s="15"/>
      <c r="KZP376" s="15"/>
      <c r="KZQ376" s="15"/>
      <c r="KZR376" s="15"/>
      <c r="KZS376" s="15"/>
      <c r="KZT376" s="15"/>
      <c r="KZU376" s="15"/>
      <c r="KZV376" s="15"/>
      <c r="KZW376" s="15"/>
      <c r="KZX376" s="15"/>
      <c r="KZY376" s="10"/>
      <c r="KZZ376" s="10"/>
      <c r="LAA376" s="21"/>
      <c r="LAB376" s="21"/>
      <c r="LAE376" s="21"/>
      <c r="LAF376" s="15"/>
      <c r="LAG376" s="15"/>
      <c r="LAH376" s="15"/>
      <c r="LAI376" s="15"/>
      <c r="LAJ376" s="15"/>
      <c r="LAK376" s="15"/>
      <c r="LAL376" s="15"/>
      <c r="LAM376" s="15"/>
      <c r="LAN376" s="15"/>
      <c r="LAO376" s="15"/>
      <c r="LAP376" s="10"/>
      <c r="LAQ376" s="10"/>
      <c r="LAR376" s="21"/>
      <c r="LAS376" s="21"/>
      <c r="LAV376" s="21"/>
      <c r="LAW376" s="15"/>
      <c r="LAX376" s="15"/>
      <c r="LAY376" s="15"/>
      <c r="LAZ376" s="15"/>
      <c r="LBA376" s="15"/>
      <c r="LBB376" s="15"/>
      <c r="LBC376" s="15"/>
      <c r="LBD376" s="15"/>
      <c r="LBE376" s="15"/>
      <c r="LBF376" s="15"/>
      <c r="LBG376" s="10"/>
      <c r="LBH376" s="10"/>
      <c r="LBI376" s="21"/>
      <c r="LBJ376" s="21"/>
      <c r="LBM376" s="21"/>
      <c r="LBN376" s="15"/>
      <c r="LBO376" s="15"/>
      <c r="LBP376" s="15"/>
      <c r="LBQ376" s="15"/>
      <c r="LBR376" s="15"/>
      <c r="LBS376" s="15"/>
      <c r="LBT376" s="15"/>
      <c r="LBU376" s="15"/>
      <c r="LBV376" s="15"/>
      <c r="LBW376" s="15"/>
      <c r="LBX376" s="10"/>
      <c r="LBY376" s="10"/>
      <c r="LBZ376" s="21"/>
      <c r="LCA376" s="21"/>
      <c r="LCD376" s="21"/>
      <c r="LCE376" s="15"/>
      <c r="LCF376" s="15"/>
      <c r="LCG376" s="15"/>
      <c r="LCH376" s="15"/>
      <c r="LCI376" s="15"/>
      <c r="LCJ376" s="15"/>
      <c r="LCK376" s="15"/>
      <c r="LCL376" s="15"/>
      <c r="LCM376" s="15"/>
      <c r="LCN376" s="15"/>
      <c r="LCO376" s="10"/>
      <c r="LCP376" s="10"/>
      <c r="LCQ376" s="21"/>
      <c r="LCR376" s="21"/>
      <c r="LCU376" s="21"/>
      <c r="LCV376" s="15"/>
      <c r="LCW376" s="15"/>
      <c r="LCX376" s="15"/>
      <c r="LCY376" s="15"/>
      <c r="LCZ376" s="15"/>
      <c r="LDA376" s="15"/>
      <c r="LDB376" s="15"/>
      <c r="LDC376" s="15"/>
      <c r="LDD376" s="15"/>
      <c r="LDE376" s="15"/>
      <c r="LDF376" s="10"/>
      <c r="LDG376" s="10"/>
      <c r="LDH376" s="21"/>
      <c r="LDI376" s="21"/>
      <c r="LDL376" s="21"/>
      <c r="LDM376" s="15"/>
      <c r="LDN376" s="15"/>
      <c r="LDO376" s="15"/>
      <c r="LDP376" s="15"/>
      <c r="LDQ376" s="15"/>
      <c r="LDR376" s="15"/>
      <c r="LDS376" s="15"/>
      <c r="LDT376" s="15"/>
      <c r="LDU376" s="15"/>
      <c r="LDV376" s="15"/>
      <c r="LDW376" s="10"/>
      <c r="LDX376" s="10"/>
      <c r="LDY376" s="21"/>
      <c r="LDZ376" s="21"/>
      <c r="LEC376" s="21"/>
      <c r="LED376" s="15"/>
      <c r="LEE376" s="15"/>
      <c r="LEF376" s="15"/>
      <c r="LEG376" s="15"/>
      <c r="LEH376" s="15"/>
      <c r="LEI376" s="15"/>
      <c r="LEJ376" s="15"/>
      <c r="LEK376" s="15"/>
      <c r="LEL376" s="15"/>
      <c r="LEM376" s="15"/>
      <c r="LEN376" s="10"/>
      <c r="LEO376" s="10"/>
      <c r="LEP376" s="21"/>
      <c r="LEQ376" s="21"/>
      <c r="LET376" s="21"/>
      <c r="LEU376" s="15"/>
      <c r="LEV376" s="15"/>
      <c r="LEW376" s="15"/>
      <c r="LEX376" s="15"/>
      <c r="LEY376" s="15"/>
      <c r="LEZ376" s="15"/>
      <c r="LFA376" s="15"/>
      <c r="LFB376" s="15"/>
      <c r="LFC376" s="15"/>
      <c r="LFD376" s="15"/>
      <c r="LFE376" s="10"/>
      <c r="LFF376" s="10"/>
      <c r="LFG376" s="21"/>
      <c r="LFH376" s="21"/>
      <c r="LFK376" s="21"/>
      <c r="LFL376" s="15"/>
      <c r="LFM376" s="15"/>
      <c r="LFN376" s="15"/>
      <c r="LFO376" s="15"/>
      <c r="LFP376" s="15"/>
      <c r="LFQ376" s="15"/>
      <c r="LFR376" s="15"/>
      <c r="LFS376" s="15"/>
      <c r="LFT376" s="15"/>
      <c r="LFU376" s="15"/>
      <c r="LFV376" s="10"/>
      <c r="LFW376" s="10"/>
      <c r="LFX376" s="21"/>
      <c r="LFY376" s="21"/>
      <c r="LGB376" s="21"/>
      <c r="LGC376" s="15"/>
      <c r="LGD376" s="15"/>
      <c r="LGE376" s="15"/>
      <c r="LGF376" s="15"/>
      <c r="LGG376" s="15"/>
      <c r="LGH376" s="15"/>
      <c r="LGI376" s="15"/>
      <c r="LGJ376" s="15"/>
      <c r="LGK376" s="15"/>
      <c r="LGL376" s="15"/>
      <c r="LGM376" s="10"/>
      <c r="LGN376" s="10"/>
      <c r="LGO376" s="21"/>
      <c r="LGP376" s="21"/>
      <c r="LGS376" s="21"/>
      <c r="LGT376" s="15"/>
      <c r="LGU376" s="15"/>
      <c r="LGV376" s="15"/>
      <c r="LGW376" s="15"/>
      <c r="LGX376" s="15"/>
      <c r="LGY376" s="15"/>
      <c r="LGZ376" s="15"/>
      <c r="LHA376" s="15"/>
      <c r="LHB376" s="15"/>
      <c r="LHC376" s="15"/>
      <c r="LHD376" s="10"/>
      <c r="LHE376" s="10"/>
      <c r="LHF376" s="21"/>
      <c r="LHG376" s="21"/>
      <c r="LHJ376" s="21"/>
      <c r="LHK376" s="15"/>
      <c r="LHL376" s="15"/>
      <c r="LHM376" s="15"/>
      <c r="LHN376" s="15"/>
      <c r="LHO376" s="15"/>
      <c r="LHP376" s="15"/>
      <c r="LHQ376" s="15"/>
      <c r="LHR376" s="15"/>
      <c r="LHS376" s="15"/>
      <c r="LHT376" s="15"/>
      <c r="LHU376" s="10"/>
      <c r="LHV376" s="10"/>
      <c r="LHW376" s="21"/>
      <c r="LHX376" s="21"/>
      <c r="LIA376" s="21"/>
      <c r="LIB376" s="15"/>
      <c r="LIC376" s="15"/>
      <c r="LID376" s="15"/>
      <c r="LIE376" s="15"/>
      <c r="LIF376" s="15"/>
      <c r="LIG376" s="15"/>
      <c r="LIH376" s="15"/>
      <c r="LII376" s="15"/>
      <c r="LIJ376" s="15"/>
      <c r="LIK376" s="15"/>
      <c r="LIL376" s="10"/>
      <c r="LIM376" s="10"/>
      <c r="LIN376" s="21"/>
      <c r="LIO376" s="21"/>
      <c r="LIR376" s="21"/>
      <c r="LIS376" s="15"/>
      <c r="LIT376" s="15"/>
      <c r="LIU376" s="15"/>
      <c r="LIV376" s="15"/>
      <c r="LIW376" s="15"/>
      <c r="LIX376" s="15"/>
      <c r="LIY376" s="15"/>
      <c r="LIZ376" s="15"/>
      <c r="LJA376" s="15"/>
      <c r="LJB376" s="15"/>
      <c r="LJC376" s="10"/>
      <c r="LJD376" s="10"/>
      <c r="LJE376" s="21"/>
      <c r="LJF376" s="21"/>
      <c r="LJI376" s="21"/>
      <c r="LJJ376" s="15"/>
      <c r="LJK376" s="15"/>
      <c r="LJL376" s="15"/>
      <c r="LJM376" s="15"/>
      <c r="LJN376" s="15"/>
      <c r="LJO376" s="15"/>
      <c r="LJP376" s="15"/>
      <c r="LJQ376" s="15"/>
      <c r="LJR376" s="15"/>
      <c r="LJS376" s="15"/>
      <c r="LJT376" s="10"/>
      <c r="LJU376" s="10"/>
      <c r="LJV376" s="21"/>
      <c r="LJW376" s="21"/>
      <c r="LJZ376" s="21"/>
      <c r="LKA376" s="15"/>
      <c r="LKB376" s="15"/>
      <c r="LKC376" s="15"/>
      <c r="LKD376" s="15"/>
      <c r="LKE376" s="15"/>
      <c r="LKF376" s="15"/>
      <c r="LKG376" s="15"/>
      <c r="LKH376" s="15"/>
      <c r="LKI376" s="15"/>
      <c r="LKJ376" s="15"/>
      <c r="LKK376" s="10"/>
      <c r="LKL376" s="10"/>
      <c r="LKM376" s="21"/>
      <c r="LKN376" s="21"/>
      <c r="LKQ376" s="21"/>
      <c r="LKR376" s="15"/>
      <c r="LKS376" s="15"/>
      <c r="LKT376" s="15"/>
      <c r="LKU376" s="15"/>
      <c r="LKV376" s="15"/>
      <c r="LKW376" s="15"/>
      <c r="LKX376" s="15"/>
      <c r="LKY376" s="15"/>
      <c r="LKZ376" s="15"/>
      <c r="LLA376" s="15"/>
      <c r="LLB376" s="10"/>
      <c r="LLC376" s="10"/>
      <c r="LLD376" s="21"/>
      <c r="LLE376" s="21"/>
      <c r="LLH376" s="21"/>
      <c r="LLI376" s="15"/>
      <c r="LLJ376" s="15"/>
      <c r="LLK376" s="15"/>
      <c r="LLL376" s="15"/>
      <c r="LLM376" s="15"/>
      <c r="LLN376" s="15"/>
      <c r="LLO376" s="15"/>
      <c r="LLP376" s="15"/>
      <c r="LLQ376" s="15"/>
      <c r="LLR376" s="15"/>
      <c r="LLS376" s="10"/>
      <c r="LLT376" s="10"/>
      <c r="LLU376" s="21"/>
      <c r="LLV376" s="21"/>
      <c r="LLY376" s="21"/>
      <c r="LLZ376" s="15"/>
      <c r="LMA376" s="15"/>
      <c r="LMB376" s="15"/>
      <c r="LMC376" s="15"/>
      <c r="LMD376" s="15"/>
      <c r="LME376" s="15"/>
      <c r="LMF376" s="15"/>
      <c r="LMG376" s="15"/>
      <c r="LMH376" s="15"/>
      <c r="LMI376" s="15"/>
      <c r="LMJ376" s="10"/>
      <c r="LMK376" s="10"/>
      <c r="LML376" s="21"/>
      <c r="LMM376" s="21"/>
      <c r="LMP376" s="21"/>
      <c r="LMQ376" s="15"/>
      <c r="LMR376" s="15"/>
      <c r="LMS376" s="15"/>
      <c r="LMT376" s="15"/>
      <c r="LMU376" s="15"/>
      <c r="LMV376" s="15"/>
      <c r="LMW376" s="15"/>
      <c r="LMX376" s="15"/>
      <c r="LMY376" s="15"/>
      <c r="LMZ376" s="15"/>
      <c r="LNA376" s="10"/>
      <c r="LNB376" s="10"/>
      <c r="LNC376" s="21"/>
      <c r="LND376" s="21"/>
      <c r="LNG376" s="21"/>
      <c r="LNH376" s="15"/>
      <c r="LNI376" s="15"/>
      <c r="LNJ376" s="15"/>
      <c r="LNK376" s="15"/>
      <c r="LNL376" s="15"/>
      <c r="LNM376" s="15"/>
      <c r="LNN376" s="15"/>
      <c r="LNO376" s="15"/>
      <c r="LNP376" s="15"/>
      <c r="LNQ376" s="15"/>
      <c r="LNR376" s="10"/>
      <c r="LNS376" s="10"/>
      <c r="LNT376" s="21"/>
      <c r="LNU376" s="21"/>
      <c r="LNX376" s="21"/>
      <c r="LNY376" s="15"/>
      <c r="LNZ376" s="15"/>
      <c r="LOA376" s="15"/>
      <c r="LOB376" s="15"/>
      <c r="LOC376" s="15"/>
      <c r="LOD376" s="15"/>
      <c r="LOE376" s="15"/>
      <c r="LOF376" s="15"/>
      <c r="LOG376" s="15"/>
      <c r="LOH376" s="15"/>
      <c r="LOI376" s="10"/>
      <c r="LOJ376" s="10"/>
      <c r="LOK376" s="21"/>
      <c r="LOL376" s="21"/>
      <c r="LOO376" s="21"/>
      <c r="LOP376" s="15"/>
      <c r="LOQ376" s="15"/>
      <c r="LOR376" s="15"/>
      <c r="LOS376" s="15"/>
      <c r="LOT376" s="15"/>
      <c r="LOU376" s="15"/>
      <c r="LOV376" s="15"/>
      <c r="LOW376" s="15"/>
      <c r="LOX376" s="15"/>
      <c r="LOY376" s="15"/>
      <c r="LOZ376" s="10"/>
      <c r="LPA376" s="10"/>
      <c r="LPB376" s="21"/>
      <c r="LPC376" s="21"/>
      <c r="LPF376" s="21"/>
      <c r="LPG376" s="15"/>
      <c r="LPH376" s="15"/>
      <c r="LPI376" s="15"/>
      <c r="LPJ376" s="15"/>
      <c r="LPK376" s="15"/>
      <c r="LPL376" s="15"/>
      <c r="LPM376" s="15"/>
      <c r="LPN376" s="15"/>
      <c r="LPO376" s="15"/>
      <c r="LPP376" s="15"/>
      <c r="LPQ376" s="10"/>
      <c r="LPR376" s="10"/>
      <c r="LPS376" s="21"/>
      <c r="LPT376" s="21"/>
      <c r="LPW376" s="21"/>
      <c r="LPX376" s="15"/>
      <c r="LPY376" s="15"/>
      <c r="LPZ376" s="15"/>
      <c r="LQA376" s="15"/>
      <c r="LQB376" s="15"/>
      <c r="LQC376" s="15"/>
      <c r="LQD376" s="15"/>
      <c r="LQE376" s="15"/>
      <c r="LQF376" s="15"/>
      <c r="LQG376" s="15"/>
      <c r="LQH376" s="10"/>
      <c r="LQI376" s="10"/>
      <c r="LQJ376" s="21"/>
      <c r="LQK376" s="21"/>
      <c r="LQN376" s="21"/>
      <c r="LQO376" s="15"/>
      <c r="LQP376" s="15"/>
      <c r="LQQ376" s="15"/>
      <c r="LQR376" s="15"/>
      <c r="LQS376" s="15"/>
      <c r="LQT376" s="15"/>
      <c r="LQU376" s="15"/>
      <c r="LQV376" s="15"/>
      <c r="LQW376" s="15"/>
      <c r="LQX376" s="15"/>
      <c r="LQY376" s="10"/>
      <c r="LQZ376" s="10"/>
      <c r="LRA376" s="21"/>
      <c r="LRB376" s="21"/>
      <c r="LRE376" s="21"/>
      <c r="LRF376" s="15"/>
      <c r="LRG376" s="15"/>
      <c r="LRH376" s="15"/>
      <c r="LRI376" s="15"/>
      <c r="LRJ376" s="15"/>
      <c r="LRK376" s="15"/>
      <c r="LRL376" s="15"/>
      <c r="LRM376" s="15"/>
      <c r="LRN376" s="15"/>
      <c r="LRO376" s="15"/>
      <c r="LRP376" s="10"/>
      <c r="LRQ376" s="10"/>
      <c r="LRR376" s="21"/>
      <c r="LRS376" s="21"/>
      <c r="LRV376" s="21"/>
      <c r="LRW376" s="15"/>
      <c r="LRX376" s="15"/>
      <c r="LRY376" s="15"/>
      <c r="LRZ376" s="15"/>
      <c r="LSA376" s="15"/>
      <c r="LSB376" s="15"/>
      <c r="LSC376" s="15"/>
      <c r="LSD376" s="15"/>
      <c r="LSE376" s="15"/>
      <c r="LSF376" s="15"/>
      <c r="LSG376" s="10"/>
      <c r="LSH376" s="10"/>
      <c r="LSI376" s="21"/>
      <c r="LSJ376" s="21"/>
      <c r="LSM376" s="21"/>
      <c r="LSN376" s="15"/>
      <c r="LSO376" s="15"/>
      <c r="LSP376" s="15"/>
      <c r="LSQ376" s="15"/>
      <c r="LSR376" s="15"/>
      <c r="LSS376" s="15"/>
      <c r="LST376" s="15"/>
      <c r="LSU376" s="15"/>
      <c r="LSV376" s="15"/>
      <c r="LSW376" s="15"/>
      <c r="LSX376" s="10"/>
      <c r="LSY376" s="10"/>
      <c r="LSZ376" s="21"/>
      <c r="LTA376" s="21"/>
      <c r="LTD376" s="21"/>
      <c r="LTE376" s="15"/>
      <c r="LTF376" s="15"/>
      <c r="LTG376" s="15"/>
      <c r="LTH376" s="15"/>
      <c r="LTI376" s="15"/>
      <c r="LTJ376" s="15"/>
      <c r="LTK376" s="15"/>
      <c r="LTL376" s="15"/>
      <c r="LTM376" s="15"/>
      <c r="LTN376" s="15"/>
      <c r="LTO376" s="10"/>
      <c r="LTP376" s="10"/>
      <c r="LTQ376" s="21"/>
      <c r="LTR376" s="21"/>
      <c r="LTU376" s="21"/>
      <c r="LTV376" s="15"/>
      <c r="LTW376" s="15"/>
      <c r="LTX376" s="15"/>
      <c r="LTY376" s="15"/>
      <c r="LTZ376" s="15"/>
      <c r="LUA376" s="15"/>
      <c r="LUB376" s="15"/>
      <c r="LUC376" s="15"/>
      <c r="LUD376" s="15"/>
      <c r="LUE376" s="15"/>
      <c r="LUF376" s="10"/>
      <c r="LUG376" s="10"/>
      <c r="LUH376" s="21"/>
      <c r="LUI376" s="21"/>
      <c r="LUL376" s="21"/>
      <c r="LUM376" s="15"/>
      <c r="LUN376" s="15"/>
      <c r="LUO376" s="15"/>
      <c r="LUP376" s="15"/>
      <c r="LUQ376" s="15"/>
      <c r="LUR376" s="15"/>
      <c r="LUS376" s="15"/>
      <c r="LUT376" s="15"/>
      <c r="LUU376" s="15"/>
      <c r="LUV376" s="15"/>
      <c r="LUW376" s="10"/>
      <c r="LUX376" s="10"/>
      <c r="LUY376" s="21"/>
      <c r="LUZ376" s="21"/>
      <c r="LVC376" s="21"/>
      <c r="LVD376" s="15"/>
      <c r="LVE376" s="15"/>
      <c r="LVF376" s="15"/>
      <c r="LVG376" s="15"/>
      <c r="LVH376" s="15"/>
      <c r="LVI376" s="15"/>
      <c r="LVJ376" s="15"/>
      <c r="LVK376" s="15"/>
      <c r="LVL376" s="15"/>
      <c r="LVM376" s="15"/>
      <c r="LVN376" s="10"/>
      <c r="LVO376" s="10"/>
      <c r="LVP376" s="21"/>
      <c r="LVQ376" s="21"/>
      <c r="LVT376" s="21"/>
      <c r="LVU376" s="15"/>
      <c r="LVV376" s="15"/>
      <c r="LVW376" s="15"/>
      <c r="LVX376" s="15"/>
      <c r="LVY376" s="15"/>
      <c r="LVZ376" s="15"/>
      <c r="LWA376" s="15"/>
      <c r="LWB376" s="15"/>
      <c r="LWC376" s="15"/>
      <c r="LWD376" s="15"/>
      <c r="LWE376" s="10"/>
      <c r="LWF376" s="10"/>
      <c r="LWG376" s="21"/>
      <c r="LWH376" s="21"/>
      <c r="LWK376" s="21"/>
      <c r="LWL376" s="15"/>
      <c r="LWM376" s="15"/>
      <c r="LWN376" s="15"/>
      <c r="LWO376" s="15"/>
      <c r="LWP376" s="15"/>
      <c r="LWQ376" s="15"/>
      <c r="LWR376" s="15"/>
      <c r="LWS376" s="15"/>
      <c r="LWT376" s="15"/>
      <c r="LWU376" s="15"/>
      <c r="LWV376" s="10"/>
      <c r="LWW376" s="10"/>
      <c r="LWX376" s="21"/>
      <c r="LWY376" s="21"/>
      <c r="LXB376" s="21"/>
      <c r="LXC376" s="15"/>
      <c r="LXD376" s="15"/>
      <c r="LXE376" s="15"/>
      <c r="LXF376" s="15"/>
      <c r="LXG376" s="15"/>
      <c r="LXH376" s="15"/>
      <c r="LXI376" s="15"/>
      <c r="LXJ376" s="15"/>
      <c r="LXK376" s="15"/>
      <c r="LXL376" s="15"/>
      <c r="LXM376" s="10"/>
      <c r="LXN376" s="10"/>
      <c r="LXO376" s="21"/>
      <c r="LXP376" s="21"/>
      <c r="LXS376" s="21"/>
      <c r="LXT376" s="15"/>
      <c r="LXU376" s="15"/>
      <c r="LXV376" s="15"/>
      <c r="LXW376" s="15"/>
      <c r="LXX376" s="15"/>
      <c r="LXY376" s="15"/>
      <c r="LXZ376" s="15"/>
      <c r="LYA376" s="15"/>
      <c r="LYB376" s="15"/>
      <c r="LYC376" s="15"/>
      <c r="LYD376" s="10"/>
      <c r="LYE376" s="10"/>
      <c r="LYF376" s="21"/>
      <c r="LYG376" s="21"/>
      <c r="LYJ376" s="21"/>
      <c r="LYK376" s="15"/>
      <c r="LYL376" s="15"/>
      <c r="LYM376" s="15"/>
      <c r="LYN376" s="15"/>
      <c r="LYO376" s="15"/>
      <c r="LYP376" s="15"/>
      <c r="LYQ376" s="15"/>
      <c r="LYR376" s="15"/>
      <c r="LYS376" s="15"/>
      <c r="LYT376" s="15"/>
      <c r="LYU376" s="10"/>
      <c r="LYV376" s="10"/>
      <c r="LYW376" s="21"/>
      <c r="LYX376" s="21"/>
      <c r="LZA376" s="21"/>
      <c r="LZB376" s="15"/>
      <c r="LZC376" s="15"/>
      <c r="LZD376" s="15"/>
      <c r="LZE376" s="15"/>
      <c r="LZF376" s="15"/>
      <c r="LZG376" s="15"/>
      <c r="LZH376" s="15"/>
      <c r="LZI376" s="15"/>
      <c r="LZJ376" s="15"/>
      <c r="LZK376" s="15"/>
      <c r="LZL376" s="10"/>
      <c r="LZM376" s="10"/>
      <c r="LZN376" s="21"/>
      <c r="LZO376" s="21"/>
      <c r="LZR376" s="21"/>
      <c r="LZS376" s="15"/>
      <c r="LZT376" s="15"/>
      <c r="LZU376" s="15"/>
      <c r="LZV376" s="15"/>
      <c r="LZW376" s="15"/>
      <c r="LZX376" s="15"/>
      <c r="LZY376" s="15"/>
      <c r="LZZ376" s="15"/>
      <c r="MAA376" s="15"/>
      <c r="MAB376" s="15"/>
      <c r="MAC376" s="10"/>
      <c r="MAD376" s="10"/>
      <c r="MAE376" s="21"/>
      <c r="MAF376" s="21"/>
      <c r="MAI376" s="21"/>
      <c r="MAJ376" s="15"/>
      <c r="MAK376" s="15"/>
      <c r="MAL376" s="15"/>
      <c r="MAM376" s="15"/>
      <c r="MAN376" s="15"/>
      <c r="MAO376" s="15"/>
      <c r="MAP376" s="15"/>
      <c r="MAQ376" s="15"/>
      <c r="MAR376" s="15"/>
      <c r="MAS376" s="15"/>
      <c r="MAT376" s="10"/>
      <c r="MAU376" s="10"/>
      <c r="MAV376" s="21"/>
      <c r="MAW376" s="21"/>
      <c r="MAZ376" s="21"/>
      <c r="MBA376" s="15"/>
      <c r="MBB376" s="15"/>
      <c r="MBC376" s="15"/>
      <c r="MBD376" s="15"/>
      <c r="MBE376" s="15"/>
      <c r="MBF376" s="15"/>
      <c r="MBG376" s="15"/>
      <c r="MBH376" s="15"/>
      <c r="MBI376" s="15"/>
      <c r="MBJ376" s="15"/>
      <c r="MBK376" s="10"/>
      <c r="MBL376" s="10"/>
      <c r="MBM376" s="21"/>
      <c r="MBN376" s="21"/>
      <c r="MBQ376" s="21"/>
      <c r="MBR376" s="15"/>
      <c r="MBS376" s="15"/>
      <c r="MBT376" s="15"/>
      <c r="MBU376" s="15"/>
      <c r="MBV376" s="15"/>
      <c r="MBW376" s="15"/>
      <c r="MBX376" s="15"/>
      <c r="MBY376" s="15"/>
      <c r="MBZ376" s="15"/>
      <c r="MCA376" s="15"/>
      <c r="MCB376" s="10"/>
      <c r="MCC376" s="10"/>
      <c r="MCD376" s="21"/>
      <c r="MCE376" s="21"/>
      <c r="MCH376" s="21"/>
      <c r="MCI376" s="15"/>
      <c r="MCJ376" s="15"/>
      <c r="MCK376" s="15"/>
      <c r="MCL376" s="15"/>
      <c r="MCM376" s="15"/>
      <c r="MCN376" s="15"/>
      <c r="MCO376" s="15"/>
      <c r="MCP376" s="15"/>
      <c r="MCQ376" s="15"/>
      <c r="MCR376" s="15"/>
      <c r="MCS376" s="10"/>
      <c r="MCT376" s="10"/>
      <c r="MCU376" s="21"/>
      <c r="MCV376" s="21"/>
      <c r="MCY376" s="21"/>
      <c r="MCZ376" s="15"/>
      <c r="MDA376" s="15"/>
      <c r="MDB376" s="15"/>
      <c r="MDC376" s="15"/>
      <c r="MDD376" s="15"/>
      <c r="MDE376" s="15"/>
      <c r="MDF376" s="15"/>
      <c r="MDG376" s="15"/>
      <c r="MDH376" s="15"/>
      <c r="MDI376" s="15"/>
      <c r="MDJ376" s="10"/>
      <c r="MDK376" s="10"/>
      <c r="MDL376" s="21"/>
      <c r="MDM376" s="21"/>
      <c r="MDP376" s="21"/>
      <c r="MDQ376" s="15"/>
      <c r="MDR376" s="15"/>
      <c r="MDS376" s="15"/>
      <c r="MDT376" s="15"/>
      <c r="MDU376" s="15"/>
      <c r="MDV376" s="15"/>
      <c r="MDW376" s="15"/>
      <c r="MDX376" s="15"/>
      <c r="MDY376" s="15"/>
      <c r="MDZ376" s="15"/>
      <c r="MEA376" s="10"/>
      <c r="MEB376" s="10"/>
      <c r="MEC376" s="21"/>
      <c r="MED376" s="21"/>
      <c r="MEG376" s="21"/>
      <c r="MEH376" s="15"/>
      <c r="MEI376" s="15"/>
      <c r="MEJ376" s="15"/>
      <c r="MEK376" s="15"/>
      <c r="MEL376" s="15"/>
      <c r="MEM376" s="15"/>
      <c r="MEN376" s="15"/>
      <c r="MEO376" s="15"/>
      <c r="MEP376" s="15"/>
      <c r="MEQ376" s="15"/>
      <c r="MER376" s="10"/>
      <c r="MES376" s="10"/>
      <c r="MET376" s="21"/>
      <c r="MEU376" s="21"/>
      <c r="MEX376" s="21"/>
      <c r="MEY376" s="15"/>
      <c r="MEZ376" s="15"/>
      <c r="MFA376" s="15"/>
      <c r="MFB376" s="15"/>
      <c r="MFC376" s="15"/>
      <c r="MFD376" s="15"/>
      <c r="MFE376" s="15"/>
      <c r="MFF376" s="15"/>
      <c r="MFG376" s="15"/>
      <c r="MFH376" s="15"/>
      <c r="MFI376" s="10"/>
      <c r="MFJ376" s="10"/>
      <c r="MFK376" s="21"/>
      <c r="MFL376" s="21"/>
      <c r="MFO376" s="21"/>
      <c r="MFP376" s="15"/>
      <c r="MFQ376" s="15"/>
      <c r="MFR376" s="15"/>
      <c r="MFS376" s="15"/>
      <c r="MFT376" s="15"/>
      <c r="MFU376" s="15"/>
      <c r="MFV376" s="15"/>
      <c r="MFW376" s="15"/>
      <c r="MFX376" s="15"/>
      <c r="MFY376" s="15"/>
      <c r="MFZ376" s="10"/>
      <c r="MGA376" s="10"/>
      <c r="MGB376" s="21"/>
      <c r="MGC376" s="21"/>
      <c r="MGF376" s="21"/>
      <c r="MGG376" s="15"/>
      <c r="MGH376" s="15"/>
      <c r="MGI376" s="15"/>
      <c r="MGJ376" s="15"/>
      <c r="MGK376" s="15"/>
      <c r="MGL376" s="15"/>
      <c r="MGM376" s="15"/>
      <c r="MGN376" s="15"/>
      <c r="MGO376" s="15"/>
      <c r="MGP376" s="15"/>
      <c r="MGQ376" s="10"/>
      <c r="MGR376" s="10"/>
      <c r="MGS376" s="21"/>
      <c r="MGT376" s="21"/>
      <c r="MGW376" s="21"/>
      <c r="MGX376" s="15"/>
      <c r="MGY376" s="15"/>
      <c r="MGZ376" s="15"/>
      <c r="MHA376" s="15"/>
      <c r="MHB376" s="15"/>
      <c r="MHC376" s="15"/>
      <c r="MHD376" s="15"/>
      <c r="MHE376" s="15"/>
      <c r="MHF376" s="15"/>
      <c r="MHG376" s="15"/>
      <c r="MHH376" s="10"/>
      <c r="MHI376" s="10"/>
      <c r="MHJ376" s="21"/>
      <c r="MHK376" s="21"/>
      <c r="MHN376" s="21"/>
      <c r="MHO376" s="15"/>
      <c r="MHP376" s="15"/>
      <c r="MHQ376" s="15"/>
      <c r="MHR376" s="15"/>
      <c r="MHS376" s="15"/>
      <c r="MHT376" s="15"/>
      <c r="MHU376" s="15"/>
      <c r="MHV376" s="15"/>
      <c r="MHW376" s="15"/>
      <c r="MHX376" s="15"/>
      <c r="MHY376" s="10"/>
      <c r="MHZ376" s="10"/>
      <c r="MIA376" s="21"/>
      <c r="MIB376" s="21"/>
      <c r="MIE376" s="21"/>
      <c r="MIF376" s="15"/>
      <c r="MIG376" s="15"/>
      <c r="MIH376" s="15"/>
      <c r="MII376" s="15"/>
      <c r="MIJ376" s="15"/>
      <c r="MIK376" s="15"/>
      <c r="MIL376" s="15"/>
      <c r="MIM376" s="15"/>
      <c r="MIN376" s="15"/>
      <c r="MIO376" s="15"/>
      <c r="MIP376" s="10"/>
      <c r="MIQ376" s="10"/>
      <c r="MIR376" s="21"/>
      <c r="MIS376" s="21"/>
      <c r="MIV376" s="21"/>
      <c r="MIW376" s="15"/>
      <c r="MIX376" s="15"/>
      <c r="MIY376" s="15"/>
      <c r="MIZ376" s="15"/>
      <c r="MJA376" s="15"/>
      <c r="MJB376" s="15"/>
      <c r="MJC376" s="15"/>
      <c r="MJD376" s="15"/>
      <c r="MJE376" s="15"/>
      <c r="MJF376" s="15"/>
      <c r="MJG376" s="10"/>
      <c r="MJH376" s="10"/>
      <c r="MJI376" s="21"/>
      <c r="MJJ376" s="21"/>
      <c r="MJM376" s="21"/>
      <c r="MJN376" s="15"/>
      <c r="MJO376" s="15"/>
      <c r="MJP376" s="15"/>
      <c r="MJQ376" s="15"/>
      <c r="MJR376" s="15"/>
      <c r="MJS376" s="15"/>
      <c r="MJT376" s="15"/>
      <c r="MJU376" s="15"/>
      <c r="MJV376" s="15"/>
      <c r="MJW376" s="15"/>
      <c r="MJX376" s="10"/>
      <c r="MJY376" s="10"/>
      <c r="MJZ376" s="21"/>
      <c r="MKA376" s="21"/>
      <c r="MKD376" s="21"/>
      <c r="MKE376" s="15"/>
      <c r="MKF376" s="15"/>
      <c r="MKG376" s="15"/>
      <c r="MKH376" s="15"/>
      <c r="MKI376" s="15"/>
      <c r="MKJ376" s="15"/>
      <c r="MKK376" s="15"/>
      <c r="MKL376" s="15"/>
      <c r="MKM376" s="15"/>
      <c r="MKN376" s="15"/>
      <c r="MKO376" s="10"/>
      <c r="MKP376" s="10"/>
      <c r="MKQ376" s="21"/>
      <c r="MKR376" s="21"/>
      <c r="MKU376" s="21"/>
      <c r="MKV376" s="15"/>
      <c r="MKW376" s="15"/>
      <c r="MKX376" s="15"/>
      <c r="MKY376" s="15"/>
      <c r="MKZ376" s="15"/>
      <c r="MLA376" s="15"/>
      <c r="MLB376" s="15"/>
      <c r="MLC376" s="15"/>
      <c r="MLD376" s="15"/>
      <c r="MLE376" s="15"/>
      <c r="MLF376" s="10"/>
      <c r="MLG376" s="10"/>
      <c r="MLH376" s="21"/>
      <c r="MLI376" s="21"/>
      <c r="MLL376" s="21"/>
      <c r="MLM376" s="15"/>
      <c r="MLN376" s="15"/>
      <c r="MLO376" s="15"/>
      <c r="MLP376" s="15"/>
      <c r="MLQ376" s="15"/>
      <c r="MLR376" s="15"/>
      <c r="MLS376" s="15"/>
      <c r="MLT376" s="15"/>
      <c r="MLU376" s="15"/>
      <c r="MLV376" s="15"/>
      <c r="MLW376" s="10"/>
      <c r="MLX376" s="10"/>
      <c r="MLY376" s="21"/>
      <c r="MLZ376" s="21"/>
      <c r="MMC376" s="21"/>
      <c r="MMD376" s="15"/>
      <c r="MME376" s="15"/>
      <c r="MMF376" s="15"/>
      <c r="MMG376" s="15"/>
      <c r="MMH376" s="15"/>
      <c r="MMI376" s="15"/>
      <c r="MMJ376" s="15"/>
      <c r="MMK376" s="15"/>
      <c r="MML376" s="15"/>
      <c r="MMM376" s="15"/>
      <c r="MMN376" s="10"/>
      <c r="MMO376" s="10"/>
      <c r="MMP376" s="21"/>
      <c r="MMQ376" s="21"/>
      <c r="MMT376" s="21"/>
      <c r="MMU376" s="15"/>
      <c r="MMV376" s="15"/>
      <c r="MMW376" s="15"/>
      <c r="MMX376" s="15"/>
      <c r="MMY376" s="15"/>
      <c r="MMZ376" s="15"/>
      <c r="MNA376" s="15"/>
      <c r="MNB376" s="15"/>
      <c r="MNC376" s="15"/>
      <c r="MND376" s="15"/>
      <c r="MNE376" s="10"/>
      <c r="MNF376" s="10"/>
      <c r="MNG376" s="21"/>
      <c r="MNH376" s="21"/>
      <c r="MNK376" s="21"/>
      <c r="MNL376" s="15"/>
      <c r="MNM376" s="15"/>
      <c r="MNN376" s="15"/>
      <c r="MNO376" s="15"/>
      <c r="MNP376" s="15"/>
      <c r="MNQ376" s="15"/>
      <c r="MNR376" s="15"/>
      <c r="MNS376" s="15"/>
      <c r="MNT376" s="15"/>
      <c r="MNU376" s="15"/>
      <c r="MNV376" s="10"/>
      <c r="MNW376" s="10"/>
      <c r="MNX376" s="21"/>
      <c r="MNY376" s="21"/>
      <c r="MOB376" s="21"/>
      <c r="MOC376" s="15"/>
      <c r="MOD376" s="15"/>
      <c r="MOE376" s="15"/>
      <c r="MOF376" s="15"/>
      <c r="MOG376" s="15"/>
      <c r="MOH376" s="15"/>
      <c r="MOI376" s="15"/>
      <c r="MOJ376" s="15"/>
      <c r="MOK376" s="15"/>
      <c r="MOL376" s="15"/>
      <c r="MOM376" s="10"/>
      <c r="MON376" s="10"/>
      <c r="MOO376" s="21"/>
      <c r="MOP376" s="21"/>
      <c r="MOS376" s="21"/>
      <c r="MOT376" s="15"/>
      <c r="MOU376" s="15"/>
      <c r="MOV376" s="15"/>
      <c r="MOW376" s="15"/>
      <c r="MOX376" s="15"/>
      <c r="MOY376" s="15"/>
      <c r="MOZ376" s="15"/>
      <c r="MPA376" s="15"/>
      <c r="MPB376" s="15"/>
      <c r="MPC376" s="15"/>
      <c r="MPD376" s="10"/>
      <c r="MPE376" s="10"/>
      <c r="MPF376" s="21"/>
      <c r="MPG376" s="21"/>
      <c r="MPJ376" s="21"/>
      <c r="MPK376" s="15"/>
      <c r="MPL376" s="15"/>
      <c r="MPM376" s="15"/>
      <c r="MPN376" s="15"/>
      <c r="MPO376" s="15"/>
      <c r="MPP376" s="15"/>
      <c r="MPQ376" s="15"/>
      <c r="MPR376" s="15"/>
      <c r="MPS376" s="15"/>
      <c r="MPT376" s="15"/>
      <c r="MPU376" s="10"/>
      <c r="MPV376" s="10"/>
      <c r="MPW376" s="21"/>
      <c r="MPX376" s="21"/>
      <c r="MQA376" s="21"/>
      <c r="MQB376" s="15"/>
      <c r="MQC376" s="15"/>
      <c r="MQD376" s="15"/>
      <c r="MQE376" s="15"/>
      <c r="MQF376" s="15"/>
      <c r="MQG376" s="15"/>
      <c r="MQH376" s="15"/>
      <c r="MQI376" s="15"/>
      <c r="MQJ376" s="15"/>
      <c r="MQK376" s="15"/>
      <c r="MQL376" s="10"/>
      <c r="MQM376" s="10"/>
      <c r="MQN376" s="21"/>
      <c r="MQO376" s="21"/>
      <c r="MQR376" s="21"/>
      <c r="MQS376" s="15"/>
      <c r="MQT376" s="15"/>
      <c r="MQU376" s="15"/>
      <c r="MQV376" s="15"/>
      <c r="MQW376" s="15"/>
      <c r="MQX376" s="15"/>
      <c r="MQY376" s="15"/>
      <c r="MQZ376" s="15"/>
      <c r="MRA376" s="15"/>
      <c r="MRB376" s="15"/>
      <c r="MRC376" s="10"/>
      <c r="MRD376" s="10"/>
      <c r="MRE376" s="21"/>
      <c r="MRF376" s="21"/>
      <c r="MRI376" s="21"/>
      <c r="MRJ376" s="15"/>
      <c r="MRK376" s="15"/>
      <c r="MRL376" s="15"/>
      <c r="MRM376" s="15"/>
      <c r="MRN376" s="15"/>
      <c r="MRO376" s="15"/>
      <c r="MRP376" s="15"/>
      <c r="MRQ376" s="15"/>
      <c r="MRR376" s="15"/>
      <c r="MRS376" s="15"/>
      <c r="MRT376" s="10"/>
      <c r="MRU376" s="10"/>
      <c r="MRV376" s="21"/>
      <c r="MRW376" s="21"/>
      <c r="MRZ376" s="21"/>
      <c r="MSA376" s="15"/>
      <c r="MSB376" s="15"/>
      <c r="MSC376" s="15"/>
      <c r="MSD376" s="15"/>
      <c r="MSE376" s="15"/>
      <c r="MSF376" s="15"/>
      <c r="MSG376" s="15"/>
      <c r="MSH376" s="15"/>
      <c r="MSI376" s="15"/>
      <c r="MSJ376" s="15"/>
      <c r="MSK376" s="10"/>
      <c r="MSL376" s="10"/>
      <c r="MSM376" s="21"/>
      <c r="MSN376" s="21"/>
      <c r="MSQ376" s="21"/>
      <c r="MSR376" s="15"/>
      <c r="MSS376" s="15"/>
      <c r="MST376" s="15"/>
      <c r="MSU376" s="15"/>
      <c r="MSV376" s="15"/>
      <c r="MSW376" s="15"/>
      <c r="MSX376" s="15"/>
      <c r="MSY376" s="15"/>
      <c r="MSZ376" s="15"/>
      <c r="MTA376" s="15"/>
      <c r="MTB376" s="10"/>
      <c r="MTC376" s="10"/>
      <c r="MTD376" s="21"/>
      <c r="MTE376" s="21"/>
      <c r="MTH376" s="21"/>
      <c r="MTI376" s="15"/>
      <c r="MTJ376" s="15"/>
      <c r="MTK376" s="15"/>
      <c r="MTL376" s="15"/>
      <c r="MTM376" s="15"/>
      <c r="MTN376" s="15"/>
      <c r="MTO376" s="15"/>
      <c r="MTP376" s="15"/>
      <c r="MTQ376" s="15"/>
      <c r="MTR376" s="15"/>
      <c r="MTS376" s="10"/>
      <c r="MTT376" s="10"/>
      <c r="MTU376" s="21"/>
      <c r="MTV376" s="21"/>
      <c r="MTY376" s="21"/>
      <c r="MTZ376" s="15"/>
      <c r="MUA376" s="15"/>
      <c r="MUB376" s="15"/>
      <c r="MUC376" s="15"/>
      <c r="MUD376" s="15"/>
      <c r="MUE376" s="15"/>
      <c r="MUF376" s="15"/>
      <c r="MUG376" s="15"/>
      <c r="MUH376" s="15"/>
      <c r="MUI376" s="15"/>
      <c r="MUJ376" s="10"/>
      <c r="MUK376" s="10"/>
      <c r="MUL376" s="21"/>
      <c r="MUM376" s="21"/>
      <c r="MUP376" s="21"/>
      <c r="MUQ376" s="15"/>
      <c r="MUR376" s="15"/>
      <c r="MUS376" s="15"/>
      <c r="MUT376" s="15"/>
      <c r="MUU376" s="15"/>
      <c r="MUV376" s="15"/>
      <c r="MUW376" s="15"/>
      <c r="MUX376" s="15"/>
      <c r="MUY376" s="15"/>
      <c r="MUZ376" s="15"/>
      <c r="MVA376" s="10"/>
      <c r="MVB376" s="10"/>
      <c r="MVC376" s="21"/>
      <c r="MVD376" s="21"/>
      <c r="MVG376" s="21"/>
      <c r="MVH376" s="15"/>
      <c r="MVI376" s="15"/>
      <c r="MVJ376" s="15"/>
      <c r="MVK376" s="15"/>
      <c r="MVL376" s="15"/>
      <c r="MVM376" s="15"/>
      <c r="MVN376" s="15"/>
      <c r="MVO376" s="15"/>
      <c r="MVP376" s="15"/>
      <c r="MVQ376" s="15"/>
      <c r="MVR376" s="10"/>
      <c r="MVS376" s="10"/>
      <c r="MVT376" s="21"/>
      <c r="MVU376" s="21"/>
      <c r="MVX376" s="21"/>
      <c r="MVY376" s="15"/>
      <c r="MVZ376" s="15"/>
      <c r="MWA376" s="15"/>
      <c r="MWB376" s="15"/>
      <c r="MWC376" s="15"/>
      <c r="MWD376" s="15"/>
      <c r="MWE376" s="15"/>
      <c r="MWF376" s="15"/>
      <c r="MWG376" s="15"/>
      <c r="MWH376" s="15"/>
      <c r="MWI376" s="10"/>
      <c r="MWJ376" s="10"/>
      <c r="MWK376" s="21"/>
      <c r="MWL376" s="21"/>
      <c r="MWO376" s="21"/>
      <c r="MWP376" s="15"/>
      <c r="MWQ376" s="15"/>
      <c r="MWR376" s="15"/>
      <c r="MWS376" s="15"/>
      <c r="MWT376" s="15"/>
      <c r="MWU376" s="15"/>
      <c r="MWV376" s="15"/>
      <c r="MWW376" s="15"/>
      <c r="MWX376" s="15"/>
      <c r="MWY376" s="15"/>
      <c r="MWZ376" s="10"/>
      <c r="MXA376" s="10"/>
      <c r="MXB376" s="21"/>
      <c r="MXC376" s="21"/>
      <c r="MXF376" s="21"/>
      <c r="MXG376" s="15"/>
      <c r="MXH376" s="15"/>
      <c r="MXI376" s="15"/>
      <c r="MXJ376" s="15"/>
      <c r="MXK376" s="15"/>
      <c r="MXL376" s="15"/>
      <c r="MXM376" s="15"/>
      <c r="MXN376" s="15"/>
      <c r="MXO376" s="15"/>
      <c r="MXP376" s="15"/>
      <c r="MXQ376" s="10"/>
      <c r="MXR376" s="10"/>
      <c r="MXS376" s="21"/>
      <c r="MXT376" s="21"/>
      <c r="MXW376" s="21"/>
      <c r="MXX376" s="15"/>
      <c r="MXY376" s="15"/>
      <c r="MXZ376" s="15"/>
      <c r="MYA376" s="15"/>
      <c r="MYB376" s="15"/>
      <c r="MYC376" s="15"/>
      <c r="MYD376" s="15"/>
      <c r="MYE376" s="15"/>
      <c r="MYF376" s="15"/>
      <c r="MYG376" s="15"/>
      <c r="MYH376" s="10"/>
      <c r="MYI376" s="10"/>
      <c r="MYJ376" s="21"/>
      <c r="MYK376" s="21"/>
      <c r="MYN376" s="21"/>
      <c r="MYO376" s="15"/>
      <c r="MYP376" s="15"/>
      <c r="MYQ376" s="15"/>
      <c r="MYR376" s="15"/>
      <c r="MYS376" s="15"/>
      <c r="MYT376" s="15"/>
      <c r="MYU376" s="15"/>
      <c r="MYV376" s="15"/>
      <c r="MYW376" s="15"/>
      <c r="MYX376" s="15"/>
      <c r="MYY376" s="10"/>
      <c r="MYZ376" s="10"/>
      <c r="MZA376" s="21"/>
      <c r="MZB376" s="21"/>
      <c r="MZE376" s="21"/>
      <c r="MZF376" s="15"/>
      <c r="MZG376" s="15"/>
      <c r="MZH376" s="15"/>
      <c r="MZI376" s="15"/>
      <c r="MZJ376" s="15"/>
      <c r="MZK376" s="15"/>
      <c r="MZL376" s="15"/>
      <c r="MZM376" s="15"/>
      <c r="MZN376" s="15"/>
      <c r="MZO376" s="15"/>
      <c r="MZP376" s="10"/>
      <c r="MZQ376" s="10"/>
      <c r="MZR376" s="21"/>
      <c r="MZS376" s="21"/>
      <c r="MZV376" s="21"/>
      <c r="MZW376" s="15"/>
      <c r="MZX376" s="15"/>
      <c r="MZY376" s="15"/>
      <c r="MZZ376" s="15"/>
      <c r="NAA376" s="15"/>
      <c r="NAB376" s="15"/>
      <c r="NAC376" s="15"/>
      <c r="NAD376" s="15"/>
      <c r="NAE376" s="15"/>
      <c r="NAF376" s="15"/>
      <c r="NAG376" s="10"/>
      <c r="NAH376" s="10"/>
      <c r="NAI376" s="21"/>
      <c r="NAJ376" s="21"/>
      <c r="NAM376" s="21"/>
      <c r="NAN376" s="15"/>
      <c r="NAO376" s="15"/>
      <c r="NAP376" s="15"/>
      <c r="NAQ376" s="15"/>
      <c r="NAR376" s="15"/>
      <c r="NAS376" s="15"/>
      <c r="NAT376" s="15"/>
      <c r="NAU376" s="15"/>
      <c r="NAV376" s="15"/>
      <c r="NAW376" s="15"/>
      <c r="NAX376" s="10"/>
      <c r="NAY376" s="10"/>
      <c r="NAZ376" s="21"/>
      <c r="NBA376" s="21"/>
      <c r="NBD376" s="21"/>
      <c r="NBE376" s="15"/>
      <c r="NBF376" s="15"/>
      <c r="NBG376" s="15"/>
      <c r="NBH376" s="15"/>
      <c r="NBI376" s="15"/>
      <c r="NBJ376" s="15"/>
      <c r="NBK376" s="15"/>
      <c r="NBL376" s="15"/>
      <c r="NBM376" s="15"/>
      <c r="NBN376" s="15"/>
      <c r="NBO376" s="10"/>
      <c r="NBP376" s="10"/>
      <c r="NBQ376" s="21"/>
      <c r="NBR376" s="21"/>
      <c r="NBU376" s="21"/>
      <c r="NBV376" s="15"/>
      <c r="NBW376" s="15"/>
      <c r="NBX376" s="15"/>
      <c r="NBY376" s="15"/>
      <c r="NBZ376" s="15"/>
      <c r="NCA376" s="15"/>
      <c r="NCB376" s="15"/>
      <c r="NCC376" s="15"/>
      <c r="NCD376" s="15"/>
      <c r="NCE376" s="15"/>
      <c r="NCF376" s="10"/>
      <c r="NCG376" s="10"/>
      <c r="NCH376" s="21"/>
      <c r="NCI376" s="21"/>
      <c r="NCL376" s="21"/>
      <c r="NCM376" s="15"/>
      <c r="NCN376" s="15"/>
      <c r="NCO376" s="15"/>
      <c r="NCP376" s="15"/>
      <c r="NCQ376" s="15"/>
      <c r="NCR376" s="15"/>
      <c r="NCS376" s="15"/>
      <c r="NCT376" s="15"/>
      <c r="NCU376" s="15"/>
      <c r="NCV376" s="15"/>
      <c r="NCW376" s="10"/>
      <c r="NCX376" s="10"/>
      <c r="NCY376" s="21"/>
      <c r="NCZ376" s="21"/>
      <c r="NDC376" s="21"/>
      <c r="NDD376" s="15"/>
      <c r="NDE376" s="15"/>
      <c r="NDF376" s="15"/>
      <c r="NDG376" s="15"/>
      <c r="NDH376" s="15"/>
      <c r="NDI376" s="15"/>
      <c r="NDJ376" s="15"/>
      <c r="NDK376" s="15"/>
      <c r="NDL376" s="15"/>
      <c r="NDM376" s="15"/>
      <c r="NDN376" s="10"/>
      <c r="NDO376" s="10"/>
      <c r="NDP376" s="21"/>
      <c r="NDQ376" s="21"/>
      <c r="NDT376" s="21"/>
      <c r="NDU376" s="15"/>
      <c r="NDV376" s="15"/>
      <c r="NDW376" s="15"/>
      <c r="NDX376" s="15"/>
      <c r="NDY376" s="15"/>
      <c r="NDZ376" s="15"/>
      <c r="NEA376" s="15"/>
      <c r="NEB376" s="15"/>
      <c r="NEC376" s="15"/>
      <c r="NED376" s="15"/>
      <c r="NEE376" s="10"/>
      <c r="NEF376" s="10"/>
      <c r="NEG376" s="21"/>
      <c r="NEH376" s="21"/>
      <c r="NEK376" s="21"/>
      <c r="NEL376" s="15"/>
      <c r="NEM376" s="15"/>
      <c r="NEN376" s="15"/>
      <c r="NEO376" s="15"/>
      <c r="NEP376" s="15"/>
      <c r="NEQ376" s="15"/>
      <c r="NER376" s="15"/>
      <c r="NES376" s="15"/>
      <c r="NET376" s="15"/>
      <c r="NEU376" s="15"/>
      <c r="NEV376" s="10"/>
      <c r="NEW376" s="10"/>
      <c r="NEX376" s="21"/>
      <c r="NEY376" s="21"/>
      <c r="NFB376" s="21"/>
      <c r="NFC376" s="15"/>
      <c r="NFD376" s="15"/>
      <c r="NFE376" s="15"/>
      <c r="NFF376" s="15"/>
      <c r="NFG376" s="15"/>
      <c r="NFH376" s="15"/>
      <c r="NFI376" s="15"/>
      <c r="NFJ376" s="15"/>
      <c r="NFK376" s="15"/>
      <c r="NFL376" s="15"/>
      <c r="NFM376" s="10"/>
      <c r="NFN376" s="10"/>
      <c r="NFO376" s="21"/>
      <c r="NFP376" s="21"/>
      <c r="NFS376" s="21"/>
      <c r="NFT376" s="15"/>
      <c r="NFU376" s="15"/>
      <c r="NFV376" s="15"/>
      <c r="NFW376" s="15"/>
      <c r="NFX376" s="15"/>
      <c r="NFY376" s="15"/>
      <c r="NFZ376" s="15"/>
      <c r="NGA376" s="15"/>
      <c r="NGB376" s="15"/>
      <c r="NGC376" s="15"/>
      <c r="NGD376" s="10"/>
      <c r="NGE376" s="10"/>
      <c r="NGF376" s="21"/>
      <c r="NGG376" s="21"/>
      <c r="NGJ376" s="21"/>
      <c r="NGK376" s="15"/>
      <c r="NGL376" s="15"/>
      <c r="NGM376" s="15"/>
      <c r="NGN376" s="15"/>
      <c r="NGO376" s="15"/>
      <c r="NGP376" s="15"/>
      <c r="NGQ376" s="15"/>
      <c r="NGR376" s="15"/>
      <c r="NGS376" s="15"/>
      <c r="NGT376" s="15"/>
      <c r="NGU376" s="10"/>
      <c r="NGV376" s="10"/>
      <c r="NGW376" s="21"/>
      <c r="NGX376" s="21"/>
      <c r="NHA376" s="21"/>
      <c r="NHB376" s="15"/>
      <c r="NHC376" s="15"/>
      <c r="NHD376" s="15"/>
      <c r="NHE376" s="15"/>
      <c r="NHF376" s="15"/>
      <c r="NHG376" s="15"/>
      <c r="NHH376" s="15"/>
      <c r="NHI376" s="15"/>
      <c r="NHJ376" s="15"/>
      <c r="NHK376" s="15"/>
      <c r="NHL376" s="10"/>
      <c r="NHM376" s="10"/>
      <c r="NHN376" s="21"/>
      <c r="NHO376" s="21"/>
      <c r="NHR376" s="21"/>
      <c r="NHS376" s="15"/>
      <c r="NHT376" s="15"/>
      <c r="NHU376" s="15"/>
      <c r="NHV376" s="15"/>
      <c r="NHW376" s="15"/>
      <c r="NHX376" s="15"/>
      <c r="NHY376" s="15"/>
      <c r="NHZ376" s="15"/>
      <c r="NIA376" s="15"/>
      <c r="NIB376" s="15"/>
      <c r="NIC376" s="10"/>
      <c r="NID376" s="10"/>
      <c r="NIE376" s="21"/>
      <c r="NIF376" s="21"/>
      <c r="NII376" s="21"/>
      <c r="NIJ376" s="15"/>
      <c r="NIK376" s="15"/>
      <c r="NIL376" s="15"/>
      <c r="NIM376" s="15"/>
      <c r="NIN376" s="15"/>
      <c r="NIO376" s="15"/>
      <c r="NIP376" s="15"/>
      <c r="NIQ376" s="15"/>
      <c r="NIR376" s="15"/>
      <c r="NIS376" s="15"/>
      <c r="NIT376" s="10"/>
      <c r="NIU376" s="10"/>
      <c r="NIV376" s="21"/>
      <c r="NIW376" s="21"/>
      <c r="NIZ376" s="21"/>
      <c r="NJA376" s="15"/>
      <c r="NJB376" s="15"/>
      <c r="NJC376" s="15"/>
      <c r="NJD376" s="15"/>
      <c r="NJE376" s="15"/>
      <c r="NJF376" s="15"/>
      <c r="NJG376" s="15"/>
      <c r="NJH376" s="15"/>
      <c r="NJI376" s="15"/>
      <c r="NJJ376" s="15"/>
      <c r="NJK376" s="10"/>
      <c r="NJL376" s="10"/>
      <c r="NJM376" s="21"/>
      <c r="NJN376" s="21"/>
      <c r="NJQ376" s="21"/>
      <c r="NJR376" s="15"/>
      <c r="NJS376" s="15"/>
      <c r="NJT376" s="15"/>
      <c r="NJU376" s="15"/>
      <c r="NJV376" s="15"/>
      <c r="NJW376" s="15"/>
      <c r="NJX376" s="15"/>
      <c r="NJY376" s="15"/>
      <c r="NJZ376" s="15"/>
      <c r="NKA376" s="15"/>
      <c r="NKB376" s="10"/>
      <c r="NKC376" s="10"/>
      <c r="NKD376" s="21"/>
      <c r="NKE376" s="21"/>
      <c r="NKH376" s="21"/>
      <c r="NKI376" s="15"/>
      <c r="NKJ376" s="15"/>
      <c r="NKK376" s="15"/>
      <c r="NKL376" s="15"/>
      <c r="NKM376" s="15"/>
      <c r="NKN376" s="15"/>
      <c r="NKO376" s="15"/>
      <c r="NKP376" s="15"/>
      <c r="NKQ376" s="15"/>
      <c r="NKR376" s="15"/>
      <c r="NKS376" s="10"/>
      <c r="NKT376" s="10"/>
      <c r="NKU376" s="21"/>
      <c r="NKV376" s="21"/>
      <c r="NKY376" s="21"/>
      <c r="NKZ376" s="15"/>
      <c r="NLA376" s="15"/>
      <c r="NLB376" s="15"/>
      <c r="NLC376" s="15"/>
      <c r="NLD376" s="15"/>
      <c r="NLE376" s="15"/>
      <c r="NLF376" s="15"/>
      <c r="NLG376" s="15"/>
      <c r="NLH376" s="15"/>
      <c r="NLI376" s="15"/>
      <c r="NLJ376" s="10"/>
      <c r="NLK376" s="10"/>
      <c r="NLL376" s="21"/>
      <c r="NLM376" s="21"/>
      <c r="NLP376" s="21"/>
      <c r="NLQ376" s="15"/>
      <c r="NLR376" s="15"/>
      <c r="NLS376" s="15"/>
      <c r="NLT376" s="15"/>
      <c r="NLU376" s="15"/>
      <c r="NLV376" s="15"/>
      <c r="NLW376" s="15"/>
      <c r="NLX376" s="15"/>
      <c r="NLY376" s="15"/>
      <c r="NLZ376" s="15"/>
      <c r="NMA376" s="10"/>
      <c r="NMB376" s="10"/>
      <c r="NMC376" s="21"/>
      <c r="NMD376" s="21"/>
      <c r="NMG376" s="21"/>
      <c r="NMH376" s="15"/>
      <c r="NMI376" s="15"/>
      <c r="NMJ376" s="15"/>
      <c r="NMK376" s="15"/>
      <c r="NML376" s="15"/>
      <c r="NMM376" s="15"/>
      <c r="NMN376" s="15"/>
      <c r="NMO376" s="15"/>
      <c r="NMP376" s="15"/>
      <c r="NMQ376" s="15"/>
      <c r="NMR376" s="10"/>
      <c r="NMS376" s="10"/>
      <c r="NMT376" s="21"/>
      <c r="NMU376" s="21"/>
      <c r="NMX376" s="21"/>
      <c r="NMY376" s="15"/>
      <c r="NMZ376" s="15"/>
      <c r="NNA376" s="15"/>
      <c r="NNB376" s="15"/>
      <c r="NNC376" s="15"/>
      <c r="NND376" s="15"/>
      <c r="NNE376" s="15"/>
      <c r="NNF376" s="15"/>
      <c r="NNG376" s="15"/>
      <c r="NNH376" s="15"/>
      <c r="NNI376" s="10"/>
      <c r="NNJ376" s="10"/>
      <c r="NNK376" s="21"/>
      <c r="NNL376" s="21"/>
      <c r="NNO376" s="21"/>
      <c r="NNP376" s="15"/>
      <c r="NNQ376" s="15"/>
      <c r="NNR376" s="15"/>
      <c r="NNS376" s="15"/>
      <c r="NNT376" s="15"/>
      <c r="NNU376" s="15"/>
      <c r="NNV376" s="15"/>
      <c r="NNW376" s="15"/>
      <c r="NNX376" s="15"/>
      <c r="NNY376" s="15"/>
      <c r="NNZ376" s="10"/>
      <c r="NOA376" s="10"/>
      <c r="NOB376" s="21"/>
      <c r="NOC376" s="21"/>
      <c r="NOF376" s="21"/>
      <c r="NOG376" s="15"/>
      <c r="NOH376" s="15"/>
      <c r="NOI376" s="15"/>
      <c r="NOJ376" s="15"/>
      <c r="NOK376" s="15"/>
      <c r="NOL376" s="15"/>
      <c r="NOM376" s="15"/>
      <c r="NON376" s="15"/>
      <c r="NOO376" s="15"/>
      <c r="NOP376" s="15"/>
      <c r="NOQ376" s="10"/>
      <c r="NOR376" s="10"/>
      <c r="NOS376" s="21"/>
      <c r="NOT376" s="21"/>
      <c r="NOW376" s="21"/>
      <c r="NOX376" s="15"/>
      <c r="NOY376" s="15"/>
      <c r="NOZ376" s="15"/>
      <c r="NPA376" s="15"/>
      <c r="NPB376" s="15"/>
      <c r="NPC376" s="15"/>
      <c r="NPD376" s="15"/>
      <c r="NPE376" s="15"/>
      <c r="NPF376" s="15"/>
      <c r="NPG376" s="15"/>
      <c r="NPH376" s="10"/>
      <c r="NPI376" s="10"/>
      <c r="NPJ376" s="21"/>
      <c r="NPK376" s="21"/>
      <c r="NPN376" s="21"/>
      <c r="NPO376" s="15"/>
      <c r="NPP376" s="15"/>
      <c r="NPQ376" s="15"/>
      <c r="NPR376" s="15"/>
      <c r="NPS376" s="15"/>
      <c r="NPT376" s="15"/>
      <c r="NPU376" s="15"/>
      <c r="NPV376" s="15"/>
      <c r="NPW376" s="15"/>
      <c r="NPX376" s="15"/>
      <c r="NPY376" s="10"/>
      <c r="NPZ376" s="10"/>
      <c r="NQA376" s="21"/>
      <c r="NQB376" s="21"/>
      <c r="NQE376" s="21"/>
      <c r="NQF376" s="15"/>
      <c r="NQG376" s="15"/>
      <c r="NQH376" s="15"/>
      <c r="NQI376" s="15"/>
      <c r="NQJ376" s="15"/>
      <c r="NQK376" s="15"/>
      <c r="NQL376" s="15"/>
      <c r="NQM376" s="15"/>
      <c r="NQN376" s="15"/>
      <c r="NQO376" s="15"/>
      <c r="NQP376" s="10"/>
      <c r="NQQ376" s="10"/>
      <c r="NQR376" s="21"/>
      <c r="NQS376" s="21"/>
      <c r="NQV376" s="21"/>
      <c r="NQW376" s="15"/>
      <c r="NQX376" s="15"/>
      <c r="NQY376" s="15"/>
      <c r="NQZ376" s="15"/>
      <c r="NRA376" s="15"/>
      <c r="NRB376" s="15"/>
      <c r="NRC376" s="15"/>
      <c r="NRD376" s="15"/>
      <c r="NRE376" s="15"/>
      <c r="NRF376" s="15"/>
      <c r="NRG376" s="10"/>
      <c r="NRH376" s="10"/>
      <c r="NRI376" s="21"/>
      <c r="NRJ376" s="21"/>
      <c r="NRM376" s="21"/>
      <c r="NRN376" s="15"/>
      <c r="NRO376" s="15"/>
      <c r="NRP376" s="15"/>
      <c r="NRQ376" s="15"/>
      <c r="NRR376" s="15"/>
      <c r="NRS376" s="15"/>
      <c r="NRT376" s="15"/>
      <c r="NRU376" s="15"/>
      <c r="NRV376" s="15"/>
      <c r="NRW376" s="15"/>
      <c r="NRX376" s="10"/>
      <c r="NRY376" s="10"/>
      <c r="NRZ376" s="21"/>
      <c r="NSA376" s="21"/>
      <c r="NSD376" s="21"/>
      <c r="NSE376" s="15"/>
      <c r="NSF376" s="15"/>
      <c r="NSG376" s="15"/>
      <c r="NSH376" s="15"/>
      <c r="NSI376" s="15"/>
      <c r="NSJ376" s="15"/>
      <c r="NSK376" s="15"/>
      <c r="NSL376" s="15"/>
      <c r="NSM376" s="15"/>
      <c r="NSN376" s="15"/>
      <c r="NSO376" s="10"/>
      <c r="NSP376" s="10"/>
      <c r="NSQ376" s="21"/>
      <c r="NSR376" s="21"/>
      <c r="NSU376" s="21"/>
      <c r="NSV376" s="15"/>
      <c r="NSW376" s="15"/>
      <c r="NSX376" s="15"/>
      <c r="NSY376" s="15"/>
      <c r="NSZ376" s="15"/>
      <c r="NTA376" s="15"/>
      <c r="NTB376" s="15"/>
      <c r="NTC376" s="15"/>
      <c r="NTD376" s="15"/>
      <c r="NTE376" s="15"/>
      <c r="NTF376" s="10"/>
      <c r="NTG376" s="10"/>
      <c r="NTH376" s="21"/>
      <c r="NTI376" s="21"/>
      <c r="NTL376" s="21"/>
      <c r="NTM376" s="15"/>
      <c r="NTN376" s="15"/>
      <c r="NTO376" s="15"/>
      <c r="NTP376" s="15"/>
      <c r="NTQ376" s="15"/>
      <c r="NTR376" s="15"/>
      <c r="NTS376" s="15"/>
      <c r="NTT376" s="15"/>
      <c r="NTU376" s="15"/>
      <c r="NTV376" s="15"/>
      <c r="NTW376" s="10"/>
      <c r="NTX376" s="10"/>
      <c r="NTY376" s="21"/>
      <c r="NTZ376" s="21"/>
      <c r="NUC376" s="21"/>
      <c r="NUD376" s="15"/>
      <c r="NUE376" s="15"/>
      <c r="NUF376" s="15"/>
      <c r="NUG376" s="15"/>
      <c r="NUH376" s="15"/>
      <c r="NUI376" s="15"/>
      <c r="NUJ376" s="15"/>
      <c r="NUK376" s="15"/>
      <c r="NUL376" s="15"/>
      <c r="NUM376" s="15"/>
      <c r="NUN376" s="10"/>
      <c r="NUO376" s="10"/>
      <c r="NUP376" s="21"/>
      <c r="NUQ376" s="21"/>
      <c r="NUT376" s="21"/>
      <c r="NUU376" s="15"/>
      <c r="NUV376" s="15"/>
      <c r="NUW376" s="15"/>
      <c r="NUX376" s="15"/>
      <c r="NUY376" s="15"/>
      <c r="NUZ376" s="15"/>
      <c r="NVA376" s="15"/>
      <c r="NVB376" s="15"/>
      <c r="NVC376" s="15"/>
      <c r="NVD376" s="15"/>
      <c r="NVE376" s="10"/>
      <c r="NVF376" s="10"/>
      <c r="NVG376" s="21"/>
      <c r="NVH376" s="21"/>
      <c r="NVK376" s="21"/>
      <c r="NVL376" s="15"/>
      <c r="NVM376" s="15"/>
      <c r="NVN376" s="15"/>
      <c r="NVO376" s="15"/>
      <c r="NVP376" s="15"/>
      <c r="NVQ376" s="15"/>
      <c r="NVR376" s="15"/>
      <c r="NVS376" s="15"/>
      <c r="NVT376" s="15"/>
      <c r="NVU376" s="15"/>
      <c r="NVV376" s="10"/>
      <c r="NVW376" s="10"/>
      <c r="NVX376" s="21"/>
      <c r="NVY376" s="21"/>
      <c r="NWB376" s="21"/>
      <c r="NWC376" s="15"/>
      <c r="NWD376" s="15"/>
      <c r="NWE376" s="15"/>
      <c r="NWF376" s="15"/>
      <c r="NWG376" s="15"/>
      <c r="NWH376" s="15"/>
      <c r="NWI376" s="15"/>
      <c r="NWJ376" s="15"/>
      <c r="NWK376" s="15"/>
      <c r="NWL376" s="15"/>
      <c r="NWM376" s="10"/>
      <c r="NWN376" s="10"/>
      <c r="NWO376" s="21"/>
      <c r="NWP376" s="21"/>
      <c r="NWS376" s="21"/>
      <c r="NWT376" s="15"/>
      <c r="NWU376" s="15"/>
      <c r="NWV376" s="15"/>
      <c r="NWW376" s="15"/>
      <c r="NWX376" s="15"/>
      <c r="NWY376" s="15"/>
      <c r="NWZ376" s="15"/>
      <c r="NXA376" s="15"/>
      <c r="NXB376" s="15"/>
      <c r="NXC376" s="15"/>
      <c r="NXD376" s="10"/>
      <c r="NXE376" s="10"/>
      <c r="NXF376" s="21"/>
      <c r="NXG376" s="21"/>
      <c r="NXJ376" s="21"/>
      <c r="NXK376" s="15"/>
      <c r="NXL376" s="15"/>
      <c r="NXM376" s="15"/>
      <c r="NXN376" s="15"/>
      <c r="NXO376" s="15"/>
      <c r="NXP376" s="15"/>
      <c r="NXQ376" s="15"/>
      <c r="NXR376" s="15"/>
      <c r="NXS376" s="15"/>
      <c r="NXT376" s="15"/>
      <c r="NXU376" s="10"/>
      <c r="NXV376" s="10"/>
      <c r="NXW376" s="21"/>
      <c r="NXX376" s="21"/>
      <c r="NYA376" s="21"/>
      <c r="NYB376" s="15"/>
      <c r="NYC376" s="15"/>
      <c r="NYD376" s="15"/>
      <c r="NYE376" s="15"/>
      <c r="NYF376" s="15"/>
      <c r="NYG376" s="15"/>
      <c r="NYH376" s="15"/>
      <c r="NYI376" s="15"/>
      <c r="NYJ376" s="15"/>
      <c r="NYK376" s="15"/>
      <c r="NYL376" s="10"/>
      <c r="NYM376" s="10"/>
      <c r="NYN376" s="21"/>
      <c r="NYO376" s="21"/>
      <c r="NYR376" s="21"/>
      <c r="NYS376" s="15"/>
      <c r="NYT376" s="15"/>
      <c r="NYU376" s="15"/>
      <c r="NYV376" s="15"/>
      <c r="NYW376" s="15"/>
      <c r="NYX376" s="15"/>
      <c r="NYY376" s="15"/>
      <c r="NYZ376" s="15"/>
      <c r="NZA376" s="15"/>
      <c r="NZB376" s="15"/>
      <c r="NZC376" s="10"/>
      <c r="NZD376" s="10"/>
      <c r="NZE376" s="21"/>
      <c r="NZF376" s="21"/>
      <c r="NZI376" s="21"/>
      <c r="NZJ376" s="15"/>
      <c r="NZK376" s="15"/>
      <c r="NZL376" s="15"/>
      <c r="NZM376" s="15"/>
      <c r="NZN376" s="15"/>
      <c r="NZO376" s="15"/>
      <c r="NZP376" s="15"/>
      <c r="NZQ376" s="15"/>
      <c r="NZR376" s="15"/>
      <c r="NZS376" s="15"/>
      <c r="NZT376" s="10"/>
      <c r="NZU376" s="10"/>
      <c r="NZV376" s="21"/>
      <c r="NZW376" s="21"/>
      <c r="NZZ376" s="21"/>
      <c r="OAA376" s="15"/>
      <c r="OAB376" s="15"/>
      <c r="OAC376" s="15"/>
      <c r="OAD376" s="15"/>
      <c r="OAE376" s="15"/>
      <c r="OAF376" s="15"/>
      <c r="OAG376" s="15"/>
      <c r="OAH376" s="15"/>
      <c r="OAI376" s="15"/>
      <c r="OAJ376" s="15"/>
      <c r="OAK376" s="10"/>
      <c r="OAL376" s="10"/>
      <c r="OAM376" s="21"/>
      <c r="OAN376" s="21"/>
      <c r="OAQ376" s="21"/>
      <c r="OAR376" s="15"/>
      <c r="OAS376" s="15"/>
      <c r="OAT376" s="15"/>
      <c r="OAU376" s="15"/>
      <c r="OAV376" s="15"/>
      <c r="OAW376" s="15"/>
      <c r="OAX376" s="15"/>
      <c r="OAY376" s="15"/>
      <c r="OAZ376" s="15"/>
      <c r="OBA376" s="15"/>
      <c r="OBB376" s="10"/>
      <c r="OBC376" s="10"/>
      <c r="OBD376" s="21"/>
      <c r="OBE376" s="21"/>
      <c r="OBH376" s="21"/>
      <c r="OBI376" s="15"/>
      <c r="OBJ376" s="15"/>
      <c r="OBK376" s="15"/>
      <c r="OBL376" s="15"/>
      <c r="OBM376" s="15"/>
      <c r="OBN376" s="15"/>
      <c r="OBO376" s="15"/>
      <c r="OBP376" s="15"/>
      <c r="OBQ376" s="15"/>
      <c r="OBR376" s="15"/>
      <c r="OBS376" s="10"/>
      <c r="OBT376" s="10"/>
      <c r="OBU376" s="21"/>
      <c r="OBV376" s="21"/>
      <c r="OBY376" s="21"/>
      <c r="OBZ376" s="15"/>
      <c r="OCA376" s="15"/>
      <c r="OCB376" s="15"/>
      <c r="OCC376" s="15"/>
      <c r="OCD376" s="15"/>
      <c r="OCE376" s="15"/>
      <c r="OCF376" s="15"/>
      <c r="OCG376" s="15"/>
      <c r="OCH376" s="15"/>
      <c r="OCI376" s="15"/>
      <c r="OCJ376" s="10"/>
      <c r="OCK376" s="10"/>
      <c r="OCL376" s="21"/>
      <c r="OCM376" s="21"/>
      <c r="OCP376" s="21"/>
      <c r="OCQ376" s="15"/>
      <c r="OCR376" s="15"/>
      <c r="OCS376" s="15"/>
      <c r="OCT376" s="15"/>
      <c r="OCU376" s="15"/>
      <c r="OCV376" s="15"/>
      <c r="OCW376" s="15"/>
      <c r="OCX376" s="15"/>
      <c r="OCY376" s="15"/>
      <c r="OCZ376" s="15"/>
      <c r="ODA376" s="10"/>
      <c r="ODB376" s="10"/>
      <c r="ODC376" s="21"/>
      <c r="ODD376" s="21"/>
      <c r="ODG376" s="21"/>
      <c r="ODH376" s="15"/>
      <c r="ODI376" s="15"/>
      <c r="ODJ376" s="15"/>
      <c r="ODK376" s="15"/>
      <c r="ODL376" s="15"/>
      <c r="ODM376" s="15"/>
      <c r="ODN376" s="15"/>
      <c r="ODO376" s="15"/>
      <c r="ODP376" s="15"/>
      <c r="ODQ376" s="15"/>
      <c r="ODR376" s="10"/>
      <c r="ODS376" s="10"/>
      <c r="ODT376" s="21"/>
      <c r="ODU376" s="21"/>
      <c r="ODX376" s="21"/>
      <c r="ODY376" s="15"/>
      <c r="ODZ376" s="15"/>
      <c r="OEA376" s="15"/>
      <c r="OEB376" s="15"/>
      <c r="OEC376" s="15"/>
      <c r="OED376" s="15"/>
      <c r="OEE376" s="15"/>
      <c r="OEF376" s="15"/>
      <c r="OEG376" s="15"/>
      <c r="OEH376" s="15"/>
      <c r="OEI376" s="10"/>
      <c r="OEJ376" s="10"/>
      <c r="OEK376" s="21"/>
      <c r="OEL376" s="21"/>
      <c r="OEO376" s="21"/>
      <c r="OEP376" s="15"/>
      <c r="OEQ376" s="15"/>
      <c r="OER376" s="15"/>
      <c r="OES376" s="15"/>
      <c r="OET376" s="15"/>
      <c r="OEU376" s="15"/>
      <c r="OEV376" s="15"/>
      <c r="OEW376" s="15"/>
      <c r="OEX376" s="15"/>
      <c r="OEY376" s="15"/>
      <c r="OEZ376" s="10"/>
      <c r="OFA376" s="10"/>
      <c r="OFB376" s="21"/>
      <c r="OFC376" s="21"/>
      <c r="OFF376" s="21"/>
      <c r="OFG376" s="15"/>
      <c r="OFH376" s="15"/>
      <c r="OFI376" s="15"/>
      <c r="OFJ376" s="15"/>
      <c r="OFK376" s="15"/>
      <c r="OFL376" s="15"/>
      <c r="OFM376" s="15"/>
      <c r="OFN376" s="15"/>
      <c r="OFO376" s="15"/>
      <c r="OFP376" s="15"/>
      <c r="OFQ376" s="10"/>
      <c r="OFR376" s="10"/>
      <c r="OFS376" s="21"/>
      <c r="OFT376" s="21"/>
      <c r="OFW376" s="21"/>
      <c r="OFX376" s="15"/>
      <c r="OFY376" s="15"/>
      <c r="OFZ376" s="15"/>
      <c r="OGA376" s="15"/>
      <c r="OGB376" s="15"/>
      <c r="OGC376" s="15"/>
      <c r="OGD376" s="15"/>
      <c r="OGE376" s="15"/>
      <c r="OGF376" s="15"/>
      <c r="OGG376" s="15"/>
      <c r="OGH376" s="10"/>
      <c r="OGI376" s="10"/>
      <c r="OGJ376" s="21"/>
      <c r="OGK376" s="21"/>
      <c r="OGN376" s="21"/>
      <c r="OGO376" s="15"/>
      <c r="OGP376" s="15"/>
      <c r="OGQ376" s="15"/>
      <c r="OGR376" s="15"/>
      <c r="OGS376" s="15"/>
      <c r="OGT376" s="15"/>
      <c r="OGU376" s="15"/>
      <c r="OGV376" s="15"/>
      <c r="OGW376" s="15"/>
      <c r="OGX376" s="15"/>
      <c r="OGY376" s="10"/>
      <c r="OGZ376" s="10"/>
      <c r="OHA376" s="21"/>
      <c r="OHB376" s="21"/>
      <c r="OHE376" s="21"/>
      <c r="OHF376" s="15"/>
      <c r="OHG376" s="15"/>
      <c r="OHH376" s="15"/>
      <c r="OHI376" s="15"/>
      <c r="OHJ376" s="15"/>
      <c r="OHK376" s="15"/>
      <c r="OHL376" s="15"/>
      <c r="OHM376" s="15"/>
      <c r="OHN376" s="15"/>
      <c r="OHO376" s="15"/>
      <c r="OHP376" s="10"/>
      <c r="OHQ376" s="10"/>
      <c r="OHR376" s="21"/>
      <c r="OHS376" s="21"/>
      <c r="OHV376" s="21"/>
      <c r="OHW376" s="15"/>
      <c r="OHX376" s="15"/>
      <c r="OHY376" s="15"/>
      <c r="OHZ376" s="15"/>
      <c r="OIA376" s="15"/>
      <c r="OIB376" s="15"/>
      <c r="OIC376" s="15"/>
      <c r="OID376" s="15"/>
      <c r="OIE376" s="15"/>
      <c r="OIF376" s="15"/>
      <c r="OIG376" s="10"/>
      <c r="OIH376" s="10"/>
      <c r="OII376" s="21"/>
      <c r="OIJ376" s="21"/>
      <c r="OIM376" s="21"/>
      <c r="OIN376" s="15"/>
      <c r="OIO376" s="15"/>
      <c r="OIP376" s="15"/>
      <c r="OIQ376" s="15"/>
      <c r="OIR376" s="15"/>
      <c r="OIS376" s="15"/>
      <c r="OIT376" s="15"/>
      <c r="OIU376" s="15"/>
      <c r="OIV376" s="15"/>
      <c r="OIW376" s="15"/>
      <c r="OIX376" s="10"/>
      <c r="OIY376" s="10"/>
      <c r="OIZ376" s="21"/>
      <c r="OJA376" s="21"/>
      <c r="OJD376" s="21"/>
      <c r="OJE376" s="15"/>
      <c r="OJF376" s="15"/>
      <c r="OJG376" s="15"/>
      <c r="OJH376" s="15"/>
      <c r="OJI376" s="15"/>
      <c r="OJJ376" s="15"/>
      <c r="OJK376" s="15"/>
      <c r="OJL376" s="15"/>
      <c r="OJM376" s="15"/>
      <c r="OJN376" s="15"/>
      <c r="OJO376" s="10"/>
      <c r="OJP376" s="10"/>
      <c r="OJQ376" s="21"/>
      <c r="OJR376" s="21"/>
      <c r="OJU376" s="21"/>
      <c r="OJV376" s="15"/>
      <c r="OJW376" s="15"/>
      <c r="OJX376" s="15"/>
      <c r="OJY376" s="15"/>
      <c r="OJZ376" s="15"/>
      <c r="OKA376" s="15"/>
      <c r="OKB376" s="15"/>
      <c r="OKC376" s="15"/>
      <c r="OKD376" s="15"/>
      <c r="OKE376" s="15"/>
      <c r="OKF376" s="10"/>
      <c r="OKG376" s="10"/>
      <c r="OKH376" s="21"/>
      <c r="OKI376" s="21"/>
      <c r="OKL376" s="21"/>
      <c r="OKM376" s="15"/>
      <c r="OKN376" s="15"/>
      <c r="OKO376" s="15"/>
      <c r="OKP376" s="15"/>
      <c r="OKQ376" s="15"/>
      <c r="OKR376" s="15"/>
      <c r="OKS376" s="15"/>
      <c r="OKT376" s="15"/>
      <c r="OKU376" s="15"/>
      <c r="OKV376" s="15"/>
      <c r="OKW376" s="10"/>
      <c r="OKX376" s="10"/>
      <c r="OKY376" s="21"/>
      <c r="OKZ376" s="21"/>
      <c r="OLC376" s="21"/>
      <c r="OLD376" s="15"/>
      <c r="OLE376" s="15"/>
      <c r="OLF376" s="15"/>
      <c r="OLG376" s="15"/>
      <c r="OLH376" s="15"/>
      <c r="OLI376" s="15"/>
      <c r="OLJ376" s="15"/>
      <c r="OLK376" s="15"/>
      <c r="OLL376" s="15"/>
      <c r="OLM376" s="15"/>
      <c r="OLN376" s="10"/>
      <c r="OLO376" s="10"/>
      <c r="OLP376" s="21"/>
      <c r="OLQ376" s="21"/>
      <c r="OLT376" s="21"/>
      <c r="OLU376" s="15"/>
      <c r="OLV376" s="15"/>
      <c r="OLW376" s="15"/>
      <c r="OLX376" s="15"/>
      <c r="OLY376" s="15"/>
      <c r="OLZ376" s="15"/>
      <c r="OMA376" s="15"/>
      <c r="OMB376" s="15"/>
      <c r="OMC376" s="15"/>
      <c r="OMD376" s="15"/>
      <c r="OME376" s="10"/>
      <c r="OMF376" s="10"/>
      <c r="OMG376" s="21"/>
      <c r="OMH376" s="21"/>
      <c r="OMK376" s="21"/>
      <c r="OML376" s="15"/>
      <c r="OMM376" s="15"/>
      <c r="OMN376" s="15"/>
      <c r="OMO376" s="15"/>
      <c r="OMP376" s="15"/>
      <c r="OMQ376" s="15"/>
      <c r="OMR376" s="15"/>
      <c r="OMS376" s="15"/>
      <c r="OMT376" s="15"/>
      <c r="OMU376" s="15"/>
      <c r="OMV376" s="10"/>
      <c r="OMW376" s="10"/>
      <c r="OMX376" s="21"/>
      <c r="OMY376" s="21"/>
      <c r="ONB376" s="21"/>
      <c r="ONC376" s="15"/>
      <c r="OND376" s="15"/>
      <c r="ONE376" s="15"/>
      <c r="ONF376" s="15"/>
      <c r="ONG376" s="15"/>
      <c r="ONH376" s="15"/>
      <c r="ONI376" s="15"/>
      <c r="ONJ376" s="15"/>
      <c r="ONK376" s="15"/>
      <c r="ONL376" s="15"/>
      <c r="ONM376" s="10"/>
      <c r="ONN376" s="10"/>
      <c r="ONO376" s="21"/>
      <c r="ONP376" s="21"/>
      <c r="ONS376" s="21"/>
      <c r="ONT376" s="15"/>
      <c r="ONU376" s="15"/>
      <c r="ONV376" s="15"/>
      <c r="ONW376" s="15"/>
      <c r="ONX376" s="15"/>
      <c r="ONY376" s="15"/>
      <c r="ONZ376" s="15"/>
      <c r="OOA376" s="15"/>
      <c r="OOB376" s="15"/>
      <c r="OOC376" s="15"/>
      <c r="OOD376" s="10"/>
      <c r="OOE376" s="10"/>
      <c r="OOF376" s="21"/>
      <c r="OOG376" s="21"/>
      <c r="OOJ376" s="21"/>
      <c r="OOK376" s="15"/>
      <c r="OOL376" s="15"/>
      <c r="OOM376" s="15"/>
      <c r="OON376" s="15"/>
      <c r="OOO376" s="15"/>
      <c r="OOP376" s="15"/>
      <c r="OOQ376" s="15"/>
      <c r="OOR376" s="15"/>
      <c r="OOS376" s="15"/>
      <c r="OOT376" s="15"/>
      <c r="OOU376" s="10"/>
      <c r="OOV376" s="10"/>
      <c r="OOW376" s="21"/>
      <c r="OOX376" s="21"/>
      <c r="OPA376" s="21"/>
      <c r="OPB376" s="15"/>
      <c r="OPC376" s="15"/>
      <c r="OPD376" s="15"/>
      <c r="OPE376" s="15"/>
      <c r="OPF376" s="15"/>
      <c r="OPG376" s="15"/>
      <c r="OPH376" s="15"/>
      <c r="OPI376" s="15"/>
      <c r="OPJ376" s="15"/>
      <c r="OPK376" s="15"/>
      <c r="OPL376" s="10"/>
      <c r="OPM376" s="10"/>
      <c r="OPN376" s="21"/>
      <c r="OPO376" s="21"/>
      <c r="OPR376" s="21"/>
      <c r="OPS376" s="15"/>
      <c r="OPT376" s="15"/>
      <c r="OPU376" s="15"/>
      <c r="OPV376" s="15"/>
      <c r="OPW376" s="15"/>
      <c r="OPX376" s="15"/>
      <c r="OPY376" s="15"/>
      <c r="OPZ376" s="15"/>
      <c r="OQA376" s="15"/>
      <c r="OQB376" s="15"/>
      <c r="OQC376" s="10"/>
      <c r="OQD376" s="10"/>
      <c r="OQE376" s="21"/>
      <c r="OQF376" s="21"/>
      <c r="OQI376" s="21"/>
      <c r="OQJ376" s="15"/>
      <c r="OQK376" s="15"/>
      <c r="OQL376" s="15"/>
      <c r="OQM376" s="15"/>
      <c r="OQN376" s="15"/>
      <c r="OQO376" s="15"/>
      <c r="OQP376" s="15"/>
      <c r="OQQ376" s="15"/>
      <c r="OQR376" s="15"/>
      <c r="OQS376" s="15"/>
      <c r="OQT376" s="10"/>
      <c r="OQU376" s="10"/>
      <c r="OQV376" s="21"/>
      <c r="OQW376" s="21"/>
      <c r="OQZ376" s="21"/>
      <c r="ORA376" s="15"/>
      <c r="ORB376" s="15"/>
      <c r="ORC376" s="15"/>
      <c r="ORD376" s="15"/>
      <c r="ORE376" s="15"/>
      <c r="ORF376" s="15"/>
      <c r="ORG376" s="15"/>
      <c r="ORH376" s="15"/>
      <c r="ORI376" s="15"/>
      <c r="ORJ376" s="15"/>
      <c r="ORK376" s="10"/>
      <c r="ORL376" s="10"/>
      <c r="ORM376" s="21"/>
      <c r="ORN376" s="21"/>
      <c r="ORQ376" s="21"/>
      <c r="ORR376" s="15"/>
      <c r="ORS376" s="15"/>
      <c r="ORT376" s="15"/>
      <c r="ORU376" s="15"/>
      <c r="ORV376" s="15"/>
      <c r="ORW376" s="15"/>
      <c r="ORX376" s="15"/>
      <c r="ORY376" s="15"/>
      <c r="ORZ376" s="15"/>
      <c r="OSA376" s="15"/>
      <c r="OSB376" s="10"/>
      <c r="OSC376" s="10"/>
      <c r="OSD376" s="21"/>
      <c r="OSE376" s="21"/>
      <c r="OSH376" s="21"/>
      <c r="OSI376" s="15"/>
      <c r="OSJ376" s="15"/>
      <c r="OSK376" s="15"/>
      <c r="OSL376" s="15"/>
      <c r="OSM376" s="15"/>
      <c r="OSN376" s="15"/>
      <c r="OSO376" s="15"/>
      <c r="OSP376" s="15"/>
      <c r="OSQ376" s="15"/>
      <c r="OSR376" s="15"/>
      <c r="OSS376" s="10"/>
      <c r="OST376" s="10"/>
      <c r="OSU376" s="21"/>
      <c r="OSV376" s="21"/>
      <c r="OSY376" s="21"/>
      <c r="OSZ376" s="15"/>
      <c r="OTA376" s="15"/>
      <c r="OTB376" s="15"/>
      <c r="OTC376" s="15"/>
      <c r="OTD376" s="15"/>
      <c r="OTE376" s="15"/>
      <c r="OTF376" s="15"/>
      <c r="OTG376" s="15"/>
      <c r="OTH376" s="15"/>
      <c r="OTI376" s="15"/>
      <c r="OTJ376" s="10"/>
      <c r="OTK376" s="10"/>
      <c r="OTL376" s="21"/>
      <c r="OTM376" s="21"/>
      <c r="OTP376" s="21"/>
      <c r="OTQ376" s="15"/>
      <c r="OTR376" s="15"/>
      <c r="OTS376" s="15"/>
      <c r="OTT376" s="15"/>
      <c r="OTU376" s="15"/>
      <c r="OTV376" s="15"/>
      <c r="OTW376" s="15"/>
      <c r="OTX376" s="15"/>
      <c r="OTY376" s="15"/>
      <c r="OTZ376" s="15"/>
      <c r="OUA376" s="10"/>
      <c r="OUB376" s="10"/>
      <c r="OUC376" s="21"/>
      <c r="OUD376" s="21"/>
      <c r="OUG376" s="21"/>
      <c r="OUH376" s="15"/>
      <c r="OUI376" s="15"/>
      <c r="OUJ376" s="15"/>
      <c r="OUK376" s="15"/>
      <c r="OUL376" s="15"/>
      <c r="OUM376" s="15"/>
      <c r="OUN376" s="15"/>
      <c r="OUO376" s="15"/>
      <c r="OUP376" s="15"/>
      <c r="OUQ376" s="15"/>
      <c r="OUR376" s="10"/>
      <c r="OUS376" s="10"/>
      <c r="OUT376" s="21"/>
      <c r="OUU376" s="21"/>
      <c r="OUX376" s="21"/>
      <c r="OUY376" s="15"/>
      <c r="OUZ376" s="15"/>
      <c r="OVA376" s="15"/>
      <c r="OVB376" s="15"/>
      <c r="OVC376" s="15"/>
      <c r="OVD376" s="15"/>
      <c r="OVE376" s="15"/>
      <c r="OVF376" s="15"/>
      <c r="OVG376" s="15"/>
      <c r="OVH376" s="15"/>
      <c r="OVI376" s="10"/>
      <c r="OVJ376" s="10"/>
      <c r="OVK376" s="21"/>
      <c r="OVL376" s="21"/>
      <c r="OVO376" s="21"/>
      <c r="OVP376" s="15"/>
      <c r="OVQ376" s="15"/>
      <c r="OVR376" s="15"/>
      <c r="OVS376" s="15"/>
      <c r="OVT376" s="15"/>
      <c r="OVU376" s="15"/>
      <c r="OVV376" s="15"/>
      <c r="OVW376" s="15"/>
      <c r="OVX376" s="15"/>
      <c r="OVY376" s="15"/>
      <c r="OVZ376" s="10"/>
      <c r="OWA376" s="10"/>
      <c r="OWB376" s="21"/>
      <c r="OWC376" s="21"/>
      <c r="OWF376" s="21"/>
      <c r="OWG376" s="15"/>
      <c r="OWH376" s="15"/>
      <c r="OWI376" s="15"/>
      <c r="OWJ376" s="15"/>
      <c r="OWK376" s="15"/>
      <c r="OWL376" s="15"/>
      <c r="OWM376" s="15"/>
      <c r="OWN376" s="15"/>
      <c r="OWO376" s="15"/>
      <c r="OWP376" s="15"/>
      <c r="OWQ376" s="10"/>
      <c r="OWR376" s="10"/>
      <c r="OWS376" s="21"/>
      <c r="OWT376" s="21"/>
      <c r="OWW376" s="21"/>
      <c r="OWX376" s="15"/>
      <c r="OWY376" s="15"/>
      <c r="OWZ376" s="15"/>
      <c r="OXA376" s="15"/>
      <c r="OXB376" s="15"/>
      <c r="OXC376" s="15"/>
      <c r="OXD376" s="15"/>
      <c r="OXE376" s="15"/>
      <c r="OXF376" s="15"/>
      <c r="OXG376" s="15"/>
      <c r="OXH376" s="10"/>
      <c r="OXI376" s="10"/>
      <c r="OXJ376" s="21"/>
      <c r="OXK376" s="21"/>
      <c r="OXN376" s="21"/>
      <c r="OXO376" s="15"/>
      <c r="OXP376" s="15"/>
      <c r="OXQ376" s="15"/>
      <c r="OXR376" s="15"/>
      <c r="OXS376" s="15"/>
      <c r="OXT376" s="15"/>
      <c r="OXU376" s="15"/>
      <c r="OXV376" s="15"/>
      <c r="OXW376" s="15"/>
      <c r="OXX376" s="15"/>
      <c r="OXY376" s="10"/>
      <c r="OXZ376" s="10"/>
      <c r="OYA376" s="21"/>
      <c r="OYB376" s="21"/>
      <c r="OYE376" s="21"/>
      <c r="OYF376" s="15"/>
      <c r="OYG376" s="15"/>
      <c r="OYH376" s="15"/>
      <c r="OYI376" s="15"/>
      <c r="OYJ376" s="15"/>
      <c r="OYK376" s="15"/>
      <c r="OYL376" s="15"/>
      <c r="OYM376" s="15"/>
      <c r="OYN376" s="15"/>
      <c r="OYO376" s="15"/>
      <c r="OYP376" s="10"/>
      <c r="OYQ376" s="10"/>
      <c r="OYR376" s="21"/>
      <c r="OYS376" s="21"/>
      <c r="OYV376" s="21"/>
      <c r="OYW376" s="15"/>
      <c r="OYX376" s="15"/>
      <c r="OYY376" s="15"/>
      <c r="OYZ376" s="15"/>
      <c r="OZA376" s="15"/>
      <c r="OZB376" s="15"/>
      <c r="OZC376" s="15"/>
      <c r="OZD376" s="15"/>
      <c r="OZE376" s="15"/>
      <c r="OZF376" s="15"/>
      <c r="OZG376" s="10"/>
      <c r="OZH376" s="10"/>
      <c r="OZI376" s="21"/>
      <c r="OZJ376" s="21"/>
      <c r="OZM376" s="21"/>
      <c r="OZN376" s="15"/>
      <c r="OZO376" s="15"/>
      <c r="OZP376" s="15"/>
      <c r="OZQ376" s="15"/>
      <c r="OZR376" s="15"/>
      <c r="OZS376" s="15"/>
      <c r="OZT376" s="15"/>
      <c r="OZU376" s="15"/>
      <c r="OZV376" s="15"/>
      <c r="OZW376" s="15"/>
      <c r="OZX376" s="10"/>
      <c r="OZY376" s="10"/>
      <c r="OZZ376" s="21"/>
      <c r="PAA376" s="21"/>
      <c r="PAD376" s="21"/>
      <c r="PAE376" s="15"/>
      <c r="PAF376" s="15"/>
      <c r="PAG376" s="15"/>
      <c r="PAH376" s="15"/>
      <c r="PAI376" s="15"/>
      <c r="PAJ376" s="15"/>
      <c r="PAK376" s="15"/>
      <c r="PAL376" s="15"/>
      <c r="PAM376" s="15"/>
      <c r="PAN376" s="15"/>
      <c r="PAO376" s="10"/>
      <c r="PAP376" s="10"/>
      <c r="PAQ376" s="21"/>
      <c r="PAR376" s="21"/>
      <c r="PAU376" s="21"/>
      <c r="PAV376" s="15"/>
      <c r="PAW376" s="15"/>
      <c r="PAX376" s="15"/>
      <c r="PAY376" s="15"/>
      <c r="PAZ376" s="15"/>
      <c r="PBA376" s="15"/>
      <c r="PBB376" s="15"/>
      <c r="PBC376" s="15"/>
      <c r="PBD376" s="15"/>
      <c r="PBE376" s="15"/>
      <c r="PBF376" s="10"/>
      <c r="PBG376" s="10"/>
      <c r="PBH376" s="21"/>
      <c r="PBI376" s="21"/>
      <c r="PBL376" s="21"/>
      <c r="PBM376" s="15"/>
      <c r="PBN376" s="15"/>
      <c r="PBO376" s="15"/>
      <c r="PBP376" s="15"/>
      <c r="PBQ376" s="15"/>
      <c r="PBR376" s="15"/>
      <c r="PBS376" s="15"/>
      <c r="PBT376" s="15"/>
      <c r="PBU376" s="15"/>
      <c r="PBV376" s="15"/>
      <c r="PBW376" s="10"/>
      <c r="PBX376" s="10"/>
      <c r="PBY376" s="21"/>
      <c r="PBZ376" s="21"/>
      <c r="PCC376" s="21"/>
      <c r="PCD376" s="15"/>
      <c r="PCE376" s="15"/>
      <c r="PCF376" s="15"/>
      <c r="PCG376" s="15"/>
      <c r="PCH376" s="15"/>
      <c r="PCI376" s="15"/>
      <c r="PCJ376" s="15"/>
      <c r="PCK376" s="15"/>
      <c r="PCL376" s="15"/>
      <c r="PCM376" s="15"/>
      <c r="PCN376" s="10"/>
      <c r="PCO376" s="10"/>
      <c r="PCP376" s="21"/>
      <c r="PCQ376" s="21"/>
      <c r="PCT376" s="21"/>
      <c r="PCU376" s="15"/>
      <c r="PCV376" s="15"/>
      <c r="PCW376" s="15"/>
      <c r="PCX376" s="15"/>
      <c r="PCY376" s="15"/>
      <c r="PCZ376" s="15"/>
      <c r="PDA376" s="15"/>
      <c r="PDB376" s="15"/>
      <c r="PDC376" s="15"/>
      <c r="PDD376" s="15"/>
      <c r="PDE376" s="10"/>
      <c r="PDF376" s="10"/>
      <c r="PDG376" s="21"/>
      <c r="PDH376" s="21"/>
      <c r="PDK376" s="21"/>
      <c r="PDL376" s="15"/>
      <c r="PDM376" s="15"/>
      <c r="PDN376" s="15"/>
      <c r="PDO376" s="15"/>
      <c r="PDP376" s="15"/>
      <c r="PDQ376" s="15"/>
      <c r="PDR376" s="15"/>
      <c r="PDS376" s="15"/>
      <c r="PDT376" s="15"/>
      <c r="PDU376" s="15"/>
      <c r="PDV376" s="10"/>
      <c r="PDW376" s="10"/>
      <c r="PDX376" s="21"/>
      <c r="PDY376" s="21"/>
      <c r="PEB376" s="21"/>
      <c r="PEC376" s="15"/>
      <c r="PED376" s="15"/>
      <c r="PEE376" s="15"/>
      <c r="PEF376" s="15"/>
      <c r="PEG376" s="15"/>
      <c r="PEH376" s="15"/>
      <c r="PEI376" s="15"/>
      <c r="PEJ376" s="15"/>
      <c r="PEK376" s="15"/>
      <c r="PEL376" s="15"/>
      <c r="PEM376" s="10"/>
      <c r="PEN376" s="10"/>
      <c r="PEO376" s="21"/>
      <c r="PEP376" s="21"/>
      <c r="PES376" s="21"/>
      <c r="PET376" s="15"/>
      <c r="PEU376" s="15"/>
      <c r="PEV376" s="15"/>
      <c r="PEW376" s="15"/>
      <c r="PEX376" s="15"/>
      <c r="PEY376" s="15"/>
      <c r="PEZ376" s="15"/>
      <c r="PFA376" s="15"/>
      <c r="PFB376" s="15"/>
      <c r="PFC376" s="15"/>
      <c r="PFD376" s="10"/>
      <c r="PFE376" s="10"/>
      <c r="PFF376" s="21"/>
      <c r="PFG376" s="21"/>
      <c r="PFJ376" s="21"/>
      <c r="PFK376" s="15"/>
      <c r="PFL376" s="15"/>
      <c r="PFM376" s="15"/>
      <c r="PFN376" s="15"/>
      <c r="PFO376" s="15"/>
      <c r="PFP376" s="15"/>
      <c r="PFQ376" s="15"/>
      <c r="PFR376" s="15"/>
      <c r="PFS376" s="15"/>
      <c r="PFT376" s="15"/>
      <c r="PFU376" s="10"/>
      <c r="PFV376" s="10"/>
      <c r="PFW376" s="21"/>
      <c r="PFX376" s="21"/>
      <c r="PGA376" s="21"/>
      <c r="PGB376" s="15"/>
      <c r="PGC376" s="15"/>
      <c r="PGD376" s="15"/>
      <c r="PGE376" s="15"/>
      <c r="PGF376" s="15"/>
      <c r="PGG376" s="15"/>
      <c r="PGH376" s="15"/>
      <c r="PGI376" s="15"/>
      <c r="PGJ376" s="15"/>
      <c r="PGK376" s="15"/>
      <c r="PGL376" s="10"/>
      <c r="PGM376" s="10"/>
      <c r="PGN376" s="21"/>
      <c r="PGO376" s="21"/>
      <c r="PGR376" s="21"/>
      <c r="PGS376" s="15"/>
      <c r="PGT376" s="15"/>
      <c r="PGU376" s="15"/>
      <c r="PGV376" s="15"/>
      <c r="PGW376" s="15"/>
      <c r="PGX376" s="15"/>
      <c r="PGY376" s="15"/>
      <c r="PGZ376" s="15"/>
      <c r="PHA376" s="15"/>
      <c r="PHB376" s="15"/>
      <c r="PHC376" s="10"/>
      <c r="PHD376" s="10"/>
      <c r="PHE376" s="21"/>
      <c r="PHF376" s="21"/>
      <c r="PHI376" s="21"/>
      <c r="PHJ376" s="15"/>
      <c r="PHK376" s="15"/>
      <c r="PHL376" s="15"/>
      <c r="PHM376" s="15"/>
      <c r="PHN376" s="15"/>
      <c r="PHO376" s="15"/>
      <c r="PHP376" s="15"/>
      <c r="PHQ376" s="15"/>
      <c r="PHR376" s="15"/>
      <c r="PHS376" s="15"/>
      <c r="PHT376" s="10"/>
      <c r="PHU376" s="10"/>
      <c r="PHV376" s="21"/>
      <c r="PHW376" s="21"/>
      <c r="PHZ376" s="21"/>
      <c r="PIA376" s="15"/>
      <c r="PIB376" s="15"/>
      <c r="PIC376" s="15"/>
      <c r="PID376" s="15"/>
      <c r="PIE376" s="15"/>
      <c r="PIF376" s="15"/>
      <c r="PIG376" s="15"/>
      <c r="PIH376" s="15"/>
      <c r="PII376" s="15"/>
      <c r="PIJ376" s="15"/>
      <c r="PIK376" s="10"/>
      <c r="PIL376" s="10"/>
      <c r="PIM376" s="21"/>
      <c r="PIN376" s="21"/>
      <c r="PIQ376" s="21"/>
      <c r="PIR376" s="15"/>
      <c r="PIS376" s="15"/>
      <c r="PIT376" s="15"/>
      <c r="PIU376" s="15"/>
      <c r="PIV376" s="15"/>
      <c r="PIW376" s="15"/>
      <c r="PIX376" s="15"/>
      <c r="PIY376" s="15"/>
      <c r="PIZ376" s="15"/>
      <c r="PJA376" s="15"/>
      <c r="PJB376" s="10"/>
      <c r="PJC376" s="10"/>
      <c r="PJD376" s="21"/>
      <c r="PJE376" s="21"/>
      <c r="PJH376" s="21"/>
      <c r="PJI376" s="15"/>
      <c r="PJJ376" s="15"/>
      <c r="PJK376" s="15"/>
      <c r="PJL376" s="15"/>
      <c r="PJM376" s="15"/>
      <c r="PJN376" s="15"/>
      <c r="PJO376" s="15"/>
      <c r="PJP376" s="15"/>
      <c r="PJQ376" s="15"/>
      <c r="PJR376" s="15"/>
      <c r="PJS376" s="10"/>
      <c r="PJT376" s="10"/>
      <c r="PJU376" s="21"/>
      <c r="PJV376" s="21"/>
      <c r="PJY376" s="21"/>
      <c r="PJZ376" s="15"/>
      <c r="PKA376" s="15"/>
      <c r="PKB376" s="15"/>
      <c r="PKC376" s="15"/>
      <c r="PKD376" s="15"/>
      <c r="PKE376" s="15"/>
      <c r="PKF376" s="15"/>
      <c r="PKG376" s="15"/>
      <c r="PKH376" s="15"/>
      <c r="PKI376" s="15"/>
      <c r="PKJ376" s="10"/>
      <c r="PKK376" s="10"/>
      <c r="PKL376" s="21"/>
      <c r="PKM376" s="21"/>
      <c r="PKP376" s="21"/>
      <c r="PKQ376" s="15"/>
      <c r="PKR376" s="15"/>
      <c r="PKS376" s="15"/>
      <c r="PKT376" s="15"/>
      <c r="PKU376" s="15"/>
      <c r="PKV376" s="15"/>
      <c r="PKW376" s="15"/>
      <c r="PKX376" s="15"/>
      <c r="PKY376" s="15"/>
      <c r="PKZ376" s="15"/>
      <c r="PLA376" s="10"/>
      <c r="PLB376" s="10"/>
      <c r="PLC376" s="21"/>
      <c r="PLD376" s="21"/>
      <c r="PLG376" s="21"/>
      <c r="PLH376" s="15"/>
      <c r="PLI376" s="15"/>
      <c r="PLJ376" s="15"/>
      <c r="PLK376" s="15"/>
      <c r="PLL376" s="15"/>
      <c r="PLM376" s="15"/>
      <c r="PLN376" s="15"/>
      <c r="PLO376" s="15"/>
      <c r="PLP376" s="15"/>
      <c r="PLQ376" s="15"/>
      <c r="PLR376" s="10"/>
      <c r="PLS376" s="10"/>
      <c r="PLT376" s="21"/>
      <c r="PLU376" s="21"/>
      <c r="PLX376" s="21"/>
      <c r="PLY376" s="15"/>
      <c r="PLZ376" s="15"/>
      <c r="PMA376" s="15"/>
      <c r="PMB376" s="15"/>
      <c r="PMC376" s="15"/>
      <c r="PMD376" s="15"/>
      <c r="PME376" s="15"/>
      <c r="PMF376" s="15"/>
      <c r="PMG376" s="15"/>
      <c r="PMH376" s="15"/>
      <c r="PMI376" s="10"/>
      <c r="PMJ376" s="10"/>
      <c r="PMK376" s="21"/>
      <c r="PML376" s="21"/>
      <c r="PMO376" s="21"/>
      <c r="PMP376" s="15"/>
      <c r="PMQ376" s="15"/>
      <c r="PMR376" s="15"/>
      <c r="PMS376" s="15"/>
      <c r="PMT376" s="15"/>
      <c r="PMU376" s="15"/>
      <c r="PMV376" s="15"/>
      <c r="PMW376" s="15"/>
      <c r="PMX376" s="15"/>
      <c r="PMY376" s="15"/>
      <c r="PMZ376" s="10"/>
      <c r="PNA376" s="10"/>
      <c r="PNB376" s="21"/>
      <c r="PNC376" s="21"/>
      <c r="PNF376" s="21"/>
      <c r="PNG376" s="15"/>
      <c r="PNH376" s="15"/>
      <c r="PNI376" s="15"/>
      <c r="PNJ376" s="15"/>
      <c r="PNK376" s="15"/>
      <c r="PNL376" s="15"/>
      <c r="PNM376" s="15"/>
      <c r="PNN376" s="15"/>
      <c r="PNO376" s="15"/>
      <c r="PNP376" s="15"/>
      <c r="PNQ376" s="10"/>
      <c r="PNR376" s="10"/>
      <c r="PNS376" s="21"/>
      <c r="PNT376" s="21"/>
      <c r="PNW376" s="21"/>
      <c r="PNX376" s="15"/>
      <c r="PNY376" s="15"/>
      <c r="PNZ376" s="15"/>
      <c r="POA376" s="15"/>
      <c r="POB376" s="15"/>
      <c r="POC376" s="15"/>
      <c r="POD376" s="15"/>
      <c r="POE376" s="15"/>
      <c r="POF376" s="15"/>
      <c r="POG376" s="15"/>
      <c r="POH376" s="10"/>
      <c r="POI376" s="10"/>
      <c r="POJ376" s="21"/>
      <c r="POK376" s="21"/>
      <c r="PON376" s="21"/>
      <c r="POO376" s="15"/>
      <c r="POP376" s="15"/>
      <c r="POQ376" s="15"/>
      <c r="POR376" s="15"/>
      <c r="POS376" s="15"/>
      <c r="POT376" s="15"/>
      <c r="POU376" s="15"/>
      <c r="POV376" s="15"/>
      <c r="POW376" s="15"/>
      <c r="POX376" s="15"/>
      <c r="POY376" s="10"/>
      <c r="POZ376" s="10"/>
      <c r="PPA376" s="21"/>
      <c r="PPB376" s="21"/>
      <c r="PPE376" s="21"/>
      <c r="PPF376" s="15"/>
      <c r="PPG376" s="15"/>
      <c r="PPH376" s="15"/>
      <c r="PPI376" s="15"/>
      <c r="PPJ376" s="15"/>
      <c r="PPK376" s="15"/>
      <c r="PPL376" s="15"/>
      <c r="PPM376" s="15"/>
      <c r="PPN376" s="15"/>
      <c r="PPO376" s="15"/>
      <c r="PPP376" s="10"/>
      <c r="PPQ376" s="10"/>
      <c r="PPR376" s="21"/>
      <c r="PPS376" s="21"/>
      <c r="PPV376" s="21"/>
      <c r="PPW376" s="15"/>
      <c r="PPX376" s="15"/>
      <c r="PPY376" s="15"/>
      <c r="PPZ376" s="15"/>
      <c r="PQA376" s="15"/>
      <c r="PQB376" s="15"/>
      <c r="PQC376" s="15"/>
      <c r="PQD376" s="15"/>
      <c r="PQE376" s="15"/>
      <c r="PQF376" s="15"/>
      <c r="PQG376" s="10"/>
      <c r="PQH376" s="10"/>
      <c r="PQI376" s="21"/>
      <c r="PQJ376" s="21"/>
      <c r="PQM376" s="21"/>
      <c r="PQN376" s="15"/>
      <c r="PQO376" s="15"/>
      <c r="PQP376" s="15"/>
      <c r="PQQ376" s="15"/>
      <c r="PQR376" s="15"/>
      <c r="PQS376" s="15"/>
      <c r="PQT376" s="15"/>
      <c r="PQU376" s="15"/>
      <c r="PQV376" s="15"/>
      <c r="PQW376" s="15"/>
      <c r="PQX376" s="10"/>
      <c r="PQY376" s="10"/>
      <c r="PQZ376" s="21"/>
      <c r="PRA376" s="21"/>
      <c r="PRD376" s="21"/>
      <c r="PRE376" s="15"/>
      <c r="PRF376" s="15"/>
      <c r="PRG376" s="15"/>
      <c r="PRH376" s="15"/>
      <c r="PRI376" s="15"/>
      <c r="PRJ376" s="15"/>
      <c r="PRK376" s="15"/>
      <c r="PRL376" s="15"/>
      <c r="PRM376" s="15"/>
      <c r="PRN376" s="15"/>
      <c r="PRO376" s="10"/>
      <c r="PRP376" s="10"/>
      <c r="PRQ376" s="21"/>
      <c r="PRR376" s="21"/>
      <c r="PRU376" s="21"/>
      <c r="PRV376" s="15"/>
      <c r="PRW376" s="15"/>
      <c r="PRX376" s="15"/>
      <c r="PRY376" s="15"/>
      <c r="PRZ376" s="15"/>
      <c r="PSA376" s="15"/>
      <c r="PSB376" s="15"/>
      <c r="PSC376" s="15"/>
      <c r="PSD376" s="15"/>
      <c r="PSE376" s="15"/>
      <c r="PSF376" s="10"/>
      <c r="PSG376" s="10"/>
      <c r="PSH376" s="21"/>
      <c r="PSI376" s="21"/>
      <c r="PSL376" s="21"/>
      <c r="PSM376" s="15"/>
      <c r="PSN376" s="15"/>
      <c r="PSO376" s="15"/>
      <c r="PSP376" s="15"/>
      <c r="PSQ376" s="15"/>
      <c r="PSR376" s="15"/>
      <c r="PSS376" s="15"/>
      <c r="PST376" s="15"/>
      <c r="PSU376" s="15"/>
      <c r="PSV376" s="15"/>
      <c r="PSW376" s="10"/>
      <c r="PSX376" s="10"/>
      <c r="PSY376" s="21"/>
      <c r="PSZ376" s="21"/>
      <c r="PTC376" s="21"/>
      <c r="PTD376" s="15"/>
      <c r="PTE376" s="15"/>
      <c r="PTF376" s="15"/>
      <c r="PTG376" s="15"/>
      <c r="PTH376" s="15"/>
      <c r="PTI376" s="15"/>
      <c r="PTJ376" s="15"/>
      <c r="PTK376" s="15"/>
      <c r="PTL376" s="15"/>
      <c r="PTM376" s="15"/>
      <c r="PTN376" s="10"/>
      <c r="PTO376" s="10"/>
      <c r="PTP376" s="21"/>
      <c r="PTQ376" s="21"/>
      <c r="PTT376" s="21"/>
      <c r="PTU376" s="15"/>
      <c r="PTV376" s="15"/>
      <c r="PTW376" s="15"/>
      <c r="PTX376" s="15"/>
      <c r="PTY376" s="15"/>
      <c r="PTZ376" s="15"/>
      <c r="PUA376" s="15"/>
      <c r="PUB376" s="15"/>
      <c r="PUC376" s="15"/>
      <c r="PUD376" s="15"/>
      <c r="PUE376" s="10"/>
      <c r="PUF376" s="10"/>
      <c r="PUG376" s="21"/>
      <c r="PUH376" s="21"/>
      <c r="PUK376" s="21"/>
      <c r="PUL376" s="15"/>
      <c r="PUM376" s="15"/>
      <c r="PUN376" s="15"/>
      <c r="PUO376" s="15"/>
      <c r="PUP376" s="15"/>
      <c r="PUQ376" s="15"/>
      <c r="PUR376" s="15"/>
      <c r="PUS376" s="15"/>
      <c r="PUT376" s="15"/>
      <c r="PUU376" s="15"/>
      <c r="PUV376" s="10"/>
      <c r="PUW376" s="10"/>
      <c r="PUX376" s="21"/>
      <c r="PUY376" s="21"/>
      <c r="PVB376" s="21"/>
      <c r="PVC376" s="15"/>
      <c r="PVD376" s="15"/>
      <c r="PVE376" s="15"/>
      <c r="PVF376" s="15"/>
      <c r="PVG376" s="15"/>
      <c r="PVH376" s="15"/>
      <c r="PVI376" s="15"/>
      <c r="PVJ376" s="15"/>
      <c r="PVK376" s="15"/>
      <c r="PVL376" s="15"/>
      <c r="PVM376" s="10"/>
      <c r="PVN376" s="10"/>
      <c r="PVO376" s="21"/>
      <c r="PVP376" s="21"/>
      <c r="PVS376" s="21"/>
      <c r="PVT376" s="15"/>
      <c r="PVU376" s="15"/>
      <c r="PVV376" s="15"/>
      <c r="PVW376" s="15"/>
      <c r="PVX376" s="15"/>
      <c r="PVY376" s="15"/>
      <c r="PVZ376" s="15"/>
      <c r="PWA376" s="15"/>
      <c r="PWB376" s="15"/>
      <c r="PWC376" s="15"/>
      <c r="PWD376" s="10"/>
      <c r="PWE376" s="10"/>
      <c r="PWF376" s="21"/>
      <c r="PWG376" s="21"/>
      <c r="PWJ376" s="21"/>
      <c r="PWK376" s="15"/>
      <c r="PWL376" s="15"/>
      <c r="PWM376" s="15"/>
      <c r="PWN376" s="15"/>
      <c r="PWO376" s="15"/>
      <c r="PWP376" s="15"/>
      <c r="PWQ376" s="15"/>
      <c r="PWR376" s="15"/>
      <c r="PWS376" s="15"/>
      <c r="PWT376" s="15"/>
      <c r="PWU376" s="10"/>
      <c r="PWV376" s="10"/>
      <c r="PWW376" s="21"/>
      <c r="PWX376" s="21"/>
      <c r="PXA376" s="21"/>
      <c r="PXB376" s="15"/>
      <c r="PXC376" s="15"/>
      <c r="PXD376" s="15"/>
      <c r="PXE376" s="15"/>
      <c r="PXF376" s="15"/>
      <c r="PXG376" s="15"/>
      <c r="PXH376" s="15"/>
      <c r="PXI376" s="15"/>
      <c r="PXJ376" s="15"/>
      <c r="PXK376" s="15"/>
      <c r="PXL376" s="10"/>
      <c r="PXM376" s="10"/>
      <c r="PXN376" s="21"/>
      <c r="PXO376" s="21"/>
      <c r="PXR376" s="21"/>
      <c r="PXS376" s="15"/>
      <c r="PXT376" s="15"/>
      <c r="PXU376" s="15"/>
      <c r="PXV376" s="15"/>
      <c r="PXW376" s="15"/>
      <c r="PXX376" s="15"/>
      <c r="PXY376" s="15"/>
      <c r="PXZ376" s="15"/>
      <c r="PYA376" s="15"/>
      <c r="PYB376" s="15"/>
      <c r="PYC376" s="10"/>
      <c r="PYD376" s="10"/>
      <c r="PYE376" s="21"/>
      <c r="PYF376" s="21"/>
      <c r="PYI376" s="21"/>
      <c r="PYJ376" s="15"/>
      <c r="PYK376" s="15"/>
      <c r="PYL376" s="15"/>
      <c r="PYM376" s="15"/>
      <c r="PYN376" s="15"/>
      <c r="PYO376" s="15"/>
      <c r="PYP376" s="15"/>
      <c r="PYQ376" s="15"/>
      <c r="PYR376" s="15"/>
      <c r="PYS376" s="15"/>
      <c r="PYT376" s="10"/>
      <c r="PYU376" s="10"/>
      <c r="PYV376" s="21"/>
      <c r="PYW376" s="21"/>
      <c r="PYZ376" s="21"/>
      <c r="PZA376" s="15"/>
      <c r="PZB376" s="15"/>
      <c r="PZC376" s="15"/>
      <c r="PZD376" s="15"/>
      <c r="PZE376" s="15"/>
      <c r="PZF376" s="15"/>
      <c r="PZG376" s="15"/>
      <c r="PZH376" s="15"/>
      <c r="PZI376" s="15"/>
      <c r="PZJ376" s="15"/>
      <c r="PZK376" s="10"/>
      <c r="PZL376" s="10"/>
      <c r="PZM376" s="21"/>
      <c r="PZN376" s="21"/>
      <c r="PZQ376" s="21"/>
      <c r="PZR376" s="15"/>
      <c r="PZS376" s="15"/>
      <c r="PZT376" s="15"/>
      <c r="PZU376" s="15"/>
      <c r="PZV376" s="15"/>
      <c r="PZW376" s="15"/>
      <c r="PZX376" s="15"/>
      <c r="PZY376" s="15"/>
      <c r="PZZ376" s="15"/>
      <c r="QAA376" s="15"/>
      <c r="QAB376" s="10"/>
      <c r="QAC376" s="10"/>
      <c r="QAD376" s="21"/>
      <c r="QAE376" s="21"/>
      <c r="QAH376" s="21"/>
      <c r="QAI376" s="15"/>
      <c r="QAJ376" s="15"/>
      <c r="QAK376" s="15"/>
      <c r="QAL376" s="15"/>
      <c r="QAM376" s="15"/>
      <c r="QAN376" s="15"/>
      <c r="QAO376" s="15"/>
      <c r="QAP376" s="15"/>
      <c r="QAQ376" s="15"/>
      <c r="QAR376" s="15"/>
      <c r="QAS376" s="10"/>
      <c r="QAT376" s="10"/>
      <c r="QAU376" s="21"/>
      <c r="QAV376" s="21"/>
      <c r="QAY376" s="21"/>
      <c r="QAZ376" s="15"/>
      <c r="QBA376" s="15"/>
      <c r="QBB376" s="15"/>
      <c r="QBC376" s="15"/>
      <c r="QBD376" s="15"/>
      <c r="QBE376" s="15"/>
      <c r="QBF376" s="15"/>
      <c r="QBG376" s="15"/>
      <c r="QBH376" s="15"/>
      <c r="QBI376" s="15"/>
      <c r="QBJ376" s="10"/>
      <c r="QBK376" s="10"/>
      <c r="QBL376" s="21"/>
      <c r="QBM376" s="21"/>
      <c r="QBP376" s="21"/>
      <c r="QBQ376" s="15"/>
      <c r="QBR376" s="15"/>
      <c r="QBS376" s="15"/>
      <c r="QBT376" s="15"/>
      <c r="QBU376" s="15"/>
      <c r="QBV376" s="15"/>
      <c r="QBW376" s="15"/>
      <c r="QBX376" s="15"/>
      <c r="QBY376" s="15"/>
      <c r="QBZ376" s="15"/>
      <c r="QCA376" s="10"/>
      <c r="QCB376" s="10"/>
      <c r="QCC376" s="21"/>
      <c r="QCD376" s="21"/>
      <c r="QCG376" s="21"/>
      <c r="QCH376" s="15"/>
      <c r="QCI376" s="15"/>
      <c r="QCJ376" s="15"/>
      <c r="QCK376" s="15"/>
      <c r="QCL376" s="15"/>
      <c r="QCM376" s="15"/>
      <c r="QCN376" s="15"/>
      <c r="QCO376" s="15"/>
      <c r="QCP376" s="15"/>
      <c r="QCQ376" s="15"/>
      <c r="QCR376" s="10"/>
      <c r="QCS376" s="10"/>
      <c r="QCT376" s="21"/>
      <c r="QCU376" s="21"/>
      <c r="QCX376" s="21"/>
      <c r="QCY376" s="15"/>
      <c r="QCZ376" s="15"/>
      <c r="QDA376" s="15"/>
      <c r="QDB376" s="15"/>
      <c r="QDC376" s="15"/>
      <c r="QDD376" s="15"/>
      <c r="QDE376" s="15"/>
      <c r="QDF376" s="15"/>
      <c r="QDG376" s="15"/>
      <c r="QDH376" s="15"/>
      <c r="QDI376" s="10"/>
      <c r="QDJ376" s="10"/>
      <c r="QDK376" s="21"/>
      <c r="QDL376" s="21"/>
      <c r="QDO376" s="21"/>
      <c r="QDP376" s="15"/>
      <c r="QDQ376" s="15"/>
      <c r="QDR376" s="15"/>
      <c r="QDS376" s="15"/>
      <c r="QDT376" s="15"/>
      <c r="QDU376" s="15"/>
      <c r="QDV376" s="15"/>
      <c r="QDW376" s="15"/>
      <c r="QDX376" s="15"/>
      <c r="QDY376" s="15"/>
      <c r="QDZ376" s="10"/>
      <c r="QEA376" s="10"/>
      <c r="QEB376" s="21"/>
      <c r="QEC376" s="21"/>
      <c r="QEF376" s="21"/>
      <c r="QEG376" s="15"/>
      <c r="QEH376" s="15"/>
      <c r="QEI376" s="15"/>
      <c r="QEJ376" s="15"/>
      <c r="QEK376" s="15"/>
      <c r="QEL376" s="15"/>
      <c r="QEM376" s="15"/>
      <c r="QEN376" s="15"/>
      <c r="QEO376" s="15"/>
      <c r="QEP376" s="15"/>
      <c r="QEQ376" s="10"/>
      <c r="QER376" s="10"/>
      <c r="QES376" s="21"/>
      <c r="QET376" s="21"/>
      <c r="QEW376" s="21"/>
      <c r="QEX376" s="15"/>
      <c r="QEY376" s="15"/>
      <c r="QEZ376" s="15"/>
      <c r="QFA376" s="15"/>
      <c r="QFB376" s="15"/>
      <c r="QFC376" s="15"/>
      <c r="QFD376" s="15"/>
      <c r="QFE376" s="15"/>
      <c r="QFF376" s="15"/>
      <c r="QFG376" s="15"/>
      <c r="QFH376" s="10"/>
      <c r="QFI376" s="10"/>
      <c r="QFJ376" s="21"/>
      <c r="QFK376" s="21"/>
      <c r="QFN376" s="21"/>
      <c r="QFO376" s="15"/>
      <c r="QFP376" s="15"/>
      <c r="QFQ376" s="15"/>
      <c r="QFR376" s="15"/>
      <c r="QFS376" s="15"/>
      <c r="QFT376" s="15"/>
      <c r="QFU376" s="15"/>
      <c r="QFV376" s="15"/>
      <c r="QFW376" s="15"/>
      <c r="QFX376" s="15"/>
      <c r="QFY376" s="10"/>
      <c r="QFZ376" s="10"/>
      <c r="QGA376" s="21"/>
      <c r="QGB376" s="21"/>
      <c r="QGE376" s="21"/>
      <c r="QGF376" s="15"/>
      <c r="QGG376" s="15"/>
      <c r="QGH376" s="15"/>
      <c r="QGI376" s="15"/>
      <c r="QGJ376" s="15"/>
      <c r="QGK376" s="15"/>
      <c r="QGL376" s="15"/>
      <c r="QGM376" s="15"/>
      <c r="QGN376" s="15"/>
      <c r="QGO376" s="15"/>
      <c r="QGP376" s="10"/>
      <c r="QGQ376" s="10"/>
      <c r="QGR376" s="21"/>
      <c r="QGS376" s="21"/>
      <c r="QGV376" s="21"/>
      <c r="QGW376" s="15"/>
      <c r="QGX376" s="15"/>
      <c r="QGY376" s="15"/>
      <c r="QGZ376" s="15"/>
      <c r="QHA376" s="15"/>
      <c r="QHB376" s="15"/>
      <c r="QHC376" s="15"/>
      <c r="QHD376" s="15"/>
      <c r="QHE376" s="15"/>
      <c r="QHF376" s="15"/>
      <c r="QHG376" s="10"/>
      <c r="QHH376" s="10"/>
      <c r="QHI376" s="21"/>
      <c r="QHJ376" s="21"/>
      <c r="QHM376" s="21"/>
      <c r="QHN376" s="15"/>
      <c r="QHO376" s="15"/>
      <c r="QHP376" s="15"/>
      <c r="QHQ376" s="15"/>
      <c r="QHR376" s="15"/>
      <c r="QHS376" s="15"/>
      <c r="QHT376" s="15"/>
      <c r="QHU376" s="15"/>
      <c r="QHV376" s="15"/>
      <c r="QHW376" s="15"/>
      <c r="QHX376" s="10"/>
      <c r="QHY376" s="10"/>
      <c r="QHZ376" s="21"/>
      <c r="QIA376" s="21"/>
      <c r="QID376" s="21"/>
      <c r="QIE376" s="15"/>
      <c r="QIF376" s="15"/>
      <c r="QIG376" s="15"/>
      <c r="QIH376" s="15"/>
      <c r="QII376" s="15"/>
      <c r="QIJ376" s="15"/>
      <c r="QIK376" s="15"/>
      <c r="QIL376" s="15"/>
      <c r="QIM376" s="15"/>
      <c r="QIN376" s="15"/>
      <c r="QIO376" s="10"/>
      <c r="QIP376" s="10"/>
      <c r="QIQ376" s="21"/>
      <c r="QIR376" s="21"/>
      <c r="QIU376" s="21"/>
      <c r="QIV376" s="15"/>
      <c r="QIW376" s="15"/>
      <c r="QIX376" s="15"/>
      <c r="QIY376" s="15"/>
      <c r="QIZ376" s="15"/>
      <c r="QJA376" s="15"/>
      <c r="QJB376" s="15"/>
      <c r="QJC376" s="15"/>
      <c r="QJD376" s="15"/>
      <c r="QJE376" s="15"/>
      <c r="QJF376" s="10"/>
      <c r="QJG376" s="10"/>
      <c r="QJH376" s="21"/>
      <c r="QJI376" s="21"/>
      <c r="QJL376" s="21"/>
      <c r="QJM376" s="15"/>
      <c r="QJN376" s="15"/>
      <c r="QJO376" s="15"/>
      <c r="QJP376" s="15"/>
      <c r="QJQ376" s="15"/>
      <c r="QJR376" s="15"/>
      <c r="QJS376" s="15"/>
      <c r="QJT376" s="15"/>
      <c r="QJU376" s="15"/>
      <c r="QJV376" s="15"/>
      <c r="QJW376" s="10"/>
      <c r="QJX376" s="10"/>
      <c r="QJY376" s="21"/>
      <c r="QJZ376" s="21"/>
      <c r="QKC376" s="21"/>
      <c r="QKD376" s="15"/>
      <c r="QKE376" s="15"/>
      <c r="QKF376" s="15"/>
      <c r="QKG376" s="15"/>
      <c r="QKH376" s="15"/>
      <c r="QKI376" s="15"/>
      <c r="QKJ376" s="15"/>
      <c r="QKK376" s="15"/>
      <c r="QKL376" s="15"/>
      <c r="QKM376" s="15"/>
      <c r="QKN376" s="10"/>
      <c r="QKO376" s="10"/>
      <c r="QKP376" s="21"/>
      <c r="QKQ376" s="21"/>
      <c r="QKT376" s="21"/>
      <c r="QKU376" s="15"/>
      <c r="QKV376" s="15"/>
      <c r="QKW376" s="15"/>
      <c r="QKX376" s="15"/>
      <c r="QKY376" s="15"/>
      <c r="QKZ376" s="15"/>
      <c r="QLA376" s="15"/>
      <c r="QLB376" s="15"/>
      <c r="QLC376" s="15"/>
      <c r="QLD376" s="15"/>
      <c r="QLE376" s="10"/>
      <c r="QLF376" s="10"/>
      <c r="QLG376" s="21"/>
      <c r="QLH376" s="21"/>
      <c r="QLK376" s="21"/>
      <c r="QLL376" s="15"/>
      <c r="QLM376" s="15"/>
      <c r="QLN376" s="15"/>
      <c r="QLO376" s="15"/>
      <c r="QLP376" s="15"/>
      <c r="QLQ376" s="15"/>
      <c r="QLR376" s="15"/>
      <c r="QLS376" s="15"/>
      <c r="QLT376" s="15"/>
      <c r="QLU376" s="15"/>
      <c r="QLV376" s="10"/>
      <c r="QLW376" s="10"/>
      <c r="QLX376" s="21"/>
      <c r="QLY376" s="21"/>
      <c r="QMB376" s="21"/>
      <c r="QMC376" s="15"/>
      <c r="QMD376" s="15"/>
      <c r="QME376" s="15"/>
      <c r="QMF376" s="15"/>
      <c r="QMG376" s="15"/>
      <c r="QMH376" s="15"/>
      <c r="QMI376" s="15"/>
      <c r="QMJ376" s="15"/>
      <c r="QMK376" s="15"/>
      <c r="QML376" s="15"/>
      <c r="QMM376" s="10"/>
      <c r="QMN376" s="10"/>
      <c r="QMO376" s="21"/>
      <c r="QMP376" s="21"/>
      <c r="QMS376" s="21"/>
      <c r="QMT376" s="15"/>
      <c r="QMU376" s="15"/>
      <c r="QMV376" s="15"/>
      <c r="QMW376" s="15"/>
      <c r="QMX376" s="15"/>
      <c r="QMY376" s="15"/>
      <c r="QMZ376" s="15"/>
      <c r="QNA376" s="15"/>
      <c r="QNB376" s="15"/>
      <c r="QNC376" s="15"/>
      <c r="QND376" s="10"/>
      <c r="QNE376" s="10"/>
      <c r="QNF376" s="21"/>
      <c r="QNG376" s="21"/>
      <c r="QNJ376" s="21"/>
      <c r="QNK376" s="15"/>
      <c r="QNL376" s="15"/>
      <c r="QNM376" s="15"/>
      <c r="QNN376" s="15"/>
      <c r="QNO376" s="15"/>
      <c r="QNP376" s="15"/>
      <c r="QNQ376" s="15"/>
      <c r="QNR376" s="15"/>
      <c r="QNS376" s="15"/>
      <c r="QNT376" s="15"/>
      <c r="QNU376" s="10"/>
      <c r="QNV376" s="10"/>
      <c r="QNW376" s="21"/>
      <c r="QNX376" s="21"/>
      <c r="QOA376" s="21"/>
      <c r="QOB376" s="15"/>
      <c r="QOC376" s="15"/>
      <c r="QOD376" s="15"/>
      <c r="QOE376" s="15"/>
      <c r="QOF376" s="15"/>
      <c r="QOG376" s="15"/>
      <c r="QOH376" s="15"/>
      <c r="QOI376" s="15"/>
      <c r="QOJ376" s="15"/>
      <c r="QOK376" s="15"/>
      <c r="QOL376" s="10"/>
      <c r="QOM376" s="10"/>
      <c r="QON376" s="21"/>
      <c r="QOO376" s="21"/>
      <c r="QOR376" s="21"/>
      <c r="QOS376" s="15"/>
      <c r="QOT376" s="15"/>
      <c r="QOU376" s="15"/>
      <c r="QOV376" s="15"/>
      <c r="QOW376" s="15"/>
      <c r="QOX376" s="15"/>
      <c r="QOY376" s="15"/>
      <c r="QOZ376" s="15"/>
      <c r="QPA376" s="15"/>
      <c r="QPB376" s="15"/>
      <c r="QPC376" s="10"/>
      <c r="QPD376" s="10"/>
      <c r="QPE376" s="21"/>
      <c r="QPF376" s="21"/>
      <c r="QPI376" s="21"/>
      <c r="QPJ376" s="15"/>
      <c r="QPK376" s="15"/>
      <c r="QPL376" s="15"/>
      <c r="QPM376" s="15"/>
      <c r="QPN376" s="15"/>
      <c r="QPO376" s="15"/>
      <c r="QPP376" s="15"/>
      <c r="QPQ376" s="15"/>
      <c r="QPR376" s="15"/>
      <c r="QPS376" s="15"/>
      <c r="QPT376" s="10"/>
      <c r="QPU376" s="10"/>
      <c r="QPV376" s="21"/>
      <c r="QPW376" s="21"/>
      <c r="QPZ376" s="21"/>
      <c r="QQA376" s="15"/>
      <c r="QQB376" s="15"/>
      <c r="QQC376" s="15"/>
      <c r="QQD376" s="15"/>
      <c r="QQE376" s="15"/>
      <c r="QQF376" s="15"/>
      <c r="QQG376" s="15"/>
      <c r="QQH376" s="15"/>
      <c r="QQI376" s="15"/>
      <c r="QQJ376" s="15"/>
      <c r="QQK376" s="10"/>
      <c r="QQL376" s="10"/>
      <c r="QQM376" s="21"/>
      <c r="QQN376" s="21"/>
      <c r="QQQ376" s="21"/>
      <c r="QQR376" s="15"/>
      <c r="QQS376" s="15"/>
      <c r="QQT376" s="15"/>
      <c r="QQU376" s="15"/>
      <c r="QQV376" s="15"/>
      <c r="QQW376" s="15"/>
      <c r="QQX376" s="15"/>
      <c r="QQY376" s="15"/>
      <c r="QQZ376" s="15"/>
      <c r="QRA376" s="15"/>
      <c r="QRB376" s="10"/>
      <c r="QRC376" s="10"/>
      <c r="QRD376" s="21"/>
      <c r="QRE376" s="21"/>
      <c r="QRH376" s="21"/>
      <c r="QRI376" s="15"/>
      <c r="QRJ376" s="15"/>
      <c r="QRK376" s="15"/>
      <c r="QRL376" s="15"/>
      <c r="QRM376" s="15"/>
      <c r="QRN376" s="15"/>
      <c r="QRO376" s="15"/>
      <c r="QRP376" s="15"/>
      <c r="QRQ376" s="15"/>
      <c r="QRR376" s="15"/>
      <c r="QRS376" s="10"/>
      <c r="QRT376" s="10"/>
      <c r="QRU376" s="21"/>
      <c r="QRV376" s="21"/>
      <c r="QRY376" s="21"/>
      <c r="QRZ376" s="15"/>
      <c r="QSA376" s="15"/>
      <c r="QSB376" s="15"/>
      <c r="QSC376" s="15"/>
      <c r="QSD376" s="15"/>
      <c r="QSE376" s="15"/>
      <c r="QSF376" s="15"/>
      <c r="QSG376" s="15"/>
      <c r="QSH376" s="15"/>
      <c r="QSI376" s="15"/>
      <c r="QSJ376" s="10"/>
      <c r="QSK376" s="10"/>
      <c r="QSL376" s="21"/>
      <c r="QSM376" s="21"/>
      <c r="QSP376" s="21"/>
      <c r="QSQ376" s="15"/>
      <c r="QSR376" s="15"/>
      <c r="QSS376" s="15"/>
      <c r="QST376" s="15"/>
      <c r="QSU376" s="15"/>
      <c r="QSV376" s="15"/>
      <c r="QSW376" s="15"/>
      <c r="QSX376" s="15"/>
      <c r="QSY376" s="15"/>
      <c r="QSZ376" s="15"/>
      <c r="QTA376" s="10"/>
      <c r="QTB376" s="10"/>
      <c r="QTC376" s="21"/>
      <c r="QTD376" s="21"/>
      <c r="QTG376" s="21"/>
      <c r="QTH376" s="15"/>
      <c r="QTI376" s="15"/>
      <c r="QTJ376" s="15"/>
      <c r="QTK376" s="15"/>
      <c r="QTL376" s="15"/>
      <c r="QTM376" s="15"/>
      <c r="QTN376" s="15"/>
      <c r="QTO376" s="15"/>
      <c r="QTP376" s="15"/>
      <c r="QTQ376" s="15"/>
      <c r="QTR376" s="10"/>
      <c r="QTS376" s="10"/>
      <c r="QTT376" s="21"/>
      <c r="QTU376" s="21"/>
      <c r="QTX376" s="21"/>
      <c r="QTY376" s="15"/>
      <c r="QTZ376" s="15"/>
      <c r="QUA376" s="15"/>
      <c r="QUB376" s="15"/>
      <c r="QUC376" s="15"/>
      <c r="QUD376" s="15"/>
      <c r="QUE376" s="15"/>
      <c r="QUF376" s="15"/>
      <c r="QUG376" s="15"/>
      <c r="QUH376" s="15"/>
      <c r="QUI376" s="10"/>
      <c r="QUJ376" s="10"/>
      <c r="QUK376" s="21"/>
      <c r="QUL376" s="21"/>
      <c r="QUO376" s="21"/>
      <c r="QUP376" s="15"/>
      <c r="QUQ376" s="15"/>
      <c r="QUR376" s="15"/>
      <c r="QUS376" s="15"/>
      <c r="QUT376" s="15"/>
      <c r="QUU376" s="15"/>
      <c r="QUV376" s="15"/>
      <c r="QUW376" s="15"/>
      <c r="QUX376" s="15"/>
      <c r="QUY376" s="15"/>
      <c r="QUZ376" s="10"/>
      <c r="QVA376" s="10"/>
      <c r="QVB376" s="21"/>
      <c r="QVC376" s="21"/>
      <c r="QVF376" s="21"/>
      <c r="QVG376" s="15"/>
      <c r="QVH376" s="15"/>
      <c r="QVI376" s="15"/>
      <c r="QVJ376" s="15"/>
      <c r="QVK376" s="15"/>
      <c r="QVL376" s="15"/>
      <c r="QVM376" s="15"/>
      <c r="QVN376" s="15"/>
      <c r="QVO376" s="15"/>
      <c r="QVP376" s="15"/>
      <c r="QVQ376" s="10"/>
      <c r="QVR376" s="10"/>
      <c r="QVS376" s="21"/>
      <c r="QVT376" s="21"/>
      <c r="QVW376" s="21"/>
      <c r="QVX376" s="15"/>
      <c r="QVY376" s="15"/>
      <c r="QVZ376" s="15"/>
      <c r="QWA376" s="15"/>
      <c r="QWB376" s="15"/>
      <c r="QWC376" s="15"/>
      <c r="QWD376" s="15"/>
      <c r="QWE376" s="15"/>
      <c r="QWF376" s="15"/>
      <c r="QWG376" s="15"/>
      <c r="QWH376" s="10"/>
      <c r="QWI376" s="10"/>
      <c r="QWJ376" s="21"/>
      <c r="QWK376" s="21"/>
      <c r="QWN376" s="21"/>
      <c r="QWO376" s="15"/>
      <c r="QWP376" s="15"/>
      <c r="QWQ376" s="15"/>
      <c r="QWR376" s="15"/>
      <c r="QWS376" s="15"/>
      <c r="QWT376" s="15"/>
      <c r="QWU376" s="15"/>
      <c r="QWV376" s="15"/>
      <c r="QWW376" s="15"/>
      <c r="QWX376" s="15"/>
      <c r="QWY376" s="10"/>
      <c r="QWZ376" s="10"/>
      <c r="QXA376" s="21"/>
      <c r="QXB376" s="21"/>
      <c r="QXE376" s="21"/>
      <c r="QXF376" s="15"/>
      <c r="QXG376" s="15"/>
      <c r="QXH376" s="15"/>
      <c r="QXI376" s="15"/>
      <c r="QXJ376" s="15"/>
      <c r="QXK376" s="15"/>
      <c r="QXL376" s="15"/>
      <c r="QXM376" s="15"/>
      <c r="QXN376" s="15"/>
      <c r="QXO376" s="15"/>
      <c r="QXP376" s="10"/>
      <c r="QXQ376" s="10"/>
      <c r="QXR376" s="21"/>
      <c r="QXS376" s="21"/>
      <c r="QXV376" s="21"/>
      <c r="QXW376" s="15"/>
      <c r="QXX376" s="15"/>
      <c r="QXY376" s="15"/>
      <c r="QXZ376" s="15"/>
      <c r="QYA376" s="15"/>
      <c r="QYB376" s="15"/>
      <c r="QYC376" s="15"/>
      <c r="QYD376" s="15"/>
      <c r="QYE376" s="15"/>
      <c r="QYF376" s="15"/>
      <c r="QYG376" s="10"/>
      <c r="QYH376" s="10"/>
      <c r="QYI376" s="21"/>
      <c r="QYJ376" s="21"/>
      <c r="QYM376" s="21"/>
      <c r="QYN376" s="15"/>
      <c r="QYO376" s="15"/>
      <c r="QYP376" s="15"/>
      <c r="QYQ376" s="15"/>
      <c r="QYR376" s="15"/>
      <c r="QYS376" s="15"/>
      <c r="QYT376" s="15"/>
      <c r="QYU376" s="15"/>
      <c r="QYV376" s="15"/>
      <c r="QYW376" s="15"/>
      <c r="QYX376" s="10"/>
      <c r="QYY376" s="10"/>
      <c r="QYZ376" s="21"/>
      <c r="QZA376" s="21"/>
      <c r="QZD376" s="21"/>
      <c r="QZE376" s="15"/>
      <c r="QZF376" s="15"/>
      <c r="QZG376" s="15"/>
      <c r="QZH376" s="15"/>
      <c r="QZI376" s="15"/>
      <c r="QZJ376" s="15"/>
      <c r="QZK376" s="15"/>
      <c r="QZL376" s="15"/>
      <c r="QZM376" s="15"/>
      <c r="QZN376" s="15"/>
      <c r="QZO376" s="10"/>
      <c r="QZP376" s="10"/>
      <c r="QZQ376" s="21"/>
      <c r="QZR376" s="21"/>
      <c r="QZU376" s="21"/>
      <c r="QZV376" s="15"/>
      <c r="QZW376" s="15"/>
      <c r="QZX376" s="15"/>
      <c r="QZY376" s="15"/>
      <c r="QZZ376" s="15"/>
      <c r="RAA376" s="15"/>
      <c r="RAB376" s="15"/>
      <c r="RAC376" s="15"/>
      <c r="RAD376" s="15"/>
      <c r="RAE376" s="15"/>
      <c r="RAF376" s="10"/>
      <c r="RAG376" s="10"/>
      <c r="RAH376" s="21"/>
      <c r="RAI376" s="21"/>
      <c r="RAL376" s="21"/>
      <c r="RAM376" s="15"/>
      <c r="RAN376" s="15"/>
      <c r="RAO376" s="15"/>
      <c r="RAP376" s="15"/>
      <c r="RAQ376" s="15"/>
      <c r="RAR376" s="15"/>
      <c r="RAS376" s="15"/>
      <c r="RAT376" s="15"/>
      <c r="RAU376" s="15"/>
      <c r="RAV376" s="15"/>
      <c r="RAW376" s="10"/>
      <c r="RAX376" s="10"/>
      <c r="RAY376" s="21"/>
      <c r="RAZ376" s="21"/>
      <c r="RBC376" s="21"/>
      <c r="RBD376" s="15"/>
      <c r="RBE376" s="15"/>
      <c r="RBF376" s="15"/>
      <c r="RBG376" s="15"/>
      <c r="RBH376" s="15"/>
      <c r="RBI376" s="15"/>
      <c r="RBJ376" s="15"/>
      <c r="RBK376" s="15"/>
      <c r="RBL376" s="15"/>
      <c r="RBM376" s="15"/>
      <c r="RBN376" s="10"/>
      <c r="RBO376" s="10"/>
      <c r="RBP376" s="21"/>
      <c r="RBQ376" s="21"/>
      <c r="RBT376" s="21"/>
      <c r="RBU376" s="15"/>
      <c r="RBV376" s="15"/>
      <c r="RBW376" s="15"/>
      <c r="RBX376" s="15"/>
      <c r="RBY376" s="15"/>
      <c r="RBZ376" s="15"/>
      <c r="RCA376" s="15"/>
      <c r="RCB376" s="15"/>
      <c r="RCC376" s="15"/>
      <c r="RCD376" s="15"/>
      <c r="RCE376" s="10"/>
      <c r="RCF376" s="10"/>
      <c r="RCG376" s="21"/>
      <c r="RCH376" s="21"/>
      <c r="RCK376" s="21"/>
      <c r="RCL376" s="15"/>
      <c r="RCM376" s="15"/>
      <c r="RCN376" s="15"/>
      <c r="RCO376" s="15"/>
      <c r="RCP376" s="15"/>
      <c r="RCQ376" s="15"/>
      <c r="RCR376" s="15"/>
      <c r="RCS376" s="15"/>
      <c r="RCT376" s="15"/>
      <c r="RCU376" s="15"/>
      <c r="RCV376" s="10"/>
      <c r="RCW376" s="10"/>
      <c r="RCX376" s="21"/>
      <c r="RCY376" s="21"/>
      <c r="RDB376" s="21"/>
      <c r="RDC376" s="15"/>
      <c r="RDD376" s="15"/>
      <c r="RDE376" s="15"/>
      <c r="RDF376" s="15"/>
      <c r="RDG376" s="15"/>
      <c r="RDH376" s="15"/>
      <c r="RDI376" s="15"/>
      <c r="RDJ376" s="15"/>
      <c r="RDK376" s="15"/>
      <c r="RDL376" s="15"/>
      <c r="RDM376" s="10"/>
      <c r="RDN376" s="10"/>
      <c r="RDO376" s="21"/>
      <c r="RDP376" s="21"/>
      <c r="RDS376" s="21"/>
      <c r="RDT376" s="15"/>
      <c r="RDU376" s="15"/>
      <c r="RDV376" s="15"/>
      <c r="RDW376" s="15"/>
      <c r="RDX376" s="15"/>
      <c r="RDY376" s="15"/>
      <c r="RDZ376" s="15"/>
      <c r="REA376" s="15"/>
      <c r="REB376" s="15"/>
      <c r="REC376" s="15"/>
      <c r="RED376" s="10"/>
      <c r="REE376" s="10"/>
      <c r="REF376" s="21"/>
      <c r="REG376" s="21"/>
      <c r="REJ376" s="21"/>
      <c r="REK376" s="15"/>
      <c r="REL376" s="15"/>
      <c r="REM376" s="15"/>
      <c r="REN376" s="15"/>
      <c r="REO376" s="15"/>
      <c r="REP376" s="15"/>
      <c r="REQ376" s="15"/>
      <c r="RER376" s="15"/>
      <c r="RES376" s="15"/>
      <c r="RET376" s="15"/>
      <c r="REU376" s="10"/>
      <c r="REV376" s="10"/>
      <c r="REW376" s="21"/>
      <c r="REX376" s="21"/>
      <c r="RFA376" s="21"/>
      <c r="RFB376" s="15"/>
      <c r="RFC376" s="15"/>
      <c r="RFD376" s="15"/>
      <c r="RFE376" s="15"/>
      <c r="RFF376" s="15"/>
      <c r="RFG376" s="15"/>
      <c r="RFH376" s="15"/>
      <c r="RFI376" s="15"/>
      <c r="RFJ376" s="15"/>
      <c r="RFK376" s="15"/>
      <c r="RFL376" s="10"/>
      <c r="RFM376" s="10"/>
      <c r="RFN376" s="21"/>
      <c r="RFO376" s="21"/>
      <c r="RFR376" s="21"/>
      <c r="RFS376" s="15"/>
      <c r="RFT376" s="15"/>
      <c r="RFU376" s="15"/>
      <c r="RFV376" s="15"/>
      <c r="RFW376" s="15"/>
      <c r="RFX376" s="15"/>
      <c r="RFY376" s="15"/>
      <c r="RFZ376" s="15"/>
      <c r="RGA376" s="15"/>
      <c r="RGB376" s="15"/>
      <c r="RGC376" s="10"/>
      <c r="RGD376" s="10"/>
      <c r="RGE376" s="21"/>
      <c r="RGF376" s="21"/>
      <c r="RGI376" s="21"/>
      <c r="RGJ376" s="15"/>
      <c r="RGK376" s="15"/>
      <c r="RGL376" s="15"/>
      <c r="RGM376" s="15"/>
      <c r="RGN376" s="15"/>
      <c r="RGO376" s="15"/>
      <c r="RGP376" s="15"/>
      <c r="RGQ376" s="15"/>
      <c r="RGR376" s="15"/>
      <c r="RGS376" s="15"/>
      <c r="RGT376" s="10"/>
      <c r="RGU376" s="10"/>
      <c r="RGV376" s="21"/>
      <c r="RGW376" s="21"/>
      <c r="RGZ376" s="21"/>
      <c r="RHA376" s="15"/>
      <c r="RHB376" s="15"/>
      <c r="RHC376" s="15"/>
      <c r="RHD376" s="15"/>
      <c r="RHE376" s="15"/>
      <c r="RHF376" s="15"/>
      <c r="RHG376" s="15"/>
      <c r="RHH376" s="15"/>
      <c r="RHI376" s="15"/>
      <c r="RHJ376" s="15"/>
      <c r="RHK376" s="10"/>
      <c r="RHL376" s="10"/>
      <c r="RHM376" s="21"/>
      <c r="RHN376" s="21"/>
      <c r="RHQ376" s="21"/>
      <c r="RHR376" s="15"/>
      <c r="RHS376" s="15"/>
      <c r="RHT376" s="15"/>
      <c r="RHU376" s="15"/>
      <c r="RHV376" s="15"/>
      <c r="RHW376" s="15"/>
      <c r="RHX376" s="15"/>
      <c r="RHY376" s="15"/>
      <c r="RHZ376" s="15"/>
      <c r="RIA376" s="15"/>
      <c r="RIB376" s="10"/>
      <c r="RIC376" s="10"/>
      <c r="RID376" s="21"/>
      <c r="RIE376" s="21"/>
      <c r="RIH376" s="21"/>
      <c r="RII376" s="15"/>
      <c r="RIJ376" s="15"/>
      <c r="RIK376" s="15"/>
      <c r="RIL376" s="15"/>
      <c r="RIM376" s="15"/>
      <c r="RIN376" s="15"/>
      <c r="RIO376" s="15"/>
      <c r="RIP376" s="15"/>
      <c r="RIQ376" s="15"/>
      <c r="RIR376" s="15"/>
      <c r="RIS376" s="10"/>
      <c r="RIT376" s="10"/>
      <c r="RIU376" s="21"/>
      <c r="RIV376" s="21"/>
      <c r="RIY376" s="21"/>
      <c r="RIZ376" s="15"/>
      <c r="RJA376" s="15"/>
      <c r="RJB376" s="15"/>
      <c r="RJC376" s="15"/>
      <c r="RJD376" s="15"/>
      <c r="RJE376" s="15"/>
      <c r="RJF376" s="15"/>
      <c r="RJG376" s="15"/>
      <c r="RJH376" s="15"/>
      <c r="RJI376" s="15"/>
      <c r="RJJ376" s="10"/>
      <c r="RJK376" s="10"/>
      <c r="RJL376" s="21"/>
      <c r="RJM376" s="21"/>
      <c r="RJP376" s="21"/>
      <c r="RJQ376" s="15"/>
      <c r="RJR376" s="15"/>
      <c r="RJS376" s="15"/>
      <c r="RJT376" s="15"/>
      <c r="RJU376" s="15"/>
      <c r="RJV376" s="15"/>
      <c r="RJW376" s="15"/>
      <c r="RJX376" s="15"/>
      <c r="RJY376" s="15"/>
      <c r="RJZ376" s="15"/>
      <c r="RKA376" s="10"/>
      <c r="RKB376" s="10"/>
      <c r="RKC376" s="21"/>
      <c r="RKD376" s="21"/>
      <c r="RKG376" s="21"/>
      <c r="RKH376" s="15"/>
      <c r="RKI376" s="15"/>
      <c r="RKJ376" s="15"/>
      <c r="RKK376" s="15"/>
      <c r="RKL376" s="15"/>
      <c r="RKM376" s="15"/>
      <c r="RKN376" s="15"/>
      <c r="RKO376" s="15"/>
      <c r="RKP376" s="15"/>
      <c r="RKQ376" s="15"/>
      <c r="RKR376" s="10"/>
      <c r="RKS376" s="10"/>
      <c r="RKT376" s="21"/>
      <c r="RKU376" s="21"/>
      <c r="RKX376" s="21"/>
      <c r="RKY376" s="15"/>
      <c r="RKZ376" s="15"/>
      <c r="RLA376" s="15"/>
      <c r="RLB376" s="15"/>
      <c r="RLC376" s="15"/>
      <c r="RLD376" s="15"/>
      <c r="RLE376" s="15"/>
      <c r="RLF376" s="15"/>
      <c r="RLG376" s="15"/>
      <c r="RLH376" s="15"/>
      <c r="RLI376" s="10"/>
      <c r="RLJ376" s="10"/>
      <c r="RLK376" s="21"/>
      <c r="RLL376" s="21"/>
      <c r="RLO376" s="21"/>
      <c r="RLP376" s="15"/>
      <c r="RLQ376" s="15"/>
      <c r="RLR376" s="15"/>
      <c r="RLS376" s="15"/>
      <c r="RLT376" s="15"/>
      <c r="RLU376" s="15"/>
      <c r="RLV376" s="15"/>
      <c r="RLW376" s="15"/>
      <c r="RLX376" s="15"/>
      <c r="RLY376" s="15"/>
      <c r="RLZ376" s="10"/>
      <c r="RMA376" s="10"/>
      <c r="RMB376" s="21"/>
      <c r="RMC376" s="21"/>
      <c r="RMF376" s="21"/>
      <c r="RMG376" s="15"/>
      <c r="RMH376" s="15"/>
      <c r="RMI376" s="15"/>
      <c r="RMJ376" s="15"/>
      <c r="RMK376" s="15"/>
      <c r="RML376" s="15"/>
      <c r="RMM376" s="15"/>
      <c r="RMN376" s="15"/>
      <c r="RMO376" s="15"/>
      <c r="RMP376" s="15"/>
      <c r="RMQ376" s="10"/>
      <c r="RMR376" s="10"/>
      <c r="RMS376" s="21"/>
      <c r="RMT376" s="21"/>
      <c r="RMW376" s="21"/>
      <c r="RMX376" s="15"/>
      <c r="RMY376" s="15"/>
      <c r="RMZ376" s="15"/>
      <c r="RNA376" s="15"/>
      <c r="RNB376" s="15"/>
      <c r="RNC376" s="15"/>
      <c r="RND376" s="15"/>
      <c r="RNE376" s="15"/>
      <c r="RNF376" s="15"/>
      <c r="RNG376" s="15"/>
      <c r="RNH376" s="10"/>
      <c r="RNI376" s="10"/>
      <c r="RNJ376" s="21"/>
      <c r="RNK376" s="21"/>
      <c r="RNN376" s="21"/>
      <c r="RNO376" s="15"/>
      <c r="RNP376" s="15"/>
      <c r="RNQ376" s="15"/>
      <c r="RNR376" s="15"/>
      <c r="RNS376" s="15"/>
      <c r="RNT376" s="15"/>
      <c r="RNU376" s="15"/>
      <c r="RNV376" s="15"/>
      <c r="RNW376" s="15"/>
      <c r="RNX376" s="15"/>
      <c r="RNY376" s="10"/>
      <c r="RNZ376" s="10"/>
      <c r="ROA376" s="21"/>
      <c r="ROB376" s="21"/>
      <c r="ROE376" s="21"/>
      <c r="ROF376" s="15"/>
      <c r="ROG376" s="15"/>
      <c r="ROH376" s="15"/>
      <c r="ROI376" s="15"/>
      <c r="ROJ376" s="15"/>
      <c r="ROK376" s="15"/>
      <c r="ROL376" s="15"/>
      <c r="ROM376" s="15"/>
      <c r="RON376" s="15"/>
      <c r="ROO376" s="15"/>
      <c r="ROP376" s="10"/>
      <c r="ROQ376" s="10"/>
      <c r="ROR376" s="21"/>
      <c r="ROS376" s="21"/>
      <c r="ROV376" s="21"/>
      <c r="ROW376" s="15"/>
      <c r="ROX376" s="15"/>
      <c r="ROY376" s="15"/>
      <c r="ROZ376" s="15"/>
      <c r="RPA376" s="15"/>
      <c r="RPB376" s="15"/>
      <c r="RPC376" s="15"/>
      <c r="RPD376" s="15"/>
      <c r="RPE376" s="15"/>
      <c r="RPF376" s="15"/>
      <c r="RPG376" s="10"/>
      <c r="RPH376" s="10"/>
      <c r="RPI376" s="21"/>
      <c r="RPJ376" s="21"/>
      <c r="RPM376" s="21"/>
      <c r="RPN376" s="15"/>
      <c r="RPO376" s="15"/>
      <c r="RPP376" s="15"/>
      <c r="RPQ376" s="15"/>
      <c r="RPR376" s="15"/>
      <c r="RPS376" s="15"/>
      <c r="RPT376" s="15"/>
      <c r="RPU376" s="15"/>
      <c r="RPV376" s="15"/>
      <c r="RPW376" s="15"/>
      <c r="RPX376" s="10"/>
      <c r="RPY376" s="10"/>
      <c r="RPZ376" s="21"/>
      <c r="RQA376" s="21"/>
      <c r="RQD376" s="21"/>
      <c r="RQE376" s="15"/>
      <c r="RQF376" s="15"/>
      <c r="RQG376" s="15"/>
      <c r="RQH376" s="15"/>
      <c r="RQI376" s="15"/>
      <c r="RQJ376" s="15"/>
      <c r="RQK376" s="15"/>
      <c r="RQL376" s="15"/>
      <c r="RQM376" s="15"/>
      <c r="RQN376" s="15"/>
      <c r="RQO376" s="10"/>
      <c r="RQP376" s="10"/>
      <c r="RQQ376" s="21"/>
      <c r="RQR376" s="21"/>
      <c r="RQU376" s="21"/>
      <c r="RQV376" s="15"/>
      <c r="RQW376" s="15"/>
      <c r="RQX376" s="15"/>
      <c r="RQY376" s="15"/>
      <c r="RQZ376" s="15"/>
      <c r="RRA376" s="15"/>
      <c r="RRB376" s="15"/>
      <c r="RRC376" s="15"/>
      <c r="RRD376" s="15"/>
      <c r="RRE376" s="15"/>
      <c r="RRF376" s="10"/>
      <c r="RRG376" s="10"/>
      <c r="RRH376" s="21"/>
      <c r="RRI376" s="21"/>
      <c r="RRL376" s="21"/>
      <c r="RRM376" s="15"/>
      <c r="RRN376" s="15"/>
      <c r="RRO376" s="15"/>
      <c r="RRP376" s="15"/>
      <c r="RRQ376" s="15"/>
      <c r="RRR376" s="15"/>
      <c r="RRS376" s="15"/>
      <c r="RRT376" s="15"/>
      <c r="RRU376" s="15"/>
      <c r="RRV376" s="15"/>
      <c r="RRW376" s="10"/>
      <c r="RRX376" s="10"/>
      <c r="RRY376" s="21"/>
      <c r="RRZ376" s="21"/>
      <c r="RSC376" s="21"/>
      <c r="RSD376" s="15"/>
      <c r="RSE376" s="15"/>
      <c r="RSF376" s="15"/>
      <c r="RSG376" s="15"/>
      <c r="RSH376" s="15"/>
      <c r="RSI376" s="15"/>
      <c r="RSJ376" s="15"/>
      <c r="RSK376" s="15"/>
      <c r="RSL376" s="15"/>
      <c r="RSM376" s="15"/>
      <c r="RSN376" s="10"/>
      <c r="RSO376" s="10"/>
      <c r="RSP376" s="21"/>
      <c r="RSQ376" s="21"/>
      <c r="RST376" s="21"/>
      <c r="RSU376" s="15"/>
      <c r="RSV376" s="15"/>
      <c r="RSW376" s="15"/>
      <c r="RSX376" s="15"/>
      <c r="RSY376" s="15"/>
      <c r="RSZ376" s="15"/>
      <c r="RTA376" s="15"/>
      <c r="RTB376" s="15"/>
      <c r="RTC376" s="15"/>
      <c r="RTD376" s="15"/>
      <c r="RTE376" s="10"/>
      <c r="RTF376" s="10"/>
      <c r="RTG376" s="21"/>
      <c r="RTH376" s="21"/>
      <c r="RTK376" s="21"/>
      <c r="RTL376" s="15"/>
      <c r="RTM376" s="15"/>
      <c r="RTN376" s="15"/>
      <c r="RTO376" s="15"/>
      <c r="RTP376" s="15"/>
      <c r="RTQ376" s="15"/>
      <c r="RTR376" s="15"/>
      <c r="RTS376" s="15"/>
      <c r="RTT376" s="15"/>
      <c r="RTU376" s="15"/>
      <c r="RTV376" s="10"/>
      <c r="RTW376" s="10"/>
      <c r="RTX376" s="21"/>
      <c r="RTY376" s="21"/>
      <c r="RUB376" s="21"/>
      <c r="RUC376" s="15"/>
      <c r="RUD376" s="15"/>
      <c r="RUE376" s="15"/>
      <c r="RUF376" s="15"/>
      <c r="RUG376" s="15"/>
      <c r="RUH376" s="15"/>
      <c r="RUI376" s="15"/>
      <c r="RUJ376" s="15"/>
      <c r="RUK376" s="15"/>
      <c r="RUL376" s="15"/>
      <c r="RUM376" s="10"/>
      <c r="RUN376" s="10"/>
      <c r="RUO376" s="21"/>
      <c r="RUP376" s="21"/>
      <c r="RUS376" s="21"/>
      <c r="RUT376" s="15"/>
      <c r="RUU376" s="15"/>
      <c r="RUV376" s="15"/>
      <c r="RUW376" s="15"/>
      <c r="RUX376" s="15"/>
      <c r="RUY376" s="15"/>
      <c r="RUZ376" s="15"/>
      <c r="RVA376" s="15"/>
      <c r="RVB376" s="15"/>
      <c r="RVC376" s="15"/>
      <c r="RVD376" s="10"/>
      <c r="RVE376" s="10"/>
      <c r="RVF376" s="21"/>
      <c r="RVG376" s="21"/>
      <c r="RVJ376" s="21"/>
      <c r="RVK376" s="15"/>
      <c r="RVL376" s="15"/>
      <c r="RVM376" s="15"/>
      <c r="RVN376" s="15"/>
      <c r="RVO376" s="15"/>
      <c r="RVP376" s="15"/>
      <c r="RVQ376" s="15"/>
      <c r="RVR376" s="15"/>
      <c r="RVS376" s="15"/>
      <c r="RVT376" s="15"/>
      <c r="RVU376" s="10"/>
      <c r="RVV376" s="10"/>
      <c r="RVW376" s="21"/>
      <c r="RVX376" s="21"/>
      <c r="RWA376" s="21"/>
      <c r="RWB376" s="15"/>
      <c r="RWC376" s="15"/>
      <c r="RWD376" s="15"/>
      <c r="RWE376" s="15"/>
      <c r="RWF376" s="15"/>
      <c r="RWG376" s="15"/>
      <c r="RWH376" s="15"/>
      <c r="RWI376" s="15"/>
      <c r="RWJ376" s="15"/>
      <c r="RWK376" s="15"/>
      <c r="RWL376" s="10"/>
      <c r="RWM376" s="10"/>
      <c r="RWN376" s="21"/>
      <c r="RWO376" s="21"/>
      <c r="RWR376" s="21"/>
      <c r="RWS376" s="15"/>
      <c r="RWT376" s="15"/>
      <c r="RWU376" s="15"/>
      <c r="RWV376" s="15"/>
      <c r="RWW376" s="15"/>
      <c r="RWX376" s="15"/>
      <c r="RWY376" s="15"/>
      <c r="RWZ376" s="15"/>
      <c r="RXA376" s="15"/>
      <c r="RXB376" s="15"/>
      <c r="RXC376" s="10"/>
      <c r="RXD376" s="10"/>
      <c r="RXE376" s="21"/>
      <c r="RXF376" s="21"/>
      <c r="RXI376" s="21"/>
      <c r="RXJ376" s="15"/>
      <c r="RXK376" s="15"/>
      <c r="RXL376" s="15"/>
      <c r="RXM376" s="15"/>
      <c r="RXN376" s="15"/>
      <c r="RXO376" s="15"/>
      <c r="RXP376" s="15"/>
      <c r="RXQ376" s="15"/>
      <c r="RXR376" s="15"/>
      <c r="RXS376" s="15"/>
      <c r="RXT376" s="10"/>
      <c r="RXU376" s="10"/>
      <c r="RXV376" s="21"/>
      <c r="RXW376" s="21"/>
      <c r="RXZ376" s="21"/>
      <c r="RYA376" s="15"/>
      <c r="RYB376" s="15"/>
      <c r="RYC376" s="15"/>
      <c r="RYD376" s="15"/>
      <c r="RYE376" s="15"/>
      <c r="RYF376" s="15"/>
      <c r="RYG376" s="15"/>
      <c r="RYH376" s="15"/>
      <c r="RYI376" s="15"/>
      <c r="RYJ376" s="15"/>
      <c r="RYK376" s="10"/>
      <c r="RYL376" s="10"/>
      <c r="RYM376" s="21"/>
      <c r="RYN376" s="21"/>
      <c r="RYQ376" s="21"/>
      <c r="RYR376" s="15"/>
      <c r="RYS376" s="15"/>
      <c r="RYT376" s="15"/>
      <c r="RYU376" s="15"/>
      <c r="RYV376" s="15"/>
      <c r="RYW376" s="15"/>
      <c r="RYX376" s="15"/>
      <c r="RYY376" s="15"/>
      <c r="RYZ376" s="15"/>
      <c r="RZA376" s="15"/>
      <c r="RZB376" s="10"/>
      <c r="RZC376" s="10"/>
      <c r="RZD376" s="21"/>
      <c r="RZE376" s="21"/>
      <c r="RZH376" s="21"/>
      <c r="RZI376" s="15"/>
      <c r="RZJ376" s="15"/>
      <c r="RZK376" s="15"/>
      <c r="RZL376" s="15"/>
      <c r="RZM376" s="15"/>
      <c r="RZN376" s="15"/>
      <c r="RZO376" s="15"/>
      <c r="RZP376" s="15"/>
      <c r="RZQ376" s="15"/>
      <c r="RZR376" s="15"/>
      <c r="RZS376" s="10"/>
      <c r="RZT376" s="10"/>
      <c r="RZU376" s="21"/>
      <c r="RZV376" s="21"/>
      <c r="RZY376" s="21"/>
      <c r="RZZ376" s="15"/>
      <c r="SAA376" s="15"/>
      <c r="SAB376" s="15"/>
      <c r="SAC376" s="15"/>
      <c r="SAD376" s="15"/>
      <c r="SAE376" s="15"/>
      <c r="SAF376" s="15"/>
      <c r="SAG376" s="15"/>
      <c r="SAH376" s="15"/>
      <c r="SAI376" s="15"/>
      <c r="SAJ376" s="10"/>
      <c r="SAK376" s="10"/>
      <c r="SAL376" s="21"/>
      <c r="SAM376" s="21"/>
      <c r="SAP376" s="21"/>
      <c r="SAQ376" s="15"/>
      <c r="SAR376" s="15"/>
      <c r="SAS376" s="15"/>
      <c r="SAT376" s="15"/>
      <c r="SAU376" s="15"/>
      <c r="SAV376" s="15"/>
      <c r="SAW376" s="15"/>
      <c r="SAX376" s="15"/>
      <c r="SAY376" s="15"/>
      <c r="SAZ376" s="15"/>
      <c r="SBA376" s="10"/>
      <c r="SBB376" s="10"/>
      <c r="SBC376" s="21"/>
      <c r="SBD376" s="21"/>
      <c r="SBG376" s="21"/>
      <c r="SBH376" s="15"/>
      <c r="SBI376" s="15"/>
      <c r="SBJ376" s="15"/>
      <c r="SBK376" s="15"/>
      <c r="SBL376" s="15"/>
      <c r="SBM376" s="15"/>
      <c r="SBN376" s="15"/>
      <c r="SBO376" s="15"/>
      <c r="SBP376" s="15"/>
      <c r="SBQ376" s="15"/>
      <c r="SBR376" s="10"/>
      <c r="SBS376" s="10"/>
      <c r="SBT376" s="21"/>
      <c r="SBU376" s="21"/>
      <c r="SBX376" s="21"/>
      <c r="SBY376" s="15"/>
      <c r="SBZ376" s="15"/>
      <c r="SCA376" s="15"/>
      <c r="SCB376" s="15"/>
      <c r="SCC376" s="15"/>
      <c r="SCD376" s="15"/>
      <c r="SCE376" s="15"/>
      <c r="SCF376" s="15"/>
      <c r="SCG376" s="15"/>
      <c r="SCH376" s="15"/>
      <c r="SCI376" s="10"/>
      <c r="SCJ376" s="10"/>
      <c r="SCK376" s="21"/>
      <c r="SCL376" s="21"/>
      <c r="SCO376" s="21"/>
      <c r="SCP376" s="15"/>
      <c r="SCQ376" s="15"/>
      <c r="SCR376" s="15"/>
      <c r="SCS376" s="15"/>
      <c r="SCT376" s="15"/>
      <c r="SCU376" s="15"/>
      <c r="SCV376" s="15"/>
      <c r="SCW376" s="15"/>
      <c r="SCX376" s="15"/>
      <c r="SCY376" s="15"/>
      <c r="SCZ376" s="10"/>
      <c r="SDA376" s="10"/>
      <c r="SDB376" s="21"/>
      <c r="SDC376" s="21"/>
      <c r="SDF376" s="21"/>
      <c r="SDG376" s="15"/>
      <c r="SDH376" s="15"/>
      <c r="SDI376" s="15"/>
      <c r="SDJ376" s="15"/>
      <c r="SDK376" s="15"/>
      <c r="SDL376" s="15"/>
      <c r="SDM376" s="15"/>
      <c r="SDN376" s="15"/>
      <c r="SDO376" s="15"/>
      <c r="SDP376" s="15"/>
      <c r="SDQ376" s="10"/>
      <c r="SDR376" s="10"/>
      <c r="SDS376" s="21"/>
      <c r="SDT376" s="21"/>
      <c r="SDW376" s="21"/>
      <c r="SDX376" s="15"/>
      <c r="SDY376" s="15"/>
      <c r="SDZ376" s="15"/>
      <c r="SEA376" s="15"/>
      <c r="SEB376" s="15"/>
      <c r="SEC376" s="15"/>
      <c r="SED376" s="15"/>
      <c r="SEE376" s="15"/>
      <c r="SEF376" s="15"/>
      <c r="SEG376" s="15"/>
      <c r="SEH376" s="10"/>
      <c r="SEI376" s="10"/>
      <c r="SEJ376" s="21"/>
      <c r="SEK376" s="21"/>
      <c r="SEN376" s="21"/>
      <c r="SEO376" s="15"/>
      <c r="SEP376" s="15"/>
      <c r="SEQ376" s="15"/>
      <c r="SER376" s="15"/>
      <c r="SES376" s="15"/>
      <c r="SET376" s="15"/>
      <c r="SEU376" s="15"/>
      <c r="SEV376" s="15"/>
      <c r="SEW376" s="15"/>
      <c r="SEX376" s="15"/>
      <c r="SEY376" s="10"/>
      <c r="SEZ376" s="10"/>
      <c r="SFA376" s="21"/>
      <c r="SFB376" s="21"/>
      <c r="SFE376" s="21"/>
      <c r="SFF376" s="15"/>
      <c r="SFG376" s="15"/>
      <c r="SFH376" s="15"/>
      <c r="SFI376" s="15"/>
      <c r="SFJ376" s="15"/>
      <c r="SFK376" s="15"/>
      <c r="SFL376" s="15"/>
      <c r="SFM376" s="15"/>
      <c r="SFN376" s="15"/>
      <c r="SFO376" s="15"/>
      <c r="SFP376" s="10"/>
      <c r="SFQ376" s="10"/>
      <c r="SFR376" s="21"/>
      <c r="SFS376" s="21"/>
      <c r="SFV376" s="21"/>
      <c r="SFW376" s="15"/>
      <c r="SFX376" s="15"/>
      <c r="SFY376" s="15"/>
      <c r="SFZ376" s="15"/>
      <c r="SGA376" s="15"/>
      <c r="SGB376" s="15"/>
      <c r="SGC376" s="15"/>
      <c r="SGD376" s="15"/>
      <c r="SGE376" s="15"/>
      <c r="SGF376" s="15"/>
      <c r="SGG376" s="10"/>
      <c r="SGH376" s="10"/>
      <c r="SGI376" s="21"/>
      <c r="SGJ376" s="21"/>
      <c r="SGM376" s="21"/>
      <c r="SGN376" s="15"/>
      <c r="SGO376" s="15"/>
      <c r="SGP376" s="15"/>
      <c r="SGQ376" s="15"/>
      <c r="SGR376" s="15"/>
      <c r="SGS376" s="15"/>
      <c r="SGT376" s="15"/>
      <c r="SGU376" s="15"/>
      <c r="SGV376" s="15"/>
      <c r="SGW376" s="15"/>
      <c r="SGX376" s="10"/>
      <c r="SGY376" s="10"/>
      <c r="SGZ376" s="21"/>
      <c r="SHA376" s="21"/>
      <c r="SHD376" s="21"/>
      <c r="SHE376" s="15"/>
      <c r="SHF376" s="15"/>
      <c r="SHG376" s="15"/>
      <c r="SHH376" s="15"/>
      <c r="SHI376" s="15"/>
      <c r="SHJ376" s="15"/>
      <c r="SHK376" s="15"/>
      <c r="SHL376" s="15"/>
      <c r="SHM376" s="15"/>
      <c r="SHN376" s="15"/>
      <c r="SHO376" s="10"/>
      <c r="SHP376" s="10"/>
      <c r="SHQ376" s="21"/>
      <c r="SHR376" s="21"/>
      <c r="SHU376" s="21"/>
      <c r="SHV376" s="15"/>
      <c r="SHW376" s="15"/>
      <c r="SHX376" s="15"/>
      <c r="SHY376" s="15"/>
      <c r="SHZ376" s="15"/>
      <c r="SIA376" s="15"/>
      <c r="SIB376" s="15"/>
      <c r="SIC376" s="15"/>
      <c r="SID376" s="15"/>
      <c r="SIE376" s="15"/>
      <c r="SIF376" s="10"/>
      <c r="SIG376" s="10"/>
      <c r="SIH376" s="21"/>
      <c r="SII376" s="21"/>
      <c r="SIL376" s="21"/>
      <c r="SIM376" s="15"/>
      <c r="SIN376" s="15"/>
      <c r="SIO376" s="15"/>
      <c r="SIP376" s="15"/>
      <c r="SIQ376" s="15"/>
      <c r="SIR376" s="15"/>
      <c r="SIS376" s="15"/>
      <c r="SIT376" s="15"/>
      <c r="SIU376" s="15"/>
      <c r="SIV376" s="15"/>
      <c r="SIW376" s="10"/>
      <c r="SIX376" s="10"/>
      <c r="SIY376" s="21"/>
      <c r="SIZ376" s="21"/>
      <c r="SJC376" s="21"/>
      <c r="SJD376" s="15"/>
      <c r="SJE376" s="15"/>
      <c r="SJF376" s="15"/>
      <c r="SJG376" s="15"/>
      <c r="SJH376" s="15"/>
      <c r="SJI376" s="15"/>
      <c r="SJJ376" s="15"/>
      <c r="SJK376" s="15"/>
      <c r="SJL376" s="15"/>
      <c r="SJM376" s="15"/>
      <c r="SJN376" s="10"/>
      <c r="SJO376" s="10"/>
      <c r="SJP376" s="21"/>
      <c r="SJQ376" s="21"/>
      <c r="SJT376" s="21"/>
      <c r="SJU376" s="15"/>
      <c r="SJV376" s="15"/>
      <c r="SJW376" s="15"/>
      <c r="SJX376" s="15"/>
      <c r="SJY376" s="15"/>
      <c r="SJZ376" s="15"/>
      <c r="SKA376" s="15"/>
      <c r="SKB376" s="15"/>
      <c r="SKC376" s="15"/>
      <c r="SKD376" s="15"/>
      <c r="SKE376" s="10"/>
      <c r="SKF376" s="10"/>
      <c r="SKG376" s="21"/>
      <c r="SKH376" s="21"/>
      <c r="SKK376" s="21"/>
      <c r="SKL376" s="15"/>
      <c r="SKM376" s="15"/>
      <c r="SKN376" s="15"/>
      <c r="SKO376" s="15"/>
      <c r="SKP376" s="15"/>
      <c r="SKQ376" s="15"/>
      <c r="SKR376" s="15"/>
      <c r="SKS376" s="15"/>
      <c r="SKT376" s="15"/>
      <c r="SKU376" s="15"/>
      <c r="SKV376" s="10"/>
      <c r="SKW376" s="10"/>
      <c r="SKX376" s="21"/>
      <c r="SKY376" s="21"/>
      <c r="SLB376" s="21"/>
      <c r="SLC376" s="15"/>
      <c r="SLD376" s="15"/>
      <c r="SLE376" s="15"/>
      <c r="SLF376" s="15"/>
      <c r="SLG376" s="15"/>
      <c r="SLH376" s="15"/>
      <c r="SLI376" s="15"/>
      <c r="SLJ376" s="15"/>
      <c r="SLK376" s="15"/>
      <c r="SLL376" s="15"/>
      <c r="SLM376" s="10"/>
      <c r="SLN376" s="10"/>
      <c r="SLO376" s="21"/>
      <c r="SLP376" s="21"/>
      <c r="SLS376" s="21"/>
      <c r="SLT376" s="15"/>
      <c r="SLU376" s="15"/>
      <c r="SLV376" s="15"/>
      <c r="SLW376" s="15"/>
      <c r="SLX376" s="15"/>
      <c r="SLY376" s="15"/>
      <c r="SLZ376" s="15"/>
      <c r="SMA376" s="15"/>
      <c r="SMB376" s="15"/>
      <c r="SMC376" s="15"/>
      <c r="SMD376" s="10"/>
      <c r="SME376" s="10"/>
      <c r="SMF376" s="21"/>
      <c r="SMG376" s="21"/>
      <c r="SMJ376" s="21"/>
      <c r="SMK376" s="15"/>
      <c r="SML376" s="15"/>
      <c r="SMM376" s="15"/>
      <c r="SMN376" s="15"/>
      <c r="SMO376" s="15"/>
      <c r="SMP376" s="15"/>
      <c r="SMQ376" s="15"/>
      <c r="SMR376" s="15"/>
      <c r="SMS376" s="15"/>
      <c r="SMT376" s="15"/>
      <c r="SMU376" s="10"/>
      <c r="SMV376" s="10"/>
      <c r="SMW376" s="21"/>
      <c r="SMX376" s="21"/>
      <c r="SNA376" s="21"/>
      <c r="SNB376" s="15"/>
      <c r="SNC376" s="15"/>
      <c r="SND376" s="15"/>
      <c r="SNE376" s="15"/>
      <c r="SNF376" s="15"/>
      <c r="SNG376" s="15"/>
      <c r="SNH376" s="15"/>
      <c r="SNI376" s="15"/>
      <c r="SNJ376" s="15"/>
      <c r="SNK376" s="15"/>
      <c r="SNL376" s="10"/>
      <c r="SNM376" s="10"/>
      <c r="SNN376" s="21"/>
      <c r="SNO376" s="21"/>
      <c r="SNR376" s="21"/>
      <c r="SNS376" s="15"/>
      <c r="SNT376" s="15"/>
      <c r="SNU376" s="15"/>
      <c r="SNV376" s="15"/>
      <c r="SNW376" s="15"/>
      <c r="SNX376" s="15"/>
      <c r="SNY376" s="15"/>
      <c r="SNZ376" s="15"/>
      <c r="SOA376" s="15"/>
      <c r="SOB376" s="15"/>
      <c r="SOC376" s="10"/>
      <c r="SOD376" s="10"/>
      <c r="SOE376" s="21"/>
      <c r="SOF376" s="21"/>
      <c r="SOI376" s="21"/>
      <c r="SOJ376" s="15"/>
      <c r="SOK376" s="15"/>
      <c r="SOL376" s="15"/>
      <c r="SOM376" s="15"/>
      <c r="SON376" s="15"/>
      <c r="SOO376" s="15"/>
      <c r="SOP376" s="15"/>
      <c r="SOQ376" s="15"/>
      <c r="SOR376" s="15"/>
      <c r="SOS376" s="15"/>
      <c r="SOT376" s="10"/>
      <c r="SOU376" s="10"/>
      <c r="SOV376" s="21"/>
      <c r="SOW376" s="21"/>
      <c r="SOZ376" s="21"/>
      <c r="SPA376" s="15"/>
      <c r="SPB376" s="15"/>
      <c r="SPC376" s="15"/>
      <c r="SPD376" s="15"/>
      <c r="SPE376" s="15"/>
      <c r="SPF376" s="15"/>
      <c r="SPG376" s="15"/>
      <c r="SPH376" s="15"/>
      <c r="SPI376" s="15"/>
      <c r="SPJ376" s="15"/>
      <c r="SPK376" s="10"/>
      <c r="SPL376" s="10"/>
      <c r="SPM376" s="21"/>
      <c r="SPN376" s="21"/>
      <c r="SPQ376" s="21"/>
      <c r="SPR376" s="15"/>
      <c r="SPS376" s="15"/>
      <c r="SPT376" s="15"/>
      <c r="SPU376" s="15"/>
      <c r="SPV376" s="15"/>
      <c r="SPW376" s="15"/>
      <c r="SPX376" s="15"/>
      <c r="SPY376" s="15"/>
      <c r="SPZ376" s="15"/>
      <c r="SQA376" s="15"/>
      <c r="SQB376" s="10"/>
      <c r="SQC376" s="10"/>
      <c r="SQD376" s="21"/>
      <c r="SQE376" s="21"/>
      <c r="SQH376" s="21"/>
      <c r="SQI376" s="15"/>
      <c r="SQJ376" s="15"/>
      <c r="SQK376" s="15"/>
      <c r="SQL376" s="15"/>
      <c r="SQM376" s="15"/>
      <c r="SQN376" s="15"/>
      <c r="SQO376" s="15"/>
      <c r="SQP376" s="15"/>
      <c r="SQQ376" s="15"/>
      <c r="SQR376" s="15"/>
      <c r="SQS376" s="10"/>
      <c r="SQT376" s="10"/>
      <c r="SQU376" s="21"/>
      <c r="SQV376" s="21"/>
      <c r="SQY376" s="21"/>
      <c r="SQZ376" s="15"/>
      <c r="SRA376" s="15"/>
      <c r="SRB376" s="15"/>
      <c r="SRC376" s="15"/>
      <c r="SRD376" s="15"/>
      <c r="SRE376" s="15"/>
      <c r="SRF376" s="15"/>
      <c r="SRG376" s="15"/>
      <c r="SRH376" s="15"/>
      <c r="SRI376" s="15"/>
      <c r="SRJ376" s="10"/>
      <c r="SRK376" s="10"/>
      <c r="SRL376" s="21"/>
      <c r="SRM376" s="21"/>
      <c r="SRP376" s="21"/>
      <c r="SRQ376" s="15"/>
      <c r="SRR376" s="15"/>
      <c r="SRS376" s="15"/>
      <c r="SRT376" s="15"/>
      <c r="SRU376" s="15"/>
      <c r="SRV376" s="15"/>
      <c r="SRW376" s="15"/>
      <c r="SRX376" s="15"/>
      <c r="SRY376" s="15"/>
      <c r="SRZ376" s="15"/>
      <c r="SSA376" s="10"/>
      <c r="SSB376" s="10"/>
      <c r="SSC376" s="21"/>
      <c r="SSD376" s="21"/>
      <c r="SSG376" s="21"/>
      <c r="SSH376" s="15"/>
      <c r="SSI376" s="15"/>
      <c r="SSJ376" s="15"/>
      <c r="SSK376" s="15"/>
      <c r="SSL376" s="15"/>
      <c r="SSM376" s="15"/>
      <c r="SSN376" s="15"/>
      <c r="SSO376" s="15"/>
      <c r="SSP376" s="15"/>
      <c r="SSQ376" s="15"/>
      <c r="SSR376" s="10"/>
      <c r="SSS376" s="10"/>
      <c r="SST376" s="21"/>
      <c r="SSU376" s="21"/>
      <c r="SSX376" s="21"/>
      <c r="SSY376" s="15"/>
      <c r="SSZ376" s="15"/>
      <c r="STA376" s="15"/>
      <c r="STB376" s="15"/>
      <c r="STC376" s="15"/>
      <c r="STD376" s="15"/>
      <c r="STE376" s="15"/>
      <c r="STF376" s="15"/>
      <c r="STG376" s="15"/>
      <c r="STH376" s="15"/>
      <c r="STI376" s="10"/>
      <c r="STJ376" s="10"/>
      <c r="STK376" s="21"/>
      <c r="STL376" s="21"/>
      <c r="STO376" s="21"/>
      <c r="STP376" s="15"/>
      <c r="STQ376" s="15"/>
      <c r="STR376" s="15"/>
      <c r="STS376" s="15"/>
      <c r="STT376" s="15"/>
      <c r="STU376" s="15"/>
      <c r="STV376" s="15"/>
      <c r="STW376" s="15"/>
      <c r="STX376" s="15"/>
      <c r="STY376" s="15"/>
      <c r="STZ376" s="10"/>
      <c r="SUA376" s="10"/>
      <c r="SUB376" s="21"/>
      <c r="SUC376" s="21"/>
      <c r="SUF376" s="21"/>
      <c r="SUG376" s="15"/>
      <c r="SUH376" s="15"/>
      <c r="SUI376" s="15"/>
      <c r="SUJ376" s="15"/>
      <c r="SUK376" s="15"/>
      <c r="SUL376" s="15"/>
      <c r="SUM376" s="15"/>
      <c r="SUN376" s="15"/>
      <c r="SUO376" s="15"/>
      <c r="SUP376" s="15"/>
      <c r="SUQ376" s="10"/>
      <c r="SUR376" s="10"/>
      <c r="SUS376" s="21"/>
      <c r="SUT376" s="21"/>
      <c r="SUW376" s="21"/>
      <c r="SUX376" s="15"/>
      <c r="SUY376" s="15"/>
      <c r="SUZ376" s="15"/>
      <c r="SVA376" s="15"/>
      <c r="SVB376" s="15"/>
      <c r="SVC376" s="15"/>
      <c r="SVD376" s="15"/>
      <c r="SVE376" s="15"/>
      <c r="SVF376" s="15"/>
      <c r="SVG376" s="15"/>
      <c r="SVH376" s="10"/>
      <c r="SVI376" s="10"/>
      <c r="SVJ376" s="21"/>
      <c r="SVK376" s="21"/>
      <c r="SVN376" s="21"/>
      <c r="SVO376" s="15"/>
      <c r="SVP376" s="15"/>
      <c r="SVQ376" s="15"/>
      <c r="SVR376" s="15"/>
      <c r="SVS376" s="15"/>
      <c r="SVT376" s="15"/>
      <c r="SVU376" s="15"/>
      <c r="SVV376" s="15"/>
      <c r="SVW376" s="15"/>
      <c r="SVX376" s="15"/>
      <c r="SVY376" s="10"/>
      <c r="SVZ376" s="10"/>
      <c r="SWA376" s="21"/>
      <c r="SWB376" s="21"/>
      <c r="SWE376" s="21"/>
      <c r="SWF376" s="15"/>
      <c r="SWG376" s="15"/>
      <c r="SWH376" s="15"/>
      <c r="SWI376" s="15"/>
      <c r="SWJ376" s="15"/>
      <c r="SWK376" s="15"/>
      <c r="SWL376" s="15"/>
      <c r="SWM376" s="15"/>
      <c r="SWN376" s="15"/>
      <c r="SWO376" s="15"/>
      <c r="SWP376" s="10"/>
      <c r="SWQ376" s="10"/>
      <c r="SWR376" s="21"/>
      <c r="SWS376" s="21"/>
      <c r="SWV376" s="21"/>
      <c r="SWW376" s="15"/>
      <c r="SWX376" s="15"/>
      <c r="SWY376" s="15"/>
      <c r="SWZ376" s="15"/>
      <c r="SXA376" s="15"/>
      <c r="SXB376" s="15"/>
      <c r="SXC376" s="15"/>
      <c r="SXD376" s="15"/>
      <c r="SXE376" s="15"/>
      <c r="SXF376" s="15"/>
      <c r="SXG376" s="10"/>
      <c r="SXH376" s="10"/>
      <c r="SXI376" s="21"/>
      <c r="SXJ376" s="21"/>
      <c r="SXM376" s="21"/>
      <c r="SXN376" s="15"/>
      <c r="SXO376" s="15"/>
      <c r="SXP376" s="15"/>
      <c r="SXQ376" s="15"/>
      <c r="SXR376" s="15"/>
      <c r="SXS376" s="15"/>
      <c r="SXT376" s="15"/>
      <c r="SXU376" s="15"/>
      <c r="SXV376" s="15"/>
      <c r="SXW376" s="15"/>
      <c r="SXX376" s="10"/>
      <c r="SXY376" s="10"/>
      <c r="SXZ376" s="21"/>
      <c r="SYA376" s="21"/>
      <c r="SYD376" s="21"/>
      <c r="SYE376" s="15"/>
      <c r="SYF376" s="15"/>
      <c r="SYG376" s="15"/>
      <c r="SYH376" s="15"/>
      <c r="SYI376" s="15"/>
      <c r="SYJ376" s="15"/>
      <c r="SYK376" s="15"/>
      <c r="SYL376" s="15"/>
      <c r="SYM376" s="15"/>
      <c r="SYN376" s="15"/>
      <c r="SYO376" s="10"/>
      <c r="SYP376" s="10"/>
      <c r="SYQ376" s="21"/>
      <c r="SYR376" s="21"/>
      <c r="SYU376" s="21"/>
      <c r="SYV376" s="15"/>
      <c r="SYW376" s="15"/>
      <c r="SYX376" s="15"/>
      <c r="SYY376" s="15"/>
      <c r="SYZ376" s="15"/>
      <c r="SZA376" s="15"/>
      <c r="SZB376" s="15"/>
      <c r="SZC376" s="15"/>
      <c r="SZD376" s="15"/>
      <c r="SZE376" s="15"/>
      <c r="SZF376" s="10"/>
      <c r="SZG376" s="10"/>
      <c r="SZH376" s="21"/>
      <c r="SZI376" s="21"/>
      <c r="SZL376" s="21"/>
      <c r="SZM376" s="15"/>
      <c r="SZN376" s="15"/>
      <c r="SZO376" s="15"/>
      <c r="SZP376" s="15"/>
      <c r="SZQ376" s="15"/>
      <c r="SZR376" s="15"/>
      <c r="SZS376" s="15"/>
      <c r="SZT376" s="15"/>
      <c r="SZU376" s="15"/>
      <c r="SZV376" s="15"/>
      <c r="SZW376" s="10"/>
      <c r="SZX376" s="10"/>
      <c r="SZY376" s="21"/>
      <c r="SZZ376" s="21"/>
      <c r="TAC376" s="21"/>
      <c r="TAD376" s="15"/>
      <c r="TAE376" s="15"/>
      <c r="TAF376" s="15"/>
      <c r="TAG376" s="15"/>
      <c r="TAH376" s="15"/>
      <c r="TAI376" s="15"/>
      <c r="TAJ376" s="15"/>
      <c r="TAK376" s="15"/>
      <c r="TAL376" s="15"/>
      <c r="TAM376" s="15"/>
      <c r="TAN376" s="10"/>
      <c r="TAO376" s="10"/>
      <c r="TAP376" s="21"/>
      <c r="TAQ376" s="21"/>
      <c r="TAT376" s="21"/>
      <c r="TAU376" s="15"/>
      <c r="TAV376" s="15"/>
      <c r="TAW376" s="15"/>
      <c r="TAX376" s="15"/>
      <c r="TAY376" s="15"/>
      <c r="TAZ376" s="15"/>
      <c r="TBA376" s="15"/>
      <c r="TBB376" s="15"/>
      <c r="TBC376" s="15"/>
      <c r="TBD376" s="15"/>
      <c r="TBE376" s="10"/>
      <c r="TBF376" s="10"/>
      <c r="TBG376" s="21"/>
      <c r="TBH376" s="21"/>
      <c r="TBK376" s="21"/>
      <c r="TBL376" s="15"/>
      <c r="TBM376" s="15"/>
      <c r="TBN376" s="15"/>
      <c r="TBO376" s="15"/>
      <c r="TBP376" s="15"/>
      <c r="TBQ376" s="15"/>
      <c r="TBR376" s="15"/>
      <c r="TBS376" s="15"/>
      <c r="TBT376" s="15"/>
      <c r="TBU376" s="15"/>
      <c r="TBV376" s="10"/>
      <c r="TBW376" s="10"/>
      <c r="TBX376" s="21"/>
      <c r="TBY376" s="21"/>
      <c r="TCB376" s="21"/>
      <c r="TCC376" s="15"/>
      <c r="TCD376" s="15"/>
      <c r="TCE376" s="15"/>
      <c r="TCF376" s="15"/>
      <c r="TCG376" s="15"/>
      <c r="TCH376" s="15"/>
      <c r="TCI376" s="15"/>
      <c r="TCJ376" s="15"/>
      <c r="TCK376" s="15"/>
      <c r="TCL376" s="15"/>
      <c r="TCM376" s="10"/>
      <c r="TCN376" s="10"/>
      <c r="TCO376" s="21"/>
      <c r="TCP376" s="21"/>
      <c r="TCS376" s="21"/>
      <c r="TCT376" s="15"/>
      <c r="TCU376" s="15"/>
      <c r="TCV376" s="15"/>
      <c r="TCW376" s="15"/>
      <c r="TCX376" s="15"/>
      <c r="TCY376" s="15"/>
      <c r="TCZ376" s="15"/>
      <c r="TDA376" s="15"/>
      <c r="TDB376" s="15"/>
      <c r="TDC376" s="15"/>
      <c r="TDD376" s="10"/>
      <c r="TDE376" s="10"/>
      <c r="TDF376" s="21"/>
      <c r="TDG376" s="21"/>
      <c r="TDJ376" s="21"/>
      <c r="TDK376" s="15"/>
      <c r="TDL376" s="15"/>
      <c r="TDM376" s="15"/>
      <c r="TDN376" s="15"/>
      <c r="TDO376" s="15"/>
      <c r="TDP376" s="15"/>
      <c r="TDQ376" s="15"/>
      <c r="TDR376" s="15"/>
      <c r="TDS376" s="15"/>
      <c r="TDT376" s="15"/>
      <c r="TDU376" s="10"/>
      <c r="TDV376" s="10"/>
      <c r="TDW376" s="21"/>
      <c r="TDX376" s="21"/>
      <c r="TEA376" s="21"/>
      <c r="TEB376" s="15"/>
      <c r="TEC376" s="15"/>
      <c r="TED376" s="15"/>
      <c r="TEE376" s="15"/>
      <c r="TEF376" s="15"/>
      <c r="TEG376" s="15"/>
      <c r="TEH376" s="15"/>
      <c r="TEI376" s="15"/>
      <c r="TEJ376" s="15"/>
      <c r="TEK376" s="15"/>
      <c r="TEL376" s="10"/>
      <c r="TEM376" s="10"/>
      <c r="TEN376" s="21"/>
      <c r="TEO376" s="21"/>
      <c r="TER376" s="21"/>
      <c r="TES376" s="15"/>
      <c r="TET376" s="15"/>
      <c r="TEU376" s="15"/>
      <c r="TEV376" s="15"/>
      <c r="TEW376" s="15"/>
      <c r="TEX376" s="15"/>
      <c r="TEY376" s="15"/>
      <c r="TEZ376" s="15"/>
      <c r="TFA376" s="15"/>
      <c r="TFB376" s="15"/>
      <c r="TFC376" s="10"/>
      <c r="TFD376" s="10"/>
      <c r="TFE376" s="21"/>
      <c r="TFF376" s="21"/>
      <c r="TFI376" s="21"/>
      <c r="TFJ376" s="15"/>
      <c r="TFK376" s="15"/>
      <c r="TFL376" s="15"/>
      <c r="TFM376" s="15"/>
      <c r="TFN376" s="15"/>
      <c r="TFO376" s="15"/>
      <c r="TFP376" s="15"/>
      <c r="TFQ376" s="15"/>
      <c r="TFR376" s="15"/>
      <c r="TFS376" s="15"/>
      <c r="TFT376" s="10"/>
      <c r="TFU376" s="10"/>
      <c r="TFV376" s="21"/>
      <c r="TFW376" s="21"/>
      <c r="TFZ376" s="21"/>
      <c r="TGA376" s="15"/>
      <c r="TGB376" s="15"/>
      <c r="TGC376" s="15"/>
      <c r="TGD376" s="15"/>
      <c r="TGE376" s="15"/>
      <c r="TGF376" s="15"/>
      <c r="TGG376" s="15"/>
      <c r="TGH376" s="15"/>
      <c r="TGI376" s="15"/>
      <c r="TGJ376" s="15"/>
      <c r="TGK376" s="10"/>
      <c r="TGL376" s="10"/>
      <c r="TGM376" s="21"/>
      <c r="TGN376" s="21"/>
      <c r="TGQ376" s="21"/>
      <c r="TGR376" s="15"/>
      <c r="TGS376" s="15"/>
      <c r="TGT376" s="15"/>
      <c r="TGU376" s="15"/>
      <c r="TGV376" s="15"/>
      <c r="TGW376" s="15"/>
      <c r="TGX376" s="15"/>
      <c r="TGY376" s="15"/>
      <c r="TGZ376" s="15"/>
      <c r="THA376" s="15"/>
      <c r="THB376" s="10"/>
      <c r="THC376" s="10"/>
      <c r="THD376" s="21"/>
      <c r="THE376" s="21"/>
      <c r="THH376" s="21"/>
      <c r="THI376" s="15"/>
      <c r="THJ376" s="15"/>
      <c r="THK376" s="15"/>
      <c r="THL376" s="15"/>
      <c r="THM376" s="15"/>
      <c r="THN376" s="15"/>
      <c r="THO376" s="15"/>
      <c r="THP376" s="15"/>
      <c r="THQ376" s="15"/>
      <c r="THR376" s="15"/>
      <c r="THS376" s="10"/>
      <c r="THT376" s="10"/>
      <c r="THU376" s="21"/>
      <c r="THV376" s="21"/>
      <c r="THY376" s="21"/>
      <c r="THZ376" s="15"/>
      <c r="TIA376" s="15"/>
      <c r="TIB376" s="15"/>
      <c r="TIC376" s="15"/>
      <c r="TID376" s="15"/>
      <c r="TIE376" s="15"/>
      <c r="TIF376" s="15"/>
      <c r="TIG376" s="15"/>
      <c r="TIH376" s="15"/>
      <c r="TII376" s="15"/>
      <c r="TIJ376" s="10"/>
      <c r="TIK376" s="10"/>
      <c r="TIL376" s="21"/>
      <c r="TIM376" s="21"/>
      <c r="TIP376" s="21"/>
      <c r="TIQ376" s="15"/>
      <c r="TIR376" s="15"/>
      <c r="TIS376" s="15"/>
      <c r="TIT376" s="15"/>
      <c r="TIU376" s="15"/>
      <c r="TIV376" s="15"/>
      <c r="TIW376" s="15"/>
      <c r="TIX376" s="15"/>
      <c r="TIY376" s="15"/>
      <c r="TIZ376" s="15"/>
      <c r="TJA376" s="10"/>
      <c r="TJB376" s="10"/>
      <c r="TJC376" s="21"/>
      <c r="TJD376" s="21"/>
      <c r="TJG376" s="21"/>
      <c r="TJH376" s="15"/>
      <c r="TJI376" s="15"/>
      <c r="TJJ376" s="15"/>
      <c r="TJK376" s="15"/>
      <c r="TJL376" s="15"/>
      <c r="TJM376" s="15"/>
      <c r="TJN376" s="15"/>
      <c r="TJO376" s="15"/>
      <c r="TJP376" s="15"/>
      <c r="TJQ376" s="15"/>
      <c r="TJR376" s="10"/>
      <c r="TJS376" s="10"/>
      <c r="TJT376" s="21"/>
      <c r="TJU376" s="21"/>
      <c r="TJX376" s="21"/>
      <c r="TJY376" s="15"/>
      <c r="TJZ376" s="15"/>
      <c r="TKA376" s="15"/>
      <c r="TKB376" s="15"/>
      <c r="TKC376" s="15"/>
      <c r="TKD376" s="15"/>
      <c r="TKE376" s="15"/>
      <c r="TKF376" s="15"/>
      <c r="TKG376" s="15"/>
      <c r="TKH376" s="15"/>
      <c r="TKI376" s="10"/>
      <c r="TKJ376" s="10"/>
      <c r="TKK376" s="21"/>
      <c r="TKL376" s="21"/>
      <c r="TKO376" s="21"/>
      <c r="TKP376" s="15"/>
      <c r="TKQ376" s="15"/>
      <c r="TKR376" s="15"/>
      <c r="TKS376" s="15"/>
      <c r="TKT376" s="15"/>
      <c r="TKU376" s="15"/>
      <c r="TKV376" s="15"/>
      <c r="TKW376" s="15"/>
      <c r="TKX376" s="15"/>
      <c r="TKY376" s="15"/>
      <c r="TKZ376" s="10"/>
      <c r="TLA376" s="10"/>
      <c r="TLB376" s="21"/>
      <c r="TLC376" s="21"/>
      <c r="TLF376" s="21"/>
      <c r="TLG376" s="15"/>
      <c r="TLH376" s="15"/>
      <c r="TLI376" s="15"/>
      <c r="TLJ376" s="15"/>
      <c r="TLK376" s="15"/>
      <c r="TLL376" s="15"/>
      <c r="TLM376" s="15"/>
      <c r="TLN376" s="15"/>
      <c r="TLO376" s="15"/>
      <c r="TLP376" s="15"/>
      <c r="TLQ376" s="10"/>
      <c r="TLR376" s="10"/>
      <c r="TLS376" s="21"/>
      <c r="TLT376" s="21"/>
      <c r="TLW376" s="21"/>
      <c r="TLX376" s="15"/>
      <c r="TLY376" s="15"/>
      <c r="TLZ376" s="15"/>
      <c r="TMA376" s="15"/>
      <c r="TMB376" s="15"/>
      <c r="TMC376" s="15"/>
      <c r="TMD376" s="15"/>
      <c r="TME376" s="15"/>
      <c r="TMF376" s="15"/>
      <c r="TMG376" s="15"/>
      <c r="TMH376" s="10"/>
      <c r="TMI376" s="10"/>
      <c r="TMJ376" s="21"/>
      <c r="TMK376" s="21"/>
      <c r="TMN376" s="21"/>
      <c r="TMO376" s="15"/>
      <c r="TMP376" s="15"/>
      <c r="TMQ376" s="15"/>
      <c r="TMR376" s="15"/>
      <c r="TMS376" s="15"/>
      <c r="TMT376" s="15"/>
      <c r="TMU376" s="15"/>
      <c r="TMV376" s="15"/>
      <c r="TMW376" s="15"/>
      <c r="TMX376" s="15"/>
      <c r="TMY376" s="10"/>
      <c r="TMZ376" s="10"/>
      <c r="TNA376" s="21"/>
      <c r="TNB376" s="21"/>
      <c r="TNE376" s="21"/>
      <c r="TNF376" s="15"/>
      <c r="TNG376" s="15"/>
      <c r="TNH376" s="15"/>
      <c r="TNI376" s="15"/>
      <c r="TNJ376" s="15"/>
      <c r="TNK376" s="15"/>
      <c r="TNL376" s="15"/>
      <c r="TNM376" s="15"/>
      <c r="TNN376" s="15"/>
      <c r="TNO376" s="15"/>
      <c r="TNP376" s="10"/>
      <c r="TNQ376" s="10"/>
      <c r="TNR376" s="21"/>
      <c r="TNS376" s="21"/>
      <c r="TNV376" s="21"/>
      <c r="TNW376" s="15"/>
      <c r="TNX376" s="15"/>
      <c r="TNY376" s="15"/>
      <c r="TNZ376" s="15"/>
      <c r="TOA376" s="15"/>
      <c r="TOB376" s="15"/>
      <c r="TOC376" s="15"/>
      <c r="TOD376" s="15"/>
      <c r="TOE376" s="15"/>
      <c r="TOF376" s="15"/>
      <c r="TOG376" s="10"/>
      <c r="TOH376" s="10"/>
      <c r="TOI376" s="21"/>
      <c r="TOJ376" s="21"/>
      <c r="TOM376" s="21"/>
      <c r="TON376" s="15"/>
      <c r="TOO376" s="15"/>
      <c r="TOP376" s="15"/>
      <c r="TOQ376" s="15"/>
      <c r="TOR376" s="15"/>
      <c r="TOS376" s="15"/>
      <c r="TOT376" s="15"/>
      <c r="TOU376" s="15"/>
      <c r="TOV376" s="15"/>
      <c r="TOW376" s="15"/>
      <c r="TOX376" s="10"/>
      <c r="TOY376" s="10"/>
      <c r="TOZ376" s="21"/>
      <c r="TPA376" s="21"/>
      <c r="TPD376" s="21"/>
      <c r="TPE376" s="15"/>
      <c r="TPF376" s="15"/>
      <c r="TPG376" s="15"/>
      <c r="TPH376" s="15"/>
      <c r="TPI376" s="15"/>
      <c r="TPJ376" s="15"/>
      <c r="TPK376" s="15"/>
      <c r="TPL376" s="15"/>
      <c r="TPM376" s="15"/>
      <c r="TPN376" s="15"/>
      <c r="TPO376" s="10"/>
      <c r="TPP376" s="10"/>
      <c r="TPQ376" s="21"/>
      <c r="TPR376" s="21"/>
      <c r="TPU376" s="21"/>
      <c r="TPV376" s="15"/>
      <c r="TPW376" s="15"/>
      <c r="TPX376" s="15"/>
      <c r="TPY376" s="15"/>
      <c r="TPZ376" s="15"/>
      <c r="TQA376" s="15"/>
      <c r="TQB376" s="15"/>
      <c r="TQC376" s="15"/>
      <c r="TQD376" s="15"/>
      <c r="TQE376" s="15"/>
      <c r="TQF376" s="10"/>
      <c r="TQG376" s="10"/>
      <c r="TQH376" s="21"/>
      <c r="TQI376" s="21"/>
      <c r="TQL376" s="21"/>
      <c r="TQM376" s="15"/>
      <c r="TQN376" s="15"/>
      <c r="TQO376" s="15"/>
      <c r="TQP376" s="15"/>
      <c r="TQQ376" s="15"/>
      <c r="TQR376" s="15"/>
      <c r="TQS376" s="15"/>
      <c r="TQT376" s="15"/>
      <c r="TQU376" s="15"/>
      <c r="TQV376" s="15"/>
      <c r="TQW376" s="10"/>
      <c r="TQX376" s="10"/>
      <c r="TQY376" s="21"/>
      <c r="TQZ376" s="21"/>
      <c r="TRC376" s="21"/>
      <c r="TRD376" s="15"/>
      <c r="TRE376" s="15"/>
      <c r="TRF376" s="15"/>
      <c r="TRG376" s="15"/>
      <c r="TRH376" s="15"/>
      <c r="TRI376" s="15"/>
      <c r="TRJ376" s="15"/>
      <c r="TRK376" s="15"/>
      <c r="TRL376" s="15"/>
      <c r="TRM376" s="15"/>
      <c r="TRN376" s="10"/>
      <c r="TRO376" s="10"/>
      <c r="TRP376" s="21"/>
      <c r="TRQ376" s="21"/>
      <c r="TRT376" s="21"/>
      <c r="TRU376" s="15"/>
      <c r="TRV376" s="15"/>
      <c r="TRW376" s="15"/>
      <c r="TRX376" s="15"/>
      <c r="TRY376" s="15"/>
      <c r="TRZ376" s="15"/>
      <c r="TSA376" s="15"/>
      <c r="TSB376" s="15"/>
      <c r="TSC376" s="15"/>
      <c r="TSD376" s="15"/>
      <c r="TSE376" s="10"/>
      <c r="TSF376" s="10"/>
      <c r="TSG376" s="21"/>
      <c r="TSH376" s="21"/>
      <c r="TSK376" s="21"/>
      <c r="TSL376" s="15"/>
      <c r="TSM376" s="15"/>
      <c r="TSN376" s="15"/>
      <c r="TSO376" s="15"/>
      <c r="TSP376" s="15"/>
      <c r="TSQ376" s="15"/>
      <c r="TSR376" s="15"/>
      <c r="TSS376" s="15"/>
      <c r="TST376" s="15"/>
      <c r="TSU376" s="15"/>
      <c r="TSV376" s="10"/>
      <c r="TSW376" s="10"/>
      <c r="TSX376" s="21"/>
      <c r="TSY376" s="21"/>
      <c r="TTB376" s="21"/>
      <c r="TTC376" s="15"/>
      <c r="TTD376" s="15"/>
      <c r="TTE376" s="15"/>
      <c r="TTF376" s="15"/>
      <c r="TTG376" s="15"/>
      <c r="TTH376" s="15"/>
      <c r="TTI376" s="15"/>
      <c r="TTJ376" s="15"/>
      <c r="TTK376" s="15"/>
      <c r="TTL376" s="15"/>
      <c r="TTM376" s="10"/>
      <c r="TTN376" s="10"/>
      <c r="TTO376" s="21"/>
      <c r="TTP376" s="21"/>
      <c r="TTS376" s="21"/>
      <c r="TTT376" s="15"/>
      <c r="TTU376" s="15"/>
      <c r="TTV376" s="15"/>
      <c r="TTW376" s="15"/>
      <c r="TTX376" s="15"/>
      <c r="TTY376" s="15"/>
      <c r="TTZ376" s="15"/>
      <c r="TUA376" s="15"/>
      <c r="TUB376" s="15"/>
      <c r="TUC376" s="15"/>
      <c r="TUD376" s="10"/>
      <c r="TUE376" s="10"/>
      <c r="TUF376" s="21"/>
      <c r="TUG376" s="21"/>
      <c r="TUJ376" s="21"/>
      <c r="TUK376" s="15"/>
      <c r="TUL376" s="15"/>
      <c r="TUM376" s="15"/>
      <c r="TUN376" s="15"/>
      <c r="TUO376" s="15"/>
      <c r="TUP376" s="15"/>
      <c r="TUQ376" s="15"/>
      <c r="TUR376" s="15"/>
      <c r="TUS376" s="15"/>
      <c r="TUT376" s="15"/>
      <c r="TUU376" s="10"/>
      <c r="TUV376" s="10"/>
      <c r="TUW376" s="21"/>
      <c r="TUX376" s="21"/>
      <c r="TVA376" s="21"/>
      <c r="TVB376" s="15"/>
      <c r="TVC376" s="15"/>
      <c r="TVD376" s="15"/>
      <c r="TVE376" s="15"/>
      <c r="TVF376" s="15"/>
      <c r="TVG376" s="15"/>
      <c r="TVH376" s="15"/>
      <c r="TVI376" s="15"/>
      <c r="TVJ376" s="15"/>
      <c r="TVK376" s="15"/>
      <c r="TVL376" s="10"/>
      <c r="TVM376" s="10"/>
      <c r="TVN376" s="21"/>
      <c r="TVO376" s="21"/>
      <c r="TVR376" s="21"/>
      <c r="TVS376" s="15"/>
      <c r="TVT376" s="15"/>
      <c r="TVU376" s="15"/>
      <c r="TVV376" s="15"/>
      <c r="TVW376" s="15"/>
      <c r="TVX376" s="15"/>
      <c r="TVY376" s="15"/>
      <c r="TVZ376" s="15"/>
      <c r="TWA376" s="15"/>
      <c r="TWB376" s="15"/>
      <c r="TWC376" s="10"/>
      <c r="TWD376" s="10"/>
      <c r="TWE376" s="21"/>
      <c r="TWF376" s="21"/>
      <c r="TWI376" s="21"/>
      <c r="TWJ376" s="15"/>
      <c r="TWK376" s="15"/>
      <c r="TWL376" s="15"/>
      <c r="TWM376" s="15"/>
      <c r="TWN376" s="15"/>
      <c r="TWO376" s="15"/>
      <c r="TWP376" s="15"/>
      <c r="TWQ376" s="15"/>
      <c r="TWR376" s="15"/>
      <c r="TWS376" s="15"/>
      <c r="TWT376" s="10"/>
      <c r="TWU376" s="10"/>
      <c r="TWV376" s="21"/>
      <c r="TWW376" s="21"/>
      <c r="TWZ376" s="21"/>
      <c r="TXA376" s="15"/>
      <c r="TXB376" s="15"/>
      <c r="TXC376" s="15"/>
      <c r="TXD376" s="15"/>
      <c r="TXE376" s="15"/>
      <c r="TXF376" s="15"/>
      <c r="TXG376" s="15"/>
      <c r="TXH376" s="15"/>
      <c r="TXI376" s="15"/>
      <c r="TXJ376" s="15"/>
      <c r="TXK376" s="10"/>
      <c r="TXL376" s="10"/>
      <c r="TXM376" s="21"/>
      <c r="TXN376" s="21"/>
      <c r="TXQ376" s="21"/>
      <c r="TXR376" s="15"/>
      <c r="TXS376" s="15"/>
      <c r="TXT376" s="15"/>
      <c r="TXU376" s="15"/>
      <c r="TXV376" s="15"/>
      <c r="TXW376" s="15"/>
      <c r="TXX376" s="15"/>
      <c r="TXY376" s="15"/>
      <c r="TXZ376" s="15"/>
      <c r="TYA376" s="15"/>
      <c r="TYB376" s="10"/>
      <c r="TYC376" s="10"/>
      <c r="TYD376" s="21"/>
      <c r="TYE376" s="21"/>
      <c r="TYH376" s="21"/>
      <c r="TYI376" s="15"/>
      <c r="TYJ376" s="15"/>
      <c r="TYK376" s="15"/>
      <c r="TYL376" s="15"/>
      <c r="TYM376" s="15"/>
      <c r="TYN376" s="15"/>
      <c r="TYO376" s="15"/>
      <c r="TYP376" s="15"/>
      <c r="TYQ376" s="15"/>
      <c r="TYR376" s="15"/>
      <c r="TYS376" s="10"/>
      <c r="TYT376" s="10"/>
      <c r="TYU376" s="21"/>
      <c r="TYV376" s="21"/>
      <c r="TYY376" s="21"/>
      <c r="TYZ376" s="15"/>
      <c r="TZA376" s="15"/>
      <c r="TZB376" s="15"/>
      <c r="TZC376" s="15"/>
      <c r="TZD376" s="15"/>
      <c r="TZE376" s="15"/>
      <c r="TZF376" s="15"/>
      <c r="TZG376" s="15"/>
      <c r="TZH376" s="15"/>
      <c r="TZI376" s="15"/>
      <c r="TZJ376" s="10"/>
      <c r="TZK376" s="10"/>
      <c r="TZL376" s="21"/>
      <c r="TZM376" s="21"/>
      <c r="TZP376" s="21"/>
      <c r="TZQ376" s="15"/>
      <c r="TZR376" s="15"/>
      <c r="TZS376" s="15"/>
      <c r="TZT376" s="15"/>
      <c r="TZU376" s="15"/>
      <c r="TZV376" s="15"/>
      <c r="TZW376" s="15"/>
      <c r="TZX376" s="15"/>
      <c r="TZY376" s="15"/>
      <c r="TZZ376" s="15"/>
      <c r="UAA376" s="10"/>
      <c r="UAB376" s="10"/>
      <c r="UAC376" s="21"/>
      <c r="UAD376" s="21"/>
      <c r="UAG376" s="21"/>
      <c r="UAH376" s="15"/>
      <c r="UAI376" s="15"/>
      <c r="UAJ376" s="15"/>
      <c r="UAK376" s="15"/>
      <c r="UAL376" s="15"/>
      <c r="UAM376" s="15"/>
      <c r="UAN376" s="15"/>
      <c r="UAO376" s="15"/>
      <c r="UAP376" s="15"/>
      <c r="UAQ376" s="15"/>
      <c r="UAR376" s="10"/>
      <c r="UAS376" s="10"/>
      <c r="UAT376" s="21"/>
      <c r="UAU376" s="21"/>
      <c r="UAX376" s="21"/>
      <c r="UAY376" s="15"/>
      <c r="UAZ376" s="15"/>
      <c r="UBA376" s="15"/>
      <c r="UBB376" s="15"/>
      <c r="UBC376" s="15"/>
      <c r="UBD376" s="15"/>
      <c r="UBE376" s="15"/>
      <c r="UBF376" s="15"/>
      <c r="UBG376" s="15"/>
      <c r="UBH376" s="15"/>
      <c r="UBI376" s="10"/>
      <c r="UBJ376" s="10"/>
      <c r="UBK376" s="21"/>
      <c r="UBL376" s="21"/>
      <c r="UBO376" s="21"/>
      <c r="UBP376" s="15"/>
      <c r="UBQ376" s="15"/>
      <c r="UBR376" s="15"/>
      <c r="UBS376" s="15"/>
      <c r="UBT376" s="15"/>
      <c r="UBU376" s="15"/>
      <c r="UBV376" s="15"/>
      <c r="UBW376" s="15"/>
      <c r="UBX376" s="15"/>
      <c r="UBY376" s="15"/>
      <c r="UBZ376" s="10"/>
      <c r="UCA376" s="10"/>
      <c r="UCB376" s="21"/>
      <c r="UCC376" s="21"/>
      <c r="UCF376" s="21"/>
      <c r="UCG376" s="15"/>
      <c r="UCH376" s="15"/>
      <c r="UCI376" s="15"/>
      <c r="UCJ376" s="15"/>
      <c r="UCK376" s="15"/>
      <c r="UCL376" s="15"/>
      <c r="UCM376" s="15"/>
      <c r="UCN376" s="15"/>
      <c r="UCO376" s="15"/>
      <c r="UCP376" s="15"/>
      <c r="UCQ376" s="10"/>
      <c r="UCR376" s="10"/>
      <c r="UCS376" s="21"/>
      <c r="UCT376" s="21"/>
      <c r="UCW376" s="21"/>
      <c r="UCX376" s="15"/>
      <c r="UCY376" s="15"/>
      <c r="UCZ376" s="15"/>
      <c r="UDA376" s="15"/>
      <c r="UDB376" s="15"/>
      <c r="UDC376" s="15"/>
      <c r="UDD376" s="15"/>
      <c r="UDE376" s="15"/>
      <c r="UDF376" s="15"/>
      <c r="UDG376" s="15"/>
      <c r="UDH376" s="10"/>
      <c r="UDI376" s="10"/>
      <c r="UDJ376" s="21"/>
      <c r="UDK376" s="21"/>
      <c r="UDN376" s="21"/>
      <c r="UDO376" s="15"/>
      <c r="UDP376" s="15"/>
      <c r="UDQ376" s="15"/>
      <c r="UDR376" s="15"/>
      <c r="UDS376" s="15"/>
      <c r="UDT376" s="15"/>
      <c r="UDU376" s="15"/>
      <c r="UDV376" s="15"/>
      <c r="UDW376" s="15"/>
      <c r="UDX376" s="15"/>
      <c r="UDY376" s="10"/>
      <c r="UDZ376" s="10"/>
      <c r="UEA376" s="21"/>
      <c r="UEB376" s="21"/>
      <c r="UEE376" s="21"/>
      <c r="UEF376" s="15"/>
      <c r="UEG376" s="15"/>
      <c r="UEH376" s="15"/>
      <c r="UEI376" s="15"/>
      <c r="UEJ376" s="15"/>
      <c r="UEK376" s="15"/>
      <c r="UEL376" s="15"/>
      <c r="UEM376" s="15"/>
      <c r="UEN376" s="15"/>
      <c r="UEO376" s="15"/>
      <c r="UEP376" s="10"/>
      <c r="UEQ376" s="10"/>
      <c r="UER376" s="21"/>
      <c r="UES376" s="21"/>
      <c r="UEV376" s="21"/>
      <c r="UEW376" s="15"/>
      <c r="UEX376" s="15"/>
      <c r="UEY376" s="15"/>
      <c r="UEZ376" s="15"/>
      <c r="UFA376" s="15"/>
      <c r="UFB376" s="15"/>
      <c r="UFC376" s="15"/>
      <c r="UFD376" s="15"/>
      <c r="UFE376" s="15"/>
      <c r="UFF376" s="15"/>
      <c r="UFG376" s="10"/>
      <c r="UFH376" s="10"/>
      <c r="UFI376" s="21"/>
      <c r="UFJ376" s="21"/>
      <c r="UFM376" s="21"/>
      <c r="UFN376" s="15"/>
      <c r="UFO376" s="15"/>
      <c r="UFP376" s="15"/>
      <c r="UFQ376" s="15"/>
      <c r="UFR376" s="15"/>
      <c r="UFS376" s="15"/>
      <c r="UFT376" s="15"/>
      <c r="UFU376" s="15"/>
      <c r="UFV376" s="15"/>
      <c r="UFW376" s="15"/>
      <c r="UFX376" s="10"/>
      <c r="UFY376" s="10"/>
      <c r="UFZ376" s="21"/>
      <c r="UGA376" s="21"/>
      <c r="UGD376" s="21"/>
      <c r="UGE376" s="15"/>
      <c r="UGF376" s="15"/>
      <c r="UGG376" s="15"/>
      <c r="UGH376" s="15"/>
      <c r="UGI376" s="15"/>
      <c r="UGJ376" s="15"/>
      <c r="UGK376" s="15"/>
      <c r="UGL376" s="15"/>
      <c r="UGM376" s="15"/>
      <c r="UGN376" s="15"/>
      <c r="UGO376" s="10"/>
      <c r="UGP376" s="10"/>
      <c r="UGQ376" s="21"/>
      <c r="UGR376" s="21"/>
      <c r="UGU376" s="21"/>
      <c r="UGV376" s="15"/>
      <c r="UGW376" s="15"/>
      <c r="UGX376" s="15"/>
      <c r="UGY376" s="15"/>
      <c r="UGZ376" s="15"/>
      <c r="UHA376" s="15"/>
      <c r="UHB376" s="15"/>
      <c r="UHC376" s="15"/>
      <c r="UHD376" s="15"/>
      <c r="UHE376" s="15"/>
      <c r="UHF376" s="10"/>
      <c r="UHG376" s="10"/>
      <c r="UHH376" s="21"/>
      <c r="UHI376" s="21"/>
      <c r="UHL376" s="21"/>
      <c r="UHM376" s="15"/>
      <c r="UHN376" s="15"/>
      <c r="UHO376" s="15"/>
      <c r="UHP376" s="15"/>
      <c r="UHQ376" s="15"/>
      <c r="UHR376" s="15"/>
      <c r="UHS376" s="15"/>
      <c r="UHT376" s="15"/>
      <c r="UHU376" s="15"/>
      <c r="UHV376" s="15"/>
      <c r="UHW376" s="10"/>
      <c r="UHX376" s="10"/>
      <c r="UHY376" s="21"/>
      <c r="UHZ376" s="21"/>
      <c r="UIC376" s="21"/>
      <c r="UID376" s="15"/>
      <c r="UIE376" s="15"/>
      <c r="UIF376" s="15"/>
      <c r="UIG376" s="15"/>
      <c r="UIH376" s="15"/>
      <c r="UII376" s="15"/>
      <c r="UIJ376" s="15"/>
      <c r="UIK376" s="15"/>
      <c r="UIL376" s="15"/>
      <c r="UIM376" s="15"/>
      <c r="UIN376" s="10"/>
      <c r="UIO376" s="10"/>
      <c r="UIP376" s="21"/>
      <c r="UIQ376" s="21"/>
      <c r="UIT376" s="21"/>
      <c r="UIU376" s="15"/>
      <c r="UIV376" s="15"/>
      <c r="UIW376" s="15"/>
      <c r="UIX376" s="15"/>
      <c r="UIY376" s="15"/>
      <c r="UIZ376" s="15"/>
      <c r="UJA376" s="15"/>
      <c r="UJB376" s="15"/>
      <c r="UJC376" s="15"/>
      <c r="UJD376" s="15"/>
      <c r="UJE376" s="10"/>
      <c r="UJF376" s="10"/>
      <c r="UJG376" s="21"/>
      <c r="UJH376" s="21"/>
      <c r="UJK376" s="21"/>
      <c r="UJL376" s="15"/>
      <c r="UJM376" s="15"/>
      <c r="UJN376" s="15"/>
      <c r="UJO376" s="15"/>
      <c r="UJP376" s="15"/>
      <c r="UJQ376" s="15"/>
      <c r="UJR376" s="15"/>
      <c r="UJS376" s="15"/>
      <c r="UJT376" s="15"/>
      <c r="UJU376" s="15"/>
      <c r="UJV376" s="10"/>
      <c r="UJW376" s="10"/>
      <c r="UJX376" s="21"/>
      <c r="UJY376" s="21"/>
      <c r="UKB376" s="21"/>
      <c r="UKC376" s="15"/>
      <c r="UKD376" s="15"/>
      <c r="UKE376" s="15"/>
      <c r="UKF376" s="15"/>
      <c r="UKG376" s="15"/>
      <c r="UKH376" s="15"/>
      <c r="UKI376" s="15"/>
      <c r="UKJ376" s="15"/>
      <c r="UKK376" s="15"/>
      <c r="UKL376" s="15"/>
      <c r="UKM376" s="10"/>
      <c r="UKN376" s="10"/>
      <c r="UKO376" s="21"/>
      <c r="UKP376" s="21"/>
      <c r="UKS376" s="21"/>
      <c r="UKT376" s="15"/>
      <c r="UKU376" s="15"/>
      <c r="UKV376" s="15"/>
      <c r="UKW376" s="15"/>
      <c r="UKX376" s="15"/>
      <c r="UKY376" s="15"/>
      <c r="UKZ376" s="15"/>
      <c r="ULA376" s="15"/>
      <c r="ULB376" s="15"/>
      <c r="ULC376" s="15"/>
      <c r="ULD376" s="10"/>
      <c r="ULE376" s="10"/>
      <c r="ULF376" s="21"/>
      <c r="ULG376" s="21"/>
      <c r="ULJ376" s="21"/>
      <c r="ULK376" s="15"/>
      <c r="ULL376" s="15"/>
      <c r="ULM376" s="15"/>
      <c r="ULN376" s="15"/>
      <c r="ULO376" s="15"/>
      <c r="ULP376" s="15"/>
      <c r="ULQ376" s="15"/>
      <c r="ULR376" s="15"/>
      <c r="ULS376" s="15"/>
      <c r="ULT376" s="15"/>
      <c r="ULU376" s="10"/>
      <c r="ULV376" s="10"/>
      <c r="ULW376" s="21"/>
      <c r="ULX376" s="21"/>
      <c r="UMA376" s="21"/>
      <c r="UMB376" s="15"/>
      <c r="UMC376" s="15"/>
      <c r="UMD376" s="15"/>
      <c r="UME376" s="15"/>
      <c r="UMF376" s="15"/>
      <c r="UMG376" s="15"/>
      <c r="UMH376" s="15"/>
      <c r="UMI376" s="15"/>
      <c r="UMJ376" s="15"/>
      <c r="UMK376" s="15"/>
      <c r="UML376" s="10"/>
      <c r="UMM376" s="10"/>
      <c r="UMN376" s="21"/>
      <c r="UMO376" s="21"/>
      <c r="UMR376" s="21"/>
      <c r="UMS376" s="15"/>
      <c r="UMT376" s="15"/>
      <c r="UMU376" s="15"/>
      <c r="UMV376" s="15"/>
      <c r="UMW376" s="15"/>
      <c r="UMX376" s="15"/>
      <c r="UMY376" s="15"/>
      <c r="UMZ376" s="15"/>
      <c r="UNA376" s="15"/>
      <c r="UNB376" s="15"/>
      <c r="UNC376" s="10"/>
      <c r="UND376" s="10"/>
      <c r="UNE376" s="21"/>
      <c r="UNF376" s="21"/>
      <c r="UNI376" s="21"/>
      <c r="UNJ376" s="15"/>
      <c r="UNK376" s="15"/>
      <c r="UNL376" s="15"/>
      <c r="UNM376" s="15"/>
      <c r="UNN376" s="15"/>
      <c r="UNO376" s="15"/>
      <c r="UNP376" s="15"/>
      <c r="UNQ376" s="15"/>
      <c r="UNR376" s="15"/>
      <c r="UNS376" s="15"/>
      <c r="UNT376" s="10"/>
      <c r="UNU376" s="10"/>
      <c r="UNV376" s="21"/>
      <c r="UNW376" s="21"/>
      <c r="UNZ376" s="21"/>
      <c r="UOA376" s="15"/>
      <c r="UOB376" s="15"/>
      <c r="UOC376" s="15"/>
      <c r="UOD376" s="15"/>
      <c r="UOE376" s="15"/>
      <c r="UOF376" s="15"/>
      <c r="UOG376" s="15"/>
      <c r="UOH376" s="15"/>
      <c r="UOI376" s="15"/>
      <c r="UOJ376" s="15"/>
      <c r="UOK376" s="10"/>
      <c r="UOL376" s="10"/>
      <c r="UOM376" s="21"/>
      <c r="UON376" s="21"/>
      <c r="UOQ376" s="21"/>
      <c r="UOR376" s="15"/>
      <c r="UOS376" s="15"/>
      <c r="UOT376" s="15"/>
      <c r="UOU376" s="15"/>
      <c r="UOV376" s="15"/>
      <c r="UOW376" s="15"/>
      <c r="UOX376" s="15"/>
      <c r="UOY376" s="15"/>
      <c r="UOZ376" s="15"/>
      <c r="UPA376" s="15"/>
      <c r="UPB376" s="10"/>
      <c r="UPC376" s="10"/>
      <c r="UPD376" s="21"/>
      <c r="UPE376" s="21"/>
      <c r="UPH376" s="21"/>
      <c r="UPI376" s="15"/>
      <c r="UPJ376" s="15"/>
      <c r="UPK376" s="15"/>
      <c r="UPL376" s="15"/>
      <c r="UPM376" s="15"/>
      <c r="UPN376" s="15"/>
      <c r="UPO376" s="15"/>
      <c r="UPP376" s="15"/>
      <c r="UPQ376" s="15"/>
      <c r="UPR376" s="15"/>
      <c r="UPS376" s="10"/>
      <c r="UPT376" s="10"/>
      <c r="UPU376" s="21"/>
      <c r="UPV376" s="21"/>
      <c r="UPY376" s="21"/>
      <c r="UPZ376" s="15"/>
      <c r="UQA376" s="15"/>
      <c r="UQB376" s="15"/>
      <c r="UQC376" s="15"/>
      <c r="UQD376" s="15"/>
      <c r="UQE376" s="15"/>
      <c r="UQF376" s="15"/>
      <c r="UQG376" s="15"/>
      <c r="UQH376" s="15"/>
      <c r="UQI376" s="15"/>
      <c r="UQJ376" s="10"/>
      <c r="UQK376" s="10"/>
      <c r="UQL376" s="21"/>
      <c r="UQM376" s="21"/>
      <c r="UQP376" s="21"/>
      <c r="UQQ376" s="15"/>
      <c r="UQR376" s="15"/>
      <c r="UQS376" s="15"/>
      <c r="UQT376" s="15"/>
      <c r="UQU376" s="15"/>
      <c r="UQV376" s="15"/>
      <c r="UQW376" s="15"/>
      <c r="UQX376" s="15"/>
      <c r="UQY376" s="15"/>
      <c r="UQZ376" s="15"/>
      <c r="URA376" s="10"/>
      <c r="URB376" s="10"/>
      <c r="URC376" s="21"/>
      <c r="URD376" s="21"/>
      <c r="URG376" s="21"/>
      <c r="URH376" s="15"/>
      <c r="URI376" s="15"/>
      <c r="URJ376" s="15"/>
      <c r="URK376" s="15"/>
      <c r="URL376" s="15"/>
      <c r="URM376" s="15"/>
      <c r="URN376" s="15"/>
      <c r="URO376" s="15"/>
      <c r="URP376" s="15"/>
      <c r="URQ376" s="15"/>
      <c r="URR376" s="10"/>
      <c r="URS376" s="10"/>
      <c r="URT376" s="21"/>
      <c r="URU376" s="21"/>
      <c r="URX376" s="21"/>
      <c r="URY376" s="15"/>
      <c r="URZ376" s="15"/>
      <c r="USA376" s="15"/>
      <c r="USB376" s="15"/>
      <c r="USC376" s="15"/>
      <c r="USD376" s="15"/>
      <c r="USE376" s="15"/>
      <c r="USF376" s="15"/>
      <c r="USG376" s="15"/>
      <c r="USH376" s="15"/>
      <c r="USI376" s="10"/>
      <c r="USJ376" s="10"/>
      <c r="USK376" s="21"/>
      <c r="USL376" s="21"/>
      <c r="USO376" s="21"/>
      <c r="USP376" s="15"/>
      <c r="USQ376" s="15"/>
      <c r="USR376" s="15"/>
      <c r="USS376" s="15"/>
      <c r="UST376" s="15"/>
      <c r="USU376" s="15"/>
      <c r="USV376" s="15"/>
      <c r="USW376" s="15"/>
      <c r="USX376" s="15"/>
      <c r="USY376" s="15"/>
      <c r="USZ376" s="10"/>
      <c r="UTA376" s="10"/>
      <c r="UTB376" s="21"/>
      <c r="UTC376" s="21"/>
      <c r="UTF376" s="21"/>
      <c r="UTG376" s="15"/>
      <c r="UTH376" s="15"/>
      <c r="UTI376" s="15"/>
      <c r="UTJ376" s="15"/>
      <c r="UTK376" s="15"/>
      <c r="UTL376" s="15"/>
      <c r="UTM376" s="15"/>
      <c r="UTN376" s="15"/>
      <c r="UTO376" s="15"/>
      <c r="UTP376" s="15"/>
      <c r="UTQ376" s="10"/>
      <c r="UTR376" s="10"/>
      <c r="UTS376" s="21"/>
      <c r="UTT376" s="21"/>
      <c r="UTW376" s="21"/>
      <c r="UTX376" s="15"/>
      <c r="UTY376" s="15"/>
      <c r="UTZ376" s="15"/>
      <c r="UUA376" s="15"/>
      <c r="UUB376" s="15"/>
      <c r="UUC376" s="15"/>
      <c r="UUD376" s="15"/>
      <c r="UUE376" s="15"/>
      <c r="UUF376" s="15"/>
      <c r="UUG376" s="15"/>
      <c r="UUH376" s="10"/>
      <c r="UUI376" s="10"/>
      <c r="UUJ376" s="21"/>
      <c r="UUK376" s="21"/>
      <c r="UUN376" s="21"/>
      <c r="UUO376" s="15"/>
      <c r="UUP376" s="15"/>
      <c r="UUQ376" s="15"/>
      <c r="UUR376" s="15"/>
      <c r="UUS376" s="15"/>
      <c r="UUT376" s="15"/>
      <c r="UUU376" s="15"/>
      <c r="UUV376" s="15"/>
      <c r="UUW376" s="15"/>
      <c r="UUX376" s="15"/>
      <c r="UUY376" s="10"/>
      <c r="UUZ376" s="10"/>
      <c r="UVA376" s="21"/>
      <c r="UVB376" s="21"/>
      <c r="UVE376" s="21"/>
      <c r="UVF376" s="15"/>
      <c r="UVG376" s="15"/>
      <c r="UVH376" s="15"/>
      <c r="UVI376" s="15"/>
      <c r="UVJ376" s="15"/>
      <c r="UVK376" s="15"/>
      <c r="UVL376" s="15"/>
      <c r="UVM376" s="15"/>
      <c r="UVN376" s="15"/>
      <c r="UVO376" s="15"/>
      <c r="UVP376" s="10"/>
      <c r="UVQ376" s="10"/>
      <c r="UVR376" s="21"/>
      <c r="UVS376" s="21"/>
      <c r="UVV376" s="21"/>
      <c r="UVW376" s="15"/>
      <c r="UVX376" s="15"/>
      <c r="UVY376" s="15"/>
      <c r="UVZ376" s="15"/>
      <c r="UWA376" s="15"/>
      <c r="UWB376" s="15"/>
      <c r="UWC376" s="15"/>
      <c r="UWD376" s="15"/>
      <c r="UWE376" s="15"/>
      <c r="UWF376" s="15"/>
      <c r="UWG376" s="10"/>
      <c r="UWH376" s="10"/>
      <c r="UWI376" s="21"/>
      <c r="UWJ376" s="21"/>
      <c r="UWM376" s="21"/>
      <c r="UWN376" s="15"/>
      <c r="UWO376" s="15"/>
      <c r="UWP376" s="15"/>
      <c r="UWQ376" s="15"/>
      <c r="UWR376" s="15"/>
      <c r="UWS376" s="15"/>
      <c r="UWT376" s="15"/>
      <c r="UWU376" s="15"/>
      <c r="UWV376" s="15"/>
      <c r="UWW376" s="15"/>
      <c r="UWX376" s="10"/>
      <c r="UWY376" s="10"/>
      <c r="UWZ376" s="21"/>
      <c r="UXA376" s="21"/>
      <c r="UXD376" s="21"/>
      <c r="UXE376" s="15"/>
      <c r="UXF376" s="15"/>
      <c r="UXG376" s="15"/>
      <c r="UXH376" s="15"/>
      <c r="UXI376" s="15"/>
      <c r="UXJ376" s="15"/>
      <c r="UXK376" s="15"/>
      <c r="UXL376" s="15"/>
      <c r="UXM376" s="15"/>
      <c r="UXN376" s="15"/>
      <c r="UXO376" s="10"/>
      <c r="UXP376" s="10"/>
      <c r="UXQ376" s="21"/>
      <c r="UXR376" s="21"/>
      <c r="UXU376" s="21"/>
      <c r="UXV376" s="15"/>
      <c r="UXW376" s="15"/>
      <c r="UXX376" s="15"/>
      <c r="UXY376" s="15"/>
      <c r="UXZ376" s="15"/>
      <c r="UYA376" s="15"/>
      <c r="UYB376" s="15"/>
      <c r="UYC376" s="15"/>
      <c r="UYD376" s="15"/>
      <c r="UYE376" s="15"/>
      <c r="UYF376" s="10"/>
      <c r="UYG376" s="10"/>
      <c r="UYH376" s="21"/>
      <c r="UYI376" s="21"/>
      <c r="UYL376" s="21"/>
      <c r="UYM376" s="15"/>
      <c r="UYN376" s="15"/>
      <c r="UYO376" s="15"/>
      <c r="UYP376" s="15"/>
      <c r="UYQ376" s="15"/>
      <c r="UYR376" s="15"/>
      <c r="UYS376" s="15"/>
      <c r="UYT376" s="15"/>
      <c r="UYU376" s="15"/>
      <c r="UYV376" s="15"/>
      <c r="UYW376" s="10"/>
      <c r="UYX376" s="10"/>
      <c r="UYY376" s="21"/>
      <c r="UYZ376" s="21"/>
      <c r="UZC376" s="21"/>
      <c r="UZD376" s="15"/>
      <c r="UZE376" s="15"/>
      <c r="UZF376" s="15"/>
      <c r="UZG376" s="15"/>
      <c r="UZH376" s="15"/>
      <c r="UZI376" s="15"/>
      <c r="UZJ376" s="15"/>
      <c r="UZK376" s="15"/>
      <c r="UZL376" s="15"/>
      <c r="UZM376" s="15"/>
      <c r="UZN376" s="10"/>
      <c r="UZO376" s="10"/>
      <c r="UZP376" s="21"/>
      <c r="UZQ376" s="21"/>
      <c r="UZT376" s="21"/>
      <c r="UZU376" s="15"/>
      <c r="UZV376" s="15"/>
      <c r="UZW376" s="15"/>
      <c r="UZX376" s="15"/>
      <c r="UZY376" s="15"/>
      <c r="UZZ376" s="15"/>
      <c r="VAA376" s="15"/>
      <c r="VAB376" s="15"/>
      <c r="VAC376" s="15"/>
      <c r="VAD376" s="15"/>
      <c r="VAE376" s="10"/>
      <c r="VAF376" s="10"/>
      <c r="VAG376" s="21"/>
      <c r="VAH376" s="21"/>
      <c r="VAK376" s="21"/>
      <c r="VAL376" s="15"/>
      <c r="VAM376" s="15"/>
      <c r="VAN376" s="15"/>
      <c r="VAO376" s="15"/>
      <c r="VAP376" s="15"/>
      <c r="VAQ376" s="15"/>
      <c r="VAR376" s="15"/>
      <c r="VAS376" s="15"/>
      <c r="VAT376" s="15"/>
      <c r="VAU376" s="15"/>
      <c r="VAV376" s="10"/>
      <c r="VAW376" s="10"/>
      <c r="VAX376" s="21"/>
      <c r="VAY376" s="21"/>
      <c r="VBB376" s="21"/>
      <c r="VBC376" s="15"/>
      <c r="VBD376" s="15"/>
      <c r="VBE376" s="15"/>
      <c r="VBF376" s="15"/>
      <c r="VBG376" s="15"/>
      <c r="VBH376" s="15"/>
      <c r="VBI376" s="15"/>
      <c r="VBJ376" s="15"/>
      <c r="VBK376" s="15"/>
      <c r="VBL376" s="15"/>
      <c r="VBM376" s="10"/>
      <c r="VBN376" s="10"/>
      <c r="VBO376" s="21"/>
      <c r="VBP376" s="21"/>
      <c r="VBS376" s="21"/>
      <c r="VBT376" s="15"/>
      <c r="VBU376" s="15"/>
      <c r="VBV376" s="15"/>
      <c r="VBW376" s="15"/>
      <c r="VBX376" s="15"/>
      <c r="VBY376" s="15"/>
      <c r="VBZ376" s="15"/>
      <c r="VCA376" s="15"/>
      <c r="VCB376" s="15"/>
      <c r="VCC376" s="15"/>
      <c r="VCD376" s="10"/>
      <c r="VCE376" s="10"/>
      <c r="VCF376" s="21"/>
      <c r="VCG376" s="21"/>
      <c r="VCJ376" s="21"/>
      <c r="VCK376" s="15"/>
      <c r="VCL376" s="15"/>
      <c r="VCM376" s="15"/>
      <c r="VCN376" s="15"/>
      <c r="VCO376" s="15"/>
      <c r="VCP376" s="15"/>
      <c r="VCQ376" s="15"/>
      <c r="VCR376" s="15"/>
      <c r="VCS376" s="15"/>
      <c r="VCT376" s="15"/>
      <c r="VCU376" s="10"/>
      <c r="VCV376" s="10"/>
      <c r="VCW376" s="21"/>
      <c r="VCX376" s="21"/>
      <c r="VDA376" s="21"/>
      <c r="VDB376" s="15"/>
      <c r="VDC376" s="15"/>
      <c r="VDD376" s="15"/>
      <c r="VDE376" s="15"/>
      <c r="VDF376" s="15"/>
      <c r="VDG376" s="15"/>
      <c r="VDH376" s="15"/>
      <c r="VDI376" s="15"/>
      <c r="VDJ376" s="15"/>
      <c r="VDK376" s="15"/>
      <c r="VDL376" s="10"/>
      <c r="VDM376" s="10"/>
      <c r="VDN376" s="21"/>
      <c r="VDO376" s="21"/>
      <c r="VDR376" s="21"/>
      <c r="VDS376" s="15"/>
      <c r="VDT376" s="15"/>
      <c r="VDU376" s="15"/>
      <c r="VDV376" s="15"/>
      <c r="VDW376" s="15"/>
      <c r="VDX376" s="15"/>
      <c r="VDY376" s="15"/>
      <c r="VDZ376" s="15"/>
      <c r="VEA376" s="15"/>
      <c r="VEB376" s="15"/>
      <c r="VEC376" s="10"/>
      <c r="VED376" s="10"/>
      <c r="VEE376" s="21"/>
      <c r="VEF376" s="21"/>
      <c r="VEI376" s="21"/>
      <c r="VEJ376" s="15"/>
      <c r="VEK376" s="15"/>
      <c r="VEL376" s="15"/>
      <c r="VEM376" s="15"/>
      <c r="VEN376" s="15"/>
      <c r="VEO376" s="15"/>
      <c r="VEP376" s="15"/>
      <c r="VEQ376" s="15"/>
      <c r="VER376" s="15"/>
      <c r="VES376" s="15"/>
      <c r="VET376" s="10"/>
      <c r="VEU376" s="10"/>
      <c r="VEV376" s="21"/>
      <c r="VEW376" s="21"/>
      <c r="VEZ376" s="21"/>
      <c r="VFA376" s="15"/>
      <c r="VFB376" s="15"/>
      <c r="VFC376" s="15"/>
      <c r="VFD376" s="15"/>
      <c r="VFE376" s="15"/>
      <c r="VFF376" s="15"/>
      <c r="VFG376" s="15"/>
      <c r="VFH376" s="15"/>
      <c r="VFI376" s="15"/>
      <c r="VFJ376" s="15"/>
      <c r="VFK376" s="10"/>
      <c r="VFL376" s="10"/>
      <c r="VFM376" s="21"/>
      <c r="VFN376" s="21"/>
      <c r="VFQ376" s="21"/>
      <c r="VFR376" s="15"/>
      <c r="VFS376" s="15"/>
      <c r="VFT376" s="15"/>
      <c r="VFU376" s="15"/>
      <c r="VFV376" s="15"/>
      <c r="VFW376" s="15"/>
      <c r="VFX376" s="15"/>
      <c r="VFY376" s="15"/>
      <c r="VFZ376" s="15"/>
      <c r="VGA376" s="15"/>
      <c r="VGB376" s="10"/>
      <c r="VGC376" s="10"/>
      <c r="VGD376" s="21"/>
      <c r="VGE376" s="21"/>
      <c r="VGH376" s="21"/>
      <c r="VGI376" s="15"/>
      <c r="VGJ376" s="15"/>
      <c r="VGK376" s="15"/>
      <c r="VGL376" s="15"/>
      <c r="VGM376" s="15"/>
      <c r="VGN376" s="15"/>
      <c r="VGO376" s="15"/>
      <c r="VGP376" s="15"/>
      <c r="VGQ376" s="15"/>
      <c r="VGR376" s="15"/>
      <c r="VGS376" s="10"/>
      <c r="VGT376" s="10"/>
      <c r="VGU376" s="21"/>
      <c r="VGV376" s="21"/>
      <c r="VGY376" s="21"/>
      <c r="VGZ376" s="15"/>
      <c r="VHA376" s="15"/>
      <c r="VHB376" s="15"/>
      <c r="VHC376" s="15"/>
      <c r="VHD376" s="15"/>
      <c r="VHE376" s="15"/>
      <c r="VHF376" s="15"/>
      <c r="VHG376" s="15"/>
      <c r="VHH376" s="15"/>
      <c r="VHI376" s="15"/>
      <c r="VHJ376" s="10"/>
      <c r="VHK376" s="10"/>
      <c r="VHL376" s="21"/>
      <c r="VHM376" s="21"/>
      <c r="VHP376" s="21"/>
      <c r="VHQ376" s="15"/>
      <c r="VHR376" s="15"/>
      <c r="VHS376" s="15"/>
      <c r="VHT376" s="15"/>
      <c r="VHU376" s="15"/>
      <c r="VHV376" s="15"/>
      <c r="VHW376" s="15"/>
      <c r="VHX376" s="15"/>
      <c r="VHY376" s="15"/>
      <c r="VHZ376" s="15"/>
      <c r="VIA376" s="10"/>
      <c r="VIB376" s="10"/>
      <c r="VIC376" s="21"/>
      <c r="VID376" s="21"/>
      <c r="VIG376" s="21"/>
      <c r="VIH376" s="15"/>
      <c r="VII376" s="15"/>
      <c r="VIJ376" s="15"/>
      <c r="VIK376" s="15"/>
      <c r="VIL376" s="15"/>
      <c r="VIM376" s="15"/>
      <c r="VIN376" s="15"/>
      <c r="VIO376" s="15"/>
      <c r="VIP376" s="15"/>
      <c r="VIQ376" s="15"/>
      <c r="VIR376" s="10"/>
      <c r="VIS376" s="10"/>
      <c r="VIT376" s="21"/>
      <c r="VIU376" s="21"/>
      <c r="VIX376" s="21"/>
      <c r="VIY376" s="15"/>
      <c r="VIZ376" s="15"/>
      <c r="VJA376" s="15"/>
      <c r="VJB376" s="15"/>
      <c r="VJC376" s="15"/>
      <c r="VJD376" s="15"/>
      <c r="VJE376" s="15"/>
      <c r="VJF376" s="15"/>
      <c r="VJG376" s="15"/>
      <c r="VJH376" s="15"/>
      <c r="VJI376" s="10"/>
      <c r="VJJ376" s="10"/>
      <c r="VJK376" s="21"/>
      <c r="VJL376" s="21"/>
      <c r="VJO376" s="21"/>
      <c r="VJP376" s="15"/>
      <c r="VJQ376" s="15"/>
      <c r="VJR376" s="15"/>
      <c r="VJS376" s="15"/>
      <c r="VJT376" s="15"/>
      <c r="VJU376" s="15"/>
      <c r="VJV376" s="15"/>
      <c r="VJW376" s="15"/>
      <c r="VJX376" s="15"/>
      <c r="VJY376" s="15"/>
      <c r="VJZ376" s="10"/>
      <c r="VKA376" s="10"/>
      <c r="VKB376" s="21"/>
      <c r="VKC376" s="21"/>
      <c r="VKF376" s="21"/>
      <c r="VKG376" s="15"/>
      <c r="VKH376" s="15"/>
      <c r="VKI376" s="15"/>
      <c r="VKJ376" s="15"/>
      <c r="VKK376" s="15"/>
      <c r="VKL376" s="15"/>
      <c r="VKM376" s="15"/>
      <c r="VKN376" s="15"/>
      <c r="VKO376" s="15"/>
      <c r="VKP376" s="15"/>
      <c r="VKQ376" s="10"/>
      <c r="VKR376" s="10"/>
      <c r="VKS376" s="21"/>
      <c r="VKT376" s="21"/>
      <c r="VKW376" s="21"/>
      <c r="VKX376" s="15"/>
      <c r="VKY376" s="15"/>
      <c r="VKZ376" s="15"/>
      <c r="VLA376" s="15"/>
      <c r="VLB376" s="15"/>
      <c r="VLC376" s="15"/>
      <c r="VLD376" s="15"/>
      <c r="VLE376" s="15"/>
      <c r="VLF376" s="15"/>
      <c r="VLG376" s="15"/>
      <c r="VLH376" s="10"/>
      <c r="VLI376" s="10"/>
      <c r="VLJ376" s="21"/>
      <c r="VLK376" s="21"/>
      <c r="VLN376" s="21"/>
      <c r="VLO376" s="15"/>
      <c r="VLP376" s="15"/>
      <c r="VLQ376" s="15"/>
      <c r="VLR376" s="15"/>
      <c r="VLS376" s="15"/>
      <c r="VLT376" s="15"/>
      <c r="VLU376" s="15"/>
      <c r="VLV376" s="15"/>
      <c r="VLW376" s="15"/>
      <c r="VLX376" s="15"/>
      <c r="VLY376" s="10"/>
      <c r="VLZ376" s="10"/>
      <c r="VMA376" s="21"/>
      <c r="VMB376" s="21"/>
      <c r="VME376" s="21"/>
      <c r="VMF376" s="15"/>
      <c r="VMG376" s="15"/>
      <c r="VMH376" s="15"/>
      <c r="VMI376" s="15"/>
      <c r="VMJ376" s="15"/>
      <c r="VMK376" s="15"/>
      <c r="VML376" s="15"/>
      <c r="VMM376" s="15"/>
      <c r="VMN376" s="15"/>
      <c r="VMO376" s="15"/>
      <c r="VMP376" s="10"/>
      <c r="VMQ376" s="10"/>
      <c r="VMR376" s="21"/>
      <c r="VMS376" s="21"/>
      <c r="VMV376" s="21"/>
      <c r="VMW376" s="15"/>
      <c r="VMX376" s="15"/>
      <c r="VMY376" s="15"/>
      <c r="VMZ376" s="15"/>
      <c r="VNA376" s="15"/>
      <c r="VNB376" s="15"/>
      <c r="VNC376" s="15"/>
      <c r="VND376" s="15"/>
      <c r="VNE376" s="15"/>
      <c r="VNF376" s="15"/>
      <c r="VNG376" s="10"/>
      <c r="VNH376" s="10"/>
      <c r="VNI376" s="21"/>
      <c r="VNJ376" s="21"/>
      <c r="VNM376" s="21"/>
      <c r="VNN376" s="15"/>
      <c r="VNO376" s="15"/>
      <c r="VNP376" s="15"/>
      <c r="VNQ376" s="15"/>
      <c r="VNR376" s="15"/>
      <c r="VNS376" s="15"/>
      <c r="VNT376" s="15"/>
      <c r="VNU376" s="15"/>
      <c r="VNV376" s="15"/>
      <c r="VNW376" s="15"/>
      <c r="VNX376" s="10"/>
      <c r="VNY376" s="10"/>
      <c r="VNZ376" s="21"/>
      <c r="VOA376" s="21"/>
      <c r="VOD376" s="21"/>
      <c r="VOE376" s="15"/>
      <c r="VOF376" s="15"/>
      <c r="VOG376" s="15"/>
      <c r="VOH376" s="15"/>
      <c r="VOI376" s="15"/>
      <c r="VOJ376" s="15"/>
      <c r="VOK376" s="15"/>
      <c r="VOL376" s="15"/>
      <c r="VOM376" s="15"/>
      <c r="VON376" s="15"/>
      <c r="VOO376" s="10"/>
      <c r="VOP376" s="10"/>
      <c r="VOQ376" s="21"/>
      <c r="VOR376" s="21"/>
      <c r="VOU376" s="21"/>
      <c r="VOV376" s="15"/>
      <c r="VOW376" s="15"/>
      <c r="VOX376" s="15"/>
      <c r="VOY376" s="15"/>
      <c r="VOZ376" s="15"/>
      <c r="VPA376" s="15"/>
      <c r="VPB376" s="15"/>
      <c r="VPC376" s="15"/>
      <c r="VPD376" s="15"/>
      <c r="VPE376" s="15"/>
      <c r="VPF376" s="10"/>
      <c r="VPG376" s="10"/>
      <c r="VPH376" s="21"/>
      <c r="VPI376" s="21"/>
      <c r="VPL376" s="21"/>
      <c r="VPM376" s="15"/>
      <c r="VPN376" s="15"/>
      <c r="VPO376" s="15"/>
      <c r="VPP376" s="15"/>
      <c r="VPQ376" s="15"/>
      <c r="VPR376" s="15"/>
      <c r="VPS376" s="15"/>
      <c r="VPT376" s="15"/>
      <c r="VPU376" s="15"/>
      <c r="VPV376" s="15"/>
      <c r="VPW376" s="10"/>
      <c r="VPX376" s="10"/>
      <c r="VPY376" s="21"/>
      <c r="VPZ376" s="21"/>
      <c r="VQC376" s="21"/>
      <c r="VQD376" s="15"/>
      <c r="VQE376" s="15"/>
      <c r="VQF376" s="15"/>
      <c r="VQG376" s="15"/>
      <c r="VQH376" s="15"/>
      <c r="VQI376" s="15"/>
      <c r="VQJ376" s="15"/>
      <c r="VQK376" s="15"/>
      <c r="VQL376" s="15"/>
      <c r="VQM376" s="15"/>
      <c r="VQN376" s="10"/>
      <c r="VQO376" s="10"/>
      <c r="VQP376" s="21"/>
      <c r="VQQ376" s="21"/>
      <c r="VQT376" s="21"/>
      <c r="VQU376" s="15"/>
      <c r="VQV376" s="15"/>
      <c r="VQW376" s="15"/>
      <c r="VQX376" s="15"/>
      <c r="VQY376" s="15"/>
      <c r="VQZ376" s="15"/>
      <c r="VRA376" s="15"/>
      <c r="VRB376" s="15"/>
      <c r="VRC376" s="15"/>
      <c r="VRD376" s="15"/>
      <c r="VRE376" s="10"/>
      <c r="VRF376" s="10"/>
      <c r="VRG376" s="21"/>
      <c r="VRH376" s="21"/>
      <c r="VRK376" s="21"/>
      <c r="VRL376" s="15"/>
      <c r="VRM376" s="15"/>
      <c r="VRN376" s="15"/>
      <c r="VRO376" s="15"/>
      <c r="VRP376" s="15"/>
      <c r="VRQ376" s="15"/>
      <c r="VRR376" s="15"/>
      <c r="VRS376" s="15"/>
      <c r="VRT376" s="15"/>
      <c r="VRU376" s="15"/>
      <c r="VRV376" s="10"/>
      <c r="VRW376" s="10"/>
      <c r="VRX376" s="21"/>
      <c r="VRY376" s="21"/>
      <c r="VSB376" s="21"/>
      <c r="VSC376" s="15"/>
      <c r="VSD376" s="15"/>
      <c r="VSE376" s="15"/>
      <c r="VSF376" s="15"/>
      <c r="VSG376" s="15"/>
      <c r="VSH376" s="15"/>
      <c r="VSI376" s="15"/>
      <c r="VSJ376" s="15"/>
      <c r="VSK376" s="15"/>
      <c r="VSL376" s="15"/>
      <c r="VSM376" s="10"/>
      <c r="VSN376" s="10"/>
      <c r="VSO376" s="21"/>
      <c r="VSP376" s="21"/>
      <c r="VSS376" s="21"/>
      <c r="VST376" s="15"/>
      <c r="VSU376" s="15"/>
      <c r="VSV376" s="15"/>
      <c r="VSW376" s="15"/>
      <c r="VSX376" s="15"/>
      <c r="VSY376" s="15"/>
      <c r="VSZ376" s="15"/>
      <c r="VTA376" s="15"/>
      <c r="VTB376" s="15"/>
      <c r="VTC376" s="15"/>
      <c r="VTD376" s="10"/>
      <c r="VTE376" s="10"/>
      <c r="VTF376" s="21"/>
      <c r="VTG376" s="21"/>
      <c r="VTJ376" s="21"/>
      <c r="VTK376" s="15"/>
      <c r="VTL376" s="15"/>
      <c r="VTM376" s="15"/>
      <c r="VTN376" s="15"/>
      <c r="VTO376" s="15"/>
      <c r="VTP376" s="15"/>
      <c r="VTQ376" s="15"/>
      <c r="VTR376" s="15"/>
      <c r="VTS376" s="15"/>
      <c r="VTT376" s="15"/>
      <c r="VTU376" s="10"/>
      <c r="VTV376" s="10"/>
      <c r="VTW376" s="21"/>
      <c r="VTX376" s="21"/>
      <c r="VUA376" s="21"/>
      <c r="VUB376" s="15"/>
      <c r="VUC376" s="15"/>
      <c r="VUD376" s="15"/>
      <c r="VUE376" s="15"/>
      <c r="VUF376" s="15"/>
      <c r="VUG376" s="15"/>
      <c r="VUH376" s="15"/>
      <c r="VUI376" s="15"/>
      <c r="VUJ376" s="15"/>
      <c r="VUK376" s="15"/>
      <c r="VUL376" s="10"/>
      <c r="VUM376" s="10"/>
      <c r="VUN376" s="21"/>
      <c r="VUO376" s="21"/>
      <c r="VUR376" s="21"/>
      <c r="VUS376" s="15"/>
      <c r="VUT376" s="15"/>
      <c r="VUU376" s="15"/>
      <c r="VUV376" s="15"/>
      <c r="VUW376" s="15"/>
      <c r="VUX376" s="15"/>
      <c r="VUY376" s="15"/>
      <c r="VUZ376" s="15"/>
      <c r="VVA376" s="15"/>
      <c r="VVB376" s="15"/>
      <c r="VVC376" s="10"/>
      <c r="VVD376" s="10"/>
      <c r="VVE376" s="21"/>
      <c r="VVF376" s="21"/>
      <c r="VVI376" s="21"/>
      <c r="VVJ376" s="15"/>
      <c r="VVK376" s="15"/>
      <c r="VVL376" s="15"/>
      <c r="VVM376" s="15"/>
      <c r="VVN376" s="15"/>
      <c r="VVO376" s="15"/>
      <c r="VVP376" s="15"/>
      <c r="VVQ376" s="15"/>
      <c r="VVR376" s="15"/>
      <c r="VVS376" s="15"/>
      <c r="VVT376" s="10"/>
      <c r="VVU376" s="10"/>
      <c r="VVV376" s="21"/>
      <c r="VVW376" s="21"/>
      <c r="VVZ376" s="21"/>
      <c r="VWA376" s="15"/>
      <c r="VWB376" s="15"/>
      <c r="VWC376" s="15"/>
      <c r="VWD376" s="15"/>
      <c r="VWE376" s="15"/>
      <c r="VWF376" s="15"/>
      <c r="VWG376" s="15"/>
      <c r="VWH376" s="15"/>
      <c r="VWI376" s="15"/>
      <c r="VWJ376" s="15"/>
      <c r="VWK376" s="10"/>
      <c r="VWL376" s="10"/>
      <c r="VWM376" s="21"/>
      <c r="VWN376" s="21"/>
      <c r="VWQ376" s="21"/>
      <c r="VWR376" s="15"/>
      <c r="VWS376" s="15"/>
      <c r="VWT376" s="15"/>
      <c r="VWU376" s="15"/>
      <c r="VWV376" s="15"/>
      <c r="VWW376" s="15"/>
      <c r="VWX376" s="15"/>
      <c r="VWY376" s="15"/>
      <c r="VWZ376" s="15"/>
      <c r="VXA376" s="15"/>
      <c r="VXB376" s="10"/>
      <c r="VXC376" s="10"/>
      <c r="VXD376" s="21"/>
      <c r="VXE376" s="21"/>
      <c r="VXH376" s="21"/>
      <c r="VXI376" s="15"/>
      <c r="VXJ376" s="15"/>
      <c r="VXK376" s="15"/>
      <c r="VXL376" s="15"/>
      <c r="VXM376" s="15"/>
      <c r="VXN376" s="15"/>
      <c r="VXO376" s="15"/>
      <c r="VXP376" s="15"/>
      <c r="VXQ376" s="15"/>
      <c r="VXR376" s="15"/>
      <c r="VXS376" s="10"/>
      <c r="VXT376" s="10"/>
      <c r="VXU376" s="21"/>
      <c r="VXV376" s="21"/>
      <c r="VXY376" s="21"/>
      <c r="VXZ376" s="15"/>
      <c r="VYA376" s="15"/>
      <c r="VYB376" s="15"/>
      <c r="VYC376" s="15"/>
      <c r="VYD376" s="15"/>
      <c r="VYE376" s="15"/>
      <c r="VYF376" s="15"/>
      <c r="VYG376" s="15"/>
      <c r="VYH376" s="15"/>
      <c r="VYI376" s="15"/>
      <c r="VYJ376" s="10"/>
      <c r="VYK376" s="10"/>
      <c r="VYL376" s="21"/>
      <c r="VYM376" s="21"/>
      <c r="VYP376" s="21"/>
      <c r="VYQ376" s="15"/>
      <c r="VYR376" s="15"/>
      <c r="VYS376" s="15"/>
      <c r="VYT376" s="15"/>
      <c r="VYU376" s="15"/>
      <c r="VYV376" s="15"/>
      <c r="VYW376" s="15"/>
      <c r="VYX376" s="15"/>
      <c r="VYY376" s="15"/>
      <c r="VYZ376" s="15"/>
      <c r="VZA376" s="10"/>
      <c r="VZB376" s="10"/>
      <c r="VZC376" s="21"/>
      <c r="VZD376" s="21"/>
      <c r="VZG376" s="21"/>
      <c r="VZH376" s="15"/>
      <c r="VZI376" s="15"/>
      <c r="VZJ376" s="15"/>
      <c r="VZK376" s="15"/>
      <c r="VZL376" s="15"/>
      <c r="VZM376" s="15"/>
      <c r="VZN376" s="15"/>
      <c r="VZO376" s="15"/>
      <c r="VZP376" s="15"/>
      <c r="VZQ376" s="15"/>
      <c r="VZR376" s="10"/>
      <c r="VZS376" s="10"/>
      <c r="VZT376" s="21"/>
      <c r="VZU376" s="21"/>
      <c r="VZX376" s="21"/>
      <c r="VZY376" s="15"/>
      <c r="VZZ376" s="15"/>
      <c r="WAA376" s="15"/>
      <c r="WAB376" s="15"/>
      <c r="WAC376" s="15"/>
      <c r="WAD376" s="15"/>
      <c r="WAE376" s="15"/>
      <c r="WAF376" s="15"/>
      <c r="WAG376" s="15"/>
      <c r="WAH376" s="15"/>
      <c r="WAI376" s="10"/>
      <c r="WAJ376" s="10"/>
      <c r="WAK376" s="21"/>
      <c r="WAL376" s="21"/>
      <c r="WAO376" s="21"/>
      <c r="WAP376" s="15"/>
      <c r="WAQ376" s="15"/>
      <c r="WAR376" s="15"/>
      <c r="WAS376" s="15"/>
      <c r="WAT376" s="15"/>
      <c r="WAU376" s="15"/>
      <c r="WAV376" s="15"/>
      <c r="WAW376" s="15"/>
      <c r="WAX376" s="15"/>
      <c r="WAY376" s="15"/>
      <c r="WAZ376" s="10"/>
      <c r="WBA376" s="10"/>
      <c r="WBB376" s="21"/>
      <c r="WBC376" s="21"/>
      <c r="WBF376" s="21"/>
      <c r="WBG376" s="15"/>
      <c r="WBH376" s="15"/>
      <c r="WBI376" s="15"/>
      <c r="WBJ376" s="15"/>
      <c r="WBK376" s="15"/>
      <c r="WBL376" s="15"/>
      <c r="WBM376" s="15"/>
      <c r="WBN376" s="15"/>
      <c r="WBO376" s="15"/>
      <c r="WBP376" s="15"/>
      <c r="WBQ376" s="10"/>
      <c r="WBR376" s="10"/>
      <c r="WBS376" s="21"/>
      <c r="WBT376" s="21"/>
      <c r="WBW376" s="21"/>
      <c r="WBX376" s="15"/>
      <c r="WBY376" s="15"/>
      <c r="WBZ376" s="15"/>
      <c r="WCA376" s="15"/>
      <c r="WCB376" s="15"/>
      <c r="WCC376" s="15"/>
      <c r="WCD376" s="15"/>
      <c r="WCE376" s="15"/>
      <c r="WCF376" s="15"/>
      <c r="WCG376" s="15"/>
      <c r="WCH376" s="10"/>
      <c r="WCI376" s="10"/>
      <c r="WCJ376" s="21"/>
      <c r="WCK376" s="21"/>
      <c r="WCN376" s="21"/>
      <c r="WCO376" s="15"/>
      <c r="WCP376" s="15"/>
      <c r="WCQ376" s="15"/>
      <c r="WCR376" s="15"/>
      <c r="WCS376" s="15"/>
      <c r="WCT376" s="15"/>
      <c r="WCU376" s="15"/>
      <c r="WCV376" s="15"/>
      <c r="WCW376" s="15"/>
      <c r="WCX376" s="15"/>
      <c r="WCY376" s="10"/>
      <c r="WCZ376" s="10"/>
      <c r="WDA376" s="21"/>
      <c r="WDB376" s="21"/>
      <c r="WDE376" s="21"/>
      <c r="WDF376" s="15"/>
      <c r="WDG376" s="15"/>
      <c r="WDH376" s="15"/>
      <c r="WDI376" s="15"/>
      <c r="WDJ376" s="15"/>
      <c r="WDK376" s="15"/>
      <c r="WDL376" s="15"/>
      <c r="WDM376" s="15"/>
      <c r="WDN376" s="15"/>
      <c r="WDO376" s="15"/>
      <c r="WDP376" s="10"/>
      <c r="WDQ376" s="10"/>
      <c r="WDR376" s="21"/>
      <c r="WDS376" s="21"/>
      <c r="WDV376" s="21"/>
      <c r="WDW376" s="15"/>
      <c r="WDX376" s="15"/>
      <c r="WDY376" s="15"/>
      <c r="WDZ376" s="15"/>
      <c r="WEA376" s="15"/>
      <c r="WEB376" s="15"/>
      <c r="WEC376" s="15"/>
      <c r="WED376" s="15"/>
      <c r="WEE376" s="15"/>
      <c r="WEF376" s="15"/>
      <c r="WEG376" s="10"/>
      <c r="WEH376" s="10"/>
      <c r="WEI376" s="21"/>
      <c r="WEJ376" s="21"/>
      <c r="WEM376" s="21"/>
      <c r="WEN376" s="15"/>
      <c r="WEO376" s="15"/>
      <c r="WEP376" s="15"/>
      <c r="WEQ376" s="15"/>
      <c r="WER376" s="15"/>
      <c r="WES376" s="15"/>
      <c r="WET376" s="15"/>
      <c r="WEU376" s="15"/>
      <c r="WEV376" s="15"/>
      <c r="WEW376" s="15"/>
      <c r="WEX376" s="10"/>
      <c r="WEY376" s="10"/>
      <c r="WEZ376" s="21"/>
      <c r="WFA376" s="21"/>
      <c r="WFD376" s="21"/>
      <c r="WFE376" s="15"/>
      <c r="WFF376" s="15"/>
      <c r="WFG376" s="15"/>
      <c r="WFH376" s="15"/>
      <c r="WFI376" s="15"/>
      <c r="WFJ376" s="15"/>
      <c r="WFK376" s="15"/>
      <c r="WFL376" s="15"/>
      <c r="WFM376" s="15"/>
      <c r="WFN376" s="15"/>
      <c r="WFO376" s="10"/>
      <c r="WFP376" s="10"/>
      <c r="WFQ376" s="21"/>
      <c r="WFR376" s="21"/>
      <c r="WFU376" s="21"/>
      <c r="WFV376" s="15"/>
      <c r="WFW376" s="15"/>
      <c r="WFX376" s="15"/>
      <c r="WFY376" s="15"/>
      <c r="WFZ376" s="15"/>
      <c r="WGA376" s="15"/>
      <c r="WGB376" s="15"/>
      <c r="WGC376" s="15"/>
      <c r="WGD376" s="15"/>
      <c r="WGE376" s="15"/>
      <c r="WGF376" s="10"/>
      <c r="WGG376" s="10"/>
      <c r="WGH376" s="21"/>
      <c r="WGI376" s="21"/>
      <c r="WGL376" s="21"/>
      <c r="WGM376" s="15"/>
      <c r="WGN376" s="15"/>
      <c r="WGO376" s="15"/>
      <c r="WGP376" s="15"/>
      <c r="WGQ376" s="15"/>
      <c r="WGR376" s="15"/>
      <c r="WGS376" s="15"/>
      <c r="WGT376" s="15"/>
      <c r="WGU376" s="15"/>
      <c r="WGV376" s="15"/>
      <c r="WGW376" s="10"/>
      <c r="WGX376" s="10"/>
      <c r="WGY376" s="21"/>
      <c r="WGZ376" s="21"/>
      <c r="WHC376" s="21"/>
      <c r="WHD376" s="15"/>
      <c r="WHE376" s="15"/>
      <c r="WHF376" s="15"/>
      <c r="WHG376" s="15"/>
      <c r="WHH376" s="15"/>
      <c r="WHI376" s="15"/>
      <c r="WHJ376" s="15"/>
      <c r="WHK376" s="15"/>
      <c r="WHL376" s="15"/>
      <c r="WHM376" s="15"/>
      <c r="WHN376" s="10"/>
      <c r="WHO376" s="10"/>
      <c r="WHP376" s="21"/>
      <c r="WHQ376" s="21"/>
      <c r="WHT376" s="21"/>
      <c r="WHU376" s="15"/>
      <c r="WHV376" s="15"/>
      <c r="WHW376" s="15"/>
      <c r="WHX376" s="15"/>
      <c r="WHY376" s="15"/>
      <c r="WHZ376" s="15"/>
      <c r="WIA376" s="15"/>
      <c r="WIB376" s="15"/>
      <c r="WIC376" s="15"/>
      <c r="WID376" s="15"/>
      <c r="WIE376" s="10"/>
      <c r="WIF376" s="10"/>
      <c r="WIG376" s="21"/>
      <c r="WIH376" s="21"/>
      <c r="WIK376" s="21"/>
      <c r="WIL376" s="15"/>
      <c r="WIM376" s="15"/>
      <c r="WIN376" s="15"/>
      <c r="WIO376" s="15"/>
      <c r="WIP376" s="15"/>
      <c r="WIQ376" s="15"/>
      <c r="WIR376" s="15"/>
      <c r="WIS376" s="15"/>
      <c r="WIT376" s="15"/>
      <c r="WIU376" s="15"/>
      <c r="WIV376" s="10"/>
      <c r="WIW376" s="10"/>
      <c r="WIX376" s="21"/>
      <c r="WIY376" s="21"/>
      <c r="WJB376" s="21"/>
      <c r="WJC376" s="15"/>
      <c r="WJD376" s="15"/>
      <c r="WJE376" s="15"/>
      <c r="WJF376" s="15"/>
      <c r="WJG376" s="15"/>
      <c r="WJH376" s="15"/>
      <c r="WJI376" s="15"/>
      <c r="WJJ376" s="15"/>
      <c r="WJK376" s="15"/>
      <c r="WJL376" s="15"/>
      <c r="WJM376" s="10"/>
      <c r="WJN376" s="10"/>
      <c r="WJO376" s="21"/>
      <c r="WJP376" s="21"/>
      <c r="WJS376" s="21"/>
      <c r="WJT376" s="15"/>
      <c r="WJU376" s="15"/>
      <c r="WJV376" s="15"/>
      <c r="WJW376" s="15"/>
      <c r="WJX376" s="15"/>
      <c r="WJY376" s="15"/>
      <c r="WJZ376" s="15"/>
      <c r="WKA376" s="15"/>
      <c r="WKB376" s="15"/>
      <c r="WKC376" s="15"/>
      <c r="WKD376" s="10"/>
      <c r="WKE376" s="10"/>
      <c r="WKF376" s="21"/>
      <c r="WKG376" s="21"/>
      <c r="WKJ376" s="21"/>
      <c r="WKK376" s="15"/>
      <c r="WKL376" s="15"/>
      <c r="WKM376" s="15"/>
      <c r="WKN376" s="15"/>
      <c r="WKO376" s="15"/>
      <c r="WKP376" s="15"/>
      <c r="WKQ376" s="15"/>
      <c r="WKR376" s="15"/>
      <c r="WKS376" s="15"/>
      <c r="WKT376" s="15"/>
      <c r="WKU376" s="10"/>
      <c r="WKV376" s="10"/>
      <c r="WKW376" s="21"/>
      <c r="WKX376" s="21"/>
      <c r="WLA376" s="21"/>
      <c r="WLB376" s="15"/>
      <c r="WLC376" s="15"/>
      <c r="WLD376" s="15"/>
      <c r="WLE376" s="15"/>
      <c r="WLF376" s="15"/>
      <c r="WLG376" s="15"/>
      <c r="WLH376" s="15"/>
      <c r="WLI376" s="15"/>
      <c r="WLJ376" s="15"/>
      <c r="WLK376" s="15"/>
      <c r="WLL376" s="10"/>
      <c r="WLM376" s="10"/>
      <c r="WLN376" s="21"/>
      <c r="WLO376" s="21"/>
      <c r="WLR376" s="21"/>
      <c r="WLS376" s="15"/>
      <c r="WLT376" s="15"/>
      <c r="WLU376" s="15"/>
      <c r="WLV376" s="15"/>
      <c r="WLW376" s="15"/>
      <c r="WLX376" s="15"/>
      <c r="WLY376" s="15"/>
      <c r="WLZ376" s="15"/>
      <c r="WMA376" s="15"/>
      <c r="WMB376" s="15"/>
      <c r="WMC376" s="10"/>
      <c r="WMD376" s="10"/>
      <c r="WME376" s="21"/>
      <c r="WMF376" s="21"/>
      <c r="WMI376" s="21"/>
      <c r="WMJ376" s="15"/>
      <c r="WMK376" s="15"/>
      <c r="WML376" s="15"/>
      <c r="WMM376" s="15"/>
      <c r="WMN376" s="15"/>
      <c r="WMO376" s="15"/>
      <c r="WMP376" s="15"/>
      <c r="WMQ376" s="15"/>
      <c r="WMR376" s="15"/>
      <c r="WMS376" s="15"/>
      <c r="WMT376" s="10"/>
      <c r="WMU376" s="10"/>
      <c r="WMV376" s="21"/>
      <c r="WMW376" s="21"/>
      <c r="WMZ376" s="21"/>
      <c r="WNA376" s="15"/>
      <c r="WNB376" s="15"/>
      <c r="WNC376" s="15"/>
      <c r="WND376" s="15"/>
      <c r="WNE376" s="15"/>
      <c r="WNF376" s="15"/>
      <c r="WNG376" s="15"/>
      <c r="WNH376" s="15"/>
      <c r="WNI376" s="15"/>
      <c r="WNJ376" s="15"/>
      <c r="WNK376" s="10"/>
      <c r="WNL376" s="10"/>
      <c r="WNM376" s="21"/>
      <c r="WNN376" s="21"/>
      <c r="WNQ376" s="21"/>
      <c r="WNR376" s="15"/>
      <c r="WNS376" s="15"/>
      <c r="WNT376" s="15"/>
      <c r="WNU376" s="15"/>
      <c r="WNV376" s="15"/>
      <c r="WNW376" s="15"/>
      <c r="WNX376" s="15"/>
      <c r="WNY376" s="15"/>
      <c r="WNZ376" s="15"/>
      <c r="WOA376" s="15"/>
      <c r="WOB376" s="10"/>
      <c r="WOC376" s="10"/>
      <c r="WOD376" s="21"/>
      <c r="WOE376" s="21"/>
      <c r="WOH376" s="21"/>
      <c r="WOI376" s="15"/>
      <c r="WOJ376" s="15"/>
      <c r="WOK376" s="15"/>
      <c r="WOL376" s="15"/>
      <c r="WOM376" s="15"/>
      <c r="WON376" s="15"/>
      <c r="WOO376" s="15"/>
      <c r="WOP376" s="15"/>
      <c r="WOQ376" s="15"/>
      <c r="WOR376" s="15"/>
      <c r="WOS376" s="10"/>
      <c r="WOT376" s="10"/>
      <c r="WOU376" s="21"/>
      <c r="WOV376" s="21"/>
      <c r="WOY376" s="21"/>
      <c r="WOZ376" s="15"/>
      <c r="WPA376" s="15"/>
      <c r="WPB376" s="15"/>
      <c r="WPC376" s="15"/>
      <c r="WPD376" s="15"/>
      <c r="WPE376" s="15"/>
      <c r="WPF376" s="15"/>
      <c r="WPG376" s="15"/>
      <c r="WPH376" s="15"/>
      <c r="WPI376" s="15"/>
      <c r="WPJ376" s="10"/>
      <c r="WPK376" s="10"/>
      <c r="WPL376" s="21"/>
      <c r="WPM376" s="21"/>
      <c r="WPP376" s="21"/>
      <c r="WPQ376" s="15"/>
      <c r="WPR376" s="15"/>
      <c r="WPS376" s="15"/>
      <c r="WPT376" s="15"/>
      <c r="WPU376" s="15"/>
      <c r="WPV376" s="15"/>
      <c r="WPW376" s="15"/>
      <c r="WPX376" s="15"/>
      <c r="WPY376" s="15"/>
      <c r="WPZ376" s="15"/>
      <c r="WQA376" s="10"/>
      <c r="WQB376" s="10"/>
      <c r="WQC376" s="21"/>
      <c r="WQD376" s="21"/>
      <c r="WQG376" s="21"/>
      <c r="WQH376" s="15"/>
      <c r="WQI376" s="15"/>
      <c r="WQJ376" s="15"/>
      <c r="WQK376" s="15"/>
      <c r="WQL376" s="15"/>
      <c r="WQM376" s="15"/>
      <c r="WQN376" s="15"/>
      <c r="WQO376" s="15"/>
      <c r="WQP376" s="15"/>
      <c r="WQQ376" s="15"/>
      <c r="WQR376" s="10"/>
      <c r="WQS376" s="10"/>
      <c r="WQT376" s="21"/>
      <c r="WQU376" s="21"/>
      <c r="WQX376" s="21"/>
      <c r="WQY376" s="15"/>
      <c r="WQZ376" s="15"/>
      <c r="WRA376" s="15"/>
      <c r="WRB376" s="15"/>
      <c r="WRC376" s="15"/>
      <c r="WRD376" s="15"/>
      <c r="WRE376" s="15"/>
      <c r="WRF376" s="15"/>
      <c r="WRG376" s="15"/>
      <c r="WRH376" s="15"/>
      <c r="WRI376" s="10"/>
      <c r="WRJ376" s="10"/>
      <c r="WRK376" s="21"/>
      <c r="WRL376" s="21"/>
      <c r="WRO376" s="21"/>
      <c r="WRP376" s="15"/>
      <c r="WRQ376" s="15"/>
      <c r="WRR376" s="15"/>
      <c r="WRS376" s="15"/>
      <c r="WRT376" s="15"/>
      <c r="WRU376" s="15"/>
      <c r="WRV376" s="15"/>
      <c r="WRW376" s="15"/>
      <c r="WRX376" s="15"/>
      <c r="WRY376" s="15"/>
      <c r="WRZ376" s="10"/>
      <c r="WSA376" s="10"/>
      <c r="WSB376" s="21"/>
      <c r="WSC376" s="21"/>
      <c r="WSF376" s="21"/>
      <c r="WSG376" s="15"/>
      <c r="WSH376" s="15"/>
      <c r="WSI376" s="15"/>
      <c r="WSJ376" s="15"/>
      <c r="WSK376" s="15"/>
      <c r="WSL376" s="15"/>
      <c r="WSM376" s="15"/>
      <c r="WSN376" s="15"/>
      <c r="WSO376" s="15"/>
      <c r="WSP376" s="15"/>
      <c r="WSQ376" s="10"/>
      <c r="WSR376" s="10"/>
      <c r="WSS376" s="21"/>
      <c r="WST376" s="21"/>
      <c r="WSW376" s="21"/>
      <c r="WSX376" s="15"/>
      <c r="WSY376" s="15"/>
      <c r="WSZ376" s="15"/>
      <c r="WTA376" s="15"/>
      <c r="WTB376" s="15"/>
      <c r="WTC376" s="15"/>
      <c r="WTD376" s="15"/>
      <c r="WTE376" s="15"/>
      <c r="WTF376" s="15"/>
      <c r="WTG376" s="15"/>
      <c r="WTH376" s="10"/>
      <c r="WTI376" s="10"/>
      <c r="WTJ376" s="21"/>
      <c r="WTK376" s="21"/>
      <c r="WTN376" s="21"/>
      <c r="WTO376" s="15"/>
      <c r="WTP376" s="15"/>
      <c r="WTQ376" s="15"/>
      <c r="WTR376" s="15"/>
      <c r="WTS376" s="15"/>
      <c r="WTT376" s="15"/>
      <c r="WTU376" s="15"/>
      <c r="WTV376" s="15"/>
      <c r="WTW376" s="15"/>
      <c r="WTX376" s="15"/>
      <c r="WTY376" s="10"/>
      <c r="WTZ376" s="10"/>
      <c r="WUA376" s="21"/>
      <c r="WUB376" s="21"/>
      <c r="WUE376" s="21"/>
      <c r="WUF376" s="15"/>
      <c r="WUG376" s="15"/>
      <c r="WUH376" s="15"/>
      <c r="WUI376" s="15"/>
      <c r="WUJ376" s="15"/>
      <c r="WUK376" s="15"/>
      <c r="WUL376" s="15"/>
      <c r="WUM376" s="15"/>
      <c r="WUN376" s="15"/>
      <c r="WUO376" s="15"/>
      <c r="WUP376" s="10"/>
      <c r="WUQ376" s="10"/>
      <c r="WUR376" s="21"/>
      <c r="WUS376" s="21"/>
      <c r="WUV376" s="21"/>
      <c r="WUW376" s="15"/>
      <c r="WUX376" s="15"/>
      <c r="WUY376" s="15"/>
      <c r="WUZ376" s="15"/>
      <c r="WVA376" s="15"/>
      <c r="WVB376" s="15"/>
      <c r="WVC376" s="15"/>
      <c r="WVD376" s="15"/>
      <c r="WVE376" s="15"/>
      <c r="WVF376" s="15"/>
      <c r="WVG376" s="10"/>
      <c r="WVH376" s="10"/>
      <c r="WVI376" s="21"/>
      <c r="WVJ376" s="21"/>
      <c r="WVM376" s="21"/>
      <c r="WVN376" s="15"/>
      <c r="WVO376" s="15"/>
      <c r="WVP376" s="15"/>
      <c r="WVQ376" s="15"/>
      <c r="WVR376" s="15"/>
      <c r="WVS376" s="15"/>
      <c r="WVT376" s="15"/>
      <c r="WVU376" s="15"/>
      <c r="WVV376" s="15"/>
      <c r="WVW376" s="15"/>
      <c r="WVX376" s="10"/>
      <c r="WVY376" s="10"/>
      <c r="WVZ376" s="21"/>
      <c r="WWA376" s="21"/>
      <c r="WWD376" s="21"/>
      <c r="WWE376" s="15"/>
      <c r="WWF376" s="15"/>
      <c r="WWG376" s="15"/>
      <c r="WWH376" s="15"/>
      <c r="WWI376" s="15"/>
      <c r="WWJ376" s="15"/>
      <c r="WWK376" s="15"/>
      <c r="WWL376" s="15"/>
      <c r="WWM376" s="15"/>
      <c r="WWN376" s="15"/>
      <c r="WWO376" s="10"/>
      <c r="WWP376" s="10"/>
      <c r="WWQ376" s="21"/>
      <c r="WWR376" s="21"/>
      <c r="WWU376" s="21"/>
      <c r="WWV376" s="15"/>
      <c r="WWW376" s="15"/>
      <c r="WWX376" s="15"/>
      <c r="WWY376" s="15"/>
      <c r="WWZ376" s="15"/>
      <c r="WXA376" s="15"/>
      <c r="WXB376" s="15"/>
      <c r="WXC376" s="15"/>
      <c r="WXD376" s="15"/>
      <c r="WXE376" s="15"/>
      <c r="WXF376" s="10"/>
      <c r="WXG376" s="10"/>
      <c r="WXH376" s="21"/>
      <c r="WXI376" s="21"/>
      <c r="WXL376" s="21"/>
      <c r="WXM376" s="15"/>
      <c r="WXN376" s="15"/>
      <c r="WXO376" s="15"/>
      <c r="WXP376" s="15"/>
      <c r="WXQ376" s="15"/>
      <c r="WXR376" s="15"/>
      <c r="WXS376" s="15"/>
      <c r="WXT376" s="15"/>
      <c r="WXU376" s="15"/>
      <c r="WXV376" s="15"/>
      <c r="WXW376" s="10"/>
      <c r="WXX376" s="10"/>
      <c r="WXY376" s="21"/>
      <c r="WXZ376" s="21"/>
      <c r="WYC376" s="21"/>
      <c r="WYD376" s="15"/>
      <c r="WYE376" s="15"/>
      <c r="WYF376" s="15"/>
      <c r="WYG376" s="15"/>
      <c r="WYH376" s="15"/>
      <c r="WYI376" s="15"/>
      <c r="WYJ376" s="15"/>
      <c r="WYK376" s="15"/>
      <c r="WYL376" s="15"/>
      <c r="WYM376" s="15"/>
      <c r="WYN376" s="10"/>
      <c r="WYO376" s="10"/>
      <c r="WYP376" s="21"/>
      <c r="WYQ376" s="21"/>
      <c r="WYT376" s="21"/>
      <c r="WYU376" s="15"/>
      <c r="WYV376" s="15"/>
      <c r="WYW376" s="15"/>
      <c r="WYX376" s="15"/>
      <c r="WYY376" s="15"/>
      <c r="WYZ376" s="15"/>
      <c r="WZA376" s="15"/>
      <c r="WZB376" s="15"/>
      <c r="WZC376" s="15"/>
      <c r="WZD376" s="15"/>
      <c r="WZE376" s="10"/>
      <c r="WZF376" s="10"/>
      <c r="WZG376" s="21"/>
      <c r="WZH376" s="21"/>
      <c r="WZK376" s="21"/>
      <c r="WZL376" s="15"/>
      <c r="WZM376" s="15"/>
      <c r="WZN376" s="15"/>
      <c r="WZO376" s="15"/>
      <c r="WZP376" s="15"/>
      <c r="WZQ376" s="15"/>
      <c r="WZR376" s="15"/>
      <c r="WZS376" s="15"/>
      <c r="WZT376" s="15"/>
      <c r="WZU376" s="15"/>
      <c r="WZV376" s="10"/>
      <c r="WZW376" s="10"/>
      <c r="WZX376" s="21"/>
      <c r="WZY376" s="21"/>
      <c r="XAB376" s="21"/>
      <c r="XAC376" s="15"/>
      <c r="XAD376" s="15"/>
      <c r="XAE376" s="15"/>
      <c r="XAF376" s="15"/>
      <c r="XAG376" s="15"/>
      <c r="XAH376" s="15"/>
      <c r="XAI376" s="15"/>
      <c r="XAJ376" s="15"/>
      <c r="XAK376" s="15"/>
      <c r="XAL376" s="15"/>
      <c r="XAM376" s="10"/>
      <c r="XAN376" s="10"/>
      <c r="XAO376" s="21"/>
      <c r="XAP376" s="21"/>
      <c r="XAS376" s="21"/>
      <c r="XAT376" s="15"/>
      <c r="XAU376" s="15"/>
      <c r="XAV376" s="15"/>
      <c r="XAW376" s="15"/>
      <c r="XAX376" s="15"/>
      <c r="XAY376" s="15"/>
      <c r="XAZ376" s="15"/>
      <c r="XBA376" s="15"/>
      <c r="XBB376" s="15"/>
      <c r="XBC376" s="15"/>
      <c r="XBD376" s="10"/>
      <c r="XBE376" s="10"/>
      <c r="XBF376" s="21"/>
      <c r="XBG376" s="21"/>
      <c r="XBJ376" s="21"/>
      <c r="XBK376" s="15"/>
      <c r="XBL376" s="15"/>
      <c r="XBM376" s="15"/>
      <c r="XBN376" s="15"/>
      <c r="XBO376" s="15"/>
      <c r="XBP376" s="15"/>
      <c r="XBQ376" s="15"/>
      <c r="XBR376" s="15"/>
      <c r="XBS376" s="15"/>
      <c r="XBT376" s="15"/>
      <c r="XBU376" s="10"/>
      <c r="XBV376" s="10"/>
      <c r="XBW376" s="21"/>
      <c r="XBX376" s="21"/>
      <c r="XCA376" s="21"/>
      <c r="XCB376" s="15"/>
      <c r="XCC376" s="15"/>
      <c r="XCD376" s="15"/>
      <c r="XCE376" s="15"/>
      <c r="XCF376" s="15"/>
      <c r="XCG376" s="15"/>
      <c r="XCH376" s="15"/>
      <c r="XCI376" s="15"/>
      <c r="XCJ376" s="15"/>
      <c r="XCK376" s="15"/>
      <c r="XCL376" s="10"/>
      <c r="XCM376" s="10"/>
      <c r="XCN376" s="21"/>
      <c r="XCO376" s="21"/>
      <c r="XCR376" s="21"/>
      <c r="XCS376" s="15"/>
      <c r="XCT376" s="15"/>
      <c r="XCU376" s="15"/>
      <c r="XCV376" s="15"/>
      <c r="XCW376" s="15"/>
      <c r="XCX376" s="15"/>
      <c r="XCY376" s="15"/>
      <c r="XCZ376" s="15"/>
      <c r="XDA376" s="15"/>
      <c r="XDB376" s="15"/>
      <c r="XDC376" s="10"/>
      <c r="XDD376" s="10"/>
      <c r="XDE376" s="21"/>
      <c r="XDF376" s="21"/>
      <c r="XDI376" s="21"/>
      <c r="XDJ376" s="15"/>
      <c r="XDK376" s="15"/>
      <c r="XDL376" s="15"/>
      <c r="XDM376" s="15"/>
      <c r="XDN376" s="15"/>
      <c r="XDO376" s="15"/>
      <c r="XDP376" s="15"/>
      <c r="XDQ376" s="15"/>
      <c r="XDR376" s="15"/>
      <c r="XDS376" s="15"/>
      <c r="XDT376" s="10"/>
      <c r="XDU376" s="10"/>
      <c r="XDV376" s="21"/>
      <c r="XDW376" s="21"/>
      <c r="XDZ376" s="21"/>
      <c r="XEA376" s="15"/>
      <c r="XEB376" s="15"/>
      <c r="XEC376" s="15"/>
      <c r="XED376" s="15"/>
      <c r="XEE376" s="15"/>
      <c r="XEF376" s="15"/>
      <c r="XEG376" s="15"/>
      <c r="XEH376" s="15"/>
      <c r="XEI376" s="15"/>
      <c r="XEJ376" s="15"/>
      <c r="XEK376" s="10"/>
      <c r="XEL376" s="10"/>
      <c r="XEM376" s="21"/>
      <c r="XEN376" s="21"/>
      <c r="XEQ376" s="21"/>
      <c r="XER376" s="15"/>
      <c r="XES376" s="15"/>
      <c r="XET376" s="15"/>
      <c r="XEU376" s="15"/>
      <c r="XEV376" s="15"/>
      <c r="XEW376" s="15"/>
      <c r="XEX376" s="15"/>
      <c r="XEY376" s="15"/>
      <c r="XEZ376" s="15"/>
      <c r="XFA376" s="15"/>
      <c r="XFB376" s="10"/>
      <c r="XFC376" s="10"/>
      <c r="XFD376" s="21"/>
    </row>
    <row r="377" spans="1:4094 4097:8191 8194:12288 12291:16384" s="1" customFormat="1" ht="14.25" customHeight="1" x14ac:dyDescent="0.3">
      <c r="A377" s="44">
        <v>0</v>
      </c>
      <c r="B377" s="44">
        <v>2</v>
      </c>
      <c r="C377" s="44">
        <v>5</v>
      </c>
      <c r="D377" s="45" t="s">
        <v>772</v>
      </c>
      <c r="E377" s="45" t="s">
        <v>769</v>
      </c>
      <c r="F377" s="45" t="s">
        <v>774</v>
      </c>
      <c r="G377" s="45" t="s">
        <v>206</v>
      </c>
      <c r="H377" s="45" t="s">
        <v>352</v>
      </c>
      <c r="I377" s="44" t="s">
        <v>773</v>
      </c>
      <c r="J377" s="44">
        <v>99</v>
      </c>
      <c r="K377" s="46" t="s">
        <v>709</v>
      </c>
      <c r="L377" s="46" t="s">
        <v>691</v>
      </c>
      <c r="M377" s="47" t="s">
        <v>1423</v>
      </c>
      <c r="N377" s="47" t="s">
        <v>1732</v>
      </c>
      <c r="O377" s="48"/>
      <c r="P377" s="48"/>
      <c r="Q377" s="45"/>
      <c r="S377" s="1">
        <f t="shared" si="235"/>
        <v>0</v>
      </c>
      <c r="T377" s="1">
        <f t="shared" si="236"/>
        <v>0</v>
      </c>
      <c r="U377" s="1">
        <f t="shared" si="237"/>
        <v>0</v>
      </c>
      <c r="V377" s="1">
        <f t="shared" si="238"/>
        <v>0</v>
      </c>
      <c r="W377" s="1">
        <f t="shared" si="239"/>
        <v>0</v>
      </c>
      <c r="X377" s="1">
        <f t="shared" si="240"/>
        <v>0</v>
      </c>
      <c r="Y377" s="1">
        <f t="shared" si="241"/>
        <v>0</v>
      </c>
      <c r="Z377" s="1">
        <f t="shared" si="242"/>
        <v>0</v>
      </c>
      <c r="AA377" s="1">
        <f t="shared" si="243"/>
        <v>0</v>
      </c>
      <c r="AB377" s="1">
        <f t="shared" si="244"/>
        <v>0</v>
      </c>
      <c r="AD377" s="1">
        <f t="shared" si="245"/>
        <v>0</v>
      </c>
      <c r="AE377" s="1">
        <f t="shared" si="246"/>
        <v>0</v>
      </c>
      <c r="AF377" s="1">
        <f t="shared" si="231"/>
        <v>0</v>
      </c>
      <c r="AG377" s="1">
        <f t="shared" si="232"/>
        <v>0</v>
      </c>
      <c r="AH377" s="1">
        <f t="shared" si="233"/>
        <v>0</v>
      </c>
      <c r="AI377" s="1">
        <f t="shared" si="234"/>
        <v>1</v>
      </c>
    </row>
    <row r="378" spans="1:4094 4097:8191 8194:12288 12291:16384" s="1" customFormat="1" ht="14.25" customHeight="1" x14ac:dyDescent="0.3">
      <c r="A378" s="44">
        <v>1</v>
      </c>
      <c r="B378" s="44">
        <v>2</v>
      </c>
      <c r="C378" s="44">
        <v>5</v>
      </c>
      <c r="D378" s="45" t="s">
        <v>772</v>
      </c>
      <c r="E378" s="45" t="s">
        <v>769</v>
      </c>
      <c r="F378" s="45" t="s">
        <v>1003</v>
      </c>
      <c r="G378" s="45" t="s">
        <v>189</v>
      </c>
      <c r="H378" s="45" t="s">
        <v>352</v>
      </c>
      <c r="I378" s="44" t="s">
        <v>1004</v>
      </c>
      <c r="J378" s="44">
        <v>99</v>
      </c>
      <c r="K378" s="46" t="s">
        <v>709</v>
      </c>
      <c r="L378" s="46" t="s">
        <v>691</v>
      </c>
      <c r="M378" s="47" t="s">
        <v>1423</v>
      </c>
      <c r="N378" s="47" t="s">
        <v>1732</v>
      </c>
      <c r="O378" s="48"/>
      <c r="P378" s="48"/>
      <c r="Q378" s="45"/>
      <c r="S378" s="1">
        <f t="shared" si="235"/>
        <v>0</v>
      </c>
      <c r="T378" s="1">
        <f t="shared" si="236"/>
        <v>0</v>
      </c>
      <c r="U378" s="1">
        <f t="shared" si="237"/>
        <v>0</v>
      </c>
      <c r="V378" s="1">
        <f t="shared" si="238"/>
        <v>0</v>
      </c>
      <c r="W378" s="1">
        <f t="shared" si="239"/>
        <v>0</v>
      </c>
      <c r="X378" s="1">
        <f t="shared" si="240"/>
        <v>0</v>
      </c>
      <c r="Y378" s="1">
        <f t="shared" si="241"/>
        <v>0</v>
      </c>
      <c r="Z378" s="1">
        <f t="shared" si="242"/>
        <v>0</v>
      </c>
      <c r="AA378" s="1">
        <f t="shared" si="243"/>
        <v>0</v>
      </c>
      <c r="AB378" s="1">
        <f t="shared" si="244"/>
        <v>0</v>
      </c>
      <c r="AD378" s="1">
        <f t="shared" si="245"/>
        <v>0</v>
      </c>
      <c r="AE378" s="1">
        <f t="shared" si="246"/>
        <v>0</v>
      </c>
      <c r="AF378" s="1">
        <f t="shared" si="231"/>
        <v>0</v>
      </c>
      <c r="AG378" s="1">
        <f t="shared" si="232"/>
        <v>0</v>
      </c>
      <c r="AH378" s="1">
        <f t="shared" si="233"/>
        <v>0</v>
      </c>
      <c r="AI378" s="1">
        <f t="shared" si="234"/>
        <v>0</v>
      </c>
    </row>
    <row r="379" spans="1:4094 4097:8191 8194:12288 12291:16384" s="1" customFormat="1" ht="14.25" customHeight="1" x14ac:dyDescent="0.3">
      <c r="A379" s="15">
        <v>0</v>
      </c>
      <c r="B379" s="15">
        <v>2</v>
      </c>
      <c r="C379" s="15">
        <v>5</v>
      </c>
      <c r="D379" s="16" t="s">
        <v>913</v>
      </c>
      <c r="E379" s="16" t="s">
        <v>908</v>
      </c>
      <c r="F379" s="16" t="s">
        <v>926</v>
      </c>
      <c r="G379" s="16" t="s">
        <v>1347</v>
      </c>
      <c r="H379" s="16" t="s">
        <v>352</v>
      </c>
      <c r="I379" s="15" t="s">
        <v>767</v>
      </c>
      <c r="J379" s="15">
        <v>99</v>
      </c>
      <c r="K379" s="10" t="s">
        <v>700</v>
      </c>
      <c r="L379" s="10">
        <v>20</v>
      </c>
      <c r="M379" s="19" t="s">
        <v>1424</v>
      </c>
      <c r="N379" s="19"/>
      <c r="Q379" s="16"/>
      <c r="S379" s="1">
        <f t="shared" si="235"/>
        <v>0</v>
      </c>
      <c r="T379" s="1">
        <f t="shared" si="236"/>
        <v>0</v>
      </c>
      <c r="U379" s="1">
        <f t="shared" si="237"/>
        <v>0</v>
      </c>
      <c r="V379" s="1">
        <f t="shared" si="238"/>
        <v>0</v>
      </c>
      <c r="W379" s="1">
        <f t="shared" si="239"/>
        <v>0</v>
      </c>
      <c r="X379" s="1">
        <f t="shared" si="240"/>
        <v>0</v>
      </c>
      <c r="Y379" s="1">
        <f t="shared" si="241"/>
        <v>0</v>
      </c>
      <c r="Z379" s="1">
        <f t="shared" si="242"/>
        <v>0</v>
      </c>
      <c r="AA379" s="1">
        <f t="shared" si="243"/>
        <v>0</v>
      </c>
      <c r="AB379" s="1">
        <f t="shared" si="244"/>
        <v>0</v>
      </c>
      <c r="AD379" s="1">
        <f t="shared" si="245"/>
        <v>0</v>
      </c>
      <c r="AE379" s="1">
        <f t="shared" si="246"/>
        <v>0</v>
      </c>
      <c r="AF379" s="1">
        <f t="shared" si="231"/>
        <v>0</v>
      </c>
      <c r="AG379" s="1">
        <f t="shared" si="232"/>
        <v>0</v>
      </c>
      <c r="AH379" s="1">
        <f t="shared" si="233"/>
        <v>0</v>
      </c>
      <c r="AI379" s="1">
        <f t="shared" si="234"/>
        <v>1</v>
      </c>
    </row>
    <row r="380" spans="1:4094 4097:8191 8194:12288 12291:16384" s="1" customFormat="1" ht="14.25" customHeight="1" x14ac:dyDescent="0.3">
      <c r="A380" s="31">
        <v>0</v>
      </c>
      <c r="B380" s="31">
        <v>2</v>
      </c>
      <c r="C380" s="31">
        <v>5</v>
      </c>
      <c r="D380" s="32" t="s">
        <v>1918</v>
      </c>
      <c r="E380" s="32"/>
      <c r="F380" s="32" t="s">
        <v>1919</v>
      </c>
      <c r="G380" s="32" t="s">
        <v>207</v>
      </c>
      <c r="H380" s="32" t="s">
        <v>352</v>
      </c>
      <c r="I380" s="31" t="s">
        <v>1920</v>
      </c>
      <c r="J380" s="31">
        <v>3</v>
      </c>
      <c r="K380" s="33" t="s">
        <v>700</v>
      </c>
      <c r="L380" s="33"/>
      <c r="M380" s="34"/>
      <c r="N380" s="34" t="s">
        <v>1724</v>
      </c>
      <c r="O380" s="35">
        <v>1</v>
      </c>
      <c r="P380" s="35">
        <v>1</v>
      </c>
      <c r="Q380" s="32" t="s">
        <v>1921</v>
      </c>
      <c r="S380" s="1">
        <f t="shared" si="235"/>
        <v>0</v>
      </c>
      <c r="T380" s="1">
        <f t="shared" si="236"/>
        <v>0</v>
      </c>
      <c r="U380" s="1">
        <f t="shared" si="237"/>
        <v>1</v>
      </c>
      <c r="V380" s="1">
        <f t="shared" si="238"/>
        <v>0</v>
      </c>
      <c r="W380" s="1">
        <f t="shared" si="239"/>
        <v>0</v>
      </c>
      <c r="X380" s="1">
        <f t="shared" si="240"/>
        <v>0</v>
      </c>
      <c r="Y380" s="1">
        <f t="shared" si="241"/>
        <v>0</v>
      </c>
      <c r="Z380" s="1">
        <f t="shared" si="242"/>
        <v>0</v>
      </c>
      <c r="AA380" s="1">
        <f t="shared" si="243"/>
        <v>0</v>
      </c>
      <c r="AB380" s="1">
        <f t="shared" si="244"/>
        <v>0</v>
      </c>
      <c r="AD380" s="1">
        <f t="shared" si="245"/>
        <v>1</v>
      </c>
      <c r="AE380" s="1">
        <f t="shared" si="246"/>
        <v>0</v>
      </c>
      <c r="AF380" s="1">
        <f t="shared" si="231"/>
        <v>1</v>
      </c>
      <c r="AG380" s="1">
        <f t="shared" si="232"/>
        <v>0</v>
      </c>
      <c r="AH380" s="1">
        <f t="shared" si="233"/>
        <v>1</v>
      </c>
      <c r="AI380" s="1">
        <f t="shared" si="234"/>
        <v>0</v>
      </c>
    </row>
    <row r="381" spans="1:4094 4097:8191 8194:12288 12291:16384" s="1" customFormat="1" ht="14.25" customHeight="1" x14ac:dyDescent="0.3">
      <c r="A381" s="31">
        <v>0</v>
      </c>
      <c r="B381" s="31">
        <v>2</v>
      </c>
      <c r="C381" s="31">
        <v>5</v>
      </c>
      <c r="D381" s="32" t="s">
        <v>1267</v>
      </c>
      <c r="E381" s="32" t="s">
        <v>1268</v>
      </c>
      <c r="F381" s="32" t="s">
        <v>1269</v>
      </c>
      <c r="G381" s="32" t="s">
        <v>219</v>
      </c>
      <c r="H381" s="32" t="s">
        <v>352</v>
      </c>
      <c r="I381" s="31" t="s">
        <v>1720</v>
      </c>
      <c r="J381" s="31">
        <v>8</v>
      </c>
      <c r="K381" s="33" t="s">
        <v>710</v>
      </c>
      <c r="L381" s="33" t="s">
        <v>39</v>
      </c>
      <c r="M381" s="34" t="s">
        <v>39</v>
      </c>
      <c r="N381" s="34" t="s">
        <v>1724</v>
      </c>
      <c r="O381" s="35">
        <v>1</v>
      </c>
      <c r="P381" s="35">
        <v>1</v>
      </c>
      <c r="Q381" s="32"/>
      <c r="S381" s="1">
        <f t="shared" si="235"/>
        <v>0</v>
      </c>
      <c r="T381" s="1">
        <f t="shared" si="236"/>
        <v>0</v>
      </c>
      <c r="U381" s="1">
        <f t="shared" si="237"/>
        <v>0</v>
      </c>
      <c r="V381" s="1">
        <f t="shared" si="238"/>
        <v>0</v>
      </c>
      <c r="W381" s="1">
        <f t="shared" si="239"/>
        <v>0</v>
      </c>
      <c r="X381" s="1">
        <f t="shared" si="240"/>
        <v>0</v>
      </c>
      <c r="Y381" s="1">
        <f t="shared" si="241"/>
        <v>0</v>
      </c>
      <c r="Z381" s="1">
        <f t="shared" si="242"/>
        <v>1</v>
      </c>
      <c r="AA381" s="1">
        <f t="shared" si="243"/>
        <v>0</v>
      </c>
      <c r="AB381" s="1">
        <f t="shared" si="244"/>
        <v>0</v>
      </c>
      <c r="AD381" s="1">
        <f t="shared" si="245"/>
        <v>1</v>
      </c>
      <c r="AE381" s="1">
        <f t="shared" si="246"/>
        <v>0</v>
      </c>
      <c r="AF381" s="1">
        <f t="shared" si="231"/>
        <v>1</v>
      </c>
      <c r="AG381" s="1">
        <f t="shared" si="232"/>
        <v>0</v>
      </c>
      <c r="AH381" s="1">
        <f t="shared" si="233"/>
        <v>1</v>
      </c>
      <c r="AI381" s="1">
        <f t="shared" si="234"/>
        <v>0</v>
      </c>
    </row>
    <row r="382" spans="1:4094 4097:8191 8194:12288 12291:16384" s="1" customFormat="1" ht="14.25" customHeight="1" x14ac:dyDescent="0.3">
      <c r="A382" s="31">
        <v>0</v>
      </c>
      <c r="B382" s="31">
        <v>2</v>
      </c>
      <c r="C382" s="31">
        <v>5</v>
      </c>
      <c r="D382" s="32" t="s">
        <v>1079</v>
      </c>
      <c r="E382" s="32" t="s">
        <v>154</v>
      </c>
      <c r="F382" s="32" t="s">
        <v>1063</v>
      </c>
      <c r="G382" s="32" t="s">
        <v>319</v>
      </c>
      <c r="H382" s="32" t="s">
        <v>352</v>
      </c>
      <c r="I382" s="31" t="s">
        <v>1064</v>
      </c>
      <c r="J382" s="31">
        <v>99</v>
      </c>
      <c r="K382" s="33" t="s">
        <v>710</v>
      </c>
      <c r="L382" s="33" t="s">
        <v>691</v>
      </c>
      <c r="M382" s="34" t="s">
        <v>1425</v>
      </c>
      <c r="N382" s="34" t="s">
        <v>1753</v>
      </c>
      <c r="O382" s="35">
        <v>1</v>
      </c>
      <c r="P382" s="35"/>
      <c r="Q382" s="32"/>
      <c r="S382" s="1">
        <f t="shared" si="235"/>
        <v>0</v>
      </c>
      <c r="T382" s="1">
        <f t="shared" si="236"/>
        <v>0</v>
      </c>
      <c r="U382" s="1">
        <f t="shared" si="237"/>
        <v>0</v>
      </c>
      <c r="V382" s="1">
        <f t="shared" si="238"/>
        <v>0</v>
      </c>
      <c r="W382" s="1">
        <f t="shared" si="239"/>
        <v>0</v>
      </c>
      <c r="X382" s="1">
        <f t="shared" si="240"/>
        <v>0</v>
      </c>
      <c r="Y382" s="1">
        <f t="shared" si="241"/>
        <v>0</v>
      </c>
      <c r="Z382" s="1">
        <f t="shared" si="242"/>
        <v>0</v>
      </c>
      <c r="AA382" s="1">
        <f t="shared" si="243"/>
        <v>0</v>
      </c>
      <c r="AB382" s="1">
        <f t="shared" si="244"/>
        <v>0</v>
      </c>
      <c r="AD382" s="1">
        <f t="shared" si="245"/>
        <v>0</v>
      </c>
      <c r="AE382" s="1">
        <f t="shared" si="246"/>
        <v>1</v>
      </c>
      <c r="AF382" s="1">
        <f t="shared" si="231"/>
        <v>0</v>
      </c>
      <c r="AG382" s="1">
        <f t="shared" si="232"/>
        <v>1</v>
      </c>
      <c r="AH382" s="1">
        <f t="shared" si="233"/>
        <v>0</v>
      </c>
      <c r="AI382" s="1">
        <f t="shared" si="234"/>
        <v>1</v>
      </c>
    </row>
    <row r="383" spans="1:4094 4097:8191 8194:12288 12291:16384" s="1" customFormat="1" ht="14.25" customHeight="1" x14ac:dyDescent="0.3">
      <c r="A383" s="31">
        <v>0</v>
      </c>
      <c r="B383" s="31">
        <v>2</v>
      </c>
      <c r="C383" s="31">
        <v>5</v>
      </c>
      <c r="D383" s="32" t="s">
        <v>793</v>
      </c>
      <c r="E383" s="32" t="s">
        <v>769</v>
      </c>
      <c r="F383" s="32" t="s">
        <v>929</v>
      </c>
      <c r="G383" s="32" t="s">
        <v>219</v>
      </c>
      <c r="H383" s="32" t="s">
        <v>352</v>
      </c>
      <c r="I383" s="31" t="s">
        <v>794</v>
      </c>
      <c r="J383" s="31">
        <v>8</v>
      </c>
      <c r="K383" s="33" t="s">
        <v>700</v>
      </c>
      <c r="L383" s="33">
        <v>20</v>
      </c>
      <c r="M383" s="34" t="s">
        <v>1416</v>
      </c>
      <c r="N383" s="34" t="s">
        <v>1822</v>
      </c>
      <c r="O383" s="35">
        <v>1</v>
      </c>
      <c r="P383" s="35"/>
      <c r="Q383" s="32"/>
      <c r="S383" s="1">
        <f t="shared" ref="S383:S385" si="259">IF(J383=$S$7,1,0)</f>
        <v>0</v>
      </c>
      <c r="T383" s="1">
        <f t="shared" ref="T383:T385" si="260">IF(J383=$T$7,1,0)</f>
        <v>0</v>
      </c>
      <c r="U383" s="1">
        <f t="shared" ref="U383:U385" si="261">IF(J383=$U$7,1,0)</f>
        <v>0</v>
      </c>
      <c r="V383" s="1">
        <f t="shared" ref="V383:V385" si="262">IF(J383=$V$7,1,0)</f>
        <v>0</v>
      </c>
      <c r="W383" s="1">
        <f t="shared" ref="W383:W385" si="263">IF(J383=$W$7,1,0)</f>
        <v>0</v>
      </c>
      <c r="X383" s="1">
        <f t="shared" ref="X383:X385" si="264">IF(J383=$X$7,1,0)</f>
        <v>0</v>
      </c>
      <c r="Y383" s="1">
        <f t="shared" ref="Y383:Y385" si="265">IF(J383=$Y$7,1,0)</f>
        <v>0</v>
      </c>
      <c r="Z383" s="1">
        <f t="shared" ref="Z383:Z385" si="266">IF(J383=$Z$7,1,0)</f>
        <v>1</v>
      </c>
      <c r="AA383" s="1">
        <f t="shared" ref="AA383:AA385" si="267">IF(J383=$AA$7,1,0)</f>
        <v>0</v>
      </c>
      <c r="AB383" s="1">
        <f t="shared" ref="AB383:AB385" si="268">IF(J383=$AB$7,1,0)</f>
        <v>0</v>
      </c>
      <c r="AD383" s="1">
        <f t="shared" ref="AD383:AD385" si="269">+O383*P383</f>
        <v>0</v>
      </c>
      <c r="AE383" s="1">
        <f t="shared" ref="AE383:AE385" si="270">O383*(1-P383)</f>
        <v>1</v>
      </c>
      <c r="AF383" s="1">
        <f t="shared" si="231"/>
        <v>0</v>
      </c>
      <c r="AG383" s="1">
        <f t="shared" si="232"/>
        <v>1</v>
      </c>
      <c r="AH383" s="1">
        <f t="shared" si="233"/>
        <v>0</v>
      </c>
      <c r="AI383" s="1">
        <f t="shared" si="234"/>
        <v>1</v>
      </c>
    </row>
    <row r="384" spans="1:4094 4097:8191 8194:12288 12291:16384" s="1" customFormat="1" ht="14.25" customHeight="1" x14ac:dyDescent="0.3">
      <c r="A384" s="49">
        <v>0</v>
      </c>
      <c r="B384" s="49">
        <v>2</v>
      </c>
      <c r="C384" s="49">
        <v>5</v>
      </c>
      <c r="D384" s="50" t="s">
        <v>79</v>
      </c>
      <c r="E384" s="50" t="s">
        <v>158</v>
      </c>
      <c r="F384" s="50" t="s">
        <v>267</v>
      </c>
      <c r="G384" s="50" t="s">
        <v>212</v>
      </c>
      <c r="H384" s="50" t="s">
        <v>352</v>
      </c>
      <c r="I384" s="49" t="s">
        <v>423</v>
      </c>
      <c r="J384" s="49">
        <v>1</v>
      </c>
      <c r="K384" s="51" t="s">
        <v>952</v>
      </c>
      <c r="L384" s="51" t="s">
        <v>701</v>
      </c>
      <c r="M384" s="52" t="s">
        <v>724</v>
      </c>
      <c r="N384" s="52" t="s">
        <v>1740</v>
      </c>
      <c r="O384" s="53">
        <v>1</v>
      </c>
      <c r="P384" s="53"/>
      <c r="Q384" s="50"/>
      <c r="S384" s="1">
        <f t="shared" si="259"/>
        <v>1</v>
      </c>
      <c r="T384" s="1">
        <f t="shared" si="260"/>
        <v>0</v>
      </c>
      <c r="U384" s="1">
        <f t="shared" si="261"/>
        <v>0</v>
      </c>
      <c r="V384" s="1">
        <f t="shared" si="262"/>
        <v>0</v>
      </c>
      <c r="W384" s="1">
        <f t="shared" si="263"/>
        <v>0</v>
      </c>
      <c r="X384" s="1">
        <f t="shared" si="264"/>
        <v>0</v>
      </c>
      <c r="Y384" s="1">
        <f t="shared" si="265"/>
        <v>0</v>
      </c>
      <c r="Z384" s="1">
        <f t="shared" si="266"/>
        <v>0</v>
      </c>
      <c r="AA384" s="1">
        <f t="shared" si="267"/>
        <v>0</v>
      </c>
      <c r="AB384" s="1">
        <f t="shared" si="268"/>
        <v>0</v>
      </c>
      <c r="AD384" s="1">
        <f t="shared" si="269"/>
        <v>0</v>
      </c>
      <c r="AE384" s="1">
        <f t="shared" si="270"/>
        <v>1</v>
      </c>
      <c r="AF384" s="1">
        <f t="shared" si="231"/>
        <v>0</v>
      </c>
      <c r="AG384" s="1">
        <f t="shared" si="232"/>
        <v>1</v>
      </c>
      <c r="AH384" s="1">
        <f t="shared" si="233"/>
        <v>0</v>
      </c>
      <c r="AI384" s="1">
        <f t="shared" si="234"/>
        <v>1</v>
      </c>
    </row>
    <row r="385" spans="1:35" s="1" customFormat="1" ht="14.25" customHeight="1" x14ac:dyDescent="0.3">
      <c r="A385" s="31">
        <v>0</v>
      </c>
      <c r="B385" s="31">
        <v>2</v>
      </c>
      <c r="C385" s="31">
        <v>5</v>
      </c>
      <c r="D385" s="32" t="s">
        <v>1639</v>
      </c>
      <c r="E385" s="32" t="s">
        <v>1651</v>
      </c>
      <c r="F385" s="32" t="s">
        <v>1548</v>
      </c>
      <c r="G385" s="32" t="s">
        <v>261</v>
      </c>
      <c r="H385" s="32" t="s">
        <v>352</v>
      </c>
      <c r="I385" s="31" t="s">
        <v>1549</v>
      </c>
      <c r="J385" s="31">
        <v>99</v>
      </c>
      <c r="K385" s="33" t="s">
        <v>952</v>
      </c>
      <c r="L385" s="33">
        <v>40</v>
      </c>
      <c r="M385" s="34" t="s">
        <v>39</v>
      </c>
      <c r="N385" s="34" t="s">
        <v>1822</v>
      </c>
      <c r="O385" s="35">
        <v>1</v>
      </c>
      <c r="P385" s="35"/>
      <c r="Q385" s="32"/>
      <c r="S385" s="1">
        <f t="shared" si="259"/>
        <v>0</v>
      </c>
      <c r="T385" s="1">
        <f t="shared" si="260"/>
        <v>0</v>
      </c>
      <c r="U385" s="1">
        <f t="shared" si="261"/>
        <v>0</v>
      </c>
      <c r="V385" s="1">
        <f t="shared" si="262"/>
        <v>0</v>
      </c>
      <c r="W385" s="1">
        <f t="shared" si="263"/>
        <v>0</v>
      </c>
      <c r="X385" s="1">
        <f t="shared" si="264"/>
        <v>0</v>
      </c>
      <c r="Y385" s="1">
        <f t="shared" si="265"/>
        <v>0</v>
      </c>
      <c r="Z385" s="1">
        <f t="shared" si="266"/>
        <v>0</v>
      </c>
      <c r="AA385" s="1">
        <f t="shared" si="267"/>
        <v>0</v>
      </c>
      <c r="AB385" s="1">
        <f t="shared" si="268"/>
        <v>0</v>
      </c>
      <c r="AD385" s="1">
        <f t="shared" si="269"/>
        <v>0</v>
      </c>
      <c r="AE385" s="1">
        <f t="shared" si="270"/>
        <v>1</v>
      </c>
      <c r="AF385" s="1">
        <f t="shared" si="231"/>
        <v>0</v>
      </c>
      <c r="AG385" s="1">
        <f t="shared" si="232"/>
        <v>1</v>
      </c>
      <c r="AH385" s="1">
        <f t="shared" si="233"/>
        <v>0</v>
      </c>
      <c r="AI385" s="1">
        <f t="shared" si="234"/>
        <v>1</v>
      </c>
    </row>
    <row r="386" spans="1:35" s="1" customFormat="1" ht="14.25" customHeight="1" x14ac:dyDescent="0.3">
      <c r="A386" s="31">
        <v>0</v>
      </c>
      <c r="B386" s="31">
        <v>2</v>
      </c>
      <c r="C386" s="31">
        <v>5</v>
      </c>
      <c r="D386" s="32" t="s">
        <v>1294</v>
      </c>
      <c r="E386" s="32" t="s">
        <v>27</v>
      </c>
      <c r="F386" s="32" t="s">
        <v>1295</v>
      </c>
      <c r="G386" s="32" t="s">
        <v>1296</v>
      </c>
      <c r="H386" s="32" t="s">
        <v>352</v>
      </c>
      <c r="I386" s="31" t="s">
        <v>1297</v>
      </c>
      <c r="J386" s="31">
        <v>99</v>
      </c>
      <c r="K386" s="33" t="s">
        <v>952</v>
      </c>
      <c r="L386" s="33" t="s">
        <v>39</v>
      </c>
      <c r="M386" s="34" t="s">
        <v>39</v>
      </c>
      <c r="N386" s="34" t="s">
        <v>1724</v>
      </c>
      <c r="O386" s="35">
        <v>1</v>
      </c>
      <c r="P386" s="35">
        <v>1</v>
      </c>
      <c r="Q386" s="36"/>
      <c r="S386" s="1">
        <f t="shared" si="235"/>
        <v>0</v>
      </c>
      <c r="T386" s="1">
        <f t="shared" si="236"/>
        <v>0</v>
      </c>
      <c r="U386" s="1">
        <f t="shared" si="237"/>
        <v>0</v>
      </c>
      <c r="V386" s="1">
        <f t="shared" si="238"/>
        <v>0</v>
      </c>
      <c r="W386" s="1">
        <f t="shared" si="239"/>
        <v>0</v>
      </c>
      <c r="X386" s="1">
        <f t="shared" si="240"/>
        <v>0</v>
      </c>
      <c r="Y386" s="1">
        <f t="shared" si="241"/>
        <v>0</v>
      </c>
      <c r="Z386" s="1">
        <f t="shared" si="242"/>
        <v>0</v>
      </c>
      <c r="AA386" s="1">
        <f t="shared" si="243"/>
        <v>0</v>
      </c>
      <c r="AB386" s="1">
        <f t="shared" si="244"/>
        <v>0</v>
      </c>
      <c r="AD386" s="1">
        <f t="shared" si="245"/>
        <v>1</v>
      </c>
      <c r="AE386" s="1">
        <f t="shared" si="246"/>
        <v>0</v>
      </c>
      <c r="AF386" s="1">
        <f t="shared" si="231"/>
        <v>1</v>
      </c>
      <c r="AG386" s="1">
        <f t="shared" si="232"/>
        <v>0</v>
      </c>
      <c r="AH386" s="1">
        <f t="shared" si="233"/>
        <v>1</v>
      </c>
      <c r="AI386" s="1">
        <f t="shared" si="234"/>
        <v>0</v>
      </c>
    </row>
    <row r="387" spans="1:35" s="1" customFormat="1" ht="14.25" customHeight="1" x14ac:dyDescent="0.3">
      <c r="A387" s="44">
        <v>0</v>
      </c>
      <c r="B387" s="44">
        <v>2</v>
      </c>
      <c r="C387" s="44">
        <v>5</v>
      </c>
      <c r="D387" s="45" t="s">
        <v>1600</v>
      </c>
      <c r="E387" s="45" t="s">
        <v>158</v>
      </c>
      <c r="F387" s="45" t="s">
        <v>1672</v>
      </c>
      <c r="G387" s="45" t="s">
        <v>1465</v>
      </c>
      <c r="H387" s="45" t="s">
        <v>352</v>
      </c>
      <c r="I387" s="44" t="s">
        <v>1466</v>
      </c>
      <c r="J387" s="44">
        <v>99</v>
      </c>
      <c r="K387" s="46" t="s">
        <v>710</v>
      </c>
      <c r="L387" s="46" t="s">
        <v>693</v>
      </c>
      <c r="M387" s="47" t="s">
        <v>1467</v>
      </c>
      <c r="N387" s="47" t="s">
        <v>1744</v>
      </c>
      <c r="O387" s="48"/>
      <c r="P387" s="48"/>
      <c r="Q387" s="45"/>
      <c r="S387" s="1">
        <f t="shared" si="235"/>
        <v>0</v>
      </c>
      <c r="T387" s="1">
        <f t="shared" si="236"/>
        <v>0</v>
      </c>
      <c r="U387" s="1">
        <f t="shared" si="237"/>
        <v>0</v>
      </c>
      <c r="V387" s="1">
        <f t="shared" si="238"/>
        <v>0</v>
      </c>
      <c r="W387" s="1">
        <f t="shared" si="239"/>
        <v>0</v>
      </c>
      <c r="X387" s="1">
        <f t="shared" si="240"/>
        <v>0</v>
      </c>
      <c r="Y387" s="1">
        <f t="shared" si="241"/>
        <v>0</v>
      </c>
      <c r="Z387" s="1">
        <f t="shared" si="242"/>
        <v>0</v>
      </c>
      <c r="AA387" s="1">
        <f t="shared" si="243"/>
        <v>0</v>
      </c>
      <c r="AB387" s="1">
        <f t="shared" si="244"/>
        <v>0</v>
      </c>
      <c r="AD387" s="1">
        <f t="shared" si="245"/>
        <v>0</v>
      </c>
      <c r="AE387" s="1">
        <f t="shared" si="246"/>
        <v>0</v>
      </c>
      <c r="AF387" s="1">
        <f t="shared" ref="AF387:AF390" si="271">+O387*P387*(1-A387)</f>
        <v>0</v>
      </c>
      <c r="AG387" s="1">
        <f t="shared" ref="AG387:AG390" si="272">O387*(1-P387)*(1-A387)</f>
        <v>0</v>
      </c>
      <c r="AH387" s="1">
        <f t="shared" ref="AH387:AH390" si="273">+P387*(1-A387)</f>
        <v>0</v>
      </c>
      <c r="AI387" s="1">
        <f t="shared" ref="AI387:AI390" si="274">+(1-A387)*(1-P387)</f>
        <v>1</v>
      </c>
    </row>
    <row r="388" spans="1:35" s="1" customFormat="1" ht="14.25" customHeight="1" x14ac:dyDescent="0.3">
      <c r="A388" s="31">
        <v>0</v>
      </c>
      <c r="B388" s="31">
        <v>2</v>
      </c>
      <c r="C388" s="31">
        <v>5</v>
      </c>
      <c r="D388" s="32" t="s">
        <v>2042</v>
      </c>
      <c r="E388" s="32" t="s">
        <v>2043</v>
      </c>
      <c r="F388" s="32" t="s">
        <v>2044</v>
      </c>
      <c r="G388" s="32" t="s">
        <v>2047</v>
      </c>
      <c r="H388" s="32" t="s">
        <v>352</v>
      </c>
      <c r="I388" s="31" t="s">
        <v>2045</v>
      </c>
      <c r="J388" s="31"/>
      <c r="K388" s="33" t="s">
        <v>1819</v>
      </c>
      <c r="L388" s="33"/>
      <c r="M388" s="34"/>
      <c r="N388" s="34" t="s">
        <v>1724</v>
      </c>
      <c r="O388" s="35">
        <v>1</v>
      </c>
      <c r="P388" s="35">
        <v>1</v>
      </c>
      <c r="Q388" s="32" t="s">
        <v>2046</v>
      </c>
      <c r="S388" s="1">
        <f t="shared" si="235"/>
        <v>0</v>
      </c>
      <c r="T388" s="1">
        <f t="shared" si="236"/>
        <v>0</v>
      </c>
      <c r="U388" s="1">
        <f t="shared" si="237"/>
        <v>0</v>
      </c>
      <c r="V388" s="1">
        <f t="shared" si="238"/>
        <v>0</v>
      </c>
      <c r="W388" s="1">
        <f t="shared" si="239"/>
        <v>0</v>
      </c>
      <c r="X388" s="1">
        <f t="shared" si="240"/>
        <v>0</v>
      </c>
      <c r="Y388" s="1">
        <f t="shared" si="241"/>
        <v>0</v>
      </c>
      <c r="Z388" s="1">
        <f t="shared" si="242"/>
        <v>0</v>
      </c>
      <c r="AA388" s="1">
        <f t="shared" si="243"/>
        <v>0</v>
      </c>
      <c r="AB388" s="1">
        <f t="shared" si="244"/>
        <v>0</v>
      </c>
      <c r="AD388" s="1">
        <f t="shared" si="245"/>
        <v>1</v>
      </c>
      <c r="AE388" s="1">
        <f t="shared" si="246"/>
        <v>0</v>
      </c>
      <c r="AF388" s="1">
        <f t="shared" si="271"/>
        <v>1</v>
      </c>
      <c r="AG388" s="1">
        <f t="shared" si="272"/>
        <v>0</v>
      </c>
      <c r="AH388" s="1">
        <f t="shared" si="273"/>
        <v>1</v>
      </c>
      <c r="AI388" s="1">
        <f t="shared" si="274"/>
        <v>0</v>
      </c>
    </row>
    <row r="389" spans="1:35" s="1" customFormat="1" ht="14.25" customHeight="1" x14ac:dyDescent="0.3">
      <c r="A389" s="31">
        <v>0</v>
      </c>
      <c r="B389" s="31">
        <v>2</v>
      </c>
      <c r="C389" s="31">
        <v>5</v>
      </c>
      <c r="D389" s="32" t="s">
        <v>1775</v>
      </c>
      <c r="E389" s="32" t="s">
        <v>154</v>
      </c>
      <c r="F389" s="32" t="s">
        <v>1776</v>
      </c>
      <c r="G389" s="32" t="s">
        <v>653</v>
      </c>
      <c r="H389" s="32" t="s">
        <v>352</v>
      </c>
      <c r="I389" s="31" t="s">
        <v>1777</v>
      </c>
      <c r="J389" s="31"/>
      <c r="K389" s="33" t="s">
        <v>700</v>
      </c>
      <c r="L389" s="33">
        <v>40</v>
      </c>
      <c r="M389" s="34" t="s">
        <v>1778</v>
      </c>
      <c r="N389" s="34" t="s">
        <v>1740</v>
      </c>
      <c r="O389" s="35">
        <v>1</v>
      </c>
      <c r="P389" s="35"/>
      <c r="Q389" s="32"/>
      <c r="S389" s="1">
        <f t="shared" si="235"/>
        <v>0</v>
      </c>
      <c r="T389" s="1">
        <f t="shared" si="236"/>
        <v>0</v>
      </c>
      <c r="U389" s="1">
        <f t="shared" si="237"/>
        <v>0</v>
      </c>
      <c r="V389" s="1">
        <f t="shared" si="238"/>
        <v>0</v>
      </c>
      <c r="W389" s="1">
        <f t="shared" si="239"/>
        <v>0</v>
      </c>
      <c r="X389" s="1">
        <f t="shared" si="240"/>
        <v>0</v>
      </c>
      <c r="Y389" s="1">
        <f t="shared" si="241"/>
        <v>0</v>
      </c>
      <c r="Z389" s="1">
        <f t="shared" si="242"/>
        <v>0</v>
      </c>
      <c r="AA389" s="1">
        <f t="shared" si="243"/>
        <v>0</v>
      </c>
      <c r="AB389" s="1">
        <f t="shared" si="244"/>
        <v>0</v>
      </c>
      <c r="AD389" s="1">
        <f t="shared" si="245"/>
        <v>0</v>
      </c>
      <c r="AE389" s="1">
        <f t="shared" si="246"/>
        <v>1</v>
      </c>
      <c r="AF389" s="1">
        <f t="shared" si="271"/>
        <v>0</v>
      </c>
      <c r="AG389" s="1">
        <f t="shared" si="272"/>
        <v>1</v>
      </c>
      <c r="AH389" s="1">
        <f t="shared" si="273"/>
        <v>0</v>
      </c>
      <c r="AI389" s="1">
        <f t="shared" si="274"/>
        <v>1</v>
      </c>
    </row>
    <row r="390" spans="1:35" s="1" customFormat="1" ht="14.25" customHeight="1" x14ac:dyDescent="0.3">
      <c r="A390" s="31">
        <v>0</v>
      </c>
      <c r="B390" s="31">
        <v>2</v>
      </c>
      <c r="C390" s="31">
        <v>5</v>
      </c>
      <c r="D390" s="32" t="s">
        <v>834</v>
      </c>
      <c r="E390" s="32" t="s">
        <v>828</v>
      </c>
      <c r="F390" s="32" t="s">
        <v>938</v>
      </c>
      <c r="G390" s="32" t="s">
        <v>179</v>
      </c>
      <c r="H390" s="32" t="s">
        <v>352</v>
      </c>
      <c r="I390" s="31" t="s">
        <v>1106</v>
      </c>
      <c r="J390" s="31">
        <v>10</v>
      </c>
      <c r="K390" s="33" t="s">
        <v>709</v>
      </c>
      <c r="L390" s="33" t="s">
        <v>690</v>
      </c>
      <c r="M390" s="34" t="s">
        <v>1426</v>
      </c>
      <c r="N390" s="34" t="s">
        <v>1752</v>
      </c>
      <c r="O390" s="35">
        <v>1</v>
      </c>
      <c r="P390" s="35"/>
      <c r="Q390" s="32"/>
      <c r="S390" s="1">
        <f t="shared" ref="S390" si="275">IF(J390=$S$7,1,0)</f>
        <v>0</v>
      </c>
      <c r="T390" s="1">
        <f t="shared" ref="T390" si="276">IF(J390=$T$7,1,0)</f>
        <v>0</v>
      </c>
      <c r="U390" s="1">
        <f t="shared" ref="U390" si="277">IF(J390=$U$7,1,0)</f>
        <v>0</v>
      </c>
      <c r="V390" s="1">
        <f t="shared" ref="V390" si="278">IF(J390=$V$7,1,0)</f>
        <v>0</v>
      </c>
      <c r="W390" s="1">
        <f t="shared" ref="W390" si="279">IF(J390=$W$7,1,0)</f>
        <v>0</v>
      </c>
      <c r="X390" s="1">
        <f t="shared" ref="X390" si="280">IF(J390=$X$7,1,0)</f>
        <v>0</v>
      </c>
      <c r="Y390" s="1">
        <f t="shared" ref="Y390" si="281">IF(J390=$Y$7,1,0)</f>
        <v>0</v>
      </c>
      <c r="Z390" s="1">
        <f t="shared" ref="Z390" si="282">IF(J390=$Z$7,1,0)</f>
        <v>0</v>
      </c>
      <c r="AA390" s="1">
        <f t="shared" ref="AA390" si="283">IF(J390=$AA$7,1,0)</f>
        <v>0</v>
      </c>
      <c r="AB390" s="1">
        <f t="shared" ref="AB390" si="284">IF(J390=$AB$7,1,0)</f>
        <v>1</v>
      </c>
      <c r="AD390" s="1">
        <f t="shared" ref="AD390" si="285">+O390*P390</f>
        <v>0</v>
      </c>
      <c r="AE390" s="1">
        <f t="shared" ref="AE390" si="286">O390*(1-P390)</f>
        <v>1</v>
      </c>
      <c r="AF390" s="1">
        <f t="shared" si="271"/>
        <v>0</v>
      </c>
      <c r="AG390" s="1">
        <f t="shared" si="272"/>
        <v>1</v>
      </c>
      <c r="AH390" s="1">
        <f t="shared" si="273"/>
        <v>0</v>
      </c>
      <c r="AI390" s="1">
        <f t="shared" si="274"/>
        <v>1</v>
      </c>
    </row>
    <row r="391" spans="1:35" s="1" customFormat="1" ht="14.25" customHeight="1" x14ac:dyDescent="0.3">
      <c r="A391" s="57">
        <v>0</v>
      </c>
      <c r="B391" s="57">
        <v>2</v>
      </c>
      <c r="C391" s="57">
        <v>6</v>
      </c>
      <c r="D391" s="58" t="s">
        <v>1540</v>
      </c>
      <c r="E391" s="58" t="s">
        <v>27</v>
      </c>
      <c r="F391" s="58" t="s">
        <v>1542</v>
      </c>
      <c r="G391" s="58" t="s">
        <v>1531</v>
      </c>
      <c r="H391" s="58" t="s">
        <v>352</v>
      </c>
      <c r="I391" s="57" t="s">
        <v>1541</v>
      </c>
      <c r="J391" s="57">
        <v>5</v>
      </c>
      <c r="K391" s="59" t="s">
        <v>952</v>
      </c>
      <c r="L391" s="59" t="s">
        <v>39</v>
      </c>
      <c r="M391" s="60" t="s">
        <v>39</v>
      </c>
      <c r="N391" s="61"/>
      <c r="O391" s="62"/>
      <c r="P391" s="62"/>
      <c r="Q391" s="66" t="s">
        <v>1897</v>
      </c>
      <c r="S391" s="1">
        <f t="shared" si="235"/>
        <v>0</v>
      </c>
      <c r="T391" s="1">
        <f t="shared" si="236"/>
        <v>0</v>
      </c>
      <c r="U391" s="1">
        <f t="shared" si="237"/>
        <v>0</v>
      </c>
      <c r="V391" s="1">
        <f t="shared" si="238"/>
        <v>0</v>
      </c>
      <c r="W391" s="1">
        <f t="shared" si="239"/>
        <v>1</v>
      </c>
      <c r="X391" s="1">
        <f t="shared" si="240"/>
        <v>0</v>
      </c>
      <c r="Y391" s="1">
        <f t="shared" si="241"/>
        <v>0</v>
      </c>
      <c r="Z391" s="1">
        <f t="shared" si="242"/>
        <v>0</v>
      </c>
      <c r="AA391" s="1">
        <f t="shared" si="243"/>
        <v>0</v>
      </c>
      <c r="AB391" s="1">
        <f t="shared" si="244"/>
        <v>0</v>
      </c>
      <c r="AD391" s="1">
        <f t="shared" si="245"/>
        <v>0</v>
      </c>
      <c r="AE391" s="1">
        <f t="shared" si="246"/>
        <v>0</v>
      </c>
      <c r="AF391" s="1">
        <f t="shared" si="231"/>
        <v>0</v>
      </c>
      <c r="AG391" s="1">
        <f t="shared" si="232"/>
        <v>0</v>
      </c>
      <c r="AH391" s="1">
        <f t="shared" si="233"/>
        <v>0</v>
      </c>
      <c r="AI391" s="1">
        <f t="shared" si="234"/>
        <v>1</v>
      </c>
    </row>
    <row r="392" spans="1:35" s="1" customFormat="1" ht="14.25" customHeight="1" x14ac:dyDescent="0.3">
      <c r="A392" s="44">
        <v>0</v>
      </c>
      <c r="B392" s="44">
        <v>2</v>
      </c>
      <c r="C392" s="44">
        <v>6</v>
      </c>
      <c r="D392" s="45" t="s">
        <v>516</v>
      </c>
      <c r="E392" s="45" t="s">
        <v>31</v>
      </c>
      <c r="F392" s="45" t="s">
        <v>669</v>
      </c>
      <c r="G392" s="45" t="s">
        <v>199</v>
      </c>
      <c r="H392" s="45" t="s">
        <v>352</v>
      </c>
      <c r="I392" s="44" t="s">
        <v>517</v>
      </c>
      <c r="J392" s="44">
        <v>2</v>
      </c>
      <c r="K392" s="46" t="s">
        <v>951</v>
      </c>
      <c r="L392" s="46" t="s">
        <v>691</v>
      </c>
      <c r="M392" s="47" t="s">
        <v>1427</v>
      </c>
      <c r="N392" s="47" t="s">
        <v>1732</v>
      </c>
      <c r="O392" s="48"/>
      <c r="P392" s="48"/>
      <c r="Q392" s="45"/>
      <c r="S392" s="1">
        <f t="shared" si="235"/>
        <v>0</v>
      </c>
      <c r="T392" s="1">
        <f t="shared" si="236"/>
        <v>1</v>
      </c>
      <c r="U392" s="1">
        <f t="shared" si="237"/>
        <v>0</v>
      </c>
      <c r="V392" s="1">
        <f t="shared" si="238"/>
        <v>0</v>
      </c>
      <c r="W392" s="1">
        <f t="shared" si="239"/>
        <v>0</v>
      </c>
      <c r="X392" s="1">
        <f t="shared" si="240"/>
        <v>0</v>
      </c>
      <c r="Y392" s="1">
        <f t="shared" si="241"/>
        <v>0</v>
      </c>
      <c r="Z392" s="1">
        <f t="shared" si="242"/>
        <v>0</v>
      </c>
      <c r="AA392" s="1">
        <f t="shared" si="243"/>
        <v>0</v>
      </c>
      <c r="AB392" s="1">
        <f t="shared" si="244"/>
        <v>0</v>
      </c>
      <c r="AD392" s="1">
        <f t="shared" si="245"/>
        <v>0</v>
      </c>
      <c r="AE392" s="1">
        <f t="shared" si="246"/>
        <v>0</v>
      </c>
      <c r="AF392" s="1">
        <f t="shared" si="231"/>
        <v>0</v>
      </c>
      <c r="AG392" s="1">
        <f t="shared" si="232"/>
        <v>0</v>
      </c>
      <c r="AH392" s="1">
        <f t="shared" si="233"/>
        <v>0</v>
      </c>
      <c r="AI392" s="1">
        <f t="shared" si="234"/>
        <v>1</v>
      </c>
    </row>
    <row r="393" spans="1:35" s="1" customFormat="1" ht="14.25" customHeight="1" x14ac:dyDescent="0.3">
      <c r="A393" s="31">
        <v>0</v>
      </c>
      <c r="B393" s="31">
        <v>2</v>
      </c>
      <c r="C393" s="31">
        <v>6</v>
      </c>
      <c r="D393" s="32" t="s">
        <v>53</v>
      </c>
      <c r="E393" s="32" t="s">
        <v>31</v>
      </c>
      <c r="F393" s="32" t="s">
        <v>209</v>
      </c>
      <c r="G393" s="32" t="s">
        <v>210</v>
      </c>
      <c r="H393" s="32" t="s">
        <v>352</v>
      </c>
      <c r="I393" s="31" t="s">
        <v>390</v>
      </c>
      <c r="J393" s="31">
        <v>1</v>
      </c>
      <c r="K393" s="33" t="s">
        <v>709</v>
      </c>
      <c r="L393" s="33" t="s">
        <v>701</v>
      </c>
      <c r="M393" s="34" t="s">
        <v>725</v>
      </c>
      <c r="N393" s="34" t="s">
        <v>1740</v>
      </c>
      <c r="O393" s="35">
        <v>1</v>
      </c>
      <c r="P393" s="35"/>
      <c r="Q393" s="32"/>
      <c r="S393" s="1">
        <f t="shared" si="235"/>
        <v>1</v>
      </c>
      <c r="T393" s="1">
        <f t="shared" si="236"/>
        <v>0</v>
      </c>
      <c r="U393" s="1">
        <f t="shared" si="237"/>
        <v>0</v>
      </c>
      <c r="V393" s="1">
        <f t="shared" si="238"/>
        <v>0</v>
      </c>
      <c r="W393" s="1">
        <f t="shared" si="239"/>
        <v>0</v>
      </c>
      <c r="X393" s="1">
        <f t="shared" si="240"/>
        <v>0</v>
      </c>
      <c r="Y393" s="1">
        <f t="shared" si="241"/>
        <v>0</v>
      </c>
      <c r="Z393" s="1">
        <f t="shared" si="242"/>
        <v>0</v>
      </c>
      <c r="AA393" s="1">
        <f t="shared" si="243"/>
        <v>0</v>
      </c>
      <c r="AB393" s="1">
        <f t="shared" si="244"/>
        <v>0</v>
      </c>
      <c r="AD393" s="1">
        <f t="shared" si="245"/>
        <v>0</v>
      </c>
      <c r="AE393" s="1">
        <f t="shared" si="246"/>
        <v>1</v>
      </c>
      <c r="AF393" s="1">
        <f t="shared" si="231"/>
        <v>0</v>
      </c>
      <c r="AG393" s="1">
        <f t="shared" si="232"/>
        <v>1</v>
      </c>
      <c r="AH393" s="1">
        <f t="shared" si="233"/>
        <v>0</v>
      </c>
      <c r="AI393" s="1">
        <f t="shared" si="234"/>
        <v>1</v>
      </c>
    </row>
    <row r="394" spans="1:35" s="1" customFormat="1" ht="14.25" customHeight="1" x14ac:dyDescent="0.3">
      <c r="A394" s="31">
        <v>0</v>
      </c>
      <c r="B394" s="31">
        <v>2</v>
      </c>
      <c r="C394" s="31">
        <v>6</v>
      </c>
      <c r="D394" s="32" t="s">
        <v>1859</v>
      </c>
      <c r="E394" s="32" t="s">
        <v>1860</v>
      </c>
      <c r="F394" s="32" t="s">
        <v>1861</v>
      </c>
      <c r="G394" s="32"/>
      <c r="H394" s="32" t="s">
        <v>352</v>
      </c>
      <c r="I394" s="31" t="s">
        <v>1862</v>
      </c>
      <c r="J394" s="31">
        <v>99</v>
      </c>
      <c r="K394" s="33" t="s">
        <v>700</v>
      </c>
      <c r="L394" s="33">
        <v>25</v>
      </c>
      <c r="M394" s="34" t="s">
        <v>1863</v>
      </c>
      <c r="N394" s="34" t="s">
        <v>1740</v>
      </c>
      <c r="O394" s="35">
        <v>1</v>
      </c>
      <c r="P394" s="35"/>
      <c r="Q394" s="32" t="s">
        <v>2048</v>
      </c>
      <c r="S394" s="1">
        <f t="shared" si="235"/>
        <v>0</v>
      </c>
      <c r="T394" s="1">
        <f t="shared" si="236"/>
        <v>0</v>
      </c>
      <c r="U394" s="1">
        <f t="shared" si="237"/>
        <v>0</v>
      </c>
      <c r="V394" s="1">
        <f t="shared" si="238"/>
        <v>0</v>
      </c>
      <c r="W394" s="1">
        <f t="shared" si="239"/>
        <v>0</v>
      </c>
      <c r="X394" s="1">
        <f t="shared" si="240"/>
        <v>0</v>
      </c>
      <c r="Y394" s="1">
        <f t="shared" si="241"/>
        <v>0</v>
      </c>
      <c r="Z394" s="1">
        <f t="shared" si="242"/>
        <v>0</v>
      </c>
      <c r="AA394" s="1">
        <f t="shared" si="243"/>
        <v>0</v>
      </c>
      <c r="AB394" s="1">
        <f t="shared" si="244"/>
        <v>0</v>
      </c>
      <c r="AD394" s="1">
        <f t="shared" si="245"/>
        <v>0</v>
      </c>
      <c r="AE394" s="1">
        <f t="shared" si="246"/>
        <v>1</v>
      </c>
      <c r="AF394" s="1">
        <f t="shared" si="231"/>
        <v>0</v>
      </c>
      <c r="AG394" s="1">
        <f t="shared" si="232"/>
        <v>1</v>
      </c>
      <c r="AH394" s="1">
        <f t="shared" si="233"/>
        <v>0</v>
      </c>
      <c r="AI394" s="1">
        <f t="shared" si="234"/>
        <v>1</v>
      </c>
    </row>
    <row r="395" spans="1:35" s="1" customFormat="1" ht="14.25" customHeight="1" x14ac:dyDescent="0.3">
      <c r="A395" s="44">
        <v>0</v>
      </c>
      <c r="B395" s="44">
        <v>2</v>
      </c>
      <c r="C395" s="44">
        <v>6</v>
      </c>
      <c r="D395" s="45" t="s">
        <v>80</v>
      </c>
      <c r="E395" s="45" t="s">
        <v>31</v>
      </c>
      <c r="F395" s="45" t="s">
        <v>269</v>
      </c>
      <c r="G395" s="45" t="s">
        <v>223</v>
      </c>
      <c r="H395" s="45" t="s">
        <v>352</v>
      </c>
      <c r="I395" s="44" t="s">
        <v>675</v>
      </c>
      <c r="J395" s="44">
        <v>99</v>
      </c>
      <c r="K395" s="46" t="s">
        <v>952</v>
      </c>
      <c r="L395" s="46" t="s">
        <v>691</v>
      </c>
      <c r="M395" s="47" t="s">
        <v>1428</v>
      </c>
      <c r="N395" s="47" t="s">
        <v>1806</v>
      </c>
      <c r="O395" s="48"/>
      <c r="P395" s="48"/>
      <c r="Q395" s="45"/>
      <c r="S395" s="1">
        <f t="shared" si="235"/>
        <v>0</v>
      </c>
      <c r="T395" s="1">
        <f t="shared" si="236"/>
        <v>0</v>
      </c>
      <c r="U395" s="1">
        <f t="shared" si="237"/>
        <v>0</v>
      </c>
      <c r="V395" s="1">
        <f t="shared" si="238"/>
        <v>0</v>
      </c>
      <c r="W395" s="1">
        <f t="shared" si="239"/>
        <v>0</v>
      </c>
      <c r="X395" s="1">
        <f t="shared" si="240"/>
        <v>0</v>
      </c>
      <c r="Y395" s="1">
        <f t="shared" si="241"/>
        <v>0</v>
      </c>
      <c r="Z395" s="1">
        <f t="shared" si="242"/>
        <v>0</v>
      </c>
      <c r="AA395" s="1">
        <f t="shared" si="243"/>
        <v>0</v>
      </c>
      <c r="AB395" s="1">
        <f t="shared" si="244"/>
        <v>0</v>
      </c>
      <c r="AD395" s="1">
        <f t="shared" si="245"/>
        <v>0</v>
      </c>
      <c r="AE395" s="1">
        <f t="shared" si="246"/>
        <v>0</v>
      </c>
      <c r="AF395" s="1">
        <f t="shared" si="231"/>
        <v>0</v>
      </c>
      <c r="AG395" s="1">
        <f t="shared" si="232"/>
        <v>0</v>
      </c>
      <c r="AH395" s="1">
        <f t="shared" si="233"/>
        <v>0</v>
      </c>
      <c r="AI395" s="1">
        <f t="shared" si="234"/>
        <v>1</v>
      </c>
    </row>
    <row r="396" spans="1:35" s="1" customFormat="1" ht="14.25" customHeight="1" x14ac:dyDescent="0.3">
      <c r="A396" s="44">
        <v>0</v>
      </c>
      <c r="B396" s="44">
        <v>2</v>
      </c>
      <c r="C396" s="44">
        <v>6</v>
      </c>
      <c r="D396" s="45" t="s">
        <v>636</v>
      </c>
      <c r="E396" s="45" t="s">
        <v>31</v>
      </c>
      <c r="F396" s="45" t="s">
        <v>637</v>
      </c>
      <c r="G396" s="45" t="s">
        <v>239</v>
      </c>
      <c r="H396" s="45" t="s">
        <v>352</v>
      </c>
      <c r="I396" s="44" t="s">
        <v>638</v>
      </c>
      <c r="J396" s="44">
        <v>1</v>
      </c>
      <c r="K396" s="46" t="s">
        <v>710</v>
      </c>
      <c r="L396" s="46" t="s">
        <v>691</v>
      </c>
      <c r="M396" s="47" t="s">
        <v>1429</v>
      </c>
      <c r="N396" s="47" t="s">
        <v>1732</v>
      </c>
      <c r="O396" s="48"/>
      <c r="P396" s="48"/>
      <c r="Q396" s="45"/>
      <c r="S396" s="1">
        <f t="shared" si="235"/>
        <v>1</v>
      </c>
      <c r="T396" s="1">
        <f t="shared" si="236"/>
        <v>0</v>
      </c>
      <c r="U396" s="1">
        <f t="shared" si="237"/>
        <v>0</v>
      </c>
      <c r="V396" s="1">
        <f t="shared" si="238"/>
        <v>0</v>
      </c>
      <c r="W396" s="1">
        <f t="shared" si="239"/>
        <v>0</v>
      </c>
      <c r="X396" s="1">
        <f t="shared" si="240"/>
        <v>0</v>
      </c>
      <c r="Y396" s="1">
        <f t="shared" si="241"/>
        <v>0</v>
      </c>
      <c r="Z396" s="1">
        <f t="shared" si="242"/>
        <v>0</v>
      </c>
      <c r="AA396" s="1">
        <f t="shared" si="243"/>
        <v>0</v>
      </c>
      <c r="AB396" s="1">
        <f t="shared" si="244"/>
        <v>0</v>
      </c>
      <c r="AD396" s="1">
        <f t="shared" si="245"/>
        <v>0</v>
      </c>
      <c r="AE396" s="1">
        <f t="shared" si="246"/>
        <v>0</v>
      </c>
      <c r="AF396" s="1">
        <f t="shared" si="231"/>
        <v>0</v>
      </c>
      <c r="AG396" s="1">
        <f t="shared" si="232"/>
        <v>0</v>
      </c>
      <c r="AH396" s="1">
        <f t="shared" si="233"/>
        <v>0</v>
      </c>
      <c r="AI396" s="1">
        <f t="shared" si="234"/>
        <v>1</v>
      </c>
    </row>
    <row r="397" spans="1:35" s="1" customFormat="1" ht="14.25" customHeight="1" x14ac:dyDescent="0.3">
      <c r="A397" s="44">
        <v>0</v>
      </c>
      <c r="B397" s="44">
        <v>2</v>
      </c>
      <c r="C397" s="44">
        <v>6</v>
      </c>
      <c r="D397" s="45" t="s">
        <v>1132</v>
      </c>
      <c r="E397" s="45" t="s">
        <v>31</v>
      </c>
      <c r="F397" s="45" t="s">
        <v>669</v>
      </c>
      <c r="G397" s="45" t="s">
        <v>199</v>
      </c>
      <c r="H397" s="45" t="s">
        <v>352</v>
      </c>
      <c r="I397" s="44" t="s">
        <v>517</v>
      </c>
      <c r="J397" s="44">
        <v>2</v>
      </c>
      <c r="K397" s="46" t="s">
        <v>709</v>
      </c>
      <c r="L397" s="46" t="s">
        <v>691</v>
      </c>
      <c r="M397" s="47" t="s">
        <v>725</v>
      </c>
      <c r="N397" s="47" t="s">
        <v>1732</v>
      </c>
      <c r="O397" s="48"/>
      <c r="P397" s="48"/>
      <c r="Q397" s="45"/>
      <c r="S397" s="1">
        <f t="shared" si="235"/>
        <v>0</v>
      </c>
      <c r="T397" s="1">
        <f t="shared" si="236"/>
        <v>1</v>
      </c>
      <c r="U397" s="1">
        <f t="shared" si="237"/>
        <v>0</v>
      </c>
      <c r="V397" s="1">
        <f t="shared" si="238"/>
        <v>0</v>
      </c>
      <c r="W397" s="1">
        <f t="shared" si="239"/>
        <v>0</v>
      </c>
      <c r="X397" s="1">
        <f t="shared" si="240"/>
        <v>0</v>
      </c>
      <c r="Y397" s="1">
        <f t="shared" si="241"/>
        <v>0</v>
      </c>
      <c r="Z397" s="1">
        <f t="shared" si="242"/>
        <v>0</v>
      </c>
      <c r="AA397" s="1">
        <f t="shared" si="243"/>
        <v>0</v>
      </c>
      <c r="AB397" s="1">
        <f t="shared" si="244"/>
        <v>0</v>
      </c>
      <c r="AD397" s="1">
        <f t="shared" si="245"/>
        <v>0</v>
      </c>
      <c r="AE397" s="1">
        <f t="shared" si="246"/>
        <v>0</v>
      </c>
      <c r="AF397" s="1">
        <f t="shared" si="231"/>
        <v>0</v>
      </c>
      <c r="AG397" s="1">
        <f t="shared" si="232"/>
        <v>0</v>
      </c>
      <c r="AH397" s="1">
        <f t="shared" si="233"/>
        <v>0</v>
      </c>
      <c r="AI397" s="1">
        <f t="shared" si="234"/>
        <v>1</v>
      </c>
    </row>
    <row r="398" spans="1:35" s="1" customFormat="1" ht="14.25" customHeight="1" x14ac:dyDescent="0.3">
      <c r="A398" s="44">
        <v>0</v>
      </c>
      <c r="B398" s="44">
        <v>2</v>
      </c>
      <c r="C398" s="44">
        <v>6</v>
      </c>
      <c r="D398" s="45" t="s">
        <v>1080</v>
      </c>
      <c r="E398" s="45" t="s">
        <v>158</v>
      </c>
      <c r="F398" s="45" t="s">
        <v>197</v>
      </c>
      <c r="G398" s="45" t="s">
        <v>198</v>
      </c>
      <c r="H398" s="45" t="s">
        <v>352</v>
      </c>
      <c r="I398" s="44" t="s">
        <v>386</v>
      </c>
      <c r="J398" s="44">
        <v>99</v>
      </c>
      <c r="K398" s="46" t="s">
        <v>709</v>
      </c>
      <c r="L398" s="46" t="s">
        <v>713</v>
      </c>
      <c r="M398" s="47" t="s">
        <v>727</v>
      </c>
      <c r="N398" s="47" t="s">
        <v>1731</v>
      </c>
      <c r="O398" s="48"/>
      <c r="P398" s="48"/>
      <c r="Q398" s="45"/>
      <c r="S398" s="1">
        <f t="shared" si="235"/>
        <v>0</v>
      </c>
      <c r="T398" s="1">
        <f t="shared" si="236"/>
        <v>0</v>
      </c>
      <c r="U398" s="1">
        <f t="shared" si="237"/>
        <v>0</v>
      </c>
      <c r="V398" s="1">
        <f t="shared" si="238"/>
        <v>0</v>
      </c>
      <c r="W398" s="1">
        <f t="shared" si="239"/>
        <v>0</v>
      </c>
      <c r="X398" s="1">
        <f t="shared" si="240"/>
        <v>0</v>
      </c>
      <c r="Y398" s="1">
        <f t="shared" si="241"/>
        <v>0</v>
      </c>
      <c r="Z398" s="1">
        <f t="shared" si="242"/>
        <v>0</v>
      </c>
      <c r="AA398" s="1">
        <f t="shared" si="243"/>
        <v>0</v>
      </c>
      <c r="AB398" s="1">
        <f t="shared" si="244"/>
        <v>0</v>
      </c>
      <c r="AD398" s="1">
        <f t="shared" si="245"/>
        <v>0</v>
      </c>
      <c r="AE398" s="1">
        <f t="shared" si="246"/>
        <v>0</v>
      </c>
      <c r="AF398" s="1">
        <f t="shared" si="231"/>
        <v>0</v>
      </c>
      <c r="AG398" s="1">
        <f t="shared" si="232"/>
        <v>0</v>
      </c>
      <c r="AH398" s="1">
        <f t="shared" si="233"/>
        <v>0</v>
      </c>
      <c r="AI398" s="1">
        <f t="shared" si="234"/>
        <v>1</v>
      </c>
    </row>
    <row r="399" spans="1:35" s="1" customFormat="1" ht="14.25" customHeight="1" x14ac:dyDescent="0.3">
      <c r="A399" s="31">
        <v>0</v>
      </c>
      <c r="B399" s="31">
        <v>2</v>
      </c>
      <c r="C399" s="31">
        <v>7</v>
      </c>
      <c r="D399" s="32" t="s">
        <v>506</v>
      </c>
      <c r="E399" s="32" t="s">
        <v>155</v>
      </c>
      <c r="F399" s="32" t="s">
        <v>507</v>
      </c>
      <c r="G399" s="32" t="s">
        <v>39</v>
      </c>
      <c r="H399" s="32" t="s">
        <v>352</v>
      </c>
      <c r="I399" s="31" t="s">
        <v>939</v>
      </c>
      <c r="J399" s="31">
        <v>7</v>
      </c>
      <c r="K399" s="33" t="s">
        <v>952</v>
      </c>
      <c r="L399" s="33" t="s">
        <v>39</v>
      </c>
      <c r="M399" s="34" t="s">
        <v>39</v>
      </c>
      <c r="N399" s="34" t="s">
        <v>1724</v>
      </c>
      <c r="O399" s="35">
        <v>1</v>
      </c>
      <c r="P399" s="35">
        <v>1</v>
      </c>
      <c r="Q399" s="32"/>
      <c r="S399" s="1">
        <f t="shared" si="235"/>
        <v>0</v>
      </c>
      <c r="T399" s="1">
        <f t="shared" si="236"/>
        <v>0</v>
      </c>
      <c r="U399" s="1">
        <f t="shared" si="237"/>
        <v>0</v>
      </c>
      <c r="V399" s="1">
        <f t="shared" si="238"/>
        <v>0</v>
      </c>
      <c r="W399" s="1">
        <f t="shared" si="239"/>
        <v>0</v>
      </c>
      <c r="X399" s="1">
        <f t="shared" si="240"/>
        <v>0</v>
      </c>
      <c r="Y399" s="1">
        <f t="shared" si="241"/>
        <v>1</v>
      </c>
      <c r="Z399" s="1">
        <f t="shared" si="242"/>
        <v>0</v>
      </c>
      <c r="AA399" s="1">
        <f t="shared" si="243"/>
        <v>0</v>
      </c>
      <c r="AB399" s="1">
        <f t="shared" si="244"/>
        <v>0</v>
      </c>
      <c r="AD399" s="1">
        <f t="shared" si="245"/>
        <v>1</v>
      </c>
      <c r="AE399" s="1">
        <f t="shared" si="246"/>
        <v>0</v>
      </c>
      <c r="AF399" s="1">
        <f t="shared" si="231"/>
        <v>1</v>
      </c>
      <c r="AG399" s="1">
        <f t="shared" si="232"/>
        <v>0</v>
      </c>
      <c r="AH399" s="1">
        <f t="shared" si="233"/>
        <v>1</v>
      </c>
      <c r="AI399" s="1">
        <f t="shared" si="234"/>
        <v>0</v>
      </c>
    </row>
    <row r="400" spans="1:35" s="1" customFormat="1" ht="14.25" customHeight="1" x14ac:dyDescent="0.3">
      <c r="A400" s="31">
        <v>0</v>
      </c>
      <c r="B400" s="31">
        <v>2</v>
      </c>
      <c r="C400" s="31">
        <v>7</v>
      </c>
      <c r="D400" s="32" t="s">
        <v>70</v>
      </c>
      <c r="E400" s="32" t="s">
        <v>28</v>
      </c>
      <c r="F400" s="32" t="s">
        <v>670</v>
      </c>
      <c r="G400" s="32" t="s">
        <v>257</v>
      </c>
      <c r="H400" s="32" t="s">
        <v>352</v>
      </c>
      <c r="I400" s="31" t="s">
        <v>415</v>
      </c>
      <c r="J400" s="31">
        <v>8</v>
      </c>
      <c r="K400" s="33" t="s">
        <v>710</v>
      </c>
      <c r="L400" s="33" t="s">
        <v>710</v>
      </c>
      <c r="M400" s="34" t="s">
        <v>728</v>
      </c>
      <c r="N400" s="34" t="s">
        <v>1740</v>
      </c>
      <c r="O400" s="35">
        <v>1</v>
      </c>
      <c r="P400" s="35"/>
      <c r="Q400" s="32"/>
      <c r="S400" s="1">
        <f t="shared" si="235"/>
        <v>0</v>
      </c>
      <c r="T400" s="1">
        <f t="shared" si="236"/>
        <v>0</v>
      </c>
      <c r="U400" s="1">
        <f t="shared" si="237"/>
        <v>0</v>
      </c>
      <c r="V400" s="1">
        <f t="shared" si="238"/>
        <v>0</v>
      </c>
      <c r="W400" s="1">
        <f t="shared" si="239"/>
        <v>0</v>
      </c>
      <c r="X400" s="1">
        <f t="shared" si="240"/>
        <v>0</v>
      </c>
      <c r="Y400" s="1">
        <f t="shared" si="241"/>
        <v>0</v>
      </c>
      <c r="Z400" s="1">
        <f t="shared" si="242"/>
        <v>1</v>
      </c>
      <c r="AA400" s="1">
        <f t="shared" si="243"/>
        <v>0</v>
      </c>
      <c r="AB400" s="1">
        <f t="shared" si="244"/>
        <v>0</v>
      </c>
      <c r="AD400" s="1">
        <f t="shared" si="245"/>
        <v>0</v>
      </c>
      <c r="AE400" s="1">
        <f t="shared" si="246"/>
        <v>1</v>
      </c>
      <c r="AF400" s="1">
        <f t="shared" si="231"/>
        <v>0</v>
      </c>
      <c r="AG400" s="1">
        <f t="shared" si="232"/>
        <v>1</v>
      </c>
      <c r="AH400" s="1">
        <f t="shared" si="233"/>
        <v>0</v>
      </c>
      <c r="AI400" s="1">
        <f t="shared" si="234"/>
        <v>1</v>
      </c>
    </row>
    <row r="401" spans="1:35" s="1" customFormat="1" ht="14.25" customHeight="1" x14ac:dyDescent="0.3">
      <c r="A401" s="31">
        <v>0</v>
      </c>
      <c r="B401" s="31">
        <v>2</v>
      </c>
      <c r="C401" s="31">
        <v>7</v>
      </c>
      <c r="D401" s="32" t="s">
        <v>651</v>
      </c>
      <c r="E401" s="32" t="s">
        <v>155</v>
      </c>
      <c r="F401" s="32" t="s">
        <v>582</v>
      </c>
      <c r="G401" s="32" t="s">
        <v>248</v>
      </c>
      <c r="H401" s="32" t="s">
        <v>352</v>
      </c>
      <c r="I401" s="31" t="s">
        <v>676</v>
      </c>
      <c r="J401" s="31">
        <v>7</v>
      </c>
      <c r="K401" s="33" t="s">
        <v>952</v>
      </c>
      <c r="L401" s="33" t="s">
        <v>39</v>
      </c>
      <c r="M401" s="34" t="s">
        <v>39</v>
      </c>
      <c r="N401" s="34" t="s">
        <v>1724</v>
      </c>
      <c r="O401" s="35">
        <v>1</v>
      </c>
      <c r="P401" s="35">
        <v>1</v>
      </c>
      <c r="Q401" s="32"/>
      <c r="S401" s="1">
        <f t="shared" si="235"/>
        <v>0</v>
      </c>
      <c r="T401" s="1">
        <f t="shared" si="236"/>
        <v>0</v>
      </c>
      <c r="U401" s="1">
        <f t="shared" si="237"/>
        <v>0</v>
      </c>
      <c r="V401" s="1">
        <f t="shared" si="238"/>
        <v>0</v>
      </c>
      <c r="W401" s="1">
        <f t="shared" si="239"/>
        <v>0</v>
      </c>
      <c r="X401" s="1">
        <f t="shared" si="240"/>
        <v>0</v>
      </c>
      <c r="Y401" s="1">
        <f t="shared" si="241"/>
        <v>1</v>
      </c>
      <c r="Z401" s="1">
        <f t="shared" si="242"/>
        <v>0</v>
      </c>
      <c r="AA401" s="1">
        <f t="shared" si="243"/>
        <v>0</v>
      </c>
      <c r="AB401" s="1">
        <f t="shared" si="244"/>
        <v>0</v>
      </c>
      <c r="AD401" s="1">
        <f t="shared" si="245"/>
        <v>1</v>
      </c>
      <c r="AE401" s="1">
        <f t="shared" si="246"/>
        <v>0</v>
      </c>
      <c r="AF401" s="1">
        <f t="shared" si="231"/>
        <v>1</v>
      </c>
      <c r="AG401" s="1">
        <f t="shared" si="232"/>
        <v>0</v>
      </c>
      <c r="AH401" s="1">
        <f t="shared" si="233"/>
        <v>1</v>
      </c>
      <c r="AI401" s="1">
        <f t="shared" si="234"/>
        <v>0</v>
      </c>
    </row>
    <row r="402" spans="1:35" s="1" customFormat="1" ht="14.25" customHeight="1" x14ac:dyDescent="0.3">
      <c r="A402" s="44">
        <v>0</v>
      </c>
      <c r="B402" s="44">
        <v>2</v>
      </c>
      <c r="C402" s="44">
        <v>7</v>
      </c>
      <c r="D402" s="45" t="s">
        <v>1631</v>
      </c>
      <c r="E402" s="45" t="s">
        <v>155</v>
      </c>
      <c r="F402" s="45" t="s">
        <v>1654</v>
      </c>
      <c r="G402" s="45" t="s">
        <v>212</v>
      </c>
      <c r="H402" s="45" t="s">
        <v>352</v>
      </c>
      <c r="I402" s="44" t="s">
        <v>591</v>
      </c>
      <c r="J402" s="44">
        <v>1</v>
      </c>
      <c r="K402" s="46" t="s">
        <v>709</v>
      </c>
      <c r="L402" s="46" t="s">
        <v>719</v>
      </c>
      <c r="M402" s="47" t="s">
        <v>1430</v>
      </c>
      <c r="N402" s="47" t="s">
        <v>1732</v>
      </c>
      <c r="O402" s="48"/>
      <c r="P402" s="48"/>
      <c r="Q402" s="45"/>
      <c r="S402" s="1">
        <f t="shared" si="235"/>
        <v>1</v>
      </c>
      <c r="T402" s="1">
        <f t="shared" si="236"/>
        <v>0</v>
      </c>
      <c r="U402" s="1">
        <f t="shared" si="237"/>
        <v>0</v>
      </c>
      <c r="V402" s="1">
        <f t="shared" si="238"/>
        <v>0</v>
      </c>
      <c r="W402" s="1">
        <f t="shared" si="239"/>
        <v>0</v>
      </c>
      <c r="X402" s="1">
        <f t="shared" si="240"/>
        <v>0</v>
      </c>
      <c r="Y402" s="1">
        <f t="shared" si="241"/>
        <v>0</v>
      </c>
      <c r="Z402" s="1">
        <f t="shared" si="242"/>
        <v>0</v>
      </c>
      <c r="AA402" s="1">
        <f t="shared" si="243"/>
        <v>0</v>
      </c>
      <c r="AB402" s="1">
        <f t="shared" si="244"/>
        <v>0</v>
      </c>
      <c r="AD402" s="1">
        <f t="shared" si="245"/>
        <v>0</v>
      </c>
      <c r="AE402" s="1">
        <f t="shared" si="246"/>
        <v>0</v>
      </c>
      <c r="AF402" s="1">
        <f t="shared" si="231"/>
        <v>0</v>
      </c>
      <c r="AG402" s="1">
        <f t="shared" si="232"/>
        <v>0</v>
      </c>
      <c r="AH402" s="1">
        <f t="shared" si="233"/>
        <v>0</v>
      </c>
      <c r="AI402" s="1">
        <f t="shared" si="234"/>
        <v>1</v>
      </c>
    </row>
    <row r="403" spans="1:35" s="1" customFormat="1" ht="14.25" customHeight="1" x14ac:dyDescent="0.3">
      <c r="A403" s="44">
        <v>0</v>
      </c>
      <c r="B403" s="44">
        <v>2</v>
      </c>
      <c r="C403" s="44">
        <v>7</v>
      </c>
      <c r="D403" s="45" t="s">
        <v>1067</v>
      </c>
      <c r="E403" s="45" t="s">
        <v>1043</v>
      </c>
      <c r="F403" s="45" t="s">
        <v>1068</v>
      </c>
      <c r="G403" s="45" t="s">
        <v>212</v>
      </c>
      <c r="H403" s="45" t="s">
        <v>352</v>
      </c>
      <c r="I403" s="44" t="s">
        <v>1069</v>
      </c>
      <c r="J403" s="44">
        <v>1</v>
      </c>
      <c r="K403" s="46" t="s">
        <v>952</v>
      </c>
      <c r="L403" s="46" t="s">
        <v>719</v>
      </c>
      <c r="M403" s="47" t="s">
        <v>1431</v>
      </c>
      <c r="N403" s="47" t="s">
        <v>1732</v>
      </c>
      <c r="O403" s="48"/>
      <c r="P403" s="48"/>
      <c r="Q403" s="45" t="s">
        <v>1915</v>
      </c>
      <c r="S403" s="1">
        <f t="shared" si="235"/>
        <v>1</v>
      </c>
      <c r="T403" s="1">
        <f t="shared" si="236"/>
        <v>0</v>
      </c>
      <c r="U403" s="1">
        <f t="shared" si="237"/>
        <v>0</v>
      </c>
      <c r="V403" s="1">
        <f t="shared" si="238"/>
        <v>0</v>
      </c>
      <c r="W403" s="1">
        <f t="shared" si="239"/>
        <v>0</v>
      </c>
      <c r="X403" s="1">
        <f t="shared" si="240"/>
        <v>0</v>
      </c>
      <c r="Y403" s="1">
        <f t="shared" si="241"/>
        <v>0</v>
      </c>
      <c r="Z403" s="1">
        <f t="shared" si="242"/>
        <v>0</v>
      </c>
      <c r="AA403" s="1">
        <f t="shared" si="243"/>
        <v>0</v>
      </c>
      <c r="AB403" s="1">
        <f t="shared" si="244"/>
        <v>0</v>
      </c>
      <c r="AD403" s="1">
        <f t="shared" si="245"/>
        <v>0</v>
      </c>
      <c r="AE403" s="1">
        <f t="shared" si="246"/>
        <v>0</v>
      </c>
      <c r="AF403" s="1">
        <f t="shared" si="231"/>
        <v>0</v>
      </c>
      <c r="AG403" s="1">
        <f t="shared" si="232"/>
        <v>0</v>
      </c>
      <c r="AH403" s="1">
        <f t="shared" si="233"/>
        <v>0</v>
      </c>
      <c r="AI403" s="1">
        <f t="shared" si="234"/>
        <v>1</v>
      </c>
    </row>
    <row r="404" spans="1:35" s="1" customFormat="1" ht="14.25" customHeight="1" x14ac:dyDescent="0.3">
      <c r="A404" s="31">
        <v>0</v>
      </c>
      <c r="B404" s="31">
        <v>2</v>
      </c>
      <c r="C404" s="31">
        <v>7</v>
      </c>
      <c r="D404" s="32" t="s">
        <v>1014</v>
      </c>
      <c r="E404" s="32" t="s">
        <v>155</v>
      </c>
      <c r="F404" s="32" t="s">
        <v>1085</v>
      </c>
      <c r="G404" s="32" t="s">
        <v>1095</v>
      </c>
      <c r="H404" s="32" t="s">
        <v>352</v>
      </c>
      <c r="I404" s="31" t="s">
        <v>1015</v>
      </c>
      <c r="J404" s="31">
        <v>99</v>
      </c>
      <c r="K404" s="33" t="s">
        <v>710</v>
      </c>
      <c r="L404" s="33" t="s">
        <v>719</v>
      </c>
      <c r="M404" s="34" t="s">
        <v>1431</v>
      </c>
      <c r="N404" s="34" t="s">
        <v>1745</v>
      </c>
      <c r="O404" s="35">
        <v>1</v>
      </c>
      <c r="P404" s="35"/>
      <c r="Q404" s="32"/>
      <c r="S404" s="1">
        <f t="shared" si="235"/>
        <v>0</v>
      </c>
      <c r="T404" s="1">
        <f t="shared" si="236"/>
        <v>0</v>
      </c>
      <c r="U404" s="1">
        <f t="shared" si="237"/>
        <v>0</v>
      </c>
      <c r="V404" s="1">
        <f t="shared" si="238"/>
        <v>0</v>
      </c>
      <c r="W404" s="1">
        <f t="shared" si="239"/>
        <v>0</v>
      </c>
      <c r="X404" s="1">
        <f t="shared" si="240"/>
        <v>0</v>
      </c>
      <c r="Y404" s="1">
        <f t="shared" si="241"/>
        <v>0</v>
      </c>
      <c r="Z404" s="1">
        <f t="shared" si="242"/>
        <v>0</v>
      </c>
      <c r="AA404" s="1">
        <f t="shared" si="243"/>
        <v>0</v>
      </c>
      <c r="AB404" s="1">
        <f t="shared" si="244"/>
        <v>0</v>
      </c>
      <c r="AD404" s="1">
        <f t="shared" si="245"/>
        <v>0</v>
      </c>
      <c r="AE404" s="1">
        <f t="shared" si="246"/>
        <v>1</v>
      </c>
      <c r="AF404" s="1">
        <f t="shared" si="231"/>
        <v>0</v>
      </c>
      <c r="AG404" s="1">
        <f t="shared" si="232"/>
        <v>1</v>
      </c>
      <c r="AH404" s="1">
        <f t="shared" si="233"/>
        <v>0</v>
      </c>
      <c r="AI404" s="1">
        <f t="shared" si="234"/>
        <v>1</v>
      </c>
    </row>
    <row r="405" spans="1:35" s="1" customFormat="1" ht="14.25" customHeight="1" x14ac:dyDescent="0.3">
      <c r="A405" s="31">
        <v>0</v>
      </c>
      <c r="B405" s="31">
        <v>2</v>
      </c>
      <c r="C405" s="31">
        <v>7</v>
      </c>
      <c r="D405" s="32" t="s">
        <v>1202</v>
      </c>
      <c r="E405" s="32" t="s">
        <v>1329</v>
      </c>
      <c r="F405" s="32" t="s">
        <v>1203</v>
      </c>
      <c r="G405" s="32" t="s">
        <v>39</v>
      </c>
      <c r="H405" s="32" t="s">
        <v>352</v>
      </c>
      <c r="I405" s="31" t="s">
        <v>1682</v>
      </c>
      <c r="J405" s="31">
        <v>99</v>
      </c>
      <c r="K405" s="33" t="s">
        <v>952</v>
      </c>
      <c r="L405" s="33" t="s">
        <v>726</v>
      </c>
      <c r="M405" s="34" t="s">
        <v>1432</v>
      </c>
      <c r="N405" s="34" t="s">
        <v>1745</v>
      </c>
      <c r="O405" s="35">
        <v>1</v>
      </c>
      <c r="P405" s="35"/>
      <c r="Q405" s="32"/>
      <c r="S405" s="1">
        <f t="shared" si="235"/>
        <v>0</v>
      </c>
      <c r="T405" s="1">
        <f t="shared" si="236"/>
        <v>0</v>
      </c>
      <c r="U405" s="1">
        <f t="shared" si="237"/>
        <v>0</v>
      </c>
      <c r="V405" s="1">
        <f t="shared" si="238"/>
        <v>0</v>
      </c>
      <c r="W405" s="1">
        <f t="shared" si="239"/>
        <v>0</v>
      </c>
      <c r="X405" s="1">
        <f t="shared" si="240"/>
        <v>0</v>
      </c>
      <c r="Y405" s="1">
        <f t="shared" si="241"/>
        <v>0</v>
      </c>
      <c r="Z405" s="1">
        <f t="shared" si="242"/>
        <v>0</v>
      </c>
      <c r="AA405" s="1">
        <f t="shared" si="243"/>
        <v>0</v>
      </c>
      <c r="AB405" s="1">
        <f t="shared" si="244"/>
        <v>0</v>
      </c>
      <c r="AD405" s="1">
        <f t="shared" si="245"/>
        <v>0</v>
      </c>
      <c r="AE405" s="1">
        <f t="shared" si="246"/>
        <v>1</v>
      </c>
      <c r="AF405" s="1">
        <f t="shared" si="231"/>
        <v>0</v>
      </c>
      <c r="AG405" s="1">
        <f t="shared" si="232"/>
        <v>1</v>
      </c>
      <c r="AH405" s="1">
        <f t="shared" si="233"/>
        <v>0</v>
      </c>
      <c r="AI405" s="1">
        <f t="shared" si="234"/>
        <v>1</v>
      </c>
    </row>
    <row r="406" spans="1:35" s="1" customFormat="1" ht="14.25" customHeight="1" x14ac:dyDescent="0.3">
      <c r="A406" s="31">
        <v>0</v>
      </c>
      <c r="B406" s="31">
        <v>2</v>
      </c>
      <c r="C406" s="31">
        <v>7</v>
      </c>
      <c r="D406" s="32" t="s">
        <v>55</v>
      </c>
      <c r="E406" s="32" t="s">
        <v>28</v>
      </c>
      <c r="F406" s="32" t="s">
        <v>641</v>
      </c>
      <c r="G406" s="32" t="s">
        <v>532</v>
      </c>
      <c r="H406" s="32" t="s">
        <v>352</v>
      </c>
      <c r="I406" s="31" t="s">
        <v>392</v>
      </c>
      <c r="J406" s="31">
        <v>6</v>
      </c>
      <c r="K406" s="33" t="s">
        <v>709</v>
      </c>
      <c r="L406" s="33" t="s">
        <v>710</v>
      </c>
      <c r="M406" s="34" t="s">
        <v>728</v>
      </c>
      <c r="N406" s="34" t="s">
        <v>1758</v>
      </c>
      <c r="O406" s="35">
        <v>1</v>
      </c>
      <c r="P406" s="35"/>
      <c r="Q406" s="32"/>
      <c r="S406" s="1">
        <f t="shared" si="235"/>
        <v>0</v>
      </c>
      <c r="T406" s="1">
        <f t="shared" si="236"/>
        <v>0</v>
      </c>
      <c r="U406" s="1">
        <f t="shared" si="237"/>
        <v>0</v>
      </c>
      <c r="V406" s="1">
        <f t="shared" si="238"/>
        <v>0</v>
      </c>
      <c r="W406" s="1">
        <f t="shared" si="239"/>
        <v>0</v>
      </c>
      <c r="X406" s="1">
        <f t="shared" si="240"/>
        <v>1</v>
      </c>
      <c r="Y406" s="1">
        <f t="shared" si="241"/>
        <v>0</v>
      </c>
      <c r="Z406" s="1">
        <f t="shared" si="242"/>
        <v>0</v>
      </c>
      <c r="AA406" s="1">
        <f t="shared" si="243"/>
        <v>0</v>
      </c>
      <c r="AB406" s="1">
        <f t="shared" si="244"/>
        <v>0</v>
      </c>
      <c r="AD406" s="1">
        <f t="shared" si="245"/>
        <v>0</v>
      </c>
      <c r="AE406" s="1">
        <f t="shared" si="246"/>
        <v>1</v>
      </c>
      <c r="AF406" s="1">
        <f t="shared" si="231"/>
        <v>0</v>
      </c>
      <c r="AG406" s="1">
        <f t="shared" si="232"/>
        <v>1</v>
      </c>
      <c r="AH406" s="1">
        <f t="shared" si="233"/>
        <v>0</v>
      </c>
      <c r="AI406" s="1">
        <f t="shared" si="234"/>
        <v>1</v>
      </c>
    </row>
    <row r="407" spans="1:35" s="1" customFormat="1" ht="14.25" customHeight="1" x14ac:dyDescent="0.3">
      <c r="A407" s="31">
        <v>1</v>
      </c>
      <c r="B407" s="31">
        <v>2</v>
      </c>
      <c r="C407" s="31">
        <v>7</v>
      </c>
      <c r="D407" s="32" t="s">
        <v>55</v>
      </c>
      <c r="E407" s="32" t="s">
        <v>28</v>
      </c>
      <c r="F407" s="32" t="s">
        <v>215</v>
      </c>
      <c r="G407" s="32" t="s">
        <v>39</v>
      </c>
      <c r="H407" s="32" t="s">
        <v>352</v>
      </c>
      <c r="I407" s="31" t="s">
        <v>30</v>
      </c>
      <c r="J407" s="31">
        <v>99</v>
      </c>
      <c r="K407" s="33" t="s">
        <v>709</v>
      </c>
      <c r="L407" s="33" t="s">
        <v>710</v>
      </c>
      <c r="M407" s="34" t="s">
        <v>728</v>
      </c>
      <c r="N407" s="34" t="s">
        <v>1758</v>
      </c>
      <c r="O407" s="35">
        <v>1</v>
      </c>
      <c r="P407" s="35"/>
      <c r="Q407" s="32"/>
      <c r="S407" s="1">
        <f t="shared" si="235"/>
        <v>0</v>
      </c>
      <c r="T407" s="1">
        <f t="shared" si="236"/>
        <v>0</v>
      </c>
      <c r="U407" s="1">
        <f t="shared" si="237"/>
        <v>0</v>
      </c>
      <c r="V407" s="1">
        <f t="shared" si="238"/>
        <v>0</v>
      </c>
      <c r="W407" s="1">
        <f t="shared" si="239"/>
        <v>0</v>
      </c>
      <c r="X407" s="1">
        <f t="shared" si="240"/>
        <v>0</v>
      </c>
      <c r="Y407" s="1">
        <f t="shared" si="241"/>
        <v>0</v>
      </c>
      <c r="Z407" s="1">
        <f t="shared" si="242"/>
        <v>0</v>
      </c>
      <c r="AA407" s="1">
        <f t="shared" si="243"/>
        <v>0</v>
      </c>
      <c r="AB407" s="1">
        <f t="shared" si="244"/>
        <v>0</v>
      </c>
      <c r="AD407" s="1">
        <f t="shared" si="245"/>
        <v>0</v>
      </c>
      <c r="AE407" s="1">
        <f t="shared" si="246"/>
        <v>1</v>
      </c>
      <c r="AF407" s="1">
        <f t="shared" ref="AF407:AF472" si="287">+O407*P407*(1-A407)</f>
        <v>0</v>
      </c>
      <c r="AG407" s="1">
        <f t="shared" ref="AG407:AG472" si="288">O407*(1-P407)*(1-A407)</f>
        <v>0</v>
      </c>
      <c r="AH407" s="1">
        <f t="shared" ref="AH407:AH472" si="289">+P407*(1-A407)</f>
        <v>0</v>
      </c>
      <c r="AI407" s="1">
        <f t="shared" ref="AI407:AI472" si="290">+(1-A407)*(1-P407)</f>
        <v>0</v>
      </c>
    </row>
    <row r="408" spans="1:35" s="1" customFormat="1" ht="14.25" customHeight="1" x14ac:dyDescent="0.3">
      <c r="A408" s="31">
        <v>1</v>
      </c>
      <c r="B408" s="31">
        <v>2</v>
      </c>
      <c r="C408" s="31">
        <v>7</v>
      </c>
      <c r="D408" s="32" t="s">
        <v>55</v>
      </c>
      <c r="E408" s="32" t="s">
        <v>28</v>
      </c>
      <c r="F408" s="32" t="s">
        <v>214</v>
      </c>
      <c r="G408" s="32" t="s">
        <v>39</v>
      </c>
      <c r="H408" s="32" t="s">
        <v>352</v>
      </c>
      <c r="I408" s="31" t="s">
        <v>392</v>
      </c>
      <c r="J408" s="31">
        <v>99</v>
      </c>
      <c r="K408" s="33" t="s">
        <v>709</v>
      </c>
      <c r="L408" s="33" t="s">
        <v>710</v>
      </c>
      <c r="M408" s="34" t="s">
        <v>728</v>
      </c>
      <c r="N408" s="34" t="s">
        <v>1758</v>
      </c>
      <c r="O408" s="35">
        <v>1</v>
      </c>
      <c r="P408" s="35"/>
      <c r="Q408" s="32"/>
      <c r="S408" s="1">
        <f t="shared" si="235"/>
        <v>0</v>
      </c>
      <c r="T408" s="1">
        <f t="shared" si="236"/>
        <v>0</v>
      </c>
      <c r="U408" s="1">
        <f t="shared" si="237"/>
        <v>0</v>
      </c>
      <c r="V408" s="1">
        <f t="shared" si="238"/>
        <v>0</v>
      </c>
      <c r="W408" s="1">
        <f t="shared" si="239"/>
        <v>0</v>
      </c>
      <c r="X408" s="1">
        <f t="shared" si="240"/>
        <v>0</v>
      </c>
      <c r="Y408" s="1">
        <f t="shared" si="241"/>
        <v>0</v>
      </c>
      <c r="Z408" s="1">
        <f t="shared" si="242"/>
        <v>0</v>
      </c>
      <c r="AA408" s="1">
        <f t="shared" si="243"/>
        <v>0</v>
      </c>
      <c r="AB408" s="1">
        <f t="shared" si="244"/>
        <v>0</v>
      </c>
      <c r="AD408" s="1">
        <f t="shared" si="245"/>
        <v>0</v>
      </c>
      <c r="AE408" s="1">
        <f t="shared" si="246"/>
        <v>1</v>
      </c>
      <c r="AF408" s="1">
        <f t="shared" si="287"/>
        <v>0</v>
      </c>
      <c r="AG408" s="1">
        <f t="shared" si="288"/>
        <v>0</v>
      </c>
      <c r="AH408" s="1">
        <f t="shared" si="289"/>
        <v>0</v>
      </c>
      <c r="AI408" s="1">
        <f t="shared" si="290"/>
        <v>0</v>
      </c>
    </row>
    <row r="409" spans="1:35" s="1" customFormat="1" ht="14.25" customHeight="1" x14ac:dyDescent="0.3">
      <c r="A409" s="31">
        <v>1</v>
      </c>
      <c r="B409" s="31">
        <v>2</v>
      </c>
      <c r="C409" s="31">
        <v>7</v>
      </c>
      <c r="D409" s="32" t="s">
        <v>55</v>
      </c>
      <c r="E409" s="32" t="s">
        <v>28</v>
      </c>
      <c r="F409" s="32" t="s">
        <v>216</v>
      </c>
      <c r="G409" s="32" t="s">
        <v>217</v>
      </c>
      <c r="H409" s="32" t="s">
        <v>352</v>
      </c>
      <c r="I409" s="31" t="s">
        <v>393</v>
      </c>
      <c r="J409" s="31">
        <v>99</v>
      </c>
      <c r="K409" s="33" t="s">
        <v>709</v>
      </c>
      <c r="L409" s="33" t="s">
        <v>710</v>
      </c>
      <c r="M409" s="34" t="s">
        <v>728</v>
      </c>
      <c r="N409" s="34" t="s">
        <v>1758</v>
      </c>
      <c r="O409" s="35">
        <v>1</v>
      </c>
      <c r="P409" s="35"/>
      <c r="Q409" s="32"/>
      <c r="S409" s="1">
        <f t="shared" si="235"/>
        <v>0</v>
      </c>
      <c r="T409" s="1">
        <f t="shared" si="236"/>
        <v>0</v>
      </c>
      <c r="U409" s="1">
        <f t="shared" si="237"/>
        <v>0</v>
      </c>
      <c r="V409" s="1">
        <f t="shared" si="238"/>
        <v>0</v>
      </c>
      <c r="W409" s="1">
        <f t="shared" si="239"/>
        <v>0</v>
      </c>
      <c r="X409" s="1">
        <f t="shared" si="240"/>
        <v>0</v>
      </c>
      <c r="Y409" s="1">
        <f t="shared" si="241"/>
        <v>0</v>
      </c>
      <c r="Z409" s="1">
        <f t="shared" si="242"/>
        <v>0</v>
      </c>
      <c r="AA409" s="1">
        <f t="shared" si="243"/>
        <v>0</v>
      </c>
      <c r="AB409" s="1">
        <f t="shared" si="244"/>
        <v>0</v>
      </c>
      <c r="AD409" s="1">
        <f t="shared" si="245"/>
        <v>0</v>
      </c>
      <c r="AE409" s="1">
        <f t="shared" si="246"/>
        <v>1</v>
      </c>
      <c r="AF409" s="1">
        <f t="shared" si="287"/>
        <v>0</v>
      </c>
      <c r="AG409" s="1">
        <f t="shared" si="288"/>
        <v>0</v>
      </c>
      <c r="AH409" s="1">
        <f t="shared" si="289"/>
        <v>0</v>
      </c>
      <c r="AI409" s="1">
        <f t="shared" si="290"/>
        <v>0</v>
      </c>
    </row>
    <row r="410" spans="1:35" s="1" customFormat="1" ht="14.25" customHeight="1" x14ac:dyDescent="0.3">
      <c r="A410" s="31">
        <v>0</v>
      </c>
      <c r="B410" s="31">
        <v>2</v>
      </c>
      <c r="C410" s="31">
        <v>7</v>
      </c>
      <c r="D410" s="36" t="s">
        <v>2050</v>
      </c>
      <c r="E410" s="36" t="s">
        <v>155</v>
      </c>
      <c r="F410" s="36" t="s">
        <v>2051</v>
      </c>
      <c r="G410" s="36" t="s">
        <v>219</v>
      </c>
      <c r="H410" s="36" t="s">
        <v>352</v>
      </c>
      <c r="I410" s="37" t="s">
        <v>2052</v>
      </c>
      <c r="J410" s="31">
        <v>99</v>
      </c>
      <c r="K410" s="33" t="s">
        <v>700</v>
      </c>
      <c r="L410" s="33">
        <v>10</v>
      </c>
      <c r="M410" s="34" t="s">
        <v>2053</v>
      </c>
      <c r="N410" s="34" t="s">
        <v>1745</v>
      </c>
      <c r="O410" s="35">
        <v>1</v>
      </c>
      <c r="P410" s="35"/>
      <c r="Q410" s="32"/>
      <c r="S410" s="1">
        <f t="shared" si="235"/>
        <v>0</v>
      </c>
      <c r="T410" s="1">
        <f t="shared" si="236"/>
        <v>0</v>
      </c>
      <c r="U410" s="1">
        <f t="shared" si="237"/>
        <v>0</v>
      </c>
      <c r="V410" s="1">
        <f t="shared" si="238"/>
        <v>0</v>
      </c>
      <c r="W410" s="1">
        <f t="shared" si="239"/>
        <v>0</v>
      </c>
      <c r="X410" s="1">
        <f t="shared" si="240"/>
        <v>0</v>
      </c>
      <c r="Y410" s="1">
        <f t="shared" si="241"/>
        <v>0</v>
      </c>
      <c r="Z410" s="1">
        <f t="shared" si="242"/>
        <v>0</v>
      </c>
      <c r="AA410" s="1">
        <f t="shared" si="243"/>
        <v>0</v>
      </c>
      <c r="AB410" s="1">
        <f t="shared" si="244"/>
        <v>0</v>
      </c>
      <c r="AD410" s="1">
        <f t="shared" si="245"/>
        <v>0</v>
      </c>
      <c r="AE410" s="1">
        <f t="shared" si="246"/>
        <v>1</v>
      </c>
      <c r="AF410" s="1">
        <f t="shared" si="287"/>
        <v>0</v>
      </c>
      <c r="AG410" s="1">
        <f t="shared" si="288"/>
        <v>1</v>
      </c>
      <c r="AH410" s="1">
        <f t="shared" si="289"/>
        <v>0</v>
      </c>
      <c r="AI410" s="1">
        <f t="shared" si="290"/>
        <v>1</v>
      </c>
    </row>
    <row r="411" spans="1:35" s="1" customFormat="1" ht="14.25" customHeight="1" x14ac:dyDescent="0.3">
      <c r="A411" s="44">
        <v>0</v>
      </c>
      <c r="B411" s="44">
        <v>2</v>
      </c>
      <c r="C411" s="44">
        <v>7</v>
      </c>
      <c r="D411" s="45" t="s">
        <v>68</v>
      </c>
      <c r="E411" s="45" t="s">
        <v>28</v>
      </c>
      <c r="F411" s="45" t="s">
        <v>252</v>
      </c>
      <c r="G411" s="45" t="s">
        <v>253</v>
      </c>
      <c r="H411" s="45" t="s">
        <v>352</v>
      </c>
      <c r="I411" s="44" t="s">
        <v>412</v>
      </c>
      <c r="J411" s="44">
        <v>99</v>
      </c>
      <c r="K411" s="46" t="s">
        <v>710</v>
      </c>
      <c r="L411" s="46" t="s">
        <v>710</v>
      </c>
      <c r="M411" s="47" t="s">
        <v>728</v>
      </c>
      <c r="N411" s="47" t="s">
        <v>1799</v>
      </c>
      <c r="O411" s="48"/>
      <c r="P411" s="48"/>
      <c r="Q411" s="45"/>
      <c r="S411" s="1">
        <f t="shared" ref="S411:S417" si="291">IF(J411=$S$7,1,0)</f>
        <v>0</v>
      </c>
      <c r="T411" s="1">
        <f t="shared" ref="T411:T417" si="292">IF(J411=$T$7,1,0)</f>
        <v>0</v>
      </c>
      <c r="U411" s="1">
        <f t="shared" ref="U411:U417" si="293">IF(J411=$U$7,1,0)</f>
        <v>0</v>
      </c>
      <c r="V411" s="1">
        <f t="shared" ref="V411:V417" si="294">IF(J411=$V$7,1,0)</f>
        <v>0</v>
      </c>
      <c r="W411" s="1">
        <f t="shared" ref="W411:W417" si="295">IF(J411=$W$7,1,0)</f>
        <v>0</v>
      </c>
      <c r="X411" s="1">
        <f t="shared" ref="X411:X417" si="296">IF(J411=$X$7,1,0)</f>
        <v>0</v>
      </c>
      <c r="Y411" s="1">
        <f t="shared" ref="Y411:Y417" si="297">IF(J411=$Y$7,1,0)</f>
        <v>0</v>
      </c>
      <c r="Z411" s="1">
        <f t="shared" ref="Z411:Z417" si="298">IF(J411=$Z$7,1,0)</f>
        <v>0</v>
      </c>
      <c r="AA411" s="1">
        <f t="shared" ref="AA411:AA417" si="299">IF(J411=$AA$7,1,0)</f>
        <v>0</v>
      </c>
      <c r="AB411" s="1">
        <f t="shared" ref="AB411:AB417" si="300">IF(J411=$AB$7,1,0)</f>
        <v>0</v>
      </c>
      <c r="AD411" s="1">
        <f t="shared" ref="AD411:AD417" si="301">+O411*P411</f>
        <v>0</v>
      </c>
      <c r="AE411" s="1">
        <f t="shared" ref="AE411:AE417" si="302">O411*(1-P411)</f>
        <v>0</v>
      </c>
      <c r="AF411" s="1">
        <f t="shared" ref="AF411:AF417" si="303">+O411*P411*(1-A411)</f>
        <v>0</v>
      </c>
      <c r="AG411" s="1">
        <f t="shared" ref="AG411:AG417" si="304">O411*(1-P411)*(1-A411)</f>
        <v>0</v>
      </c>
      <c r="AH411" s="1">
        <f t="shared" ref="AH411:AH417" si="305">+P411*(1-A411)</f>
        <v>0</v>
      </c>
      <c r="AI411" s="1">
        <f t="shared" ref="AI411:AI417" si="306">+(1-A411)*(1-P411)</f>
        <v>1</v>
      </c>
    </row>
    <row r="412" spans="1:35" s="1" customFormat="1" ht="14.25" customHeight="1" x14ac:dyDescent="0.3">
      <c r="A412" s="31">
        <v>0</v>
      </c>
      <c r="B412" s="31">
        <v>2</v>
      </c>
      <c r="C412" s="31">
        <v>7</v>
      </c>
      <c r="D412" s="32" t="s">
        <v>2014</v>
      </c>
      <c r="E412" s="32" t="s">
        <v>28</v>
      </c>
      <c r="F412" s="32" t="s">
        <v>2016</v>
      </c>
      <c r="G412" s="32" t="s">
        <v>1101</v>
      </c>
      <c r="H412" s="32" t="s">
        <v>352</v>
      </c>
      <c r="I412" s="31" t="s">
        <v>2017</v>
      </c>
      <c r="J412" s="31">
        <v>1</v>
      </c>
      <c r="K412" s="33" t="s">
        <v>700</v>
      </c>
      <c r="L412" s="33"/>
      <c r="M412" s="34"/>
      <c r="N412" s="34" t="s">
        <v>1724</v>
      </c>
      <c r="O412" s="35">
        <v>1</v>
      </c>
      <c r="P412" s="35">
        <v>1</v>
      </c>
      <c r="Q412" s="32" t="s">
        <v>2019</v>
      </c>
      <c r="S412" s="1">
        <f t="shared" si="291"/>
        <v>1</v>
      </c>
      <c r="T412" s="1">
        <f t="shared" si="292"/>
        <v>0</v>
      </c>
      <c r="U412" s="1">
        <f t="shared" si="293"/>
        <v>0</v>
      </c>
      <c r="V412" s="1">
        <f t="shared" si="294"/>
        <v>0</v>
      </c>
      <c r="W412" s="1">
        <f t="shared" si="295"/>
        <v>0</v>
      </c>
      <c r="X412" s="1">
        <f t="shared" si="296"/>
        <v>0</v>
      </c>
      <c r="Y412" s="1">
        <f t="shared" si="297"/>
        <v>0</v>
      </c>
      <c r="Z412" s="1">
        <f t="shared" si="298"/>
        <v>0</v>
      </c>
      <c r="AA412" s="1">
        <f t="shared" si="299"/>
        <v>0</v>
      </c>
      <c r="AB412" s="1">
        <f t="shared" si="300"/>
        <v>0</v>
      </c>
      <c r="AD412" s="1">
        <f t="shared" si="301"/>
        <v>1</v>
      </c>
      <c r="AE412" s="1">
        <f t="shared" si="302"/>
        <v>0</v>
      </c>
      <c r="AF412" s="1">
        <f t="shared" si="303"/>
        <v>1</v>
      </c>
      <c r="AG412" s="1">
        <f t="shared" si="304"/>
        <v>0</v>
      </c>
      <c r="AH412" s="1">
        <f t="shared" si="305"/>
        <v>1</v>
      </c>
      <c r="AI412" s="1">
        <f t="shared" si="306"/>
        <v>0</v>
      </c>
    </row>
    <row r="413" spans="1:35" s="1" customFormat="1" ht="14.25" customHeight="1" x14ac:dyDescent="0.3">
      <c r="A413" s="31">
        <v>1</v>
      </c>
      <c r="B413" s="31">
        <v>2</v>
      </c>
      <c r="C413" s="31">
        <v>7</v>
      </c>
      <c r="D413" s="32" t="s">
        <v>2014</v>
      </c>
      <c r="E413" s="32" t="s">
        <v>28</v>
      </c>
      <c r="F413" s="32" t="s">
        <v>2015</v>
      </c>
      <c r="G413" s="36" t="s">
        <v>2021</v>
      </c>
      <c r="H413" s="32" t="s">
        <v>352</v>
      </c>
      <c r="I413" s="31" t="s">
        <v>2018</v>
      </c>
      <c r="J413" s="31">
        <v>8</v>
      </c>
      <c r="K413" s="33" t="s">
        <v>700</v>
      </c>
      <c r="L413" s="33"/>
      <c r="M413" s="34"/>
      <c r="N413" s="34" t="s">
        <v>1724</v>
      </c>
      <c r="O413" s="35">
        <v>1</v>
      </c>
      <c r="P413" s="35">
        <v>1</v>
      </c>
      <c r="Q413" s="32" t="s">
        <v>2020</v>
      </c>
      <c r="S413" s="1">
        <f t="shared" si="291"/>
        <v>0</v>
      </c>
      <c r="T413" s="1">
        <f t="shared" si="292"/>
        <v>0</v>
      </c>
      <c r="U413" s="1">
        <f t="shared" si="293"/>
        <v>0</v>
      </c>
      <c r="V413" s="1">
        <f t="shared" si="294"/>
        <v>0</v>
      </c>
      <c r="W413" s="1">
        <f t="shared" si="295"/>
        <v>0</v>
      </c>
      <c r="X413" s="1">
        <f t="shared" si="296"/>
        <v>0</v>
      </c>
      <c r="Y413" s="1">
        <f t="shared" si="297"/>
        <v>0</v>
      </c>
      <c r="Z413" s="1">
        <f t="shared" si="298"/>
        <v>1</v>
      </c>
      <c r="AA413" s="1">
        <f t="shared" si="299"/>
        <v>0</v>
      </c>
      <c r="AB413" s="1">
        <f t="shared" si="300"/>
        <v>0</v>
      </c>
      <c r="AD413" s="1">
        <f t="shared" si="301"/>
        <v>1</v>
      </c>
      <c r="AE413" s="1">
        <f t="shared" si="302"/>
        <v>0</v>
      </c>
      <c r="AF413" s="1">
        <f t="shared" si="303"/>
        <v>0</v>
      </c>
      <c r="AG413" s="1">
        <f t="shared" si="304"/>
        <v>0</v>
      </c>
      <c r="AH413" s="1">
        <f t="shared" si="305"/>
        <v>0</v>
      </c>
      <c r="AI413" s="1">
        <f t="shared" si="306"/>
        <v>0</v>
      </c>
    </row>
    <row r="414" spans="1:35" s="1" customFormat="1" ht="14.25" customHeight="1" x14ac:dyDescent="0.3">
      <c r="A414" s="31">
        <v>0</v>
      </c>
      <c r="B414" s="31">
        <v>2</v>
      </c>
      <c r="C414" s="31">
        <v>7</v>
      </c>
      <c r="D414" s="32" t="s">
        <v>69</v>
      </c>
      <c r="E414" s="32" t="s">
        <v>28</v>
      </c>
      <c r="F414" s="32" t="s">
        <v>254</v>
      </c>
      <c r="G414" s="36" t="s">
        <v>206</v>
      </c>
      <c r="H414" s="32" t="s">
        <v>352</v>
      </c>
      <c r="I414" s="31" t="s">
        <v>413</v>
      </c>
      <c r="J414" s="31">
        <v>99</v>
      </c>
      <c r="K414" s="33" t="s">
        <v>952</v>
      </c>
      <c r="L414" s="33" t="s">
        <v>710</v>
      </c>
      <c r="M414" s="34" t="s">
        <v>728</v>
      </c>
      <c r="N414" s="34" t="s">
        <v>1730</v>
      </c>
      <c r="O414" s="35">
        <v>1</v>
      </c>
      <c r="P414" s="35">
        <v>1</v>
      </c>
      <c r="Q414" s="32"/>
      <c r="S414" s="1">
        <f t="shared" si="291"/>
        <v>0</v>
      </c>
      <c r="T414" s="1">
        <f t="shared" si="292"/>
        <v>0</v>
      </c>
      <c r="U414" s="1">
        <f t="shared" si="293"/>
        <v>0</v>
      </c>
      <c r="V414" s="1">
        <f t="shared" si="294"/>
        <v>0</v>
      </c>
      <c r="W414" s="1">
        <f t="shared" si="295"/>
        <v>0</v>
      </c>
      <c r="X414" s="1">
        <f t="shared" si="296"/>
        <v>0</v>
      </c>
      <c r="Y414" s="1">
        <f t="shared" si="297"/>
        <v>0</v>
      </c>
      <c r="Z414" s="1">
        <f t="shared" si="298"/>
        <v>0</v>
      </c>
      <c r="AA414" s="1">
        <f t="shared" si="299"/>
        <v>0</v>
      </c>
      <c r="AB414" s="1">
        <f t="shared" si="300"/>
        <v>0</v>
      </c>
      <c r="AD414" s="1">
        <f t="shared" si="301"/>
        <v>1</v>
      </c>
      <c r="AE414" s="1">
        <f t="shared" si="302"/>
        <v>0</v>
      </c>
      <c r="AF414" s="1">
        <f t="shared" si="303"/>
        <v>1</v>
      </c>
      <c r="AG414" s="1">
        <f t="shared" si="304"/>
        <v>0</v>
      </c>
      <c r="AH414" s="1">
        <f t="shared" si="305"/>
        <v>1</v>
      </c>
      <c r="AI414" s="1">
        <f t="shared" si="306"/>
        <v>0</v>
      </c>
    </row>
    <row r="415" spans="1:35" s="1" customFormat="1" ht="14.25" customHeight="1" x14ac:dyDescent="0.3">
      <c r="A415" s="31">
        <v>1</v>
      </c>
      <c r="B415" s="31">
        <v>2</v>
      </c>
      <c r="C415" s="31">
        <v>7</v>
      </c>
      <c r="D415" s="32" t="s">
        <v>69</v>
      </c>
      <c r="E415" s="32" t="s">
        <v>28</v>
      </c>
      <c r="F415" s="32" t="s">
        <v>1871</v>
      </c>
      <c r="G415" s="36" t="s">
        <v>255</v>
      </c>
      <c r="H415" s="32" t="s">
        <v>352</v>
      </c>
      <c r="I415" s="31" t="s">
        <v>414</v>
      </c>
      <c r="J415" s="31">
        <v>99</v>
      </c>
      <c r="K415" s="33" t="s">
        <v>952</v>
      </c>
      <c r="L415" s="33" t="s">
        <v>710</v>
      </c>
      <c r="M415" s="34" t="s">
        <v>728</v>
      </c>
      <c r="N415" s="34" t="s">
        <v>1730</v>
      </c>
      <c r="O415" s="35">
        <v>1</v>
      </c>
      <c r="P415" s="35">
        <v>1</v>
      </c>
      <c r="Q415" s="32"/>
      <c r="S415" s="1">
        <f t="shared" si="291"/>
        <v>0</v>
      </c>
      <c r="T415" s="1">
        <f t="shared" si="292"/>
        <v>0</v>
      </c>
      <c r="U415" s="1">
        <f t="shared" si="293"/>
        <v>0</v>
      </c>
      <c r="V415" s="1">
        <f t="shared" si="294"/>
        <v>0</v>
      </c>
      <c r="W415" s="1">
        <f t="shared" si="295"/>
        <v>0</v>
      </c>
      <c r="X415" s="1">
        <f t="shared" si="296"/>
        <v>0</v>
      </c>
      <c r="Y415" s="1">
        <f t="shared" si="297"/>
        <v>0</v>
      </c>
      <c r="Z415" s="1">
        <f t="shared" si="298"/>
        <v>0</v>
      </c>
      <c r="AA415" s="1">
        <f t="shared" si="299"/>
        <v>0</v>
      </c>
      <c r="AB415" s="1">
        <f t="shared" si="300"/>
        <v>0</v>
      </c>
      <c r="AD415" s="1">
        <f t="shared" si="301"/>
        <v>1</v>
      </c>
      <c r="AE415" s="1">
        <f t="shared" si="302"/>
        <v>0</v>
      </c>
      <c r="AF415" s="1">
        <f t="shared" si="303"/>
        <v>0</v>
      </c>
      <c r="AG415" s="1">
        <f t="shared" si="304"/>
        <v>0</v>
      </c>
      <c r="AH415" s="1">
        <f t="shared" si="305"/>
        <v>0</v>
      </c>
      <c r="AI415" s="1">
        <f t="shared" si="306"/>
        <v>0</v>
      </c>
    </row>
    <row r="416" spans="1:35" s="1" customFormat="1" ht="14.25" customHeight="1" x14ac:dyDescent="0.3">
      <c r="A416" s="31">
        <v>1</v>
      </c>
      <c r="B416" s="31">
        <v>2</v>
      </c>
      <c r="C416" s="31">
        <v>7</v>
      </c>
      <c r="D416" s="32" t="s">
        <v>69</v>
      </c>
      <c r="E416" s="32" t="s">
        <v>28</v>
      </c>
      <c r="F416" s="32" t="s">
        <v>567</v>
      </c>
      <c r="G416" s="36" t="s">
        <v>568</v>
      </c>
      <c r="H416" s="32" t="s">
        <v>352</v>
      </c>
      <c r="I416" s="31" t="s">
        <v>577</v>
      </c>
      <c r="J416" s="31">
        <v>99</v>
      </c>
      <c r="K416" s="33" t="s">
        <v>952</v>
      </c>
      <c r="L416" s="33" t="s">
        <v>710</v>
      </c>
      <c r="M416" s="34" t="s">
        <v>728</v>
      </c>
      <c r="N416" s="34" t="s">
        <v>1730</v>
      </c>
      <c r="O416" s="35">
        <v>1</v>
      </c>
      <c r="P416" s="35">
        <v>1</v>
      </c>
      <c r="Q416" s="32"/>
      <c r="S416" s="1">
        <f t="shared" si="291"/>
        <v>0</v>
      </c>
      <c r="T416" s="1">
        <f t="shared" si="292"/>
        <v>0</v>
      </c>
      <c r="U416" s="1">
        <f t="shared" si="293"/>
        <v>0</v>
      </c>
      <c r="V416" s="1">
        <f t="shared" si="294"/>
        <v>0</v>
      </c>
      <c r="W416" s="1">
        <f t="shared" si="295"/>
        <v>0</v>
      </c>
      <c r="X416" s="1">
        <f t="shared" si="296"/>
        <v>0</v>
      </c>
      <c r="Y416" s="1">
        <f t="shared" si="297"/>
        <v>0</v>
      </c>
      <c r="Z416" s="1">
        <f t="shared" si="298"/>
        <v>0</v>
      </c>
      <c r="AA416" s="1">
        <f t="shared" si="299"/>
        <v>0</v>
      </c>
      <c r="AB416" s="1">
        <f t="shared" si="300"/>
        <v>0</v>
      </c>
      <c r="AD416" s="1">
        <f t="shared" si="301"/>
        <v>1</v>
      </c>
      <c r="AE416" s="1">
        <f t="shared" si="302"/>
        <v>0</v>
      </c>
      <c r="AF416" s="1">
        <f t="shared" si="303"/>
        <v>0</v>
      </c>
      <c r="AG416" s="1">
        <f t="shared" si="304"/>
        <v>0</v>
      </c>
      <c r="AH416" s="1">
        <f t="shared" si="305"/>
        <v>0</v>
      </c>
      <c r="AI416" s="1">
        <f t="shared" si="306"/>
        <v>0</v>
      </c>
    </row>
    <row r="417" spans="1:35" s="1" customFormat="1" ht="14.25" customHeight="1" x14ac:dyDescent="0.3">
      <c r="A417" s="44">
        <v>0</v>
      </c>
      <c r="B417" s="44">
        <v>2</v>
      </c>
      <c r="C417" s="44">
        <v>7</v>
      </c>
      <c r="D417" s="45" t="s">
        <v>71</v>
      </c>
      <c r="E417" s="45" t="s">
        <v>28</v>
      </c>
      <c r="F417" s="45" t="s">
        <v>1346</v>
      </c>
      <c r="G417" s="45" t="s">
        <v>258</v>
      </c>
      <c r="H417" s="45" t="s">
        <v>352</v>
      </c>
      <c r="I417" s="44" t="s">
        <v>416</v>
      </c>
      <c r="J417" s="44">
        <v>99</v>
      </c>
      <c r="K417" s="46" t="s">
        <v>710</v>
      </c>
      <c r="L417" s="46" t="s">
        <v>710</v>
      </c>
      <c r="M417" s="47" t="s">
        <v>728</v>
      </c>
      <c r="N417" s="47" t="s">
        <v>1799</v>
      </c>
      <c r="O417" s="48"/>
      <c r="P417" s="48"/>
      <c r="Q417" s="45"/>
      <c r="S417" s="1">
        <f t="shared" si="291"/>
        <v>0</v>
      </c>
      <c r="T417" s="1">
        <f t="shared" si="292"/>
        <v>0</v>
      </c>
      <c r="U417" s="1">
        <f t="shared" si="293"/>
        <v>0</v>
      </c>
      <c r="V417" s="1">
        <f t="shared" si="294"/>
        <v>0</v>
      </c>
      <c r="W417" s="1">
        <f t="shared" si="295"/>
        <v>0</v>
      </c>
      <c r="X417" s="1">
        <f t="shared" si="296"/>
        <v>0</v>
      </c>
      <c r="Y417" s="1">
        <f t="shared" si="297"/>
        <v>0</v>
      </c>
      <c r="Z417" s="1">
        <f t="shared" si="298"/>
        <v>0</v>
      </c>
      <c r="AA417" s="1">
        <f t="shared" si="299"/>
        <v>0</v>
      </c>
      <c r="AB417" s="1">
        <f t="shared" si="300"/>
        <v>0</v>
      </c>
      <c r="AD417" s="1">
        <f t="shared" si="301"/>
        <v>0</v>
      </c>
      <c r="AE417" s="1">
        <f t="shared" si="302"/>
        <v>0</v>
      </c>
      <c r="AF417" s="1">
        <f t="shared" si="303"/>
        <v>0</v>
      </c>
      <c r="AG417" s="1">
        <f t="shared" si="304"/>
        <v>0</v>
      </c>
      <c r="AH417" s="1">
        <f t="shared" si="305"/>
        <v>0</v>
      </c>
      <c r="AI417" s="1">
        <f t="shared" si="306"/>
        <v>1</v>
      </c>
    </row>
    <row r="418" spans="1:35" s="1" customFormat="1" ht="14.25" customHeight="1" x14ac:dyDescent="0.3">
      <c r="A418" s="44">
        <v>0</v>
      </c>
      <c r="B418" s="44">
        <v>2</v>
      </c>
      <c r="C418" s="44">
        <v>7</v>
      </c>
      <c r="D418" s="45" t="s">
        <v>1059</v>
      </c>
      <c r="E418" s="45" t="s">
        <v>28</v>
      </c>
      <c r="F418" s="45" t="s">
        <v>1060</v>
      </c>
      <c r="G418" s="45" t="s">
        <v>1061</v>
      </c>
      <c r="H418" s="45" t="s">
        <v>352</v>
      </c>
      <c r="I418" s="44" t="s">
        <v>1062</v>
      </c>
      <c r="J418" s="44">
        <v>99</v>
      </c>
      <c r="K418" s="46" t="s">
        <v>710</v>
      </c>
      <c r="L418" s="46" t="s">
        <v>710</v>
      </c>
      <c r="M418" s="47" t="s">
        <v>728</v>
      </c>
      <c r="N418" s="47" t="s">
        <v>1799</v>
      </c>
      <c r="O418" s="48"/>
      <c r="P418" s="48"/>
      <c r="Q418" s="45"/>
      <c r="S418" s="1">
        <f t="shared" ref="S418:S483" si="307">IF(J418=$S$7,1,0)</f>
        <v>0</v>
      </c>
      <c r="T418" s="1">
        <f t="shared" ref="T418:T483" si="308">IF(J418=$T$7,1,0)</f>
        <v>0</v>
      </c>
      <c r="U418" s="1">
        <f t="shared" ref="U418:U483" si="309">IF(J418=$U$7,1,0)</f>
        <v>0</v>
      </c>
      <c r="V418" s="1">
        <f t="shared" ref="V418:V483" si="310">IF(J418=$V$7,1,0)</f>
        <v>0</v>
      </c>
      <c r="W418" s="1">
        <f t="shared" ref="W418:W483" si="311">IF(J418=$W$7,1,0)</f>
        <v>0</v>
      </c>
      <c r="X418" s="1">
        <f t="shared" ref="X418:X483" si="312">IF(J418=$X$7,1,0)</f>
        <v>0</v>
      </c>
      <c r="Y418" s="1">
        <f t="shared" ref="Y418:Y483" si="313">IF(J418=$Y$7,1,0)</f>
        <v>0</v>
      </c>
      <c r="Z418" s="1">
        <f t="shared" ref="Z418:Z483" si="314">IF(J418=$Z$7,1,0)</f>
        <v>0</v>
      </c>
      <c r="AA418" s="1">
        <f t="shared" ref="AA418:AA483" si="315">IF(J418=$AA$7,1,0)</f>
        <v>0</v>
      </c>
      <c r="AB418" s="1">
        <f t="shared" ref="AB418:AB483" si="316">IF(J418=$AB$7,1,0)</f>
        <v>0</v>
      </c>
      <c r="AD418" s="1">
        <f t="shared" ref="AD418:AD483" si="317">+O418*P418</f>
        <v>0</v>
      </c>
      <c r="AE418" s="1">
        <f t="shared" ref="AE418:AE483" si="318">O418*(1-P418)</f>
        <v>0</v>
      </c>
      <c r="AF418" s="1">
        <f t="shared" si="287"/>
        <v>0</v>
      </c>
      <c r="AG418" s="1">
        <f t="shared" si="288"/>
        <v>0</v>
      </c>
      <c r="AH418" s="1">
        <f t="shared" si="289"/>
        <v>0</v>
      </c>
      <c r="AI418" s="1">
        <f t="shared" si="290"/>
        <v>1</v>
      </c>
    </row>
    <row r="419" spans="1:35" s="1" customFormat="1" ht="14.25" customHeight="1" x14ac:dyDescent="0.3">
      <c r="A419" s="31">
        <v>0</v>
      </c>
      <c r="B419" s="31">
        <v>2</v>
      </c>
      <c r="C419" s="31">
        <v>7</v>
      </c>
      <c r="D419" s="32" t="s">
        <v>1803</v>
      </c>
      <c r="E419" s="32" t="s">
        <v>155</v>
      </c>
      <c r="F419" s="32" t="s">
        <v>1804</v>
      </c>
      <c r="G419" s="32"/>
      <c r="H419" s="32" t="s">
        <v>352</v>
      </c>
      <c r="I419" s="31" t="s">
        <v>1805</v>
      </c>
      <c r="J419" s="31">
        <v>99</v>
      </c>
      <c r="K419" s="33" t="s">
        <v>700</v>
      </c>
      <c r="L419" s="33"/>
      <c r="M419" s="34"/>
      <c r="N419" s="34" t="s">
        <v>1724</v>
      </c>
      <c r="O419" s="35">
        <v>1</v>
      </c>
      <c r="P419" s="35">
        <v>1</v>
      </c>
      <c r="Q419" s="32"/>
      <c r="S419" s="1">
        <f t="shared" si="307"/>
        <v>0</v>
      </c>
      <c r="T419" s="1">
        <f t="shared" si="308"/>
        <v>0</v>
      </c>
      <c r="U419" s="1">
        <f t="shared" si="309"/>
        <v>0</v>
      </c>
      <c r="V419" s="1">
        <f t="shared" si="310"/>
        <v>0</v>
      </c>
      <c r="W419" s="1">
        <f t="shared" si="311"/>
        <v>0</v>
      </c>
      <c r="X419" s="1">
        <f t="shared" si="312"/>
        <v>0</v>
      </c>
      <c r="Y419" s="1">
        <f t="shared" si="313"/>
        <v>0</v>
      </c>
      <c r="Z419" s="1">
        <f t="shared" si="314"/>
        <v>0</v>
      </c>
      <c r="AA419" s="1">
        <f t="shared" si="315"/>
        <v>0</v>
      </c>
      <c r="AB419" s="1">
        <f t="shared" si="316"/>
        <v>0</v>
      </c>
      <c r="AD419" s="1">
        <f t="shared" si="317"/>
        <v>1</v>
      </c>
      <c r="AE419" s="1">
        <f t="shared" si="318"/>
        <v>0</v>
      </c>
      <c r="AF419" s="1">
        <f t="shared" si="287"/>
        <v>1</v>
      </c>
      <c r="AG419" s="1">
        <f t="shared" si="288"/>
        <v>0</v>
      </c>
      <c r="AH419" s="1">
        <f t="shared" si="289"/>
        <v>1</v>
      </c>
      <c r="AI419" s="1">
        <f t="shared" si="290"/>
        <v>0</v>
      </c>
    </row>
    <row r="420" spans="1:35" s="1" customFormat="1" ht="14.25" customHeight="1" x14ac:dyDescent="0.3">
      <c r="A420" s="31">
        <v>0</v>
      </c>
      <c r="B420" s="31">
        <v>2</v>
      </c>
      <c r="C420" s="31">
        <v>7</v>
      </c>
      <c r="D420" s="32" t="s">
        <v>1175</v>
      </c>
      <c r="E420" s="32" t="s">
        <v>155</v>
      </c>
      <c r="F420" s="32" t="s">
        <v>1176</v>
      </c>
      <c r="G420" s="32" t="s">
        <v>291</v>
      </c>
      <c r="H420" s="32" t="s">
        <v>352</v>
      </c>
      <c r="I420" s="31" t="s">
        <v>1177</v>
      </c>
      <c r="J420" s="31">
        <v>99</v>
      </c>
      <c r="K420" s="33" t="s">
        <v>710</v>
      </c>
      <c r="L420" s="33" t="s">
        <v>719</v>
      </c>
      <c r="M420" s="34" t="s">
        <v>1431</v>
      </c>
      <c r="N420" s="34" t="s">
        <v>1745</v>
      </c>
      <c r="O420" s="35">
        <v>1</v>
      </c>
      <c r="P420" s="35"/>
      <c r="Q420" s="32"/>
      <c r="S420" s="1">
        <f t="shared" si="307"/>
        <v>0</v>
      </c>
      <c r="T420" s="1">
        <f t="shared" si="308"/>
        <v>0</v>
      </c>
      <c r="U420" s="1">
        <f t="shared" si="309"/>
        <v>0</v>
      </c>
      <c r="V420" s="1">
        <f t="shared" si="310"/>
        <v>0</v>
      </c>
      <c r="W420" s="1">
        <f t="shared" si="311"/>
        <v>0</v>
      </c>
      <c r="X420" s="1">
        <f t="shared" si="312"/>
        <v>0</v>
      </c>
      <c r="Y420" s="1">
        <f t="shared" si="313"/>
        <v>0</v>
      </c>
      <c r="Z420" s="1">
        <f t="shared" si="314"/>
        <v>0</v>
      </c>
      <c r="AA420" s="1">
        <f t="shared" si="315"/>
        <v>0</v>
      </c>
      <c r="AB420" s="1">
        <f t="shared" si="316"/>
        <v>0</v>
      </c>
      <c r="AD420" s="1">
        <f t="shared" si="317"/>
        <v>0</v>
      </c>
      <c r="AE420" s="1">
        <f t="shared" si="318"/>
        <v>1</v>
      </c>
      <c r="AF420" s="1">
        <f t="shared" si="287"/>
        <v>0</v>
      </c>
      <c r="AG420" s="1">
        <f t="shared" si="288"/>
        <v>1</v>
      </c>
      <c r="AH420" s="1">
        <f t="shared" si="289"/>
        <v>0</v>
      </c>
      <c r="AI420" s="1">
        <f t="shared" si="290"/>
        <v>1</v>
      </c>
    </row>
    <row r="421" spans="1:35" s="1" customFormat="1" ht="14.25" customHeight="1" x14ac:dyDescent="0.3">
      <c r="A421" s="31">
        <v>0</v>
      </c>
      <c r="B421" s="31">
        <v>2</v>
      </c>
      <c r="C421" s="31">
        <v>7</v>
      </c>
      <c r="D421" s="32" t="s">
        <v>1150</v>
      </c>
      <c r="E421" s="32" t="s">
        <v>1151</v>
      </c>
      <c r="F421" s="36" t="s">
        <v>1875</v>
      </c>
      <c r="G421" s="32" t="s">
        <v>625</v>
      </c>
      <c r="H421" s="32" t="s">
        <v>352</v>
      </c>
      <c r="I421" s="31" t="s">
        <v>1152</v>
      </c>
      <c r="J421" s="31">
        <v>99</v>
      </c>
      <c r="K421" s="33" t="s">
        <v>710</v>
      </c>
      <c r="L421" s="33" t="s">
        <v>710</v>
      </c>
      <c r="M421" s="34" t="s">
        <v>728</v>
      </c>
      <c r="N421" s="34" t="s">
        <v>1740</v>
      </c>
      <c r="O421" s="35">
        <v>1</v>
      </c>
      <c r="P421" s="35"/>
      <c r="Q421" s="36" t="s">
        <v>1895</v>
      </c>
      <c r="S421" s="1">
        <f t="shared" si="307"/>
        <v>0</v>
      </c>
      <c r="T421" s="1">
        <f t="shared" si="308"/>
        <v>0</v>
      </c>
      <c r="U421" s="1">
        <f t="shared" si="309"/>
        <v>0</v>
      </c>
      <c r="V421" s="1">
        <f t="shared" si="310"/>
        <v>0</v>
      </c>
      <c r="W421" s="1">
        <f t="shared" si="311"/>
        <v>0</v>
      </c>
      <c r="X421" s="1">
        <f t="shared" si="312"/>
        <v>0</v>
      </c>
      <c r="Y421" s="1">
        <f t="shared" si="313"/>
        <v>0</v>
      </c>
      <c r="Z421" s="1">
        <f t="shared" si="314"/>
        <v>0</v>
      </c>
      <c r="AA421" s="1">
        <f t="shared" si="315"/>
        <v>0</v>
      </c>
      <c r="AB421" s="1">
        <f t="shared" si="316"/>
        <v>0</v>
      </c>
      <c r="AD421" s="1">
        <f t="shared" si="317"/>
        <v>0</v>
      </c>
      <c r="AE421" s="1">
        <f t="shared" si="318"/>
        <v>1</v>
      </c>
      <c r="AF421" s="1">
        <f t="shared" si="287"/>
        <v>0</v>
      </c>
      <c r="AG421" s="1">
        <f t="shared" si="288"/>
        <v>1</v>
      </c>
      <c r="AH421" s="1">
        <f t="shared" si="289"/>
        <v>0</v>
      </c>
      <c r="AI421" s="1">
        <f t="shared" si="290"/>
        <v>1</v>
      </c>
    </row>
    <row r="422" spans="1:35" s="1" customFormat="1" ht="14.25" customHeight="1" x14ac:dyDescent="0.3">
      <c r="A422" s="31">
        <v>0</v>
      </c>
      <c r="B422" s="31">
        <v>2</v>
      </c>
      <c r="C422" s="31">
        <v>7</v>
      </c>
      <c r="D422" s="32" t="s">
        <v>539</v>
      </c>
      <c r="E422" s="32" t="s">
        <v>157</v>
      </c>
      <c r="F422" s="32" t="s">
        <v>194</v>
      </c>
      <c r="G422" s="32" t="s">
        <v>195</v>
      </c>
      <c r="H422" s="32" t="s">
        <v>352</v>
      </c>
      <c r="I422" s="31" t="s">
        <v>547</v>
      </c>
      <c r="J422" s="31">
        <v>99</v>
      </c>
      <c r="K422" s="33" t="s">
        <v>952</v>
      </c>
      <c r="L422" s="33" t="s">
        <v>693</v>
      </c>
      <c r="M422" s="34" t="s">
        <v>1433</v>
      </c>
      <c r="N422" s="34" t="s">
        <v>1745</v>
      </c>
      <c r="O422" s="35">
        <v>1</v>
      </c>
      <c r="P422" s="35"/>
      <c r="Q422" s="32"/>
      <c r="S422" s="1">
        <f t="shared" si="307"/>
        <v>0</v>
      </c>
      <c r="T422" s="1">
        <f t="shared" si="308"/>
        <v>0</v>
      </c>
      <c r="U422" s="1">
        <f t="shared" si="309"/>
        <v>0</v>
      </c>
      <c r="V422" s="1">
        <f t="shared" si="310"/>
        <v>0</v>
      </c>
      <c r="W422" s="1">
        <f t="shared" si="311"/>
        <v>0</v>
      </c>
      <c r="X422" s="1">
        <f t="shared" si="312"/>
        <v>0</v>
      </c>
      <c r="Y422" s="1">
        <f t="shared" si="313"/>
        <v>0</v>
      </c>
      <c r="Z422" s="1">
        <f t="shared" si="314"/>
        <v>0</v>
      </c>
      <c r="AA422" s="1">
        <f t="shared" si="315"/>
        <v>0</v>
      </c>
      <c r="AB422" s="1">
        <f t="shared" si="316"/>
        <v>0</v>
      </c>
      <c r="AD422" s="1">
        <f t="shared" si="317"/>
        <v>0</v>
      </c>
      <c r="AE422" s="1">
        <f t="shared" si="318"/>
        <v>1</v>
      </c>
      <c r="AF422" s="1">
        <f t="shared" si="287"/>
        <v>0</v>
      </c>
      <c r="AG422" s="1">
        <f t="shared" si="288"/>
        <v>1</v>
      </c>
      <c r="AH422" s="1">
        <f t="shared" si="289"/>
        <v>0</v>
      </c>
      <c r="AI422" s="1">
        <f t="shared" si="290"/>
        <v>1</v>
      </c>
    </row>
    <row r="423" spans="1:35" s="1" customFormat="1" ht="14.25" customHeight="1" x14ac:dyDescent="0.3">
      <c r="A423" s="44">
        <v>0</v>
      </c>
      <c r="B423" s="44">
        <v>2</v>
      </c>
      <c r="C423" s="44">
        <v>7</v>
      </c>
      <c r="D423" s="45" t="s">
        <v>46</v>
      </c>
      <c r="E423" s="45" t="s">
        <v>155</v>
      </c>
      <c r="F423" s="45" t="s">
        <v>182</v>
      </c>
      <c r="G423" s="45" t="s">
        <v>178</v>
      </c>
      <c r="H423" s="45" t="s">
        <v>352</v>
      </c>
      <c r="I423" s="44" t="s">
        <v>380</v>
      </c>
      <c r="J423" s="44">
        <v>10</v>
      </c>
      <c r="K423" s="46" t="s">
        <v>952</v>
      </c>
      <c r="L423" s="46" t="s">
        <v>719</v>
      </c>
      <c r="M423" s="47" t="s">
        <v>1431</v>
      </c>
      <c r="N423" s="47" t="s">
        <v>1806</v>
      </c>
      <c r="O423" s="48"/>
      <c r="P423" s="48"/>
      <c r="Q423" s="45"/>
      <c r="S423" s="1">
        <f t="shared" si="307"/>
        <v>0</v>
      </c>
      <c r="T423" s="1">
        <f t="shared" si="308"/>
        <v>0</v>
      </c>
      <c r="U423" s="1">
        <f t="shared" si="309"/>
        <v>0</v>
      </c>
      <c r="V423" s="1">
        <f t="shared" si="310"/>
        <v>0</v>
      </c>
      <c r="W423" s="1">
        <f t="shared" si="311"/>
        <v>0</v>
      </c>
      <c r="X423" s="1">
        <f t="shared" si="312"/>
        <v>0</v>
      </c>
      <c r="Y423" s="1">
        <f t="shared" si="313"/>
        <v>0</v>
      </c>
      <c r="Z423" s="1">
        <f t="shared" si="314"/>
        <v>0</v>
      </c>
      <c r="AA423" s="1">
        <f t="shared" si="315"/>
        <v>0</v>
      </c>
      <c r="AB423" s="1">
        <f t="shared" si="316"/>
        <v>1</v>
      </c>
      <c r="AD423" s="1">
        <f t="shared" si="317"/>
        <v>0</v>
      </c>
      <c r="AE423" s="1">
        <f t="shared" si="318"/>
        <v>0</v>
      </c>
      <c r="AF423" s="1">
        <f t="shared" si="287"/>
        <v>0</v>
      </c>
      <c r="AG423" s="1">
        <f t="shared" si="288"/>
        <v>0</v>
      </c>
      <c r="AH423" s="1">
        <f t="shared" si="289"/>
        <v>0</v>
      </c>
      <c r="AI423" s="1">
        <f t="shared" si="290"/>
        <v>1</v>
      </c>
    </row>
    <row r="424" spans="1:35" s="1" customFormat="1" ht="14.25" customHeight="1" x14ac:dyDescent="0.3">
      <c r="A424" s="44">
        <v>0</v>
      </c>
      <c r="B424" s="44">
        <v>2</v>
      </c>
      <c r="C424" s="44">
        <v>7</v>
      </c>
      <c r="D424" s="45" t="s">
        <v>67</v>
      </c>
      <c r="E424" s="45" t="s">
        <v>28</v>
      </c>
      <c r="F424" s="45" t="s">
        <v>247</v>
      </c>
      <c r="G424" s="45" t="s">
        <v>248</v>
      </c>
      <c r="H424" s="45" t="s">
        <v>352</v>
      </c>
      <c r="I424" s="44" t="s">
        <v>409</v>
      </c>
      <c r="J424" s="44">
        <v>7</v>
      </c>
      <c r="K424" s="46" t="s">
        <v>710</v>
      </c>
      <c r="L424" s="46" t="s">
        <v>710</v>
      </c>
      <c r="M424" s="47" t="s">
        <v>728</v>
      </c>
      <c r="N424" s="47" t="s">
        <v>1731</v>
      </c>
      <c r="O424" s="48"/>
      <c r="P424" s="48"/>
      <c r="Q424" s="45"/>
      <c r="S424" s="1">
        <f t="shared" si="307"/>
        <v>0</v>
      </c>
      <c r="T424" s="1">
        <f t="shared" si="308"/>
        <v>0</v>
      </c>
      <c r="U424" s="1">
        <f t="shared" si="309"/>
        <v>0</v>
      </c>
      <c r="V424" s="1">
        <f t="shared" si="310"/>
        <v>0</v>
      </c>
      <c r="W424" s="1">
        <f t="shared" si="311"/>
        <v>0</v>
      </c>
      <c r="X424" s="1">
        <f t="shared" si="312"/>
        <v>0</v>
      </c>
      <c r="Y424" s="1">
        <f t="shared" si="313"/>
        <v>1</v>
      </c>
      <c r="Z424" s="1">
        <f t="shared" si="314"/>
        <v>0</v>
      </c>
      <c r="AA424" s="1">
        <f t="shared" si="315"/>
        <v>0</v>
      </c>
      <c r="AB424" s="1">
        <f t="shared" si="316"/>
        <v>0</v>
      </c>
      <c r="AD424" s="1">
        <f t="shared" si="317"/>
        <v>0</v>
      </c>
      <c r="AE424" s="1">
        <f t="shared" si="318"/>
        <v>0</v>
      </c>
      <c r="AF424" s="1">
        <f t="shared" si="287"/>
        <v>0</v>
      </c>
      <c r="AG424" s="1">
        <f t="shared" si="288"/>
        <v>0</v>
      </c>
      <c r="AH424" s="1">
        <f t="shared" si="289"/>
        <v>0</v>
      </c>
      <c r="AI424" s="1">
        <f t="shared" si="290"/>
        <v>1</v>
      </c>
    </row>
    <row r="425" spans="1:35" s="1" customFormat="1" ht="14.25" customHeight="1" x14ac:dyDescent="0.3">
      <c r="A425" s="44">
        <v>1</v>
      </c>
      <c r="B425" s="44">
        <v>2</v>
      </c>
      <c r="C425" s="44">
        <v>7</v>
      </c>
      <c r="D425" s="45" t="s">
        <v>67</v>
      </c>
      <c r="E425" s="45" t="s">
        <v>28</v>
      </c>
      <c r="F425" s="45" t="s">
        <v>1036</v>
      </c>
      <c r="G425" s="45" t="s">
        <v>536</v>
      </c>
      <c r="H425" s="45" t="s">
        <v>352</v>
      </c>
      <c r="I425" s="44" t="s">
        <v>30</v>
      </c>
      <c r="J425" s="44">
        <v>1</v>
      </c>
      <c r="K425" s="46" t="s">
        <v>710</v>
      </c>
      <c r="L425" s="46" t="s">
        <v>710</v>
      </c>
      <c r="M425" s="47" t="s">
        <v>728</v>
      </c>
      <c r="N425" s="47" t="s">
        <v>1731</v>
      </c>
      <c r="O425" s="48"/>
      <c r="P425" s="48"/>
      <c r="Q425" s="45"/>
      <c r="S425" s="1">
        <f t="shared" si="307"/>
        <v>1</v>
      </c>
      <c r="T425" s="1">
        <f t="shared" si="308"/>
        <v>0</v>
      </c>
      <c r="U425" s="1">
        <f t="shared" si="309"/>
        <v>0</v>
      </c>
      <c r="V425" s="1">
        <f t="shared" si="310"/>
        <v>0</v>
      </c>
      <c r="W425" s="1">
        <f t="shared" si="311"/>
        <v>0</v>
      </c>
      <c r="X425" s="1">
        <f t="shared" si="312"/>
        <v>0</v>
      </c>
      <c r="Y425" s="1">
        <f t="shared" si="313"/>
        <v>0</v>
      </c>
      <c r="Z425" s="1">
        <f t="shared" si="314"/>
        <v>0</v>
      </c>
      <c r="AA425" s="1">
        <f t="shared" si="315"/>
        <v>0</v>
      </c>
      <c r="AB425" s="1">
        <f t="shared" si="316"/>
        <v>0</v>
      </c>
      <c r="AD425" s="1">
        <f t="shared" si="317"/>
        <v>0</v>
      </c>
      <c r="AE425" s="1">
        <f t="shared" si="318"/>
        <v>0</v>
      </c>
      <c r="AF425" s="1">
        <f t="shared" si="287"/>
        <v>0</v>
      </c>
      <c r="AG425" s="1">
        <f t="shared" si="288"/>
        <v>0</v>
      </c>
      <c r="AH425" s="1">
        <f t="shared" si="289"/>
        <v>0</v>
      </c>
      <c r="AI425" s="1">
        <f t="shared" si="290"/>
        <v>0</v>
      </c>
    </row>
    <row r="426" spans="1:35" s="1" customFormat="1" ht="14.25" customHeight="1" x14ac:dyDescent="0.3">
      <c r="A426" s="44">
        <v>1</v>
      </c>
      <c r="B426" s="44">
        <v>2</v>
      </c>
      <c r="C426" s="44">
        <v>7</v>
      </c>
      <c r="D426" s="45" t="s">
        <v>67</v>
      </c>
      <c r="E426" s="45" t="s">
        <v>28</v>
      </c>
      <c r="F426" s="45" t="s">
        <v>249</v>
      </c>
      <c r="G426" s="45" t="s">
        <v>199</v>
      </c>
      <c r="H426" s="45" t="s">
        <v>352</v>
      </c>
      <c r="I426" s="44" t="s">
        <v>410</v>
      </c>
      <c r="J426" s="44">
        <v>2</v>
      </c>
      <c r="K426" s="46" t="s">
        <v>710</v>
      </c>
      <c r="L426" s="46" t="s">
        <v>710</v>
      </c>
      <c r="M426" s="47" t="s">
        <v>728</v>
      </c>
      <c r="N426" s="47" t="s">
        <v>1731</v>
      </c>
      <c r="O426" s="48"/>
      <c r="P426" s="48"/>
      <c r="Q426" s="45"/>
      <c r="S426" s="1">
        <f t="shared" si="307"/>
        <v>0</v>
      </c>
      <c r="T426" s="1">
        <f t="shared" si="308"/>
        <v>1</v>
      </c>
      <c r="U426" s="1">
        <f t="shared" si="309"/>
        <v>0</v>
      </c>
      <c r="V426" s="1">
        <f t="shared" si="310"/>
        <v>0</v>
      </c>
      <c r="W426" s="1">
        <f t="shared" si="311"/>
        <v>0</v>
      </c>
      <c r="X426" s="1">
        <f t="shared" si="312"/>
        <v>0</v>
      </c>
      <c r="Y426" s="1">
        <f t="shared" si="313"/>
        <v>0</v>
      </c>
      <c r="Z426" s="1">
        <f t="shared" si="314"/>
        <v>0</v>
      </c>
      <c r="AA426" s="1">
        <f t="shared" si="315"/>
        <v>0</v>
      </c>
      <c r="AB426" s="1">
        <f t="shared" si="316"/>
        <v>0</v>
      </c>
      <c r="AD426" s="1">
        <f t="shared" si="317"/>
        <v>0</v>
      </c>
      <c r="AE426" s="1">
        <f t="shared" si="318"/>
        <v>0</v>
      </c>
      <c r="AF426" s="1">
        <f t="shared" si="287"/>
        <v>0</v>
      </c>
      <c r="AG426" s="1">
        <f t="shared" si="288"/>
        <v>0</v>
      </c>
      <c r="AH426" s="1">
        <f t="shared" si="289"/>
        <v>0</v>
      </c>
      <c r="AI426" s="1">
        <f t="shared" si="290"/>
        <v>0</v>
      </c>
    </row>
    <row r="427" spans="1:35" s="1" customFormat="1" ht="14.25" customHeight="1" x14ac:dyDescent="0.3">
      <c r="A427" s="44">
        <v>1</v>
      </c>
      <c r="B427" s="44">
        <v>2</v>
      </c>
      <c r="C427" s="44">
        <v>7</v>
      </c>
      <c r="D427" s="45" t="s">
        <v>67</v>
      </c>
      <c r="E427" s="45" t="s">
        <v>28</v>
      </c>
      <c r="F427" s="45" t="s">
        <v>246</v>
      </c>
      <c r="G427" s="45" t="s">
        <v>1348</v>
      </c>
      <c r="H427" s="45" t="s">
        <v>352</v>
      </c>
      <c r="I427" s="44" t="s">
        <v>30</v>
      </c>
      <c r="J427" s="44">
        <v>1</v>
      </c>
      <c r="K427" s="46" t="s">
        <v>710</v>
      </c>
      <c r="L427" s="46" t="s">
        <v>710</v>
      </c>
      <c r="M427" s="47" t="s">
        <v>728</v>
      </c>
      <c r="N427" s="47" t="s">
        <v>1731</v>
      </c>
      <c r="O427" s="48"/>
      <c r="P427" s="48"/>
      <c r="Q427" s="45" t="s">
        <v>1914</v>
      </c>
      <c r="S427" s="1">
        <f t="shared" si="307"/>
        <v>1</v>
      </c>
      <c r="T427" s="1">
        <f t="shared" si="308"/>
        <v>0</v>
      </c>
      <c r="U427" s="1">
        <f t="shared" si="309"/>
        <v>0</v>
      </c>
      <c r="V427" s="1">
        <f t="shared" si="310"/>
        <v>0</v>
      </c>
      <c r="W427" s="1">
        <f t="shared" si="311"/>
        <v>0</v>
      </c>
      <c r="X427" s="1">
        <f t="shared" si="312"/>
        <v>0</v>
      </c>
      <c r="Y427" s="1">
        <f t="shared" si="313"/>
        <v>0</v>
      </c>
      <c r="Z427" s="1">
        <f t="shared" si="314"/>
        <v>0</v>
      </c>
      <c r="AA427" s="1">
        <f t="shared" si="315"/>
        <v>0</v>
      </c>
      <c r="AB427" s="1">
        <f t="shared" si="316"/>
        <v>0</v>
      </c>
      <c r="AD427" s="1">
        <f t="shared" si="317"/>
        <v>0</v>
      </c>
      <c r="AE427" s="1">
        <f t="shared" si="318"/>
        <v>0</v>
      </c>
      <c r="AF427" s="1">
        <f t="shared" si="287"/>
        <v>0</v>
      </c>
      <c r="AG427" s="1">
        <f t="shared" si="288"/>
        <v>0</v>
      </c>
      <c r="AH427" s="1">
        <f t="shared" si="289"/>
        <v>0</v>
      </c>
      <c r="AI427" s="1">
        <f t="shared" si="290"/>
        <v>0</v>
      </c>
    </row>
    <row r="428" spans="1:35" s="1" customFormat="1" ht="14.25" customHeight="1" x14ac:dyDescent="0.3">
      <c r="A428" s="44">
        <v>1</v>
      </c>
      <c r="B428" s="44">
        <v>2</v>
      </c>
      <c r="C428" s="44">
        <v>7</v>
      </c>
      <c r="D428" s="45" t="s">
        <v>67</v>
      </c>
      <c r="E428" s="45" t="s">
        <v>28</v>
      </c>
      <c r="F428" s="45" t="s">
        <v>251</v>
      </c>
      <c r="G428" s="45" t="s">
        <v>193</v>
      </c>
      <c r="H428" s="45" t="s">
        <v>352</v>
      </c>
      <c r="I428" s="44" t="s">
        <v>411</v>
      </c>
      <c r="J428" s="44">
        <v>9</v>
      </c>
      <c r="K428" s="46" t="s">
        <v>710</v>
      </c>
      <c r="L428" s="46" t="s">
        <v>710</v>
      </c>
      <c r="M428" s="47" t="s">
        <v>728</v>
      </c>
      <c r="N428" s="47" t="s">
        <v>1731</v>
      </c>
      <c r="O428" s="48"/>
      <c r="P428" s="48"/>
      <c r="Q428" s="45"/>
      <c r="S428" s="1">
        <f t="shared" si="307"/>
        <v>0</v>
      </c>
      <c r="T428" s="1">
        <f t="shared" si="308"/>
        <v>0</v>
      </c>
      <c r="U428" s="1">
        <f t="shared" si="309"/>
        <v>0</v>
      </c>
      <c r="V428" s="1">
        <f t="shared" si="310"/>
        <v>0</v>
      </c>
      <c r="W428" s="1">
        <f t="shared" si="311"/>
        <v>0</v>
      </c>
      <c r="X428" s="1">
        <f t="shared" si="312"/>
        <v>0</v>
      </c>
      <c r="Y428" s="1">
        <f t="shared" si="313"/>
        <v>0</v>
      </c>
      <c r="Z428" s="1">
        <f t="shared" si="314"/>
        <v>0</v>
      </c>
      <c r="AA428" s="1">
        <f t="shared" si="315"/>
        <v>1</v>
      </c>
      <c r="AB428" s="1">
        <f t="shared" si="316"/>
        <v>0</v>
      </c>
      <c r="AD428" s="1">
        <f t="shared" si="317"/>
        <v>0</v>
      </c>
      <c r="AE428" s="1">
        <f t="shared" si="318"/>
        <v>0</v>
      </c>
      <c r="AF428" s="1">
        <f t="shared" si="287"/>
        <v>0</v>
      </c>
      <c r="AG428" s="1">
        <f t="shared" si="288"/>
        <v>0</v>
      </c>
      <c r="AH428" s="1">
        <f t="shared" si="289"/>
        <v>0</v>
      </c>
      <c r="AI428" s="1">
        <f t="shared" si="290"/>
        <v>0</v>
      </c>
    </row>
    <row r="429" spans="1:35" s="1" customFormat="1" ht="14.25" customHeight="1" x14ac:dyDescent="0.3">
      <c r="A429" s="44">
        <v>0</v>
      </c>
      <c r="B429" s="44">
        <v>2</v>
      </c>
      <c r="C429" s="44">
        <v>7</v>
      </c>
      <c r="D429" s="45" t="s">
        <v>1020</v>
      </c>
      <c r="E429" s="45" t="s">
        <v>28</v>
      </c>
      <c r="F429" s="45" t="s">
        <v>1021</v>
      </c>
      <c r="G429" s="45" t="s">
        <v>193</v>
      </c>
      <c r="H429" s="45" t="s">
        <v>352</v>
      </c>
      <c r="I429" s="44" t="s">
        <v>1022</v>
      </c>
      <c r="J429" s="44">
        <v>9</v>
      </c>
      <c r="K429" s="46" t="s">
        <v>709</v>
      </c>
      <c r="L429" s="46" t="s">
        <v>710</v>
      </c>
      <c r="M429" s="47" t="s">
        <v>728</v>
      </c>
      <c r="N429" s="47" t="s">
        <v>1732</v>
      </c>
      <c r="O429" s="48"/>
      <c r="P429" s="48"/>
      <c r="Q429" s="45"/>
      <c r="S429" s="1">
        <f t="shared" si="307"/>
        <v>0</v>
      </c>
      <c r="T429" s="1">
        <f t="shared" si="308"/>
        <v>0</v>
      </c>
      <c r="U429" s="1">
        <f t="shared" si="309"/>
        <v>0</v>
      </c>
      <c r="V429" s="1">
        <f t="shared" si="310"/>
        <v>0</v>
      </c>
      <c r="W429" s="1">
        <f t="shared" si="311"/>
        <v>0</v>
      </c>
      <c r="X429" s="1">
        <f t="shared" si="312"/>
        <v>0</v>
      </c>
      <c r="Y429" s="1">
        <f t="shared" si="313"/>
        <v>0</v>
      </c>
      <c r="Z429" s="1">
        <f t="shared" si="314"/>
        <v>0</v>
      </c>
      <c r="AA429" s="1">
        <f t="shared" si="315"/>
        <v>1</v>
      </c>
      <c r="AB429" s="1">
        <f t="shared" si="316"/>
        <v>0</v>
      </c>
      <c r="AD429" s="1">
        <f t="shared" si="317"/>
        <v>0</v>
      </c>
      <c r="AE429" s="1">
        <f t="shared" si="318"/>
        <v>0</v>
      </c>
      <c r="AF429" s="1">
        <f t="shared" si="287"/>
        <v>0</v>
      </c>
      <c r="AG429" s="1">
        <f t="shared" si="288"/>
        <v>0</v>
      </c>
      <c r="AH429" s="1">
        <f t="shared" si="289"/>
        <v>0</v>
      </c>
      <c r="AI429" s="1">
        <f t="shared" si="290"/>
        <v>1</v>
      </c>
    </row>
    <row r="430" spans="1:35" s="1" customFormat="1" ht="14.25" customHeight="1" x14ac:dyDescent="0.3">
      <c r="A430" s="31">
        <v>0</v>
      </c>
      <c r="B430" s="31">
        <v>2</v>
      </c>
      <c r="C430" s="31">
        <v>7</v>
      </c>
      <c r="D430" s="32" t="s">
        <v>1830</v>
      </c>
      <c r="E430" s="32" t="s">
        <v>1831</v>
      </c>
      <c r="F430" s="32" t="s">
        <v>1832</v>
      </c>
      <c r="G430" s="32" t="s">
        <v>206</v>
      </c>
      <c r="H430" s="32" t="s">
        <v>352</v>
      </c>
      <c r="I430" s="31" t="s">
        <v>30</v>
      </c>
      <c r="J430" s="31"/>
      <c r="K430" s="33" t="s">
        <v>700</v>
      </c>
      <c r="L430" s="33">
        <v>20</v>
      </c>
      <c r="M430" s="34" t="s">
        <v>1833</v>
      </c>
      <c r="N430" s="34" t="s">
        <v>1740</v>
      </c>
      <c r="O430" s="35">
        <v>1</v>
      </c>
      <c r="P430" s="35"/>
      <c r="Q430" s="32"/>
      <c r="S430" s="1">
        <f t="shared" si="307"/>
        <v>0</v>
      </c>
      <c r="T430" s="1">
        <f t="shared" si="308"/>
        <v>0</v>
      </c>
      <c r="U430" s="1">
        <f t="shared" si="309"/>
        <v>0</v>
      </c>
      <c r="V430" s="1">
        <f t="shared" si="310"/>
        <v>0</v>
      </c>
      <c r="W430" s="1">
        <f t="shared" si="311"/>
        <v>0</v>
      </c>
      <c r="X430" s="1">
        <f t="shared" si="312"/>
        <v>0</v>
      </c>
      <c r="Y430" s="1">
        <f t="shared" si="313"/>
        <v>0</v>
      </c>
      <c r="Z430" s="1">
        <f t="shared" si="314"/>
        <v>0</v>
      </c>
      <c r="AA430" s="1">
        <f t="shared" si="315"/>
        <v>0</v>
      </c>
      <c r="AB430" s="1">
        <f t="shared" si="316"/>
        <v>0</v>
      </c>
      <c r="AD430" s="1">
        <f t="shared" si="317"/>
        <v>0</v>
      </c>
      <c r="AE430" s="1">
        <f t="shared" si="318"/>
        <v>1</v>
      </c>
      <c r="AF430" s="1">
        <f t="shared" si="287"/>
        <v>0</v>
      </c>
      <c r="AG430" s="1">
        <f t="shared" si="288"/>
        <v>1</v>
      </c>
      <c r="AH430" s="1">
        <f t="shared" si="289"/>
        <v>0</v>
      </c>
      <c r="AI430" s="1">
        <f t="shared" si="290"/>
        <v>1</v>
      </c>
    </row>
    <row r="431" spans="1:35" s="1" customFormat="1" ht="14.25" customHeight="1" x14ac:dyDescent="0.3">
      <c r="A431" s="49">
        <v>0</v>
      </c>
      <c r="B431" s="49">
        <v>2</v>
      </c>
      <c r="C431" s="49">
        <v>7</v>
      </c>
      <c r="D431" s="50" t="s">
        <v>1076</v>
      </c>
      <c r="E431" s="50" t="s">
        <v>541</v>
      </c>
      <c r="F431" s="50" t="s">
        <v>1057</v>
      </c>
      <c r="G431" s="50" t="s">
        <v>237</v>
      </c>
      <c r="H431" s="50" t="s">
        <v>352</v>
      </c>
      <c r="I431" s="49" t="s">
        <v>1058</v>
      </c>
      <c r="J431" s="49">
        <v>99</v>
      </c>
      <c r="K431" s="51" t="s">
        <v>952</v>
      </c>
      <c r="L431" s="51" t="s">
        <v>719</v>
      </c>
      <c r="M431" s="52" t="s">
        <v>1434</v>
      </c>
      <c r="N431" s="52" t="s">
        <v>1740</v>
      </c>
      <c r="O431" s="53">
        <v>1</v>
      </c>
      <c r="P431" s="53"/>
      <c r="Q431" s="50"/>
      <c r="S431" s="1">
        <f t="shared" ref="S431:S435" si="319">IF(J431=$S$7,1,0)</f>
        <v>0</v>
      </c>
      <c r="T431" s="1">
        <f t="shared" ref="T431:T435" si="320">IF(J431=$T$7,1,0)</f>
        <v>0</v>
      </c>
      <c r="U431" s="1">
        <f t="shared" ref="U431:U435" si="321">IF(J431=$U$7,1,0)</f>
        <v>0</v>
      </c>
      <c r="V431" s="1">
        <f t="shared" ref="V431:V435" si="322">IF(J431=$V$7,1,0)</f>
        <v>0</v>
      </c>
      <c r="W431" s="1">
        <f t="shared" ref="W431:W435" si="323">IF(J431=$W$7,1,0)</f>
        <v>0</v>
      </c>
      <c r="X431" s="1">
        <f t="shared" ref="X431:X435" si="324">IF(J431=$X$7,1,0)</f>
        <v>0</v>
      </c>
      <c r="Y431" s="1">
        <f t="shared" ref="Y431:Y435" si="325">IF(J431=$Y$7,1,0)</f>
        <v>0</v>
      </c>
      <c r="Z431" s="1">
        <f t="shared" ref="Z431:Z435" si="326">IF(J431=$Z$7,1,0)</f>
        <v>0</v>
      </c>
      <c r="AA431" s="1">
        <f t="shared" ref="AA431:AA435" si="327">IF(J431=$AA$7,1,0)</f>
        <v>0</v>
      </c>
      <c r="AB431" s="1">
        <f t="shared" ref="AB431:AB435" si="328">IF(J431=$AB$7,1,0)</f>
        <v>0</v>
      </c>
      <c r="AD431" s="1">
        <f t="shared" ref="AD431:AD435" si="329">+O431*P431</f>
        <v>0</v>
      </c>
      <c r="AE431" s="1">
        <f t="shared" ref="AE431:AE435" si="330">O431*(1-P431)</f>
        <v>1</v>
      </c>
      <c r="AF431" s="1">
        <f t="shared" ref="AF431:AF435" si="331">+O431*P431*(1-A431)</f>
        <v>0</v>
      </c>
      <c r="AG431" s="1">
        <f t="shared" ref="AG431:AG435" si="332">O431*(1-P431)*(1-A431)</f>
        <v>1</v>
      </c>
      <c r="AH431" s="1">
        <f t="shared" ref="AH431:AH435" si="333">+P431*(1-A431)</f>
        <v>0</v>
      </c>
      <c r="AI431" s="1">
        <f t="shared" ref="AI431:AI435" si="334">+(1-A431)*(1-P431)</f>
        <v>1</v>
      </c>
    </row>
    <row r="432" spans="1:35" s="1" customFormat="1" ht="14.25" customHeight="1" x14ac:dyDescent="0.3">
      <c r="A432" s="31">
        <v>0</v>
      </c>
      <c r="B432" s="31">
        <v>2</v>
      </c>
      <c r="C432" s="31">
        <v>7</v>
      </c>
      <c r="D432" s="32" t="s">
        <v>1223</v>
      </c>
      <c r="E432" s="32" t="s">
        <v>155</v>
      </c>
      <c r="F432" s="32" t="s">
        <v>1224</v>
      </c>
      <c r="G432" s="32" t="s">
        <v>250</v>
      </c>
      <c r="H432" s="32" t="s">
        <v>352</v>
      </c>
      <c r="I432" s="31" t="s">
        <v>1225</v>
      </c>
      <c r="J432" s="31">
        <v>99</v>
      </c>
      <c r="K432" s="33" t="s">
        <v>710</v>
      </c>
      <c r="L432" s="33">
        <v>10</v>
      </c>
      <c r="M432" s="34" t="s">
        <v>1743</v>
      </c>
      <c r="N432" s="34" t="s">
        <v>1724</v>
      </c>
      <c r="O432" s="35">
        <v>1</v>
      </c>
      <c r="P432" s="35">
        <v>1</v>
      </c>
      <c r="Q432" s="32"/>
      <c r="S432" s="1">
        <f t="shared" si="319"/>
        <v>0</v>
      </c>
      <c r="T432" s="1">
        <f t="shared" si="320"/>
        <v>0</v>
      </c>
      <c r="U432" s="1">
        <f t="shared" si="321"/>
        <v>0</v>
      </c>
      <c r="V432" s="1">
        <f t="shared" si="322"/>
        <v>0</v>
      </c>
      <c r="W432" s="1">
        <f t="shared" si="323"/>
        <v>0</v>
      </c>
      <c r="X432" s="1">
        <f t="shared" si="324"/>
        <v>0</v>
      </c>
      <c r="Y432" s="1">
        <f t="shared" si="325"/>
        <v>0</v>
      </c>
      <c r="Z432" s="1">
        <f t="shared" si="326"/>
        <v>0</v>
      </c>
      <c r="AA432" s="1">
        <f t="shared" si="327"/>
        <v>0</v>
      </c>
      <c r="AB432" s="1">
        <f t="shared" si="328"/>
        <v>0</v>
      </c>
      <c r="AD432" s="1">
        <f t="shared" si="329"/>
        <v>1</v>
      </c>
      <c r="AE432" s="1">
        <f t="shared" si="330"/>
        <v>0</v>
      </c>
      <c r="AF432" s="1">
        <f t="shared" si="331"/>
        <v>1</v>
      </c>
      <c r="AG432" s="1">
        <f t="shared" si="332"/>
        <v>0</v>
      </c>
      <c r="AH432" s="1">
        <f t="shared" si="333"/>
        <v>1</v>
      </c>
      <c r="AI432" s="1">
        <f t="shared" si="334"/>
        <v>0</v>
      </c>
    </row>
    <row r="433" spans="1:35" s="1" customFormat="1" ht="14.25" customHeight="1" x14ac:dyDescent="0.3">
      <c r="A433" s="31">
        <v>0</v>
      </c>
      <c r="B433" s="31">
        <v>2</v>
      </c>
      <c r="C433" s="31">
        <v>7</v>
      </c>
      <c r="D433" s="36" t="s">
        <v>1800</v>
      </c>
      <c r="E433" s="36" t="s">
        <v>28</v>
      </c>
      <c r="F433" s="36" t="s">
        <v>1801</v>
      </c>
      <c r="G433" s="36" t="s">
        <v>179</v>
      </c>
      <c r="H433" s="36" t="s">
        <v>352</v>
      </c>
      <c r="I433" s="37" t="s">
        <v>1802</v>
      </c>
      <c r="J433" s="31">
        <v>10</v>
      </c>
      <c r="K433" s="33" t="s">
        <v>700</v>
      </c>
      <c r="L433" s="33">
        <v>10</v>
      </c>
      <c r="M433" s="34"/>
      <c r="N433" s="34" t="s">
        <v>1724</v>
      </c>
      <c r="O433" s="35">
        <v>1</v>
      </c>
      <c r="P433" s="35">
        <v>1</v>
      </c>
      <c r="Q433" s="36"/>
      <c r="S433" s="1">
        <f t="shared" si="319"/>
        <v>0</v>
      </c>
      <c r="T433" s="1">
        <f t="shared" si="320"/>
        <v>0</v>
      </c>
      <c r="U433" s="1">
        <f t="shared" si="321"/>
        <v>0</v>
      </c>
      <c r="V433" s="1">
        <f t="shared" si="322"/>
        <v>0</v>
      </c>
      <c r="W433" s="1">
        <f t="shared" si="323"/>
        <v>0</v>
      </c>
      <c r="X433" s="1">
        <f t="shared" si="324"/>
        <v>0</v>
      </c>
      <c r="Y433" s="1">
        <f t="shared" si="325"/>
        <v>0</v>
      </c>
      <c r="Z433" s="1">
        <f t="shared" si="326"/>
        <v>0</v>
      </c>
      <c r="AA433" s="1">
        <f t="shared" si="327"/>
        <v>0</v>
      </c>
      <c r="AB433" s="1">
        <f t="shared" si="328"/>
        <v>1</v>
      </c>
      <c r="AD433" s="1">
        <f t="shared" si="329"/>
        <v>1</v>
      </c>
      <c r="AE433" s="1">
        <f t="shared" si="330"/>
        <v>0</v>
      </c>
      <c r="AF433" s="1">
        <f t="shared" si="331"/>
        <v>1</v>
      </c>
      <c r="AG433" s="1">
        <f t="shared" si="332"/>
        <v>0</v>
      </c>
      <c r="AH433" s="1">
        <f t="shared" si="333"/>
        <v>1</v>
      </c>
      <c r="AI433" s="1">
        <f t="shared" si="334"/>
        <v>0</v>
      </c>
    </row>
    <row r="434" spans="1:35" s="1" customFormat="1" ht="14.25" customHeight="1" x14ac:dyDescent="0.3">
      <c r="A434" s="37">
        <v>0</v>
      </c>
      <c r="B434" s="37">
        <v>2</v>
      </c>
      <c r="C434" s="37">
        <v>7</v>
      </c>
      <c r="D434" s="36" t="s">
        <v>1582</v>
      </c>
      <c r="E434" s="36" t="s">
        <v>1648</v>
      </c>
      <c r="F434" s="36" t="s">
        <v>1583</v>
      </c>
      <c r="G434" s="36" t="s">
        <v>653</v>
      </c>
      <c r="H434" s="36" t="s">
        <v>352</v>
      </c>
      <c r="I434" s="37" t="s">
        <v>1584</v>
      </c>
      <c r="J434" s="37">
        <v>99</v>
      </c>
      <c r="K434" s="33" t="s">
        <v>710</v>
      </c>
      <c r="L434" s="33" t="s">
        <v>39</v>
      </c>
      <c r="M434" s="34" t="s">
        <v>39</v>
      </c>
      <c r="N434" s="34" t="s">
        <v>1724</v>
      </c>
      <c r="O434" s="35">
        <v>1</v>
      </c>
      <c r="P434" s="35">
        <v>1</v>
      </c>
      <c r="Q434" s="36"/>
      <c r="S434" s="1">
        <f t="shared" si="319"/>
        <v>0</v>
      </c>
      <c r="T434" s="1">
        <f t="shared" si="320"/>
        <v>0</v>
      </c>
      <c r="U434" s="1">
        <f t="shared" si="321"/>
        <v>0</v>
      </c>
      <c r="V434" s="1">
        <f t="shared" si="322"/>
        <v>0</v>
      </c>
      <c r="W434" s="1">
        <f t="shared" si="323"/>
        <v>0</v>
      </c>
      <c r="X434" s="1">
        <f t="shared" si="324"/>
        <v>0</v>
      </c>
      <c r="Y434" s="1">
        <f t="shared" si="325"/>
        <v>0</v>
      </c>
      <c r="Z434" s="1">
        <f t="shared" si="326"/>
        <v>0</v>
      </c>
      <c r="AA434" s="1">
        <f t="shared" si="327"/>
        <v>0</v>
      </c>
      <c r="AB434" s="1">
        <f t="shared" si="328"/>
        <v>0</v>
      </c>
      <c r="AD434" s="1">
        <f t="shared" si="329"/>
        <v>1</v>
      </c>
      <c r="AE434" s="1">
        <f t="shared" si="330"/>
        <v>0</v>
      </c>
      <c r="AF434" s="1">
        <f t="shared" si="331"/>
        <v>1</v>
      </c>
      <c r="AG434" s="1">
        <f t="shared" si="332"/>
        <v>0</v>
      </c>
      <c r="AH434" s="1">
        <f t="shared" si="333"/>
        <v>1</v>
      </c>
      <c r="AI434" s="1">
        <f t="shared" si="334"/>
        <v>0</v>
      </c>
    </row>
    <row r="435" spans="1:35" s="1" customFormat="1" ht="14.25" customHeight="1" x14ac:dyDescent="0.3">
      <c r="A435" s="44">
        <v>0</v>
      </c>
      <c r="B435" s="44">
        <v>2</v>
      </c>
      <c r="C435" s="44">
        <v>7</v>
      </c>
      <c r="D435" s="45" t="s">
        <v>1534</v>
      </c>
      <c r="E435" s="45" t="s">
        <v>28</v>
      </c>
      <c r="F435" s="45" t="s">
        <v>1659</v>
      </c>
      <c r="G435" s="45" t="s">
        <v>285</v>
      </c>
      <c r="H435" s="45" t="s">
        <v>352</v>
      </c>
      <c r="I435" s="44" t="s">
        <v>1685</v>
      </c>
      <c r="J435" s="44">
        <v>99</v>
      </c>
      <c r="K435" s="46" t="s">
        <v>710</v>
      </c>
      <c r="L435" s="46" t="s">
        <v>710</v>
      </c>
      <c r="M435" s="47" t="s">
        <v>728</v>
      </c>
      <c r="N435" s="47" t="s">
        <v>1732</v>
      </c>
      <c r="O435" s="48"/>
      <c r="P435" s="48"/>
      <c r="Q435" s="45"/>
      <c r="S435" s="1">
        <f t="shared" si="319"/>
        <v>0</v>
      </c>
      <c r="T435" s="1">
        <f t="shared" si="320"/>
        <v>0</v>
      </c>
      <c r="U435" s="1">
        <f t="shared" si="321"/>
        <v>0</v>
      </c>
      <c r="V435" s="1">
        <f t="shared" si="322"/>
        <v>0</v>
      </c>
      <c r="W435" s="1">
        <f t="shared" si="323"/>
        <v>0</v>
      </c>
      <c r="X435" s="1">
        <f t="shared" si="324"/>
        <v>0</v>
      </c>
      <c r="Y435" s="1">
        <f t="shared" si="325"/>
        <v>0</v>
      </c>
      <c r="Z435" s="1">
        <f t="shared" si="326"/>
        <v>0</v>
      </c>
      <c r="AA435" s="1">
        <f t="shared" si="327"/>
        <v>0</v>
      </c>
      <c r="AB435" s="1">
        <f t="shared" si="328"/>
        <v>0</v>
      </c>
      <c r="AD435" s="1">
        <f t="shared" si="329"/>
        <v>0</v>
      </c>
      <c r="AE435" s="1">
        <f t="shared" si="330"/>
        <v>0</v>
      </c>
      <c r="AF435" s="1">
        <f t="shared" si="331"/>
        <v>0</v>
      </c>
      <c r="AG435" s="1">
        <f t="shared" si="332"/>
        <v>0</v>
      </c>
      <c r="AH435" s="1">
        <f t="shared" si="333"/>
        <v>0</v>
      </c>
      <c r="AI435" s="1">
        <f t="shared" si="334"/>
        <v>1</v>
      </c>
    </row>
    <row r="436" spans="1:35" s="1" customFormat="1" ht="14.25" customHeight="1" x14ac:dyDescent="0.3">
      <c r="A436" s="44">
        <v>0</v>
      </c>
      <c r="B436" s="44">
        <v>2</v>
      </c>
      <c r="C436" s="44">
        <v>7</v>
      </c>
      <c r="D436" s="45" t="s">
        <v>1325</v>
      </c>
      <c r="E436" s="45" t="s">
        <v>28</v>
      </c>
      <c r="F436" s="45" t="s">
        <v>569</v>
      </c>
      <c r="G436" s="45" t="s">
        <v>180</v>
      </c>
      <c r="H436" s="45" t="s">
        <v>352</v>
      </c>
      <c r="I436" s="44" t="s">
        <v>428</v>
      </c>
      <c r="J436" s="44">
        <v>7</v>
      </c>
      <c r="K436" s="46" t="s">
        <v>709</v>
      </c>
      <c r="L436" s="46" t="s">
        <v>710</v>
      </c>
      <c r="M436" s="47" t="s">
        <v>728</v>
      </c>
      <c r="N436" s="47" t="s">
        <v>1732</v>
      </c>
      <c r="O436" s="48"/>
      <c r="P436" s="48"/>
      <c r="Q436" s="45"/>
      <c r="S436" s="1">
        <f t="shared" si="307"/>
        <v>0</v>
      </c>
      <c r="T436" s="1">
        <f t="shared" si="308"/>
        <v>0</v>
      </c>
      <c r="U436" s="1">
        <f t="shared" si="309"/>
        <v>0</v>
      </c>
      <c r="V436" s="1">
        <f t="shared" si="310"/>
        <v>0</v>
      </c>
      <c r="W436" s="1">
        <f t="shared" si="311"/>
        <v>0</v>
      </c>
      <c r="X436" s="1">
        <f t="shared" si="312"/>
        <v>0</v>
      </c>
      <c r="Y436" s="1">
        <f t="shared" si="313"/>
        <v>1</v>
      </c>
      <c r="Z436" s="1">
        <f t="shared" si="314"/>
        <v>0</v>
      </c>
      <c r="AA436" s="1">
        <f t="shared" si="315"/>
        <v>0</v>
      </c>
      <c r="AB436" s="1">
        <f t="shared" si="316"/>
        <v>0</v>
      </c>
      <c r="AD436" s="1">
        <f t="shared" si="317"/>
        <v>0</v>
      </c>
      <c r="AE436" s="1">
        <f t="shared" si="318"/>
        <v>0</v>
      </c>
      <c r="AF436" s="1">
        <f t="shared" si="287"/>
        <v>0</v>
      </c>
      <c r="AG436" s="1">
        <f t="shared" si="288"/>
        <v>0</v>
      </c>
      <c r="AH436" s="1">
        <f t="shared" si="289"/>
        <v>0</v>
      </c>
      <c r="AI436" s="1">
        <f t="shared" si="290"/>
        <v>1</v>
      </c>
    </row>
    <row r="437" spans="1:35" s="1" customFormat="1" ht="14.25" customHeight="1" x14ac:dyDescent="0.3">
      <c r="A437" s="44">
        <v>0</v>
      </c>
      <c r="B437" s="44">
        <v>2</v>
      </c>
      <c r="C437" s="44">
        <v>7</v>
      </c>
      <c r="D437" s="45" t="s">
        <v>72</v>
      </c>
      <c r="E437" s="45" t="s">
        <v>28</v>
      </c>
      <c r="F437" s="65" t="s">
        <v>1872</v>
      </c>
      <c r="G437" s="45" t="s">
        <v>234</v>
      </c>
      <c r="H437" s="45" t="s">
        <v>352</v>
      </c>
      <c r="I437" s="44" t="s">
        <v>677</v>
      </c>
      <c r="J437" s="44">
        <v>99</v>
      </c>
      <c r="K437" s="46" t="s">
        <v>710</v>
      </c>
      <c r="L437" s="46" t="s">
        <v>710</v>
      </c>
      <c r="M437" s="47" t="s">
        <v>728</v>
      </c>
      <c r="N437" s="47" t="s">
        <v>1732</v>
      </c>
      <c r="O437" s="48"/>
      <c r="P437" s="48"/>
      <c r="Q437" s="45"/>
      <c r="S437" s="1">
        <f t="shared" si="307"/>
        <v>0</v>
      </c>
      <c r="T437" s="1">
        <f t="shared" si="308"/>
        <v>0</v>
      </c>
      <c r="U437" s="1">
        <f t="shared" si="309"/>
        <v>0</v>
      </c>
      <c r="V437" s="1">
        <f t="shared" si="310"/>
        <v>0</v>
      </c>
      <c r="W437" s="1">
        <f t="shared" si="311"/>
        <v>0</v>
      </c>
      <c r="X437" s="1">
        <f t="shared" si="312"/>
        <v>0</v>
      </c>
      <c r="Y437" s="1">
        <f t="shared" si="313"/>
        <v>0</v>
      </c>
      <c r="Z437" s="1">
        <f t="shared" si="314"/>
        <v>0</v>
      </c>
      <c r="AA437" s="1">
        <f t="shared" si="315"/>
        <v>0</v>
      </c>
      <c r="AB437" s="1">
        <f t="shared" si="316"/>
        <v>0</v>
      </c>
      <c r="AD437" s="1">
        <f t="shared" si="317"/>
        <v>0</v>
      </c>
      <c r="AE437" s="1">
        <f t="shared" si="318"/>
        <v>0</v>
      </c>
      <c r="AF437" s="1">
        <f t="shared" si="287"/>
        <v>0</v>
      </c>
      <c r="AG437" s="1">
        <f t="shared" si="288"/>
        <v>0</v>
      </c>
      <c r="AH437" s="1">
        <f t="shared" si="289"/>
        <v>0</v>
      </c>
      <c r="AI437" s="1">
        <f t="shared" si="290"/>
        <v>1</v>
      </c>
    </row>
    <row r="438" spans="1:35" s="1" customFormat="1" ht="14.25" customHeight="1" x14ac:dyDescent="0.3">
      <c r="A438" s="44">
        <v>1</v>
      </c>
      <c r="B438" s="44">
        <v>2</v>
      </c>
      <c r="C438" s="44">
        <v>7</v>
      </c>
      <c r="D438" s="45" t="s">
        <v>72</v>
      </c>
      <c r="E438" s="45" t="s">
        <v>28</v>
      </c>
      <c r="F438" s="45" t="s">
        <v>260</v>
      </c>
      <c r="G438" s="45" t="s">
        <v>219</v>
      </c>
      <c r="H438" s="45" t="s">
        <v>352</v>
      </c>
      <c r="I438" s="44" t="s">
        <v>418</v>
      </c>
      <c r="J438" s="44">
        <v>8</v>
      </c>
      <c r="K438" s="46" t="s">
        <v>710</v>
      </c>
      <c r="L438" s="46" t="s">
        <v>710</v>
      </c>
      <c r="M438" s="47" t="s">
        <v>728</v>
      </c>
      <c r="N438" s="47" t="s">
        <v>1732</v>
      </c>
      <c r="O438" s="48"/>
      <c r="P438" s="48"/>
      <c r="Q438" s="45"/>
      <c r="S438" s="1">
        <f t="shared" si="307"/>
        <v>0</v>
      </c>
      <c r="T438" s="1">
        <f t="shared" si="308"/>
        <v>0</v>
      </c>
      <c r="U438" s="1">
        <f t="shared" si="309"/>
        <v>0</v>
      </c>
      <c r="V438" s="1">
        <f t="shared" si="310"/>
        <v>0</v>
      </c>
      <c r="W438" s="1">
        <f t="shared" si="311"/>
        <v>0</v>
      </c>
      <c r="X438" s="1">
        <f t="shared" si="312"/>
        <v>0</v>
      </c>
      <c r="Y438" s="1">
        <f t="shared" si="313"/>
        <v>0</v>
      </c>
      <c r="Z438" s="1">
        <f t="shared" si="314"/>
        <v>1</v>
      </c>
      <c r="AA438" s="1">
        <f t="shared" si="315"/>
        <v>0</v>
      </c>
      <c r="AB438" s="1">
        <f t="shared" si="316"/>
        <v>0</v>
      </c>
      <c r="AD438" s="1">
        <f t="shared" si="317"/>
        <v>0</v>
      </c>
      <c r="AE438" s="1">
        <f t="shared" si="318"/>
        <v>0</v>
      </c>
      <c r="AF438" s="1">
        <f t="shared" si="287"/>
        <v>0</v>
      </c>
      <c r="AG438" s="1">
        <f t="shared" si="288"/>
        <v>0</v>
      </c>
      <c r="AH438" s="1">
        <f t="shared" si="289"/>
        <v>0</v>
      </c>
      <c r="AI438" s="1">
        <f t="shared" si="290"/>
        <v>0</v>
      </c>
    </row>
    <row r="439" spans="1:35" s="1" customFormat="1" ht="14.25" customHeight="1" x14ac:dyDescent="0.3">
      <c r="A439" s="44">
        <v>1</v>
      </c>
      <c r="B439" s="44">
        <v>2</v>
      </c>
      <c r="C439" s="44">
        <v>7</v>
      </c>
      <c r="D439" s="45" t="s">
        <v>72</v>
      </c>
      <c r="E439" s="45" t="s">
        <v>28</v>
      </c>
      <c r="F439" s="45" t="s">
        <v>259</v>
      </c>
      <c r="G439" s="45" t="s">
        <v>177</v>
      </c>
      <c r="H439" s="45" t="s">
        <v>352</v>
      </c>
      <c r="I439" s="44" t="s">
        <v>417</v>
      </c>
      <c r="J439" s="44">
        <v>1</v>
      </c>
      <c r="K439" s="46" t="s">
        <v>710</v>
      </c>
      <c r="L439" s="46" t="s">
        <v>710</v>
      </c>
      <c r="M439" s="47" t="s">
        <v>728</v>
      </c>
      <c r="N439" s="47" t="s">
        <v>1732</v>
      </c>
      <c r="O439" s="48"/>
      <c r="P439" s="48"/>
      <c r="Q439" s="45"/>
      <c r="S439" s="1">
        <f t="shared" si="307"/>
        <v>1</v>
      </c>
      <c r="T439" s="1">
        <f t="shared" si="308"/>
        <v>0</v>
      </c>
      <c r="U439" s="1">
        <f t="shared" si="309"/>
        <v>0</v>
      </c>
      <c r="V439" s="1">
        <f t="shared" si="310"/>
        <v>0</v>
      </c>
      <c r="W439" s="1">
        <f t="shared" si="311"/>
        <v>0</v>
      </c>
      <c r="X439" s="1">
        <f t="shared" si="312"/>
        <v>0</v>
      </c>
      <c r="Y439" s="1">
        <f t="shared" si="313"/>
        <v>0</v>
      </c>
      <c r="Z439" s="1">
        <f t="shared" si="314"/>
        <v>0</v>
      </c>
      <c r="AA439" s="1">
        <f t="shared" si="315"/>
        <v>0</v>
      </c>
      <c r="AB439" s="1">
        <f t="shared" si="316"/>
        <v>0</v>
      </c>
      <c r="AD439" s="1">
        <f t="shared" si="317"/>
        <v>0</v>
      </c>
      <c r="AE439" s="1">
        <f t="shared" si="318"/>
        <v>0</v>
      </c>
      <c r="AF439" s="1">
        <f t="shared" si="287"/>
        <v>0</v>
      </c>
      <c r="AG439" s="1">
        <f t="shared" si="288"/>
        <v>0</v>
      </c>
      <c r="AH439" s="1">
        <f t="shared" si="289"/>
        <v>0</v>
      </c>
      <c r="AI439" s="1">
        <f t="shared" si="290"/>
        <v>0</v>
      </c>
    </row>
    <row r="440" spans="1:35" s="1" customFormat="1" ht="14.25" customHeight="1" x14ac:dyDescent="0.3">
      <c r="A440" s="15">
        <v>0</v>
      </c>
      <c r="B440" s="15">
        <v>2</v>
      </c>
      <c r="C440" s="15">
        <v>7</v>
      </c>
      <c r="D440" s="16" t="s">
        <v>775</v>
      </c>
      <c r="E440" s="16" t="s">
        <v>28</v>
      </c>
      <c r="F440" s="16" t="s">
        <v>776</v>
      </c>
      <c r="G440" s="16" t="s">
        <v>278</v>
      </c>
      <c r="H440" s="16" t="s">
        <v>352</v>
      </c>
      <c r="I440" s="15" t="s">
        <v>777</v>
      </c>
      <c r="J440" s="15">
        <v>99</v>
      </c>
      <c r="K440" s="10" t="s">
        <v>710</v>
      </c>
      <c r="L440" s="10" t="s">
        <v>710</v>
      </c>
      <c r="M440" s="19" t="s">
        <v>728</v>
      </c>
      <c r="N440" s="17"/>
      <c r="Q440" s="16"/>
      <c r="S440" s="1">
        <f t="shared" si="307"/>
        <v>0</v>
      </c>
      <c r="T440" s="1">
        <f t="shared" si="308"/>
        <v>0</v>
      </c>
      <c r="U440" s="1">
        <f t="shared" si="309"/>
        <v>0</v>
      </c>
      <c r="V440" s="1">
        <f t="shared" si="310"/>
        <v>0</v>
      </c>
      <c r="W440" s="1">
        <f t="shared" si="311"/>
        <v>0</v>
      </c>
      <c r="X440" s="1">
        <f t="shared" si="312"/>
        <v>0</v>
      </c>
      <c r="Y440" s="1">
        <f t="shared" si="313"/>
        <v>0</v>
      </c>
      <c r="Z440" s="1">
        <f t="shared" si="314"/>
        <v>0</v>
      </c>
      <c r="AA440" s="1">
        <f t="shared" si="315"/>
        <v>0</v>
      </c>
      <c r="AB440" s="1">
        <f t="shared" si="316"/>
        <v>0</v>
      </c>
      <c r="AD440" s="1">
        <f t="shared" si="317"/>
        <v>0</v>
      </c>
      <c r="AE440" s="1">
        <f t="shared" si="318"/>
        <v>0</v>
      </c>
      <c r="AF440" s="1">
        <f t="shared" si="287"/>
        <v>0</v>
      </c>
      <c r="AG440" s="1">
        <f t="shared" si="288"/>
        <v>0</v>
      </c>
      <c r="AH440" s="1">
        <f t="shared" si="289"/>
        <v>0</v>
      </c>
      <c r="AI440" s="1">
        <f t="shared" si="290"/>
        <v>1</v>
      </c>
    </row>
    <row r="441" spans="1:35" s="1" customFormat="1" ht="14.25" customHeight="1" x14ac:dyDescent="0.3">
      <c r="A441" s="15">
        <v>0</v>
      </c>
      <c r="B441" s="15">
        <v>2</v>
      </c>
      <c r="C441" s="15">
        <v>7</v>
      </c>
      <c r="D441" s="16" t="s">
        <v>85</v>
      </c>
      <c r="E441" s="16" t="s">
        <v>28</v>
      </c>
      <c r="F441" s="16" t="s">
        <v>277</v>
      </c>
      <c r="G441" s="16" t="s">
        <v>278</v>
      </c>
      <c r="H441" s="16" t="s">
        <v>352</v>
      </c>
      <c r="I441" s="15" t="s">
        <v>432</v>
      </c>
      <c r="J441" s="15">
        <v>99</v>
      </c>
      <c r="K441" s="10" t="s">
        <v>710</v>
      </c>
      <c r="L441" s="10" t="s">
        <v>710</v>
      </c>
      <c r="M441" s="19" t="s">
        <v>728</v>
      </c>
      <c r="N441" s="17"/>
      <c r="Q441" s="16"/>
      <c r="S441" s="1">
        <f t="shared" si="307"/>
        <v>0</v>
      </c>
      <c r="T441" s="1">
        <f t="shared" si="308"/>
        <v>0</v>
      </c>
      <c r="U441" s="1">
        <f t="shared" si="309"/>
        <v>0</v>
      </c>
      <c r="V441" s="1">
        <f t="shared" si="310"/>
        <v>0</v>
      </c>
      <c r="W441" s="1">
        <f t="shared" si="311"/>
        <v>0</v>
      </c>
      <c r="X441" s="1">
        <f t="shared" si="312"/>
        <v>0</v>
      </c>
      <c r="Y441" s="1">
        <f t="shared" si="313"/>
        <v>0</v>
      </c>
      <c r="Z441" s="1">
        <f t="shared" si="314"/>
        <v>0</v>
      </c>
      <c r="AA441" s="1">
        <f t="shared" si="315"/>
        <v>0</v>
      </c>
      <c r="AB441" s="1">
        <f t="shared" si="316"/>
        <v>0</v>
      </c>
      <c r="AD441" s="1">
        <f t="shared" si="317"/>
        <v>0</v>
      </c>
      <c r="AE441" s="1">
        <f t="shared" si="318"/>
        <v>0</v>
      </c>
      <c r="AF441" s="1">
        <f t="shared" si="287"/>
        <v>0</v>
      </c>
      <c r="AG441" s="1">
        <f t="shared" si="288"/>
        <v>0</v>
      </c>
      <c r="AH441" s="1">
        <f t="shared" si="289"/>
        <v>0</v>
      </c>
      <c r="AI441" s="1">
        <f t="shared" si="290"/>
        <v>1</v>
      </c>
    </row>
    <row r="442" spans="1:35" s="1" customFormat="1" ht="14.25" customHeight="1" x14ac:dyDescent="0.3">
      <c r="A442" s="37">
        <v>0</v>
      </c>
      <c r="B442" s="37">
        <v>2</v>
      </c>
      <c r="C442" s="37">
        <v>7</v>
      </c>
      <c r="D442" s="36" t="s">
        <v>1934</v>
      </c>
      <c r="E442" s="36" t="s">
        <v>28</v>
      </c>
      <c r="F442" s="36" t="s">
        <v>1935</v>
      </c>
      <c r="G442" s="36" t="s">
        <v>184</v>
      </c>
      <c r="H442" s="36" t="s">
        <v>352</v>
      </c>
      <c r="I442" s="37" t="s">
        <v>1936</v>
      </c>
      <c r="J442" s="37">
        <v>99</v>
      </c>
      <c r="K442" s="33" t="s">
        <v>700</v>
      </c>
      <c r="L442" s="33">
        <v>4</v>
      </c>
      <c r="M442" s="34" t="s">
        <v>728</v>
      </c>
      <c r="N442" s="34" t="s">
        <v>1740</v>
      </c>
      <c r="O442" s="35">
        <v>1</v>
      </c>
      <c r="P442" s="35"/>
      <c r="Q442" s="36" t="s">
        <v>1937</v>
      </c>
      <c r="S442" s="1">
        <f t="shared" si="307"/>
        <v>0</v>
      </c>
      <c r="T442" s="1">
        <f t="shared" si="308"/>
        <v>0</v>
      </c>
      <c r="U442" s="1">
        <f t="shared" si="309"/>
        <v>0</v>
      </c>
      <c r="V442" s="1">
        <f t="shared" si="310"/>
        <v>0</v>
      </c>
      <c r="W442" s="1">
        <f t="shared" si="311"/>
        <v>0</v>
      </c>
      <c r="X442" s="1">
        <f t="shared" si="312"/>
        <v>0</v>
      </c>
      <c r="Y442" s="1">
        <f t="shared" si="313"/>
        <v>0</v>
      </c>
      <c r="Z442" s="1">
        <f t="shared" si="314"/>
        <v>0</v>
      </c>
      <c r="AA442" s="1">
        <f t="shared" si="315"/>
        <v>0</v>
      </c>
      <c r="AB442" s="1">
        <f t="shared" si="316"/>
        <v>0</v>
      </c>
      <c r="AD442" s="1">
        <f t="shared" si="317"/>
        <v>0</v>
      </c>
      <c r="AE442" s="1">
        <f t="shared" si="318"/>
        <v>1</v>
      </c>
      <c r="AF442" s="1">
        <f t="shared" si="287"/>
        <v>0</v>
      </c>
      <c r="AG442" s="1">
        <f t="shared" si="288"/>
        <v>1</v>
      </c>
      <c r="AH442" s="1">
        <f t="shared" si="289"/>
        <v>0</v>
      </c>
      <c r="AI442" s="1">
        <f t="shared" si="290"/>
        <v>1</v>
      </c>
    </row>
    <row r="443" spans="1:35" s="1" customFormat="1" ht="14.25" customHeight="1" x14ac:dyDescent="0.3">
      <c r="A443" s="44">
        <v>0</v>
      </c>
      <c r="B443" s="44">
        <v>2</v>
      </c>
      <c r="C443" s="44">
        <v>7</v>
      </c>
      <c r="D443" s="45" t="s">
        <v>550</v>
      </c>
      <c r="E443" s="45" t="s">
        <v>28</v>
      </c>
      <c r="F443" s="65" t="s">
        <v>1873</v>
      </c>
      <c r="G443" s="45" t="s">
        <v>553</v>
      </c>
      <c r="H443" s="45" t="s">
        <v>352</v>
      </c>
      <c r="I443" s="44" t="s">
        <v>554</v>
      </c>
      <c r="J443" s="44">
        <v>99</v>
      </c>
      <c r="K443" s="46" t="s">
        <v>710</v>
      </c>
      <c r="L443" s="46" t="s">
        <v>710</v>
      </c>
      <c r="M443" s="47" t="s">
        <v>728</v>
      </c>
      <c r="N443" s="47" t="s">
        <v>1799</v>
      </c>
      <c r="O443" s="48"/>
      <c r="P443" s="48"/>
      <c r="Q443" s="45"/>
      <c r="S443" s="1">
        <f t="shared" si="307"/>
        <v>0</v>
      </c>
      <c r="T443" s="1">
        <f t="shared" si="308"/>
        <v>0</v>
      </c>
      <c r="U443" s="1">
        <f t="shared" si="309"/>
        <v>0</v>
      </c>
      <c r="V443" s="1">
        <f t="shared" si="310"/>
        <v>0</v>
      </c>
      <c r="W443" s="1">
        <f t="shared" si="311"/>
        <v>0</v>
      </c>
      <c r="X443" s="1">
        <f t="shared" si="312"/>
        <v>0</v>
      </c>
      <c r="Y443" s="1">
        <f t="shared" si="313"/>
        <v>0</v>
      </c>
      <c r="Z443" s="1">
        <f t="shared" si="314"/>
        <v>0</v>
      </c>
      <c r="AA443" s="1">
        <f t="shared" si="315"/>
        <v>0</v>
      </c>
      <c r="AB443" s="1">
        <f t="shared" si="316"/>
        <v>0</v>
      </c>
      <c r="AD443" s="1">
        <f t="shared" si="317"/>
        <v>0</v>
      </c>
      <c r="AE443" s="1">
        <f t="shared" si="318"/>
        <v>0</v>
      </c>
      <c r="AF443" s="1">
        <f t="shared" si="287"/>
        <v>0</v>
      </c>
      <c r="AG443" s="1">
        <f t="shared" si="288"/>
        <v>0</v>
      </c>
      <c r="AH443" s="1">
        <f t="shared" si="289"/>
        <v>0</v>
      </c>
      <c r="AI443" s="1">
        <f t="shared" si="290"/>
        <v>1</v>
      </c>
    </row>
    <row r="444" spans="1:35" s="1" customFormat="1" ht="14.25" customHeight="1" x14ac:dyDescent="0.3">
      <c r="A444" s="44">
        <v>1</v>
      </c>
      <c r="B444" s="44">
        <v>2</v>
      </c>
      <c r="C444" s="44">
        <v>7</v>
      </c>
      <c r="D444" s="45" t="s">
        <v>550</v>
      </c>
      <c r="E444" s="45" t="s">
        <v>28</v>
      </c>
      <c r="F444" s="65" t="s">
        <v>1874</v>
      </c>
      <c r="G444" s="45" t="s">
        <v>551</v>
      </c>
      <c r="H444" s="45" t="s">
        <v>352</v>
      </c>
      <c r="I444" s="44" t="s">
        <v>552</v>
      </c>
      <c r="J444" s="44">
        <v>99</v>
      </c>
      <c r="K444" s="46" t="s">
        <v>710</v>
      </c>
      <c r="L444" s="46" t="s">
        <v>710</v>
      </c>
      <c r="M444" s="47" t="s">
        <v>728</v>
      </c>
      <c r="N444" s="47" t="s">
        <v>1799</v>
      </c>
      <c r="O444" s="48"/>
      <c r="P444" s="48"/>
      <c r="Q444" s="45"/>
      <c r="S444" s="1">
        <f t="shared" si="307"/>
        <v>0</v>
      </c>
      <c r="T444" s="1">
        <f t="shared" si="308"/>
        <v>0</v>
      </c>
      <c r="U444" s="1">
        <f t="shared" si="309"/>
        <v>0</v>
      </c>
      <c r="V444" s="1">
        <f t="shared" si="310"/>
        <v>0</v>
      </c>
      <c r="W444" s="1">
        <f t="shared" si="311"/>
        <v>0</v>
      </c>
      <c r="X444" s="1">
        <f t="shared" si="312"/>
        <v>0</v>
      </c>
      <c r="Y444" s="1">
        <f t="shared" si="313"/>
        <v>0</v>
      </c>
      <c r="Z444" s="1">
        <f t="shared" si="314"/>
        <v>0</v>
      </c>
      <c r="AA444" s="1">
        <f t="shared" si="315"/>
        <v>0</v>
      </c>
      <c r="AB444" s="1">
        <f t="shared" si="316"/>
        <v>0</v>
      </c>
      <c r="AD444" s="1">
        <f t="shared" si="317"/>
        <v>0</v>
      </c>
      <c r="AE444" s="1">
        <f t="shared" si="318"/>
        <v>0</v>
      </c>
      <c r="AF444" s="1">
        <f t="shared" si="287"/>
        <v>0</v>
      </c>
      <c r="AG444" s="1">
        <f t="shared" si="288"/>
        <v>0</v>
      </c>
      <c r="AH444" s="1">
        <f t="shared" si="289"/>
        <v>0</v>
      </c>
      <c r="AI444" s="1">
        <f t="shared" si="290"/>
        <v>0</v>
      </c>
    </row>
    <row r="445" spans="1:35" s="1" customFormat="1" ht="14.25" customHeight="1" x14ac:dyDescent="0.3">
      <c r="A445" s="44">
        <v>0</v>
      </c>
      <c r="B445" s="44">
        <v>2</v>
      </c>
      <c r="C445" s="44">
        <v>7</v>
      </c>
      <c r="D445" s="45" t="s">
        <v>1182</v>
      </c>
      <c r="E445" s="45" t="s">
        <v>28</v>
      </c>
      <c r="F445" s="45" t="s">
        <v>1675</v>
      </c>
      <c r="G445" s="45" t="s">
        <v>234</v>
      </c>
      <c r="H445" s="45" t="s">
        <v>352</v>
      </c>
      <c r="I445" s="44" t="s">
        <v>1363</v>
      </c>
      <c r="J445" s="44">
        <v>99</v>
      </c>
      <c r="K445" s="46" t="s">
        <v>709</v>
      </c>
      <c r="L445" s="46" t="s">
        <v>710</v>
      </c>
      <c r="M445" s="47" t="s">
        <v>728</v>
      </c>
      <c r="N445" s="47" t="s">
        <v>1732</v>
      </c>
      <c r="O445" s="48"/>
      <c r="P445" s="48"/>
      <c r="Q445" s="45"/>
      <c r="S445" s="1">
        <f t="shared" si="307"/>
        <v>0</v>
      </c>
      <c r="T445" s="1">
        <f t="shared" si="308"/>
        <v>0</v>
      </c>
      <c r="U445" s="1">
        <f t="shared" si="309"/>
        <v>0</v>
      </c>
      <c r="V445" s="1">
        <f t="shared" si="310"/>
        <v>0</v>
      </c>
      <c r="W445" s="1">
        <f t="shared" si="311"/>
        <v>0</v>
      </c>
      <c r="X445" s="1">
        <f t="shared" si="312"/>
        <v>0</v>
      </c>
      <c r="Y445" s="1">
        <f t="shared" si="313"/>
        <v>0</v>
      </c>
      <c r="Z445" s="1">
        <f t="shared" si="314"/>
        <v>0</v>
      </c>
      <c r="AA445" s="1">
        <f t="shared" si="315"/>
        <v>0</v>
      </c>
      <c r="AB445" s="1">
        <f t="shared" si="316"/>
        <v>0</v>
      </c>
      <c r="AD445" s="1">
        <f t="shared" si="317"/>
        <v>0</v>
      </c>
      <c r="AE445" s="1">
        <f t="shared" si="318"/>
        <v>0</v>
      </c>
      <c r="AF445" s="1">
        <f t="shared" si="287"/>
        <v>0</v>
      </c>
      <c r="AG445" s="1">
        <f t="shared" si="288"/>
        <v>0</v>
      </c>
      <c r="AH445" s="1">
        <f t="shared" si="289"/>
        <v>0</v>
      </c>
      <c r="AI445" s="1">
        <f t="shared" si="290"/>
        <v>1</v>
      </c>
    </row>
    <row r="446" spans="1:35" s="1" customFormat="1" ht="14.25" customHeight="1" x14ac:dyDescent="0.3">
      <c r="A446" s="44">
        <v>1</v>
      </c>
      <c r="B446" s="44">
        <v>2</v>
      </c>
      <c r="C446" s="44">
        <v>7</v>
      </c>
      <c r="D446" s="45" t="s">
        <v>1182</v>
      </c>
      <c r="E446" s="45" t="s">
        <v>28</v>
      </c>
      <c r="F446" s="45" t="s">
        <v>1676</v>
      </c>
      <c r="G446" s="45" t="s">
        <v>1349</v>
      </c>
      <c r="H446" s="45" t="s">
        <v>352</v>
      </c>
      <c r="I446" s="44" t="s">
        <v>1364</v>
      </c>
      <c r="J446" s="44">
        <v>99</v>
      </c>
      <c r="K446" s="46" t="s">
        <v>709</v>
      </c>
      <c r="L446" s="46" t="s">
        <v>710</v>
      </c>
      <c r="M446" s="47" t="s">
        <v>728</v>
      </c>
      <c r="N446" s="47" t="s">
        <v>1732</v>
      </c>
      <c r="O446" s="48"/>
      <c r="P446" s="48"/>
      <c r="Q446" s="45"/>
      <c r="S446" s="1">
        <f t="shared" si="307"/>
        <v>0</v>
      </c>
      <c r="T446" s="1">
        <f t="shared" si="308"/>
        <v>0</v>
      </c>
      <c r="U446" s="1">
        <f t="shared" si="309"/>
        <v>0</v>
      </c>
      <c r="V446" s="1">
        <f t="shared" si="310"/>
        <v>0</v>
      </c>
      <c r="W446" s="1">
        <f t="shared" si="311"/>
        <v>0</v>
      </c>
      <c r="X446" s="1">
        <f t="shared" si="312"/>
        <v>0</v>
      </c>
      <c r="Y446" s="1">
        <f t="shared" si="313"/>
        <v>0</v>
      </c>
      <c r="Z446" s="1">
        <f t="shared" si="314"/>
        <v>0</v>
      </c>
      <c r="AA446" s="1">
        <f t="shared" si="315"/>
        <v>0</v>
      </c>
      <c r="AB446" s="1">
        <f t="shared" si="316"/>
        <v>0</v>
      </c>
      <c r="AD446" s="1">
        <f t="shared" si="317"/>
        <v>0</v>
      </c>
      <c r="AE446" s="1">
        <f t="shared" si="318"/>
        <v>0</v>
      </c>
      <c r="AF446" s="1">
        <f t="shared" si="287"/>
        <v>0</v>
      </c>
      <c r="AG446" s="1">
        <f t="shared" si="288"/>
        <v>0</v>
      </c>
      <c r="AH446" s="1">
        <f t="shared" si="289"/>
        <v>0</v>
      </c>
      <c r="AI446" s="1">
        <f t="shared" si="290"/>
        <v>0</v>
      </c>
    </row>
    <row r="447" spans="1:35" s="1" customFormat="1" ht="14.25" customHeight="1" x14ac:dyDescent="0.3">
      <c r="A447" s="31">
        <v>0</v>
      </c>
      <c r="B447" s="31">
        <v>2</v>
      </c>
      <c r="C447" s="31">
        <v>7</v>
      </c>
      <c r="D447" s="32" t="s">
        <v>1250</v>
      </c>
      <c r="E447" s="32" t="s">
        <v>28</v>
      </c>
      <c r="F447" s="32" t="s">
        <v>1249</v>
      </c>
      <c r="G447" s="32" t="s">
        <v>1234</v>
      </c>
      <c r="H447" s="32" t="s">
        <v>352</v>
      </c>
      <c r="I447" s="31" t="s">
        <v>1251</v>
      </c>
      <c r="J447" s="31">
        <v>99</v>
      </c>
      <c r="K447" s="33" t="s">
        <v>700</v>
      </c>
      <c r="L447" s="33" t="s">
        <v>710</v>
      </c>
      <c r="M447" s="34" t="s">
        <v>728</v>
      </c>
      <c r="N447" s="34" t="s">
        <v>1740</v>
      </c>
      <c r="O447" s="35">
        <v>1</v>
      </c>
      <c r="P447" s="35"/>
      <c r="Q447" s="32"/>
      <c r="S447" s="1">
        <f t="shared" si="307"/>
        <v>0</v>
      </c>
      <c r="T447" s="1">
        <f t="shared" si="308"/>
        <v>0</v>
      </c>
      <c r="U447" s="1">
        <f t="shared" si="309"/>
        <v>0</v>
      </c>
      <c r="V447" s="1">
        <f t="shared" si="310"/>
        <v>0</v>
      </c>
      <c r="W447" s="1">
        <f t="shared" si="311"/>
        <v>0</v>
      </c>
      <c r="X447" s="1">
        <f t="shared" si="312"/>
        <v>0</v>
      </c>
      <c r="Y447" s="1">
        <f t="shared" si="313"/>
        <v>0</v>
      </c>
      <c r="Z447" s="1">
        <f t="shared" si="314"/>
        <v>0</v>
      </c>
      <c r="AA447" s="1">
        <f t="shared" si="315"/>
        <v>0</v>
      </c>
      <c r="AB447" s="1">
        <f t="shared" si="316"/>
        <v>0</v>
      </c>
      <c r="AD447" s="1">
        <f t="shared" si="317"/>
        <v>0</v>
      </c>
      <c r="AE447" s="1">
        <f t="shared" si="318"/>
        <v>1</v>
      </c>
      <c r="AF447" s="1">
        <f t="shared" si="287"/>
        <v>0</v>
      </c>
      <c r="AG447" s="1">
        <f t="shared" si="288"/>
        <v>1</v>
      </c>
      <c r="AH447" s="1">
        <f t="shared" si="289"/>
        <v>0</v>
      </c>
      <c r="AI447" s="1">
        <f t="shared" si="290"/>
        <v>1</v>
      </c>
    </row>
    <row r="448" spans="1:35" s="1" customFormat="1" ht="14.25" customHeight="1" x14ac:dyDescent="0.3">
      <c r="A448" s="31">
        <v>1</v>
      </c>
      <c r="B448" s="31">
        <v>2</v>
      </c>
      <c r="C448" s="31">
        <v>7</v>
      </c>
      <c r="D448" s="32" t="s">
        <v>1250</v>
      </c>
      <c r="E448" s="32" t="s">
        <v>28</v>
      </c>
      <c r="F448" s="32" t="s">
        <v>1248</v>
      </c>
      <c r="G448" s="32" t="s">
        <v>39</v>
      </c>
      <c r="H448" s="32" t="s">
        <v>352</v>
      </c>
      <c r="I448" s="31" t="s">
        <v>1252</v>
      </c>
      <c r="J448" s="31">
        <v>9</v>
      </c>
      <c r="K448" s="33" t="s">
        <v>700</v>
      </c>
      <c r="L448" s="33" t="s">
        <v>710</v>
      </c>
      <c r="M448" s="34" t="s">
        <v>728</v>
      </c>
      <c r="N448" s="34" t="s">
        <v>1740</v>
      </c>
      <c r="O448" s="35">
        <v>1</v>
      </c>
      <c r="P448" s="35"/>
      <c r="Q448" s="32"/>
      <c r="S448" s="1">
        <f t="shared" si="307"/>
        <v>0</v>
      </c>
      <c r="T448" s="1">
        <f t="shared" si="308"/>
        <v>0</v>
      </c>
      <c r="U448" s="1">
        <f t="shared" si="309"/>
        <v>0</v>
      </c>
      <c r="V448" s="1">
        <f t="shared" si="310"/>
        <v>0</v>
      </c>
      <c r="W448" s="1">
        <f t="shared" si="311"/>
        <v>0</v>
      </c>
      <c r="X448" s="1">
        <f t="shared" si="312"/>
        <v>0</v>
      </c>
      <c r="Y448" s="1">
        <f t="shared" si="313"/>
        <v>0</v>
      </c>
      <c r="Z448" s="1">
        <f t="shared" si="314"/>
        <v>0</v>
      </c>
      <c r="AA448" s="1">
        <f t="shared" si="315"/>
        <v>1</v>
      </c>
      <c r="AB448" s="1">
        <f t="shared" si="316"/>
        <v>0</v>
      </c>
      <c r="AD448" s="1">
        <f t="shared" si="317"/>
        <v>0</v>
      </c>
      <c r="AE448" s="1">
        <f t="shared" si="318"/>
        <v>1</v>
      </c>
      <c r="AF448" s="1">
        <f t="shared" si="287"/>
        <v>0</v>
      </c>
      <c r="AG448" s="1">
        <f t="shared" si="288"/>
        <v>0</v>
      </c>
      <c r="AH448" s="1">
        <f t="shared" si="289"/>
        <v>0</v>
      </c>
      <c r="AI448" s="1">
        <f t="shared" si="290"/>
        <v>0</v>
      </c>
    </row>
    <row r="449" spans="1:35" s="1" customFormat="1" ht="14.25" customHeight="1" x14ac:dyDescent="0.3">
      <c r="A449" s="31">
        <v>1</v>
      </c>
      <c r="B449" s="31">
        <v>2</v>
      </c>
      <c r="C449" s="31">
        <v>7</v>
      </c>
      <c r="D449" s="32" t="s">
        <v>1250</v>
      </c>
      <c r="E449" s="32" t="s">
        <v>28</v>
      </c>
      <c r="F449" s="36" t="s">
        <v>1821</v>
      </c>
      <c r="G449" s="36" t="s">
        <v>257</v>
      </c>
      <c r="H449" s="32" t="s">
        <v>352</v>
      </c>
      <c r="I449" s="37" t="s">
        <v>30</v>
      </c>
      <c r="J449" s="31">
        <v>8</v>
      </c>
      <c r="K449" s="33" t="s">
        <v>700</v>
      </c>
      <c r="L449" s="33" t="s">
        <v>710</v>
      </c>
      <c r="M449" s="34" t="s">
        <v>728</v>
      </c>
      <c r="N449" s="34" t="s">
        <v>1740</v>
      </c>
      <c r="O449" s="35">
        <v>1</v>
      </c>
      <c r="P449" s="35"/>
      <c r="Q449" s="32"/>
      <c r="S449" s="1">
        <f t="shared" si="307"/>
        <v>0</v>
      </c>
      <c r="T449" s="1">
        <f t="shared" si="308"/>
        <v>0</v>
      </c>
      <c r="U449" s="1">
        <f t="shared" si="309"/>
        <v>0</v>
      </c>
      <c r="V449" s="1">
        <f t="shared" si="310"/>
        <v>0</v>
      </c>
      <c r="W449" s="1">
        <f t="shared" si="311"/>
        <v>0</v>
      </c>
      <c r="X449" s="1">
        <f t="shared" si="312"/>
        <v>0</v>
      </c>
      <c r="Y449" s="1">
        <f t="shared" si="313"/>
        <v>0</v>
      </c>
      <c r="Z449" s="1">
        <f t="shared" si="314"/>
        <v>1</v>
      </c>
      <c r="AA449" s="1">
        <f t="shared" si="315"/>
        <v>0</v>
      </c>
      <c r="AB449" s="1">
        <f t="shared" si="316"/>
        <v>0</v>
      </c>
      <c r="AD449" s="1">
        <f t="shared" si="317"/>
        <v>0</v>
      </c>
      <c r="AE449" s="1">
        <f t="shared" si="318"/>
        <v>1</v>
      </c>
      <c r="AF449" s="1">
        <f t="shared" si="287"/>
        <v>0</v>
      </c>
      <c r="AG449" s="1">
        <f t="shared" si="288"/>
        <v>0</v>
      </c>
      <c r="AH449" s="1">
        <f t="shared" si="289"/>
        <v>0</v>
      </c>
      <c r="AI449" s="1">
        <f t="shared" si="290"/>
        <v>0</v>
      </c>
    </row>
    <row r="450" spans="1:35" s="1" customFormat="1" ht="14.25" customHeight="1" x14ac:dyDescent="0.3">
      <c r="A450" s="31">
        <v>0</v>
      </c>
      <c r="B450" s="31">
        <v>2</v>
      </c>
      <c r="C450" s="31">
        <v>7</v>
      </c>
      <c r="D450" s="32" t="s">
        <v>51</v>
      </c>
      <c r="E450" s="32" t="s">
        <v>28</v>
      </c>
      <c r="F450" s="32" t="s">
        <v>671</v>
      </c>
      <c r="G450" s="32" t="s">
        <v>184</v>
      </c>
      <c r="H450" s="32" t="s">
        <v>352</v>
      </c>
      <c r="I450" s="31" t="s">
        <v>388</v>
      </c>
      <c r="J450" s="31">
        <v>99</v>
      </c>
      <c r="K450" s="33" t="s">
        <v>709</v>
      </c>
      <c r="L450" s="33" t="s">
        <v>710</v>
      </c>
      <c r="M450" s="34" t="s">
        <v>728</v>
      </c>
      <c r="N450" s="34" t="s">
        <v>1746</v>
      </c>
      <c r="O450" s="35">
        <v>1</v>
      </c>
      <c r="P450" s="35"/>
      <c r="Q450" s="32"/>
      <c r="S450" s="1">
        <f t="shared" si="307"/>
        <v>0</v>
      </c>
      <c r="T450" s="1">
        <f t="shared" si="308"/>
        <v>0</v>
      </c>
      <c r="U450" s="1">
        <f t="shared" si="309"/>
        <v>0</v>
      </c>
      <c r="V450" s="1">
        <f t="shared" si="310"/>
        <v>0</v>
      </c>
      <c r="W450" s="1">
        <f t="shared" si="311"/>
        <v>0</v>
      </c>
      <c r="X450" s="1">
        <f t="shared" si="312"/>
        <v>0</v>
      </c>
      <c r="Y450" s="1">
        <f t="shared" si="313"/>
        <v>0</v>
      </c>
      <c r="Z450" s="1">
        <f t="shared" si="314"/>
        <v>0</v>
      </c>
      <c r="AA450" s="1">
        <f t="shared" si="315"/>
        <v>0</v>
      </c>
      <c r="AB450" s="1">
        <f t="shared" si="316"/>
        <v>0</v>
      </c>
      <c r="AD450" s="1">
        <f t="shared" si="317"/>
        <v>0</v>
      </c>
      <c r="AE450" s="1">
        <f t="shared" si="318"/>
        <v>1</v>
      </c>
      <c r="AF450" s="1">
        <f t="shared" si="287"/>
        <v>0</v>
      </c>
      <c r="AG450" s="1">
        <f t="shared" si="288"/>
        <v>1</v>
      </c>
      <c r="AH450" s="1">
        <f t="shared" si="289"/>
        <v>0</v>
      </c>
      <c r="AI450" s="1">
        <f t="shared" si="290"/>
        <v>1</v>
      </c>
    </row>
    <row r="451" spans="1:35" s="1" customFormat="1" ht="14.25" customHeight="1" x14ac:dyDescent="0.3">
      <c r="A451" s="44">
        <v>0</v>
      </c>
      <c r="B451" s="44">
        <v>2</v>
      </c>
      <c r="C451" s="44">
        <v>7</v>
      </c>
      <c r="D451" s="45" t="s">
        <v>1078</v>
      </c>
      <c r="E451" s="45" t="s">
        <v>28</v>
      </c>
      <c r="F451" s="45" t="s">
        <v>995</v>
      </c>
      <c r="G451" s="45" t="s">
        <v>239</v>
      </c>
      <c r="H451" s="45" t="s">
        <v>352</v>
      </c>
      <c r="I451" s="44" t="s">
        <v>1103</v>
      </c>
      <c r="J451" s="44">
        <v>1</v>
      </c>
      <c r="K451" s="46" t="s">
        <v>709</v>
      </c>
      <c r="L451" s="46" t="s">
        <v>710</v>
      </c>
      <c r="M451" s="47" t="s">
        <v>728</v>
      </c>
      <c r="N451" s="47" t="s">
        <v>1732</v>
      </c>
      <c r="O451" s="48"/>
      <c r="P451" s="48"/>
      <c r="Q451" s="45"/>
      <c r="S451" s="1">
        <f t="shared" si="307"/>
        <v>1</v>
      </c>
      <c r="T451" s="1">
        <f t="shared" si="308"/>
        <v>0</v>
      </c>
      <c r="U451" s="1">
        <f t="shared" si="309"/>
        <v>0</v>
      </c>
      <c r="V451" s="1">
        <f t="shared" si="310"/>
        <v>0</v>
      </c>
      <c r="W451" s="1">
        <f t="shared" si="311"/>
        <v>0</v>
      </c>
      <c r="X451" s="1">
        <f t="shared" si="312"/>
        <v>0</v>
      </c>
      <c r="Y451" s="1">
        <f t="shared" si="313"/>
        <v>0</v>
      </c>
      <c r="Z451" s="1">
        <f t="shared" si="314"/>
        <v>0</v>
      </c>
      <c r="AA451" s="1">
        <f t="shared" si="315"/>
        <v>0</v>
      </c>
      <c r="AB451" s="1">
        <f t="shared" si="316"/>
        <v>0</v>
      </c>
      <c r="AD451" s="1">
        <f t="shared" si="317"/>
        <v>0</v>
      </c>
      <c r="AE451" s="1">
        <f t="shared" si="318"/>
        <v>0</v>
      </c>
      <c r="AF451" s="1">
        <f t="shared" si="287"/>
        <v>0</v>
      </c>
      <c r="AG451" s="1">
        <f t="shared" si="288"/>
        <v>0</v>
      </c>
      <c r="AH451" s="1">
        <f t="shared" si="289"/>
        <v>0</v>
      </c>
      <c r="AI451" s="1">
        <f t="shared" si="290"/>
        <v>1</v>
      </c>
    </row>
    <row r="452" spans="1:35" s="1" customFormat="1" ht="14.25" customHeight="1" x14ac:dyDescent="0.3">
      <c r="A452" s="44">
        <v>1</v>
      </c>
      <c r="B452" s="44">
        <v>2</v>
      </c>
      <c r="C452" s="44">
        <v>7</v>
      </c>
      <c r="D452" s="45" t="s">
        <v>1078</v>
      </c>
      <c r="E452" s="45" t="s">
        <v>28</v>
      </c>
      <c r="F452" s="45" t="s">
        <v>996</v>
      </c>
      <c r="G452" s="45" t="s">
        <v>1096</v>
      </c>
      <c r="H452" s="45" t="s">
        <v>352</v>
      </c>
      <c r="I452" s="44" t="s">
        <v>1104</v>
      </c>
      <c r="J452" s="44">
        <v>1</v>
      </c>
      <c r="K452" s="46" t="s">
        <v>709</v>
      </c>
      <c r="L452" s="46" t="s">
        <v>710</v>
      </c>
      <c r="M452" s="47" t="s">
        <v>728</v>
      </c>
      <c r="N452" s="47" t="s">
        <v>1732</v>
      </c>
      <c r="O452" s="48"/>
      <c r="P452" s="48"/>
      <c r="Q452" s="45"/>
      <c r="S452" s="1">
        <f t="shared" si="307"/>
        <v>1</v>
      </c>
      <c r="T452" s="1">
        <f t="shared" si="308"/>
        <v>0</v>
      </c>
      <c r="U452" s="1">
        <f t="shared" si="309"/>
        <v>0</v>
      </c>
      <c r="V452" s="1">
        <f t="shared" si="310"/>
        <v>0</v>
      </c>
      <c r="W452" s="1">
        <f t="shared" si="311"/>
        <v>0</v>
      </c>
      <c r="X452" s="1">
        <f t="shared" si="312"/>
        <v>0</v>
      </c>
      <c r="Y452" s="1">
        <f t="shared" si="313"/>
        <v>0</v>
      </c>
      <c r="Z452" s="1">
        <f t="shared" si="314"/>
        <v>0</v>
      </c>
      <c r="AA452" s="1">
        <f t="shared" si="315"/>
        <v>0</v>
      </c>
      <c r="AB452" s="1">
        <f t="shared" si="316"/>
        <v>0</v>
      </c>
      <c r="AD452" s="1">
        <f t="shared" si="317"/>
        <v>0</v>
      </c>
      <c r="AE452" s="1">
        <f t="shared" si="318"/>
        <v>0</v>
      </c>
      <c r="AF452" s="1">
        <f t="shared" si="287"/>
        <v>0</v>
      </c>
      <c r="AG452" s="1">
        <f t="shared" si="288"/>
        <v>0</v>
      </c>
      <c r="AH452" s="1">
        <f t="shared" si="289"/>
        <v>0</v>
      </c>
      <c r="AI452" s="1">
        <f t="shared" si="290"/>
        <v>0</v>
      </c>
    </row>
    <row r="453" spans="1:35" s="1" customFormat="1" ht="14.25" customHeight="1" x14ac:dyDescent="0.3">
      <c r="A453" s="31">
        <v>0</v>
      </c>
      <c r="B453" s="31">
        <v>2</v>
      </c>
      <c r="C453" s="31">
        <v>7</v>
      </c>
      <c r="D453" s="32" t="s">
        <v>1635</v>
      </c>
      <c r="E453" s="32" t="s">
        <v>155</v>
      </c>
      <c r="F453" s="32" t="s">
        <v>1488</v>
      </c>
      <c r="G453" s="32" t="s">
        <v>1489</v>
      </c>
      <c r="H453" s="32" t="s">
        <v>352</v>
      </c>
      <c r="I453" s="31" t="s">
        <v>1490</v>
      </c>
      <c r="J453" s="31">
        <v>99</v>
      </c>
      <c r="K453" s="33" t="s">
        <v>952</v>
      </c>
      <c r="L453" s="33" t="s">
        <v>719</v>
      </c>
      <c r="M453" s="34" t="s">
        <v>729</v>
      </c>
      <c r="N453" s="34" t="s">
        <v>1745</v>
      </c>
      <c r="O453" s="35">
        <v>1</v>
      </c>
      <c r="P453" s="35"/>
      <c r="Q453" s="32"/>
      <c r="S453" s="1">
        <f t="shared" si="307"/>
        <v>0</v>
      </c>
      <c r="T453" s="1">
        <f t="shared" si="308"/>
        <v>0</v>
      </c>
      <c r="U453" s="1">
        <f t="shared" si="309"/>
        <v>0</v>
      </c>
      <c r="V453" s="1">
        <f t="shared" si="310"/>
        <v>0</v>
      </c>
      <c r="W453" s="1">
        <f t="shared" si="311"/>
        <v>0</v>
      </c>
      <c r="X453" s="1">
        <f t="shared" si="312"/>
        <v>0</v>
      </c>
      <c r="Y453" s="1">
        <f t="shared" si="313"/>
        <v>0</v>
      </c>
      <c r="Z453" s="1">
        <f t="shared" si="314"/>
        <v>0</v>
      </c>
      <c r="AA453" s="1">
        <f t="shared" si="315"/>
        <v>0</v>
      </c>
      <c r="AB453" s="1">
        <f t="shared" si="316"/>
        <v>0</v>
      </c>
      <c r="AD453" s="1">
        <f t="shared" si="317"/>
        <v>0</v>
      </c>
      <c r="AE453" s="1">
        <f t="shared" si="318"/>
        <v>1</v>
      </c>
      <c r="AF453" s="1">
        <f t="shared" si="287"/>
        <v>0</v>
      </c>
      <c r="AG453" s="1">
        <f t="shared" si="288"/>
        <v>1</v>
      </c>
      <c r="AH453" s="1">
        <f t="shared" si="289"/>
        <v>0</v>
      </c>
      <c r="AI453" s="1">
        <f t="shared" si="290"/>
        <v>1</v>
      </c>
    </row>
    <row r="454" spans="1:35" s="1" customFormat="1" ht="14.25" customHeight="1" x14ac:dyDescent="0.3">
      <c r="A454" s="44">
        <v>0</v>
      </c>
      <c r="B454" s="44">
        <v>2</v>
      </c>
      <c r="C454" s="44">
        <v>7</v>
      </c>
      <c r="D454" s="45" t="s">
        <v>82</v>
      </c>
      <c r="E454" s="45" t="s">
        <v>28</v>
      </c>
      <c r="F454" s="45" t="s">
        <v>273</v>
      </c>
      <c r="G454" s="45" t="s">
        <v>274</v>
      </c>
      <c r="H454" s="45" t="s">
        <v>352</v>
      </c>
      <c r="I454" s="44" t="s">
        <v>427</v>
      </c>
      <c r="J454" s="44">
        <v>7</v>
      </c>
      <c r="K454" s="46" t="s">
        <v>952</v>
      </c>
      <c r="L454" s="46" t="s">
        <v>951</v>
      </c>
      <c r="M454" s="47" t="s">
        <v>965</v>
      </c>
      <c r="N454" s="47" t="s">
        <v>1806</v>
      </c>
      <c r="O454" s="48"/>
      <c r="P454" s="48"/>
      <c r="Q454" s="45"/>
      <c r="S454" s="1">
        <f t="shared" si="307"/>
        <v>0</v>
      </c>
      <c r="T454" s="1">
        <f t="shared" si="308"/>
        <v>0</v>
      </c>
      <c r="U454" s="1">
        <f t="shared" si="309"/>
        <v>0</v>
      </c>
      <c r="V454" s="1">
        <f t="shared" si="310"/>
        <v>0</v>
      </c>
      <c r="W454" s="1">
        <f t="shared" si="311"/>
        <v>0</v>
      </c>
      <c r="X454" s="1">
        <f t="shared" si="312"/>
        <v>0</v>
      </c>
      <c r="Y454" s="1">
        <f t="shared" si="313"/>
        <v>1</v>
      </c>
      <c r="Z454" s="1">
        <f t="shared" si="314"/>
        <v>0</v>
      </c>
      <c r="AA454" s="1">
        <f t="shared" si="315"/>
        <v>0</v>
      </c>
      <c r="AB454" s="1">
        <f t="shared" si="316"/>
        <v>0</v>
      </c>
      <c r="AD454" s="1">
        <f t="shared" si="317"/>
        <v>0</v>
      </c>
      <c r="AE454" s="1">
        <f t="shared" si="318"/>
        <v>0</v>
      </c>
      <c r="AF454" s="1">
        <f t="shared" si="287"/>
        <v>0</v>
      </c>
      <c r="AG454" s="1">
        <f t="shared" si="288"/>
        <v>0</v>
      </c>
      <c r="AH454" s="1">
        <f t="shared" si="289"/>
        <v>0</v>
      </c>
      <c r="AI454" s="1">
        <f t="shared" si="290"/>
        <v>1</v>
      </c>
    </row>
    <row r="455" spans="1:35" s="1" customFormat="1" ht="14.25" customHeight="1" x14ac:dyDescent="0.3">
      <c r="A455" s="44">
        <v>0</v>
      </c>
      <c r="B455" s="44">
        <v>2</v>
      </c>
      <c r="C455" s="44">
        <v>7</v>
      </c>
      <c r="D455" s="45" t="s">
        <v>76</v>
      </c>
      <c r="E455" s="45" t="s">
        <v>28</v>
      </c>
      <c r="F455" s="45" t="s">
        <v>1678</v>
      </c>
      <c r="G455" s="45" t="s">
        <v>189</v>
      </c>
      <c r="H455" s="45" t="s">
        <v>352</v>
      </c>
      <c r="I455" s="44" t="s">
        <v>421</v>
      </c>
      <c r="J455" s="44">
        <v>99</v>
      </c>
      <c r="K455" s="46" t="s">
        <v>951</v>
      </c>
      <c r="L455" s="46" t="s">
        <v>710</v>
      </c>
      <c r="M455" s="47" t="s">
        <v>728</v>
      </c>
      <c r="N455" s="47" t="s">
        <v>1732</v>
      </c>
      <c r="O455" s="48"/>
      <c r="P455" s="48"/>
      <c r="Q455" s="45"/>
      <c r="S455" s="1">
        <f t="shared" si="307"/>
        <v>0</v>
      </c>
      <c r="T455" s="1">
        <f t="shared" si="308"/>
        <v>0</v>
      </c>
      <c r="U455" s="1">
        <f t="shared" si="309"/>
        <v>0</v>
      </c>
      <c r="V455" s="1">
        <f t="shared" si="310"/>
        <v>0</v>
      </c>
      <c r="W455" s="1">
        <f t="shared" si="311"/>
        <v>0</v>
      </c>
      <c r="X455" s="1">
        <f t="shared" si="312"/>
        <v>0</v>
      </c>
      <c r="Y455" s="1">
        <f t="shared" si="313"/>
        <v>0</v>
      </c>
      <c r="Z455" s="1">
        <f t="shared" si="314"/>
        <v>0</v>
      </c>
      <c r="AA455" s="1">
        <f t="shared" si="315"/>
        <v>0</v>
      </c>
      <c r="AB455" s="1">
        <f t="shared" si="316"/>
        <v>0</v>
      </c>
      <c r="AD455" s="1">
        <f t="shared" si="317"/>
        <v>0</v>
      </c>
      <c r="AE455" s="1">
        <f t="shared" si="318"/>
        <v>0</v>
      </c>
      <c r="AF455" s="1">
        <f t="shared" si="287"/>
        <v>0</v>
      </c>
      <c r="AG455" s="1">
        <f t="shared" si="288"/>
        <v>0</v>
      </c>
      <c r="AH455" s="1">
        <f t="shared" si="289"/>
        <v>0</v>
      </c>
      <c r="AI455" s="1">
        <f t="shared" si="290"/>
        <v>1</v>
      </c>
    </row>
    <row r="456" spans="1:35" s="1" customFormat="1" ht="14.25" customHeight="1" x14ac:dyDescent="0.3">
      <c r="A456" s="31">
        <v>0</v>
      </c>
      <c r="B456" s="31">
        <v>2</v>
      </c>
      <c r="C456" s="31">
        <v>7</v>
      </c>
      <c r="D456" s="36" t="s">
        <v>2030</v>
      </c>
      <c r="E456" s="32" t="s">
        <v>2034</v>
      </c>
      <c r="F456" s="36" t="s">
        <v>2031</v>
      </c>
      <c r="G456" s="36" t="s">
        <v>2032</v>
      </c>
      <c r="H456" s="36" t="s">
        <v>352</v>
      </c>
      <c r="I456" s="37" t="s">
        <v>2033</v>
      </c>
      <c r="J456" s="31">
        <v>99</v>
      </c>
      <c r="K456" s="33" t="s">
        <v>700</v>
      </c>
      <c r="L456" s="33">
        <v>20</v>
      </c>
      <c r="M456" s="34" t="s">
        <v>2036</v>
      </c>
      <c r="N456" s="34" t="s">
        <v>1745</v>
      </c>
      <c r="O456" s="35">
        <v>1</v>
      </c>
      <c r="P456" s="35"/>
      <c r="Q456" s="36" t="s">
        <v>2035</v>
      </c>
      <c r="S456" s="1">
        <f t="shared" si="307"/>
        <v>0</v>
      </c>
      <c r="T456" s="1">
        <f t="shared" si="308"/>
        <v>0</v>
      </c>
      <c r="U456" s="1">
        <f t="shared" si="309"/>
        <v>0</v>
      </c>
      <c r="V456" s="1">
        <f t="shared" si="310"/>
        <v>0</v>
      </c>
      <c r="W456" s="1">
        <f t="shared" si="311"/>
        <v>0</v>
      </c>
      <c r="X456" s="1">
        <f t="shared" si="312"/>
        <v>0</v>
      </c>
      <c r="Y456" s="1">
        <f t="shared" si="313"/>
        <v>0</v>
      </c>
      <c r="Z456" s="1">
        <f t="shared" si="314"/>
        <v>0</v>
      </c>
      <c r="AA456" s="1">
        <f t="shared" si="315"/>
        <v>0</v>
      </c>
      <c r="AB456" s="1">
        <f t="shared" si="316"/>
        <v>0</v>
      </c>
      <c r="AD456" s="1">
        <f t="shared" ref="AD456:AD459" si="335">+O456*P456</f>
        <v>0</v>
      </c>
      <c r="AE456" s="1">
        <f t="shared" ref="AE456:AE459" si="336">O456*(1-P456)</f>
        <v>1</v>
      </c>
      <c r="AF456" s="1">
        <f t="shared" ref="AF456:AF459" si="337">+O456*P456*(1-A456)</f>
        <v>0</v>
      </c>
      <c r="AG456" s="1">
        <f t="shared" ref="AG456:AG459" si="338">O456*(1-P456)*(1-A456)</f>
        <v>1</v>
      </c>
      <c r="AH456" s="1">
        <f t="shared" ref="AH456:AH459" si="339">+P456*(1-A456)</f>
        <v>0</v>
      </c>
      <c r="AI456" s="1">
        <f t="shared" ref="AI456:AI459" si="340">+(1-A456)*(1-P456)</f>
        <v>1</v>
      </c>
    </row>
    <row r="457" spans="1:35" s="1" customFormat="1" ht="14.25" customHeight="1" x14ac:dyDescent="0.3">
      <c r="A457" s="31">
        <v>0</v>
      </c>
      <c r="B457" s="31">
        <v>2</v>
      </c>
      <c r="C457" s="31">
        <v>7</v>
      </c>
      <c r="D457" s="32" t="s">
        <v>1637</v>
      </c>
      <c r="E457" s="32" t="s">
        <v>162</v>
      </c>
      <c r="F457" s="32" t="s">
        <v>243</v>
      </c>
      <c r="G457" s="32" t="s">
        <v>217</v>
      </c>
      <c r="H457" s="32" t="s">
        <v>352</v>
      </c>
      <c r="I457" s="31" t="s">
        <v>406</v>
      </c>
      <c r="J457" s="31">
        <v>99</v>
      </c>
      <c r="K457" s="33" t="s">
        <v>710</v>
      </c>
      <c r="L457" s="33" t="s">
        <v>719</v>
      </c>
      <c r="M457" s="34" t="s">
        <v>729</v>
      </c>
      <c r="N457" s="34" t="s">
        <v>1724</v>
      </c>
      <c r="O457" s="35">
        <v>1</v>
      </c>
      <c r="P457" s="35">
        <v>1</v>
      </c>
      <c r="Q457" s="32"/>
      <c r="S457" s="1">
        <f t="shared" si="307"/>
        <v>0</v>
      </c>
      <c r="T457" s="1">
        <f t="shared" si="308"/>
        <v>0</v>
      </c>
      <c r="U457" s="1">
        <f t="shared" si="309"/>
        <v>0</v>
      </c>
      <c r="V457" s="1">
        <f t="shared" si="310"/>
        <v>0</v>
      </c>
      <c r="W457" s="1">
        <f t="shared" si="311"/>
        <v>0</v>
      </c>
      <c r="X457" s="1">
        <f t="shared" si="312"/>
        <v>0</v>
      </c>
      <c r="Y457" s="1">
        <f t="shared" si="313"/>
        <v>0</v>
      </c>
      <c r="Z457" s="1">
        <f t="shared" si="314"/>
        <v>0</v>
      </c>
      <c r="AA457" s="1">
        <f t="shared" si="315"/>
        <v>0</v>
      </c>
      <c r="AB457" s="1">
        <f t="shared" si="316"/>
        <v>0</v>
      </c>
      <c r="AD457" s="1">
        <f t="shared" si="335"/>
        <v>1</v>
      </c>
      <c r="AE457" s="1">
        <f t="shared" si="336"/>
        <v>0</v>
      </c>
      <c r="AF457" s="1">
        <f t="shared" si="337"/>
        <v>1</v>
      </c>
      <c r="AG457" s="1">
        <f t="shared" si="338"/>
        <v>0</v>
      </c>
      <c r="AH457" s="1">
        <f t="shared" si="339"/>
        <v>1</v>
      </c>
      <c r="AI457" s="1">
        <f t="shared" si="340"/>
        <v>0</v>
      </c>
    </row>
    <row r="458" spans="1:35" s="1" customFormat="1" ht="14.25" customHeight="1" x14ac:dyDescent="0.3">
      <c r="A458" s="31">
        <v>0</v>
      </c>
      <c r="B458" s="31">
        <v>2</v>
      </c>
      <c r="C458" s="31">
        <v>7</v>
      </c>
      <c r="D458" s="32" t="s">
        <v>1535</v>
      </c>
      <c r="E458" s="32" t="s">
        <v>155</v>
      </c>
      <c r="F458" s="32" t="s">
        <v>1536</v>
      </c>
      <c r="G458" s="32" t="s">
        <v>39</v>
      </c>
      <c r="H458" s="32" t="s">
        <v>352</v>
      </c>
      <c r="I458" s="31" t="s">
        <v>1537</v>
      </c>
      <c r="J458" s="31">
        <v>99</v>
      </c>
      <c r="K458" s="33" t="s">
        <v>710</v>
      </c>
      <c r="L458" s="33" t="s">
        <v>719</v>
      </c>
      <c r="M458" s="34" t="s">
        <v>729</v>
      </c>
      <c r="N458" s="34" t="s">
        <v>1745</v>
      </c>
      <c r="O458" s="35">
        <v>1</v>
      </c>
      <c r="P458" s="35"/>
      <c r="Q458" s="32"/>
      <c r="S458" s="1">
        <f t="shared" si="307"/>
        <v>0</v>
      </c>
      <c r="T458" s="1">
        <f t="shared" si="308"/>
        <v>0</v>
      </c>
      <c r="U458" s="1">
        <f t="shared" si="309"/>
        <v>0</v>
      </c>
      <c r="V458" s="1">
        <f t="shared" si="310"/>
        <v>0</v>
      </c>
      <c r="W458" s="1">
        <f t="shared" si="311"/>
        <v>0</v>
      </c>
      <c r="X458" s="1">
        <f t="shared" si="312"/>
        <v>0</v>
      </c>
      <c r="Y458" s="1">
        <f t="shared" si="313"/>
        <v>0</v>
      </c>
      <c r="Z458" s="1">
        <f t="shared" si="314"/>
        <v>0</v>
      </c>
      <c r="AA458" s="1">
        <f t="shared" si="315"/>
        <v>0</v>
      </c>
      <c r="AB458" s="1">
        <f t="shared" si="316"/>
        <v>0</v>
      </c>
      <c r="AD458" s="1">
        <f t="shared" si="335"/>
        <v>0</v>
      </c>
      <c r="AE458" s="1">
        <f t="shared" si="336"/>
        <v>1</v>
      </c>
      <c r="AF458" s="1">
        <f t="shared" si="337"/>
        <v>0</v>
      </c>
      <c r="AG458" s="1">
        <f t="shared" si="338"/>
        <v>1</v>
      </c>
      <c r="AH458" s="1">
        <f t="shared" si="339"/>
        <v>0</v>
      </c>
      <c r="AI458" s="1">
        <f t="shared" si="340"/>
        <v>1</v>
      </c>
    </row>
    <row r="459" spans="1:35" s="1" customFormat="1" ht="14.25" customHeight="1" x14ac:dyDescent="0.3">
      <c r="A459" s="44">
        <v>0</v>
      </c>
      <c r="B459" s="44">
        <v>2</v>
      </c>
      <c r="C459" s="44">
        <v>7</v>
      </c>
      <c r="D459" s="45" t="s">
        <v>1259</v>
      </c>
      <c r="E459" s="45" t="s">
        <v>1521</v>
      </c>
      <c r="F459" s="45" t="s">
        <v>1352</v>
      </c>
      <c r="G459" s="45" t="s">
        <v>185</v>
      </c>
      <c r="H459" s="45" t="s">
        <v>352</v>
      </c>
      <c r="I459" s="44" t="s">
        <v>1365</v>
      </c>
      <c r="J459" s="44">
        <v>1</v>
      </c>
      <c r="K459" s="46" t="s">
        <v>710</v>
      </c>
      <c r="L459" s="46" t="s">
        <v>713</v>
      </c>
      <c r="M459" s="47" t="s">
        <v>1435</v>
      </c>
      <c r="N459" s="47" t="s">
        <v>1732</v>
      </c>
      <c r="O459" s="48"/>
      <c r="P459" s="48"/>
      <c r="Q459" s="45"/>
      <c r="S459" s="1">
        <f t="shared" si="307"/>
        <v>1</v>
      </c>
      <c r="T459" s="1">
        <f t="shared" si="308"/>
        <v>0</v>
      </c>
      <c r="U459" s="1">
        <f t="shared" si="309"/>
        <v>0</v>
      </c>
      <c r="V459" s="1">
        <f t="shared" si="310"/>
        <v>0</v>
      </c>
      <c r="W459" s="1">
        <f t="shared" si="311"/>
        <v>0</v>
      </c>
      <c r="X459" s="1">
        <f t="shared" si="312"/>
        <v>0</v>
      </c>
      <c r="Y459" s="1">
        <f t="shared" si="313"/>
        <v>0</v>
      </c>
      <c r="Z459" s="1">
        <f t="shared" si="314"/>
        <v>0</v>
      </c>
      <c r="AA459" s="1">
        <f t="shared" si="315"/>
        <v>0</v>
      </c>
      <c r="AB459" s="1">
        <f t="shared" si="316"/>
        <v>0</v>
      </c>
      <c r="AD459" s="1">
        <f t="shared" si="335"/>
        <v>0</v>
      </c>
      <c r="AE459" s="1">
        <f t="shared" si="336"/>
        <v>0</v>
      </c>
      <c r="AF459" s="1">
        <f t="shared" si="337"/>
        <v>0</v>
      </c>
      <c r="AG459" s="1">
        <f t="shared" si="338"/>
        <v>0</v>
      </c>
      <c r="AH459" s="1">
        <f t="shared" si="339"/>
        <v>0</v>
      </c>
      <c r="AI459" s="1">
        <f t="shared" si="340"/>
        <v>1</v>
      </c>
    </row>
    <row r="460" spans="1:35" s="1" customFormat="1" ht="14.25" customHeight="1" x14ac:dyDescent="0.3">
      <c r="A460" s="31">
        <v>0</v>
      </c>
      <c r="B460" s="31">
        <v>2</v>
      </c>
      <c r="C460" s="31">
        <v>7</v>
      </c>
      <c r="D460" s="32" t="s">
        <v>66</v>
      </c>
      <c r="E460" s="32" t="s">
        <v>28</v>
      </c>
      <c r="F460" s="32" t="s">
        <v>971</v>
      </c>
      <c r="G460" s="32" t="s">
        <v>1098</v>
      </c>
      <c r="H460" s="32" t="s">
        <v>352</v>
      </c>
      <c r="I460" s="31" t="s">
        <v>1105</v>
      </c>
      <c r="J460" s="31">
        <v>99</v>
      </c>
      <c r="K460" s="33" t="s">
        <v>710</v>
      </c>
      <c r="L460" s="33" t="s">
        <v>710</v>
      </c>
      <c r="M460" s="34" t="s">
        <v>728</v>
      </c>
      <c r="N460" s="34" t="s">
        <v>1740</v>
      </c>
      <c r="O460" s="35">
        <v>1</v>
      </c>
      <c r="P460" s="35"/>
      <c r="Q460" s="32"/>
      <c r="S460" s="1">
        <f t="shared" si="307"/>
        <v>0</v>
      </c>
      <c r="T460" s="1">
        <f t="shared" si="308"/>
        <v>0</v>
      </c>
      <c r="U460" s="1">
        <f t="shared" si="309"/>
        <v>0</v>
      </c>
      <c r="V460" s="1">
        <f t="shared" si="310"/>
        <v>0</v>
      </c>
      <c r="W460" s="1">
        <f t="shared" si="311"/>
        <v>0</v>
      </c>
      <c r="X460" s="1">
        <f t="shared" si="312"/>
        <v>0</v>
      </c>
      <c r="Y460" s="1">
        <f t="shared" si="313"/>
        <v>0</v>
      </c>
      <c r="Z460" s="1">
        <f t="shared" si="314"/>
        <v>0</v>
      </c>
      <c r="AA460" s="1">
        <f t="shared" si="315"/>
        <v>0</v>
      </c>
      <c r="AB460" s="1">
        <f t="shared" si="316"/>
        <v>0</v>
      </c>
      <c r="AD460" s="1">
        <f t="shared" si="317"/>
        <v>0</v>
      </c>
      <c r="AE460" s="1">
        <f t="shared" si="318"/>
        <v>1</v>
      </c>
      <c r="AF460" s="1">
        <f t="shared" si="287"/>
        <v>0</v>
      </c>
      <c r="AG460" s="1">
        <f t="shared" si="288"/>
        <v>1</v>
      </c>
      <c r="AH460" s="1">
        <f t="shared" si="289"/>
        <v>0</v>
      </c>
      <c r="AI460" s="1">
        <f t="shared" si="290"/>
        <v>1</v>
      </c>
    </row>
    <row r="461" spans="1:35" s="1" customFormat="1" ht="14.25" customHeight="1" x14ac:dyDescent="0.3">
      <c r="A461" s="31">
        <v>1</v>
      </c>
      <c r="B461" s="31">
        <v>2</v>
      </c>
      <c r="C461" s="31">
        <v>7</v>
      </c>
      <c r="D461" s="32" t="s">
        <v>66</v>
      </c>
      <c r="E461" s="32" t="s">
        <v>28</v>
      </c>
      <c r="F461" s="32" t="s">
        <v>244</v>
      </c>
      <c r="G461" s="32" t="s">
        <v>223</v>
      </c>
      <c r="H461" s="32" t="s">
        <v>352</v>
      </c>
      <c r="I461" s="31" t="s">
        <v>407</v>
      </c>
      <c r="J461" s="31">
        <v>99</v>
      </c>
      <c r="K461" s="33" t="s">
        <v>710</v>
      </c>
      <c r="L461" s="33" t="s">
        <v>710</v>
      </c>
      <c r="M461" s="34" t="s">
        <v>728</v>
      </c>
      <c r="N461" s="34" t="s">
        <v>1740</v>
      </c>
      <c r="O461" s="35">
        <v>1</v>
      </c>
      <c r="P461" s="35"/>
      <c r="Q461" s="32"/>
      <c r="S461" s="1">
        <f t="shared" si="307"/>
        <v>0</v>
      </c>
      <c r="T461" s="1">
        <f t="shared" si="308"/>
        <v>0</v>
      </c>
      <c r="U461" s="1">
        <f t="shared" si="309"/>
        <v>0</v>
      </c>
      <c r="V461" s="1">
        <f t="shared" si="310"/>
        <v>0</v>
      </c>
      <c r="W461" s="1">
        <f t="shared" si="311"/>
        <v>0</v>
      </c>
      <c r="X461" s="1">
        <f t="shared" si="312"/>
        <v>0</v>
      </c>
      <c r="Y461" s="1">
        <f t="shared" si="313"/>
        <v>0</v>
      </c>
      <c r="Z461" s="1">
        <f t="shared" si="314"/>
        <v>0</v>
      </c>
      <c r="AA461" s="1">
        <f t="shared" si="315"/>
        <v>0</v>
      </c>
      <c r="AB461" s="1">
        <f t="shared" si="316"/>
        <v>0</v>
      </c>
      <c r="AD461" s="1">
        <f t="shared" si="317"/>
        <v>0</v>
      </c>
      <c r="AE461" s="1">
        <f t="shared" si="318"/>
        <v>1</v>
      </c>
      <c r="AF461" s="1">
        <f t="shared" si="287"/>
        <v>0</v>
      </c>
      <c r="AG461" s="1">
        <f t="shared" si="288"/>
        <v>0</v>
      </c>
      <c r="AH461" s="1">
        <f t="shared" si="289"/>
        <v>0</v>
      </c>
      <c r="AI461" s="1">
        <f t="shared" si="290"/>
        <v>0</v>
      </c>
    </row>
    <row r="462" spans="1:35" s="1" customFormat="1" ht="14.25" customHeight="1" x14ac:dyDescent="0.3">
      <c r="A462" s="31">
        <v>1</v>
      </c>
      <c r="B462" s="31">
        <v>2</v>
      </c>
      <c r="C462" s="31">
        <v>7</v>
      </c>
      <c r="D462" s="32" t="s">
        <v>66</v>
      </c>
      <c r="E462" s="32" t="s">
        <v>28</v>
      </c>
      <c r="F462" s="32" t="s">
        <v>245</v>
      </c>
      <c r="G462" s="32" t="s">
        <v>219</v>
      </c>
      <c r="H462" s="32" t="s">
        <v>352</v>
      </c>
      <c r="I462" s="31" t="s">
        <v>408</v>
      </c>
      <c r="J462" s="31">
        <v>8</v>
      </c>
      <c r="K462" s="33" t="s">
        <v>710</v>
      </c>
      <c r="L462" s="33" t="s">
        <v>710</v>
      </c>
      <c r="M462" s="34" t="s">
        <v>728</v>
      </c>
      <c r="N462" s="34" t="s">
        <v>1740</v>
      </c>
      <c r="O462" s="35">
        <v>1</v>
      </c>
      <c r="P462" s="35"/>
      <c r="Q462" s="32" t="s">
        <v>2013</v>
      </c>
      <c r="S462" s="1">
        <f t="shared" si="307"/>
        <v>0</v>
      </c>
      <c r="T462" s="1">
        <f t="shared" si="308"/>
        <v>0</v>
      </c>
      <c r="U462" s="1">
        <f t="shared" si="309"/>
        <v>0</v>
      </c>
      <c r="V462" s="1">
        <f t="shared" si="310"/>
        <v>0</v>
      </c>
      <c r="W462" s="1">
        <f t="shared" si="311"/>
        <v>0</v>
      </c>
      <c r="X462" s="1">
        <f t="shared" si="312"/>
        <v>0</v>
      </c>
      <c r="Y462" s="1">
        <f t="shared" si="313"/>
        <v>0</v>
      </c>
      <c r="Z462" s="1">
        <f t="shared" si="314"/>
        <v>1</v>
      </c>
      <c r="AA462" s="1">
        <f t="shared" si="315"/>
        <v>0</v>
      </c>
      <c r="AB462" s="1">
        <f t="shared" si="316"/>
        <v>0</v>
      </c>
      <c r="AD462" s="1">
        <f t="shared" si="317"/>
        <v>0</v>
      </c>
      <c r="AE462" s="1">
        <f t="shared" si="318"/>
        <v>1</v>
      </c>
      <c r="AF462" s="1">
        <f t="shared" si="287"/>
        <v>0</v>
      </c>
      <c r="AG462" s="1">
        <f t="shared" si="288"/>
        <v>0</v>
      </c>
      <c r="AH462" s="1">
        <f t="shared" si="289"/>
        <v>0</v>
      </c>
      <c r="AI462" s="1">
        <f t="shared" si="290"/>
        <v>0</v>
      </c>
    </row>
    <row r="463" spans="1:35" s="1" customFormat="1" ht="14.25" customHeight="1" x14ac:dyDescent="0.3">
      <c r="A463" s="31">
        <v>1</v>
      </c>
      <c r="B463" s="31">
        <v>2</v>
      </c>
      <c r="C463" s="31">
        <v>7</v>
      </c>
      <c r="D463" s="32" t="s">
        <v>66</v>
      </c>
      <c r="E463" s="32" t="s">
        <v>28</v>
      </c>
      <c r="F463" s="32" t="s">
        <v>1031</v>
      </c>
      <c r="G463" s="32" t="s">
        <v>39</v>
      </c>
      <c r="H463" s="32" t="s">
        <v>352</v>
      </c>
      <c r="I463" s="31" t="s">
        <v>1032</v>
      </c>
      <c r="J463" s="31">
        <v>1</v>
      </c>
      <c r="K463" s="33" t="s">
        <v>710</v>
      </c>
      <c r="L463" s="33" t="s">
        <v>710</v>
      </c>
      <c r="M463" s="34" t="s">
        <v>728</v>
      </c>
      <c r="N463" s="34" t="s">
        <v>1740</v>
      </c>
      <c r="O463" s="35">
        <v>1</v>
      </c>
      <c r="P463" s="35"/>
      <c r="Q463" s="32"/>
      <c r="S463" s="1">
        <f t="shared" si="307"/>
        <v>1</v>
      </c>
      <c r="T463" s="1">
        <f t="shared" si="308"/>
        <v>0</v>
      </c>
      <c r="U463" s="1">
        <f t="shared" si="309"/>
        <v>0</v>
      </c>
      <c r="V463" s="1">
        <f t="shared" si="310"/>
        <v>0</v>
      </c>
      <c r="W463" s="1">
        <f t="shared" si="311"/>
        <v>0</v>
      </c>
      <c r="X463" s="1">
        <f t="shared" si="312"/>
        <v>0</v>
      </c>
      <c r="Y463" s="1">
        <f t="shared" si="313"/>
        <v>0</v>
      </c>
      <c r="Z463" s="1">
        <f t="shared" si="314"/>
        <v>0</v>
      </c>
      <c r="AA463" s="1">
        <f t="shared" si="315"/>
        <v>0</v>
      </c>
      <c r="AB463" s="1">
        <f t="shared" si="316"/>
        <v>0</v>
      </c>
      <c r="AD463" s="1">
        <f t="shared" si="317"/>
        <v>0</v>
      </c>
      <c r="AE463" s="1">
        <f t="shared" si="318"/>
        <v>1</v>
      </c>
      <c r="AF463" s="1">
        <f t="shared" si="287"/>
        <v>0</v>
      </c>
      <c r="AG463" s="1">
        <f t="shared" si="288"/>
        <v>0</v>
      </c>
      <c r="AH463" s="1">
        <f t="shared" si="289"/>
        <v>0</v>
      </c>
      <c r="AI463" s="1">
        <f t="shared" si="290"/>
        <v>0</v>
      </c>
    </row>
    <row r="464" spans="1:35" s="1" customFormat="1" ht="14.25" customHeight="1" x14ac:dyDescent="0.3">
      <c r="A464" s="31">
        <v>1</v>
      </c>
      <c r="B464" s="31">
        <v>2</v>
      </c>
      <c r="C464" s="31">
        <v>7</v>
      </c>
      <c r="D464" s="32" t="s">
        <v>66</v>
      </c>
      <c r="E464" s="32" t="s">
        <v>28</v>
      </c>
      <c r="F464" s="32" t="s">
        <v>1033</v>
      </c>
      <c r="G464" s="32" t="s">
        <v>300</v>
      </c>
      <c r="H464" s="32" t="s">
        <v>352</v>
      </c>
      <c r="I464" s="31" t="s">
        <v>1034</v>
      </c>
      <c r="J464" s="31">
        <v>1</v>
      </c>
      <c r="K464" s="33" t="s">
        <v>710</v>
      </c>
      <c r="L464" s="33" t="s">
        <v>710</v>
      </c>
      <c r="M464" s="34" t="s">
        <v>728</v>
      </c>
      <c r="N464" s="34" t="s">
        <v>1740</v>
      </c>
      <c r="O464" s="35">
        <v>1</v>
      </c>
      <c r="P464" s="35"/>
      <c r="Q464" s="32"/>
      <c r="S464" s="1">
        <f t="shared" si="307"/>
        <v>1</v>
      </c>
      <c r="T464" s="1">
        <f t="shared" si="308"/>
        <v>0</v>
      </c>
      <c r="U464" s="1">
        <f t="shared" si="309"/>
        <v>0</v>
      </c>
      <c r="V464" s="1">
        <f t="shared" si="310"/>
        <v>0</v>
      </c>
      <c r="W464" s="1">
        <f t="shared" si="311"/>
        <v>0</v>
      </c>
      <c r="X464" s="1">
        <f t="shared" si="312"/>
        <v>0</v>
      </c>
      <c r="Y464" s="1">
        <f t="shared" si="313"/>
        <v>0</v>
      </c>
      <c r="Z464" s="1">
        <f t="shared" si="314"/>
        <v>0</v>
      </c>
      <c r="AA464" s="1">
        <f t="shared" si="315"/>
        <v>0</v>
      </c>
      <c r="AB464" s="1">
        <f t="shared" si="316"/>
        <v>0</v>
      </c>
      <c r="AD464" s="1">
        <f t="shared" ref="AD464:AD465" si="341">+O464*P464</f>
        <v>0</v>
      </c>
      <c r="AE464" s="1">
        <f t="shared" ref="AE464:AE465" si="342">O464*(1-P464)</f>
        <v>1</v>
      </c>
      <c r="AF464" s="1">
        <f t="shared" si="287"/>
        <v>0</v>
      </c>
      <c r="AG464" s="1">
        <f t="shared" si="288"/>
        <v>0</v>
      </c>
      <c r="AH464" s="1">
        <f t="shared" si="289"/>
        <v>0</v>
      </c>
      <c r="AI464" s="1">
        <f t="shared" si="290"/>
        <v>0</v>
      </c>
    </row>
    <row r="465" spans="1:35" s="1" customFormat="1" ht="14.25" customHeight="1" x14ac:dyDescent="0.3">
      <c r="A465" s="31">
        <v>0</v>
      </c>
      <c r="B465" s="31">
        <v>2</v>
      </c>
      <c r="C465" s="31">
        <v>7</v>
      </c>
      <c r="D465" s="32" t="s">
        <v>1570</v>
      </c>
      <c r="E465" s="32" t="s">
        <v>155</v>
      </c>
      <c r="F465" s="32" t="s">
        <v>1571</v>
      </c>
      <c r="G465" s="32" t="s">
        <v>206</v>
      </c>
      <c r="H465" s="32" t="s">
        <v>352</v>
      </c>
      <c r="I465" s="31" t="s">
        <v>1572</v>
      </c>
      <c r="J465" s="31">
        <v>99</v>
      </c>
      <c r="K465" s="33" t="s">
        <v>709</v>
      </c>
      <c r="L465" s="33" t="s">
        <v>719</v>
      </c>
      <c r="M465" s="34" t="s">
        <v>729</v>
      </c>
      <c r="N465" s="34" t="s">
        <v>1943</v>
      </c>
      <c r="O465" s="35">
        <v>1</v>
      </c>
      <c r="P465" s="35"/>
      <c r="Q465" s="32"/>
      <c r="S465" s="1">
        <f t="shared" si="307"/>
        <v>0</v>
      </c>
      <c r="T465" s="1">
        <f t="shared" si="308"/>
        <v>0</v>
      </c>
      <c r="U465" s="1">
        <f t="shared" si="309"/>
        <v>0</v>
      </c>
      <c r="V465" s="1">
        <f t="shared" si="310"/>
        <v>0</v>
      </c>
      <c r="W465" s="1">
        <f t="shared" si="311"/>
        <v>0</v>
      </c>
      <c r="X465" s="1">
        <f t="shared" si="312"/>
        <v>0</v>
      </c>
      <c r="Y465" s="1">
        <f t="shared" si="313"/>
        <v>0</v>
      </c>
      <c r="Z465" s="1">
        <f t="shared" si="314"/>
        <v>0</v>
      </c>
      <c r="AA465" s="1">
        <f t="shared" si="315"/>
        <v>0</v>
      </c>
      <c r="AB465" s="1">
        <f t="shared" si="316"/>
        <v>0</v>
      </c>
      <c r="AD465" s="1">
        <f t="shared" si="341"/>
        <v>0</v>
      </c>
      <c r="AE465" s="1">
        <f t="shared" si="342"/>
        <v>1</v>
      </c>
      <c r="AF465" s="1">
        <f t="shared" si="287"/>
        <v>0</v>
      </c>
      <c r="AG465" s="1">
        <f t="shared" si="288"/>
        <v>1</v>
      </c>
      <c r="AH465" s="1">
        <f t="shared" si="289"/>
        <v>0</v>
      </c>
      <c r="AI465" s="1">
        <f t="shared" si="290"/>
        <v>1</v>
      </c>
    </row>
    <row r="466" spans="1:35" s="1" customFormat="1" ht="14.25" customHeight="1" x14ac:dyDescent="0.3">
      <c r="A466" s="44">
        <v>0</v>
      </c>
      <c r="B466" s="44">
        <v>2</v>
      </c>
      <c r="C466" s="44">
        <v>7</v>
      </c>
      <c r="D466" s="45" t="s">
        <v>1129</v>
      </c>
      <c r="E466" s="45" t="s">
        <v>28</v>
      </c>
      <c r="F466" s="45" t="s">
        <v>1130</v>
      </c>
      <c r="G466" s="45" t="s">
        <v>219</v>
      </c>
      <c r="H466" s="45" t="s">
        <v>352</v>
      </c>
      <c r="I466" s="44" t="s">
        <v>1131</v>
      </c>
      <c r="J466" s="44">
        <v>8</v>
      </c>
      <c r="K466" s="46" t="s">
        <v>952</v>
      </c>
      <c r="L466" s="46" t="s">
        <v>710</v>
      </c>
      <c r="M466" s="47" t="s">
        <v>728</v>
      </c>
      <c r="N466" s="47" t="s">
        <v>1799</v>
      </c>
      <c r="O466" s="48"/>
      <c r="P466" s="48"/>
      <c r="Q466" s="45"/>
      <c r="S466" s="1">
        <f t="shared" si="307"/>
        <v>0</v>
      </c>
      <c r="T466" s="1">
        <f t="shared" si="308"/>
        <v>0</v>
      </c>
      <c r="U466" s="1">
        <f t="shared" si="309"/>
        <v>0</v>
      </c>
      <c r="V466" s="1">
        <f t="shared" si="310"/>
        <v>0</v>
      </c>
      <c r="W466" s="1">
        <f t="shared" si="311"/>
        <v>0</v>
      </c>
      <c r="X466" s="1">
        <f t="shared" si="312"/>
        <v>0</v>
      </c>
      <c r="Y466" s="1">
        <f t="shared" si="313"/>
        <v>0</v>
      </c>
      <c r="Z466" s="1">
        <f t="shared" si="314"/>
        <v>1</v>
      </c>
      <c r="AA466" s="1">
        <f t="shared" si="315"/>
        <v>0</v>
      </c>
      <c r="AB466" s="1">
        <f t="shared" si="316"/>
        <v>0</v>
      </c>
      <c r="AD466" s="1">
        <f t="shared" si="317"/>
        <v>0</v>
      </c>
      <c r="AE466" s="1">
        <f t="shared" si="318"/>
        <v>0</v>
      </c>
      <c r="AF466" s="1">
        <f t="shared" si="287"/>
        <v>0</v>
      </c>
      <c r="AG466" s="1">
        <f t="shared" si="288"/>
        <v>0</v>
      </c>
      <c r="AH466" s="1">
        <f t="shared" si="289"/>
        <v>0</v>
      </c>
      <c r="AI466" s="1">
        <f t="shared" si="290"/>
        <v>1</v>
      </c>
    </row>
    <row r="467" spans="1:35" s="1" customFormat="1" ht="14.25" customHeight="1" x14ac:dyDescent="0.3">
      <c r="A467" s="44">
        <v>0</v>
      </c>
      <c r="B467" s="44">
        <v>2</v>
      </c>
      <c r="C467" s="44">
        <v>7</v>
      </c>
      <c r="D467" s="45" t="s">
        <v>73</v>
      </c>
      <c r="E467" s="45" t="s">
        <v>28</v>
      </c>
      <c r="F467" s="45" t="s">
        <v>263</v>
      </c>
      <c r="G467" s="45" t="s">
        <v>193</v>
      </c>
      <c r="H467" s="45" t="s">
        <v>352</v>
      </c>
      <c r="I467" s="44" t="s">
        <v>419</v>
      </c>
      <c r="J467" s="44">
        <v>9</v>
      </c>
      <c r="K467" s="46" t="s">
        <v>709</v>
      </c>
      <c r="L467" s="46" t="s">
        <v>710</v>
      </c>
      <c r="M467" s="47" t="s">
        <v>728</v>
      </c>
      <c r="N467" s="47" t="s">
        <v>1732</v>
      </c>
      <c r="O467" s="48"/>
      <c r="P467" s="48"/>
      <c r="Q467" s="45"/>
      <c r="S467" s="1">
        <f t="shared" si="307"/>
        <v>0</v>
      </c>
      <c r="T467" s="1">
        <f t="shared" si="308"/>
        <v>0</v>
      </c>
      <c r="U467" s="1">
        <f t="shared" si="309"/>
        <v>0</v>
      </c>
      <c r="V467" s="1">
        <f t="shared" si="310"/>
        <v>0</v>
      </c>
      <c r="W467" s="1">
        <f t="shared" si="311"/>
        <v>0</v>
      </c>
      <c r="X467" s="1">
        <f t="shared" si="312"/>
        <v>0</v>
      </c>
      <c r="Y467" s="1">
        <f t="shared" si="313"/>
        <v>0</v>
      </c>
      <c r="Z467" s="1">
        <f t="shared" si="314"/>
        <v>0</v>
      </c>
      <c r="AA467" s="1">
        <f t="shared" si="315"/>
        <v>1</v>
      </c>
      <c r="AB467" s="1">
        <f t="shared" si="316"/>
        <v>0</v>
      </c>
      <c r="AD467" s="1">
        <f t="shared" si="317"/>
        <v>0</v>
      </c>
      <c r="AE467" s="1">
        <f t="shared" si="318"/>
        <v>0</v>
      </c>
      <c r="AF467" s="1">
        <f t="shared" si="287"/>
        <v>0</v>
      </c>
      <c r="AG467" s="1">
        <f t="shared" si="288"/>
        <v>0</v>
      </c>
      <c r="AH467" s="1">
        <f t="shared" si="289"/>
        <v>0</v>
      </c>
      <c r="AI467" s="1">
        <f t="shared" si="290"/>
        <v>1</v>
      </c>
    </row>
    <row r="468" spans="1:35" s="1" customFormat="1" ht="14.25" customHeight="1" x14ac:dyDescent="0.3">
      <c r="A468" s="31">
        <v>0</v>
      </c>
      <c r="B468" s="31">
        <v>2</v>
      </c>
      <c r="C468" s="31">
        <v>7</v>
      </c>
      <c r="D468" s="32" t="s">
        <v>59</v>
      </c>
      <c r="E468" s="32" t="s">
        <v>162</v>
      </c>
      <c r="F468" s="32" t="s">
        <v>224</v>
      </c>
      <c r="G468" s="32" t="s">
        <v>225</v>
      </c>
      <c r="H468" s="32" t="s">
        <v>352</v>
      </c>
      <c r="I468" s="31" t="s">
        <v>396</v>
      </c>
      <c r="J468" s="31">
        <v>99</v>
      </c>
      <c r="K468" s="33" t="s">
        <v>710</v>
      </c>
      <c r="L468" s="33" t="s">
        <v>719</v>
      </c>
      <c r="M468" s="34" t="s">
        <v>729</v>
      </c>
      <c r="N468" s="34" t="s">
        <v>1747</v>
      </c>
      <c r="O468" s="35">
        <v>1</v>
      </c>
      <c r="P468" s="35"/>
      <c r="Q468" s="32"/>
      <c r="S468" s="1">
        <f t="shared" si="307"/>
        <v>0</v>
      </c>
      <c r="T468" s="1">
        <f t="shared" si="308"/>
        <v>0</v>
      </c>
      <c r="U468" s="1">
        <f t="shared" si="309"/>
        <v>0</v>
      </c>
      <c r="V468" s="1">
        <f t="shared" si="310"/>
        <v>0</v>
      </c>
      <c r="W468" s="1">
        <f t="shared" si="311"/>
        <v>0</v>
      </c>
      <c r="X468" s="1">
        <f t="shared" si="312"/>
        <v>0</v>
      </c>
      <c r="Y468" s="1">
        <f t="shared" si="313"/>
        <v>0</v>
      </c>
      <c r="Z468" s="1">
        <f t="shared" si="314"/>
        <v>0</v>
      </c>
      <c r="AA468" s="1">
        <f t="shared" si="315"/>
        <v>0</v>
      </c>
      <c r="AB468" s="1">
        <f t="shared" si="316"/>
        <v>0</v>
      </c>
      <c r="AD468" s="1">
        <f t="shared" si="317"/>
        <v>0</v>
      </c>
      <c r="AE468" s="1">
        <f t="shared" si="318"/>
        <v>1</v>
      </c>
      <c r="AF468" s="1">
        <f t="shared" si="287"/>
        <v>0</v>
      </c>
      <c r="AG468" s="1">
        <f t="shared" si="288"/>
        <v>1</v>
      </c>
      <c r="AH468" s="1">
        <f t="shared" si="289"/>
        <v>0</v>
      </c>
      <c r="AI468" s="1">
        <f t="shared" si="290"/>
        <v>1</v>
      </c>
    </row>
    <row r="469" spans="1:35" s="1" customFormat="1" ht="14.25" customHeight="1" x14ac:dyDescent="0.3">
      <c r="A469" s="31">
        <v>0</v>
      </c>
      <c r="B469" s="31">
        <v>2</v>
      </c>
      <c r="C469" s="31">
        <v>7</v>
      </c>
      <c r="D469" s="32" t="s">
        <v>1072</v>
      </c>
      <c r="E469" s="32" t="s">
        <v>155</v>
      </c>
      <c r="F469" s="32" t="s">
        <v>1073</v>
      </c>
      <c r="G469" s="32" t="s">
        <v>219</v>
      </c>
      <c r="H469" s="32" t="s">
        <v>352</v>
      </c>
      <c r="I469" s="31" t="s">
        <v>1074</v>
      </c>
      <c r="J469" s="31">
        <v>8</v>
      </c>
      <c r="K469" s="33" t="s">
        <v>709</v>
      </c>
      <c r="L469" s="33" t="s">
        <v>719</v>
      </c>
      <c r="M469" s="34" t="s">
        <v>729</v>
      </c>
      <c r="N469" s="34" t="s">
        <v>1745</v>
      </c>
      <c r="O469" s="35">
        <v>1</v>
      </c>
      <c r="P469" s="35"/>
      <c r="Q469" s="32"/>
      <c r="S469" s="1">
        <f t="shared" si="307"/>
        <v>0</v>
      </c>
      <c r="T469" s="1">
        <f t="shared" si="308"/>
        <v>0</v>
      </c>
      <c r="U469" s="1">
        <f t="shared" si="309"/>
        <v>0</v>
      </c>
      <c r="V469" s="1">
        <f t="shared" si="310"/>
        <v>0</v>
      </c>
      <c r="W469" s="1">
        <f t="shared" si="311"/>
        <v>0</v>
      </c>
      <c r="X469" s="1">
        <f t="shared" si="312"/>
        <v>0</v>
      </c>
      <c r="Y469" s="1">
        <f t="shared" si="313"/>
        <v>0</v>
      </c>
      <c r="Z469" s="1">
        <f t="shared" si="314"/>
        <v>1</v>
      </c>
      <c r="AA469" s="1">
        <f t="shared" si="315"/>
        <v>0</v>
      </c>
      <c r="AB469" s="1">
        <f t="shared" si="316"/>
        <v>0</v>
      </c>
      <c r="AD469" s="1">
        <f t="shared" si="317"/>
        <v>0</v>
      </c>
      <c r="AE469" s="1">
        <f t="shared" si="318"/>
        <v>1</v>
      </c>
      <c r="AF469" s="1">
        <f t="shared" si="287"/>
        <v>0</v>
      </c>
      <c r="AG469" s="1">
        <f t="shared" si="288"/>
        <v>1</v>
      </c>
      <c r="AH469" s="1">
        <f t="shared" si="289"/>
        <v>0</v>
      </c>
      <c r="AI469" s="1">
        <f t="shared" si="290"/>
        <v>1</v>
      </c>
    </row>
    <row r="470" spans="1:35" s="1" customFormat="1" ht="14.25" customHeight="1" x14ac:dyDescent="0.3">
      <c r="A470" s="31">
        <v>0</v>
      </c>
      <c r="B470" s="31">
        <v>2</v>
      </c>
      <c r="C470" s="31">
        <v>7</v>
      </c>
      <c r="D470" s="32" t="s">
        <v>81</v>
      </c>
      <c r="E470" s="32" t="s">
        <v>155</v>
      </c>
      <c r="F470" s="32" t="s">
        <v>272</v>
      </c>
      <c r="G470" s="32" t="s">
        <v>253</v>
      </c>
      <c r="H470" s="32" t="s">
        <v>352</v>
      </c>
      <c r="I470" s="31" t="s">
        <v>426</v>
      </c>
      <c r="J470" s="31">
        <v>99</v>
      </c>
      <c r="K470" s="33" t="s">
        <v>710</v>
      </c>
      <c r="L470" s="33" t="s">
        <v>730</v>
      </c>
      <c r="M470" s="34" t="s">
        <v>731</v>
      </c>
      <c r="N470" s="34" t="s">
        <v>1753</v>
      </c>
      <c r="O470" s="35">
        <v>1</v>
      </c>
      <c r="P470" s="35"/>
      <c r="Q470" s="32"/>
      <c r="S470" s="1">
        <f t="shared" si="307"/>
        <v>0</v>
      </c>
      <c r="T470" s="1">
        <f t="shared" si="308"/>
        <v>0</v>
      </c>
      <c r="U470" s="1">
        <f t="shared" si="309"/>
        <v>0</v>
      </c>
      <c r="V470" s="1">
        <f t="shared" si="310"/>
        <v>0</v>
      </c>
      <c r="W470" s="1">
        <f t="shared" si="311"/>
        <v>0</v>
      </c>
      <c r="X470" s="1">
        <f t="shared" si="312"/>
        <v>0</v>
      </c>
      <c r="Y470" s="1">
        <f t="shared" si="313"/>
        <v>0</v>
      </c>
      <c r="Z470" s="1">
        <f t="shared" si="314"/>
        <v>0</v>
      </c>
      <c r="AA470" s="1">
        <f t="shared" si="315"/>
        <v>0</v>
      </c>
      <c r="AB470" s="1">
        <f t="shared" si="316"/>
        <v>0</v>
      </c>
      <c r="AD470" s="1">
        <f t="shared" si="317"/>
        <v>0</v>
      </c>
      <c r="AE470" s="1">
        <f t="shared" si="318"/>
        <v>1</v>
      </c>
      <c r="AF470" s="1">
        <f t="shared" si="287"/>
        <v>0</v>
      </c>
      <c r="AG470" s="1">
        <f t="shared" si="288"/>
        <v>1</v>
      </c>
      <c r="AH470" s="1">
        <f t="shared" si="289"/>
        <v>0</v>
      </c>
      <c r="AI470" s="1">
        <f t="shared" si="290"/>
        <v>1</v>
      </c>
    </row>
    <row r="471" spans="1:35" s="1" customFormat="1" ht="14.25" customHeight="1" x14ac:dyDescent="0.3">
      <c r="A471" s="37">
        <v>0</v>
      </c>
      <c r="B471" s="37">
        <v>2</v>
      </c>
      <c r="C471" s="37">
        <v>7</v>
      </c>
      <c r="D471" s="36" t="s">
        <v>1772</v>
      </c>
      <c r="E471" s="36" t="s">
        <v>1773</v>
      </c>
      <c r="F471" s="36" t="s">
        <v>1774</v>
      </c>
      <c r="G471" s="36" t="s">
        <v>189</v>
      </c>
      <c r="H471" s="36" t="s">
        <v>352</v>
      </c>
      <c r="I471" s="37"/>
      <c r="J471" s="37"/>
      <c r="K471" s="33" t="s">
        <v>700</v>
      </c>
      <c r="L471" s="33"/>
      <c r="M471" s="34"/>
      <c r="N471" s="34" t="s">
        <v>1724</v>
      </c>
      <c r="O471" s="35">
        <v>1</v>
      </c>
      <c r="P471" s="35">
        <v>1</v>
      </c>
      <c r="Q471" s="36"/>
      <c r="S471" s="1">
        <f t="shared" si="307"/>
        <v>0</v>
      </c>
      <c r="T471" s="1">
        <f t="shared" si="308"/>
        <v>0</v>
      </c>
      <c r="U471" s="1">
        <f t="shared" si="309"/>
        <v>0</v>
      </c>
      <c r="V471" s="1">
        <f t="shared" si="310"/>
        <v>0</v>
      </c>
      <c r="W471" s="1">
        <f t="shared" si="311"/>
        <v>0</v>
      </c>
      <c r="X471" s="1">
        <f t="shared" si="312"/>
        <v>0</v>
      </c>
      <c r="Y471" s="1">
        <f t="shared" si="313"/>
        <v>0</v>
      </c>
      <c r="Z471" s="1">
        <f t="shared" si="314"/>
        <v>0</v>
      </c>
      <c r="AA471" s="1">
        <f t="shared" si="315"/>
        <v>0</v>
      </c>
      <c r="AB471" s="1">
        <f t="shared" si="316"/>
        <v>0</v>
      </c>
      <c r="AD471" s="1">
        <f t="shared" si="317"/>
        <v>1</v>
      </c>
      <c r="AE471" s="1">
        <f t="shared" si="318"/>
        <v>0</v>
      </c>
      <c r="AF471" s="1">
        <f t="shared" si="287"/>
        <v>1</v>
      </c>
      <c r="AG471" s="1">
        <f t="shared" si="288"/>
        <v>0</v>
      </c>
      <c r="AH471" s="1">
        <f t="shared" si="289"/>
        <v>1</v>
      </c>
      <c r="AI471" s="1">
        <f t="shared" si="290"/>
        <v>0</v>
      </c>
    </row>
    <row r="472" spans="1:35" s="1" customFormat="1" ht="14.25" customHeight="1" x14ac:dyDescent="0.3">
      <c r="A472" s="44">
        <v>0</v>
      </c>
      <c r="B472" s="44">
        <v>2</v>
      </c>
      <c r="C472" s="44">
        <v>7</v>
      </c>
      <c r="D472" s="45" t="s">
        <v>511</v>
      </c>
      <c r="E472" s="45" t="s">
        <v>155</v>
      </c>
      <c r="F472" s="45" t="s">
        <v>571</v>
      </c>
      <c r="G472" s="45" t="s">
        <v>319</v>
      </c>
      <c r="H472" s="45" t="s">
        <v>352</v>
      </c>
      <c r="I472" s="44" t="s">
        <v>578</v>
      </c>
      <c r="J472" s="44">
        <v>99</v>
      </c>
      <c r="K472" s="46" t="s">
        <v>951</v>
      </c>
      <c r="L472" s="46" t="s">
        <v>719</v>
      </c>
      <c r="M472" s="47" t="s">
        <v>729</v>
      </c>
      <c r="N472" s="47" t="s">
        <v>1735</v>
      </c>
      <c r="O472" s="48"/>
      <c r="P472" s="48"/>
      <c r="Q472" s="45"/>
      <c r="S472" s="1">
        <f t="shared" si="307"/>
        <v>0</v>
      </c>
      <c r="T472" s="1">
        <f t="shared" si="308"/>
        <v>0</v>
      </c>
      <c r="U472" s="1">
        <f t="shared" si="309"/>
        <v>0</v>
      </c>
      <c r="V472" s="1">
        <f t="shared" si="310"/>
        <v>0</v>
      </c>
      <c r="W472" s="1">
        <f t="shared" si="311"/>
        <v>0</v>
      </c>
      <c r="X472" s="1">
        <f t="shared" si="312"/>
        <v>0</v>
      </c>
      <c r="Y472" s="1">
        <f t="shared" si="313"/>
        <v>0</v>
      </c>
      <c r="Z472" s="1">
        <f t="shared" si="314"/>
        <v>0</v>
      </c>
      <c r="AA472" s="1">
        <f t="shared" si="315"/>
        <v>0</v>
      </c>
      <c r="AB472" s="1">
        <f t="shared" si="316"/>
        <v>0</v>
      </c>
      <c r="AD472" s="1">
        <f t="shared" si="317"/>
        <v>0</v>
      </c>
      <c r="AE472" s="1">
        <f t="shared" si="318"/>
        <v>0</v>
      </c>
      <c r="AF472" s="1">
        <f t="shared" si="287"/>
        <v>0</v>
      </c>
      <c r="AG472" s="1">
        <f t="shared" si="288"/>
        <v>0</v>
      </c>
      <c r="AH472" s="1">
        <f t="shared" si="289"/>
        <v>0</v>
      </c>
      <c r="AI472" s="1">
        <f t="shared" si="290"/>
        <v>1</v>
      </c>
    </row>
    <row r="473" spans="1:35" s="1" customFormat="1" ht="14.25" customHeight="1" x14ac:dyDescent="0.3">
      <c r="A473" s="44">
        <v>0</v>
      </c>
      <c r="B473" s="44">
        <v>2</v>
      </c>
      <c r="C473" s="44">
        <v>7</v>
      </c>
      <c r="D473" s="45" t="s">
        <v>74</v>
      </c>
      <c r="E473" s="45" t="s">
        <v>155</v>
      </c>
      <c r="F473" s="45" t="s">
        <v>672</v>
      </c>
      <c r="G473" s="45" t="s">
        <v>264</v>
      </c>
      <c r="H473" s="45" t="s">
        <v>352</v>
      </c>
      <c r="I473" s="44" t="s">
        <v>420</v>
      </c>
      <c r="J473" s="44">
        <v>99</v>
      </c>
      <c r="K473" s="46" t="s">
        <v>709</v>
      </c>
      <c r="L473" s="46" t="s">
        <v>726</v>
      </c>
      <c r="M473" s="47" t="s">
        <v>729</v>
      </c>
      <c r="N473" s="47" t="s">
        <v>1732</v>
      </c>
      <c r="O473" s="48"/>
      <c r="P473" s="48"/>
      <c r="Q473" s="45"/>
      <c r="S473" s="1">
        <f t="shared" ref="S473:S478" si="343">IF(J473=$S$7,1,0)</f>
        <v>0</v>
      </c>
      <c r="T473" s="1">
        <f t="shared" ref="T473:T478" si="344">IF(J473=$T$7,1,0)</f>
        <v>0</v>
      </c>
      <c r="U473" s="1">
        <f t="shared" ref="U473:U478" si="345">IF(J473=$U$7,1,0)</f>
        <v>0</v>
      </c>
      <c r="V473" s="1">
        <f t="shared" ref="V473:V478" si="346">IF(J473=$V$7,1,0)</f>
        <v>0</v>
      </c>
      <c r="W473" s="1">
        <f t="shared" ref="W473:W478" si="347">IF(J473=$W$7,1,0)</f>
        <v>0</v>
      </c>
      <c r="X473" s="1">
        <f t="shared" ref="X473:X478" si="348">IF(J473=$X$7,1,0)</f>
        <v>0</v>
      </c>
      <c r="Y473" s="1">
        <f t="shared" ref="Y473:Y478" si="349">IF(J473=$Y$7,1,0)</f>
        <v>0</v>
      </c>
      <c r="Z473" s="1">
        <f t="shared" ref="Z473:Z478" si="350">IF(J473=$Z$7,1,0)</f>
        <v>0</v>
      </c>
      <c r="AA473" s="1">
        <f t="shared" ref="AA473:AA478" si="351">IF(J473=$AA$7,1,0)</f>
        <v>0</v>
      </c>
      <c r="AB473" s="1">
        <f t="shared" ref="AB473:AB478" si="352">IF(J473=$AB$7,1,0)</f>
        <v>0</v>
      </c>
      <c r="AD473" s="1">
        <f t="shared" ref="AD473:AD478" si="353">+O473*P473</f>
        <v>0</v>
      </c>
      <c r="AE473" s="1">
        <f t="shared" ref="AE473:AE478" si="354">O473*(1-P473)</f>
        <v>0</v>
      </c>
      <c r="AF473" s="1">
        <f t="shared" ref="AF473:AF478" si="355">+O473*P473*(1-A473)</f>
        <v>0</v>
      </c>
      <c r="AG473" s="1">
        <f t="shared" ref="AG473:AG478" si="356">O473*(1-P473)*(1-A473)</f>
        <v>0</v>
      </c>
      <c r="AH473" s="1">
        <f t="shared" ref="AH473:AH478" si="357">+P473*(1-A473)</f>
        <v>0</v>
      </c>
      <c r="AI473" s="1">
        <f t="shared" ref="AI473:AI478" si="358">+(1-A473)*(1-P473)</f>
        <v>1</v>
      </c>
    </row>
    <row r="474" spans="1:35" s="1" customFormat="1" ht="14.25" customHeight="1" x14ac:dyDescent="0.3">
      <c r="A474" s="31">
        <v>0</v>
      </c>
      <c r="B474" s="31">
        <v>2</v>
      </c>
      <c r="C474" s="31">
        <v>7</v>
      </c>
      <c r="D474" s="32" t="s">
        <v>2003</v>
      </c>
      <c r="E474" s="32" t="s">
        <v>155</v>
      </c>
      <c r="F474" s="32" t="s">
        <v>2004</v>
      </c>
      <c r="G474" s="32" t="s">
        <v>281</v>
      </c>
      <c r="H474" s="32" t="s">
        <v>352</v>
      </c>
      <c r="I474" s="31" t="s">
        <v>2005</v>
      </c>
      <c r="J474" s="31">
        <v>99</v>
      </c>
      <c r="K474" s="33" t="s">
        <v>700</v>
      </c>
      <c r="L474" s="33" t="s">
        <v>719</v>
      </c>
      <c r="M474" s="34" t="s">
        <v>729</v>
      </c>
      <c r="N474" s="34" t="s">
        <v>1724</v>
      </c>
      <c r="O474" s="35">
        <v>1</v>
      </c>
      <c r="P474" s="35">
        <v>1</v>
      </c>
      <c r="Q474" s="32"/>
      <c r="S474" s="1">
        <f t="shared" si="343"/>
        <v>0</v>
      </c>
      <c r="T474" s="1">
        <f t="shared" si="344"/>
        <v>0</v>
      </c>
      <c r="U474" s="1">
        <f t="shared" si="345"/>
        <v>0</v>
      </c>
      <c r="V474" s="1">
        <f t="shared" si="346"/>
        <v>0</v>
      </c>
      <c r="W474" s="1">
        <f t="shared" si="347"/>
        <v>0</v>
      </c>
      <c r="X474" s="1">
        <f t="shared" si="348"/>
        <v>0</v>
      </c>
      <c r="Y474" s="1">
        <f t="shared" si="349"/>
        <v>0</v>
      </c>
      <c r="Z474" s="1">
        <f t="shared" si="350"/>
        <v>0</v>
      </c>
      <c r="AA474" s="1">
        <f t="shared" si="351"/>
        <v>0</v>
      </c>
      <c r="AB474" s="1">
        <f t="shared" si="352"/>
        <v>0</v>
      </c>
      <c r="AD474" s="1">
        <f t="shared" si="353"/>
        <v>1</v>
      </c>
      <c r="AE474" s="1">
        <f t="shared" si="354"/>
        <v>0</v>
      </c>
      <c r="AF474" s="1">
        <f t="shared" si="355"/>
        <v>1</v>
      </c>
      <c r="AG474" s="1">
        <f t="shared" si="356"/>
        <v>0</v>
      </c>
      <c r="AH474" s="1">
        <f t="shared" si="357"/>
        <v>1</v>
      </c>
      <c r="AI474" s="1">
        <f t="shared" si="358"/>
        <v>0</v>
      </c>
    </row>
    <row r="475" spans="1:35" s="1" customFormat="1" ht="14.25" customHeight="1" x14ac:dyDescent="0.3">
      <c r="A475" s="31">
        <v>1</v>
      </c>
      <c r="B475" s="31">
        <v>2</v>
      </c>
      <c r="C475" s="31">
        <v>7</v>
      </c>
      <c r="D475" s="32" t="s">
        <v>2003</v>
      </c>
      <c r="E475" s="32" t="s">
        <v>155</v>
      </c>
      <c r="F475" s="32" t="s">
        <v>2006</v>
      </c>
      <c r="G475" s="32" t="s">
        <v>2007</v>
      </c>
      <c r="H475" s="32" t="s">
        <v>352</v>
      </c>
      <c r="I475" s="31" t="s">
        <v>2008</v>
      </c>
      <c r="J475" s="31">
        <v>99</v>
      </c>
      <c r="K475" s="33" t="s">
        <v>700</v>
      </c>
      <c r="L475" s="33" t="s">
        <v>719</v>
      </c>
      <c r="M475" s="34" t="s">
        <v>729</v>
      </c>
      <c r="N475" s="34" t="s">
        <v>1724</v>
      </c>
      <c r="O475" s="35">
        <v>1</v>
      </c>
      <c r="P475" s="35">
        <v>1</v>
      </c>
      <c r="Q475" s="32"/>
      <c r="S475" s="1">
        <f t="shared" si="343"/>
        <v>0</v>
      </c>
      <c r="T475" s="1">
        <f t="shared" si="344"/>
        <v>0</v>
      </c>
      <c r="U475" s="1">
        <f t="shared" si="345"/>
        <v>0</v>
      </c>
      <c r="V475" s="1">
        <f t="shared" si="346"/>
        <v>0</v>
      </c>
      <c r="W475" s="1">
        <f t="shared" si="347"/>
        <v>0</v>
      </c>
      <c r="X475" s="1">
        <f t="shared" si="348"/>
        <v>0</v>
      </c>
      <c r="Y475" s="1">
        <f t="shared" si="349"/>
        <v>0</v>
      </c>
      <c r="Z475" s="1">
        <f t="shared" si="350"/>
        <v>0</v>
      </c>
      <c r="AA475" s="1">
        <f t="shared" si="351"/>
        <v>0</v>
      </c>
      <c r="AB475" s="1">
        <f t="shared" si="352"/>
        <v>0</v>
      </c>
      <c r="AD475" s="1">
        <f t="shared" si="353"/>
        <v>1</v>
      </c>
      <c r="AE475" s="1">
        <f t="shared" si="354"/>
        <v>0</v>
      </c>
      <c r="AF475" s="1">
        <f t="shared" si="355"/>
        <v>0</v>
      </c>
      <c r="AG475" s="1">
        <f t="shared" si="356"/>
        <v>0</v>
      </c>
      <c r="AH475" s="1">
        <f t="shared" si="357"/>
        <v>0</v>
      </c>
      <c r="AI475" s="1">
        <f t="shared" si="358"/>
        <v>0</v>
      </c>
    </row>
    <row r="476" spans="1:35" s="1" customFormat="1" ht="14.25" customHeight="1" x14ac:dyDescent="0.3">
      <c r="A476" s="15">
        <v>0</v>
      </c>
      <c r="B476" s="15">
        <v>2</v>
      </c>
      <c r="C476" s="15">
        <v>7</v>
      </c>
      <c r="D476" s="20" t="s">
        <v>1855</v>
      </c>
      <c r="E476" s="16" t="s">
        <v>155</v>
      </c>
      <c r="F476" s="20" t="s">
        <v>1856</v>
      </c>
      <c r="G476" s="20" t="s">
        <v>281</v>
      </c>
      <c r="H476" s="20" t="s">
        <v>352</v>
      </c>
      <c r="I476" s="21" t="s">
        <v>1857</v>
      </c>
      <c r="J476" s="15">
        <v>99</v>
      </c>
      <c r="K476" s="10" t="s">
        <v>700</v>
      </c>
      <c r="L476" s="10" t="s">
        <v>719</v>
      </c>
      <c r="M476" s="19" t="s">
        <v>729</v>
      </c>
      <c r="N476" s="19"/>
      <c r="Q476" s="20"/>
      <c r="S476" s="1">
        <f t="shared" si="343"/>
        <v>0</v>
      </c>
      <c r="T476" s="1">
        <f t="shared" si="344"/>
        <v>0</v>
      </c>
      <c r="U476" s="1">
        <f t="shared" si="345"/>
        <v>0</v>
      </c>
      <c r="V476" s="1">
        <f t="shared" si="346"/>
        <v>0</v>
      </c>
      <c r="W476" s="1">
        <f t="shared" si="347"/>
        <v>0</v>
      </c>
      <c r="X476" s="1">
        <f t="shared" si="348"/>
        <v>0</v>
      </c>
      <c r="Y476" s="1">
        <f t="shared" si="349"/>
        <v>0</v>
      </c>
      <c r="Z476" s="1">
        <f t="shared" si="350"/>
        <v>0</v>
      </c>
      <c r="AA476" s="1">
        <f t="shared" si="351"/>
        <v>0</v>
      </c>
      <c r="AB476" s="1">
        <f t="shared" si="352"/>
        <v>0</v>
      </c>
      <c r="AD476" s="1">
        <f t="shared" si="353"/>
        <v>0</v>
      </c>
      <c r="AE476" s="1">
        <f t="shared" si="354"/>
        <v>0</v>
      </c>
      <c r="AF476" s="1">
        <f t="shared" si="355"/>
        <v>0</v>
      </c>
      <c r="AG476" s="1">
        <f t="shared" si="356"/>
        <v>0</v>
      </c>
      <c r="AH476" s="1">
        <f t="shared" si="357"/>
        <v>0</v>
      </c>
      <c r="AI476" s="1">
        <f t="shared" si="358"/>
        <v>1</v>
      </c>
    </row>
    <row r="477" spans="1:35" s="1" customFormat="1" ht="14.25" customHeight="1" x14ac:dyDescent="0.3">
      <c r="A477" s="31">
        <v>0</v>
      </c>
      <c r="B477" s="31">
        <v>2</v>
      </c>
      <c r="C477" s="31">
        <v>7</v>
      </c>
      <c r="D477" s="32" t="s">
        <v>60</v>
      </c>
      <c r="E477" s="32" t="s">
        <v>162</v>
      </c>
      <c r="F477" s="32" t="s">
        <v>226</v>
      </c>
      <c r="G477" s="32" t="s">
        <v>189</v>
      </c>
      <c r="H477" s="32" t="s">
        <v>352</v>
      </c>
      <c r="I477" s="31" t="s">
        <v>397</v>
      </c>
      <c r="J477" s="31">
        <v>99</v>
      </c>
      <c r="K477" s="33" t="s">
        <v>710</v>
      </c>
      <c r="L477" s="33" t="s">
        <v>719</v>
      </c>
      <c r="M477" s="34" t="s">
        <v>729</v>
      </c>
      <c r="N477" s="34" t="s">
        <v>1745</v>
      </c>
      <c r="O477" s="35">
        <v>1</v>
      </c>
      <c r="P477" s="35"/>
      <c r="Q477" s="32"/>
      <c r="S477" s="1">
        <f t="shared" si="343"/>
        <v>0</v>
      </c>
      <c r="T477" s="1">
        <f t="shared" si="344"/>
        <v>0</v>
      </c>
      <c r="U477" s="1">
        <f t="shared" si="345"/>
        <v>0</v>
      </c>
      <c r="V477" s="1">
        <f t="shared" si="346"/>
        <v>0</v>
      </c>
      <c r="W477" s="1">
        <f t="shared" si="347"/>
        <v>0</v>
      </c>
      <c r="X477" s="1">
        <f t="shared" si="348"/>
        <v>0</v>
      </c>
      <c r="Y477" s="1">
        <f t="shared" si="349"/>
        <v>0</v>
      </c>
      <c r="Z477" s="1">
        <f t="shared" si="350"/>
        <v>0</v>
      </c>
      <c r="AA477" s="1">
        <f t="shared" si="351"/>
        <v>0</v>
      </c>
      <c r="AB477" s="1">
        <f t="shared" si="352"/>
        <v>0</v>
      </c>
      <c r="AD477" s="1">
        <f t="shared" si="353"/>
        <v>0</v>
      </c>
      <c r="AE477" s="1">
        <f t="shared" si="354"/>
        <v>1</v>
      </c>
      <c r="AF477" s="1">
        <f t="shared" si="355"/>
        <v>0</v>
      </c>
      <c r="AG477" s="1">
        <f t="shared" si="356"/>
        <v>1</v>
      </c>
      <c r="AH477" s="1">
        <f t="shared" si="357"/>
        <v>0</v>
      </c>
      <c r="AI477" s="1">
        <f t="shared" si="358"/>
        <v>1</v>
      </c>
    </row>
    <row r="478" spans="1:35" s="1" customFormat="1" ht="14.25" customHeight="1" x14ac:dyDescent="0.3">
      <c r="A478" s="31">
        <v>0</v>
      </c>
      <c r="B478" s="31">
        <v>2</v>
      </c>
      <c r="C478" s="31">
        <v>7</v>
      </c>
      <c r="D478" s="32" t="s">
        <v>1326</v>
      </c>
      <c r="E478" s="32" t="s">
        <v>155</v>
      </c>
      <c r="F478" s="32" t="s">
        <v>1140</v>
      </c>
      <c r="G478" s="32" t="s">
        <v>191</v>
      </c>
      <c r="H478" s="32" t="s">
        <v>352</v>
      </c>
      <c r="I478" s="31" t="s">
        <v>1366</v>
      </c>
      <c r="J478" s="31">
        <v>99</v>
      </c>
      <c r="K478" s="33" t="s">
        <v>709</v>
      </c>
      <c r="L478" s="33" t="s">
        <v>39</v>
      </c>
      <c r="M478" s="34" t="s">
        <v>39</v>
      </c>
      <c r="N478" s="34" t="s">
        <v>1724</v>
      </c>
      <c r="O478" s="35">
        <v>1</v>
      </c>
      <c r="P478" s="35">
        <v>1</v>
      </c>
      <c r="Q478" s="32"/>
      <c r="S478" s="1">
        <f t="shared" si="343"/>
        <v>0</v>
      </c>
      <c r="T478" s="1">
        <f t="shared" si="344"/>
        <v>0</v>
      </c>
      <c r="U478" s="1">
        <f t="shared" si="345"/>
        <v>0</v>
      </c>
      <c r="V478" s="1">
        <f t="shared" si="346"/>
        <v>0</v>
      </c>
      <c r="W478" s="1">
        <f t="shared" si="347"/>
        <v>0</v>
      </c>
      <c r="X478" s="1">
        <f t="shared" si="348"/>
        <v>0</v>
      </c>
      <c r="Y478" s="1">
        <f t="shared" si="349"/>
        <v>0</v>
      </c>
      <c r="Z478" s="1">
        <f t="shared" si="350"/>
        <v>0</v>
      </c>
      <c r="AA478" s="1">
        <f t="shared" si="351"/>
        <v>0</v>
      </c>
      <c r="AB478" s="1">
        <f t="shared" si="352"/>
        <v>0</v>
      </c>
      <c r="AD478" s="1">
        <f t="shared" si="353"/>
        <v>1</v>
      </c>
      <c r="AE478" s="1">
        <f t="shared" si="354"/>
        <v>0</v>
      </c>
      <c r="AF478" s="1">
        <f t="shared" si="355"/>
        <v>1</v>
      </c>
      <c r="AG478" s="1">
        <f t="shared" si="356"/>
        <v>0</v>
      </c>
      <c r="AH478" s="1">
        <f t="shared" si="357"/>
        <v>1</v>
      </c>
      <c r="AI478" s="1">
        <f t="shared" si="358"/>
        <v>0</v>
      </c>
    </row>
    <row r="479" spans="1:35" s="1" customFormat="1" ht="14.25" customHeight="1" x14ac:dyDescent="0.3">
      <c r="A479" s="31">
        <v>0</v>
      </c>
      <c r="B479" s="31">
        <v>2</v>
      </c>
      <c r="C479" s="31">
        <v>7</v>
      </c>
      <c r="D479" s="32" t="s">
        <v>586</v>
      </c>
      <c r="E479" s="32" t="s">
        <v>1334</v>
      </c>
      <c r="F479" s="32" t="s">
        <v>673</v>
      </c>
      <c r="G479" s="32" t="s">
        <v>239</v>
      </c>
      <c r="H479" s="32" t="s">
        <v>352</v>
      </c>
      <c r="I479" s="31" t="s">
        <v>403</v>
      </c>
      <c r="J479" s="31">
        <v>1</v>
      </c>
      <c r="K479" s="33" t="s">
        <v>710</v>
      </c>
      <c r="L479" s="33" t="s">
        <v>1708</v>
      </c>
      <c r="M479" s="34" t="s">
        <v>1436</v>
      </c>
      <c r="N479" s="34" t="s">
        <v>1745</v>
      </c>
      <c r="O479" s="35">
        <v>1</v>
      </c>
      <c r="P479" s="35"/>
      <c r="Q479" s="32"/>
      <c r="S479" s="1">
        <f t="shared" si="307"/>
        <v>1</v>
      </c>
      <c r="T479" s="1">
        <f t="shared" si="308"/>
        <v>0</v>
      </c>
      <c r="U479" s="1">
        <f t="shared" si="309"/>
        <v>0</v>
      </c>
      <c r="V479" s="1">
        <f t="shared" si="310"/>
        <v>0</v>
      </c>
      <c r="W479" s="1">
        <f t="shared" si="311"/>
        <v>0</v>
      </c>
      <c r="X479" s="1">
        <f t="shared" si="312"/>
        <v>0</v>
      </c>
      <c r="Y479" s="1">
        <f t="shared" si="313"/>
        <v>0</v>
      </c>
      <c r="Z479" s="1">
        <f t="shared" si="314"/>
        <v>0</v>
      </c>
      <c r="AA479" s="1">
        <f t="shared" si="315"/>
        <v>0</v>
      </c>
      <c r="AB479" s="1">
        <f t="shared" si="316"/>
        <v>0</v>
      </c>
      <c r="AD479" s="1">
        <f t="shared" ref="AD479" si="359">+O479*P479</f>
        <v>0</v>
      </c>
      <c r="AE479" s="1">
        <f t="shared" ref="AE479" si="360">O479*(1-P479)</f>
        <v>1</v>
      </c>
      <c r="AF479" s="1">
        <f t="shared" ref="AF479:AF494" si="361">+O479*P479*(1-A479)</f>
        <v>0</v>
      </c>
      <c r="AG479" s="1">
        <f t="shared" ref="AG479:AG494" si="362">O479*(1-P479)*(1-A479)</f>
        <v>1</v>
      </c>
      <c r="AH479" s="1">
        <f t="shared" ref="AH479:AH494" si="363">+P479*(1-A479)</f>
        <v>0</v>
      </c>
      <c r="AI479" s="1">
        <f t="shared" ref="AI479:AI494" si="364">+(1-A479)*(1-P479)</f>
        <v>1</v>
      </c>
    </row>
    <row r="480" spans="1:35" s="1" customFormat="1" ht="14.25" customHeight="1" x14ac:dyDescent="0.3">
      <c r="A480" s="31">
        <v>1</v>
      </c>
      <c r="B480" s="31">
        <v>2</v>
      </c>
      <c r="C480" s="31">
        <v>7</v>
      </c>
      <c r="D480" s="32" t="s">
        <v>586</v>
      </c>
      <c r="E480" s="32" t="s">
        <v>1334</v>
      </c>
      <c r="F480" s="32" t="s">
        <v>238</v>
      </c>
      <c r="G480" s="32" t="s">
        <v>177</v>
      </c>
      <c r="H480" s="32" t="s">
        <v>352</v>
      </c>
      <c r="I480" s="31" t="s">
        <v>402</v>
      </c>
      <c r="J480" s="31">
        <v>1</v>
      </c>
      <c r="K480" s="33" t="s">
        <v>710</v>
      </c>
      <c r="L480" s="33" t="s">
        <v>1708</v>
      </c>
      <c r="M480" s="34" t="s">
        <v>1436</v>
      </c>
      <c r="N480" s="34" t="s">
        <v>1745</v>
      </c>
      <c r="O480" s="35">
        <v>1</v>
      </c>
      <c r="P480" s="35"/>
      <c r="Q480" s="36" t="s">
        <v>1908</v>
      </c>
      <c r="S480" s="1">
        <f t="shared" si="307"/>
        <v>1</v>
      </c>
      <c r="T480" s="1">
        <f t="shared" si="308"/>
        <v>0</v>
      </c>
      <c r="U480" s="1">
        <f t="shared" si="309"/>
        <v>0</v>
      </c>
      <c r="V480" s="1">
        <f t="shared" si="310"/>
        <v>0</v>
      </c>
      <c r="W480" s="1">
        <f t="shared" si="311"/>
        <v>0</v>
      </c>
      <c r="X480" s="1">
        <f t="shared" si="312"/>
        <v>0</v>
      </c>
      <c r="Y480" s="1">
        <f t="shared" si="313"/>
        <v>0</v>
      </c>
      <c r="Z480" s="1">
        <f t="shared" si="314"/>
        <v>0</v>
      </c>
      <c r="AA480" s="1">
        <f t="shared" si="315"/>
        <v>0</v>
      </c>
      <c r="AB480" s="1">
        <f t="shared" si="316"/>
        <v>0</v>
      </c>
      <c r="AD480" s="1">
        <f t="shared" si="317"/>
        <v>0</v>
      </c>
      <c r="AE480" s="1">
        <f t="shared" si="318"/>
        <v>1</v>
      </c>
      <c r="AF480" s="1">
        <f t="shared" si="361"/>
        <v>0</v>
      </c>
      <c r="AG480" s="1">
        <f t="shared" si="362"/>
        <v>0</v>
      </c>
      <c r="AH480" s="1">
        <f t="shared" si="363"/>
        <v>0</v>
      </c>
      <c r="AI480" s="1">
        <f t="shared" si="364"/>
        <v>0</v>
      </c>
    </row>
    <row r="481" spans="1:35" s="1" customFormat="1" ht="14.25" customHeight="1" x14ac:dyDescent="0.3">
      <c r="A481" s="31">
        <v>0</v>
      </c>
      <c r="B481" s="31">
        <v>2</v>
      </c>
      <c r="C481" s="31">
        <v>7</v>
      </c>
      <c r="D481" s="32" t="s">
        <v>1327</v>
      </c>
      <c r="E481" s="32" t="s">
        <v>155</v>
      </c>
      <c r="F481" s="32" t="s">
        <v>1353</v>
      </c>
      <c r="G481" s="32" t="s">
        <v>257</v>
      </c>
      <c r="H481" s="32" t="s">
        <v>352</v>
      </c>
      <c r="I481" s="31" t="s">
        <v>1236</v>
      </c>
      <c r="J481" s="31">
        <v>8</v>
      </c>
      <c r="K481" s="33" t="s">
        <v>952</v>
      </c>
      <c r="L481" s="33" t="s">
        <v>719</v>
      </c>
      <c r="M481" s="34" t="s">
        <v>729</v>
      </c>
      <c r="N481" s="34" t="s">
        <v>1745</v>
      </c>
      <c r="O481" s="35">
        <v>1</v>
      </c>
      <c r="P481" s="35"/>
      <c r="Q481" s="32"/>
      <c r="S481" s="1">
        <f t="shared" si="307"/>
        <v>0</v>
      </c>
      <c r="T481" s="1">
        <f t="shared" si="308"/>
        <v>0</v>
      </c>
      <c r="U481" s="1">
        <f t="shared" si="309"/>
        <v>0</v>
      </c>
      <c r="V481" s="1">
        <f t="shared" si="310"/>
        <v>0</v>
      </c>
      <c r="W481" s="1">
        <f t="shared" si="311"/>
        <v>0</v>
      </c>
      <c r="X481" s="1">
        <f t="shared" si="312"/>
        <v>0</v>
      </c>
      <c r="Y481" s="1">
        <f t="shared" si="313"/>
        <v>0</v>
      </c>
      <c r="Z481" s="1">
        <f t="shared" si="314"/>
        <v>1</v>
      </c>
      <c r="AA481" s="1">
        <f t="shared" si="315"/>
        <v>0</v>
      </c>
      <c r="AB481" s="1">
        <f t="shared" si="316"/>
        <v>0</v>
      </c>
      <c r="AD481" s="1">
        <f t="shared" si="317"/>
        <v>0</v>
      </c>
      <c r="AE481" s="1">
        <f t="shared" si="318"/>
        <v>1</v>
      </c>
      <c r="AF481" s="1">
        <f t="shared" si="361"/>
        <v>0</v>
      </c>
      <c r="AG481" s="1">
        <f t="shared" si="362"/>
        <v>1</v>
      </c>
      <c r="AH481" s="1">
        <f t="shared" si="363"/>
        <v>0</v>
      </c>
      <c r="AI481" s="1">
        <f t="shared" si="364"/>
        <v>1</v>
      </c>
    </row>
    <row r="482" spans="1:35" s="1" customFormat="1" ht="14.25" customHeight="1" x14ac:dyDescent="0.3">
      <c r="A482" s="31">
        <v>1</v>
      </c>
      <c r="B482" s="31">
        <v>2</v>
      </c>
      <c r="C482" s="31">
        <v>7</v>
      </c>
      <c r="D482" s="32" t="s">
        <v>1327</v>
      </c>
      <c r="E482" s="32" t="s">
        <v>155</v>
      </c>
      <c r="F482" s="32" t="s">
        <v>1215</v>
      </c>
      <c r="G482" s="32" t="s">
        <v>217</v>
      </c>
      <c r="H482" s="32" t="s">
        <v>352</v>
      </c>
      <c r="I482" s="31" t="s">
        <v>1236</v>
      </c>
      <c r="J482" s="31">
        <v>99</v>
      </c>
      <c r="K482" s="33" t="s">
        <v>952</v>
      </c>
      <c r="L482" s="33" t="s">
        <v>719</v>
      </c>
      <c r="M482" s="34" t="s">
        <v>729</v>
      </c>
      <c r="N482" s="34" t="s">
        <v>1745</v>
      </c>
      <c r="O482" s="35">
        <v>1</v>
      </c>
      <c r="P482" s="35"/>
      <c r="Q482" s="32"/>
      <c r="S482" s="1">
        <f t="shared" si="307"/>
        <v>0</v>
      </c>
      <c r="T482" s="1">
        <f t="shared" si="308"/>
        <v>0</v>
      </c>
      <c r="U482" s="1">
        <f t="shared" si="309"/>
        <v>0</v>
      </c>
      <c r="V482" s="1">
        <f t="shared" si="310"/>
        <v>0</v>
      </c>
      <c r="W482" s="1">
        <f t="shared" si="311"/>
        <v>0</v>
      </c>
      <c r="X482" s="1">
        <f t="shared" si="312"/>
        <v>0</v>
      </c>
      <c r="Y482" s="1">
        <f t="shared" si="313"/>
        <v>0</v>
      </c>
      <c r="Z482" s="1">
        <f t="shared" si="314"/>
        <v>0</v>
      </c>
      <c r="AA482" s="1">
        <f t="shared" si="315"/>
        <v>0</v>
      </c>
      <c r="AB482" s="1">
        <f t="shared" si="316"/>
        <v>0</v>
      </c>
      <c r="AD482" s="1">
        <f t="shared" si="317"/>
        <v>0</v>
      </c>
      <c r="AE482" s="1">
        <f t="shared" si="318"/>
        <v>1</v>
      </c>
      <c r="AF482" s="1">
        <f t="shared" si="361"/>
        <v>0</v>
      </c>
      <c r="AG482" s="1">
        <f t="shared" si="362"/>
        <v>0</v>
      </c>
      <c r="AH482" s="1">
        <f t="shared" si="363"/>
        <v>0</v>
      </c>
      <c r="AI482" s="1">
        <f t="shared" si="364"/>
        <v>0</v>
      </c>
    </row>
    <row r="483" spans="1:35" s="1" customFormat="1" ht="14.25" customHeight="1" x14ac:dyDescent="0.3">
      <c r="A483" s="44">
        <v>0</v>
      </c>
      <c r="B483" s="44">
        <v>2</v>
      </c>
      <c r="C483" s="44">
        <v>7</v>
      </c>
      <c r="D483" s="45" t="s">
        <v>1245</v>
      </c>
      <c r="E483" s="45" t="s">
        <v>155</v>
      </c>
      <c r="F483" s="45" t="s">
        <v>1247</v>
      </c>
      <c r="G483" s="45" t="s">
        <v>219</v>
      </c>
      <c r="H483" s="45" t="s">
        <v>352</v>
      </c>
      <c r="I483" s="44" t="s">
        <v>1367</v>
      </c>
      <c r="J483" s="44">
        <v>8</v>
      </c>
      <c r="K483" s="46" t="s">
        <v>951</v>
      </c>
      <c r="L483" s="46" t="s">
        <v>719</v>
      </c>
      <c r="M483" s="47" t="s">
        <v>729</v>
      </c>
      <c r="N483" s="47" t="s">
        <v>1732</v>
      </c>
      <c r="O483" s="48"/>
      <c r="P483" s="48"/>
      <c r="Q483" s="45"/>
      <c r="S483" s="1">
        <f t="shared" si="307"/>
        <v>0</v>
      </c>
      <c r="T483" s="1">
        <f t="shared" si="308"/>
        <v>0</v>
      </c>
      <c r="U483" s="1">
        <f t="shared" si="309"/>
        <v>0</v>
      </c>
      <c r="V483" s="1">
        <f t="shared" si="310"/>
        <v>0</v>
      </c>
      <c r="W483" s="1">
        <f t="shared" si="311"/>
        <v>0</v>
      </c>
      <c r="X483" s="1">
        <f t="shared" si="312"/>
        <v>0</v>
      </c>
      <c r="Y483" s="1">
        <f t="shared" si="313"/>
        <v>0</v>
      </c>
      <c r="Z483" s="1">
        <f t="shared" si="314"/>
        <v>1</v>
      </c>
      <c r="AA483" s="1">
        <f t="shared" si="315"/>
        <v>0</v>
      </c>
      <c r="AB483" s="1">
        <f t="shared" si="316"/>
        <v>0</v>
      </c>
      <c r="AD483" s="1">
        <f t="shared" si="317"/>
        <v>0</v>
      </c>
      <c r="AE483" s="1">
        <f t="shared" si="318"/>
        <v>0</v>
      </c>
      <c r="AF483" s="1">
        <f t="shared" si="361"/>
        <v>0</v>
      </c>
      <c r="AG483" s="1">
        <f t="shared" si="362"/>
        <v>0</v>
      </c>
      <c r="AH483" s="1">
        <f t="shared" si="363"/>
        <v>0</v>
      </c>
      <c r="AI483" s="1">
        <f t="shared" si="364"/>
        <v>1</v>
      </c>
    </row>
    <row r="484" spans="1:35" s="1" customFormat="1" ht="14.25" customHeight="1" x14ac:dyDescent="0.3">
      <c r="A484" s="44">
        <v>1</v>
      </c>
      <c r="B484" s="44">
        <v>2</v>
      </c>
      <c r="C484" s="44">
        <v>7</v>
      </c>
      <c r="D484" s="45" t="s">
        <v>1245</v>
      </c>
      <c r="E484" s="45" t="s">
        <v>155</v>
      </c>
      <c r="F484" s="45" t="s">
        <v>1354</v>
      </c>
      <c r="G484" s="45" t="s">
        <v>39</v>
      </c>
      <c r="H484" s="45" t="s">
        <v>353</v>
      </c>
      <c r="I484" s="44" t="s">
        <v>1246</v>
      </c>
      <c r="J484" s="44">
        <v>99</v>
      </c>
      <c r="K484" s="46" t="s">
        <v>951</v>
      </c>
      <c r="L484" s="46" t="s">
        <v>719</v>
      </c>
      <c r="M484" s="47" t="s">
        <v>729</v>
      </c>
      <c r="N484" s="47" t="s">
        <v>1732</v>
      </c>
      <c r="O484" s="48"/>
      <c r="P484" s="48"/>
      <c r="Q484" s="65" t="s">
        <v>1901</v>
      </c>
      <c r="S484" s="1">
        <f t="shared" ref="S484:S494" si="365">IF(J484=$S$7,1,0)</f>
        <v>0</v>
      </c>
      <c r="T484" s="1">
        <f t="shared" ref="T484:T494" si="366">IF(J484=$T$7,1,0)</f>
        <v>0</v>
      </c>
      <c r="U484" s="1">
        <f t="shared" ref="U484:U494" si="367">IF(J484=$U$7,1,0)</f>
        <v>0</v>
      </c>
      <c r="V484" s="1">
        <f t="shared" ref="V484:V494" si="368">IF(J484=$V$7,1,0)</f>
        <v>0</v>
      </c>
      <c r="W484" s="1">
        <f t="shared" ref="W484:W494" si="369">IF(J484=$W$7,1,0)</f>
        <v>0</v>
      </c>
      <c r="X484" s="1">
        <f t="shared" ref="X484:X494" si="370">IF(J484=$X$7,1,0)</f>
        <v>0</v>
      </c>
      <c r="Y484" s="1">
        <f t="shared" ref="Y484:Y494" si="371">IF(J484=$Y$7,1,0)</f>
        <v>0</v>
      </c>
      <c r="Z484" s="1">
        <f t="shared" ref="Z484:Z494" si="372">IF(J484=$Z$7,1,0)</f>
        <v>0</v>
      </c>
      <c r="AA484" s="1">
        <f t="shared" ref="AA484:AA494" si="373">IF(J484=$AA$7,1,0)</f>
        <v>0</v>
      </c>
      <c r="AB484" s="1">
        <f t="shared" ref="AB484:AB494" si="374">IF(J484=$AB$7,1,0)</f>
        <v>0</v>
      </c>
      <c r="AD484" s="1">
        <f>+O484*P484</f>
        <v>0</v>
      </c>
      <c r="AE484" s="1">
        <f>O484*(1-P484)</f>
        <v>0</v>
      </c>
      <c r="AF484" s="1">
        <f t="shared" si="361"/>
        <v>0</v>
      </c>
      <c r="AG484" s="1">
        <f t="shared" si="362"/>
        <v>0</v>
      </c>
      <c r="AH484" s="1">
        <f t="shared" si="363"/>
        <v>0</v>
      </c>
      <c r="AI484" s="1">
        <f t="shared" si="364"/>
        <v>0</v>
      </c>
    </row>
    <row r="485" spans="1:35" s="1" customFormat="1" ht="14.25" customHeight="1" x14ac:dyDescent="0.3">
      <c r="A485" s="44">
        <v>1</v>
      </c>
      <c r="B485" s="44">
        <v>2</v>
      </c>
      <c r="C485" s="44">
        <v>7</v>
      </c>
      <c r="D485" s="45" t="s">
        <v>1245</v>
      </c>
      <c r="E485" s="45" t="s">
        <v>155</v>
      </c>
      <c r="F485" s="45" t="s">
        <v>1520</v>
      </c>
      <c r="G485" s="45" t="s">
        <v>234</v>
      </c>
      <c r="H485" s="45" t="s">
        <v>352</v>
      </c>
      <c r="I485" s="44" t="s">
        <v>1688</v>
      </c>
      <c r="J485" s="44">
        <v>99</v>
      </c>
      <c r="K485" s="46" t="s">
        <v>951</v>
      </c>
      <c r="L485" s="46" t="s">
        <v>719</v>
      </c>
      <c r="M485" s="47" t="s">
        <v>729</v>
      </c>
      <c r="N485" s="47" t="s">
        <v>1732</v>
      </c>
      <c r="O485" s="48"/>
      <c r="P485" s="48"/>
      <c r="Q485" s="45"/>
      <c r="S485" s="1">
        <f t="shared" si="365"/>
        <v>0</v>
      </c>
      <c r="T485" s="1">
        <f t="shared" si="366"/>
        <v>0</v>
      </c>
      <c r="U485" s="1">
        <f t="shared" si="367"/>
        <v>0</v>
      </c>
      <c r="V485" s="1">
        <f t="shared" si="368"/>
        <v>0</v>
      </c>
      <c r="W485" s="1">
        <f t="shared" si="369"/>
        <v>0</v>
      </c>
      <c r="X485" s="1">
        <f t="shared" si="370"/>
        <v>0</v>
      </c>
      <c r="Y485" s="1">
        <f t="shared" si="371"/>
        <v>0</v>
      </c>
      <c r="Z485" s="1">
        <f t="shared" si="372"/>
        <v>0</v>
      </c>
      <c r="AA485" s="1">
        <f t="shared" si="373"/>
        <v>0</v>
      </c>
      <c r="AB485" s="1">
        <f t="shared" si="374"/>
        <v>0</v>
      </c>
      <c r="AD485" s="1">
        <f>+O485*P485</f>
        <v>0</v>
      </c>
      <c r="AE485" s="1">
        <f>O485*(1-P485)</f>
        <v>0</v>
      </c>
      <c r="AF485" s="1">
        <f t="shared" si="361"/>
        <v>0</v>
      </c>
      <c r="AG485" s="1">
        <f t="shared" si="362"/>
        <v>0</v>
      </c>
      <c r="AH485" s="1">
        <f t="shared" si="363"/>
        <v>0</v>
      </c>
      <c r="AI485" s="1">
        <f t="shared" si="364"/>
        <v>0</v>
      </c>
    </row>
    <row r="486" spans="1:35" s="1" customFormat="1" ht="14.25" customHeight="1" x14ac:dyDescent="0.3">
      <c r="A486" s="31">
        <v>0</v>
      </c>
      <c r="B486" s="31">
        <v>2</v>
      </c>
      <c r="C486" s="31">
        <v>7</v>
      </c>
      <c r="D486" s="32" t="s">
        <v>1847</v>
      </c>
      <c r="E486" s="32" t="s">
        <v>1848</v>
      </c>
      <c r="F486" s="32" t="s">
        <v>1849</v>
      </c>
      <c r="G486" s="32" t="s">
        <v>264</v>
      </c>
      <c r="H486" s="32" t="s">
        <v>352</v>
      </c>
      <c r="I486" s="31" t="s">
        <v>1850</v>
      </c>
      <c r="J486" s="31">
        <v>99</v>
      </c>
      <c r="K486" s="33" t="s">
        <v>700</v>
      </c>
      <c r="L486" s="33"/>
      <c r="M486" s="34"/>
      <c r="N486" s="34" t="s">
        <v>1724</v>
      </c>
      <c r="O486" s="35">
        <v>1</v>
      </c>
      <c r="P486" s="35">
        <v>1</v>
      </c>
      <c r="Q486" s="32"/>
      <c r="S486" s="1">
        <f t="shared" si="365"/>
        <v>0</v>
      </c>
      <c r="T486" s="1">
        <f t="shared" si="366"/>
        <v>0</v>
      </c>
      <c r="U486" s="1">
        <f t="shared" si="367"/>
        <v>0</v>
      </c>
      <c r="V486" s="1">
        <f t="shared" si="368"/>
        <v>0</v>
      </c>
      <c r="W486" s="1">
        <f t="shared" si="369"/>
        <v>0</v>
      </c>
      <c r="X486" s="1">
        <f t="shared" si="370"/>
        <v>0</v>
      </c>
      <c r="Y486" s="1">
        <f t="shared" si="371"/>
        <v>0</v>
      </c>
      <c r="Z486" s="1">
        <f t="shared" si="372"/>
        <v>0</v>
      </c>
      <c r="AA486" s="1">
        <f t="shared" si="373"/>
        <v>0</v>
      </c>
      <c r="AB486" s="1">
        <f t="shared" si="374"/>
        <v>0</v>
      </c>
      <c r="AD486" s="1">
        <f>+O486*P486</f>
        <v>1</v>
      </c>
      <c r="AE486" s="1">
        <f>O486*(1-P486)</f>
        <v>0</v>
      </c>
      <c r="AF486" s="1">
        <f t="shared" si="361"/>
        <v>1</v>
      </c>
      <c r="AG486" s="1">
        <f t="shared" si="362"/>
        <v>0</v>
      </c>
      <c r="AH486" s="1">
        <f t="shared" si="363"/>
        <v>1</v>
      </c>
      <c r="AI486" s="1">
        <f t="shared" si="364"/>
        <v>0</v>
      </c>
    </row>
    <row r="487" spans="1:35" s="1" customFormat="1" ht="14.25" customHeight="1" x14ac:dyDescent="0.3">
      <c r="A487" s="44">
        <v>0</v>
      </c>
      <c r="B487" s="44">
        <v>2</v>
      </c>
      <c r="C487" s="44">
        <v>7</v>
      </c>
      <c r="D487" s="45" t="s">
        <v>1240</v>
      </c>
      <c r="E487" s="45" t="s">
        <v>28</v>
      </c>
      <c r="F487" s="45" t="s">
        <v>1233</v>
      </c>
      <c r="G487" s="45" t="s">
        <v>1234</v>
      </c>
      <c r="H487" s="45" t="s">
        <v>352</v>
      </c>
      <c r="I487" s="44" t="s">
        <v>1235</v>
      </c>
      <c r="J487" s="44">
        <v>99</v>
      </c>
      <c r="K487" s="46" t="s">
        <v>709</v>
      </c>
      <c r="L487" s="46" t="s">
        <v>710</v>
      </c>
      <c r="M487" s="47" t="s">
        <v>728</v>
      </c>
      <c r="N487" s="47" t="s">
        <v>1732</v>
      </c>
      <c r="O487" s="48"/>
      <c r="P487" s="48"/>
      <c r="Q487" s="45"/>
      <c r="S487" s="1">
        <f t="shared" si="365"/>
        <v>0</v>
      </c>
      <c r="T487" s="1">
        <f t="shared" si="366"/>
        <v>0</v>
      </c>
      <c r="U487" s="1">
        <f t="shared" si="367"/>
        <v>0</v>
      </c>
      <c r="V487" s="1">
        <f t="shared" si="368"/>
        <v>0</v>
      </c>
      <c r="W487" s="1">
        <f t="shared" si="369"/>
        <v>0</v>
      </c>
      <c r="X487" s="1">
        <f t="shared" si="370"/>
        <v>0</v>
      </c>
      <c r="Y487" s="1">
        <f t="shared" si="371"/>
        <v>0</v>
      </c>
      <c r="Z487" s="1">
        <f t="shared" si="372"/>
        <v>0</v>
      </c>
      <c r="AA487" s="1">
        <f t="shared" si="373"/>
        <v>0</v>
      </c>
      <c r="AB487" s="1">
        <f t="shared" si="374"/>
        <v>0</v>
      </c>
      <c r="AD487" s="1">
        <f t="shared" ref="AD487:AD494" si="375">+O487*P487</f>
        <v>0</v>
      </c>
      <c r="AE487" s="1">
        <f t="shared" ref="AE487:AE494" si="376">O487*(1-P487)</f>
        <v>0</v>
      </c>
      <c r="AF487" s="1">
        <f t="shared" si="361"/>
        <v>0</v>
      </c>
      <c r="AG487" s="1">
        <f t="shared" si="362"/>
        <v>0</v>
      </c>
      <c r="AH487" s="1">
        <f t="shared" si="363"/>
        <v>0</v>
      </c>
      <c r="AI487" s="1">
        <f t="shared" si="364"/>
        <v>1</v>
      </c>
    </row>
    <row r="488" spans="1:35" s="1" customFormat="1" ht="14.25" customHeight="1" x14ac:dyDescent="0.3">
      <c r="A488" s="44">
        <v>1</v>
      </c>
      <c r="B488" s="44">
        <v>2</v>
      </c>
      <c r="C488" s="44">
        <v>7</v>
      </c>
      <c r="D488" s="45" t="s">
        <v>1237</v>
      </c>
      <c r="E488" s="45" t="s">
        <v>28</v>
      </c>
      <c r="F488" s="45" t="s">
        <v>1238</v>
      </c>
      <c r="G488" s="45" t="s">
        <v>520</v>
      </c>
      <c r="H488" s="45" t="s">
        <v>352</v>
      </c>
      <c r="I488" s="44" t="s">
        <v>1239</v>
      </c>
      <c r="J488" s="44">
        <v>99</v>
      </c>
      <c r="K488" s="46" t="s">
        <v>709</v>
      </c>
      <c r="L488" s="46" t="s">
        <v>710</v>
      </c>
      <c r="M488" s="47" t="s">
        <v>728</v>
      </c>
      <c r="N488" s="47" t="s">
        <v>1732</v>
      </c>
      <c r="O488" s="48"/>
      <c r="P488" s="48"/>
      <c r="Q488" s="45"/>
      <c r="S488" s="1">
        <f t="shared" si="365"/>
        <v>0</v>
      </c>
      <c r="T488" s="1">
        <f t="shared" si="366"/>
        <v>0</v>
      </c>
      <c r="U488" s="1">
        <f t="shared" si="367"/>
        <v>0</v>
      </c>
      <c r="V488" s="1">
        <f t="shared" si="368"/>
        <v>0</v>
      </c>
      <c r="W488" s="1">
        <f t="shared" si="369"/>
        <v>0</v>
      </c>
      <c r="X488" s="1">
        <f t="shared" si="370"/>
        <v>0</v>
      </c>
      <c r="Y488" s="1">
        <f t="shared" si="371"/>
        <v>0</v>
      </c>
      <c r="Z488" s="1">
        <f t="shared" si="372"/>
        <v>0</v>
      </c>
      <c r="AA488" s="1">
        <f t="shared" si="373"/>
        <v>0</v>
      </c>
      <c r="AB488" s="1">
        <f t="shared" si="374"/>
        <v>0</v>
      </c>
      <c r="AD488" s="1">
        <f t="shared" si="375"/>
        <v>0</v>
      </c>
      <c r="AE488" s="1">
        <f t="shared" si="376"/>
        <v>0</v>
      </c>
      <c r="AF488" s="1">
        <f t="shared" si="361"/>
        <v>0</v>
      </c>
      <c r="AG488" s="1">
        <f t="shared" si="362"/>
        <v>0</v>
      </c>
      <c r="AH488" s="1">
        <f t="shared" si="363"/>
        <v>0</v>
      </c>
      <c r="AI488" s="1">
        <f t="shared" si="364"/>
        <v>0</v>
      </c>
    </row>
    <row r="489" spans="1:35" s="1" customFormat="1" ht="14.25" customHeight="1" x14ac:dyDescent="0.3">
      <c r="A489" s="31">
        <v>0</v>
      </c>
      <c r="B489" s="31">
        <v>2</v>
      </c>
      <c r="C489" s="31">
        <v>7</v>
      </c>
      <c r="D489" s="32" t="s">
        <v>1843</v>
      </c>
      <c r="E489" s="32" t="s">
        <v>1165</v>
      </c>
      <c r="F489" s="32" t="s">
        <v>1844</v>
      </c>
      <c r="G489" s="32"/>
      <c r="H489" s="32" t="s">
        <v>352</v>
      </c>
      <c r="I489" s="31" t="s">
        <v>1845</v>
      </c>
      <c r="J489" s="31">
        <v>6</v>
      </c>
      <c r="K489" s="33" t="s">
        <v>700</v>
      </c>
      <c r="L489" s="33"/>
      <c r="M489" s="34"/>
      <c r="N489" s="34" t="s">
        <v>1745</v>
      </c>
      <c r="O489" s="35">
        <v>1</v>
      </c>
      <c r="P489" s="35"/>
      <c r="Q489" s="32"/>
      <c r="S489" s="1">
        <f t="shared" si="365"/>
        <v>0</v>
      </c>
      <c r="T489" s="1">
        <f t="shared" si="366"/>
        <v>0</v>
      </c>
      <c r="U489" s="1">
        <f t="shared" si="367"/>
        <v>0</v>
      </c>
      <c r="V489" s="1">
        <f t="shared" si="368"/>
        <v>0</v>
      </c>
      <c r="W489" s="1">
        <f t="shared" si="369"/>
        <v>0</v>
      </c>
      <c r="X489" s="1">
        <f t="shared" si="370"/>
        <v>1</v>
      </c>
      <c r="Y489" s="1">
        <f t="shared" si="371"/>
        <v>0</v>
      </c>
      <c r="Z489" s="1">
        <f t="shared" si="372"/>
        <v>0</v>
      </c>
      <c r="AA489" s="1">
        <f t="shared" si="373"/>
        <v>0</v>
      </c>
      <c r="AB489" s="1">
        <f t="shared" si="374"/>
        <v>0</v>
      </c>
      <c r="AD489" s="1">
        <f t="shared" si="375"/>
        <v>0</v>
      </c>
      <c r="AE489" s="1">
        <f t="shared" si="376"/>
        <v>1</v>
      </c>
      <c r="AF489" s="1">
        <f t="shared" si="361"/>
        <v>0</v>
      </c>
      <c r="AG489" s="1">
        <f t="shared" si="362"/>
        <v>1</v>
      </c>
      <c r="AH489" s="1">
        <f t="shared" si="363"/>
        <v>0</v>
      </c>
      <c r="AI489" s="1">
        <f t="shared" si="364"/>
        <v>1</v>
      </c>
    </row>
    <row r="490" spans="1:35" s="1" customFormat="1" ht="14.25" customHeight="1" x14ac:dyDescent="0.3">
      <c r="A490" s="44">
        <v>0</v>
      </c>
      <c r="B490" s="44">
        <v>2</v>
      </c>
      <c r="C490" s="44">
        <v>7</v>
      </c>
      <c r="D490" s="45" t="s">
        <v>1455</v>
      </c>
      <c r="E490" s="45" t="s">
        <v>28</v>
      </c>
      <c r="F490" s="45" t="s">
        <v>1456</v>
      </c>
      <c r="G490" s="45" t="s">
        <v>1457</v>
      </c>
      <c r="H490" s="45" t="s">
        <v>352</v>
      </c>
      <c r="I490" s="44" t="s">
        <v>1458</v>
      </c>
      <c r="J490" s="44">
        <v>99</v>
      </c>
      <c r="K490" s="46" t="s">
        <v>709</v>
      </c>
      <c r="L490" s="46" t="s">
        <v>710</v>
      </c>
      <c r="M490" s="47" t="s">
        <v>728</v>
      </c>
      <c r="N490" s="47" t="s">
        <v>1732</v>
      </c>
      <c r="O490" s="48"/>
      <c r="P490" s="48"/>
      <c r="Q490" s="45" t="s">
        <v>1928</v>
      </c>
      <c r="S490" s="1">
        <f t="shared" si="365"/>
        <v>0</v>
      </c>
      <c r="T490" s="1">
        <f t="shared" si="366"/>
        <v>0</v>
      </c>
      <c r="U490" s="1">
        <f t="shared" si="367"/>
        <v>0</v>
      </c>
      <c r="V490" s="1">
        <f t="shared" si="368"/>
        <v>0</v>
      </c>
      <c r="W490" s="1">
        <f t="shared" si="369"/>
        <v>0</v>
      </c>
      <c r="X490" s="1">
        <f t="shared" si="370"/>
        <v>0</v>
      </c>
      <c r="Y490" s="1">
        <f t="shared" si="371"/>
        <v>0</v>
      </c>
      <c r="Z490" s="1">
        <f t="shared" si="372"/>
        <v>0</v>
      </c>
      <c r="AA490" s="1">
        <f t="shared" si="373"/>
        <v>0</v>
      </c>
      <c r="AB490" s="1">
        <f t="shared" si="374"/>
        <v>0</v>
      </c>
      <c r="AD490" s="1">
        <f t="shared" si="375"/>
        <v>0</v>
      </c>
      <c r="AE490" s="1">
        <f t="shared" si="376"/>
        <v>0</v>
      </c>
      <c r="AF490" s="1">
        <f t="shared" si="361"/>
        <v>0</v>
      </c>
      <c r="AG490" s="1">
        <f t="shared" si="362"/>
        <v>0</v>
      </c>
      <c r="AH490" s="1">
        <f t="shared" si="363"/>
        <v>0</v>
      </c>
      <c r="AI490" s="1">
        <f t="shared" si="364"/>
        <v>1</v>
      </c>
    </row>
    <row r="491" spans="1:35" s="1" customFormat="1" ht="14.25" customHeight="1" x14ac:dyDescent="0.3">
      <c r="A491" s="31">
        <v>0</v>
      </c>
      <c r="B491" s="31">
        <v>2</v>
      </c>
      <c r="C491" s="31">
        <v>7</v>
      </c>
      <c r="D491" s="32" t="s">
        <v>43</v>
      </c>
      <c r="E491" s="32" t="s">
        <v>538</v>
      </c>
      <c r="F491" s="32" t="s">
        <v>572</v>
      </c>
      <c r="G491" s="32" t="s">
        <v>234</v>
      </c>
      <c r="H491" s="32" t="s">
        <v>352</v>
      </c>
      <c r="I491" s="31" t="s">
        <v>579</v>
      </c>
      <c r="J491" s="31">
        <v>99</v>
      </c>
      <c r="K491" s="33" t="s">
        <v>709</v>
      </c>
      <c r="L491" s="33" t="s">
        <v>726</v>
      </c>
      <c r="M491" s="34" t="s">
        <v>1437</v>
      </c>
      <c r="N491" s="34" t="s">
        <v>1745</v>
      </c>
      <c r="O491" s="35">
        <v>1</v>
      </c>
      <c r="P491" s="35"/>
      <c r="Q491" s="32"/>
      <c r="S491" s="1">
        <f t="shared" si="365"/>
        <v>0</v>
      </c>
      <c r="T491" s="1">
        <f t="shared" si="366"/>
        <v>0</v>
      </c>
      <c r="U491" s="1">
        <f t="shared" si="367"/>
        <v>0</v>
      </c>
      <c r="V491" s="1">
        <f t="shared" si="368"/>
        <v>0</v>
      </c>
      <c r="W491" s="1">
        <f t="shared" si="369"/>
        <v>0</v>
      </c>
      <c r="X491" s="1">
        <f t="shared" si="370"/>
        <v>0</v>
      </c>
      <c r="Y491" s="1">
        <f t="shared" si="371"/>
        <v>0</v>
      </c>
      <c r="Z491" s="1">
        <f t="shared" si="372"/>
        <v>0</v>
      </c>
      <c r="AA491" s="1">
        <f t="shared" si="373"/>
        <v>0</v>
      </c>
      <c r="AB491" s="1">
        <f t="shared" si="374"/>
        <v>0</v>
      </c>
      <c r="AD491" s="1">
        <f t="shared" si="375"/>
        <v>0</v>
      </c>
      <c r="AE491" s="1">
        <f t="shared" si="376"/>
        <v>1</v>
      </c>
      <c r="AF491" s="1">
        <f t="shared" si="361"/>
        <v>0</v>
      </c>
      <c r="AG491" s="1">
        <f t="shared" si="362"/>
        <v>1</v>
      </c>
      <c r="AH491" s="1">
        <f t="shared" si="363"/>
        <v>0</v>
      </c>
      <c r="AI491" s="1">
        <f t="shared" si="364"/>
        <v>1</v>
      </c>
    </row>
    <row r="492" spans="1:35" s="1" customFormat="1" ht="14.25" customHeight="1" x14ac:dyDescent="0.3">
      <c r="A492" s="31">
        <v>1</v>
      </c>
      <c r="B492" s="31">
        <v>2</v>
      </c>
      <c r="C492" s="31">
        <v>7</v>
      </c>
      <c r="D492" s="32" t="s">
        <v>43</v>
      </c>
      <c r="E492" s="32" t="s">
        <v>538</v>
      </c>
      <c r="F492" s="32" t="s">
        <v>270</v>
      </c>
      <c r="G492" s="32" t="s">
        <v>179</v>
      </c>
      <c r="H492" s="32" t="s">
        <v>352</v>
      </c>
      <c r="I492" s="31" t="s">
        <v>424</v>
      </c>
      <c r="J492" s="31">
        <v>10</v>
      </c>
      <c r="K492" s="33" t="s">
        <v>709</v>
      </c>
      <c r="L492" s="33" t="s">
        <v>726</v>
      </c>
      <c r="M492" s="34" t="s">
        <v>1437</v>
      </c>
      <c r="N492" s="34" t="s">
        <v>1745</v>
      </c>
      <c r="O492" s="35">
        <v>1</v>
      </c>
      <c r="P492" s="35"/>
      <c r="Q492" s="32"/>
      <c r="S492" s="1">
        <f t="shared" si="365"/>
        <v>0</v>
      </c>
      <c r="T492" s="1">
        <f t="shared" si="366"/>
        <v>0</v>
      </c>
      <c r="U492" s="1">
        <f t="shared" si="367"/>
        <v>0</v>
      </c>
      <c r="V492" s="1">
        <f t="shared" si="368"/>
        <v>0</v>
      </c>
      <c r="W492" s="1">
        <f t="shared" si="369"/>
        <v>0</v>
      </c>
      <c r="X492" s="1">
        <f t="shared" si="370"/>
        <v>0</v>
      </c>
      <c r="Y492" s="1">
        <f t="shared" si="371"/>
        <v>0</v>
      </c>
      <c r="Z492" s="1">
        <f t="shared" si="372"/>
        <v>0</v>
      </c>
      <c r="AA492" s="1">
        <f t="shared" si="373"/>
        <v>0</v>
      </c>
      <c r="AB492" s="1">
        <f t="shared" si="374"/>
        <v>1</v>
      </c>
      <c r="AD492" s="1">
        <f t="shared" si="375"/>
        <v>0</v>
      </c>
      <c r="AE492" s="1">
        <f t="shared" si="376"/>
        <v>1</v>
      </c>
      <c r="AF492" s="1">
        <f t="shared" si="361"/>
        <v>0</v>
      </c>
      <c r="AG492" s="1">
        <f t="shared" si="362"/>
        <v>0</v>
      </c>
      <c r="AH492" s="1">
        <f t="shared" si="363"/>
        <v>0</v>
      </c>
      <c r="AI492" s="1">
        <f t="shared" si="364"/>
        <v>0</v>
      </c>
    </row>
    <row r="493" spans="1:35" s="1" customFormat="1" ht="14.25" customHeight="1" x14ac:dyDescent="0.3">
      <c r="A493" s="31">
        <v>1</v>
      </c>
      <c r="B493" s="31">
        <v>2</v>
      </c>
      <c r="C493" s="31">
        <v>7</v>
      </c>
      <c r="D493" s="32" t="s">
        <v>43</v>
      </c>
      <c r="E493" s="32" t="s">
        <v>538</v>
      </c>
      <c r="F493" s="32" t="s">
        <v>271</v>
      </c>
      <c r="G493" s="32" t="s">
        <v>39</v>
      </c>
      <c r="H493" s="32" t="s">
        <v>352</v>
      </c>
      <c r="I493" s="31" t="s">
        <v>425</v>
      </c>
      <c r="J493" s="31">
        <v>5</v>
      </c>
      <c r="K493" s="33" t="s">
        <v>709</v>
      </c>
      <c r="L493" s="33" t="s">
        <v>726</v>
      </c>
      <c r="M493" s="34" t="s">
        <v>1437</v>
      </c>
      <c r="N493" s="34" t="s">
        <v>1745</v>
      </c>
      <c r="O493" s="35">
        <v>1</v>
      </c>
      <c r="P493" s="35"/>
      <c r="Q493" s="32"/>
      <c r="S493" s="1">
        <f t="shared" si="365"/>
        <v>0</v>
      </c>
      <c r="T493" s="1">
        <f t="shared" si="366"/>
        <v>0</v>
      </c>
      <c r="U493" s="1">
        <f t="shared" si="367"/>
        <v>0</v>
      </c>
      <c r="V493" s="1">
        <f t="shared" si="368"/>
        <v>0</v>
      </c>
      <c r="W493" s="1">
        <f t="shared" si="369"/>
        <v>1</v>
      </c>
      <c r="X493" s="1">
        <f t="shared" si="370"/>
        <v>0</v>
      </c>
      <c r="Y493" s="1">
        <f t="shared" si="371"/>
        <v>0</v>
      </c>
      <c r="Z493" s="1">
        <f t="shared" si="372"/>
        <v>0</v>
      </c>
      <c r="AA493" s="1">
        <f t="shared" si="373"/>
        <v>0</v>
      </c>
      <c r="AB493" s="1">
        <f t="shared" si="374"/>
        <v>0</v>
      </c>
      <c r="AD493" s="1">
        <f t="shared" si="375"/>
        <v>0</v>
      </c>
      <c r="AE493" s="1">
        <f t="shared" si="376"/>
        <v>1</v>
      </c>
      <c r="AF493" s="1">
        <f t="shared" si="361"/>
        <v>0</v>
      </c>
      <c r="AG493" s="1">
        <f t="shared" si="362"/>
        <v>0</v>
      </c>
      <c r="AH493" s="1">
        <f t="shared" si="363"/>
        <v>0</v>
      </c>
      <c r="AI493" s="1">
        <f t="shared" si="364"/>
        <v>0</v>
      </c>
    </row>
    <row r="494" spans="1:35" s="1" customFormat="1" ht="14.25" customHeight="1" x14ac:dyDescent="0.3">
      <c r="A494" s="31">
        <v>1</v>
      </c>
      <c r="B494" s="31">
        <v>2</v>
      </c>
      <c r="C494" s="31">
        <v>7</v>
      </c>
      <c r="D494" s="32" t="s">
        <v>43</v>
      </c>
      <c r="E494" s="32" t="s">
        <v>538</v>
      </c>
      <c r="F494" s="32" t="s">
        <v>275</v>
      </c>
      <c r="G494" s="32" t="s">
        <v>193</v>
      </c>
      <c r="H494" s="32" t="s">
        <v>352</v>
      </c>
      <c r="I494" s="31" t="s">
        <v>429</v>
      </c>
      <c r="J494" s="31">
        <v>9</v>
      </c>
      <c r="K494" s="33" t="s">
        <v>709</v>
      </c>
      <c r="L494" s="33" t="s">
        <v>726</v>
      </c>
      <c r="M494" s="34" t="s">
        <v>1437</v>
      </c>
      <c r="N494" s="34" t="s">
        <v>1745</v>
      </c>
      <c r="O494" s="35">
        <v>1</v>
      </c>
      <c r="P494" s="35"/>
      <c r="Q494" s="32"/>
      <c r="S494" s="1">
        <f t="shared" si="365"/>
        <v>0</v>
      </c>
      <c r="T494" s="1">
        <f t="shared" si="366"/>
        <v>0</v>
      </c>
      <c r="U494" s="1">
        <f t="shared" si="367"/>
        <v>0</v>
      </c>
      <c r="V494" s="1">
        <f t="shared" si="368"/>
        <v>0</v>
      </c>
      <c r="W494" s="1">
        <f t="shared" si="369"/>
        <v>0</v>
      </c>
      <c r="X494" s="1">
        <f t="shared" si="370"/>
        <v>0</v>
      </c>
      <c r="Y494" s="1">
        <f t="shared" si="371"/>
        <v>0</v>
      </c>
      <c r="Z494" s="1">
        <f t="shared" si="372"/>
        <v>0</v>
      </c>
      <c r="AA494" s="1">
        <f t="shared" si="373"/>
        <v>1</v>
      </c>
      <c r="AB494" s="1">
        <f t="shared" si="374"/>
        <v>0</v>
      </c>
      <c r="AD494" s="1">
        <f t="shared" si="375"/>
        <v>0</v>
      </c>
      <c r="AE494" s="1">
        <f t="shared" si="376"/>
        <v>1</v>
      </c>
      <c r="AF494" s="1">
        <f t="shared" si="361"/>
        <v>0</v>
      </c>
      <c r="AG494" s="1">
        <f t="shared" si="362"/>
        <v>0</v>
      </c>
      <c r="AH494" s="1">
        <f t="shared" si="363"/>
        <v>0</v>
      </c>
      <c r="AI494" s="1">
        <f t="shared" si="364"/>
        <v>0</v>
      </c>
    </row>
    <row r="495" spans="1:35" s="1" customFormat="1" ht="14.25" customHeight="1" x14ac:dyDescent="0.3">
      <c r="A495" s="44">
        <v>0</v>
      </c>
      <c r="B495" s="44">
        <v>2</v>
      </c>
      <c r="C495" s="44">
        <v>7</v>
      </c>
      <c r="D495" s="45" t="s">
        <v>1558</v>
      </c>
      <c r="E495" s="45" t="s">
        <v>28</v>
      </c>
      <c r="F495" s="45" t="s">
        <v>1559</v>
      </c>
      <c r="G495" s="45" t="s">
        <v>237</v>
      </c>
      <c r="H495" s="45" t="s">
        <v>352</v>
      </c>
      <c r="I495" s="44" t="s">
        <v>1692</v>
      </c>
      <c r="J495" s="44">
        <v>4</v>
      </c>
      <c r="K495" s="46" t="s">
        <v>710</v>
      </c>
      <c r="L495" s="46" t="s">
        <v>710</v>
      </c>
      <c r="M495" s="47" t="s">
        <v>728</v>
      </c>
      <c r="N495" s="47" t="s">
        <v>1732</v>
      </c>
      <c r="O495" s="48"/>
      <c r="P495" s="48"/>
      <c r="Q495" s="45"/>
      <c r="S495" s="1">
        <f t="shared" ref="S495:S496" si="377">IF(J495=$S$7,1,0)</f>
        <v>0</v>
      </c>
      <c r="T495" s="1">
        <f t="shared" ref="T495:T496" si="378">IF(J495=$T$7,1,0)</f>
        <v>0</v>
      </c>
      <c r="U495" s="1">
        <f t="shared" ref="U495:U496" si="379">IF(J495=$U$7,1,0)</f>
        <v>0</v>
      </c>
      <c r="V495" s="1">
        <f t="shared" ref="V495:V496" si="380">IF(J495=$V$7,1,0)</f>
        <v>1</v>
      </c>
      <c r="W495" s="1">
        <f t="shared" ref="W495:W496" si="381">IF(J495=$W$7,1,0)</f>
        <v>0</v>
      </c>
      <c r="X495" s="1">
        <f t="shared" ref="X495:X496" si="382">IF(J495=$X$7,1,0)</f>
        <v>0</v>
      </c>
      <c r="Y495" s="1">
        <f t="shared" ref="Y495:Y496" si="383">IF(J495=$Y$7,1,0)</f>
        <v>0</v>
      </c>
      <c r="Z495" s="1">
        <f t="shared" ref="Z495:Z496" si="384">IF(J495=$Z$7,1,0)</f>
        <v>0</v>
      </c>
      <c r="AA495" s="1">
        <f t="shared" ref="AA495:AA496" si="385">IF(J495=$AA$7,1,0)</f>
        <v>0</v>
      </c>
      <c r="AB495" s="1">
        <f t="shared" ref="AB495:AB496" si="386">IF(J495=$AB$7,1,0)</f>
        <v>0</v>
      </c>
      <c r="AD495" s="1">
        <f t="shared" ref="AD495:AD496" si="387">+O495*P495</f>
        <v>0</v>
      </c>
      <c r="AE495" s="1">
        <f t="shared" ref="AE495:AE496" si="388">O495*(1-P495)</f>
        <v>0</v>
      </c>
      <c r="AF495" s="1">
        <f t="shared" ref="AF495:AF496" si="389">+O495*P495*(1-A495)</f>
        <v>0</v>
      </c>
      <c r="AG495" s="1">
        <f t="shared" ref="AG495:AG496" si="390">O495*(1-P495)*(1-A495)</f>
        <v>0</v>
      </c>
      <c r="AH495" s="1">
        <f t="shared" ref="AH495:AH496" si="391">+P495*(1-A495)</f>
        <v>0</v>
      </c>
      <c r="AI495" s="1">
        <f t="shared" ref="AI495:AI496" si="392">+(1-A495)*(1-P495)</f>
        <v>1</v>
      </c>
    </row>
    <row r="496" spans="1:35" s="1" customFormat="1" ht="14.25" customHeight="1" x14ac:dyDescent="0.3">
      <c r="A496" s="44">
        <v>0</v>
      </c>
      <c r="B496" s="44">
        <v>2</v>
      </c>
      <c r="C496" s="44">
        <v>7</v>
      </c>
      <c r="D496" s="45" t="s">
        <v>63</v>
      </c>
      <c r="E496" s="45" t="s">
        <v>44</v>
      </c>
      <c r="F496" s="45" t="s">
        <v>235</v>
      </c>
      <c r="G496" s="45" t="s">
        <v>199</v>
      </c>
      <c r="H496" s="45" t="s">
        <v>352</v>
      </c>
      <c r="I496" s="44" t="s">
        <v>400</v>
      </c>
      <c r="J496" s="44">
        <v>2</v>
      </c>
      <c r="K496" s="46" t="s">
        <v>710</v>
      </c>
      <c r="L496" s="46" t="s">
        <v>719</v>
      </c>
      <c r="M496" s="47" t="s">
        <v>732</v>
      </c>
      <c r="N496" s="47" t="s">
        <v>1732</v>
      </c>
      <c r="O496" s="48"/>
      <c r="P496" s="48"/>
      <c r="Q496" s="45"/>
      <c r="S496" s="1">
        <f t="shared" si="377"/>
        <v>0</v>
      </c>
      <c r="T496" s="1">
        <f t="shared" si="378"/>
        <v>1</v>
      </c>
      <c r="U496" s="1">
        <f t="shared" si="379"/>
        <v>0</v>
      </c>
      <c r="V496" s="1">
        <f t="shared" si="380"/>
        <v>0</v>
      </c>
      <c r="W496" s="1">
        <f t="shared" si="381"/>
        <v>0</v>
      </c>
      <c r="X496" s="1">
        <f t="shared" si="382"/>
        <v>0</v>
      </c>
      <c r="Y496" s="1">
        <f t="shared" si="383"/>
        <v>0</v>
      </c>
      <c r="Z496" s="1">
        <f t="shared" si="384"/>
        <v>0</v>
      </c>
      <c r="AA496" s="1">
        <f t="shared" si="385"/>
        <v>0</v>
      </c>
      <c r="AB496" s="1">
        <f t="shared" si="386"/>
        <v>0</v>
      </c>
      <c r="AD496" s="1">
        <f t="shared" si="387"/>
        <v>0</v>
      </c>
      <c r="AE496" s="1">
        <f t="shared" si="388"/>
        <v>0</v>
      </c>
      <c r="AF496" s="1">
        <f t="shared" si="389"/>
        <v>0</v>
      </c>
      <c r="AG496" s="1">
        <f t="shared" si="390"/>
        <v>0</v>
      </c>
      <c r="AH496" s="1">
        <f t="shared" si="391"/>
        <v>0</v>
      </c>
      <c r="AI496" s="1">
        <f t="shared" si="392"/>
        <v>1</v>
      </c>
    </row>
    <row r="497" spans="1:17" s="1" customFormat="1" ht="14.25" customHeight="1" x14ac:dyDescent="0.3">
      <c r="A497" s="15"/>
      <c r="B497" s="15"/>
      <c r="C497" s="15"/>
      <c r="D497" s="20"/>
      <c r="E497" s="20"/>
      <c r="F497" s="20"/>
      <c r="G497" s="20"/>
      <c r="H497" s="20"/>
      <c r="I497" s="21"/>
      <c r="J497" s="15"/>
      <c r="K497" s="21"/>
      <c r="L497" s="10"/>
      <c r="M497" s="19"/>
      <c r="N497" s="17"/>
      <c r="Q497" s="20"/>
    </row>
    <row r="498" spans="1:17" s="1" customFormat="1" ht="14.25" customHeight="1" x14ac:dyDescent="0.3">
      <c r="A498" s="15"/>
      <c r="B498" s="15"/>
      <c r="C498" s="15"/>
      <c r="D498" s="20"/>
      <c r="E498" s="20"/>
      <c r="F498" s="20"/>
      <c r="G498" s="20"/>
      <c r="H498" s="20"/>
      <c r="I498" s="21"/>
      <c r="J498" s="15"/>
      <c r="K498" s="21"/>
      <c r="L498" s="10"/>
      <c r="M498" s="19"/>
      <c r="N498" s="17"/>
      <c r="Q498" s="20"/>
    </row>
    <row r="499" spans="1:17" s="1" customFormat="1" ht="14.25" customHeight="1" x14ac:dyDescent="0.3">
      <c r="A499" s="15"/>
      <c r="B499" s="15"/>
      <c r="C499" s="15"/>
      <c r="D499" s="20"/>
      <c r="E499" s="20"/>
      <c r="F499" s="20"/>
      <c r="G499" s="20"/>
      <c r="H499" s="20"/>
      <c r="I499" s="21"/>
      <c r="J499" s="15"/>
      <c r="K499" s="21"/>
      <c r="L499" s="10"/>
      <c r="M499" s="19"/>
      <c r="N499" s="17"/>
      <c r="Q499" s="20"/>
    </row>
    <row r="500" spans="1:17" s="1" customFormat="1" ht="14.25" customHeight="1" x14ac:dyDescent="0.3">
      <c r="A500" s="15"/>
      <c r="B500" s="15"/>
      <c r="C500" s="15"/>
      <c r="D500" s="20"/>
      <c r="E500" s="20"/>
      <c r="F500" s="20"/>
      <c r="G500" s="20"/>
      <c r="H500" s="20"/>
      <c r="I500" s="21"/>
      <c r="J500" s="15"/>
      <c r="K500" s="21"/>
      <c r="L500" s="10"/>
      <c r="M500" s="19"/>
      <c r="N500" s="17"/>
      <c r="Q500" s="20"/>
    </row>
    <row r="501" spans="1:17" s="1" customFormat="1" ht="14.25" customHeight="1" x14ac:dyDescent="0.3">
      <c r="A501" s="15"/>
      <c r="B501" s="15"/>
      <c r="C501" s="15"/>
      <c r="D501" s="20"/>
      <c r="E501" s="20"/>
      <c r="F501" s="20"/>
      <c r="G501" s="20"/>
      <c r="H501" s="20"/>
      <c r="I501" s="21"/>
      <c r="J501" s="15"/>
      <c r="K501" s="21"/>
      <c r="L501" s="10"/>
      <c r="M501" s="19"/>
      <c r="N501" s="17"/>
      <c r="Q501" s="20"/>
    </row>
    <row r="502" spans="1:17" s="1" customFormat="1" ht="14.25" customHeight="1" x14ac:dyDescent="0.3">
      <c r="A502" s="15"/>
      <c r="B502" s="15"/>
      <c r="C502" s="15"/>
      <c r="D502" s="20"/>
      <c r="E502" s="20"/>
      <c r="F502" s="20"/>
      <c r="G502" s="20"/>
      <c r="H502" s="20"/>
      <c r="I502" s="21"/>
      <c r="J502" s="15"/>
      <c r="K502" s="21"/>
      <c r="L502" s="10"/>
      <c r="M502" s="19"/>
      <c r="N502" s="17"/>
      <c r="Q502" s="20"/>
    </row>
    <row r="503" spans="1:17" s="1" customFormat="1" ht="14.25" customHeight="1" x14ac:dyDescent="0.3">
      <c r="A503" s="15"/>
      <c r="B503" s="15"/>
      <c r="C503" s="15"/>
      <c r="D503" s="20"/>
      <c r="E503" s="20"/>
      <c r="F503" s="20"/>
      <c r="G503" s="20"/>
      <c r="H503" s="20"/>
      <c r="I503" s="21"/>
      <c r="J503" s="15"/>
      <c r="K503" s="21"/>
      <c r="L503" s="10"/>
      <c r="M503" s="19"/>
      <c r="N503" s="17"/>
      <c r="Q503" s="20"/>
    </row>
    <row r="504" spans="1:17" s="1" customFormat="1" ht="14.25" customHeight="1" x14ac:dyDescent="0.3">
      <c r="A504" s="15"/>
      <c r="B504" s="15"/>
      <c r="C504" s="15"/>
      <c r="D504" s="20"/>
      <c r="E504" s="20"/>
      <c r="F504" s="20"/>
      <c r="G504" s="20"/>
      <c r="H504" s="20"/>
      <c r="I504" s="21"/>
      <c r="J504" s="15"/>
      <c r="K504" s="21"/>
      <c r="L504" s="10"/>
      <c r="M504" s="19"/>
      <c r="N504" s="17"/>
      <c r="Q504" s="20"/>
    </row>
    <row r="505" spans="1:17" s="1" customFormat="1" ht="14.25" customHeight="1" x14ac:dyDescent="0.3">
      <c r="A505" s="15"/>
      <c r="B505" s="15"/>
      <c r="C505" s="15"/>
      <c r="D505" s="20"/>
      <c r="E505" s="20"/>
      <c r="F505" s="20"/>
      <c r="G505" s="20"/>
      <c r="H505" s="20"/>
      <c r="I505" s="21"/>
      <c r="J505" s="15"/>
      <c r="K505" s="21"/>
      <c r="L505" s="10"/>
      <c r="M505" s="19"/>
      <c r="N505" s="17"/>
      <c r="Q505" s="20"/>
    </row>
    <row r="506" spans="1:17" s="1" customFormat="1" ht="14.25" customHeight="1" x14ac:dyDescent="0.3">
      <c r="A506" s="15"/>
      <c r="B506" s="15"/>
      <c r="C506" s="15"/>
      <c r="D506" s="20"/>
      <c r="E506" s="20"/>
      <c r="F506" s="20"/>
      <c r="G506" s="20"/>
      <c r="H506" s="20"/>
      <c r="I506" s="21"/>
      <c r="J506" s="15"/>
      <c r="K506" s="21"/>
      <c r="L506" s="10"/>
      <c r="M506" s="19"/>
      <c r="N506" s="17"/>
      <c r="Q506" s="20"/>
    </row>
    <row r="507" spans="1:17" s="1" customFormat="1" ht="14.25" customHeight="1" x14ac:dyDescent="0.3">
      <c r="A507" s="15"/>
      <c r="B507" s="15"/>
      <c r="C507" s="15"/>
      <c r="D507" s="20"/>
      <c r="E507" s="20"/>
      <c r="F507" s="20"/>
      <c r="G507" s="20"/>
      <c r="H507" s="20"/>
      <c r="I507" s="21"/>
      <c r="J507" s="15"/>
      <c r="K507" s="21"/>
      <c r="L507" s="10"/>
      <c r="M507" s="19"/>
      <c r="N507" s="17"/>
      <c r="Q507" s="20"/>
    </row>
    <row r="508" spans="1:17" s="1" customFormat="1" ht="14.25" customHeight="1" x14ac:dyDescent="0.3">
      <c r="A508" s="15"/>
      <c r="B508" s="15"/>
      <c r="C508" s="15"/>
      <c r="D508" s="20"/>
      <c r="E508" s="20"/>
      <c r="F508" s="20"/>
      <c r="G508" s="20"/>
      <c r="H508" s="20"/>
      <c r="I508" s="21"/>
      <c r="J508" s="15"/>
      <c r="K508" s="21"/>
      <c r="L508" s="10"/>
      <c r="M508" s="19"/>
      <c r="N508" s="17"/>
      <c r="Q508" s="20"/>
    </row>
    <row r="509" spans="1:17" s="1" customFormat="1" ht="14.25" customHeight="1" x14ac:dyDescent="0.3">
      <c r="A509" s="15"/>
      <c r="B509" s="15"/>
      <c r="C509" s="15"/>
      <c r="D509" s="20"/>
      <c r="E509" s="20"/>
      <c r="F509" s="20"/>
      <c r="G509" s="20"/>
      <c r="H509" s="20"/>
      <c r="I509" s="21"/>
      <c r="J509" s="15"/>
      <c r="K509" s="21"/>
      <c r="L509" s="10"/>
      <c r="M509" s="19"/>
      <c r="N509" s="17"/>
      <c r="Q509" s="20"/>
    </row>
    <row r="510" spans="1:17" s="1" customFormat="1" ht="14.25" customHeight="1" x14ac:dyDescent="0.3">
      <c r="A510" s="15"/>
      <c r="B510" s="15"/>
      <c r="C510" s="15"/>
      <c r="D510" s="20"/>
      <c r="E510" s="20"/>
      <c r="F510" s="20"/>
      <c r="G510" s="20"/>
      <c r="H510" s="20"/>
      <c r="I510" s="21"/>
      <c r="J510" s="15"/>
      <c r="K510" s="21"/>
      <c r="L510" s="10"/>
      <c r="M510" s="19"/>
      <c r="N510" s="17"/>
      <c r="Q510" s="20"/>
    </row>
    <row r="511" spans="1:17" s="1" customFormat="1" ht="14.25" customHeight="1" x14ac:dyDescent="0.3">
      <c r="A511" s="15"/>
      <c r="B511" s="15"/>
      <c r="C511" s="15"/>
      <c r="D511" s="20"/>
      <c r="E511" s="20"/>
      <c r="F511" s="20"/>
      <c r="G511" s="20"/>
      <c r="H511" s="20"/>
      <c r="I511" s="21"/>
      <c r="J511" s="15"/>
      <c r="K511" s="21"/>
      <c r="L511" s="10"/>
      <c r="M511" s="19"/>
      <c r="N511" s="17"/>
      <c r="Q511" s="20"/>
    </row>
    <row r="512" spans="1:17" s="1" customFormat="1" ht="14.25" customHeight="1" x14ac:dyDescent="0.3">
      <c r="A512" s="15"/>
      <c r="B512" s="15"/>
      <c r="C512" s="15"/>
      <c r="D512" s="20"/>
      <c r="E512" s="20"/>
      <c r="F512" s="20"/>
      <c r="G512" s="20"/>
      <c r="H512" s="20"/>
      <c r="I512" s="21"/>
      <c r="J512" s="15"/>
      <c r="K512" s="21"/>
      <c r="L512" s="10"/>
      <c r="M512" s="19"/>
      <c r="N512" s="17"/>
      <c r="Q512" s="20"/>
    </row>
    <row r="513" spans="1:17" s="1" customFormat="1" ht="14.25" customHeight="1" x14ac:dyDescent="0.3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L513" s="10"/>
      <c r="M513" s="19"/>
      <c r="N513" s="17"/>
      <c r="Q513" s="20"/>
    </row>
    <row r="514" spans="1:17" s="1" customFormat="1" ht="14.25" customHeight="1" x14ac:dyDescent="0.3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L514" s="10"/>
      <c r="M514" s="19"/>
      <c r="N514" s="17"/>
      <c r="Q514" s="20"/>
    </row>
    <row r="515" spans="1:17" s="1" customFormat="1" ht="14.25" customHeight="1" x14ac:dyDescent="0.3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L515" s="10"/>
      <c r="M515" s="19"/>
      <c r="N515" s="17"/>
      <c r="Q515" s="20"/>
    </row>
    <row r="516" spans="1:17" s="1" customFormat="1" ht="14.25" customHeight="1" x14ac:dyDescent="0.3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L516" s="10"/>
      <c r="M516" s="19"/>
      <c r="N516" s="17"/>
      <c r="Q516" s="20"/>
    </row>
    <row r="517" spans="1:17" s="1" customFormat="1" ht="14.25" customHeight="1" x14ac:dyDescent="0.3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L517" s="10"/>
      <c r="M517" s="19"/>
      <c r="N517" s="17"/>
      <c r="Q517" s="20"/>
    </row>
    <row r="518" spans="1:17" s="1" customFormat="1" ht="14.25" customHeight="1" x14ac:dyDescent="0.3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L518" s="10"/>
      <c r="M518" s="19"/>
      <c r="N518" s="17"/>
      <c r="Q518" s="20"/>
    </row>
    <row r="519" spans="1:17" s="1" customFormat="1" ht="14.25" customHeight="1" x14ac:dyDescent="0.3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L519" s="10"/>
      <c r="M519" s="19"/>
      <c r="N519" s="17"/>
      <c r="Q519" s="20"/>
    </row>
    <row r="520" spans="1:17" s="1" customFormat="1" ht="14.25" customHeight="1" x14ac:dyDescent="0.3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L520" s="10"/>
      <c r="M520" s="19"/>
      <c r="N520" s="17"/>
      <c r="Q520" s="20"/>
    </row>
    <row r="521" spans="1:17" s="1" customFormat="1" ht="14.25" customHeight="1" x14ac:dyDescent="0.3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L521" s="10"/>
      <c r="M521" s="19"/>
      <c r="N521" s="17"/>
      <c r="Q521" s="20"/>
    </row>
    <row r="522" spans="1:17" s="1" customFormat="1" ht="14.25" customHeight="1" x14ac:dyDescent="0.3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L522" s="10"/>
      <c r="M522" s="19"/>
      <c r="N522" s="17"/>
      <c r="Q522" s="20"/>
    </row>
    <row r="523" spans="1:17" s="1" customFormat="1" ht="14.25" customHeight="1" x14ac:dyDescent="0.3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L523" s="10"/>
      <c r="M523" s="19"/>
      <c r="N523" s="17"/>
      <c r="Q523" s="20"/>
    </row>
    <row r="524" spans="1:17" s="1" customFormat="1" ht="14.25" customHeight="1" x14ac:dyDescent="0.3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L524" s="10"/>
      <c r="M524" s="19"/>
      <c r="N524" s="17"/>
      <c r="Q524" s="20"/>
    </row>
    <row r="525" spans="1:17" s="1" customFormat="1" ht="14.25" customHeight="1" x14ac:dyDescent="0.3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L525" s="10"/>
      <c r="M525" s="19"/>
      <c r="N525" s="17"/>
      <c r="Q525" s="20"/>
    </row>
    <row r="526" spans="1:17" s="1" customFormat="1" ht="14.25" customHeight="1" x14ac:dyDescent="0.3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L526" s="10"/>
      <c r="M526" s="19"/>
      <c r="N526" s="17"/>
      <c r="Q526" s="20"/>
    </row>
    <row r="527" spans="1:17" s="1" customFormat="1" ht="14.25" customHeight="1" x14ac:dyDescent="0.3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L527" s="10"/>
      <c r="M527" s="19"/>
      <c r="N527" s="17"/>
      <c r="Q527" s="20"/>
    </row>
    <row r="528" spans="1:17" s="1" customFormat="1" ht="14.25" customHeight="1" x14ac:dyDescent="0.3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L528" s="10"/>
      <c r="M528" s="19"/>
      <c r="N528" s="17"/>
      <c r="Q528" s="20"/>
    </row>
    <row r="529" spans="1:17" s="1" customFormat="1" ht="14.25" customHeight="1" x14ac:dyDescent="0.3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L529" s="10"/>
      <c r="M529" s="19"/>
      <c r="N529" s="17"/>
      <c r="Q529" s="20"/>
    </row>
    <row r="530" spans="1:17" s="1" customFormat="1" ht="14.25" customHeight="1" x14ac:dyDescent="0.3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L530" s="10"/>
      <c r="M530" s="19"/>
      <c r="N530" s="17"/>
      <c r="Q530" s="20"/>
    </row>
    <row r="531" spans="1:17" s="1" customFormat="1" ht="14.25" customHeight="1" x14ac:dyDescent="0.3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L531" s="10"/>
      <c r="M531" s="19"/>
      <c r="N531" s="17"/>
      <c r="Q531" s="20"/>
    </row>
    <row r="532" spans="1:17" s="1" customFormat="1" ht="14.25" customHeight="1" x14ac:dyDescent="0.3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L532" s="10"/>
      <c r="M532" s="19"/>
      <c r="N532" s="17"/>
      <c r="Q532" s="20"/>
    </row>
    <row r="533" spans="1:17" s="1" customFormat="1" ht="14.25" customHeight="1" x14ac:dyDescent="0.3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L533" s="10"/>
      <c r="M533" s="19"/>
      <c r="N533" s="17"/>
      <c r="Q533" s="20"/>
    </row>
    <row r="534" spans="1:17" s="1" customFormat="1" ht="14.25" customHeight="1" x14ac:dyDescent="0.3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L534" s="10"/>
      <c r="M534" s="19"/>
      <c r="N534" s="17"/>
      <c r="Q534" s="20"/>
    </row>
    <row r="535" spans="1:17" s="1" customFormat="1" ht="14.25" customHeight="1" x14ac:dyDescent="0.3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L535" s="10"/>
      <c r="M535" s="19"/>
      <c r="N535" s="17"/>
      <c r="Q535" s="20"/>
    </row>
    <row r="536" spans="1:17" s="1" customFormat="1" ht="14.25" customHeight="1" x14ac:dyDescent="0.3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L536" s="10"/>
      <c r="M536" s="19"/>
      <c r="N536" s="17"/>
      <c r="Q536" s="20"/>
    </row>
    <row r="537" spans="1:17" s="1" customFormat="1" ht="14.25" customHeight="1" x14ac:dyDescent="0.3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L537" s="10"/>
      <c r="M537" s="19"/>
      <c r="N537" s="17"/>
      <c r="Q537" s="20"/>
    </row>
    <row r="538" spans="1:17" s="1" customFormat="1" ht="14.25" customHeight="1" x14ac:dyDescent="0.3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L538" s="10"/>
      <c r="M538" s="19"/>
      <c r="N538" s="17"/>
      <c r="Q538" s="20"/>
    </row>
    <row r="539" spans="1:17" s="1" customFormat="1" ht="14.25" customHeight="1" x14ac:dyDescent="0.3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L539" s="10"/>
      <c r="M539" s="19"/>
      <c r="N539" s="17"/>
      <c r="Q539" s="20"/>
    </row>
    <row r="540" spans="1:17" s="1" customFormat="1" ht="14.25" customHeight="1" x14ac:dyDescent="0.3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L540" s="10"/>
      <c r="M540" s="19"/>
      <c r="N540" s="17"/>
      <c r="Q540" s="20"/>
    </row>
    <row r="541" spans="1:17" s="1" customFormat="1" ht="14.25" customHeight="1" x14ac:dyDescent="0.3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L541" s="10"/>
      <c r="M541" s="19"/>
      <c r="N541" s="17"/>
      <c r="Q541" s="20"/>
    </row>
    <row r="542" spans="1:17" s="1" customFormat="1" ht="14.25" customHeight="1" x14ac:dyDescent="0.3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L542" s="10"/>
      <c r="M542" s="19"/>
      <c r="N542" s="17"/>
      <c r="Q542" s="20"/>
    </row>
    <row r="543" spans="1:17" s="1" customFormat="1" ht="14.25" customHeight="1" x14ac:dyDescent="0.3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L543" s="10"/>
      <c r="M543" s="19"/>
      <c r="N543" s="17"/>
      <c r="Q543" s="20"/>
    </row>
    <row r="544" spans="1:17" s="1" customFormat="1" ht="14.25" customHeight="1" x14ac:dyDescent="0.3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L544" s="10"/>
      <c r="M544" s="19"/>
      <c r="N544" s="17"/>
      <c r="Q544" s="20"/>
    </row>
    <row r="545" spans="1:17" s="1" customFormat="1" ht="14.25" customHeight="1" x14ac:dyDescent="0.3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L545" s="10"/>
      <c r="M545" s="19"/>
      <c r="N545" s="17"/>
      <c r="Q545" s="20"/>
    </row>
    <row r="546" spans="1:17" s="1" customFormat="1" ht="14.25" customHeight="1" x14ac:dyDescent="0.3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L546" s="10"/>
      <c r="M546" s="19"/>
      <c r="N546" s="17"/>
      <c r="Q546" s="20"/>
    </row>
    <row r="547" spans="1:17" s="1" customFormat="1" ht="14.25" customHeight="1" x14ac:dyDescent="0.3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L547" s="10"/>
      <c r="M547" s="19"/>
      <c r="N547" s="17"/>
      <c r="Q547" s="20"/>
    </row>
    <row r="548" spans="1:17" s="1" customFormat="1" ht="14.25" customHeight="1" x14ac:dyDescent="0.3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L548" s="10"/>
      <c r="M548" s="19"/>
      <c r="N548" s="17"/>
      <c r="Q548" s="20"/>
    </row>
    <row r="549" spans="1:17" s="1" customFormat="1" ht="14.25" customHeight="1" x14ac:dyDescent="0.3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L549" s="10"/>
      <c r="M549" s="19"/>
      <c r="N549" s="17"/>
      <c r="Q549" s="20"/>
    </row>
    <row r="550" spans="1:17" s="1" customFormat="1" ht="14.25" customHeight="1" x14ac:dyDescent="0.3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L550" s="10"/>
      <c r="M550" s="19"/>
      <c r="N550" s="17"/>
      <c r="Q550" s="20"/>
    </row>
    <row r="551" spans="1:17" s="1" customFormat="1" ht="14.25" customHeight="1" x14ac:dyDescent="0.3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L551" s="10"/>
      <c r="M551" s="19"/>
      <c r="N551" s="17"/>
      <c r="Q551" s="20"/>
    </row>
    <row r="552" spans="1:17" s="1" customFormat="1" ht="14.25" customHeight="1" x14ac:dyDescent="0.3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L552" s="10"/>
      <c r="M552" s="19"/>
      <c r="N552" s="17"/>
      <c r="Q552" s="20"/>
    </row>
    <row r="553" spans="1:17" s="1" customFormat="1" ht="14.25" customHeight="1" x14ac:dyDescent="0.3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L553" s="10"/>
      <c r="M553" s="19"/>
      <c r="N553" s="17"/>
      <c r="Q553" s="20"/>
    </row>
    <row r="554" spans="1:17" s="1" customFormat="1" ht="14.25" customHeight="1" x14ac:dyDescent="0.3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L554" s="10"/>
      <c r="M554" s="19"/>
      <c r="N554" s="17"/>
      <c r="Q554" s="20"/>
    </row>
    <row r="555" spans="1:17" s="1" customFormat="1" ht="14.25" customHeight="1" x14ac:dyDescent="0.3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L555" s="10"/>
      <c r="M555" s="19"/>
      <c r="N555" s="17"/>
      <c r="Q555" s="20"/>
    </row>
    <row r="556" spans="1:17" s="1" customFormat="1" ht="14.25" customHeight="1" x14ac:dyDescent="0.3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L556" s="10"/>
      <c r="M556" s="19"/>
      <c r="N556" s="17"/>
      <c r="Q556" s="20"/>
    </row>
    <row r="557" spans="1:17" s="1" customFormat="1" ht="14.25" customHeight="1" x14ac:dyDescent="0.3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L557" s="10"/>
      <c r="M557" s="19"/>
      <c r="N557" s="17"/>
      <c r="Q557" s="20"/>
    </row>
    <row r="558" spans="1:17" s="1" customFormat="1" ht="14.25" customHeight="1" x14ac:dyDescent="0.3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L558" s="10"/>
      <c r="M558" s="19"/>
      <c r="N558" s="17"/>
      <c r="Q558" s="20"/>
    </row>
    <row r="559" spans="1:17" s="1" customFormat="1" ht="14.25" customHeight="1" x14ac:dyDescent="0.3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L559" s="10"/>
      <c r="M559" s="19"/>
      <c r="N559" s="17"/>
      <c r="Q559" s="20"/>
    </row>
    <row r="560" spans="1:17" s="1" customFormat="1" ht="14.25" customHeight="1" x14ac:dyDescent="0.3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L560" s="10"/>
      <c r="M560" s="19"/>
      <c r="N560" s="17"/>
      <c r="Q560" s="20"/>
    </row>
    <row r="561" spans="1:17" s="1" customFormat="1" ht="14.25" customHeight="1" x14ac:dyDescent="0.3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L561" s="10"/>
      <c r="M561" s="19"/>
      <c r="N561" s="17"/>
      <c r="Q561" s="20"/>
    </row>
    <row r="562" spans="1:17" s="1" customFormat="1" ht="14.25" customHeight="1" x14ac:dyDescent="0.3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L562" s="10"/>
      <c r="M562" s="19"/>
      <c r="N562" s="17"/>
      <c r="Q562" s="20"/>
    </row>
    <row r="563" spans="1:17" s="1" customFormat="1" ht="14.25" customHeight="1" x14ac:dyDescent="0.3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L563" s="10"/>
      <c r="M563" s="19"/>
      <c r="N563" s="17"/>
      <c r="Q563" s="20"/>
    </row>
    <row r="564" spans="1:17" s="1" customFormat="1" ht="14.25" customHeight="1" x14ac:dyDescent="0.3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L564" s="10"/>
      <c r="M564" s="19"/>
      <c r="N564" s="17"/>
      <c r="Q564" s="20"/>
    </row>
    <row r="565" spans="1:17" s="1" customFormat="1" ht="14.25" customHeight="1" x14ac:dyDescent="0.3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L565" s="10"/>
      <c r="M565" s="19"/>
      <c r="N565" s="17"/>
      <c r="Q565" s="20"/>
    </row>
    <row r="566" spans="1:17" s="1" customFormat="1" ht="14.25" customHeight="1" x14ac:dyDescent="0.3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L566" s="10"/>
      <c r="M566" s="19"/>
      <c r="N566" s="17"/>
      <c r="Q566" s="20"/>
    </row>
    <row r="567" spans="1:17" s="1" customFormat="1" ht="14.25" customHeight="1" x14ac:dyDescent="0.3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L567" s="10"/>
      <c r="M567" s="19"/>
      <c r="N567" s="17"/>
      <c r="Q567" s="20"/>
    </row>
    <row r="568" spans="1:17" s="1" customFormat="1" ht="14.25" customHeight="1" x14ac:dyDescent="0.3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L568" s="10"/>
      <c r="M568" s="19"/>
      <c r="N568" s="17"/>
      <c r="Q568" s="20"/>
    </row>
    <row r="569" spans="1:17" s="1" customFormat="1" ht="14.25" customHeight="1" x14ac:dyDescent="0.3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L569" s="10"/>
      <c r="M569" s="19"/>
      <c r="N569" s="17"/>
      <c r="Q569" s="20"/>
    </row>
    <row r="570" spans="1:17" s="1" customFormat="1" ht="14.25" customHeight="1" x14ac:dyDescent="0.3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L570" s="10"/>
      <c r="M570" s="19"/>
      <c r="N570" s="17"/>
      <c r="Q570" s="20"/>
    </row>
    <row r="571" spans="1:17" s="1" customFormat="1" ht="14.25" customHeight="1" x14ac:dyDescent="0.3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L571" s="10"/>
      <c r="M571" s="19"/>
      <c r="N571" s="17"/>
      <c r="Q571" s="20"/>
    </row>
    <row r="572" spans="1:17" s="1" customFormat="1" ht="14.25" customHeight="1" x14ac:dyDescent="0.3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L572" s="10"/>
      <c r="M572" s="19"/>
      <c r="N572" s="17"/>
      <c r="Q572" s="20"/>
    </row>
    <row r="573" spans="1:17" s="1" customFormat="1" ht="14.25" customHeight="1" x14ac:dyDescent="0.3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L573" s="10"/>
      <c r="M573" s="19"/>
      <c r="N573" s="17"/>
      <c r="Q573" s="20"/>
    </row>
    <row r="574" spans="1:17" s="1" customFormat="1" ht="14.25" customHeight="1" x14ac:dyDescent="0.3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L574" s="10"/>
      <c r="M574" s="19"/>
      <c r="N574" s="17"/>
      <c r="Q574" s="20"/>
    </row>
    <row r="575" spans="1:17" s="1" customFormat="1" ht="14.25" customHeight="1" x14ac:dyDescent="0.3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L575" s="10"/>
      <c r="M575" s="19"/>
      <c r="N575" s="17"/>
      <c r="Q575" s="20"/>
    </row>
    <row r="576" spans="1:17" s="1" customFormat="1" ht="14.25" customHeight="1" x14ac:dyDescent="0.3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L576" s="10"/>
      <c r="M576" s="19"/>
      <c r="N576" s="17"/>
      <c r="Q576" s="20"/>
    </row>
    <row r="577" spans="1:17" s="1" customFormat="1" ht="14.25" customHeight="1" x14ac:dyDescent="0.3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L577" s="10"/>
      <c r="M577" s="19"/>
      <c r="N577" s="17"/>
      <c r="Q577" s="20"/>
    </row>
    <row r="578" spans="1:17" s="1" customFormat="1" ht="14.25" customHeight="1" x14ac:dyDescent="0.3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L578" s="10"/>
      <c r="M578" s="19"/>
      <c r="N578" s="17"/>
      <c r="Q578" s="20"/>
    </row>
    <row r="579" spans="1:17" s="1" customFormat="1" ht="14.25" customHeight="1" x14ac:dyDescent="0.3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L579" s="10"/>
      <c r="M579" s="19"/>
      <c r="N579" s="17"/>
      <c r="Q579" s="20"/>
    </row>
    <row r="580" spans="1:17" s="1" customFormat="1" ht="14.25" customHeight="1" x14ac:dyDescent="0.3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L580" s="10"/>
      <c r="M580" s="19"/>
      <c r="N580" s="17"/>
      <c r="Q580" s="20"/>
    </row>
    <row r="581" spans="1:17" s="1" customFormat="1" ht="14.25" customHeight="1" x14ac:dyDescent="0.3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L581" s="10"/>
      <c r="M581" s="19"/>
      <c r="N581" s="17"/>
      <c r="Q581" s="20"/>
    </row>
    <row r="582" spans="1:17" s="1" customFormat="1" ht="14.25" customHeight="1" x14ac:dyDescent="0.3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L582" s="10"/>
      <c r="M582" s="19"/>
      <c r="N582" s="17"/>
      <c r="Q582" s="20"/>
    </row>
    <row r="583" spans="1:17" s="1" customFormat="1" ht="14.25" customHeight="1" x14ac:dyDescent="0.3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L583" s="10"/>
      <c r="M583" s="19"/>
      <c r="N583" s="17"/>
      <c r="Q583" s="20"/>
    </row>
    <row r="584" spans="1:17" s="1" customFormat="1" ht="14.25" customHeight="1" x14ac:dyDescent="0.3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L584" s="10"/>
      <c r="M584" s="19"/>
      <c r="N584" s="17"/>
      <c r="Q584" s="20"/>
    </row>
    <row r="585" spans="1:17" s="1" customFormat="1" ht="14.25" customHeight="1" x14ac:dyDescent="0.3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L585" s="10"/>
      <c r="M585" s="19"/>
      <c r="N585" s="17"/>
      <c r="Q585" s="20"/>
    </row>
    <row r="586" spans="1:17" s="1" customFormat="1" ht="14.25" customHeight="1" x14ac:dyDescent="0.3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L586" s="10"/>
      <c r="M586" s="19"/>
      <c r="N586" s="17"/>
      <c r="Q586" s="20"/>
    </row>
    <row r="587" spans="1:17" s="1" customFormat="1" ht="14.25" customHeight="1" x14ac:dyDescent="0.3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L587" s="10"/>
      <c r="M587" s="19"/>
      <c r="N587" s="17"/>
      <c r="Q587" s="20"/>
    </row>
    <row r="588" spans="1:17" s="1" customFormat="1" ht="14.25" customHeight="1" x14ac:dyDescent="0.3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L588" s="10"/>
      <c r="M588" s="19"/>
      <c r="N588" s="17"/>
      <c r="Q588" s="20"/>
    </row>
    <row r="589" spans="1:17" s="1" customFormat="1" ht="14.25" customHeight="1" x14ac:dyDescent="0.3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L589" s="10"/>
      <c r="M589" s="19"/>
      <c r="N589" s="17"/>
      <c r="Q589" s="20"/>
    </row>
    <row r="590" spans="1:17" s="1" customFormat="1" ht="14.25" customHeight="1" x14ac:dyDescent="0.3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L590" s="10"/>
      <c r="M590" s="19"/>
      <c r="N590" s="17"/>
      <c r="Q590" s="20"/>
    </row>
    <row r="591" spans="1:17" s="1" customFormat="1" ht="14.25" customHeight="1" x14ac:dyDescent="0.3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L591" s="10"/>
      <c r="M591" s="19"/>
      <c r="N591" s="17"/>
      <c r="Q591" s="20"/>
    </row>
    <row r="592" spans="1:17" s="1" customFormat="1" ht="14.25" customHeight="1" x14ac:dyDescent="0.3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L592" s="10"/>
      <c r="M592" s="19"/>
      <c r="N592" s="17"/>
      <c r="Q592" s="20"/>
    </row>
    <row r="593" spans="1:17" s="1" customFormat="1" ht="14.25" customHeight="1" x14ac:dyDescent="0.3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L593" s="10"/>
      <c r="M593" s="19"/>
      <c r="N593" s="17"/>
      <c r="Q593" s="20"/>
    </row>
    <row r="594" spans="1:17" s="1" customFormat="1" ht="14.25" customHeight="1" x14ac:dyDescent="0.3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L594" s="10"/>
      <c r="M594" s="19"/>
      <c r="N594" s="17"/>
      <c r="Q594" s="20"/>
    </row>
    <row r="595" spans="1:17" s="1" customFormat="1" ht="14.25" customHeight="1" x14ac:dyDescent="0.3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L595" s="10"/>
      <c r="M595" s="19"/>
      <c r="N595" s="17"/>
      <c r="Q595" s="20"/>
    </row>
    <row r="596" spans="1:17" s="1" customFormat="1" ht="14.25" customHeight="1" x14ac:dyDescent="0.3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L596" s="10"/>
      <c r="M596" s="19"/>
      <c r="N596" s="17"/>
      <c r="Q596" s="20"/>
    </row>
    <row r="597" spans="1:17" s="1" customFormat="1" ht="14.25" customHeight="1" x14ac:dyDescent="0.3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L597" s="10"/>
      <c r="M597" s="19"/>
      <c r="N597" s="17"/>
      <c r="Q597" s="20"/>
    </row>
    <row r="598" spans="1:17" s="1" customFormat="1" ht="14.25" customHeight="1" x14ac:dyDescent="0.3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L598" s="10"/>
      <c r="M598" s="19"/>
      <c r="N598" s="17"/>
      <c r="Q598" s="20"/>
    </row>
    <row r="599" spans="1:17" s="1" customFormat="1" ht="14.25" customHeight="1" x14ac:dyDescent="0.3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L599" s="10"/>
      <c r="M599" s="19"/>
      <c r="N599" s="17"/>
      <c r="Q599" s="20"/>
    </row>
    <row r="600" spans="1:17" s="1" customFormat="1" ht="14.25" customHeight="1" x14ac:dyDescent="0.3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L600" s="10"/>
      <c r="M600" s="19"/>
      <c r="N600" s="17"/>
      <c r="Q600" s="20"/>
    </row>
    <row r="601" spans="1:17" s="1" customFormat="1" ht="14.25" customHeight="1" x14ac:dyDescent="0.3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L601" s="10"/>
      <c r="M601" s="19"/>
      <c r="N601" s="17"/>
      <c r="Q601" s="20"/>
    </row>
    <row r="602" spans="1:17" s="1" customFormat="1" ht="14.25" customHeight="1" x14ac:dyDescent="0.3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L602" s="10"/>
      <c r="M602" s="19"/>
      <c r="N602" s="17"/>
      <c r="Q602" s="20"/>
    </row>
    <row r="603" spans="1:17" s="1" customFormat="1" ht="14.25" customHeight="1" x14ac:dyDescent="0.3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L603" s="10"/>
      <c r="M603" s="19"/>
      <c r="N603" s="17"/>
      <c r="Q603" s="20"/>
    </row>
    <row r="604" spans="1:17" s="1" customFormat="1" ht="14.25" customHeight="1" x14ac:dyDescent="0.3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L604" s="10"/>
      <c r="M604" s="19"/>
      <c r="N604" s="17"/>
      <c r="Q604" s="20"/>
    </row>
    <row r="605" spans="1:17" s="1" customFormat="1" ht="14.25" customHeight="1" x14ac:dyDescent="0.3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L605" s="10"/>
      <c r="M605" s="19"/>
      <c r="N605" s="17"/>
      <c r="Q605" s="20"/>
    </row>
    <row r="606" spans="1:17" s="1" customFormat="1" ht="14.25" customHeight="1" x14ac:dyDescent="0.3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L606" s="10"/>
      <c r="M606" s="19"/>
      <c r="N606" s="17"/>
      <c r="Q606" s="20"/>
    </row>
    <row r="607" spans="1:17" s="1" customFormat="1" ht="14.25" customHeight="1" x14ac:dyDescent="0.3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L607" s="10"/>
      <c r="M607" s="19"/>
      <c r="N607" s="17"/>
      <c r="Q607" s="20"/>
    </row>
    <row r="608" spans="1:17" s="1" customFormat="1" ht="14.25" customHeight="1" x14ac:dyDescent="0.3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L608" s="10"/>
      <c r="M608" s="19"/>
      <c r="N608" s="17"/>
      <c r="Q608" s="20"/>
    </row>
    <row r="609" spans="1:17" s="1" customFormat="1" ht="14.25" customHeight="1" x14ac:dyDescent="0.3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L609" s="10"/>
      <c r="M609" s="19"/>
      <c r="N609" s="17"/>
      <c r="Q609" s="20"/>
    </row>
    <row r="610" spans="1:17" s="1" customFormat="1" ht="14.25" customHeight="1" x14ac:dyDescent="0.3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L610" s="10"/>
      <c r="M610" s="19"/>
      <c r="N610" s="17"/>
      <c r="Q610" s="20"/>
    </row>
    <row r="611" spans="1:17" s="1" customFormat="1" ht="14.25" customHeight="1" x14ac:dyDescent="0.3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L611" s="10"/>
      <c r="M611" s="19"/>
      <c r="N611" s="17"/>
      <c r="Q611" s="20"/>
    </row>
    <row r="612" spans="1:17" s="1" customFormat="1" ht="14.25" customHeight="1" x14ac:dyDescent="0.3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L612" s="10"/>
      <c r="M612" s="19"/>
      <c r="N612" s="17"/>
      <c r="Q612" s="20"/>
    </row>
    <row r="613" spans="1:17" s="1" customFormat="1" ht="14.25" customHeight="1" x14ac:dyDescent="0.3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L613" s="10"/>
      <c r="M613" s="19"/>
      <c r="N613" s="17"/>
      <c r="Q613" s="20"/>
    </row>
    <row r="614" spans="1:17" s="1" customFormat="1" ht="14.25" customHeight="1" x14ac:dyDescent="0.3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L614" s="10"/>
      <c r="M614" s="19"/>
      <c r="N614" s="17"/>
      <c r="Q614" s="20"/>
    </row>
    <row r="615" spans="1:17" s="1" customFormat="1" ht="14.25" customHeight="1" x14ac:dyDescent="0.3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L615" s="10"/>
      <c r="M615" s="19"/>
      <c r="N615" s="17"/>
      <c r="Q615" s="20"/>
    </row>
    <row r="616" spans="1:17" s="1" customFormat="1" ht="14.25" customHeight="1" x14ac:dyDescent="0.3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L616" s="10"/>
      <c r="M616" s="19"/>
      <c r="N616" s="17"/>
      <c r="Q616" s="20"/>
    </row>
    <row r="617" spans="1:17" s="1" customFormat="1" ht="14.25" customHeight="1" x14ac:dyDescent="0.3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L617" s="10"/>
      <c r="M617" s="19"/>
      <c r="N617" s="17"/>
      <c r="Q617" s="20"/>
    </row>
    <row r="618" spans="1:17" s="1" customFormat="1" ht="14.25" customHeight="1" x14ac:dyDescent="0.3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L618" s="10"/>
      <c r="M618" s="19"/>
      <c r="N618" s="17"/>
      <c r="Q618" s="20"/>
    </row>
    <row r="619" spans="1:17" s="1" customFormat="1" ht="14.25" customHeight="1" x14ac:dyDescent="0.3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L619" s="10"/>
      <c r="M619" s="19"/>
      <c r="N619" s="17"/>
      <c r="Q619" s="20"/>
    </row>
    <row r="620" spans="1:17" s="1" customFormat="1" ht="14.25" customHeight="1" x14ac:dyDescent="0.3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L620" s="10"/>
      <c r="M620" s="19"/>
      <c r="N620" s="17"/>
      <c r="Q620" s="20"/>
    </row>
    <row r="621" spans="1:17" s="1" customFormat="1" ht="14.25" customHeight="1" x14ac:dyDescent="0.3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L621" s="10"/>
      <c r="M621" s="19"/>
      <c r="N621" s="17"/>
      <c r="Q621" s="20"/>
    </row>
    <row r="622" spans="1:17" s="1" customFormat="1" ht="14.25" customHeight="1" x14ac:dyDescent="0.3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L622" s="10"/>
      <c r="M622" s="19"/>
      <c r="N622" s="17"/>
      <c r="Q622" s="20"/>
    </row>
    <row r="623" spans="1:17" s="1" customFormat="1" ht="14.25" customHeight="1" x14ac:dyDescent="0.3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L623" s="10"/>
      <c r="M623" s="19"/>
      <c r="N623" s="17"/>
      <c r="Q623" s="20"/>
    </row>
    <row r="624" spans="1:17" s="1" customFormat="1" ht="14.25" customHeight="1" x14ac:dyDescent="0.3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L624" s="10"/>
      <c r="M624" s="19"/>
      <c r="N624" s="17"/>
      <c r="Q624" s="20"/>
    </row>
    <row r="625" spans="1:17" s="1" customFormat="1" ht="14.25" customHeight="1" x14ac:dyDescent="0.3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L625" s="10"/>
      <c r="M625" s="19"/>
      <c r="N625" s="17"/>
      <c r="Q625" s="20"/>
    </row>
    <row r="626" spans="1:17" s="1" customFormat="1" ht="14.25" customHeight="1" x14ac:dyDescent="0.3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L626" s="10"/>
      <c r="M626" s="19"/>
      <c r="N626" s="17"/>
      <c r="Q626" s="20"/>
    </row>
    <row r="627" spans="1:17" s="1" customFormat="1" ht="14.25" customHeight="1" x14ac:dyDescent="0.3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L627" s="10"/>
      <c r="M627" s="19"/>
      <c r="N627" s="17"/>
      <c r="Q627" s="20"/>
    </row>
    <row r="628" spans="1:17" s="1" customFormat="1" ht="14.25" customHeight="1" x14ac:dyDescent="0.3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L628" s="10"/>
      <c r="M628" s="19"/>
      <c r="N628" s="17"/>
      <c r="Q628" s="20"/>
    </row>
    <row r="629" spans="1:17" s="1" customFormat="1" ht="14.25" customHeight="1" x14ac:dyDescent="0.3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L629" s="10"/>
      <c r="M629" s="19"/>
      <c r="N629" s="17"/>
      <c r="Q629" s="20"/>
    </row>
    <row r="630" spans="1:17" s="1" customFormat="1" ht="14.25" customHeight="1" x14ac:dyDescent="0.3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L630" s="10"/>
      <c r="M630" s="19"/>
      <c r="N630" s="17"/>
      <c r="Q630" s="20"/>
    </row>
    <row r="631" spans="1:17" s="1" customFormat="1" ht="14.25" customHeight="1" x14ac:dyDescent="0.3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L631" s="10"/>
      <c r="M631" s="19"/>
      <c r="N631" s="17"/>
      <c r="Q631" s="20"/>
    </row>
    <row r="632" spans="1:17" s="1" customFormat="1" ht="14.25" customHeight="1" x14ac:dyDescent="0.3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L632" s="10"/>
      <c r="M632" s="19"/>
      <c r="N632" s="17"/>
      <c r="Q632" s="20"/>
    </row>
    <row r="633" spans="1:17" s="1" customFormat="1" ht="14.25" customHeight="1" x14ac:dyDescent="0.3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L633" s="10"/>
      <c r="M633" s="19"/>
      <c r="N633" s="17"/>
      <c r="Q633" s="20"/>
    </row>
    <row r="634" spans="1:17" s="1" customFormat="1" ht="14.25" customHeight="1" x14ac:dyDescent="0.3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L634" s="10"/>
      <c r="M634" s="19"/>
      <c r="N634" s="17"/>
      <c r="Q634" s="20"/>
    </row>
    <row r="635" spans="1:17" s="1" customFormat="1" ht="14.25" customHeight="1" x14ac:dyDescent="0.3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L635" s="10"/>
      <c r="M635" s="19"/>
      <c r="N635" s="17"/>
      <c r="Q635" s="20"/>
    </row>
    <row r="636" spans="1:17" s="1" customFormat="1" ht="14.25" customHeight="1" x14ac:dyDescent="0.3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L636" s="10"/>
      <c r="M636" s="19"/>
      <c r="N636" s="17"/>
      <c r="Q636" s="20"/>
    </row>
    <row r="637" spans="1:17" s="1" customFormat="1" ht="14.25" customHeight="1" x14ac:dyDescent="0.3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L637" s="10"/>
      <c r="M637" s="19"/>
      <c r="N637" s="17"/>
      <c r="Q637" s="20"/>
    </row>
    <row r="638" spans="1:17" s="1" customFormat="1" ht="14.25" customHeight="1" x14ac:dyDescent="0.3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L638" s="10"/>
      <c r="M638" s="19"/>
      <c r="N638" s="17"/>
      <c r="Q638" s="20"/>
    </row>
    <row r="639" spans="1:17" s="1" customFormat="1" ht="14.25" customHeight="1" x14ac:dyDescent="0.3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L639" s="10"/>
      <c r="M639" s="19"/>
      <c r="N639" s="17"/>
      <c r="Q639" s="20"/>
    </row>
    <row r="640" spans="1:17" s="1" customFormat="1" ht="14.25" customHeight="1" x14ac:dyDescent="0.3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L640" s="10"/>
      <c r="M640" s="19"/>
      <c r="N640" s="17"/>
      <c r="Q640" s="20"/>
    </row>
    <row r="641" spans="1:17" s="1" customFormat="1" ht="14.25" customHeight="1" x14ac:dyDescent="0.3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L641" s="10"/>
      <c r="M641" s="19"/>
      <c r="N641" s="17"/>
      <c r="Q641" s="20"/>
    </row>
    <row r="642" spans="1:17" s="1" customFormat="1" ht="14.25" customHeight="1" x14ac:dyDescent="0.3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L642" s="10"/>
      <c r="M642" s="19"/>
      <c r="N642" s="17"/>
      <c r="Q642" s="20"/>
    </row>
    <row r="643" spans="1:17" s="1" customFormat="1" ht="14.25" customHeight="1" x14ac:dyDescent="0.3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L643" s="10"/>
      <c r="M643" s="19"/>
      <c r="N643" s="17"/>
      <c r="Q643" s="20"/>
    </row>
    <row r="644" spans="1:17" s="1" customFormat="1" ht="14.25" customHeight="1" x14ac:dyDescent="0.3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L644" s="10"/>
      <c r="M644" s="19"/>
      <c r="N644" s="17"/>
      <c r="Q644" s="20"/>
    </row>
    <row r="645" spans="1:17" s="1" customFormat="1" ht="14.25" customHeight="1" x14ac:dyDescent="0.3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L645" s="10"/>
      <c r="M645" s="19"/>
      <c r="N645" s="17"/>
      <c r="Q645" s="20"/>
    </row>
    <row r="646" spans="1:17" s="1" customFormat="1" ht="14.25" customHeight="1" x14ac:dyDescent="0.3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L646" s="10"/>
      <c r="M646" s="19"/>
      <c r="N646" s="17"/>
      <c r="Q646" s="20"/>
    </row>
    <row r="647" spans="1:17" s="1" customFormat="1" ht="14.25" customHeight="1" x14ac:dyDescent="0.3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L647" s="10"/>
      <c r="M647" s="19"/>
      <c r="N647" s="17"/>
      <c r="Q647" s="20"/>
    </row>
    <row r="648" spans="1:17" s="1" customFormat="1" ht="14.25" customHeight="1" x14ac:dyDescent="0.3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L648" s="10"/>
      <c r="M648" s="19"/>
      <c r="N648" s="17"/>
      <c r="Q648" s="20"/>
    </row>
    <row r="649" spans="1:17" s="1" customFormat="1" ht="14.25" customHeight="1" x14ac:dyDescent="0.3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L649" s="10"/>
      <c r="M649" s="19"/>
      <c r="N649" s="17"/>
      <c r="Q649" s="20"/>
    </row>
    <row r="650" spans="1:17" s="1" customFormat="1" ht="14.25" customHeight="1" x14ac:dyDescent="0.3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L650" s="10"/>
      <c r="M650" s="19"/>
      <c r="N650" s="17"/>
      <c r="Q650" s="20"/>
    </row>
    <row r="651" spans="1:17" s="1" customFormat="1" ht="14.25" customHeight="1" x14ac:dyDescent="0.3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L651" s="10"/>
      <c r="M651" s="19"/>
      <c r="N651" s="17"/>
      <c r="Q651" s="20"/>
    </row>
    <row r="652" spans="1:17" s="1" customFormat="1" ht="14.25" customHeight="1" x14ac:dyDescent="0.3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L652" s="10"/>
      <c r="M652" s="19"/>
      <c r="N652" s="17"/>
      <c r="Q652" s="20"/>
    </row>
    <row r="653" spans="1:17" s="1" customFormat="1" ht="14.25" customHeight="1" x14ac:dyDescent="0.3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L653" s="10"/>
      <c r="M653" s="19"/>
      <c r="N653" s="17"/>
      <c r="Q653" s="20"/>
    </row>
    <row r="654" spans="1:17" s="1" customFormat="1" ht="14.25" customHeight="1" x14ac:dyDescent="0.3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L654" s="10"/>
      <c r="M654" s="19"/>
      <c r="N654" s="17"/>
      <c r="Q654" s="20"/>
    </row>
    <row r="655" spans="1:17" s="1" customFormat="1" ht="14.25" customHeight="1" x14ac:dyDescent="0.3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L655" s="10"/>
      <c r="M655" s="19"/>
      <c r="N655" s="17"/>
      <c r="Q655" s="20"/>
    </row>
    <row r="656" spans="1:17" s="1" customFormat="1" ht="14.25" customHeight="1" x14ac:dyDescent="0.3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L656" s="10"/>
      <c r="M656" s="19"/>
      <c r="N656" s="17"/>
      <c r="Q656" s="20"/>
    </row>
    <row r="657" spans="1:17" s="1" customFormat="1" ht="14.25" customHeight="1" x14ac:dyDescent="0.3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L657" s="10"/>
      <c r="M657" s="19"/>
      <c r="N657" s="17"/>
      <c r="Q657" s="20"/>
    </row>
    <row r="658" spans="1:17" s="1" customFormat="1" ht="14.25" customHeight="1" x14ac:dyDescent="0.3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L658" s="10"/>
      <c r="M658" s="19"/>
      <c r="N658" s="17"/>
      <c r="Q658" s="20"/>
    </row>
    <row r="659" spans="1:17" s="1" customFormat="1" ht="14.25" customHeight="1" x14ac:dyDescent="0.3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L659" s="10"/>
      <c r="M659" s="19"/>
      <c r="N659" s="17"/>
      <c r="Q659" s="20"/>
    </row>
    <row r="660" spans="1:17" s="1" customFormat="1" ht="14.25" customHeight="1" x14ac:dyDescent="0.3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L660" s="10"/>
      <c r="M660" s="19"/>
      <c r="N660" s="17"/>
      <c r="Q660" s="20"/>
    </row>
    <row r="661" spans="1:17" s="1" customFormat="1" ht="14.25" customHeight="1" x14ac:dyDescent="0.3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L661" s="10"/>
      <c r="M661" s="19"/>
      <c r="N661" s="17"/>
      <c r="Q661" s="20"/>
    </row>
    <row r="662" spans="1:17" s="1" customFormat="1" ht="14.25" customHeight="1" x14ac:dyDescent="0.3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L662" s="10"/>
      <c r="M662" s="19"/>
      <c r="N662" s="17"/>
      <c r="Q662" s="20"/>
    </row>
    <row r="663" spans="1:17" s="1" customFormat="1" ht="14.25" customHeight="1" x14ac:dyDescent="0.3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L663" s="10"/>
      <c r="M663" s="19"/>
      <c r="N663" s="17"/>
      <c r="Q663" s="20"/>
    </row>
    <row r="664" spans="1:17" s="1" customFormat="1" ht="14.25" customHeight="1" x14ac:dyDescent="0.3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L664" s="10"/>
      <c r="M664" s="19"/>
      <c r="N664" s="17"/>
      <c r="Q664" s="20"/>
    </row>
    <row r="665" spans="1:17" s="1" customFormat="1" ht="14.25" customHeight="1" x14ac:dyDescent="0.3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L665" s="10"/>
      <c r="M665" s="19"/>
      <c r="N665" s="17"/>
      <c r="Q665" s="20"/>
    </row>
    <row r="666" spans="1:17" s="1" customFormat="1" ht="14.25" customHeight="1" x14ac:dyDescent="0.3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L666" s="10"/>
      <c r="M666" s="19"/>
      <c r="N666" s="17"/>
      <c r="Q666" s="20"/>
    </row>
    <row r="667" spans="1:17" s="1" customFormat="1" ht="14.25" customHeight="1" x14ac:dyDescent="0.3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L667" s="10"/>
      <c r="M667" s="19"/>
      <c r="N667" s="17"/>
      <c r="Q667" s="20"/>
    </row>
    <row r="668" spans="1:17" s="1" customFormat="1" ht="14.25" customHeight="1" x14ac:dyDescent="0.3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L668" s="10"/>
      <c r="M668" s="19"/>
      <c r="N668" s="17"/>
      <c r="Q668" s="20"/>
    </row>
    <row r="669" spans="1:17" s="1" customFormat="1" ht="14.25" customHeight="1" x14ac:dyDescent="0.3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L669" s="10"/>
      <c r="M669" s="19"/>
      <c r="N669" s="17"/>
      <c r="Q669" s="20"/>
    </row>
    <row r="670" spans="1:17" s="1" customFormat="1" ht="14.25" customHeight="1" x14ac:dyDescent="0.3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L670" s="10"/>
      <c r="M670" s="19"/>
      <c r="N670" s="17"/>
      <c r="Q670" s="20"/>
    </row>
    <row r="671" spans="1:17" s="1" customFormat="1" ht="14.25" customHeight="1" x14ac:dyDescent="0.3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L671" s="10"/>
      <c r="M671" s="19"/>
      <c r="N671" s="17"/>
      <c r="Q671" s="20"/>
    </row>
    <row r="672" spans="1:17" s="1" customFormat="1" ht="14.25" customHeight="1" x14ac:dyDescent="0.3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L672" s="10"/>
      <c r="M672" s="19"/>
      <c r="N672" s="17"/>
      <c r="Q672" s="20"/>
    </row>
    <row r="673" spans="1:17" s="1" customFormat="1" ht="14.25" customHeight="1" x14ac:dyDescent="0.3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L673" s="10"/>
      <c r="M673" s="19"/>
      <c r="N673" s="17"/>
      <c r="Q673" s="20"/>
    </row>
    <row r="674" spans="1:17" s="1" customFormat="1" ht="14.25" customHeight="1" x14ac:dyDescent="0.3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L674" s="10"/>
      <c r="M674" s="19"/>
      <c r="N674" s="17"/>
      <c r="Q674" s="20"/>
    </row>
    <row r="675" spans="1:17" s="1" customFormat="1" ht="14.25" customHeight="1" x14ac:dyDescent="0.3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L675" s="10"/>
      <c r="M675" s="19"/>
      <c r="N675" s="17"/>
      <c r="Q675" s="20"/>
    </row>
    <row r="676" spans="1:17" s="1" customFormat="1" ht="14.25" customHeight="1" x14ac:dyDescent="0.3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L676" s="10"/>
      <c r="M676" s="19"/>
      <c r="N676" s="17"/>
      <c r="Q676" s="20"/>
    </row>
    <row r="677" spans="1:17" s="1" customFormat="1" ht="14.25" customHeight="1" x14ac:dyDescent="0.3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L677" s="10"/>
      <c r="M677" s="19"/>
      <c r="N677" s="17"/>
      <c r="Q677" s="20"/>
    </row>
    <row r="678" spans="1:17" s="1" customFormat="1" ht="14.25" customHeight="1" x14ac:dyDescent="0.3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L678" s="10"/>
      <c r="M678" s="19"/>
      <c r="N678" s="17"/>
      <c r="Q678" s="20"/>
    </row>
    <row r="679" spans="1:17" s="1" customFormat="1" ht="14.25" customHeight="1" x14ac:dyDescent="0.3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L679" s="10"/>
      <c r="M679" s="19"/>
      <c r="N679" s="17"/>
      <c r="Q679" s="20"/>
    </row>
    <row r="680" spans="1:17" s="1" customFormat="1" ht="14.25" customHeight="1" x14ac:dyDescent="0.3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L680" s="10"/>
      <c r="M680" s="19"/>
      <c r="N680" s="17"/>
      <c r="Q680" s="20"/>
    </row>
    <row r="681" spans="1:17" s="1" customFormat="1" ht="14.25" customHeight="1" x14ac:dyDescent="0.3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L681" s="10"/>
      <c r="M681" s="19"/>
      <c r="N681" s="17"/>
      <c r="Q681" s="20"/>
    </row>
    <row r="682" spans="1:17" s="1" customFormat="1" ht="14.25" customHeight="1" x14ac:dyDescent="0.3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L682" s="10"/>
      <c r="M682" s="19"/>
      <c r="N682" s="17"/>
      <c r="Q682" s="20"/>
    </row>
    <row r="683" spans="1:17" s="1" customFormat="1" ht="14.25" customHeight="1" x14ac:dyDescent="0.3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L683" s="10"/>
      <c r="M683" s="19"/>
      <c r="N683" s="17"/>
      <c r="Q683" s="20"/>
    </row>
    <row r="684" spans="1:17" s="1" customFormat="1" ht="14.25" customHeight="1" x14ac:dyDescent="0.3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L684" s="10"/>
      <c r="M684" s="19"/>
      <c r="N684" s="17"/>
      <c r="Q684" s="20"/>
    </row>
    <row r="685" spans="1:17" s="1" customFormat="1" ht="14.25" customHeight="1" x14ac:dyDescent="0.3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L685" s="10"/>
      <c r="M685" s="19"/>
      <c r="N685" s="17"/>
      <c r="Q685" s="20"/>
    </row>
    <row r="686" spans="1:17" s="1" customFormat="1" ht="14.25" customHeight="1" x14ac:dyDescent="0.3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L686" s="10"/>
      <c r="M686" s="19"/>
      <c r="N686" s="17"/>
      <c r="Q686" s="20"/>
    </row>
    <row r="687" spans="1:17" s="1" customFormat="1" ht="14.25" customHeight="1" x14ac:dyDescent="0.3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L687" s="10"/>
      <c r="M687" s="19"/>
      <c r="N687" s="17"/>
      <c r="Q687" s="20"/>
    </row>
    <row r="688" spans="1:17" s="1" customFormat="1" ht="14.25" customHeight="1" x14ac:dyDescent="0.3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L688" s="10"/>
      <c r="M688" s="19"/>
      <c r="N688" s="17"/>
      <c r="Q688" s="20"/>
    </row>
    <row r="689" spans="1:17" s="1" customFormat="1" ht="14.25" customHeight="1" x14ac:dyDescent="0.3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L689" s="10"/>
      <c r="M689" s="19"/>
      <c r="N689" s="17"/>
      <c r="Q689" s="20"/>
    </row>
    <row r="690" spans="1:17" s="1" customFormat="1" ht="14.25" customHeight="1" x14ac:dyDescent="0.3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L690" s="10"/>
      <c r="M690" s="19"/>
      <c r="N690" s="17"/>
      <c r="Q690" s="20"/>
    </row>
    <row r="691" spans="1:17" s="1" customFormat="1" ht="14.25" customHeight="1" x14ac:dyDescent="0.3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L691" s="10"/>
      <c r="M691" s="19"/>
      <c r="N691" s="17"/>
      <c r="Q691" s="20"/>
    </row>
    <row r="692" spans="1:17" s="1" customFormat="1" ht="14.25" customHeight="1" x14ac:dyDescent="0.3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L692" s="10"/>
      <c r="M692" s="19"/>
      <c r="N692" s="17"/>
      <c r="Q692" s="20"/>
    </row>
    <row r="693" spans="1:17" s="1" customFormat="1" ht="14.25" customHeight="1" x14ac:dyDescent="0.3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L693" s="10"/>
      <c r="M693" s="19"/>
      <c r="N693" s="17"/>
      <c r="Q693" s="20"/>
    </row>
    <row r="694" spans="1:17" s="1" customFormat="1" ht="14.25" customHeight="1" x14ac:dyDescent="0.3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L694" s="10"/>
      <c r="M694" s="19"/>
      <c r="N694" s="17"/>
      <c r="Q694" s="20"/>
    </row>
    <row r="695" spans="1:17" s="1" customFormat="1" ht="14.25" customHeight="1" x14ac:dyDescent="0.3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L695" s="10"/>
      <c r="M695" s="19"/>
      <c r="N695" s="17"/>
      <c r="Q695" s="20"/>
    </row>
    <row r="696" spans="1:17" s="1" customFormat="1" ht="14.25" customHeight="1" x14ac:dyDescent="0.3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L696" s="10"/>
      <c r="M696" s="19"/>
      <c r="N696" s="17"/>
      <c r="Q696" s="20"/>
    </row>
    <row r="697" spans="1:17" s="1" customFormat="1" ht="14.25" customHeight="1" x14ac:dyDescent="0.3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L697" s="10"/>
      <c r="M697" s="19"/>
      <c r="N697" s="17"/>
      <c r="Q697" s="20"/>
    </row>
    <row r="698" spans="1:17" s="1" customFormat="1" ht="14.25" customHeight="1" x14ac:dyDescent="0.3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L698" s="10"/>
      <c r="M698" s="19"/>
      <c r="N698" s="17"/>
      <c r="Q698" s="20"/>
    </row>
    <row r="699" spans="1:17" s="1" customFormat="1" ht="14.25" customHeight="1" x14ac:dyDescent="0.3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L699" s="10"/>
      <c r="M699" s="19"/>
      <c r="N699" s="17"/>
      <c r="Q699" s="20"/>
    </row>
    <row r="700" spans="1:17" s="1" customFormat="1" ht="14.25" customHeight="1" x14ac:dyDescent="0.3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L700" s="10"/>
      <c r="M700" s="19"/>
      <c r="N700" s="17"/>
      <c r="Q700" s="20"/>
    </row>
    <row r="701" spans="1:17" s="1" customFormat="1" ht="14.25" customHeight="1" x14ac:dyDescent="0.3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L701" s="10"/>
      <c r="M701" s="19"/>
      <c r="N701" s="17"/>
      <c r="Q701" s="20"/>
    </row>
    <row r="702" spans="1:17" s="1" customFormat="1" ht="14.25" customHeight="1" x14ac:dyDescent="0.3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L702" s="10"/>
      <c r="M702" s="19"/>
      <c r="N702" s="17"/>
      <c r="Q702" s="20"/>
    </row>
    <row r="703" spans="1:17" s="1" customFormat="1" ht="14.25" customHeight="1" x14ac:dyDescent="0.3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L703" s="10"/>
      <c r="M703" s="19"/>
      <c r="N703" s="17"/>
      <c r="Q703" s="20"/>
    </row>
    <row r="704" spans="1:17" s="1" customFormat="1" ht="14.25" customHeight="1" x14ac:dyDescent="0.3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L704" s="10"/>
      <c r="M704" s="19"/>
      <c r="N704" s="17"/>
      <c r="Q704" s="20"/>
    </row>
    <row r="705" spans="1:17" s="1" customFormat="1" ht="14.25" customHeight="1" x14ac:dyDescent="0.3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L705" s="10"/>
      <c r="M705" s="19"/>
      <c r="N705" s="17"/>
      <c r="Q705" s="20"/>
    </row>
    <row r="706" spans="1:17" s="1" customFormat="1" ht="14.25" customHeight="1" x14ac:dyDescent="0.3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L706" s="10"/>
      <c r="M706" s="19"/>
      <c r="N706" s="17"/>
      <c r="Q706" s="20"/>
    </row>
    <row r="707" spans="1:17" s="1" customFormat="1" ht="14.25" customHeight="1" x14ac:dyDescent="0.3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L707" s="10"/>
      <c r="M707" s="19"/>
      <c r="N707" s="17"/>
      <c r="Q707" s="20"/>
    </row>
    <row r="708" spans="1:17" s="1" customFormat="1" ht="14.25" customHeight="1" x14ac:dyDescent="0.3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L708" s="10"/>
      <c r="M708" s="19"/>
      <c r="N708" s="17"/>
      <c r="Q708" s="20"/>
    </row>
    <row r="709" spans="1:17" s="1" customFormat="1" ht="14.25" customHeight="1" x14ac:dyDescent="0.3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L709" s="10"/>
      <c r="M709" s="19"/>
      <c r="N709" s="17"/>
      <c r="Q709" s="20"/>
    </row>
    <row r="710" spans="1:17" s="1" customFormat="1" ht="14.25" customHeight="1" x14ac:dyDescent="0.3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L710" s="10"/>
      <c r="M710" s="19"/>
      <c r="N710" s="17"/>
      <c r="Q710" s="20"/>
    </row>
    <row r="711" spans="1:17" s="1" customFormat="1" ht="14.25" customHeight="1" x14ac:dyDescent="0.3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L711" s="10"/>
      <c r="M711" s="19"/>
      <c r="N711" s="17"/>
      <c r="Q711" s="20"/>
    </row>
    <row r="712" spans="1:17" s="1" customFormat="1" ht="14.25" customHeight="1" x14ac:dyDescent="0.3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L712" s="10"/>
      <c r="M712" s="19"/>
      <c r="N712" s="17"/>
      <c r="Q712" s="20"/>
    </row>
    <row r="713" spans="1:17" s="1" customFormat="1" ht="14.25" customHeight="1" x14ac:dyDescent="0.3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L713" s="10"/>
      <c r="M713" s="19"/>
      <c r="N713" s="17"/>
      <c r="Q713" s="20"/>
    </row>
    <row r="714" spans="1:17" s="1" customFormat="1" ht="14.25" customHeight="1" x14ac:dyDescent="0.3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L714" s="10"/>
      <c r="M714" s="19"/>
      <c r="N714" s="17"/>
      <c r="Q714" s="20"/>
    </row>
    <row r="715" spans="1:17" s="1" customFormat="1" ht="14.25" customHeight="1" x14ac:dyDescent="0.3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L715" s="10"/>
      <c r="M715" s="19"/>
      <c r="N715" s="17"/>
      <c r="Q715" s="20"/>
    </row>
    <row r="716" spans="1:17" s="1" customFormat="1" ht="14.25" customHeight="1" x14ac:dyDescent="0.3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L716" s="10"/>
      <c r="M716" s="19"/>
      <c r="N716" s="17"/>
      <c r="Q716" s="20"/>
    </row>
    <row r="717" spans="1:17" s="1" customFormat="1" ht="14.25" customHeight="1" x14ac:dyDescent="0.3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L717" s="10"/>
      <c r="M717" s="19"/>
      <c r="N717" s="17"/>
      <c r="Q717" s="20"/>
    </row>
    <row r="718" spans="1:17" s="1" customFormat="1" ht="14.25" customHeight="1" x14ac:dyDescent="0.3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L718" s="10"/>
      <c r="M718" s="19"/>
      <c r="N718" s="17"/>
      <c r="Q718" s="20"/>
    </row>
    <row r="719" spans="1:17" s="1" customFormat="1" ht="14.25" customHeight="1" x14ac:dyDescent="0.3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L719" s="10"/>
      <c r="M719" s="19"/>
      <c r="N719" s="17"/>
      <c r="Q719" s="20"/>
    </row>
    <row r="720" spans="1:17" s="1" customFormat="1" ht="14.25" customHeight="1" x14ac:dyDescent="0.3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L720" s="10"/>
      <c r="M720" s="19"/>
      <c r="N720" s="17"/>
      <c r="Q720" s="20"/>
    </row>
    <row r="721" spans="1:17" s="1" customFormat="1" ht="14.25" customHeight="1" x14ac:dyDescent="0.3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L721" s="10"/>
      <c r="M721" s="19"/>
      <c r="N721" s="17"/>
      <c r="Q721" s="20"/>
    </row>
    <row r="722" spans="1:17" s="1" customFormat="1" ht="14.25" customHeight="1" x14ac:dyDescent="0.3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L722" s="10"/>
      <c r="M722" s="19"/>
      <c r="N722" s="17"/>
      <c r="Q722" s="20"/>
    </row>
    <row r="723" spans="1:17" s="1" customFormat="1" ht="14.25" customHeight="1" x14ac:dyDescent="0.3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L723" s="10"/>
      <c r="M723" s="19"/>
      <c r="N723" s="17"/>
      <c r="Q723" s="20"/>
    </row>
    <row r="724" spans="1:17" s="1" customFormat="1" ht="14.25" customHeight="1" x14ac:dyDescent="0.3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L724" s="10"/>
      <c r="M724" s="19"/>
      <c r="N724" s="17"/>
      <c r="Q724" s="20"/>
    </row>
    <row r="725" spans="1:17" s="1" customFormat="1" ht="14.25" customHeight="1" x14ac:dyDescent="0.3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L725" s="10"/>
      <c r="M725" s="19"/>
      <c r="N725" s="17"/>
      <c r="Q725" s="20"/>
    </row>
    <row r="726" spans="1:17" s="1" customFormat="1" ht="14.25" customHeight="1" x14ac:dyDescent="0.3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L726" s="10"/>
      <c r="M726" s="19"/>
      <c r="N726" s="17"/>
      <c r="Q726" s="20"/>
    </row>
    <row r="727" spans="1:17" s="1" customFormat="1" ht="14.25" customHeight="1" x14ac:dyDescent="0.3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L727" s="10"/>
      <c r="M727" s="19"/>
      <c r="N727" s="17"/>
      <c r="Q727" s="20"/>
    </row>
    <row r="728" spans="1:17" s="1" customFormat="1" ht="14.25" customHeight="1" x14ac:dyDescent="0.3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L728" s="10"/>
      <c r="M728" s="19"/>
      <c r="N728" s="17"/>
      <c r="Q728" s="20"/>
    </row>
    <row r="729" spans="1:17" s="1" customFormat="1" ht="14.25" customHeight="1" x14ac:dyDescent="0.3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L729" s="10"/>
      <c r="M729" s="19"/>
      <c r="N729" s="17"/>
      <c r="Q729" s="20"/>
    </row>
    <row r="730" spans="1:17" s="1" customFormat="1" ht="14.25" customHeight="1" x14ac:dyDescent="0.3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L730" s="10"/>
      <c r="M730" s="19"/>
      <c r="N730" s="17"/>
      <c r="Q730" s="20"/>
    </row>
    <row r="731" spans="1:17" s="1" customFormat="1" ht="14.25" customHeight="1" x14ac:dyDescent="0.3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L731" s="10"/>
      <c r="M731" s="19"/>
      <c r="N731" s="17"/>
      <c r="Q731" s="20"/>
    </row>
    <row r="732" spans="1:17" s="1" customFormat="1" ht="14.25" customHeight="1" x14ac:dyDescent="0.3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L732" s="10"/>
      <c r="M732" s="19"/>
      <c r="N732" s="17"/>
      <c r="Q732" s="20"/>
    </row>
    <row r="733" spans="1:17" s="1" customFormat="1" ht="14.25" customHeight="1" x14ac:dyDescent="0.3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L733" s="10"/>
      <c r="M733" s="19"/>
      <c r="N733" s="17"/>
      <c r="Q733" s="20"/>
    </row>
    <row r="734" spans="1:17" s="1" customFormat="1" ht="14.25" customHeight="1" x14ac:dyDescent="0.3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L734" s="10"/>
      <c r="M734" s="19"/>
      <c r="N734" s="17"/>
      <c r="Q734" s="20"/>
    </row>
    <row r="735" spans="1:17" s="1" customFormat="1" ht="14.25" customHeight="1" x14ac:dyDescent="0.3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L735" s="10"/>
      <c r="M735" s="19"/>
      <c r="N735" s="17"/>
      <c r="Q735" s="20"/>
    </row>
    <row r="736" spans="1:17" s="1" customFormat="1" ht="14.25" customHeight="1" x14ac:dyDescent="0.3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L736" s="10"/>
      <c r="M736" s="19"/>
      <c r="N736" s="17"/>
      <c r="Q736" s="20"/>
    </row>
    <row r="737" spans="1:17" s="1" customFormat="1" ht="14.25" customHeight="1" x14ac:dyDescent="0.3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L737" s="10"/>
      <c r="M737" s="19"/>
      <c r="N737" s="17"/>
      <c r="Q737" s="20"/>
    </row>
    <row r="738" spans="1:17" s="1" customFormat="1" ht="14.25" customHeight="1" x14ac:dyDescent="0.3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L738" s="10"/>
      <c r="M738" s="19"/>
      <c r="N738" s="17"/>
      <c r="Q738" s="20"/>
    </row>
    <row r="739" spans="1:17" s="1" customFormat="1" ht="14.25" customHeight="1" x14ac:dyDescent="0.3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L739" s="10"/>
      <c r="M739" s="19"/>
      <c r="N739" s="17"/>
      <c r="Q739" s="20"/>
    </row>
    <row r="740" spans="1:17" s="1" customFormat="1" ht="14.25" customHeight="1" x14ac:dyDescent="0.3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L740" s="10"/>
      <c r="M740" s="19"/>
      <c r="N740" s="17"/>
      <c r="Q740" s="20"/>
    </row>
    <row r="741" spans="1:17" s="1" customFormat="1" ht="14.25" customHeight="1" x14ac:dyDescent="0.3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L741" s="10"/>
      <c r="M741" s="19"/>
      <c r="N741" s="17"/>
      <c r="Q741" s="20"/>
    </row>
    <row r="742" spans="1:17" s="1" customFormat="1" ht="14.25" customHeight="1" x14ac:dyDescent="0.3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L742" s="10"/>
      <c r="M742" s="19"/>
      <c r="N742" s="17"/>
      <c r="Q742" s="20"/>
    </row>
    <row r="743" spans="1:17" s="1" customFormat="1" ht="14.25" customHeight="1" x14ac:dyDescent="0.3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L743" s="10"/>
      <c r="M743" s="19"/>
      <c r="N743" s="17"/>
      <c r="Q743" s="20"/>
    </row>
    <row r="744" spans="1:17" s="1" customFormat="1" ht="14.25" customHeight="1" x14ac:dyDescent="0.3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L744" s="10"/>
      <c r="M744" s="19"/>
      <c r="N744" s="17"/>
      <c r="Q744" s="20"/>
    </row>
    <row r="745" spans="1:17" s="1" customFormat="1" ht="14.25" customHeight="1" x14ac:dyDescent="0.3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L745" s="10"/>
      <c r="M745" s="19"/>
      <c r="N745" s="17"/>
      <c r="Q745" s="20"/>
    </row>
    <row r="746" spans="1:17" s="1" customFormat="1" ht="14.25" customHeight="1" x14ac:dyDescent="0.3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L746" s="10"/>
      <c r="M746" s="19"/>
      <c r="N746" s="17"/>
      <c r="Q746" s="20"/>
    </row>
    <row r="747" spans="1:17" s="1" customFormat="1" ht="14.25" customHeight="1" x14ac:dyDescent="0.3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L747" s="10"/>
      <c r="M747" s="19"/>
      <c r="N747" s="17"/>
      <c r="Q747" s="20"/>
    </row>
    <row r="748" spans="1:17" s="1" customFormat="1" ht="14.25" customHeight="1" x14ac:dyDescent="0.3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L748" s="10"/>
      <c r="M748" s="19"/>
      <c r="N748" s="17"/>
      <c r="Q748" s="20"/>
    </row>
    <row r="749" spans="1:17" s="1" customFormat="1" ht="14.25" customHeight="1" x14ac:dyDescent="0.3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L749" s="10"/>
      <c r="M749" s="19"/>
      <c r="N749" s="17"/>
      <c r="Q749" s="20"/>
    </row>
    <row r="750" spans="1:17" s="1" customFormat="1" ht="14.25" customHeight="1" x14ac:dyDescent="0.3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L750" s="10"/>
      <c r="M750" s="19"/>
      <c r="N750" s="17"/>
      <c r="Q750" s="20"/>
    </row>
    <row r="751" spans="1:17" s="1" customFormat="1" ht="14.25" customHeight="1" x14ac:dyDescent="0.3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L751" s="10"/>
      <c r="M751" s="19"/>
      <c r="N751" s="17"/>
      <c r="Q751" s="20"/>
    </row>
    <row r="752" spans="1:17" s="1" customFormat="1" ht="14.25" customHeight="1" x14ac:dyDescent="0.3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L752" s="10"/>
      <c r="M752" s="19"/>
      <c r="N752" s="17"/>
      <c r="Q752" s="20"/>
    </row>
    <row r="753" spans="1:17" s="1" customFormat="1" ht="14.25" customHeight="1" x14ac:dyDescent="0.3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L753" s="10"/>
      <c r="M753" s="19"/>
      <c r="N753" s="17"/>
      <c r="Q753" s="20"/>
    </row>
    <row r="754" spans="1:17" s="1" customFormat="1" ht="14.25" customHeight="1" x14ac:dyDescent="0.3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L754" s="10"/>
      <c r="M754" s="19"/>
      <c r="N754" s="17"/>
      <c r="Q754" s="20"/>
    </row>
    <row r="755" spans="1:17" s="1" customFormat="1" ht="14.25" customHeight="1" x14ac:dyDescent="0.3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L755" s="10"/>
      <c r="M755" s="19"/>
      <c r="N755" s="17"/>
      <c r="Q755" s="20"/>
    </row>
    <row r="756" spans="1:17" s="1" customFormat="1" ht="14.25" customHeight="1" x14ac:dyDescent="0.3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L756" s="10"/>
      <c r="M756" s="19"/>
      <c r="N756" s="17"/>
      <c r="Q756" s="20"/>
    </row>
    <row r="757" spans="1:17" s="1" customFormat="1" ht="14.25" customHeight="1" x14ac:dyDescent="0.3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L757" s="10"/>
      <c r="M757" s="19"/>
      <c r="N757" s="17"/>
      <c r="Q757" s="20"/>
    </row>
    <row r="758" spans="1:17" s="1" customFormat="1" ht="14.25" customHeight="1" x14ac:dyDescent="0.3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L758" s="10"/>
      <c r="M758" s="19"/>
      <c r="N758" s="17"/>
      <c r="Q758" s="20"/>
    </row>
    <row r="759" spans="1:17" s="1" customFormat="1" ht="14.25" customHeight="1" x14ac:dyDescent="0.3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L759" s="10"/>
      <c r="M759" s="19"/>
      <c r="N759" s="17"/>
      <c r="Q759" s="20"/>
    </row>
    <row r="760" spans="1:17" s="1" customFormat="1" ht="14.25" customHeight="1" x14ac:dyDescent="0.3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L760" s="10"/>
      <c r="M760" s="19"/>
      <c r="N760" s="17"/>
      <c r="Q760" s="20"/>
    </row>
    <row r="761" spans="1:17" s="1" customFormat="1" ht="14.25" customHeight="1" x14ac:dyDescent="0.3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L761" s="10"/>
      <c r="M761" s="19"/>
      <c r="N761" s="17"/>
      <c r="Q761" s="20"/>
    </row>
    <row r="762" spans="1:17" s="1" customFormat="1" ht="14.25" customHeight="1" x14ac:dyDescent="0.3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L762" s="10"/>
      <c r="M762" s="19"/>
      <c r="N762" s="17"/>
      <c r="Q762" s="20"/>
    </row>
    <row r="763" spans="1:17" s="1" customFormat="1" ht="14.25" customHeight="1" x14ac:dyDescent="0.3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L763" s="10"/>
      <c r="M763" s="19"/>
      <c r="N763" s="17"/>
      <c r="Q763" s="20"/>
    </row>
    <row r="764" spans="1:17" s="1" customFormat="1" ht="14.25" customHeight="1" x14ac:dyDescent="0.3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L764" s="10"/>
      <c r="M764" s="19"/>
      <c r="N764" s="17"/>
      <c r="Q764" s="20"/>
    </row>
    <row r="765" spans="1:17" s="1" customFormat="1" ht="14.25" customHeight="1" x14ac:dyDescent="0.3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L765" s="10"/>
      <c r="M765" s="19"/>
      <c r="N765" s="17"/>
      <c r="Q765" s="20"/>
    </row>
    <row r="766" spans="1:17" s="1" customFormat="1" ht="14.25" customHeight="1" x14ac:dyDescent="0.3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L766" s="10"/>
      <c r="M766" s="19"/>
      <c r="N766" s="17"/>
      <c r="Q766" s="20"/>
    </row>
    <row r="767" spans="1:17" s="1" customFormat="1" ht="14.25" customHeight="1" x14ac:dyDescent="0.3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L767" s="10"/>
      <c r="M767" s="19"/>
      <c r="N767" s="17"/>
      <c r="Q767" s="20"/>
    </row>
    <row r="768" spans="1:17" s="1" customFormat="1" ht="14.25" customHeight="1" x14ac:dyDescent="0.3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L768" s="10"/>
      <c r="M768" s="19"/>
      <c r="N768" s="17"/>
      <c r="Q768" s="20"/>
    </row>
    <row r="769" spans="1:17" s="1" customFormat="1" ht="14.25" customHeight="1" x14ac:dyDescent="0.3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L769" s="10"/>
      <c r="M769" s="19"/>
      <c r="N769" s="17"/>
      <c r="Q769" s="20"/>
    </row>
    <row r="770" spans="1:17" s="1" customFormat="1" ht="14.25" customHeight="1" x14ac:dyDescent="0.3">
      <c r="A770" s="15"/>
      <c r="B770" s="15"/>
      <c r="C770" s="15"/>
      <c r="D770" s="20"/>
      <c r="E770" s="20"/>
      <c r="F770" s="20"/>
      <c r="G770" s="20"/>
      <c r="H770" s="20"/>
      <c r="I770" s="21"/>
      <c r="J770" s="15"/>
      <c r="K770" s="21"/>
      <c r="L770" s="10"/>
      <c r="M770" s="19"/>
      <c r="N770" s="17"/>
      <c r="Q770" s="20"/>
    </row>
    <row r="771" spans="1:17" s="1" customFormat="1" ht="14.25" customHeight="1" x14ac:dyDescent="0.3">
      <c r="A771" s="15"/>
      <c r="B771" s="15"/>
      <c r="C771" s="15"/>
      <c r="D771" s="20"/>
      <c r="E771" s="20"/>
      <c r="F771" s="20"/>
      <c r="G771" s="20"/>
      <c r="H771" s="20"/>
      <c r="I771" s="21"/>
      <c r="J771" s="15"/>
      <c r="K771" s="21"/>
      <c r="L771" s="10"/>
      <c r="M771" s="19"/>
      <c r="N771" s="17"/>
      <c r="Q771" s="20"/>
    </row>
    <row r="772" spans="1:17" s="1" customFormat="1" ht="14.25" customHeight="1" x14ac:dyDescent="0.3">
      <c r="A772" s="15"/>
      <c r="B772" s="15"/>
      <c r="C772" s="15"/>
      <c r="D772" s="20"/>
      <c r="E772" s="20"/>
      <c r="F772" s="20"/>
      <c r="G772" s="20"/>
      <c r="H772" s="20"/>
      <c r="I772" s="21"/>
      <c r="J772" s="15"/>
      <c r="K772" s="21"/>
      <c r="L772" s="10"/>
      <c r="M772" s="19"/>
      <c r="N772" s="17"/>
      <c r="Q772" s="20"/>
    </row>
    <row r="773" spans="1:17" s="1" customFormat="1" ht="14.25" customHeight="1" x14ac:dyDescent="0.3">
      <c r="A773" s="15"/>
      <c r="B773" s="15"/>
      <c r="C773" s="15"/>
      <c r="D773" s="20"/>
      <c r="E773" s="20"/>
      <c r="F773" s="20"/>
      <c r="G773" s="20"/>
      <c r="H773" s="20"/>
      <c r="I773" s="21"/>
      <c r="J773" s="15"/>
      <c r="K773" s="21"/>
      <c r="L773" s="10"/>
      <c r="M773" s="19"/>
      <c r="N773" s="17"/>
      <c r="Q773" s="20"/>
    </row>
    <row r="774" spans="1:17" s="1" customFormat="1" ht="14.25" customHeight="1" x14ac:dyDescent="0.3">
      <c r="A774" s="15"/>
      <c r="B774" s="15"/>
      <c r="C774" s="15"/>
      <c r="D774" s="20"/>
      <c r="E774" s="20"/>
      <c r="F774" s="20"/>
      <c r="G774" s="20"/>
      <c r="H774" s="20"/>
      <c r="I774" s="21"/>
      <c r="J774" s="15"/>
      <c r="K774" s="21"/>
      <c r="L774" s="10"/>
      <c r="M774" s="19"/>
      <c r="N774" s="17"/>
      <c r="Q774" s="20"/>
    </row>
    <row r="775" spans="1:17" s="1" customFormat="1" ht="14.25" customHeight="1" x14ac:dyDescent="0.3">
      <c r="A775" s="15"/>
      <c r="B775" s="15"/>
      <c r="C775" s="15"/>
      <c r="D775" s="20"/>
      <c r="E775" s="20"/>
      <c r="F775" s="20"/>
      <c r="G775" s="20"/>
      <c r="H775" s="20"/>
      <c r="I775" s="21"/>
      <c r="J775" s="15"/>
      <c r="K775" s="21"/>
      <c r="L775" s="10"/>
      <c r="M775" s="19"/>
      <c r="N775" s="17"/>
      <c r="Q775" s="20"/>
    </row>
    <row r="776" spans="1:17" s="1" customFormat="1" ht="14.25" customHeight="1" x14ac:dyDescent="0.3">
      <c r="A776" s="15"/>
      <c r="B776" s="15"/>
      <c r="C776" s="15"/>
      <c r="D776" s="20"/>
      <c r="E776" s="20"/>
      <c r="F776" s="20"/>
      <c r="G776" s="20"/>
      <c r="H776" s="20"/>
      <c r="I776" s="21"/>
      <c r="J776" s="15"/>
      <c r="K776" s="21"/>
      <c r="L776" s="10"/>
      <c r="M776" s="19"/>
      <c r="N776" s="17"/>
      <c r="Q776" s="20"/>
    </row>
    <row r="777" spans="1:17" s="1" customFormat="1" ht="14.25" customHeight="1" x14ac:dyDescent="0.3">
      <c r="A777" s="15"/>
      <c r="B777" s="15"/>
      <c r="C777" s="15"/>
      <c r="D777" s="20"/>
      <c r="E777" s="20"/>
      <c r="F777" s="20"/>
      <c r="G777" s="20"/>
      <c r="H777" s="20"/>
      <c r="I777" s="21"/>
      <c r="J777" s="15"/>
      <c r="K777" s="21"/>
      <c r="L777" s="10"/>
      <c r="M777" s="19"/>
      <c r="N777" s="17"/>
      <c r="Q777" s="20"/>
    </row>
    <row r="778" spans="1:17" s="1" customFormat="1" ht="14.25" customHeight="1" x14ac:dyDescent="0.3">
      <c r="A778" s="15"/>
      <c r="B778" s="15"/>
      <c r="C778" s="15"/>
      <c r="D778" s="20"/>
      <c r="E778" s="20"/>
      <c r="F778" s="20"/>
      <c r="G778" s="20"/>
      <c r="H778" s="20"/>
      <c r="I778" s="21"/>
      <c r="J778" s="15"/>
      <c r="K778" s="21"/>
      <c r="L778" s="10"/>
      <c r="M778" s="19"/>
      <c r="N778" s="17"/>
      <c r="Q778" s="20"/>
    </row>
    <row r="779" spans="1:17" s="1" customFormat="1" ht="14.25" customHeight="1" x14ac:dyDescent="0.3">
      <c r="A779" s="15"/>
      <c r="B779" s="15"/>
      <c r="C779" s="15"/>
      <c r="D779" s="20"/>
      <c r="E779" s="20"/>
      <c r="F779" s="20"/>
      <c r="G779" s="20"/>
      <c r="H779" s="20"/>
      <c r="I779" s="21"/>
      <c r="J779" s="15"/>
      <c r="K779" s="21"/>
      <c r="L779" s="10"/>
      <c r="M779" s="19"/>
      <c r="N779" s="17"/>
      <c r="Q779" s="20"/>
    </row>
    <row r="780" spans="1:17" s="1" customFormat="1" ht="14.25" customHeight="1" x14ac:dyDescent="0.3">
      <c r="A780" s="15"/>
      <c r="B780" s="15"/>
      <c r="C780" s="15"/>
      <c r="D780" s="20"/>
      <c r="E780" s="20"/>
      <c r="F780" s="20"/>
      <c r="G780" s="20"/>
      <c r="H780" s="20"/>
      <c r="I780" s="21"/>
      <c r="J780" s="15"/>
      <c r="K780" s="21"/>
      <c r="L780" s="10"/>
      <c r="M780" s="19"/>
      <c r="N780" s="17"/>
      <c r="Q780" s="20"/>
    </row>
    <row r="781" spans="1:17" s="1" customFormat="1" ht="14.25" customHeight="1" x14ac:dyDescent="0.3">
      <c r="A781" s="15"/>
      <c r="B781" s="15"/>
      <c r="C781" s="15"/>
      <c r="D781" s="20"/>
      <c r="E781" s="20"/>
      <c r="F781" s="20"/>
      <c r="G781" s="20"/>
      <c r="H781" s="20"/>
      <c r="I781" s="21"/>
      <c r="J781" s="15"/>
      <c r="K781" s="21"/>
      <c r="L781" s="10"/>
      <c r="M781" s="19"/>
      <c r="N781" s="17"/>
      <c r="Q781" s="20"/>
    </row>
    <row r="782" spans="1:17" s="1" customFormat="1" ht="14.25" customHeight="1" x14ac:dyDescent="0.3">
      <c r="A782" s="15"/>
      <c r="B782" s="15"/>
      <c r="C782" s="15"/>
      <c r="D782" s="20"/>
      <c r="E782" s="20"/>
      <c r="F782" s="20"/>
      <c r="G782" s="20"/>
      <c r="H782" s="20"/>
      <c r="I782" s="21"/>
      <c r="J782" s="15"/>
      <c r="K782" s="21"/>
      <c r="L782" s="10"/>
      <c r="M782" s="19"/>
      <c r="N782" s="17"/>
      <c r="Q782" s="20"/>
    </row>
    <row r="783" spans="1:17" s="1" customFormat="1" ht="14.25" customHeight="1" x14ac:dyDescent="0.3">
      <c r="A783" s="15"/>
      <c r="B783" s="15"/>
      <c r="C783" s="15"/>
      <c r="D783" s="20"/>
      <c r="E783" s="20"/>
      <c r="F783" s="20"/>
      <c r="G783" s="20"/>
      <c r="H783" s="20"/>
      <c r="I783" s="21"/>
      <c r="J783" s="15"/>
      <c r="K783" s="21"/>
      <c r="L783" s="10"/>
      <c r="M783" s="19"/>
      <c r="N783" s="17"/>
      <c r="Q783" s="20"/>
    </row>
    <row r="784" spans="1:17" s="1" customFormat="1" ht="14.25" customHeight="1" x14ac:dyDescent="0.3">
      <c r="A784" s="15"/>
      <c r="B784" s="15"/>
      <c r="C784" s="15"/>
      <c r="D784" s="20"/>
      <c r="E784" s="20"/>
      <c r="F784" s="20"/>
      <c r="G784" s="20"/>
      <c r="H784" s="20"/>
      <c r="I784" s="21"/>
      <c r="J784" s="15"/>
      <c r="K784" s="21"/>
      <c r="L784" s="10"/>
      <c r="M784" s="19"/>
      <c r="N784" s="17"/>
      <c r="Q784" s="20"/>
    </row>
    <row r="785" spans="1:17" s="1" customFormat="1" ht="14.25" customHeight="1" x14ac:dyDescent="0.3">
      <c r="A785" s="15"/>
      <c r="B785" s="15"/>
      <c r="C785" s="15"/>
      <c r="D785" s="20"/>
      <c r="E785" s="20"/>
      <c r="F785" s="20"/>
      <c r="G785" s="20"/>
      <c r="H785" s="20"/>
      <c r="I785" s="21"/>
      <c r="J785" s="15"/>
      <c r="K785" s="21"/>
      <c r="L785" s="10"/>
      <c r="M785" s="19"/>
      <c r="N785" s="17"/>
      <c r="Q785" s="20"/>
    </row>
    <row r="786" spans="1:17" s="1" customFormat="1" ht="14.25" customHeight="1" x14ac:dyDescent="0.3">
      <c r="A786" s="15"/>
      <c r="B786" s="15"/>
      <c r="C786" s="15"/>
      <c r="D786" s="20"/>
      <c r="E786" s="20"/>
      <c r="F786" s="20"/>
      <c r="G786" s="20"/>
      <c r="H786" s="20"/>
      <c r="I786" s="21"/>
      <c r="J786" s="15"/>
      <c r="K786" s="21"/>
      <c r="L786" s="10"/>
      <c r="M786" s="19"/>
      <c r="N786" s="17"/>
      <c r="Q786" s="20"/>
    </row>
    <row r="787" spans="1:17" s="1" customFormat="1" ht="14.25" customHeight="1" x14ac:dyDescent="0.3">
      <c r="A787" s="15"/>
      <c r="B787" s="15"/>
      <c r="C787" s="15"/>
      <c r="D787" s="20"/>
      <c r="E787" s="20"/>
      <c r="F787" s="20"/>
      <c r="G787" s="20"/>
      <c r="H787" s="20"/>
      <c r="I787" s="21"/>
      <c r="J787" s="15"/>
      <c r="K787" s="21"/>
      <c r="L787" s="10"/>
      <c r="M787" s="19"/>
      <c r="N787" s="17"/>
      <c r="Q787" s="20"/>
    </row>
    <row r="788" spans="1:17" s="1" customFormat="1" ht="14.25" customHeight="1" x14ac:dyDescent="0.3">
      <c r="A788" s="15"/>
      <c r="B788" s="15"/>
      <c r="C788" s="15"/>
      <c r="D788" s="16"/>
      <c r="E788" s="16"/>
      <c r="F788" s="16"/>
      <c r="G788" s="16"/>
      <c r="H788" s="16"/>
      <c r="I788" s="15"/>
      <c r="J788" s="15"/>
      <c r="K788" s="10"/>
      <c r="L788" s="10"/>
      <c r="M788" s="19"/>
      <c r="N788" s="17"/>
      <c r="Q788" s="16"/>
    </row>
    <row r="789" spans="1:17" s="1" customFormat="1" ht="14.25" customHeight="1" x14ac:dyDescent="0.3">
      <c r="A789" s="15"/>
      <c r="B789" s="15"/>
      <c r="C789" s="15"/>
      <c r="D789" s="16"/>
      <c r="E789" s="16"/>
      <c r="F789" s="16"/>
      <c r="G789" s="16"/>
      <c r="H789" s="16"/>
      <c r="I789" s="15"/>
      <c r="J789" s="15"/>
      <c r="K789" s="10"/>
      <c r="L789" s="10"/>
      <c r="M789" s="19"/>
      <c r="N789" s="17"/>
      <c r="Q789" s="16"/>
    </row>
    <row r="790" spans="1:17" s="1" customFormat="1" ht="14.25" customHeight="1" x14ac:dyDescent="0.3">
      <c r="A790" s="15"/>
      <c r="B790" s="15"/>
      <c r="C790" s="15"/>
      <c r="D790" s="16"/>
      <c r="E790" s="16"/>
      <c r="F790" s="16"/>
      <c r="G790" s="16"/>
      <c r="H790" s="16"/>
      <c r="I790" s="15"/>
      <c r="J790" s="15"/>
      <c r="K790" s="10"/>
      <c r="L790" s="10"/>
      <c r="M790" s="19"/>
      <c r="N790" s="17"/>
      <c r="Q790" s="16"/>
    </row>
    <row r="791" spans="1:17" s="1" customFormat="1" ht="14.25" customHeight="1" x14ac:dyDescent="0.3">
      <c r="A791" s="15"/>
      <c r="B791" s="15"/>
      <c r="C791" s="15"/>
      <c r="D791" s="16"/>
      <c r="E791" s="16"/>
      <c r="F791" s="16"/>
      <c r="G791" s="16"/>
      <c r="H791" s="16"/>
      <c r="I791" s="15"/>
      <c r="J791" s="15"/>
      <c r="K791" s="10"/>
      <c r="L791" s="10"/>
      <c r="M791" s="19"/>
      <c r="N791" s="17"/>
      <c r="Q791" s="16"/>
    </row>
    <row r="792" spans="1:17" s="1" customFormat="1" ht="14.25" customHeight="1" x14ac:dyDescent="0.3">
      <c r="A792" s="15"/>
      <c r="B792" s="15"/>
      <c r="C792" s="15"/>
      <c r="D792" s="16"/>
      <c r="E792" s="16"/>
      <c r="F792" s="16"/>
      <c r="G792" s="16"/>
      <c r="H792" s="16"/>
      <c r="I792" s="15"/>
      <c r="J792" s="15"/>
      <c r="K792" s="10"/>
      <c r="L792" s="10"/>
      <c r="M792" s="17"/>
      <c r="N792" s="17"/>
      <c r="Q792" s="16"/>
    </row>
    <row r="793" spans="1:17" s="1" customFormat="1" ht="14.25" customHeight="1" x14ac:dyDescent="0.3">
      <c r="A793" s="15"/>
      <c r="B793" s="15"/>
      <c r="C793" s="15"/>
      <c r="D793" s="16"/>
      <c r="E793" s="16"/>
      <c r="F793" s="16"/>
      <c r="G793" s="16"/>
      <c r="H793" s="16"/>
      <c r="I793" s="15"/>
      <c r="J793" s="15"/>
      <c r="K793" s="10"/>
      <c r="L793" s="10"/>
      <c r="M793" s="17"/>
      <c r="N793" s="17"/>
      <c r="Q793" s="16"/>
    </row>
    <row r="794" spans="1:17" s="1" customFormat="1" ht="14.25" customHeight="1" x14ac:dyDescent="0.3">
      <c r="A794" s="15"/>
      <c r="B794" s="15"/>
      <c r="C794" s="15"/>
      <c r="D794" s="16"/>
      <c r="E794" s="16"/>
      <c r="F794" s="16"/>
      <c r="G794" s="16"/>
      <c r="H794" s="16"/>
      <c r="I794" s="15"/>
      <c r="J794" s="15"/>
      <c r="K794" s="10"/>
      <c r="L794" s="10"/>
      <c r="M794" s="17"/>
      <c r="N794" s="17"/>
      <c r="Q794" s="16"/>
    </row>
    <row r="795" spans="1:17" s="1" customFormat="1" ht="14.25" customHeight="1" x14ac:dyDescent="0.3">
      <c r="A795" s="15"/>
      <c r="B795" s="15"/>
      <c r="C795" s="15"/>
      <c r="D795" s="16"/>
      <c r="E795" s="16"/>
      <c r="F795" s="16"/>
      <c r="G795" s="16"/>
      <c r="H795" s="16"/>
      <c r="I795" s="15"/>
      <c r="J795" s="15"/>
      <c r="K795" s="10"/>
      <c r="L795" s="10"/>
      <c r="M795" s="17"/>
      <c r="N795" s="17"/>
      <c r="Q795" s="16"/>
    </row>
    <row r="796" spans="1:17" s="1" customFormat="1" ht="14.25" customHeight="1" x14ac:dyDescent="0.25">
      <c r="D796" s="2"/>
      <c r="E796" s="11"/>
      <c r="F796" s="2"/>
      <c r="G796" s="11"/>
      <c r="H796" s="11"/>
      <c r="L796" s="10"/>
      <c r="M796" s="14"/>
      <c r="N796" s="14"/>
      <c r="Q796" s="11"/>
    </row>
  </sheetData>
  <autoFilter ref="A7:Q496" xr:uid="{AEE30112-88BB-441D-AEFC-A7A733AB1798}">
    <sortState xmlns:xlrd2="http://schemas.microsoft.com/office/spreadsheetml/2017/richdata2" ref="A8:Q496">
      <sortCondition ref="B8:B496"/>
      <sortCondition ref="C8:C496"/>
      <sortCondition ref="D8:D496"/>
      <sortCondition ref="A8:A496"/>
    </sortState>
  </autoFilter>
  <sortState xmlns:xlrd2="http://schemas.microsoft.com/office/spreadsheetml/2017/richdata2" ref="A8:Q496">
    <sortCondition ref="B8:B496"/>
    <sortCondition ref="C8:C496"/>
    <sortCondition ref="D8:D496"/>
    <sortCondition ref="A8:A496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2026-07-29T15:27:16Z</dcterms:modified>
</cp:coreProperties>
</file>