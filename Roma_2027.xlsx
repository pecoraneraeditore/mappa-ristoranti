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C6A0686-71E6-413D-B975-E4A53DBCC18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golose'!$A$7:$Q$502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6" i="6" l="1"/>
  <c r="T496" i="6"/>
  <c r="U496" i="6"/>
  <c r="V496" i="6"/>
  <c r="W496" i="6"/>
  <c r="X496" i="6"/>
  <c r="Y496" i="6"/>
  <c r="Z496" i="6"/>
  <c r="AA496" i="6"/>
  <c r="AB496" i="6"/>
  <c r="S495" i="6"/>
  <c r="T495" i="6"/>
  <c r="U495" i="6"/>
  <c r="V495" i="6"/>
  <c r="W495" i="6"/>
  <c r="X495" i="6"/>
  <c r="Y495" i="6"/>
  <c r="Z495" i="6"/>
  <c r="AA495" i="6"/>
  <c r="AB495" i="6"/>
  <c r="AI496" i="6"/>
  <c r="AH496" i="6"/>
  <c r="AG496" i="6"/>
  <c r="AF496" i="6"/>
  <c r="AE496" i="6"/>
  <c r="AD496" i="6"/>
  <c r="AD495" i="6"/>
  <c r="AE495" i="6"/>
  <c r="AF495" i="6"/>
  <c r="AG495" i="6"/>
  <c r="AH495" i="6"/>
  <c r="AI495" i="6"/>
  <c r="AD291" i="6"/>
  <c r="AE291" i="6"/>
  <c r="AF291" i="6"/>
  <c r="AG291" i="6"/>
  <c r="AH291" i="6"/>
  <c r="AI291" i="6"/>
  <c r="S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291" i="6" l="1"/>
  <c r="T55" i="6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2" i="6"/>
  <c r="T501" i="6"/>
  <c r="T500" i="6"/>
  <c r="T499" i="6"/>
  <c r="T498" i="6"/>
  <c r="T497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U29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7" i="6"/>
  <c r="U498" i="6"/>
  <c r="U499" i="6"/>
  <c r="U501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500" i="6"/>
  <c r="U502" i="6"/>
  <c r="V7" i="6"/>
  <c r="V291" i="6" s="1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7" i="6"/>
  <c r="V498" i="6"/>
  <c r="V499" i="6"/>
  <c r="V500" i="6"/>
  <c r="V501" i="6"/>
  <c r="V502" i="6"/>
  <c r="V12" i="6"/>
  <c r="V9" i="6"/>
  <c r="W7" i="6"/>
  <c r="W291" i="6" s="1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7" i="6"/>
  <c r="W499" i="6"/>
  <c r="W500" i="6"/>
  <c r="W502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8" i="6"/>
  <c r="W501" i="6"/>
  <c r="W12" i="6"/>
  <c r="W8" i="6"/>
  <c r="V5" i="6"/>
  <c r="X7" i="6"/>
  <c r="X291" i="6" s="1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500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7" i="6"/>
  <c r="X498" i="6"/>
  <c r="X499" i="6"/>
  <c r="X501" i="6"/>
  <c r="X502" i="6"/>
  <c r="W5" i="6"/>
  <c r="X10" i="6"/>
  <c r="Y7" i="6"/>
  <c r="Y291" i="6" s="1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7" i="6"/>
  <c r="Y498" i="6"/>
  <c r="Y499" i="6"/>
  <c r="Y500" i="6"/>
  <c r="Y501" i="6"/>
  <c r="Y502" i="6"/>
  <c r="Y12" i="6"/>
  <c r="Y9" i="6"/>
  <c r="Y8" i="6"/>
  <c r="Y10" i="6"/>
  <c r="Y11" i="6"/>
  <c r="Z7" i="6"/>
  <c r="Z291" i="6" s="1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7" i="6"/>
  <c r="Z498" i="6"/>
  <c r="Z499" i="6"/>
  <c r="Z500" i="6"/>
  <c r="Z501" i="6"/>
  <c r="Z502" i="6"/>
  <c r="Z12" i="6"/>
  <c r="Z8" i="6"/>
  <c r="Y5" i="6"/>
  <c r="AA7" i="6"/>
  <c r="AA291" i="6" s="1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8" i="6"/>
  <c r="AA500" i="6"/>
  <c r="AA502" i="6"/>
  <c r="AA485" i="6"/>
  <c r="AA489" i="6"/>
  <c r="AA491" i="6"/>
  <c r="AA493" i="6"/>
  <c r="AA497" i="6"/>
  <c r="AA501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9" i="6"/>
  <c r="AA11" i="6"/>
  <c r="Z5" i="6"/>
  <c r="AA8" i="6"/>
  <c r="AA10" i="6"/>
  <c r="AA12" i="6"/>
  <c r="AA9" i="6"/>
  <c r="AB7" i="6"/>
  <c r="AB291" i="6" s="1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500" i="6"/>
  <c r="AB492" i="6"/>
  <c r="AB498" i="6"/>
  <c r="AB501" i="6"/>
  <c r="AB502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7" i="6"/>
  <c r="AB499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<sst xmlns="http://schemas.openxmlformats.org/spreadsheetml/2006/main" count="4819" uniqueCount="2112">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</sst>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1"/>
  <sheetViews>
    <sheetView tabSelected="1" zoomScaleNormal="100" workbookViewId="0">
      <pane ySplit="7" topLeftCell="A30" activePane="bottomLeft" state="frozen"/>
      <selection pane="bottomLeft" activeCell="N43" sqref="N4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249</v>
      </c>
      <c r="G4" s="7">
        <f>+AG6</f>
        <v>218</v>
      </c>
      <c r="H4" s="5">
        <f>+E4-G4</f>
        <v>111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455</v>
      </c>
      <c r="F5" s="8">
        <f>+F3+F4</f>
        <v>370</v>
      </c>
      <c r="G5" s="8">
        <f>+G3+G4</f>
        <v>334</v>
      </c>
      <c r="H5" s="8">
        <f>+H3+H4</f>
        <v>121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SUM(S8:S2444)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SUM(AD8:AD1713)</f>
        <v>121</v>
      </c>
      <c r="AE6" s="1">
        <f t="shared" si="1"/>
        <v>249</v>
      </c>
      <c r="AF6" s="1">
        <f t="shared" si="1"/>
        <v>116</v>
      </c>
      <c r="AG6" s="1">
        <f t="shared" si="1"/>
        <v>218</v>
      </c>
      <c r="AH6" s="1">
        <f t="shared" si="1"/>
        <v>126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1688</v>
      </c>
      <c r="M17" s="34" t="s">
        <v>1356</v>
      </c>
      <c r="N17" s="34" t="s">
        <v>1729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s="1" customFormat="1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s="1" customFormat="1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1842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1799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778</v>
      </c>
      <c r="E335" s="32" t="s">
        <v>898</v>
      </c>
      <c r="F335" s="32" t="s">
        <v>1545</v>
      </c>
      <c r="G335" s="32" t="s">
        <v>229</v>
      </c>
      <c r="H335" s="32" t="s">
        <v>352</v>
      </c>
      <c r="I335" s="31" t="s">
        <v>1668</v>
      </c>
      <c r="J335" s="31">
        <v>7</v>
      </c>
      <c r="K335" s="33" t="s">
        <v>709</v>
      </c>
      <c r="L335" s="33">
        <v>20</v>
      </c>
      <c r="M335" s="34" t="s">
        <v>39</v>
      </c>
      <c r="N335" s="34" t="s">
        <v>1723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67</v>
      </c>
      <c r="E430" s="32" t="s">
        <v>28</v>
      </c>
      <c r="F430" s="32" t="s">
        <v>247</v>
      </c>
      <c r="G430" s="32" t="s">
        <v>248</v>
      </c>
      <c r="H430" s="32" t="s">
        <v>352</v>
      </c>
      <c r="I430" s="31" t="s">
        <v>409</v>
      </c>
      <c r="J430" s="31">
        <v>7</v>
      </c>
      <c r="K430" s="33" t="s">
        <v>709</v>
      </c>
      <c r="L430" s="33" t="s">
        <v>709</v>
      </c>
      <c r="M430" s="34" t="s">
        <v>727</v>
      </c>
      <c r="N430" s="34" t="s">
        <v>1723</v>
      </c>
      <c r="O430" s="35">
        <v>1</v>
      </c>
      <c r="P430" s="35"/>
      <c r="Q430" s="32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1</v>
      </c>
      <c r="AF430" s="1">
        <f t="shared" si="193"/>
        <v>0</v>
      </c>
      <c r="AG430" s="1">
        <f t="shared" si="194"/>
        <v>1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1026</v>
      </c>
      <c r="G431" s="32" t="s">
        <v>535</v>
      </c>
      <c r="H431" s="32" t="s">
        <v>352</v>
      </c>
      <c r="I431" s="31" t="s">
        <v>30</v>
      </c>
      <c r="J431" s="31">
        <v>1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1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249</v>
      </c>
      <c r="G432" s="32" t="s">
        <v>199</v>
      </c>
      <c r="H432" s="32" t="s">
        <v>352</v>
      </c>
      <c r="I432" s="31" t="s">
        <v>410</v>
      </c>
      <c r="J432" s="31">
        <v>2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1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246</v>
      </c>
      <c r="G433" s="32" t="s">
        <v>1330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1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251</v>
      </c>
      <c r="G434" s="32" t="s">
        <v>193</v>
      </c>
      <c r="H434" s="32" t="s">
        <v>352</v>
      </c>
      <c r="I434" s="31" t="s">
        <v>411</v>
      </c>
      <c r="J434" s="31">
        <v>9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1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82</v>
      </c>
      <c r="E460" s="32" t="s">
        <v>28</v>
      </c>
      <c r="F460" s="32" t="s">
        <v>273</v>
      </c>
      <c r="G460" s="32" t="s">
        <v>274</v>
      </c>
      <c r="H460" s="32" t="s">
        <v>352</v>
      </c>
      <c r="I460" s="31" t="s">
        <v>427</v>
      </c>
      <c r="J460" s="31">
        <v>7</v>
      </c>
      <c r="K460" s="33" t="s">
        <v>942</v>
      </c>
      <c r="L460" s="33" t="s">
        <v>941</v>
      </c>
      <c r="M460" s="34" t="s">
        <v>955</v>
      </c>
      <c r="N460" s="34" t="s">
        <v>1823</v>
      </c>
      <c r="O460" s="35">
        <v>1</v>
      </c>
      <c r="P460" s="35"/>
      <c r="Q460" s="32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1</v>
      </c>
      <c r="AF460" s="1">
        <f t="shared" si="193"/>
        <v>0</v>
      </c>
      <c r="AG460" s="1">
        <f t="shared" si="194"/>
        <v>1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2" si="197">+O466*P466*(1-A466)</f>
        <v>0</v>
      </c>
      <c r="AG466" s="1">
        <f t="shared" ref="AG466:AG502" si="198">O466*(1-P466)*(1-A466)</f>
        <v>0</v>
      </c>
      <c r="AH466" s="1">
        <f t="shared" ref="AH466:AH502" si="199">+P466*(1-A466)</f>
        <v>0</v>
      </c>
      <c r="AI466" s="1">
        <f t="shared" ref="AI466:AI502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2" si="201">IF(J470=$S$7,1,0)</f>
        <v>0</v>
      </c>
      <c r="T470" s="1">
        <f t="shared" ref="T470:T502" si="202">IF(J470=$T$7,1,0)</f>
        <v>0</v>
      </c>
      <c r="U470" s="1">
        <f t="shared" ref="U470:U502" si="203">IF(J470=$U$7,1,0)</f>
        <v>0</v>
      </c>
      <c r="V470" s="1">
        <f t="shared" ref="V470:V502" si="204">IF(J470=$V$7,1,0)</f>
        <v>0</v>
      </c>
      <c r="W470" s="1">
        <f t="shared" ref="W470:W502" si="205">IF(J470=$W$7,1,0)</f>
        <v>0</v>
      </c>
      <c r="X470" s="1">
        <f t="shared" ref="X470:X502" si="206">IF(J470=$X$7,1,0)</f>
        <v>0</v>
      </c>
      <c r="Y470" s="1">
        <f t="shared" ref="Y470:Y502" si="207">IF(J470=$Y$7,1,0)</f>
        <v>0</v>
      </c>
      <c r="Z470" s="1">
        <f t="shared" ref="Z470:Z502" si="208">IF(J470=$Z$7,1,0)</f>
        <v>0</v>
      </c>
      <c r="AA470" s="1">
        <f t="shared" ref="AA470:AA502" si="209">IF(J470=$AA$7,1,0)</f>
        <v>0</v>
      </c>
      <c r="AB470" s="1">
        <f t="shared" ref="AB470:AB502" si="210">IF(J470=$AB$7,1,0)</f>
        <v>0</v>
      </c>
      <c r="AD470" s="1">
        <f t="shared" ref="AD470:AD502" si="211">+O470*P470</f>
        <v>0</v>
      </c>
      <c r="AE470" s="1">
        <f t="shared" ref="AE470:AE502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2108</v>
      </c>
      <c r="E495" s="32" t="s">
        <v>155</v>
      </c>
      <c r="F495" s="32" t="s">
        <v>2109</v>
      </c>
      <c r="G495" s="32" t="s">
        <v>552</v>
      </c>
      <c r="H495" s="32" t="s">
        <v>352</v>
      </c>
      <c r="I495" s="31" t="s">
        <v>2110</v>
      </c>
      <c r="J495" s="31">
        <v>99</v>
      </c>
      <c r="K495" s="33" t="s">
        <v>699</v>
      </c>
      <c r="L495" s="33">
        <v>7</v>
      </c>
      <c r="M495" s="34" t="s">
        <v>728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2108</v>
      </c>
      <c r="E496" s="32" t="s">
        <v>155</v>
      </c>
      <c r="F496" s="32" t="s">
        <v>2111</v>
      </c>
      <c r="G496" s="32" t="s">
        <v>203</v>
      </c>
      <c r="H496" s="32" t="s">
        <v>352</v>
      </c>
      <c r="I496" s="31" t="s">
        <v>2110</v>
      </c>
      <c r="J496" s="31">
        <v>7</v>
      </c>
      <c r="K496" s="33" t="s">
        <v>699</v>
      </c>
      <c r="L496" s="33">
        <v>7</v>
      </c>
      <c r="M496" s="34" t="s">
        <v>728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1</v>
      </c>
      <c r="Z496" s="1">
        <f t="shared" si="208"/>
        <v>0</v>
      </c>
      <c r="AA496" s="1">
        <f t="shared" si="209"/>
        <v>0</v>
      </c>
      <c r="AB496" s="1">
        <f t="shared" si="210"/>
        <v>0</v>
      </c>
      <c r="AD496" s="1">
        <f t="shared" ref="AD496" si="213">+O496*P496</f>
        <v>0</v>
      </c>
      <c r="AE496" s="1">
        <f t="shared" ref="AE496" si="214">O496*(1-P496)</f>
        <v>1</v>
      </c>
      <c r="AF496" s="1">
        <f t="shared" ref="AF496" si="215">+O496*P496*(1-A496)</f>
        <v>0</v>
      </c>
      <c r="AG496" s="1">
        <f t="shared" ref="AG496" si="216">O496*(1-P496)*(1-A496)</f>
        <v>0</v>
      </c>
      <c r="AH496" s="1">
        <f t="shared" ref="AH496" si="217">+P496*(1-A496)</f>
        <v>0</v>
      </c>
      <c r="AI496" s="1">
        <f t="shared" ref="AI496" si="218">+(1-A496)*(1-P496)</f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571</v>
      </c>
      <c r="G497" s="32" t="s">
        <v>234</v>
      </c>
      <c r="H497" s="32" t="s">
        <v>352</v>
      </c>
      <c r="I497" s="31" t="s">
        <v>578</v>
      </c>
      <c r="J497" s="31">
        <v>99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0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1</v>
      </c>
      <c r="AH497" s="1">
        <f t="shared" si="199"/>
        <v>0</v>
      </c>
      <c r="AI497" s="1">
        <f t="shared" si="200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270</v>
      </c>
      <c r="G498" s="32" t="s">
        <v>179</v>
      </c>
      <c r="H498" s="32" t="s">
        <v>352</v>
      </c>
      <c r="I498" s="31" t="s">
        <v>424</v>
      </c>
      <c r="J498" s="31">
        <v>10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0</v>
      </c>
      <c r="AB498" s="1">
        <f t="shared" si="210"/>
        <v>1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271</v>
      </c>
      <c r="G499" s="32" t="s">
        <v>39</v>
      </c>
      <c r="H499" s="32" t="s">
        <v>352</v>
      </c>
      <c r="I499" s="31" t="s">
        <v>425</v>
      </c>
      <c r="J499" s="31">
        <v>5</v>
      </c>
      <c r="K499" s="33" t="s">
        <v>708</v>
      </c>
      <c r="L499" s="33" t="s">
        <v>725</v>
      </c>
      <c r="M499" s="34" t="s">
        <v>1415</v>
      </c>
      <c r="N499" s="34" t="s">
        <v>1722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0</v>
      </c>
      <c r="W499" s="1">
        <f t="shared" si="205"/>
        <v>1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0</v>
      </c>
      <c r="AH499" s="1">
        <f t="shared" si="199"/>
        <v>0</v>
      </c>
      <c r="AI499" s="1">
        <f t="shared" si="200"/>
        <v>0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275</v>
      </c>
      <c r="G500" s="32" t="s">
        <v>193</v>
      </c>
      <c r="H500" s="32" t="s">
        <v>352</v>
      </c>
      <c r="I500" s="31" t="s">
        <v>429</v>
      </c>
      <c r="J500" s="31">
        <v>9</v>
      </c>
      <c r="K500" s="33" t="s">
        <v>708</v>
      </c>
      <c r="L500" s="33" t="s">
        <v>725</v>
      </c>
      <c r="M500" s="34" t="s">
        <v>1415</v>
      </c>
      <c r="N500" s="34" t="s">
        <v>1722</v>
      </c>
      <c r="O500" s="35">
        <v>1</v>
      </c>
      <c r="P500" s="35"/>
      <c r="Q500" s="32"/>
      <c r="S500" s="1">
        <f t="shared" si="201"/>
        <v>0</v>
      </c>
      <c r="T500" s="1">
        <f t="shared" si="202"/>
        <v>0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1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0</v>
      </c>
      <c r="AH500" s="1">
        <f t="shared" si="199"/>
        <v>0</v>
      </c>
      <c r="AI500" s="1">
        <f t="shared" si="20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1535</v>
      </c>
      <c r="E501" s="32" t="s">
        <v>28</v>
      </c>
      <c r="F501" s="32" t="s">
        <v>1536</v>
      </c>
      <c r="G501" s="32" t="s">
        <v>237</v>
      </c>
      <c r="H501" s="32" t="s">
        <v>352</v>
      </c>
      <c r="I501" s="31" t="s">
        <v>1669</v>
      </c>
      <c r="J501" s="31">
        <v>4</v>
      </c>
      <c r="K501" s="33" t="s">
        <v>709</v>
      </c>
      <c r="L501" s="33" t="s">
        <v>709</v>
      </c>
      <c r="M501" s="34" t="s">
        <v>727</v>
      </c>
      <c r="N501" s="34" t="s">
        <v>1717</v>
      </c>
      <c r="O501" s="35">
        <v>1</v>
      </c>
      <c r="P501" s="35"/>
      <c r="Q501" s="32"/>
      <c r="S501" s="1">
        <f t="shared" si="201"/>
        <v>0</v>
      </c>
      <c r="T501" s="1">
        <f t="shared" si="202"/>
        <v>0</v>
      </c>
      <c r="U501" s="1">
        <f t="shared" si="203"/>
        <v>0</v>
      </c>
      <c r="V501" s="1">
        <f t="shared" si="204"/>
        <v>1</v>
      </c>
      <c r="W501" s="1">
        <f t="shared" si="205"/>
        <v>0</v>
      </c>
      <c r="X501" s="1">
        <f t="shared" si="206"/>
        <v>0</v>
      </c>
      <c r="Y501" s="1">
        <f t="shared" si="207"/>
        <v>0</v>
      </c>
      <c r="Z501" s="1">
        <f t="shared" si="208"/>
        <v>0</v>
      </c>
      <c r="AA501" s="1">
        <f t="shared" si="209"/>
        <v>0</v>
      </c>
      <c r="AB501" s="1">
        <f t="shared" si="210"/>
        <v>0</v>
      </c>
      <c r="AD501" s="1">
        <f t="shared" si="211"/>
        <v>0</v>
      </c>
      <c r="AE501" s="1">
        <f t="shared" si="212"/>
        <v>1</v>
      </c>
      <c r="AF501" s="1">
        <f t="shared" si="197"/>
        <v>0</v>
      </c>
      <c r="AG501" s="1">
        <f t="shared" si="198"/>
        <v>1</v>
      </c>
      <c r="AH501" s="1">
        <f t="shared" si="199"/>
        <v>0</v>
      </c>
      <c r="AI501" s="1">
        <f t="shared" si="20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63</v>
      </c>
      <c r="E502" s="32" t="s">
        <v>44</v>
      </c>
      <c r="F502" s="32" t="s">
        <v>235</v>
      </c>
      <c r="G502" s="32" t="s">
        <v>199</v>
      </c>
      <c r="H502" s="32" t="s">
        <v>352</v>
      </c>
      <c r="I502" s="31" t="s">
        <v>400</v>
      </c>
      <c r="J502" s="31">
        <v>2</v>
      </c>
      <c r="K502" s="33" t="s">
        <v>709</v>
      </c>
      <c r="L502" s="33" t="s">
        <v>718</v>
      </c>
      <c r="M502" s="34" t="s">
        <v>731</v>
      </c>
      <c r="N502" s="34" t="s">
        <v>1717</v>
      </c>
      <c r="O502" s="35">
        <v>1</v>
      </c>
      <c r="P502" s="35"/>
      <c r="Q502" s="32"/>
      <c r="S502" s="1">
        <f t="shared" si="201"/>
        <v>0</v>
      </c>
      <c r="T502" s="1">
        <f t="shared" si="202"/>
        <v>1</v>
      </c>
      <c r="U502" s="1">
        <f t="shared" si="203"/>
        <v>0</v>
      </c>
      <c r="V502" s="1">
        <f t="shared" si="204"/>
        <v>0</v>
      </c>
      <c r="W502" s="1">
        <f t="shared" si="205"/>
        <v>0</v>
      </c>
      <c r="X502" s="1">
        <f t="shared" si="206"/>
        <v>0</v>
      </c>
      <c r="Y502" s="1">
        <f t="shared" si="207"/>
        <v>0</v>
      </c>
      <c r="Z502" s="1">
        <f t="shared" si="208"/>
        <v>0</v>
      </c>
      <c r="AA502" s="1">
        <f t="shared" si="209"/>
        <v>0</v>
      </c>
      <c r="AB502" s="1">
        <f t="shared" si="210"/>
        <v>0</v>
      </c>
      <c r="AD502" s="1">
        <f t="shared" si="211"/>
        <v>0</v>
      </c>
      <c r="AE502" s="1">
        <f t="shared" si="212"/>
        <v>1</v>
      </c>
      <c r="AF502" s="1">
        <f t="shared" si="197"/>
        <v>0</v>
      </c>
      <c r="AG502" s="1">
        <f t="shared" si="198"/>
        <v>1</v>
      </c>
      <c r="AH502" s="1">
        <f t="shared" si="199"/>
        <v>0</v>
      </c>
      <c r="AI502" s="1">
        <f t="shared" si="200"/>
        <v>1</v>
      </c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9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7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</sheetData>
  <autoFilter ref="A7:Q502" xr:uid="{AEE30112-88BB-441D-AEFC-A7A733AB1798}">
    <sortState xmlns:xlrd2="http://schemas.microsoft.com/office/spreadsheetml/2017/richdata2" ref="A8:Q502">
      <sortCondition ref="B8:B502"/>
      <sortCondition ref="C8:C502"/>
      <sortCondition ref="D8:D502"/>
      <sortCondition ref="A8:A502"/>
    </sortState>
  </autoFilter>
  <sortState xmlns:xlrd2="http://schemas.microsoft.com/office/spreadsheetml/2017/richdata2" ref="A8:Q502">
    <sortCondition ref="B8:B502"/>
    <sortCondition ref="C8:C502"/>
    <sortCondition ref="D8:D502"/>
    <sortCondition ref="A8:A50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2026-09-04T08:43:33Z</dcterms:modified>
</cp:coreProperties>
</file>